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80a70ff12d74b95" /></Relationships>
</file>

<file path=xl/workbook.xml><?xml version="1.0" encoding="utf-8"?>
<x:workbook xmlns:x="http://schemas.openxmlformats.org/spreadsheetml/2006/main">
  <x:sheets>
    <x:sheet xmlns:r="http://schemas.openxmlformats.org/officeDocument/2006/relationships" name="README" sheetId="1" r:id="R460987f3d9fd4ee2"/>
    <x:sheet xmlns:r="http://schemas.openxmlformats.org/officeDocument/2006/relationships" name="Roster_100" sheetId="2" r:id="Ra01a3c63858b4781"/>
    <x:sheet xmlns:r="http://schemas.openxmlformats.org/officeDocument/2006/relationships" name="Profiles_140" sheetId="3" r:id="Red71ecb002ca4e8e"/>
    <x:sheet xmlns:r="http://schemas.openxmlformats.org/officeDocument/2006/relationships" name="Axes" sheetId="4" r:id="R06f1441fa62648f9"/>
    <x:sheet xmlns:r="http://schemas.openxmlformats.org/officeDocument/2006/relationships" name="Archetypes" sheetId="5" r:id="Rf8670ae32dab4a03"/>
    <x:sheet xmlns:r="http://schemas.openxmlformats.org/officeDocument/2006/relationships" name="Split_Builds_40" sheetId="6" r:id="Rd5cf2459c53c40f9"/>
    <x:sheet xmlns:r="http://schemas.openxmlformats.org/officeDocument/2006/relationships" name="Sources" sheetId="7" r:id="R4790fa4e16114d1f"/>
    <x:sheet xmlns:r="http://schemas.openxmlformats.org/officeDocument/2006/relationships" name="Questions_30" sheetId="8" r:id="R434f75ddf5694e59"/>
    <x:sheet xmlns:r="http://schemas.openxmlformats.org/officeDocument/2006/relationships" name="Model_Formula" sheetId="9" r:id="R792ccd9d30344db2"/>
    <x:sheet xmlns:r="http://schemas.openxmlformats.org/officeDocument/2006/relationships" name="Simulator" sheetId="10" r:id="R4ba37aa70eb34631"/>
    <x:sheet xmlns:r="http://schemas.openxmlformats.org/officeDocument/2006/relationships" name="Match_140" sheetId="11" r:id="R1d2b4de39d85428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0"/>
  </x:numFmts>
  <x:fonts count="10">
    <x:font>
      <x:sz val="11"/>
      <x:name val="Carlito"/>
    </x:font>
    <x:font>
      <x:b/>
      <x:sz val="20"/>
      <x:color rgb="FFFFFFFF"/>
      <x:name val="Carlito"/>
    </x:font>
    <x:font>
      <x:b/>
      <x:sz val="11"/>
      <x:name val="Carlito"/>
    </x:font>
    <x:font>
      <x:b/>
      <x:sz val="11"/>
      <x:color rgb="FFFFFFFF"/>
      <x:name val="Carlito"/>
    </x:font>
    <x:font>
      <x:b/>
      <x:sz val="10"/>
      <x:color rgb="FFFFFFFF"/>
      <x:name val="Aptos"/>
    </x:font>
    <x:font>
      <x:sz val="10"/>
      <x:name val="Aptos"/>
    </x:font>
    <x:font>
      <x:b/>
      <x:sz val="10"/>
      <x:name val="Aptos"/>
    </x:font>
    <x:font>
      <x:b/>
      <x:sz val="19"/>
      <x:color rgb="FFFFFFFF"/>
      <x:name val="Carlito"/>
    </x:font>
    <x:font>
      <x:b/>
      <x:sz val="18"/>
      <x:color rgb="FFFFFFFF"/>
      <x:name val="Carlito"/>
    </x:font>
    <x:font>
      <x:i/>
      <x:sz val="11"/>
      <x:name val="Carlito"/>
    </x:font>
  </x:fonts>
  <x:fills count="13">
    <x:fill>
      <x:patternFill patternType="none"/>
    </x:fill>
    <x:fill>
      <x:patternFill patternType="gray125"/>
    </x:fill>
    <x:fill>
      <x:patternFill patternType="solid">
        <x:fgColor rgb="FF172554"/>
      </x:patternFill>
    </x:fill>
    <x:fill>
      <x:patternFill patternType="solid">
        <x:fgColor rgb="FFDBEAFE"/>
      </x:patternFill>
    </x:fill>
    <x:fill>
      <x:patternFill patternType="solid">
        <x:fgColor rgb="FF1E3A8A"/>
      </x:patternFill>
    </x:fill>
    <x:fill>
      <x:patternFill patternType="solid">
        <x:fgColor rgb="FFEFF6FF"/>
      </x:patternFill>
    </x:fill>
    <x:fill>
      <x:patternFill patternType="solid">
        <x:fgColor rgb="FF172554"/>
      </x:patternFill>
    </x:fill>
    <x:fill>
      <x:patternFill patternType="solid">
        <x:fgColor rgb="FFFEF3C7"/>
      </x:patternFill>
    </x:fill>
    <x:fill>
      <x:patternFill patternType="solid">
        <x:fgColor rgb="FF1E3A8A"/>
      </x:patternFill>
    </x:fill>
    <x:fill>
      <x:patternFill patternType="solid">
        <x:fgColor rgb="FF0F766E"/>
      </x:patternFill>
    </x:fill>
    <x:fill>
      <x:patternFill patternType="solid">
        <x:fgColor rgb="FF7C3AED"/>
      </x:patternFill>
    </x:fill>
    <x:fill>
      <x:patternFill patternType="solid">
        <x:fgColor rgb="FFEFF6FF"/>
      </x:patternFill>
    </x:fill>
    <x:fill>
      <x:patternFill patternType="solid">
        <x:fgColor rgb="FFDBEAFE"/>
      </x:patternFill>
    </x:fill>
  </x:fills>
  <x:borders count="2">
    <x:border/>
    <x:border/>
  </x:borders>
  <x:cellStyleXfs count="1">
    <x:xf numFmtId="0" fontId="0" fillId="0" borderId="0"/>
  </x:cellStyleXfs>
  <x:cellXfs count="8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center"/>
    </x:xf>
    <x:xf numFmtId="0" fontId="4" fillId="2" borderId="0" xfId="0" applyNumberFormat="1" applyFont="1" applyFill="1" applyBorder="1" applyAlignment="1">
      <x:alignment vertical="center"/>
    </x:xf>
    <x:xf numFmtId="0" fontId="5" fillId="0" borderId="0" xfId="0" applyNumberFormat="1" applyFont="1" applyFill="1" applyBorder="1"/>
    <x:xf numFmtId="0" fontId="6" fillId="3" borderId="0" xfId="0" applyNumberFormat="1" applyFont="1" applyFill="1" applyBorder="1"/>
    <x:xf numFmtId="0" fontId="5" fillId="0" borderId="0" xfId="0" applyNumberFormat="1" applyFont="1" applyFill="1" applyBorder="1" applyAlignment="1">
      <x:alignment wrapText="1"/>
    </x:xf>
    <x:xf numFmtId="0" fontId="4" fillId="4" borderId="0" xfId="0" applyNumberFormat="1" applyFont="1" applyFill="1" applyBorder="1" applyAlignment="1">
      <x:alignment horizontal="center" vertical="center" wrapText="1"/>
    </x:xf>
    <x:xf numFmtId="0" fontId="6" fillId="5" borderId="0" xfId="0" applyNumberFormat="1" applyFont="1" applyFill="1" applyBorder="1" applyAlignment="1">
      <x:alignment horizontal="center"/>
    </x:xf>
    <x:xf numFmtId="0" fontId="4" fillId="2" borderId="1" xfId="0" applyNumberFormat="1" applyFont="1" applyFill="1" applyBorder="1" applyAlignment="1">
      <x:alignment vertical="center"/>
    </x:xf>
    <x:xf numFmtId="0" fontId="5" fillId="0" borderId="1" xfId="0" applyNumberFormat="1" applyFont="1" applyFill="1" applyBorder="1"/>
    <x:xf numFmtId="0" fontId="6" fillId="3" borderId="1" xfId="0" applyNumberFormat="1" applyFont="1" applyFill="1" applyBorder="1"/>
    <x:xf numFmtId="0" fontId="5" fillId="0" borderId="1" xfId="0" applyNumberFormat="1" applyFont="1" applyFill="1" applyBorder="1" applyAlignment="1">
      <x:alignment wrapText="1"/>
    </x:xf>
    <x:xf numFmtId="0" fontId="4" fillId="4" borderId="1" xfId="0" applyNumberFormat="1" applyFont="1" applyFill="1" applyBorder="1" applyAlignment="1">
      <x:alignment horizontal="center" vertical="center" wrapText="1"/>
    </x:xf>
    <x:xf numFmtId="0" fontId="6" fillId="5" borderId="1" xfId="0" applyNumberFormat="1" applyFont="1" applyFill="1" applyBorder="1" applyAlignment="1">
      <x:alignment horizont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vertical="center"/>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xfId="0" applyNumberFormat="1" applyFont="1" applyFill="1" applyBorder="0"/>
    <x:xf numFmtId="0" fontId="3" fillId="8" xfId="0" applyNumberFormat="1" applyFont="1" applyFill="1" applyBorder="0" applyAlignment="1">
      <x:alignment wrapText="1"/>
    </x:xf>
    <x:xf numFmtId="0" fontId="3" fillId="8" xfId="0" applyNumberFormat="1" applyFont="1" applyFill="1" applyBorder="0" applyAlignment="1">
      <x:alignment horizontal="center" wrapText="1"/>
    </x:xf>
    <x:xf numFmtId="0" fontId="3" fillId="8" xfId="0" applyNumberFormat="1" applyFont="1" applyFill="1" applyBorder="0" applyAlignment="1">
      <x:alignment horizontal="center" vertical="center" wrapText="1"/>
    </x:xf>
    <x:xf numFmtId="0" fontId="3" fillId="9" xfId="0" applyNumberFormat="1" applyFont="1" applyFill="1" applyBorder="0" applyAlignment="1">
      <x:alignment horizontal="center" vertical="center" wrapText="1"/>
    </x:xf>
    <x:xf numFmtId="0" fontId="3" fillId="10" xfId="0" applyNumberFormat="1" applyFont="1" applyFill="1" applyBorder="0" applyAlignment="1">
      <x:alignment horizontal="center" vertical="center" wrapText="1"/>
    </x:xf>
    <x:xf numFmtId="200" fontId="0" fillId="0" borderId="0" xfId="0" applyNumberFormat="1" applyFont="1" applyFill="1" applyBorder="1" applyAlignment="1">
      <x:alignment wrapText="1"/>
    </x:xf>
    <x:xf numFmtId="0" fontId="8" fillId="6" borderId="0" xfId="0" applyNumberFormat="1" applyFont="1" applyFill="1" applyBorder="1"/>
    <x:xf numFmtId="0" fontId="8" fillId="6" borderId="0" xfId="0" applyNumberFormat="1" applyFont="1" applyFill="1" applyBorder="1" applyAlignment="1">
      <x:alignment vertical="center"/>
    </x:xf>
    <x:xf numFmtId="200" fontId="0" fillId="0" borderId="0" xfId="0" applyNumberFormat="1" applyFont="1" applyFill="1" applyBorder="1"/>
    <x:xf numFmtId="0" fontId="0" fillId="7" borderId="0" xfId="0" applyNumberFormat="1" applyFont="1" applyFill="1" applyBorder="1" applyAlignment="1">
      <x:alignment wrapText="1"/>
    </x:xf>
    <x:xf numFmtId="201" fontId="0" fillId="0" borderId="0" xfId="0" applyNumberFormat="1" applyFont="1" applyFill="1" applyBorder="1"/>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horizontal="center"/>
    </x:xf>
    <x:xf numFmtId="202" fontId="0" fillId="0" borderId="0" xfId="0" applyNumberFormat="1" applyFont="1" applyFill="1" applyBorder="1"/>
    <x:xf numFmtId="202" fontId="0" fillId="0" borderId="0" xfId="0" applyNumberFormat="1" applyFont="1" applyFill="1" applyBorder="1" applyAlignment="1">
      <x:alignment wrapText="1"/>
    </x:xf>
    <x:xf numFmtId="0" fontId="5" fillId="8" borderId="0" xfId="0" applyNumberFormat="1" applyFont="1" applyFill="1" applyBorder="1"/>
    <x:xf numFmtId="0" fontId="4" fillId="8" borderId="0" xfId="0" applyNumberFormat="1" applyFont="1" applyFill="1" applyBorder="1"/>
    <x:xf numFmtId="0" fontId="4" fillId="8" xfId="0" applyNumberFormat="1" applyFont="1" applyFill="1" applyBorder="0"/>
    <x:xf numFmtId="0" fontId="4" fillId="8" xfId="0" applyNumberFormat="1" applyFont="1" applyFill="1" applyBorder="0" applyAlignment="1">
      <x:alignment wrapText="1"/>
    </x:xf>
    <x:xf numFmtId="0" fontId="4" fillId="8" xfId="0" applyNumberFormat="1" applyFont="1" applyFill="1" applyBorder="0" applyAlignment="1">
      <x:alignment horizontal="center" wrapText="1"/>
    </x:xf>
    <x:xf numFmtId="0" fontId="4" fillId="8" xfId="0" applyNumberFormat="1" applyFont="1" applyFill="1" applyBorder="0" applyAlignment="1">
      <x:alignment horizontal="center" vertical="center"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cellXfs>
  <x:cellStyles count="1">
    <x:cellStyle name="Normal" xfId="0"/>
  </x:cellStyles>
  <x:dxfs count="5">
    <x:dxf>
      <x:fill>
        <x:patternFill>
          <x:bgColor rgb="FFFEE2E2"/>
        </x:patternFill>
      </x:fill>
    </x:dxf>
    <x:dxf>
      <x:fill>
        <x:patternFill>
          <x:bgColor rgb="FFFEF3C7"/>
        </x:patternFill>
      </x:fill>
    </x:dxf>
    <x:dxf>
      <x:font>
        <x:b/>
      </x:font>
      <x:fill>
        <x:patternFill>
          <x:bgColor rgb="FFDBEAFE"/>
        </x:patternFill>
      </x:fill>
    </x:dxf>
    <x:dxf>
      <x:fill>
        <x:patternFill>
          <x:bgColor rgb="FFFEE2E2"/>
        </x:patternFill>
      </x:fill>
    </x:dxf>
    <x:dxf>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d0c1b14e8f24516" /><Relationship Type="http://schemas.openxmlformats.org/officeDocument/2006/relationships/theme" Target="/xl/theme/theme1.xml" Id="R4a35902c1faa4eef" /><Relationship Type="http://schemas.openxmlformats.org/officeDocument/2006/relationships/sharedStrings" Target="/xl/sharedStrings.xml" Id="R4f3d500469dd480c" /><Relationship Type="http://schemas.openxmlformats.org/officeDocument/2006/relationships/worksheet" Target="/xl/worksheets/sheet1.xml" Id="R460987f3d9fd4ee2" /><Relationship Type="http://schemas.openxmlformats.org/officeDocument/2006/relationships/worksheet" Target="/xl/worksheets/sheet2.xml" Id="Ra01a3c63858b4781" /><Relationship Type="http://schemas.openxmlformats.org/officeDocument/2006/relationships/worksheet" Target="/xl/worksheets/sheet3.xml" Id="Red71ecb002ca4e8e" /><Relationship Type="http://schemas.openxmlformats.org/officeDocument/2006/relationships/worksheet" Target="/xl/worksheets/sheet4.xml" Id="R06f1441fa62648f9" /><Relationship Type="http://schemas.openxmlformats.org/officeDocument/2006/relationships/worksheet" Target="/xl/worksheets/sheet5.xml" Id="Rf8670ae32dab4a03" /><Relationship Type="http://schemas.openxmlformats.org/officeDocument/2006/relationships/worksheet" Target="/xl/worksheets/sheet6.xml" Id="Rd5cf2459c53c40f9" /><Relationship Type="http://schemas.openxmlformats.org/officeDocument/2006/relationships/worksheet" Target="/xl/worksheets/sheet7.xml" Id="R4790fa4e16114d1f" /><Relationship Type="http://schemas.openxmlformats.org/officeDocument/2006/relationships/worksheet" Target="/xl/worksheets/sheet8.xml" Id="R434f75ddf5694e59" /><Relationship Type="http://schemas.openxmlformats.org/officeDocument/2006/relationships/worksheet" Target="/xl/worksheets/sheet9.xml" Id="R792ccd9d30344db2" /><Relationship Type="http://schemas.openxmlformats.org/officeDocument/2006/relationships/worksheet" Target="/xl/worksheets/sheet10.xml" Id="R4ba37aa70eb34631" /><Relationship Type="http://schemas.openxmlformats.org/officeDocument/2006/relationships/worksheet" Target="/xl/worksheets/sheet11.xml" Id="R1d2b4de39d85428c" /></Relationships>
</file>

<file path=xl/drawings/_rels/drawing1.xml.rels>&#65279;<?xml version="1.0" encoding="utf-8"?><Relationships xmlns="http://schemas.openxmlformats.org/package/2006/relationships"><Relationship Type="http://schemas.openxmlformats.org/officeDocument/2006/relationships/chart" Target="/xl/drawings/charts/chart1.xml" Id="Rb183dc9872fb4c7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公式ロール別ライセンス数</a:t>
            </a:r>
          </a:p>
        </c:rich>
      </c:tx>
    </c:title>
    <c:plotArea>
      <c:barChart>
        <c:barDir val="col"/>
        <c:varyColors val="0"/>
        <c:ser>
          <c:idx val="0"/>
          <c:order val="0"/>
          <c:tx>
            <c:v>体数</c:v>
          </c:tx>
          <c:cat>
            <c:strRef>
              <c:f>'README'!$D$5:$D$9</c:f>
              <c:strCache>
                <c:ptCount val="0"/>
              </c:strCache>
            </c:strRef>
          </c:cat>
          <c:val>
            <c:numRef>
              <c:f>'README'!$E$5:$E$9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83dc9872fb4c77"/>
        </a:graphicData>
      </a:graphic>
    </xdr:graphicFrame>
    <xdr:clientData/>
  </xdr:twoCellAnchor>
</xdr:wsDr>
</file>

<file path=xl/tables/table1.xml><?xml version="1.0" encoding="utf-8"?>
<x:table xmlns:x="http://schemas.openxmlformats.org/spreadsheetml/2006/main" id="1" name="RosterTable" displayName="RosterTable" ref="A1:M101" headerRowCount="1" totalsRowCount="0" totalsRowShown="0">
  <x:tableColumns count="13">
    <x:tableColumn id="1" name="No"/>
    <x:tableColumn id="2" name="Pokemon"/>
    <x:tableColumn id="3" name="OfficialRole"/>
    <x:tableColumn id="4" name="WikiPrimaryArchetype"/>
    <x:tableColumn id="5" name="WikiSecondaryArchetype"/>
    <x:tableColumn id="6" name="SplitProfile"/>
    <x:tableColumn id="7" name="ProfileCount"/>
    <x:tableColumn id="8" name="Confidence"/>
    <x:tableColumn id="9" name="AsOf"/>
    <x:tableColumn id="10" name="Notes"/>
    <x:tableColumn id="11" name="Wiki_or_Primary_Source"/>
    <x:tableColumn id="12" name="OfficialRoster_Source"/>
    <x:tableColumn id="13" name="Meta_Source"/>
  </x:tableColumns>
  <x:tableStyleInfo name="TableStyleMedium2" showFirstColumn="0" showLastColumn="0" showRowStripes="1" showColumnStripes="0"/>
</x:table>
</file>

<file path=xl/tables/table2.xml><?xml version="1.0" encoding="utf-8"?>
<x:table xmlns:x="http://schemas.openxmlformats.org/spreadsheetml/2006/main" id="2" name="ProfilesTable" displayName="ProfilesTable" ref="A1:AG141" headerRowCount="1" totalsRowCount="0" totalsRowShown="0">
  <x:tableColumns count="33">
    <x:tableColumn id="1" name="Pokemon"/>
    <x:tableColumn id="2" name="OfficialRole"/>
    <x:tableColumn id="3" name="ProfileID"/>
    <x:tableColumn id="4" name="ProfileName"/>
    <x:tableColumn id="5" name="ProfileLabel"/>
    <x:tableColumn id="6" name="PrimaryArchetype"/>
    <x:tableColumn id="7" name="SecondaryArchetype"/>
    <x:tableColumn id="8" name="SplitReason"/>
    <x:tableColumn id="9" name="Confidence"/>
    <x:tableColumn id="10" name="AsOf"/>
    <x:tableColumn id="11" name="Engage"/>
    <x:tableColumn id="12" name="Dive"/>
    <x:tableColumn id="13" name="Peel"/>
    <x:tableColumn id="14" name="Frontline"/>
    <x:tableColumn id="15" name="Poke"/>
    <x:tableColumn id="16" name="Burst"/>
    <x:tableColumn id="17" name="SustainDPS"/>
    <x:tableColumn id="18" name="Control"/>
    <x:tableColumn id="19" name="Support"/>
    <x:tableColumn id="20" name="Mobility"/>
    <x:tableColumn id="21" name="FarmScaling"/>
    <x:tableColumn id="22" name="ObjectiveSecure"/>
    <x:tableColumn id="23" name="ScoringSide"/>
    <x:tableColumn id="24" name="Execution"/>
    <x:tableColumn id="25" name="Decision"/>
    <x:tableColumn id="26" name="P_Initiative"/>
    <x:tableColumn id="27" name="P_RiskTolerance"/>
    <x:tableColumn id="28" name="P_Cooperation"/>
    <x:tableColumn id="29" name="P_SelfReliance"/>
    <x:tableColumn id="30" name="P_Planning"/>
    <x:tableColumn id="31" name="P_Adaptability"/>
    <x:tableColumn id="32" name="P_Mastery"/>
    <x:tableColumn id="33" name="SourceURL"/>
  </x:tableColumns>
  <x:tableStyleInfo name="TableStyleMedium2" showFirstColumn="0" showLastColumn="0" showRowStripes="1" showColumnStripes="0"/>
</x:table>
</file>

<file path=xl/tables/table3.xml><?xml version="1.0" encoding="utf-8"?>
<x:table xmlns:x="http://schemas.openxmlformats.org/spreadsheetml/2006/main" id="3" name="AxesTable" displayName="AxesTable" ref="A1:C16" headerRowCount="1" totalsRowCount="0" totalsRowShown="0">
  <x:tableColumns count="3">
    <x:tableColumn id="1" name="Code"/>
    <x:tableColumn id="2" name="日本語名"/>
    <x:tableColumn id="3" name="定義"/>
  </x:tableColumns>
  <x:tableStyleInfo name="TableStyleMedium2" showFirstColumn="0" showLastColumn="0" showRowStripes="1" showColumnStripes="0"/>
</x:table>
</file>

<file path=xl/tables/table4.xml><?xml version="1.0" encoding="utf-8"?>
<x:table xmlns:x="http://schemas.openxmlformats.org/spreadsheetml/2006/main" id="4" name="ArchetypesTable" displayName="ArchetypesTable" ref="A1:P14" headerRowCount="1" totalsRowCount="0" totalsRowShown="0">
  <x:tableColumns count="16">
    <x:tableColumn id="1" name="Archetype"/>
    <x:tableColumn id="2" name="Engage"/>
    <x:tableColumn id="3" name="Dive"/>
    <x:tableColumn id="4" name="Peel"/>
    <x:tableColumn id="5" name="Frontline"/>
    <x:tableColumn id="6" name="Poke"/>
    <x:tableColumn id="7" name="Burst"/>
    <x:tableColumn id="8" name="SustainDPS"/>
    <x:tableColumn id="9" name="Control"/>
    <x:tableColumn id="10" name="Support"/>
    <x:tableColumn id="11" name="Mobility"/>
    <x:tableColumn id="12" name="FarmScaling"/>
    <x:tableColumn id="13" name="ObjectiveSecure"/>
    <x:tableColumn id="14" name="ScoringSide"/>
    <x:tableColumn id="15" name="Execution"/>
    <x:tableColumn id="16" name="Decision"/>
  </x:tableColumns>
  <x:tableStyleInfo name="TableStyleMedium2" showFirstColumn="0" showLastColumn="0" showRowStripes="1" showColumnStripes="0"/>
</x:table>
</file>

<file path=xl/tables/table5.xml><?xml version="1.0" encoding="utf-8"?>
<x:table xmlns:x="http://schemas.openxmlformats.org/spreadsheetml/2006/main" id="5" name="SplitBuildsTable" displayName="SplitBuildsTable" ref="A1:I81" headerRowCount="1" totalsRowCount="0" totalsRowShown="0">
  <x:tableColumns count="9">
    <x:tableColumn id="1" name="Pokemon"/>
    <x:tableColumn id="2" name="OfficialRole"/>
    <x:tableColumn id="3" name="ProfileName"/>
    <x:tableColumn id="4" name="ProfileLabel"/>
    <x:tableColumn id="5" name="PrimaryArchetype"/>
    <x:tableColumn id="6" name="SecondaryArchetype"/>
    <x:tableColumn id="7" name="SplitReason"/>
    <x:tableColumn id="8" name="Confidence"/>
    <x:tableColumn id="9" name="SourceURL"/>
  </x:tableColumns>
  <x:tableStyleInfo name="TableStyleMedium2" showFirstColumn="0" showLastColumn="0" showRowStripes="1" showColumnStripes="0"/>
</x:table>
</file>

<file path=xl/tables/table6.xml><?xml version="1.0" encoding="utf-8"?>
<x:table xmlns:x="http://schemas.openxmlformats.org/spreadsheetml/2006/main" id="6" name="SourcesTable" displayName="SourcesTable" ref="A1:C7" headerRowCount="1" totalsRowCount="0" totalsRowShown="0">
  <x:tableColumns count="3">
    <x:tableColumn id="1" name="Source"/>
    <x:tableColumn id="2" name="URL"/>
    <x:tableColumn id="3" name="How used"/>
  </x:tableColumns>
  <x:tableStyleInfo name="TableStyleMedium2" showFirstColumn="0" showLastColumn="0" showRowStripes="1" showColumnStripes="0"/>
</x:table>
</file>

<file path=xl/tables/table7.xml><?xml version="1.0" encoding="utf-8"?>
<x:table xmlns:x="http://schemas.openxmlformats.org/spreadsheetml/2006/main" id="7" name="QuestionsTable" displayName="QuestionsTable" ref="A5:AB35" headerRowCount="1" totalsRowCount="0" totalsRowShown="0">
  <x:tableColumns count="28">
    <x:tableColumn id="1" name="QID"/>
    <x:tableColumn id="2" name="区分"/>
    <x:tableColumn id="3" name="質問文"/>
    <x:tableColumn id="4" name="主な測定対象"/>
    <x:tableColumn id="5" name="備考"/>
    <x:tableColumn id="6" name="Initiative"/>
    <x:tableColumn id="7" name="RiskTolerance"/>
    <x:tableColumn id="8" name="Cooperation"/>
    <x:tableColumn id="9" name="SelfReliance"/>
    <x:tableColumn id="10" name="Planning"/>
    <x:tableColumn id="11" name="Adaptability"/>
    <x:tableColumn id="12" name="Mastery"/>
    <x:tableColumn id="13" name="Engage"/>
    <x:tableColumn id="14" name="Dive"/>
    <x:tableColumn id="15" name="Peel"/>
    <x:tableColumn id="16" name="Frontline"/>
    <x:tableColumn id="17" name="Poke"/>
    <x:tableColumn id="18" name="Burst"/>
    <x:tableColumn id="19" name="SustainDPS"/>
    <x:tableColumn id="20" name="Control"/>
    <x:tableColumn id="21" name="Support"/>
    <x:tableColumn id="22" name="Mobility"/>
    <x:tableColumn id="23" name="FarmScaling"/>
    <x:tableColumn id="24" name="ObjectiveSecure"/>
    <x:tableColumn id="25" name="ScoringSide"/>
    <x:tableColumn id="26" name="Execution"/>
    <x:tableColumn id="27" name="Decision"/>
    <x:tableColumn id="28" name="設計意図"/>
  </x:tableColumns>
  <x:tableStyleInfo name="TableStyleMedium2" showFirstColumn="0" showLastColumn="0" showRowStripes="1" showColumnStripes="0"/>
</x:table>
</file>

<file path=xl/tables/table8.xml><?xml version="1.0" encoding="utf-8"?>
<x:table xmlns:x="http://schemas.openxmlformats.org/spreadsheetml/2006/main" id="8" name="Match140Table" displayName="Match140Table" ref="A5:X145" headerRowCount="1" totalsRowCount="0" totalsRowShown="0">
  <x:tableColumns count="24">
    <x:tableColumn id="1" name="Pokemon"/>
    <x:tableColumn id="2" name="ProfileID"/>
    <x:tableColumn id="3" name="ProfileName"/>
    <x:tableColumn id="4" name="OfficialRole"/>
    <x:tableColumn id="5" name="Confidence"/>
    <x:tableColumn id="6" name="Err_Engage"/>
    <x:tableColumn id="7" name="Err_Dive"/>
    <x:tableColumn id="8" name="Err_Peel"/>
    <x:tableColumn id="9" name="Err_Frontline"/>
    <x:tableColumn id="10" name="Err_Poke"/>
    <x:tableColumn id="11" name="Err_Burst"/>
    <x:tableColumn id="12" name="Err_SustainDPS"/>
    <x:tableColumn id="13" name="Err_Control"/>
    <x:tableColumn id="14" name="Err_Support"/>
    <x:tableColumn id="15" name="Err_Mobility"/>
    <x:tableColumn id="16" name="Err_FarmScaling"/>
    <x:tableColumn id="17" name="Err_ObjectiveSecure"/>
    <x:tableColumn id="18" name="Err_ScoringSide"/>
    <x:tableColumn id="19" name="Err_Execution"/>
    <x:tableColumn id="20" name="Err_Decision"/>
    <x:tableColumn id="21" name="WeightedMSE"/>
    <x:tableColumn id="22" name="RMSE"/>
    <x:tableColumn id="23" name="MatchScore"/>
    <x:tableColumn id="24" name="Ran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3ce2b24571c4b90" /></Relationships>
</file>

<file path=xl/worksheets/_rels/sheet2.xml.rels>&#65279;<?xml version="1.0" encoding="utf-8"?><Relationships xmlns="http://schemas.openxmlformats.org/package/2006/relationships"><Relationship Type="http://schemas.openxmlformats.org/officeDocument/2006/relationships/table" Target="/xl/tables/table1.xml" Id="R7263ec3895384832" /></Relationships>
</file>

<file path=xl/worksheets/_rels/sheet3.xml.rels>&#65279;<?xml version="1.0" encoding="utf-8"?><Relationships xmlns="http://schemas.openxmlformats.org/package/2006/relationships"><Relationship Type="http://schemas.openxmlformats.org/officeDocument/2006/relationships/table" Target="/xl/tables/table2.xml" Id="Rcd144d6d78e34d69" /></Relationships>
</file>

<file path=xl/worksheets/_rels/sheet4.xml.rels>&#65279;<?xml version="1.0" encoding="utf-8"?><Relationships xmlns="http://schemas.openxmlformats.org/package/2006/relationships"><Relationship Type="http://schemas.openxmlformats.org/officeDocument/2006/relationships/table" Target="/xl/tables/table3.xml" Id="R699345f3d4f64923" /></Relationships>
</file>

<file path=xl/worksheets/_rels/sheet5.xml.rels>&#65279;<?xml version="1.0" encoding="utf-8"?><Relationships xmlns="http://schemas.openxmlformats.org/package/2006/relationships"><Relationship Type="http://schemas.openxmlformats.org/officeDocument/2006/relationships/table" Target="/xl/tables/table4.xml" Id="Ra062947ee28b41c0" /></Relationships>
</file>

<file path=xl/worksheets/_rels/sheet6.xml.rels>&#65279;<?xml version="1.0" encoding="utf-8"?><Relationships xmlns="http://schemas.openxmlformats.org/package/2006/relationships"><Relationship Type="http://schemas.openxmlformats.org/officeDocument/2006/relationships/table" Target="/xl/tables/table5.xml" Id="R853ceeefbd1c44e5" /></Relationships>
</file>

<file path=xl/worksheets/_rels/sheet7.xml.rels>&#65279;<?xml version="1.0" encoding="utf-8"?><Relationships xmlns="http://schemas.openxmlformats.org/package/2006/relationships"><Relationship Type="http://schemas.openxmlformats.org/officeDocument/2006/relationships/table" Target="/xl/tables/table6.xml" Id="R7f7169cdd1304212" /></Relationships>
</file>

<file path=xl/worksheets/_rels/sheet8.xml.rels>&#65279;<?xml version="1.0" encoding="utf-8"?><Relationships xmlns="http://schemas.openxmlformats.org/package/2006/relationships"><Relationship Type="http://schemas.openxmlformats.org/officeDocument/2006/relationships/table" Target="/xl/tables/table7.xml" Id="Rb44250af828a4a97" /></Relationships>
</file>

<file path=xl/worksheets/_rels/sheet11.xml.rels>&#65279;<?xml version="1.0" encoding="utf-8"?><Relationships xmlns="http://schemas.openxmlformats.org/package/2006/relationships"><Relationship Type="http://schemas.openxmlformats.org/officeDocument/2006/relationships/table" Target="/xl/tables/table8.xml" Id="Raf70b63eea4a4bef" /></Relationships>
</file>

<file path=xl/worksheets/sheet1.xml><?xml version="1.0" encoding="utf-8"?>
<x:worksheet xmlns:x="http://schemas.openxmlformats.org/spreadsheetml/2006/main">
  <x:sheetFormatPr defaultRowHeight="15"/>
  <x:cols>
    <x:col min="1" max="1" width="24" hidden="0" customWidth="1"/>
    <x:col min="2" max="2" width="66" hidden="0" customWidth="1"/>
    <x:col min="3" max="3" width="4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30" customHeight="1">
      <x:c r="A1" s="31" t="str">
        <x:v>Pokémon UNITE 性格×おすすめポケモン診断用 パラメータDB</x:v>
      </x:c>
      <x:c r="B1" s="31"/>
      <x:c r="C1" s="31"/>
      <x:c r="D1" s="31"/>
      <x:c r="E1" s="31"/>
      <x:c r="F1" s="31"/>
      <x:c r="G1" s="31"/>
      <x:c r="H1" s="31"/>
      <x:c r="I1" s="32"/>
      <x:c r="J1" s="32"/>
      <x:c r="K1" s="32"/>
      <x:c r="L1" s="32"/>
      <x:c r="M1" s="32"/>
      <x:c r="N1" s="32"/>
    </x:row>
    <x:row r="2" ht="30" customHeight="1">
      <x:c r="A2" s="31"/>
      <x:c r="B2" s="31"/>
      <x:c r="C2" s="31"/>
      <x:c r="D2" s="31"/>
      <x:c r="E2" s="31"/>
      <x:c r="F2" s="31"/>
      <x:c r="G2" s="31"/>
      <x:c r="H2" s="31"/>
      <x:c r="I2" s="32"/>
      <x:c r="J2" s="32"/>
      <x:c r="K2" s="32"/>
      <x:c r="L2" s="32"/>
      <x:c r="M2" s="32"/>
      <x:c r="N2" s="32"/>
    </x:row>
    <x:row r="3">
      <x:c r="A3" s="32"/>
      <x:c r="B3" s="32"/>
      <x:c r="C3" s="32"/>
      <x:c r="D3" s="32"/>
      <x:c r="E3" s="32"/>
      <x:c r="F3" s="32"/>
      <x:c r="G3" s="32"/>
      <x:c r="H3" s="32"/>
      <x:c r="I3" s="32"/>
      <x:c r="J3" s="32"/>
      <x:c r="K3" s="32"/>
      <x:c r="L3" s="32"/>
      <x:c r="M3" s="32"/>
      <x:c r="N3" s="32"/>
    </x:row>
    <x:row r="4">
      <x:c r="A4" s="33" t="str">
        <x:v>基準日</x:v>
      </x:c>
      <x:c r="B4" s="34" t="str">
        <x:v>2026-09-25</x:v>
      </x:c>
      <x:c r="C4" s="32"/>
      <x:c r="D4" s="35" t="str">
        <x:v>公式ロール</x:v>
      </x:c>
      <x:c r="E4" s="35" t="str">
        <x:v>体数</x:v>
      </x:c>
      <x:c r="F4" s="32"/>
      <x:c r="G4" s="32"/>
      <x:c r="H4" s="32"/>
      <x:c r="I4" s="32"/>
      <x:c r="J4" s="32"/>
      <x:c r="K4" s="32"/>
      <x:c r="L4" s="32"/>
      <x:c r="M4" s="32"/>
      <x:c r="N4" s="32"/>
    </x:row>
    <x:row r="5">
      <x:c r="A5" s="33" t="str">
        <x:v>現行ライセンス</x:v>
      </x:c>
      <x:c r="B5" s="34" t="n">
        <x:v>100</x:v>
      </x:c>
      <x:c r="C5" s="32"/>
      <x:c r="D5" s="32" t="str">
        <x:v>アタック型</x:v>
      </x:c>
      <x:c r="E5" s="32" t="n">
        <x:v>28</x:v>
      </x:c>
      <x:c r="F5" s="32"/>
      <x:c r="G5" s="32"/>
      <x:c r="H5" s="32"/>
      <x:c r="I5" s="32"/>
      <x:c r="J5" s="32"/>
      <x:c r="K5" s="32"/>
      <x:c r="L5" s="32"/>
      <x:c r="M5" s="32"/>
      <x:c r="N5" s="32"/>
    </x:row>
    <x:row r="6">
      <x:c r="A6" s="33" t="str">
        <x:v>診断プロファイル</x:v>
      </x:c>
      <x:c r="B6" s="34" t="n">
        <x:v>140</x:v>
      </x:c>
      <x:c r="C6" s="32"/>
      <x:c r="D6" s="32" t="str">
        <x:v>バランス型</x:v>
      </x:c>
      <x:c r="E6" s="32" t="n">
        <x:v>35</x:v>
      </x:c>
      <x:c r="F6" s="32"/>
      <x:c r="G6" s="32"/>
      <x:c r="H6" s="32"/>
      <x:c r="I6" s="32"/>
      <x:c r="J6" s="32"/>
      <x:c r="K6" s="32"/>
      <x:c r="L6" s="32"/>
      <x:c r="M6" s="32"/>
      <x:c r="N6" s="32"/>
    </x:row>
    <x:row r="7">
      <x:c r="A7" s="33" t="str">
        <x:v>型分け対象</x:v>
      </x:c>
      <x:c r="B7" s="34" t="n">
        <x:v>40</x:v>
      </x:c>
      <x:c r="C7" s="32"/>
      <x:c r="D7" s="32" t="str">
        <x:v>スピード型</x:v>
      </x:c>
      <x:c r="E7" s="32" t="n">
        <x:v>12</x:v>
      </x:c>
      <x:c r="F7" s="32"/>
      <x:c r="G7" s="32"/>
      <x:c r="H7" s="32"/>
      <x:c r="I7" s="32"/>
      <x:c r="J7" s="32"/>
      <x:c r="K7" s="32"/>
      <x:c r="L7" s="32"/>
      <x:c r="M7" s="32"/>
      <x:c r="N7" s="32"/>
    </x:row>
    <x:row r="8">
      <x:c r="A8" s="33" t="str">
        <x:v>単一プロファイル</x:v>
      </x:c>
      <x:c r="B8" s="34" t="n">
        <x:v>60</x:v>
      </x:c>
      <x:c r="C8" s="32"/>
      <x:c r="D8" s="32" t="str">
        <x:v>ディフェンス型</x:v>
      </x:c>
      <x:c r="E8" s="32" t="n">
        <x:v>13</x:v>
      </x:c>
      <x:c r="F8" s="32"/>
      <x:c r="G8" s="32"/>
      <x:c r="H8" s="32"/>
      <x:c r="I8" s="32"/>
      <x:c r="J8" s="32"/>
      <x:c r="K8" s="32"/>
      <x:c r="L8" s="32"/>
      <x:c r="M8" s="32"/>
      <x:c r="N8" s="32"/>
    </x:row>
    <x:row r="9">
      <x:c r="A9" s="33" t="str">
        <x:v>用途</x:v>
      </x:c>
      <x:c r="B9" s="34" t="str">
        <x:v>性格診断・おすすめポケモン算出・ランダム抽選の基礎データ</x:v>
      </x:c>
      <x:c r="C9" s="32"/>
      <x:c r="D9" s="32" t="str">
        <x:v>サポート型</x:v>
      </x:c>
      <x:c r="E9" s="32" t="n">
        <x:v>12</x:v>
      </x:c>
      <x:c r="F9" s="32"/>
      <x:c r="G9" s="32"/>
      <x:c r="H9" s="32"/>
      <x:c r="I9" s="32"/>
      <x:c r="J9" s="32"/>
      <x:c r="K9" s="32"/>
      <x:c r="L9" s="32"/>
      <x:c r="M9" s="32"/>
      <x:c r="N9" s="32"/>
    </x:row>
    <x:row r="10">
      <x:c r="A10" s="32"/>
      <x:c r="B10" s="32"/>
      <x:c r="C10" s="32"/>
      <x:c r="D10" s="32"/>
      <x:c r="E10" s="32"/>
      <x:c r="F10" s="32"/>
      <x:c r="G10" s="32"/>
      <x:c r="H10" s="32"/>
      <x:c r="I10" s="32"/>
      <x:c r="J10" s="32"/>
      <x:c r="K10" s="32"/>
      <x:c r="L10" s="32"/>
      <x:c r="M10" s="32"/>
      <x:c r="N10" s="32"/>
    </x:row>
    <x:row r="11">
      <x:c r="A11" s="32"/>
      <x:c r="B11" s="32"/>
      <x:c r="C11" s="32"/>
      <x:c r="D11" s="32"/>
      <x:c r="E11" s="32"/>
      <x:c r="F11" s="32"/>
      <x:c r="G11" s="32"/>
      <x:c r="H11" s="32"/>
      <x:c r="I11" s="32"/>
      <x:c r="J11" s="32"/>
      <x:c r="K11" s="32"/>
      <x:c r="L11" s="32"/>
      <x:c r="M11" s="32"/>
      <x:c r="N11" s="32"/>
    </x:row>
    <x:row r="12">
      <x:c r="A12" s="35" t="str">
        <x:v>このDBの読み方</x:v>
      </x:c>
      <x:c r="B12" s="35"/>
      <x:c r="C12" s="35"/>
      <x:c r="D12" s="35"/>
      <x:c r="E12" s="35"/>
      <x:c r="F12" s="35"/>
      <x:c r="G12" s="35"/>
      <x:c r="H12" s="35"/>
      <x:c r="I12" s="32"/>
      <x:c r="J12" s="32"/>
      <x:c r="K12" s="32"/>
      <x:c r="L12" s="32"/>
      <x:c r="M12" s="32"/>
      <x:c r="N12" s="32"/>
    </x:row>
    <x:row r="13">
      <x:c r="A13" s="36" t="str">
        <x:v>1</x:v>
      </x:c>
      <x:c r="B13" s="34" t="str">
        <x:v>15軸は「そのポケモン／型がプレイヤーに要求する役割・プレイ感」を0〜100で表す診断設計用スコア。勝率・環境Tierではありません。</x:v>
      </x:c>
      <x:c r="C13" s="32"/>
      <x:c r="D13" s="32"/>
      <x:c r="E13" s="32"/>
      <x:c r="F13" s="32"/>
      <x:c r="G13" s="32"/>
      <x:c r="H13" s="32"/>
      <x:c r="I13" s="32"/>
      <x:c r="J13" s="32"/>
      <x:c r="K13" s="32"/>
      <x:c r="L13" s="32"/>
      <x:c r="M13" s="32"/>
      <x:c r="N13" s="32"/>
    </x:row>
    <x:row r="14">
      <x:c r="A14" s="36" t="str">
        <x:v>2</x:v>
      </x:c>
      <x:c r="B14" s="34" t="str">
        <x:v>技が違うだけでは型分けせず、主役割が変わる、または複数軸が大きく変化する場合のみ別プロファイル化しています。</x:v>
      </x:c>
      <x:c r="C14" s="32"/>
      <x:c r="D14" s="32"/>
      <x:c r="E14" s="32"/>
      <x:c r="F14" s="32"/>
      <x:c r="G14" s="32"/>
      <x:c r="H14" s="32"/>
      <x:c r="I14" s="32"/>
      <x:c r="J14" s="32"/>
      <x:c r="K14" s="32"/>
      <x:c r="L14" s="32"/>
      <x:c r="M14" s="32"/>
      <x:c r="N14" s="32"/>
    </x:row>
    <x:row r="15">
      <x:c r="A15" s="36" t="str">
        <x:v>3</x:v>
      </x:c>
      <x:c r="B15" s="34" t="str">
        <x:v>ゲーム上は左右の技を混成できる場合があります。ProfileName は代表的なプレイスタイルを示すための組合せです。</x:v>
      </x:c>
      <x:c r="C15" s="32"/>
      <x:c r="D15" s="32"/>
      <x:c r="E15" s="32"/>
      <x:c r="F15" s="32"/>
      <x:c r="G15" s="32"/>
      <x:c r="H15" s="32"/>
      <x:c r="I15" s="32"/>
      <x:c r="J15" s="32"/>
      <x:c r="K15" s="32"/>
      <x:c r="L15" s="32"/>
      <x:c r="M15" s="32"/>
      <x:c r="N15" s="32"/>
    </x:row>
    <x:row r="16">
      <x:c r="A16" s="36" t="str">
        <x:v>4</x:v>
      </x:c>
      <x:c r="B16" s="34" t="str">
        <x:v>P_から始まる7列は15軸から算出する性格座標。心理学的尺度ではなく、診断サイトのマッチング用ヒューリスティックです。</x:v>
      </x:c>
      <x:c r="C16" s="32"/>
      <x:c r="D16" s="32"/>
      <x:c r="E16" s="32"/>
      <x:c r="F16" s="32"/>
      <x:c r="G16" s="32"/>
      <x:c r="H16" s="32"/>
      <x:c r="I16" s="32"/>
      <x:c r="J16" s="32"/>
      <x:c r="K16" s="32"/>
      <x:c r="L16" s="32"/>
      <x:c r="M16" s="32"/>
      <x:c r="N16" s="32"/>
    </x:row>
    <x:row r="17">
      <x:c r="A17" s="36" t="str">
        <x:v>5</x:v>
      </x:c>
      <x:c r="B17" s="34" t="str">
        <x:v>ストリンダーは2026-09-24実装直後のため暫定値。モルペコ等の新しめの一部ライセンスも信頼度を落としてあります。</x:v>
      </x:c>
      <x:c r="C17" s="32"/>
      <x:c r="D17" s="32"/>
      <x:c r="E17" s="32"/>
      <x:c r="F17" s="32"/>
      <x:c r="G17" s="32"/>
      <x:c r="H17" s="32"/>
      <x:c r="I17" s="32"/>
      <x:c r="J17" s="32"/>
      <x:c r="K17" s="32"/>
      <x:c r="L17" s="32"/>
      <x:c r="M17" s="32"/>
      <x:c r="N17" s="32"/>
    </x:row>
    <x:row r="18">
      <x:c r="A18" s="36" t="str">
        <x:v>6</x:v>
      </x:c>
      <x:c r="B18" s="34" t="str">
        <x:v>強さや勝率を診断値に混ぜないことで、バランス調整が入っても診断結果が崩れにくい設計にしています。</x:v>
      </x:c>
      <x:c r="C18" s="32"/>
      <x:c r="D18" s="32"/>
      <x:c r="E18" s="32"/>
      <x:c r="F18" s="32"/>
      <x:c r="G18" s="32"/>
      <x:c r="H18" s="32"/>
      <x:c r="I18" s="32"/>
      <x:c r="J18" s="32"/>
      <x:c r="K18" s="32"/>
      <x:c r="L18" s="32"/>
      <x:c r="M18" s="32"/>
      <x:c r="N18" s="32"/>
    </x:row>
    <x:row r="19">
      <x:c r="A19" s="32"/>
      <x:c r="B19" s="32"/>
      <x:c r="C19" s="32"/>
      <x:c r="D19" s="32"/>
      <x:c r="E19" s="32"/>
      <x:c r="F19" s="32"/>
      <x:c r="G19" s="32"/>
      <x:c r="H19" s="32"/>
      <x:c r="I19" s="32"/>
      <x:c r="J19" s="32"/>
      <x:c r="K19" s="32"/>
      <x:c r="L19" s="32"/>
      <x:c r="M19" s="32"/>
      <x:c r="N19" s="32"/>
    </x:row>
    <x:row r="20">
      <x:c r="A20" s="35" t="str">
        <x:v>主要ソース</x:v>
      </x:c>
      <x:c r="B20" s="35"/>
      <x:c r="C20" s="35"/>
      <x:c r="D20" s="35"/>
      <x:c r="E20" s="35"/>
      <x:c r="F20" s="35"/>
      <x:c r="G20" s="35"/>
      <x:c r="H20" s="35"/>
      <x:c r="I20" s="32"/>
      <x:c r="J20" s="32"/>
      <x:c r="K20" s="32"/>
      <x:c r="L20" s="32"/>
      <x:c r="M20" s="32"/>
      <x:c r="N20" s="32"/>
    </x:row>
    <x:row r="21">
      <x:c r="A21" s="35" t="str">
        <x:v>資料</x:v>
      </x:c>
      <x:c r="B21" s="35" t="str">
        <x:v>URL</x:v>
      </x:c>
      <x:c r="C21" s="35" t="str">
        <x:v>用途</x:v>
      </x:c>
      <x:c r="D21" s="32"/>
      <x:c r="E21" s="32"/>
      <x:c r="F21" s="32"/>
      <x:c r="G21" s="32"/>
      <x:c r="H21" s="32"/>
      <x:c r="I21" s="32"/>
      <x:c r="J21" s="32"/>
      <x:c r="K21" s="32"/>
      <x:c r="L21" s="32"/>
      <x:c r="M21" s="32"/>
      <x:c r="N21" s="32"/>
    </x:row>
    <x:row r="22">
      <x:c r="A22" s="34" t="str">
        <x:v>Pokemon Unite Wiki ポケモン一覧</x:v>
      </x:c>
      <x:c r="B22" s="34" t="str">
        <x:v>https://wikiwiki.jp/poke-unite/%E4%B8%80%E8%A6%A7</x:v>
      </x:c>
      <x:c r="C22" s="34" t="str">
        <x:v>99体（モルペコまで）のロスター、非公式LoL系ロール、長所短所。2026-09-19更新。</x:v>
      </x:c>
      <x:c r="D22" s="32"/>
      <x:c r="E22" s="32"/>
      <x:c r="F22" s="32"/>
      <x:c r="G22" s="32"/>
      <x:c r="H22" s="32"/>
      <x:c r="I22" s="32"/>
      <x:c r="J22" s="32"/>
      <x:c r="K22" s="32"/>
      <x:c r="L22" s="32"/>
      <x:c r="M22" s="32"/>
      <x:c r="N22" s="32"/>
    </x:row>
    <x:row r="23">
      <x:c r="A23" s="34" t="str">
        <x:v>Pokémon UNITE公式 ストリンダー参戦</x:v>
      </x:c>
      <x:c r="B23" s="34" t="str">
        <x:v>https://www.pokemonunite.jp/ja/topics/news/20260924/</x:v>
      </x:c>
      <x:c r="C23" s="34" t="str">
        <x:v>2026-09-24参戦を確認。現行100体目。</x:v>
      </x:c>
      <x:c r="D23" s="32"/>
      <x:c r="E23" s="32"/>
      <x:c r="F23" s="32"/>
      <x:c r="G23" s="32"/>
      <x:c r="H23" s="32"/>
      <x:c r="I23" s="32"/>
      <x:c r="J23" s="32"/>
      <x:c r="K23" s="32"/>
      <x:c r="L23" s="32"/>
      <x:c r="M23" s="32"/>
      <x:c r="N23" s="32"/>
    </x:row>
    <x:row r="24">
      <x:c r="A24" s="34" t="str">
        <x:v>Pokémon UNITE公式 ポケモン一覧</x:v>
      </x:c>
      <x:c r="B24" s="34" t="str">
        <x:v>https://www.pokemonunite.jp/pokemon/</x:v>
      </x:c>
      <x:c r="C24" s="34" t="str">
        <x:v>公式のプレイスタイル案内・参戦ポケモン確認。</x:v>
      </x:c>
      <x:c r="D24" s="32"/>
      <x:c r="E24" s="32"/>
      <x:c r="F24" s="32"/>
      <x:c r="G24" s="32"/>
      <x:c r="H24" s="32"/>
      <x:c r="I24" s="32"/>
      <x:c r="J24" s="32"/>
      <x:c r="K24" s="32"/>
      <x:c r="L24" s="32"/>
      <x:c r="M24" s="32"/>
      <x:c r="N24" s="32"/>
    </x:row>
    <x:row r="25">
      <x:c r="A25" s="34" t="str">
        <x:v>UniteAPI Meta</x:v>
      </x:c>
      <x:c r="B25" s="34" t="str">
        <x:v>https://uniteapi.dev/jp/meta</x:v>
      </x:c>
      <x:c r="C25" s="34" t="str">
        <x:v>2026-09-14〜21、128,033試合。実戦で使われている代表ビルド・現行環境の照合。強さは診断点数に混ぜない。</x:v>
      </x:c>
      <x:c r="D25" s="32"/>
      <x:c r="E25" s="32"/>
      <x:c r="F25" s="32"/>
      <x:c r="G25" s="32"/>
      <x:c r="H25" s="32"/>
      <x:c r="I25" s="32"/>
      <x:c r="J25" s="32"/>
      <x:c r="K25" s="32"/>
      <x:c r="L25" s="32"/>
      <x:c r="M25" s="32"/>
      <x:c r="N25" s="32"/>
    </x:row>
    <x:row r="26">
      <x:c r="A26" s="34" t="str">
        <x:v>Wiki 用語集</x:v>
      </x:c>
      <x:c r="B26" s="34" t="str">
        <x:v>https://wikiwiki.jp/poke-unite/%E7%94%A8%E8%AA%9E%E9%9B%86</x:v>
      </x:c>
      <x:c r="C26" s="34" t="str">
        <x:v>わざセット1/2は左右の代表組合せ。手動で混成可能であることを確認。</x:v>
      </x:c>
      <x:c r="D26" s="32"/>
      <x:c r="E26" s="32"/>
      <x:c r="F26" s="32"/>
      <x:c r="G26" s="32"/>
      <x:c r="H26" s="32"/>
      <x:c r="I26" s="32"/>
      <x:c r="J26" s="32"/>
      <x:c r="K26" s="32"/>
      <x:c r="L26" s="32"/>
      <x:c r="M26" s="32"/>
      <x:c r="N26" s="32"/>
    </x:row>
    <x:row r="27">
      <x:c r="A27" s="34" t="str">
        <x:v>Reddit r/PokemonUnite</x:v>
      </x:c>
      <x:c r="B27" s="34" t="str">
        <x:v>https://www.reddit.com/r/PokemonUnite/</x:v>
      </x:c>
      <x:c r="C27" s="34" t="str">
        <x:v>直近の使用感・新実装の定性的チェックのみ。一次情報ではないため補助扱い。</x:v>
      </x:c>
      <x:c r="D27" s="32"/>
      <x:c r="E27" s="32"/>
      <x:c r="F27" s="32"/>
      <x:c r="G27" s="32"/>
      <x:c r="H27" s="32"/>
      <x:c r="I27" s="32"/>
      <x:c r="J27" s="32"/>
      <x:c r="K27" s="32"/>
      <x:c r="L27" s="32"/>
      <x:c r="M27" s="32"/>
      <x:c r="N27" s="32"/>
    </x:row>
    <x:row r="28">
      <x:c r="A28" s="32"/>
      <x:c r="B28" s="32"/>
      <x:c r="C28" s="32"/>
      <x:c r="D28" s="32"/>
      <x:c r="E28" s="32"/>
      <x:c r="F28" s="32"/>
      <x:c r="G28" s="32"/>
      <x:c r="H28" s="32"/>
      <x:c r="I28" s="32"/>
      <x:c r="J28" s="32"/>
      <x:c r="K28" s="32"/>
      <x:c r="L28" s="32"/>
      <x:c r="M28" s="32"/>
      <x:c r="N28" s="32"/>
    </x:row>
    <x:row r="29">
      <x:c r="A29" s="32"/>
      <x:c r="B29" s="32"/>
      <x:c r="C29" s="32"/>
      <x:c r="D29" s="32"/>
      <x:c r="E29" s="32"/>
      <x:c r="F29" s="32"/>
      <x:c r="G29" s="32"/>
      <x:c r="H29" s="32"/>
      <x:c r="I29" s="32"/>
      <x:c r="J29" s="32"/>
      <x:c r="K29" s="32"/>
      <x:c r="L29" s="32"/>
      <x:c r="M29" s="32"/>
      <x:c r="N29" s="32"/>
    </x:row>
    <x:row r="30">
      <x:c r="A30" s="73" t="str">
        <x:v>診断ロジック追加シート</x:v>
      </x:c>
      <x:c r="B30" s="73"/>
      <x:c r="C30" s="73"/>
      <x:c r="D30" s="73"/>
      <x:c r="E30" s="73"/>
      <x:c r="F30" s="32"/>
      <x:c r="G30" s="32"/>
      <x:c r="H30" s="32"/>
      <x:c r="I30" s="32"/>
      <x:c r="J30" s="32"/>
      <x:c r="K30" s="32"/>
      <x:c r="L30" s="32"/>
      <x:c r="M30" s="32"/>
      <x:c r="N30" s="32"/>
    </x:row>
    <x:row r="31">
      <x:c r="A31" s="76" t="str">
        <x:v>Questions_30</x:v>
      </x:c>
      <x:c r="B31" s="12" t="str">
        <x:v>30問の質問文と、各質問が7性格軸／15ゲーム軸へ与えるLoading。ここが質問ごとの獲得スコア設定。</x:v>
      </x:c>
    </x:row>
    <x:row r="32">
      <x:c r="A32" s="76" t="str">
        <x:v>Model_Formula</x:v>
      </x:c>
      <x:c r="B32" s="12" t="str">
        <x:v>回答尺度、7→15翻訳行列、軸別Blend、マッチングWeight、非対称ペナルティを編集。</x:v>
      </x:c>
    </x:row>
    <x:row r="33">
      <x:c r="A33" s="76" t="str">
        <x:v>Simulator</x:v>
      </x:c>
      <x:c r="B33" s="12" t="str">
        <x:v>1〜5の回答を入れて、7性格軸・最終15軸・おすすめ上位10を確認。</x:v>
      </x:c>
    </x:row>
    <x:row r="34">
      <x:c r="A34" s="76" t="str">
        <x:v>Match_140</x:v>
      </x:c>
      <x:c r="B34" s="12" t="str">
        <x:v>140プロファイルとの軸別誤差、RMSE、MatchScore、順位を確認。</x:v>
      </x:c>
    </x:row>
  </x:sheetData>
  <x:mergeCells>
    <x:mergeCell ref="A1:H2"/>
    <x:mergeCell ref="A12:H12"/>
    <x:mergeCell ref="A20:H20"/>
    <x:mergeCell ref="A30:E30"/>
  </x:mergeCells>
  <x:pageMargins left="0.7" right="0.7" top="0.75" bottom="0.75" header="0.3" footer="0.3"/>
  <x:drawing xmlns:r="http://schemas.openxmlformats.org/officeDocument/2006/relationships" r:id="R43ce2b24571c4b90"/>
</x:worksheet>
</file>

<file path=xl/worksheets/sheet2.xml><?xml version="1.0" encoding="utf-8"?>
<x:worksheet xmlns:x="http://schemas.openxmlformats.org/spreadsheetml/2006/main">
  <x:sheetFormatPr defaultRowHeight="15"/>
  <x:cols>
    <x:col min="1" max="1" width="7" hidden="0" customWidth="1"/>
    <x:col min="2" max="2" width="18" hidden="0" customWidth="1"/>
    <x:col min="3" max="3" width="13" hidden="0" customWidth="1"/>
    <x:col min="4" max="4" width="18" hidden="0" customWidth="1"/>
    <x:col min="5" max="5" width="18" hidden="0" customWidth="1"/>
    <x:col min="6" max="6" width="12" hidden="0" customWidth="1"/>
    <x:col min="7" max="7" width="12" hidden="0" customWidth="1"/>
    <x:col min="8" max="8" width="12" hidden="0" customWidth="1"/>
    <x:col min="9" max="9" width="12" hidden="0" customWidth="1"/>
    <x:col min="10" max="10" width="30" hidden="0" customWidth="1"/>
    <x:col min="11" max="11" width="38" hidden="0" customWidth="1"/>
    <x:col min="12" max="12" width="38" hidden="0" customWidth="1"/>
    <x:col min="13" max="13" width="38" hidden="0" customWidth="1"/>
  </x:cols>
  <x:sheetData>
    <x:row r="1">
      <x:c r="A1" s="18" t="str">
        <x:v>No</x:v>
      </x:c>
      <x:c r="B1" s="18" t="str">
        <x:v>Pokemon</x:v>
      </x:c>
      <x:c r="C1" s="18" t="str">
        <x:v>OfficialRole</x:v>
      </x:c>
      <x:c r="D1" s="18" t="str">
        <x:v>WikiPrimaryArchetype</x:v>
      </x:c>
      <x:c r="E1" s="18" t="str">
        <x:v>WikiSecondaryArchetype</x:v>
      </x:c>
      <x:c r="F1" s="18" t="str">
        <x:v>SplitProfile</x:v>
      </x:c>
      <x:c r="G1" s="18" t="str">
        <x:v>ProfileCount</x:v>
      </x:c>
      <x:c r="H1" s="18" t="str">
        <x:v>Confidence</x:v>
      </x:c>
      <x:c r="I1" s="18" t="str">
        <x:v>AsOf</x:v>
      </x:c>
      <x:c r="J1" s="18" t="str">
        <x:v>Notes</x:v>
      </x:c>
      <x:c r="K1" s="18" t="str">
        <x:v>Wiki_or_Primary_Source</x:v>
      </x:c>
      <x:c r="L1" s="18" t="str">
        <x:v>OfficialRoster_Source</x:v>
      </x:c>
      <x:c r="M1" s="18" t="str">
        <x:v>Meta_Source</x:v>
      </x:c>
    </x:row>
    <x:row r="2">
      <x:c r="A2" s="12" t="n">
        <x:v>1</x:v>
      </x:c>
      <x:c r="B2" s="12" t="str">
        <x:v>アローラキュウコン</x:v>
      </x:c>
      <x:c r="C2" s="12" t="str">
        <x:v>アタック型</x:v>
      </x:c>
      <x:c r="D2" s="12" t="str">
        <x:v>BurstMage</x:v>
      </x:c>
      <x:c r="E2" s="12" t="str"/>
      <x:c r="F2" s="12" t="str">
        <x:v>Yes</x:v>
      </x:c>
      <x:c r="G2" s="12" t="n">
        <x:v>2</x:v>
      </x:c>
      <x:c r="H2" s="12" t="str">
        <x:v>高</x:v>
      </x:c>
      <x:c r="I2" s="12" t="str">
        <x:v>2026-09-25</x:v>
      </x:c>
      <x:c r="J2" s="12" t="str"/>
      <x:c r="K2" s="12" t="str">
        <x:v>https://wikiwiki.jp/poke-unite/%E3%82%A2%E3%83%AD%E3%83%BC%E3%83%A9%E3%82%AD%E3%83%A5%E3%82%A6%E3%82%B3%E3%83%B3</x:v>
      </x:c>
      <x:c r="L2" s="12" t="str">
        <x:v>https://www.pokemonunite.jp/pokemon/</x:v>
      </x:c>
      <x:c r="M2" s="12" t="str">
        <x:v>https://uniteapi.dev/jp/meta</x:v>
      </x:c>
    </x:row>
    <x:row r="3">
      <x:c r="A3" s="12" t="n">
        <x:v>2</x:v>
      </x:c>
      <x:c r="B3" s="12" t="str">
        <x:v>アローラライチュウ</x:v>
      </x:c>
      <x:c r="C3" s="12" t="str">
        <x:v>アタック型</x:v>
      </x:c>
      <x:c r="D3" s="12" t="str">
        <x:v>BattleMage</x:v>
      </x:c>
      <x:c r="E3" s="12" t="str"/>
      <x:c r="F3" s="12" t="str">
        <x:v>No</x:v>
      </x:c>
      <x:c r="G3" s="12" t="n">
        <x:v>1</x:v>
      </x:c>
      <x:c r="H3" s="12" t="str">
        <x:v>高</x:v>
      </x:c>
      <x:c r="I3" s="12" t="str">
        <x:v>2026-09-25</x:v>
      </x:c>
      <x:c r="J3" s="12" t="str"/>
      <x:c r="K3" s="12" t="str">
        <x:v>https://wikiwiki.jp/poke-unite/%E3%82%A2%E3%83%AD%E3%83%BC%E3%83%A9%E3%83%A9%E3%82%A4%E3%83%81%E3%83%A5%E3%82%A6</x:v>
      </x:c>
      <x:c r="L3" s="12" t="str">
        <x:v>https://www.pokemonunite.jp/pokemon/</x:v>
      </x:c>
      <x:c r="M3" s="12" t="str">
        <x:v>https://uniteapi.dev/jp/meta</x:v>
      </x:c>
    </x:row>
    <x:row r="4">
      <x:c r="A4" s="12" t="n">
        <x:v>3</x:v>
      </x:c>
      <x:c r="B4" s="12" t="str">
        <x:v>イベルタル</x:v>
      </x:c>
      <x:c r="C4" s="12" t="str">
        <x:v>アタック型</x:v>
      </x:c>
      <x:c r="D4" s="12" t="str">
        <x:v>BurstMage</x:v>
      </x:c>
      <x:c r="E4" s="12" t="str"/>
      <x:c r="F4" s="12" t="str">
        <x:v>No</x:v>
      </x:c>
      <x:c r="G4" s="12" t="n">
        <x:v>1</x:v>
      </x:c>
      <x:c r="H4" s="12" t="str">
        <x:v>高</x:v>
      </x:c>
      <x:c r="I4" s="12" t="str">
        <x:v>2026-09-25</x:v>
      </x:c>
      <x:c r="J4" s="12" t="str"/>
      <x:c r="K4" s="12" t="str">
        <x:v>https://wikiwiki.jp/poke-unite/%E3%82%A4%E3%83%99%E3%83%AB%E3%82%BF%E3%83%AB</x:v>
      </x:c>
      <x:c r="L4" s="12" t="str">
        <x:v>https://www.pokemonunite.jp/pokemon/</x:v>
      </x:c>
      <x:c r="M4" s="12" t="str">
        <x:v>https://uniteapi.dev/jp/meta</x:v>
      </x:c>
    </x:row>
    <x:row r="5">
      <x:c r="A5" s="12" t="n">
        <x:v>4</x:v>
      </x:c>
      <x:c r="B5" s="12" t="str">
        <x:v>インテレオン</x:v>
      </x:c>
      <x:c r="C5" s="12" t="str">
        <x:v>アタック型</x:v>
      </x:c>
      <x:c r="D5" s="12" t="str">
        <x:v>Artillery</x:v>
      </x:c>
      <x:c r="E5" s="12" t="str">
        <x:v>BattleMage</x:v>
      </x:c>
      <x:c r="F5" s="12" t="str">
        <x:v>Yes</x:v>
      </x:c>
      <x:c r="G5" s="12" t="n">
        <x:v>2</x:v>
      </x:c>
      <x:c r="H5" s="12" t="str">
        <x:v>高</x:v>
      </x:c>
      <x:c r="I5" s="12" t="str">
        <x:v>2026-09-25</x:v>
      </x:c>
      <x:c r="J5" s="12" t="str"/>
      <x:c r="K5" s="12" t="str">
        <x:v>https://wikiwiki.jp/poke-unite/%E3%82%A4%E3%83%B3%E3%83%86%E3%83%AC%E3%82%AA%E3%83%B3</x:v>
      </x:c>
      <x:c r="L5" s="12" t="str">
        <x:v>https://www.pokemonunite.jp/pokemon/</x:v>
      </x:c>
      <x:c r="M5" s="12" t="str">
        <x:v>https://uniteapi.dev/jp/meta</x:v>
      </x:c>
    </x:row>
    <x:row r="6">
      <x:c r="A6" s="12" t="n">
        <x:v>5</x:v>
      </x:c>
      <x:c r="B6" s="12" t="str">
        <x:v>ウッウ</x:v>
      </x:c>
      <x:c r="C6" s="12" t="str">
        <x:v>アタック型</x:v>
      </x:c>
      <x:c r="D6" s="12" t="str">
        <x:v>BurstMage</x:v>
      </x:c>
      <x:c r="E6" s="12" t="str">
        <x:v>BattleMage</x:v>
      </x:c>
      <x:c r="F6" s="12" t="str">
        <x:v>Yes</x:v>
      </x:c>
      <x:c r="G6" s="12" t="n">
        <x:v>2</x:v>
      </x:c>
      <x:c r="H6" s="12" t="str">
        <x:v>高</x:v>
      </x:c>
      <x:c r="I6" s="12" t="str">
        <x:v>2026-09-25</x:v>
      </x:c>
      <x:c r="J6" s="12" t="str"/>
      <x:c r="K6" s="12" t="str">
        <x:v>https://wikiwiki.jp/poke-unite/%E3%82%A6%E3%83%83%E3%82%A6</x:v>
      </x:c>
      <x:c r="L6" s="12" t="str">
        <x:v>https://www.pokemonunite.jp/pokemon/</x:v>
      </x:c>
      <x:c r="M6" s="12" t="str">
        <x:v>https://uniteapi.dev/jp/meta</x:v>
      </x:c>
    </x:row>
    <x:row r="7">
      <x:c r="A7" s="12" t="n">
        <x:v>6</x:v>
      </x:c>
      <x:c r="B7" s="12" t="str">
        <x:v>エースバーン</x:v>
      </x:c>
      <x:c r="C7" s="12" t="str">
        <x:v>アタック型</x:v>
      </x:c>
      <x:c r="D7" s="12" t="str">
        <x:v>Marksman</x:v>
      </x:c>
      <x:c r="E7" s="12" t="str"/>
      <x:c r="F7" s="12" t="str">
        <x:v>No</x:v>
      </x:c>
      <x:c r="G7" s="12" t="n">
        <x:v>1</x:v>
      </x:c>
      <x:c r="H7" s="12" t="str">
        <x:v>高</x:v>
      </x:c>
      <x:c r="I7" s="12" t="str">
        <x:v>2026-09-25</x:v>
      </x:c>
      <x:c r="J7" s="12" t="str"/>
      <x:c r="K7" s="12" t="str">
        <x:v>https://wikiwiki.jp/poke-unite/%E3%82%A8%E3%83%BC%E3%82%B9%E3%83%90%E3%83%BC%E3%83%B3</x:v>
      </x:c>
      <x:c r="L7" s="12" t="str">
        <x:v>https://www.pokemonunite.jp/pokemon/</x:v>
      </x:c>
      <x:c r="M7" s="12" t="str">
        <x:v>https://uniteapi.dev/jp/meta</x:v>
      </x:c>
    </x:row>
    <x:row r="8">
      <x:c r="A8" s="12" t="n">
        <x:v>7</x:v>
      </x:c>
      <x:c r="B8" s="12" t="str">
        <x:v>エーフィ</x:v>
      </x:c>
      <x:c r="C8" s="12" t="str">
        <x:v>アタック型</x:v>
      </x:c>
      <x:c r="D8" s="12" t="str">
        <x:v>BurstMage</x:v>
      </x:c>
      <x:c r="E8" s="12" t="str">
        <x:v>BattleMage</x:v>
      </x:c>
      <x:c r="F8" s="12" t="str">
        <x:v>Yes</x:v>
      </x:c>
      <x:c r="G8" s="12" t="n">
        <x:v>2</x:v>
      </x:c>
      <x:c r="H8" s="12" t="str">
        <x:v>高</x:v>
      </x:c>
      <x:c r="I8" s="12" t="str">
        <x:v>2026-09-25</x:v>
      </x:c>
      <x:c r="J8" s="12" t="str"/>
      <x:c r="K8" s="12" t="str">
        <x:v>https://wikiwiki.jp/poke-unite/%E3%82%A8%E3%83%BC%E3%83%95%E3%82%A3</x:v>
      </x:c>
      <x:c r="L8" s="12" t="str">
        <x:v>https://www.pokemonunite.jp/pokemon/</x:v>
      </x:c>
      <x:c r="M8" s="12" t="str">
        <x:v>https://uniteapi.dev/jp/meta</x:v>
      </x:c>
    </x:row>
    <x:row r="9">
      <x:c r="A9" s="12" t="n">
        <x:v>8</x:v>
      </x:c>
      <x:c r="B9" s="12" t="str">
        <x:v>グレイシア</x:v>
      </x:c>
      <x:c r="C9" s="12" t="str">
        <x:v>アタック型</x:v>
      </x:c>
      <x:c r="D9" s="12" t="str">
        <x:v>Marksman</x:v>
      </x:c>
      <x:c r="E9" s="12" t="str">
        <x:v>BattleMage</x:v>
      </x:c>
      <x:c r="F9" s="12" t="str">
        <x:v>Yes</x:v>
      </x:c>
      <x:c r="G9" s="12" t="n">
        <x:v>2</x:v>
      </x:c>
      <x:c r="H9" s="12" t="str">
        <x:v>高</x:v>
      </x:c>
      <x:c r="I9" s="12" t="str">
        <x:v>2026-09-25</x:v>
      </x:c>
      <x:c r="J9" s="12" t="str"/>
      <x:c r="K9" s="12" t="str">
        <x:v>https://wikiwiki.jp/poke-unite/%E3%82%B0%E3%83%AC%E3%82%A4%E3%82%B7%E3%82%A2</x:v>
      </x:c>
      <x:c r="L9" s="12" t="str">
        <x:v>https://www.pokemonunite.jp/pokemon/</x:v>
      </x:c>
      <x:c r="M9" s="12" t="str">
        <x:v>https://uniteapi.dev/jp/meta</x:v>
      </x:c>
    </x:row>
    <x:row r="10">
      <x:c r="A10" s="12" t="n">
        <x:v>9</x:v>
      </x:c>
      <x:c r="B10" s="12" t="str">
        <x:v>グレンアルマ</x:v>
      </x:c>
      <x:c r="C10" s="12" t="str">
        <x:v>アタック型</x:v>
      </x:c>
      <x:c r="D10" s="12" t="str">
        <x:v>BurstMage</x:v>
      </x:c>
      <x:c r="E10" s="12" t="str">
        <x:v>Juggernaut</x:v>
      </x:c>
      <x:c r="F10" s="12" t="str">
        <x:v>Yes</x:v>
      </x:c>
      <x:c r="G10" s="12" t="n">
        <x:v>2</x:v>
      </x:c>
      <x:c r="H10" s="12" t="str">
        <x:v>高</x:v>
      </x:c>
      <x:c r="I10" s="12" t="str">
        <x:v>2026-09-25</x:v>
      </x:c>
      <x:c r="J10" s="12" t="str"/>
      <x:c r="K10" s="12" t="str">
        <x:v>https://wikiwiki.jp/poke-unite/%E3%82%B0%E3%83%AC%E3%83%B3%E3%82%A2%E3%83%AB%E3%83%9E</x:v>
      </x:c>
      <x:c r="L10" s="12" t="str">
        <x:v>https://www.pokemonunite.jp/pokemon/</x:v>
      </x:c>
      <x:c r="M10" s="12" t="str">
        <x:v>https://uniteapi.dev/jp/meta</x:v>
      </x:c>
    </x:row>
    <x:row r="11">
      <x:c r="A11" s="12" t="n">
        <x:v>10</x:v>
      </x:c>
      <x:c r="B11" s="12" t="str">
        <x:v>ゲッコウガ</x:v>
      </x:c>
      <x:c r="C11" s="12" t="str">
        <x:v>アタック型</x:v>
      </x:c>
      <x:c r="D11" s="12" t="str">
        <x:v>Marksman</x:v>
      </x:c>
      <x:c r="E11" s="12" t="str">
        <x:v>Assassin</x:v>
      </x:c>
      <x:c r="F11" s="12" t="str">
        <x:v>Yes</x:v>
      </x:c>
      <x:c r="G11" s="12" t="n">
        <x:v>2</x:v>
      </x:c>
      <x:c r="H11" s="12" t="str">
        <x:v>高</x:v>
      </x:c>
      <x:c r="I11" s="12" t="str">
        <x:v>2026-09-25</x:v>
      </x:c>
      <x:c r="J11" s="12" t="str"/>
      <x:c r="K11" s="12" t="str">
        <x:v>https://wikiwiki.jp/poke-unite/%E3%82%B2%E3%83%83%E3%82%B3%E3%82%A6%E3%82%AC</x:v>
      </x:c>
      <x:c r="L11" s="12" t="str">
        <x:v>https://www.pokemonunite.jp/pokemon/</x:v>
      </x:c>
      <x:c r="M11" s="12" t="str">
        <x:v>https://uniteapi.dev/jp/meta</x:v>
      </x:c>
    </x:row>
    <x:row r="12">
      <x:c r="A12" s="12" t="n">
        <x:v>11</x:v>
      </x:c>
      <x:c r="B12" s="12" t="str">
        <x:v>サンダー</x:v>
      </x:c>
      <x:c r="C12" s="12" t="str">
        <x:v>アタック型</x:v>
      </x:c>
      <x:c r="D12" s="12" t="str">
        <x:v>BurstMage</x:v>
      </x:c>
      <x:c r="E12" s="12" t="str"/>
      <x:c r="F12" s="12" t="str">
        <x:v>No</x:v>
      </x:c>
      <x:c r="G12" s="12" t="n">
        <x:v>1</x:v>
      </x:c>
      <x:c r="H12" s="12" t="str">
        <x:v>中</x:v>
      </x:c>
      <x:c r="I12" s="12" t="str">
        <x:v>2026-09-25</x:v>
      </x:c>
      <x:c r="J12" s="12" t="str"/>
      <x:c r="K12" s="12" t="str">
        <x:v>https://wikiwiki.jp/poke-unite/%E3%82%B5%E3%83%B3%E3%83%80%E3%83%BC</x:v>
      </x:c>
      <x:c r="L12" s="12" t="str">
        <x:v>https://www.pokemonunite.jp/pokemon/</x:v>
      </x:c>
      <x:c r="M12" s="12" t="str">
        <x:v>https://uniteapi.dev/jp/meta</x:v>
      </x:c>
    </x:row>
    <x:row r="13">
      <x:c r="A13" s="12" t="n">
        <x:v>12</x:v>
      </x:c>
      <x:c r="B13" s="12" t="str">
        <x:v>サーナイト</x:v>
      </x:c>
      <x:c r="C13" s="12" t="str">
        <x:v>アタック型</x:v>
      </x:c>
      <x:c r="D13" s="12" t="str">
        <x:v>BurstMage</x:v>
      </x:c>
      <x:c r="E13" s="12" t="str"/>
      <x:c r="F13" s="12" t="str">
        <x:v>No</x:v>
      </x:c>
      <x:c r="G13" s="12" t="n">
        <x:v>1</x:v>
      </x:c>
      <x:c r="H13" s="12" t="str">
        <x:v>高</x:v>
      </x:c>
      <x:c r="I13" s="12" t="str">
        <x:v>2026-09-25</x:v>
      </x:c>
      <x:c r="J13" s="12" t="str"/>
      <x:c r="K13" s="12" t="str">
        <x:v>https://wikiwiki.jp/poke-unite/%E3%82%B5%E3%83%BC%E3%83%8A%E3%82%A4%E3%83%88</x:v>
      </x:c>
      <x:c r="L13" s="12" t="str">
        <x:v>https://www.pokemonunite.jp/pokemon/</x:v>
      </x:c>
      <x:c r="M13" s="12" t="str">
        <x:v>https://uniteapi.dev/jp/meta</x:v>
      </x:c>
    </x:row>
    <x:row r="14">
      <x:c r="A14" s="12" t="n">
        <x:v>13</x:v>
      </x:c>
      <x:c r="B14" s="12" t="str">
        <x:v>シャンデラ</x:v>
      </x:c>
      <x:c r="C14" s="12" t="str">
        <x:v>アタック型</x:v>
      </x:c>
      <x:c r="D14" s="12" t="str">
        <x:v>BurstMage</x:v>
      </x:c>
      <x:c r="E14" s="12" t="str"/>
      <x:c r="F14" s="12" t="str">
        <x:v>No</x:v>
      </x:c>
      <x:c r="G14" s="12" t="n">
        <x:v>1</x:v>
      </x:c>
      <x:c r="H14" s="12" t="str">
        <x:v>高</x:v>
      </x:c>
      <x:c r="I14" s="12" t="str">
        <x:v>2026-09-25</x:v>
      </x:c>
      <x:c r="J14" s="12" t="str"/>
      <x:c r="K14" s="12" t="str">
        <x:v>https://wikiwiki.jp/poke-unite/%E3%82%B7%E3%83%A3%E3%83%B3%E3%83%87%E3%83%A9</x:v>
      </x:c>
      <x:c r="L14" s="12" t="str">
        <x:v>https://www.pokemonunite.jp/pokemon/</x:v>
      </x:c>
      <x:c r="M14" s="12" t="str">
        <x:v>https://uniteapi.dev/jp/meta</x:v>
      </x:c>
    </x:row>
    <x:row r="15">
      <x:c r="A15" s="12" t="n">
        <x:v>14</x:v>
      </x:c>
      <x:c r="B15" s="12" t="str">
        <x:v>ジュナイパー</x:v>
      </x:c>
      <x:c r="C15" s="12" t="str">
        <x:v>アタック型</x:v>
      </x:c>
      <x:c r="D15" s="12" t="str">
        <x:v>Marksman</x:v>
      </x:c>
      <x:c r="E15" s="12" t="str">
        <x:v>Artillery</x:v>
      </x:c>
      <x:c r="F15" s="12" t="str">
        <x:v>Yes</x:v>
      </x:c>
      <x:c r="G15" s="12" t="n">
        <x:v>2</x:v>
      </x:c>
      <x:c r="H15" s="12" t="str">
        <x:v>高</x:v>
      </x:c>
      <x:c r="I15" s="12" t="str">
        <x:v>2026-09-25</x:v>
      </x:c>
      <x:c r="J15" s="12" t="str"/>
      <x:c r="K15" s="12" t="str">
        <x:v>https://wikiwiki.jp/poke-unite/%E3%82%B8%E3%83%A5%E3%83%8A%E3%82%A4%E3%83%91%E3%83%BC</x:v>
      </x:c>
      <x:c r="L15" s="12" t="str">
        <x:v>https://www.pokemonunite.jp/pokemon/</x:v>
      </x:c>
      <x:c r="M15" s="12" t="str">
        <x:v>https://uniteapi.dev/jp/meta</x:v>
      </x:c>
    </x:row>
    <x:row r="16">
      <x:c r="A16" s="12" t="n">
        <x:v>15</x:v>
      </x:c>
      <x:c r="B16" s="12" t="str">
        <x:v>ジュラルドン</x:v>
      </x:c>
      <x:c r="C16" s="12" t="str">
        <x:v>アタック型</x:v>
      </x:c>
      <x:c r="D16" s="12" t="str">
        <x:v>Marksman</x:v>
      </x:c>
      <x:c r="E16" s="12" t="str"/>
      <x:c r="F16" s="12" t="str">
        <x:v>Yes</x:v>
      </x:c>
      <x:c r="G16" s="12" t="n">
        <x:v>2</x:v>
      </x:c>
      <x:c r="H16" s="12" t="str">
        <x:v>高</x:v>
      </x:c>
      <x:c r="I16" s="12" t="str">
        <x:v>2026-09-25</x:v>
      </x:c>
      <x:c r="J16" s="12" t="str"/>
      <x:c r="K16" s="12" t="str">
        <x:v>https://wikiwiki.jp/poke-unite/%E3%82%B8%E3%83%A5%E3%83%A9%E3%83%AB%E3%83%89%E3%83%B3</x:v>
      </x:c>
      <x:c r="L16" s="12" t="str">
        <x:v>https://www.pokemonunite.jp/pokemon/</x:v>
      </x:c>
      <x:c r="M16" s="12" t="str">
        <x:v>https://uniteapi.dev/jp/meta</x:v>
      </x:c>
    </x:row>
    <x:row r="17">
      <x:c r="A17" s="12" t="n">
        <x:v>16</x:v>
      </x:c>
      <x:c r="B17" s="12" t="str">
        <x:v>ドラパルト</x:v>
      </x:c>
      <x:c r="C17" s="12" t="str">
        <x:v>アタック型</x:v>
      </x:c>
      <x:c r="D17" s="12" t="str">
        <x:v>Marksman</x:v>
      </x:c>
      <x:c r="E17" s="12" t="str">
        <x:v>Assassin</x:v>
      </x:c>
      <x:c r="F17" s="12" t="str">
        <x:v>Yes</x:v>
      </x:c>
      <x:c r="G17" s="12" t="n">
        <x:v>2</x:v>
      </x:c>
      <x:c r="H17" s="12" t="str">
        <x:v>高</x:v>
      </x:c>
      <x:c r="I17" s="12" t="str">
        <x:v>2026-09-25</x:v>
      </x:c>
      <x:c r="J17" s="12" t="str"/>
      <x:c r="K17" s="12" t="str">
        <x:v>https://wikiwiki.jp/poke-unite/%E3%83%89%E3%83%A9%E3%83%91%E3%83%AB%E3%83%88</x:v>
      </x:c>
      <x:c r="L17" s="12" t="str">
        <x:v>https://www.pokemonunite.jp/pokemon/</x:v>
      </x:c>
      <x:c r="M17" s="12" t="str">
        <x:v>https://uniteapi.dev/jp/meta</x:v>
      </x:c>
    </x:row>
    <x:row r="18">
      <x:c r="A18" s="12" t="n">
        <x:v>17</x:v>
      </x:c>
      <x:c r="B18" s="12" t="str">
        <x:v>ニンフィア</x:v>
      </x:c>
      <x:c r="C18" s="12" t="str">
        <x:v>アタック型</x:v>
      </x:c>
      <x:c r="D18" s="12" t="str">
        <x:v>BattleMage</x:v>
      </x:c>
      <x:c r="E18" s="12" t="str"/>
      <x:c r="F18" s="12" t="str">
        <x:v>Yes</x:v>
      </x:c>
      <x:c r="G18" s="12" t="n">
        <x:v>2</x:v>
      </x:c>
      <x:c r="H18" s="12" t="str">
        <x:v>高</x:v>
      </x:c>
      <x:c r="I18" s="12" t="str">
        <x:v>2026-09-25</x:v>
      </x:c>
      <x:c r="J18" s="12" t="str"/>
      <x:c r="K18" s="12" t="str">
        <x:v>https://wikiwiki.jp/poke-unite/%E3%83%8B%E3%83%B3%E3%83%95%E3%82%A3%E3%82%A2</x:v>
      </x:c>
      <x:c r="L18" s="12" t="str">
        <x:v>https://www.pokemonunite.jp/pokemon/</x:v>
      </x:c>
      <x:c r="M18" s="12" t="str">
        <x:v>https://uniteapi.dev/jp/meta</x:v>
      </x:c>
    </x:row>
    <x:row r="19">
      <x:c r="A19" s="12" t="n">
        <x:v>18</x:v>
      </x:c>
      <x:c r="B19" s="12" t="str">
        <x:v>バクフーン</x:v>
      </x:c>
      <x:c r="C19" s="12" t="str">
        <x:v>アタック型</x:v>
      </x:c>
      <x:c r="D19" s="12" t="str">
        <x:v>Diver</x:v>
      </x:c>
      <x:c r="E19" s="12" t="str"/>
      <x:c r="F19" s="12" t="str">
        <x:v>No</x:v>
      </x:c>
      <x:c r="G19" s="12" t="n">
        <x:v>1</x:v>
      </x:c>
      <x:c r="H19" s="12" t="str">
        <x:v>中</x:v>
      </x:c>
      <x:c r="I19" s="12" t="str">
        <x:v>2026-09-25</x:v>
      </x:c>
      <x:c r="J19" s="12" t="str"/>
      <x:c r="K19" s="12" t="str">
        <x:v>https://wikiwiki.jp/poke-unite/%E3%83%90%E3%82%AF%E3%83%95%E3%83%BC%E3%83%B3</x:v>
      </x:c>
      <x:c r="L19" s="12" t="str">
        <x:v>https://www.pokemonunite.jp/pokemon/</x:v>
      </x:c>
      <x:c r="M19" s="12" t="str">
        <x:v>https://uniteapi.dev/jp/meta</x:v>
      </x:c>
    </x:row>
    <x:row r="20">
      <x:c r="A20" s="12" t="n">
        <x:v>19</x:v>
      </x:c>
      <x:c r="B20" s="12" t="str">
        <x:v>ピカチュウ</x:v>
      </x:c>
      <x:c r="C20" s="12" t="str">
        <x:v>アタック型</x:v>
      </x:c>
      <x:c r="D20" s="12" t="str">
        <x:v>BurstMage</x:v>
      </x:c>
      <x:c r="E20" s="12" t="str"/>
      <x:c r="F20" s="12" t="str">
        <x:v>Yes</x:v>
      </x:c>
      <x:c r="G20" s="12" t="n">
        <x:v>2</x:v>
      </x:c>
      <x:c r="H20" s="12" t="str">
        <x:v>高</x:v>
      </x:c>
      <x:c r="I20" s="12" t="str">
        <x:v>2026-09-25</x:v>
      </x:c>
      <x:c r="J20" s="12" t="str"/>
      <x:c r="K20" s="12" t="str">
        <x:v>https://wikiwiki.jp/poke-unite/%E3%83%94%E3%82%AB%E3%83%81%E3%83%A5%E3%82%A6</x:v>
      </x:c>
      <x:c r="L20" s="12" t="str">
        <x:v>https://www.pokemonunite.jp/pokemon/</x:v>
      </x:c>
      <x:c r="M20" s="12" t="str">
        <x:v>https://uniteapi.dev/jp/meta</x:v>
      </x:c>
    </x:row>
    <x:row r="21">
      <x:c r="A21" s="12" t="n">
        <x:v>20</x:v>
      </x:c>
      <x:c r="B21" s="12" t="str">
        <x:v>フシギバナ</x:v>
      </x:c>
      <x:c r="C21" s="12" t="str">
        <x:v>アタック型</x:v>
      </x:c>
      <x:c r="D21" s="12" t="str">
        <x:v>Artillery</x:v>
      </x:c>
      <x:c r="E21" s="12" t="str">
        <x:v>Juggernaut</x:v>
      </x:c>
      <x:c r="F21" s="12" t="str">
        <x:v>Yes</x:v>
      </x:c>
      <x:c r="G21" s="12" t="n">
        <x:v>2</x:v>
      </x:c>
      <x:c r="H21" s="12" t="str">
        <x:v>高</x:v>
      </x:c>
      <x:c r="I21" s="12" t="str">
        <x:v>2026-09-25</x:v>
      </x:c>
      <x:c r="J21" s="12" t="str"/>
      <x:c r="K21" s="12" t="str">
        <x:v>https://wikiwiki.jp/poke-unite/%E3%83%95%E3%82%B7%E3%82%AE%E3%83%90%E3%83%8A</x:v>
      </x:c>
      <x:c r="L21" s="12" t="str">
        <x:v>https://www.pokemonunite.jp/pokemon/</x:v>
      </x:c>
      <x:c r="M21" s="12" t="str">
        <x:v>https://uniteapi.dev/jp/meta</x:v>
      </x:c>
    </x:row>
    <x:row r="22">
      <x:c r="A22" s="12" t="n">
        <x:v>21</x:v>
      </x:c>
      <x:c r="B22" s="12" t="str">
        <x:v>マフォクシー</x:v>
      </x:c>
      <x:c r="C22" s="12" t="str">
        <x:v>アタック型</x:v>
      </x:c>
      <x:c r="D22" s="12" t="str">
        <x:v>BurstMage</x:v>
      </x:c>
      <x:c r="E22" s="12" t="str">
        <x:v>BattleMage</x:v>
      </x:c>
      <x:c r="F22" s="12" t="str">
        <x:v>Yes</x:v>
      </x:c>
      <x:c r="G22" s="12" t="n">
        <x:v>2</x:v>
      </x:c>
      <x:c r="H22" s="12" t="str">
        <x:v>高</x:v>
      </x:c>
      <x:c r="I22" s="12" t="str">
        <x:v>2026-09-25</x:v>
      </x:c>
      <x:c r="J22" s="12" t="str"/>
      <x:c r="K22" s="12" t="str">
        <x:v>https://wikiwiki.jp/poke-unite/%E3%83%9E%E3%83%95%E3%82%A9%E3%82%AF%E3%82%B7%E3%83%BC</x:v>
      </x:c>
      <x:c r="L22" s="12" t="str">
        <x:v>https://www.pokemonunite.jp/pokemon/</x:v>
      </x:c>
      <x:c r="M22" s="12" t="str">
        <x:v>https://uniteapi.dev/jp/meta</x:v>
      </x:c>
    </x:row>
    <x:row r="23">
      <x:c r="A23" s="12" t="n">
        <x:v>22</x:v>
      </x:c>
      <x:c r="B23" s="12" t="str">
        <x:v>ミュウ</x:v>
      </x:c>
      <x:c r="C23" s="12" t="str">
        <x:v>アタック型</x:v>
      </x:c>
      <x:c r="D23" s="12" t="str">
        <x:v>Specialist</x:v>
      </x:c>
      <x:c r="E23" s="12" t="str">
        <x:v>Artillery</x:v>
      </x:c>
      <x:c r="F23" s="12" t="str">
        <x:v>No</x:v>
      </x:c>
      <x:c r="G23" s="12" t="n">
        <x:v>1</x:v>
      </x:c>
      <x:c r="H23" s="12" t="str">
        <x:v>高</x:v>
      </x:c>
      <x:c r="I23" s="12" t="str">
        <x:v>2026-09-25</x:v>
      </x:c>
      <x:c r="J23" s="12" t="str"/>
      <x:c r="K23" s="12" t="str">
        <x:v>https://wikiwiki.jp/poke-unite/%E3%83%9F%E3%83%A5%E3%82%A6</x:v>
      </x:c>
      <x:c r="L23" s="12" t="str">
        <x:v>https://www.pokemonunite.jp/pokemon/</x:v>
      </x:c>
      <x:c r="M23" s="12" t="str">
        <x:v>https://uniteapi.dev/jp/meta</x:v>
      </x:c>
    </x:row>
    <x:row r="24">
      <x:c r="A24" s="12" t="n">
        <x:v>23</x:v>
      </x:c>
      <x:c r="B24" s="12" t="str">
        <x:v>ミュウツー(Y)</x:v>
      </x:c>
      <x:c r="C24" s="12" t="str">
        <x:v>アタック型</x:v>
      </x:c>
      <x:c r="D24" s="12" t="str">
        <x:v>Marksman</x:v>
      </x:c>
      <x:c r="E24" s="12" t="str">
        <x:v>BattleMage</x:v>
      </x:c>
      <x:c r="F24" s="12" t="str">
        <x:v>No</x:v>
      </x:c>
      <x:c r="G24" s="12" t="n">
        <x:v>1</x:v>
      </x:c>
      <x:c r="H24" s="12" t="str">
        <x:v>高</x:v>
      </x:c>
      <x:c r="I24" s="12" t="str">
        <x:v>2026-09-25</x:v>
      </x:c>
      <x:c r="J24" s="12" t="str"/>
      <x:c r="K24" s="12" t="str">
        <x:v>https://wikiwiki.jp/poke-unite/%E3%83%9F%E3%83%A5%E3%82%A6%E3%83%84%E3%83%BC(Y)</x:v>
      </x:c>
      <x:c r="L24" s="12" t="str">
        <x:v>https://www.pokemonunite.jp/pokemon/</x:v>
      </x:c>
      <x:c r="M24" s="12" t="str">
        <x:v>https://uniteapi.dev/jp/meta</x:v>
      </x:c>
    </x:row>
    <x:row r="25">
      <x:c r="A25" s="12" t="n">
        <x:v>24</x:v>
      </x:c>
      <x:c r="B25" s="12" t="str">
        <x:v>ミライドン</x:v>
      </x:c>
      <x:c r="C25" s="12" t="str">
        <x:v>アタック型</x:v>
      </x:c>
      <x:c r="D25" s="12" t="str">
        <x:v>Artillery</x:v>
      </x:c>
      <x:c r="E25" s="12" t="str">
        <x:v>Skirmisher</x:v>
      </x:c>
      <x:c r="F25" s="12" t="str">
        <x:v>Yes</x:v>
      </x:c>
      <x:c r="G25" s="12" t="n">
        <x:v>2</x:v>
      </x:c>
      <x:c r="H25" s="12" t="str">
        <x:v>高</x:v>
      </x:c>
      <x:c r="I25" s="12" t="str">
        <x:v>2026-09-25</x:v>
      </x:c>
      <x:c r="J25" s="12" t="str"/>
      <x:c r="K25" s="12" t="str">
        <x:v>https://wikiwiki.jp/poke-unite/%E3%83%9F%E3%83%A9%E3%82%A4%E3%83%89%E3%83%B3</x:v>
      </x:c>
      <x:c r="L25" s="12" t="str">
        <x:v>https://www.pokemonunite.jp/pokemon/</x:v>
      </x:c>
      <x:c r="M25" s="12" t="str">
        <x:v>https://uniteapi.dev/jp/meta</x:v>
      </x:c>
    </x:row>
    <x:row r="26">
      <x:c r="A26" s="12" t="n">
        <x:v>25</x:v>
      </x:c>
      <x:c r="B26" s="12" t="str">
        <x:v>ラウドボーン</x:v>
      </x:c>
      <x:c r="C26" s="12" t="str">
        <x:v>アタック型</x:v>
      </x:c>
      <x:c r="D26" s="12" t="str">
        <x:v>Artillery</x:v>
      </x:c>
      <x:c r="E26" s="12" t="str"/>
      <x:c r="F26" s="12" t="str">
        <x:v>No</x:v>
      </x:c>
      <x:c r="G26" s="12" t="n">
        <x:v>1</x:v>
      </x:c>
      <x:c r="H26" s="12" t="str">
        <x:v>中</x:v>
      </x:c>
      <x:c r="I26" s="12" t="str">
        <x:v>2026-09-25</x:v>
      </x:c>
      <x:c r="J26" s="12" t="str"/>
      <x:c r="K26" s="12" t="str">
        <x:v>https://wikiwiki.jp/poke-unite/%E3%83%A9%E3%82%A6%E3%83%89%E3%83%9C%E3%83%BC%E3%83%B3</x:v>
      </x:c>
      <x:c r="L26" s="12" t="str">
        <x:v>https://www.pokemonunite.jp/pokemon/</x:v>
      </x:c>
      <x:c r="M26" s="12" t="str">
        <x:v>https://uniteapi.dev/jp/meta</x:v>
      </x:c>
    </x:row>
    <x:row r="27">
      <x:c r="A27" s="12" t="n">
        <x:v>26</x:v>
      </x:c>
      <x:c r="B27" s="12" t="str">
        <x:v>ラティオス</x:v>
      </x:c>
      <x:c r="C27" s="12" t="str">
        <x:v>アタック型</x:v>
      </x:c>
      <x:c r="D27" s="12" t="str">
        <x:v>BurstMage</x:v>
      </x:c>
      <x:c r="E27" s="12" t="str"/>
      <x:c r="F27" s="12" t="str">
        <x:v>No</x:v>
      </x:c>
      <x:c r="G27" s="12" t="n">
        <x:v>1</x:v>
      </x:c>
      <x:c r="H27" s="12" t="str">
        <x:v>高</x:v>
      </x:c>
      <x:c r="I27" s="12" t="str">
        <x:v>2026-09-25</x:v>
      </x:c>
      <x:c r="J27" s="12" t="str"/>
      <x:c r="K27" s="12" t="str">
        <x:v>https://wikiwiki.jp/poke-unite/%E3%83%A9%E3%83%86%E3%82%A3%E3%82%AA%E3%82%B9</x:v>
      </x:c>
      <x:c r="L27" s="12" t="str">
        <x:v>https://www.pokemonunite.jp/pokemon/</x:v>
      </x:c>
      <x:c r="M27" s="12" t="str">
        <x:v>https://uniteapi.dev/jp/meta</x:v>
      </x:c>
    </x:row>
    <x:row r="28">
      <x:c r="A28" s="12" t="n">
        <x:v>27</x:v>
      </x:c>
      <x:c r="B28" s="12" t="str">
        <x:v>レシラム</x:v>
      </x:c>
      <x:c r="C28" s="12" t="str">
        <x:v>アタック型</x:v>
      </x:c>
      <x:c r="D28" s="12" t="str">
        <x:v>BattleMage</x:v>
      </x:c>
      <x:c r="E28" s="12" t="str"/>
      <x:c r="F28" s="12" t="str">
        <x:v>No</x:v>
      </x:c>
      <x:c r="G28" s="12" t="n">
        <x:v>1</x:v>
      </x:c>
      <x:c r="H28" s="12" t="str">
        <x:v>低</x:v>
      </x:c>
      <x:c r="I28" s="12" t="str">
        <x:v>2026-09-25</x:v>
      </x:c>
      <x:c r="J28" s="12" t="str"/>
      <x:c r="K28" s="12" t="str">
        <x:v>https://wikiwiki.jp/poke-unite/%E3%83%AC%E3%82%B7%E3%83%A9%E3%83%A0</x:v>
      </x:c>
      <x:c r="L28" s="12" t="str">
        <x:v>https://www.pokemonunite.jp/pokemon/</x:v>
      </x:c>
      <x:c r="M28" s="12" t="str">
        <x:v>https://uniteapi.dev/jp/meta</x:v>
      </x:c>
    </x:row>
    <x:row r="29">
      <x:c r="A29" s="12" t="n">
        <x:v>28</x:v>
      </x:c>
      <x:c r="B29" s="12" t="str">
        <x:v>ストリンダー</x:v>
      </x:c>
      <x:c r="C29" s="12" t="str">
        <x:v>アタック型</x:v>
      </x:c>
      <x:c r="D29" s="12" t="str">
        <x:v>Marksman</x:v>
      </x:c>
      <x:c r="E29" s="12" t="str">
        <x:v>BattleMage</x:v>
      </x:c>
      <x:c r="F29" s="12" t="str">
        <x:v>No</x:v>
      </x:c>
      <x:c r="G29" s="12" t="n">
        <x:v>1</x:v>
      </x:c>
      <x:c r="H29" s="12" t="str">
        <x:v>低</x:v>
      </x:c>
      <x:c r="I29" s="12" t="str">
        <x:v>2026-09-25</x:v>
      </x:c>
      <x:c r="J29" s="12" t="str">
        <x:v>9/24実装直後。暫定評価。</x:v>
      </x:c>
      <x:c r="K29" s="12" t="str">
        <x:v>https://www.pokemonunite.jp/ja/topics/news/20260924/</x:v>
      </x:c>
      <x:c r="L29" s="12" t="str">
        <x:v>https://www.pokemonunite.jp/pokemon/</x:v>
      </x:c>
      <x:c r="M29" s="12" t="str">
        <x:v>https://uniteapi.dev/jp/meta</x:v>
      </x:c>
    </x:row>
    <x:row r="30">
      <x:c r="A30" s="12" t="n">
        <x:v>29</x:v>
      </x:c>
      <x:c r="B30" s="12" t="str">
        <x:v>アマージョ</x:v>
      </x:c>
      <x:c r="C30" s="12" t="str">
        <x:v>バランス型</x:v>
      </x:c>
      <x:c r="D30" s="12" t="str">
        <x:v>Skirmisher</x:v>
      </x:c>
      <x:c r="E30" s="12" t="str"/>
      <x:c r="F30" s="12" t="str">
        <x:v>Yes</x:v>
      </x:c>
      <x:c r="G30" s="12" t="n">
        <x:v>2</x:v>
      </x:c>
      <x:c r="H30" s="12" t="str">
        <x:v>高</x:v>
      </x:c>
      <x:c r="I30" s="12" t="str">
        <x:v>2026-09-25</x:v>
      </x:c>
      <x:c r="J30" s="12" t="str"/>
      <x:c r="K30" s="12" t="str">
        <x:v>https://wikiwiki.jp/poke-unite/%E3%82%A2%E3%83%9E%E3%83%BC%E3%82%B8%E3%83%A7</x:v>
      </x:c>
      <x:c r="L30" s="12" t="str">
        <x:v>https://www.pokemonunite.jp/pokemon/</x:v>
      </x:c>
      <x:c r="M30" s="12" t="str">
        <x:v>https://uniteapi.dev/jp/meta</x:v>
      </x:c>
    </x:row>
    <x:row r="31">
      <x:c r="A31" s="12" t="n">
        <x:v>30</x:v>
      </x:c>
      <x:c r="B31" s="12" t="str">
        <x:v>ウェーニバル</x:v>
      </x:c>
      <x:c r="C31" s="12" t="str">
        <x:v>バランス型</x:v>
      </x:c>
      <x:c r="D31" s="12" t="str">
        <x:v>Skirmisher</x:v>
      </x:c>
      <x:c r="E31" s="12" t="str"/>
      <x:c r="F31" s="12" t="str">
        <x:v>No</x:v>
      </x:c>
      <x:c r="G31" s="12" t="n">
        <x:v>1</x:v>
      </x:c>
      <x:c r="H31" s="12" t="str">
        <x:v>中</x:v>
      </x:c>
      <x:c r="I31" s="12" t="str">
        <x:v>2026-09-25</x:v>
      </x:c>
      <x:c r="J31" s="12" t="str"/>
      <x:c r="K31" s="12" t="str">
        <x:v>https://wikiwiki.jp/poke-unite/%E3%82%A6%E3%82%A7%E3%83%BC%E3%83%8B%E3%83%90%E3%83%AB</x:v>
      </x:c>
      <x:c r="L31" s="12" t="str">
        <x:v>https://www.pokemonunite.jp/pokemon/</x:v>
      </x:c>
      <x:c r="M31" s="12" t="str">
        <x:v>https://uniteapi.dev/jp/meta</x:v>
      </x:c>
    </x:row>
    <x:row r="32">
      <x:c r="A32" s="12" t="n">
        <x:v>31</x:v>
      </x:c>
      <x:c r="B32" s="12" t="str">
        <x:v>ウーラオス</x:v>
      </x:c>
      <x:c r="C32" s="12" t="str">
        <x:v>バランス型</x:v>
      </x:c>
      <x:c r="D32" s="12" t="str">
        <x:v>Diver</x:v>
      </x:c>
      <x:c r="E32" s="12" t="str">
        <x:v>Skirmisher</x:v>
      </x:c>
      <x:c r="F32" s="12" t="str">
        <x:v>Yes</x:v>
      </x:c>
      <x:c r="G32" s="12" t="n">
        <x:v>2</x:v>
      </x:c>
      <x:c r="H32" s="12" t="str">
        <x:v>高</x:v>
      </x:c>
      <x:c r="I32" s="12" t="str">
        <x:v>2026-09-25</x:v>
      </x:c>
      <x:c r="J32" s="12" t="str"/>
      <x:c r="K32" s="12" t="str">
        <x:v>https://wikiwiki.jp/poke-unite/%E3%82%A6%E3%83%BC%E3%83%A9%E3%82%AA%E3%82%B9</x:v>
      </x:c>
      <x:c r="L32" s="12" t="str">
        <x:v>https://www.pokemonunite.jp/pokemon/</x:v>
      </x:c>
      <x:c r="M32" s="12" t="str">
        <x:v>https://uniteapi.dev/jp/meta</x:v>
      </x:c>
    </x:row>
    <x:row r="33">
      <x:c r="A33" s="12" t="n">
        <x:v>32</x:v>
      </x:c>
      <x:c r="B33" s="12" t="str">
        <x:v>エンペルト</x:v>
      </x:c>
      <x:c r="C33" s="12" t="str">
        <x:v>バランス型</x:v>
      </x:c>
      <x:c r="D33" s="12" t="str">
        <x:v>Juggernaut</x:v>
      </x:c>
      <x:c r="E33" s="12" t="str"/>
      <x:c r="F33" s="12" t="str">
        <x:v>No</x:v>
      </x:c>
      <x:c r="G33" s="12" t="n">
        <x:v>1</x:v>
      </x:c>
      <x:c r="H33" s="12" t="str">
        <x:v>高</x:v>
      </x:c>
      <x:c r="I33" s="12" t="str">
        <x:v>2026-09-25</x:v>
      </x:c>
      <x:c r="J33" s="12" t="str"/>
      <x:c r="K33" s="12" t="str">
        <x:v>https://wikiwiki.jp/poke-unite/%E3%82%A8%E3%83%B3%E3%83%9A%E3%83%AB%E3%83%88</x:v>
      </x:c>
      <x:c r="L33" s="12" t="str">
        <x:v>https://www.pokemonunite.jp/pokemon/</x:v>
      </x:c>
      <x:c r="M33" s="12" t="str">
        <x:v>https://uniteapi.dev/jp/meta</x:v>
      </x:c>
    </x:row>
    <x:row r="34">
      <x:c r="A34" s="12" t="n">
        <x:v>33</x:v>
      </x:c>
      <x:c r="B34" s="12" t="str">
        <x:v>オーダイル</x:v>
      </x:c>
      <x:c r="C34" s="12" t="str">
        <x:v>バランス型</x:v>
      </x:c>
      <x:c r="D34" s="12" t="str">
        <x:v>Diver</x:v>
      </x:c>
      <x:c r="E34" s="12" t="str"/>
      <x:c r="F34" s="12" t="str">
        <x:v>No</x:v>
      </x:c>
      <x:c r="G34" s="12" t="n">
        <x:v>1</x:v>
      </x:c>
      <x:c r="H34" s="12" t="str">
        <x:v>中</x:v>
      </x:c>
      <x:c r="I34" s="12" t="str">
        <x:v>2026-09-25</x:v>
      </x:c>
      <x:c r="J34" s="12" t="str"/>
      <x:c r="K34" s="12" t="str">
        <x:v>https://wikiwiki.jp/poke-unite/%E3%82%AA%E3%83%BC%E3%83%80%E3%82%A4%E3%83%AB</x:v>
      </x:c>
      <x:c r="L34" s="12" t="str">
        <x:v>https://www.pokemonunite.jp/pokemon/</x:v>
      </x:c>
      <x:c r="M34" s="12" t="str">
        <x:v>https://uniteapi.dev/jp/meta</x:v>
      </x:c>
    </x:row>
    <x:row r="35">
      <x:c r="A35" s="12" t="n">
        <x:v>34</x:v>
      </x:c>
      <x:c r="B35" s="12" t="str">
        <x:v>カイリキー</x:v>
      </x:c>
      <x:c r="C35" s="12" t="str">
        <x:v>バランス型</x:v>
      </x:c>
      <x:c r="D35" s="12" t="str">
        <x:v>Diver</x:v>
      </x:c>
      <x:c r="E35" s="12" t="str"/>
      <x:c r="F35" s="12" t="str">
        <x:v>No</x:v>
      </x:c>
      <x:c r="G35" s="12" t="n">
        <x:v>1</x:v>
      </x:c>
      <x:c r="H35" s="12" t="str">
        <x:v>高</x:v>
      </x:c>
      <x:c r="I35" s="12" t="str">
        <x:v>2026-09-25</x:v>
      </x:c>
      <x:c r="J35" s="12" t="str"/>
      <x:c r="K35" s="12" t="str">
        <x:v>https://wikiwiki.jp/poke-unite/%E3%82%AB%E3%82%A4%E3%83%AA%E3%82%AD%E3%83%BC</x:v>
      </x:c>
      <x:c r="L35" s="12" t="str">
        <x:v>https://www.pokemonunite.jp/pokemon/</x:v>
      </x:c>
      <x:c r="M35" s="12" t="str">
        <x:v>https://uniteapi.dev/jp/meta</x:v>
      </x:c>
    </x:row>
    <x:row r="36">
      <x:c r="A36" s="12" t="n">
        <x:v>35</x:v>
      </x:c>
      <x:c r="B36" s="12" t="str">
        <x:v>カイリュー</x:v>
      </x:c>
      <x:c r="C36" s="12" t="str">
        <x:v>バランス型</x:v>
      </x:c>
      <x:c r="D36" s="12" t="str">
        <x:v>Marksman</x:v>
      </x:c>
      <x:c r="E36" s="12" t="str">
        <x:v>Juggernaut</x:v>
      </x:c>
      <x:c r="F36" s="12" t="str">
        <x:v>Yes</x:v>
      </x:c>
      <x:c r="G36" s="12" t="n">
        <x:v>2</x:v>
      </x:c>
      <x:c r="H36" s="12" t="str">
        <x:v>高</x:v>
      </x:c>
      <x:c r="I36" s="12" t="str">
        <x:v>2026-09-25</x:v>
      </x:c>
      <x:c r="J36" s="12" t="str"/>
      <x:c r="K36" s="12" t="str">
        <x:v>https://wikiwiki.jp/poke-unite/%E3%82%AB%E3%82%A4%E3%83%AA%E3%83%A5%E3%83%BC</x:v>
      </x:c>
      <x:c r="L36" s="12" t="str">
        <x:v>https://www.pokemonunite.jp/pokemon/</x:v>
      </x:c>
      <x:c r="M36" s="12" t="str">
        <x:v>https://uniteapi.dev/jp/meta</x:v>
      </x:c>
    </x:row>
    <x:row r="37">
      <x:c r="A37" s="12" t="n">
        <x:v>36</x:v>
      </x:c>
      <x:c r="B37" s="12" t="str">
        <x:v>ガブリアス</x:v>
      </x:c>
      <x:c r="C37" s="12" t="str">
        <x:v>バランス型</x:v>
      </x:c>
      <x:c r="D37" s="12" t="str">
        <x:v>Juggernaut</x:v>
      </x:c>
      <x:c r="E37" s="12" t="str"/>
      <x:c r="F37" s="12" t="str">
        <x:v>No</x:v>
      </x:c>
      <x:c r="G37" s="12" t="n">
        <x:v>1</x:v>
      </x:c>
      <x:c r="H37" s="12" t="str">
        <x:v>高</x:v>
      </x:c>
      <x:c r="I37" s="12" t="str">
        <x:v>2026-09-25</x:v>
      </x:c>
      <x:c r="J37" s="12" t="str"/>
      <x:c r="K37" s="12" t="str">
        <x:v>https://wikiwiki.jp/poke-unite/%E3%82%AC%E3%83%96%E3%83%AA%E3%82%A2%E3%82%B9</x:v>
      </x:c>
      <x:c r="L37" s="12" t="str">
        <x:v>https://www.pokemonunite.jp/pokemon/</x:v>
      </x:c>
      <x:c r="M37" s="12" t="str">
        <x:v>https://uniteapi.dev/jp/meta</x:v>
      </x:c>
    </x:row>
    <x:row r="38">
      <x:c r="A38" s="12" t="n">
        <x:v>37</x:v>
      </x:c>
      <x:c r="B38" s="12" t="str">
        <x:v>ギャラドス</x:v>
      </x:c>
      <x:c r="C38" s="12" t="str">
        <x:v>バランス型</x:v>
      </x:c>
      <x:c r="D38" s="12" t="str">
        <x:v>Diver</x:v>
      </x:c>
      <x:c r="E38" s="12" t="str"/>
      <x:c r="F38" s="12" t="str">
        <x:v>No</x:v>
      </x:c>
      <x:c r="G38" s="12" t="n">
        <x:v>1</x:v>
      </x:c>
      <x:c r="H38" s="12" t="str">
        <x:v>高</x:v>
      </x:c>
      <x:c r="I38" s="12" t="str">
        <x:v>2026-09-25</x:v>
      </x:c>
      <x:c r="J38" s="12" t="str"/>
      <x:c r="K38" s="12" t="str">
        <x:v>https://wikiwiki.jp/poke-unite/%E3%82%AE%E3%83%A3%E3%83%A9%E3%83%89%E3%82%B9</x:v>
      </x:c>
      <x:c r="L38" s="12" t="str">
        <x:v>https://www.pokemonunite.jp/pokemon/</x:v>
      </x:c>
      <x:c r="M38" s="12" t="str">
        <x:v>https://uniteapi.dev/jp/meta</x:v>
      </x:c>
    </x:row>
    <x:row r="39">
      <x:c r="A39" s="12" t="n">
        <x:v>38</x:v>
      </x:c>
      <x:c r="B39" s="12" t="str">
        <x:v>メガギャラドス</x:v>
      </x:c>
      <x:c r="C39" s="12" t="str">
        <x:v>バランス型</x:v>
      </x:c>
      <x:c r="D39" s="12" t="str">
        <x:v>Diver</x:v>
      </x:c>
      <x:c r="E39" s="12" t="str"/>
      <x:c r="F39" s="12" t="str">
        <x:v>No</x:v>
      </x:c>
      <x:c r="G39" s="12" t="n">
        <x:v>1</x:v>
      </x:c>
      <x:c r="H39" s="12" t="str">
        <x:v>中</x:v>
      </x:c>
      <x:c r="I39" s="12" t="str">
        <x:v>2026-09-25</x:v>
      </x:c>
      <x:c r="J39" s="12" t="str"/>
      <x:c r="K39" s="12" t="str">
        <x:v>https://wikiwiki.jp/poke-unite/%E3%83%A1%E3%82%AC%E3%82%AE%E3%83%A3%E3%83%A9%E3%83%89%E3%82%B9</x:v>
      </x:c>
      <x:c r="L39" s="12" t="str">
        <x:v>https://www.pokemonunite.jp/pokemon/</x:v>
      </x:c>
      <x:c r="M39" s="12" t="str">
        <x:v>https://uniteapi.dev/jp/meta</x:v>
      </x:c>
    </x:row>
    <x:row r="40">
      <x:c r="A40" s="12" t="n">
        <x:v>39</x:v>
      </x:c>
      <x:c r="B40" s="12" t="str">
        <x:v>ギルガルド</x:v>
      </x:c>
      <x:c r="C40" s="12" t="str">
        <x:v>バランス型</x:v>
      </x:c>
      <x:c r="D40" s="12" t="str">
        <x:v>Skirmisher</x:v>
      </x:c>
      <x:c r="E40" s="12" t="str"/>
      <x:c r="F40" s="12" t="str">
        <x:v>No</x:v>
      </x:c>
      <x:c r="G40" s="12" t="n">
        <x:v>1</x:v>
      </x:c>
      <x:c r="H40" s="12" t="str">
        <x:v>高</x:v>
      </x:c>
      <x:c r="I40" s="12" t="str">
        <x:v>2026-09-25</x:v>
      </x:c>
      <x:c r="J40" s="12" t="str"/>
      <x:c r="K40" s="12" t="str">
        <x:v>https://wikiwiki.jp/poke-unite/%E3%82%AE%E3%83%AB%E3%82%AC%E3%83%AB%E3%83%89</x:v>
      </x:c>
      <x:c r="L40" s="12" t="str">
        <x:v>https://www.pokemonunite.jp/pokemon/</x:v>
      </x:c>
      <x:c r="M40" s="12" t="str">
        <x:v>https://uniteapi.dev/jp/meta</x:v>
      </x:c>
    </x:row>
    <x:row r="41">
      <x:c r="A41" s="12" t="n">
        <x:v>40</x:v>
      </x:c>
      <x:c r="B41" s="12" t="str">
        <x:v>ザシアン</x:v>
      </x:c>
      <x:c r="C41" s="12" t="str">
        <x:v>バランス型</x:v>
      </x:c>
      <x:c r="D41" s="12" t="str">
        <x:v>Skirmisher</x:v>
      </x:c>
      <x:c r="E41" s="12" t="str"/>
      <x:c r="F41" s="12" t="str">
        <x:v>No</x:v>
      </x:c>
      <x:c r="G41" s="12" t="n">
        <x:v>1</x:v>
      </x:c>
      <x:c r="H41" s="12" t="str">
        <x:v>高</x:v>
      </x:c>
      <x:c r="I41" s="12" t="str">
        <x:v>2026-09-25</x:v>
      </x:c>
      <x:c r="J41" s="12" t="str"/>
      <x:c r="K41" s="12" t="str">
        <x:v>https://wikiwiki.jp/poke-unite/%E3%82%B6%E3%82%B7%E3%82%A2%E3%83%B3</x:v>
      </x:c>
      <x:c r="L41" s="12" t="str">
        <x:v>https://www.pokemonunite.jp/pokemon/</x:v>
      </x:c>
      <x:c r="M41" s="12" t="str">
        <x:v>https://uniteapi.dev/jp/meta</x:v>
      </x:c>
    </x:row>
    <x:row r="42">
      <x:c r="A42" s="12" t="n">
        <x:v>41</x:v>
      </x:c>
      <x:c r="B42" s="12" t="str">
        <x:v>スイクン</x:v>
      </x:c>
      <x:c r="C42" s="12" t="str">
        <x:v>バランス型</x:v>
      </x:c>
      <x:c r="D42" s="12" t="str">
        <x:v>BurstMage</x:v>
      </x:c>
      <x:c r="E42" s="12" t="str"/>
      <x:c r="F42" s="12" t="str">
        <x:v>No</x:v>
      </x:c>
      <x:c r="G42" s="12" t="n">
        <x:v>1</x:v>
      </x:c>
      <x:c r="H42" s="12" t="str">
        <x:v>高</x:v>
      </x:c>
      <x:c r="I42" s="12" t="str">
        <x:v>2026-09-25</x:v>
      </x:c>
      <x:c r="J42" s="12" t="str"/>
      <x:c r="K42" s="12" t="str">
        <x:v>https://wikiwiki.jp/poke-unite/%E3%82%B9%E3%82%A4%E3%82%AF%E3%83%B3</x:v>
      </x:c>
      <x:c r="L42" s="12" t="str">
        <x:v>https://www.pokemonunite.jp/pokemon/</x:v>
      </x:c>
      <x:c r="M42" s="12" t="str">
        <x:v>https://uniteapi.dev/jp/meta</x:v>
      </x:c>
    </x:row>
    <x:row r="43">
      <x:c r="A43" s="12" t="n">
        <x:v>42</x:v>
      </x:c>
      <x:c r="B43" s="12" t="str">
        <x:v>ソウブレイズ</x:v>
      </x:c>
      <x:c r="C43" s="12" t="str">
        <x:v>バランス型</x:v>
      </x:c>
      <x:c r="D43" s="12" t="str">
        <x:v>Skirmisher</x:v>
      </x:c>
      <x:c r="E43" s="12" t="str"/>
      <x:c r="F43" s="12" t="str">
        <x:v>No</x:v>
      </x:c>
      <x:c r="G43" s="12" t="n">
        <x:v>1</x:v>
      </x:c>
      <x:c r="H43" s="12" t="str">
        <x:v>高</x:v>
      </x:c>
      <x:c r="I43" s="12" t="str">
        <x:v>2026-09-25</x:v>
      </x:c>
      <x:c r="J43" s="12" t="str"/>
      <x:c r="K43" s="12" t="str">
        <x:v>https://wikiwiki.jp/poke-unite/%E3%82%BD%E3%82%A6%E3%83%96%E3%83%AC%E3%82%A4%E3%82%BA</x:v>
      </x:c>
      <x:c r="L43" s="12" t="str">
        <x:v>https://www.pokemonunite.jp/pokemon/</x:v>
      </x:c>
      <x:c r="M43" s="12" t="str">
        <x:v>https://uniteapi.dev/jp/meta</x:v>
      </x:c>
    </x:row>
    <x:row r="44">
      <x:c r="A44" s="12" t="n">
        <x:v>43</x:v>
      </x:c>
      <x:c r="B44" s="12" t="str">
        <x:v>ソルガレオ</x:v>
      </x:c>
      <x:c r="C44" s="12" t="str">
        <x:v>バランス型</x:v>
      </x:c>
      <x:c r="D44" s="12" t="str">
        <x:v>Juggernaut</x:v>
      </x:c>
      <x:c r="E44" s="12" t="str"/>
      <x:c r="F44" s="12" t="str">
        <x:v>No</x:v>
      </x:c>
      <x:c r="G44" s="12" t="n">
        <x:v>1</x:v>
      </x:c>
      <x:c r="H44" s="12" t="str">
        <x:v>低</x:v>
      </x:c>
      <x:c r="I44" s="12" t="str">
        <x:v>2026-09-25</x:v>
      </x:c>
      <x:c r="J44" s="12" t="str"/>
      <x:c r="K44" s="12" t="str">
        <x:v>https://wikiwiki.jp/poke-unite/%E3%82%BD%E3%83%AB%E3%82%AC%E3%83%AC%E3%82%AA</x:v>
      </x:c>
      <x:c r="L44" s="12" t="str">
        <x:v>https://www.pokemonunite.jp/pokemon/</x:v>
      </x:c>
      <x:c r="M44" s="12" t="str">
        <x:v>https://uniteapi.dev/jp/meta</x:v>
      </x:c>
    </x:row>
    <x:row r="45">
      <x:c r="A45" s="12" t="n">
        <x:v>44</x:v>
      </x:c>
      <x:c r="B45" s="12" t="str">
        <x:v>タイレーツ</x:v>
      </x:c>
      <x:c r="C45" s="12" t="str">
        <x:v>バランス型</x:v>
      </x:c>
      <x:c r="D45" s="12" t="str">
        <x:v>Juggernaut</x:v>
      </x:c>
      <x:c r="E45" s="12" t="str">
        <x:v>Diver</x:v>
      </x:c>
      <x:c r="F45" s="12" t="str">
        <x:v>Yes</x:v>
      </x:c>
      <x:c r="G45" s="12" t="n">
        <x:v>2</x:v>
      </x:c>
      <x:c r="H45" s="12" t="str">
        <x:v>高</x:v>
      </x:c>
      <x:c r="I45" s="12" t="str">
        <x:v>2026-09-25</x:v>
      </x:c>
      <x:c r="J45" s="12" t="str"/>
      <x:c r="K45" s="12" t="str">
        <x:v>https://wikiwiki.jp/poke-unite/%E3%82%BF%E3%82%A4%E3%83%AC%E3%83%BC%E3%83%84</x:v>
      </x:c>
      <x:c r="L45" s="12" t="str">
        <x:v>https://www.pokemonunite.jp/pokemon/</x:v>
      </x:c>
      <x:c r="M45" s="12" t="str">
        <x:v>https://uniteapi.dev/jp/meta</x:v>
      </x:c>
    </x:row>
    <x:row r="46">
      <x:c r="A46" s="12" t="n">
        <x:v>45</x:v>
      </x:c>
      <x:c r="B46" s="12" t="str">
        <x:v>ダダリン</x:v>
      </x:c>
      <x:c r="C46" s="12" t="str">
        <x:v>バランス型</x:v>
      </x:c>
      <x:c r="D46" s="12" t="str">
        <x:v>Catcher</x:v>
      </x:c>
      <x:c r="E46" s="12" t="str"/>
      <x:c r="F46" s="12" t="str">
        <x:v>No</x:v>
      </x:c>
      <x:c r="G46" s="12" t="n">
        <x:v>1</x:v>
      </x:c>
      <x:c r="H46" s="12" t="str">
        <x:v>高</x:v>
      </x:c>
      <x:c r="I46" s="12" t="str">
        <x:v>2026-09-25</x:v>
      </x:c>
      <x:c r="J46" s="12" t="str"/>
      <x:c r="K46" s="12" t="str">
        <x:v>https://wikiwiki.jp/poke-unite/%E3%83%80%E3%83%80%E3%83%AA%E3%83%B3</x:v>
      </x:c>
      <x:c r="L46" s="12" t="str">
        <x:v>https://www.pokemonunite.jp/pokemon/</x:v>
      </x:c>
      <x:c r="M46" s="12" t="str">
        <x:v>https://uniteapi.dev/jp/meta</x:v>
      </x:c>
    </x:row>
    <x:row r="47">
      <x:c r="A47" s="12" t="n">
        <x:v>46</x:v>
      </x:c>
      <x:c r="B47" s="12" t="str">
        <x:v>デカヌチャン</x:v>
      </x:c>
      <x:c r="C47" s="12" t="str">
        <x:v>バランス型</x:v>
      </x:c>
      <x:c r="D47" s="12" t="str">
        <x:v>Juggernaut</x:v>
      </x:c>
      <x:c r="E47" s="12" t="str"/>
      <x:c r="F47" s="12" t="str">
        <x:v>No</x:v>
      </x:c>
      <x:c r="G47" s="12" t="n">
        <x:v>1</x:v>
      </x:c>
      <x:c r="H47" s="12" t="str">
        <x:v>高</x:v>
      </x:c>
      <x:c r="I47" s="12" t="str">
        <x:v>2026-09-25</x:v>
      </x:c>
      <x:c r="J47" s="12" t="str"/>
      <x:c r="K47" s="12" t="str">
        <x:v>https://wikiwiki.jp/poke-unite/%E3%83%87%E3%82%AB%E3%83%8C%E3%83%81%E3%83%A3%E3%83%B3</x:v>
      </x:c>
      <x:c r="L47" s="12" t="str">
        <x:v>https://www.pokemonunite.jp/pokemon/</x:v>
      </x:c>
      <x:c r="M47" s="12" t="str">
        <x:v>https://uniteapi.dev/jp/meta</x:v>
      </x:c>
    </x:row>
    <x:row r="48">
      <x:c r="A48" s="12" t="n">
        <x:v>47</x:v>
      </x:c>
      <x:c r="B48" s="12" t="str">
        <x:v>ネギガナイト</x:v>
      </x:c>
      <x:c r="C48" s="12" t="str">
        <x:v>バランス型</x:v>
      </x:c>
      <x:c r="D48" s="12" t="str">
        <x:v>Diver</x:v>
      </x:c>
      <x:c r="E48" s="12" t="str"/>
      <x:c r="F48" s="12" t="str">
        <x:v>No</x:v>
      </x:c>
      <x:c r="G48" s="12" t="n">
        <x:v>1</x:v>
      </x:c>
      <x:c r="H48" s="12" t="str">
        <x:v>高</x:v>
      </x:c>
      <x:c r="I48" s="12" t="str">
        <x:v>2026-09-25</x:v>
      </x:c>
      <x:c r="J48" s="12" t="str"/>
      <x:c r="K48" s="12" t="str">
        <x:v>https://wikiwiki.jp/poke-unite/%E3%83%8D%E3%82%AE%E3%82%AC%E3%83%8A%E3%82%A4%E3%83%88</x:v>
      </x:c>
      <x:c r="L48" s="12" t="str">
        <x:v>https://www.pokemonunite.jp/pokemon/</x:v>
      </x:c>
      <x:c r="M48" s="12" t="str">
        <x:v>https://uniteapi.dev/jp/meta</x:v>
      </x:c>
    </x:row>
    <x:row r="49">
      <x:c r="A49" s="12" t="n">
        <x:v>48</x:v>
      </x:c>
      <x:c r="B49" s="12" t="str">
        <x:v>ハッサム</x:v>
      </x:c>
      <x:c r="C49" s="12" t="str">
        <x:v>バランス型</x:v>
      </x:c>
      <x:c r="D49" s="12" t="str">
        <x:v>Skirmisher</x:v>
      </x:c>
      <x:c r="E49" s="12" t="str">
        <x:v>Assassin</x:v>
      </x:c>
      <x:c r="F49" s="12" t="str">
        <x:v>Yes</x:v>
      </x:c>
      <x:c r="G49" s="12" t="n">
        <x:v>2</x:v>
      </x:c>
      <x:c r="H49" s="12" t="str">
        <x:v>高</x:v>
      </x:c>
      <x:c r="I49" s="12" t="str">
        <x:v>2026-09-25</x:v>
      </x:c>
      <x:c r="J49" s="12" t="str"/>
      <x:c r="K49" s="12" t="str">
        <x:v>https://wikiwiki.jp/poke-unite/%E3%83%8F%E3%83%83%E3%82%B5%E3%83%A0</x:v>
      </x:c>
      <x:c r="L49" s="12" t="str">
        <x:v>https://www.pokemonunite.jp/pokemon/</x:v>
      </x:c>
      <x:c r="M49" s="12" t="str">
        <x:v>https://uniteapi.dev/jp/meta</x:v>
      </x:c>
    </x:row>
    <x:row r="50">
      <x:c r="A50" s="12" t="n">
        <x:v>49</x:v>
      </x:c>
      <x:c r="B50" s="12" t="str">
        <x:v>バシャーモ</x:v>
      </x:c>
      <x:c r="C50" s="12" t="str">
        <x:v>バランス型</x:v>
      </x:c>
      <x:c r="D50" s="12" t="str">
        <x:v>Diver</x:v>
      </x:c>
      <x:c r="E50" s="12" t="str"/>
      <x:c r="F50" s="12" t="str">
        <x:v>No</x:v>
      </x:c>
      <x:c r="G50" s="12" t="n">
        <x:v>1</x:v>
      </x:c>
      <x:c r="H50" s="12" t="str">
        <x:v>高</x:v>
      </x:c>
      <x:c r="I50" s="12" t="str">
        <x:v>2026-09-25</x:v>
      </x:c>
      <x:c r="J50" s="12" t="str"/>
      <x:c r="K50" s="12" t="str">
        <x:v>https://wikiwiki.jp/poke-unite/%E3%83%90%E3%82%B7%E3%83%A3%E3%83%BC%E3%83%A2</x:v>
      </x:c>
      <x:c r="L50" s="12" t="str">
        <x:v>https://www.pokemonunite.jp/pokemon/</x:v>
      </x:c>
      <x:c r="M50" s="12" t="str">
        <x:v>https://uniteapi.dev/jp/meta</x:v>
      </x:c>
    </x:row>
    <x:row r="51">
      <x:c r="A51" s="12" t="n">
        <x:v>50</x:v>
      </x:c>
      <x:c r="B51" s="12" t="str">
        <x:v>バンギラス</x:v>
      </x:c>
      <x:c r="C51" s="12" t="str">
        <x:v>バランス型</x:v>
      </x:c>
      <x:c r="D51" s="12" t="str">
        <x:v>Juggernaut</x:v>
      </x:c>
      <x:c r="E51" s="12" t="str"/>
      <x:c r="F51" s="12" t="str">
        <x:v>No</x:v>
      </x:c>
      <x:c r="G51" s="12" t="n">
        <x:v>1</x:v>
      </x:c>
      <x:c r="H51" s="12" t="str">
        <x:v>高</x:v>
      </x:c>
      <x:c r="I51" s="12" t="str">
        <x:v>2026-09-25</x:v>
      </x:c>
      <x:c r="J51" s="12" t="str"/>
      <x:c r="K51" s="12" t="str">
        <x:v>https://wikiwiki.jp/poke-unite/%E3%83%90%E3%83%B3%E3%82%AE%E3%83%A9%E3%82%B9</x:v>
      </x:c>
      <x:c r="L51" s="12" t="str">
        <x:v>https://www.pokemonunite.jp/pokemon/</x:v>
      </x:c>
      <x:c r="M51" s="12" t="str">
        <x:v>https://uniteapi.dev/jp/meta</x:v>
      </x:c>
    </x:row>
    <x:row r="52">
      <x:c r="A52" s="12" t="n">
        <x:v>51</x:v>
      </x:c>
      <x:c r="B52" s="12" t="str">
        <x:v>パルキア</x:v>
      </x:c>
      <x:c r="C52" s="12" t="str">
        <x:v>バランス型</x:v>
      </x:c>
      <x:c r="D52" s="12" t="str">
        <x:v>Diver</x:v>
      </x:c>
      <x:c r="E52" s="12" t="str"/>
      <x:c r="F52" s="12" t="str">
        <x:v>No</x:v>
      </x:c>
      <x:c r="G52" s="12" t="n">
        <x:v>1</x:v>
      </x:c>
      <x:c r="H52" s="12" t="str">
        <x:v>中</x:v>
      </x:c>
      <x:c r="I52" s="12" t="str">
        <x:v>2026-09-25</x:v>
      </x:c>
      <x:c r="J52" s="12" t="str"/>
      <x:c r="K52" s="12" t="str">
        <x:v>https://wikiwiki.jp/poke-unite/%E3%83%91%E3%83%AB%E3%82%AD%E3%82%A2</x:v>
      </x:c>
      <x:c r="L52" s="12" t="str">
        <x:v>https://www.pokemonunite.jp/pokemon/</x:v>
      </x:c>
      <x:c r="M52" s="12" t="str">
        <x:v>https://uniteapi.dev/jp/meta</x:v>
      </x:c>
    </x:row>
    <x:row r="53">
      <x:c r="A53" s="12" t="n">
        <x:v>52</x:v>
      </x:c>
      <x:c r="B53" s="12" t="str">
        <x:v>パーモット</x:v>
      </x:c>
      <x:c r="C53" s="12" t="str">
        <x:v>バランス型</x:v>
      </x:c>
      <x:c r="D53" s="12" t="str">
        <x:v>Diver</x:v>
      </x:c>
      <x:c r="E53" s="12" t="str"/>
      <x:c r="F53" s="12" t="str">
        <x:v>No</x:v>
      </x:c>
      <x:c r="G53" s="12" t="n">
        <x:v>1</x:v>
      </x:c>
      <x:c r="H53" s="12" t="str">
        <x:v>高</x:v>
      </x:c>
      <x:c r="I53" s="12" t="str">
        <x:v>2026-09-25</x:v>
      </x:c>
      <x:c r="J53" s="12" t="str"/>
      <x:c r="K53" s="12" t="str">
        <x:v>https://wikiwiki.jp/poke-unite/%E3%83%91%E3%83%BC%E3%83%A2%E3%83%83%E3%83%88</x:v>
      </x:c>
      <x:c r="L53" s="12" t="str">
        <x:v>https://www.pokemonunite.jp/pokemon/</x:v>
      </x:c>
      <x:c r="M53" s="12" t="str">
        <x:v>https://uniteapi.dev/jp/meta</x:v>
      </x:c>
    </x:row>
    <x:row r="54">
      <x:c r="A54" s="12" t="n">
        <x:v>53</x:v>
      </x:c>
      <x:c r="B54" s="12" t="str">
        <x:v>ファイヤー</x:v>
      </x:c>
      <x:c r="C54" s="12" t="str">
        <x:v>バランス型</x:v>
      </x:c>
      <x:c r="D54" s="12" t="str">
        <x:v>Juggernaut</x:v>
      </x:c>
      <x:c r="E54" s="12" t="str"/>
      <x:c r="F54" s="12" t="str">
        <x:v>No</x:v>
      </x:c>
      <x:c r="G54" s="12" t="n">
        <x:v>1</x:v>
      </x:c>
      <x:c r="H54" s="12" t="str">
        <x:v>中</x:v>
      </x:c>
      <x:c r="I54" s="12" t="str">
        <x:v>2026-09-25</x:v>
      </x:c>
      <x:c r="J54" s="12" t="str"/>
      <x:c r="K54" s="12" t="str">
        <x:v>https://wikiwiki.jp/poke-unite/%E3%83%95%E3%82%A1%E3%82%A4%E3%83%A4%E3%83%BC</x:v>
      </x:c>
      <x:c r="L54" s="12" t="str">
        <x:v>https://www.pokemonunite.jp/pokemon/</x:v>
      </x:c>
      <x:c r="M54" s="12" t="str">
        <x:v>https://uniteapi.dev/jp/meta</x:v>
      </x:c>
    </x:row>
    <x:row r="55">
      <x:c r="A55" s="12" t="n">
        <x:v>54</x:v>
      </x:c>
      <x:c r="B55" s="12" t="str">
        <x:v>マッシブーン</x:v>
      </x:c>
      <x:c r="C55" s="12" t="str">
        <x:v>バランス型</x:v>
      </x:c>
      <x:c r="D55" s="12" t="str">
        <x:v>Catcher</x:v>
      </x:c>
      <x:c r="E55" s="12" t="str"/>
      <x:c r="F55" s="12" t="str">
        <x:v>No</x:v>
      </x:c>
      <x:c r="G55" s="12" t="n">
        <x:v>1</x:v>
      </x:c>
      <x:c r="H55" s="12" t="str">
        <x:v>高</x:v>
      </x:c>
      <x:c r="I55" s="12" t="str">
        <x:v>2026-09-25</x:v>
      </x:c>
      <x:c r="J55" s="12" t="str"/>
      <x:c r="K55" s="12" t="str">
        <x:v>https://wikiwiki.jp/poke-unite/%E3%83%9E%E3%83%83%E3%82%B7%E3%83%96%E3%83%BC%E3%83%B3</x:v>
      </x:c>
      <x:c r="L55" s="12" t="str">
        <x:v>https://www.pokemonunite.jp/pokemon/</x:v>
      </x:c>
      <x:c r="M55" s="12" t="str">
        <x:v>https://uniteapi.dev/jp/meta</x:v>
      </x:c>
    </x:row>
    <x:row r="56">
      <x:c r="A56" s="12" t="n">
        <x:v>55</x:v>
      </x:c>
      <x:c r="B56" s="12" t="str">
        <x:v>マリルリ</x:v>
      </x:c>
      <x:c r="C56" s="12" t="str">
        <x:v>バランス型</x:v>
      </x:c>
      <x:c r="D56" s="12" t="str">
        <x:v>Diver</x:v>
      </x:c>
      <x:c r="E56" s="12" t="str"/>
      <x:c r="F56" s="12" t="str">
        <x:v>No</x:v>
      </x:c>
      <x:c r="G56" s="12" t="n">
        <x:v>1</x:v>
      </x:c>
      <x:c r="H56" s="12" t="str">
        <x:v>高</x:v>
      </x:c>
      <x:c r="I56" s="12" t="str">
        <x:v>2026-09-25</x:v>
      </x:c>
      <x:c r="J56" s="12" t="str"/>
      <x:c r="K56" s="12" t="str">
        <x:v>https://wikiwiki.jp/poke-unite/%E3%83%9E%E3%83%AA%E3%83%AB%E3%83%AA</x:v>
      </x:c>
      <x:c r="L56" s="12" t="str">
        <x:v>https://www.pokemonunite.jp/pokemon/</x:v>
      </x:c>
      <x:c r="M56" s="12" t="str">
        <x:v>https://uniteapi.dev/jp/meta</x:v>
      </x:c>
    </x:row>
    <x:row r="57">
      <x:c r="A57" s="12" t="n">
        <x:v>56</x:v>
      </x:c>
      <x:c r="B57" s="12" t="str">
        <x:v>ミミッキュ</x:v>
      </x:c>
      <x:c r="C57" s="12" t="str">
        <x:v>バランス型</x:v>
      </x:c>
      <x:c r="D57" s="12" t="str">
        <x:v>Assassin</x:v>
      </x:c>
      <x:c r="E57" s="12" t="str">
        <x:v>Skirmisher</x:v>
      </x:c>
      <x:c r="F57" s="12" t="str">
        <x:v>Yes</x:v>
      </x:c>
      <x:c r="G57" s="12" t="n">
        <x:v>2</x:v>
      </x:c>
      <x:c r="H57" s="12" t="str">
        <x:v>高</x:v>
      </x:c>
      <x:c r="I57" s="12" t="str">
        <x:v>2026-09-25</x:v>
      </x:c>
      <x:c r="J57" s="12" t="str"/>
      <x:c r="K57" s="12" t="str">
        <x:v>https://wikiwiki.jp/poke-unite/%E3%83%9F%E3%83%9F%E3%83%83%E3%82%AD%E3%83%A5</x:v>
      </x:c>
      <x:c r="L57" s="12" t="str">
        <x:v>https://www.pokemonunite.jp/pokemon/</x:v>
      </x:c>
      <x:c r="M57" s="12" t="str">
        <x:v>https://uniteapi.dev/jp/meta</x:v>
      </x:c>
    </x:row>
    <x:row r="58">
      <x:c r="A58" s="12" t="n">
        <x:v>57</x:v>
      </x:c>
      <x:c r="B58" s="12" t="str">
        <x:v>ミュウツー(X)</x:v>
      </x:c>
      <x:c r="C58" s="12" t="str">
        <x:v>バランス型</x:v>
      </x:c>
      <x:c r="D58" s="12" t="str">
        <x:v>Juggernaut</x:v>
      </x:c>
      <x:c r="E58" s="12" t="str">
        <x:v>Catcher</x:v>
      </x:c>
      <x:c r="F58" s="12" t="str">
        <x:v>No</x:v>
      </x:c>
      <x:c r="G58" s="12" t="n">
        <x:v>1</x:v>
      </x:c>
      <x:c r="H58" s="12" t="str">
        <x:v>高</x:v>
      </x:c>
      <x:c r="I58" s="12" t="str">
        <x:v>2026-09-25</x:v>
      </x:c>
      <x:c r="J58" s="12" t="str"/>
      <x:c r="K58" s="12" t="str">
        <x:v>https://wikiwiki.jp/poke-unite/%E3%83%9F%E3%83%A5%E3%82%A6%E3%83%84%E3%83%BC(X)</x:v>
      </x:c>
      <x:c r="L58" s="12" t="str">
        <x:v>https://www.pokemonunite.jp/pokemon/</x:v>
      </x:c>
      <x:c r="M58" s="12" t="str">
        <x:v>https://uniteapi.dev/jp/meta</x:v>
      </x:c>
    </x:row>
    <x:row r="59">
      <x:c r="A59" s="12" t="n">
        <x:v>58</x:v>
      </x:c>
      <x:c r="B59" s="12" t="str">
        <x:v>メタグロス</x:v>
      </x:c>
      <x:c r="C59" s="12" t="str">
        <x:v>バランス型</x:v>
      </x:c>
      <x:c r="D59" s="12" t="str">
        <x:v>Diver</x:v>
      </x:c>
      <x:c r="E59" s="12" t="str">
        <x:v>Juggernaut</x:v>
      </x:c>
      <x:c r="F59" s="12" t="str">
        <x:v>No</x:v>
      </x:c>
      <x:c r="G59" s="12" t="n">
        <x:v>1</x:v>
      </x:c>
      <x:c r="H59" s="12" t="str">
        <x:v>高</x:v>
      </x:c>
      <x:c r="I59" s="12" t="str">
        <x:v>2026-09-25</x:v>
      </x:c>
      <x:c r="J59" s="12" t="str"/>
      <x:c r="K59" s="12" t="str">
        <x:v>https://wikiwiki.jp/poke-unite/%E3%83%A1%E3%82%BF%E3%82%B0%E3%83%AD%E3%82%B9</x:v>
      </x:c>
      <x:c r="L59" s="12" t="str">
        <x:v>https://www.pokemonunite.jp/pokemon/</x:v>
      </x:c>
      <x:c r="M59" s="12" t="str">
        <x:v>https://uniteapi.dev/jp/meta</x:v>
      </x:c>
    </x:row>
    <x:row r="60">
      <x:c r="A60" s="12" t="n">
        <x:v>59</x:v>
      </x:c>
      <x:c r="B60" s="12" t="str">
        <x:v>リザードン</x:v>
      </x:c>
      <x:c r="C60" s="12" t="str">
        <x:v>バランス型</x:v>
      </x:c>
      <x:c r="D60" s="12" t="str">
        <x:v>Diver</x:v>
      </x:c>
      <x:c r="E60" s="12" t="str"/>
      <x:c r="F60" s="12" t="str">
        <x:v>Yes</x:v>
      </x:c>
      <x:c r="G60" s="12" t="n">
        <x:v>2</x:v>
      </x:c>
      <x:c r="H60" s="12" t="str">
        <x:v>高</x:v>
      </x:c>
      <x:c r="I60" s="12" t="str">
        <x:v>2026-09-25</x:v>
      </x:c>
      <x:c r="J60" s="12" t="str"/>
      <x:c r="K60" s="12" t="str">
        <x:v>https://wikiwiki.jp/poke-unite/%E3%83%AA%E3%82%B6%E3%83%BC%E3%83%89%E3%83%B3</x:v>
      </x:c>
      <x:c r="L60" s="12" t="str">
        <x:v>https://www.pokemonunite.jp/pokemon/</x:v>
      </x:c>
      <x:c r="M60" s="12" t="str">
        <x:v>https://uniteapi.dev/jp/meta</x:v>
      </x:c>
    </x:row>
    <x:row r="61">
      <x:c r="A61" s="12" t="n">
        <x:v>60</x:v>
      </x:c>
      <x:c r="B61" s="12" t="str">
        <x:v>メガリザードンX</x:v>
      </x:c>
      <x:c r="C61" s="12" t="str">
        <x:v>バランス型</x:v>
      </x:c>
      <x:c r="D61" s="12" t="str">
        <x:v>Diver</x:v>
      </x:c>
      <x:c r="E61" s="12" t="str"/>
      <x:c r="F61" s="12" t="str">
        <x:v>No</x:v>
      </x:c>
      <x:c r="G61" s="12" t="n">
        <x:v>1</x:v>
      </x:c>
      <x:c r="H61" s="12" t="str">
        <x:v>中</x:v>
      </x:c>
      <x:c r="I61" s="12" t="str">
        <x:v>2026-09-25</x:v>
      </x:c>
      <x:c r="J61" s="12" t="str"/>
      <x:c r="K61" s="12" t="str">
        <x:v>https://wikiwiki.jp/poke-unite/%E3%83%A1%E3%82%AC%E3%83%AA%E3%82%B6%E3%83%BC%E3%83%89%E3%83%B3X</x:v>
      </x:c>
      <x:c r="L61" s="12" t="str">
        <x:v>https://www.pokemonunite.jp/pokemon/</x:v>
      </x:c>
      <x:c r="M61" s="12" t="str">
        <x:v>https://uniteapi.dev/jp/meta</x:v>
      </x:c>
    </x:row>
    <x:row r="62">
      <x:c r="A62" s="12" t="n">
        <x:v>61</x:v>
      </x:c>
      <x:c r="B62" s="12" t="str">
        <x:v>メガリザードンY</x:v>
      </x:c>
      <x:c r="C62" s="12" t="str">
        <x:v>バランス型</x:v>
      </x:c>
      <x:c r="D62" s="12" t="str">
        <x:v>Diver</x:v>
      </x:c>
      <x:c r="E62" s="12" t="str">
        <x:v>BattleMage</x:v>
      </x:c>
      <x:c r="F62" s="12" t="str">
        <x:v>No</x:v>
      </x:c>
      <x:c r="G62" s="12" t="n">
        <x:v>1</x:v>
      </x:c>
      <x:c r="H62" s="12" t="str">
        <x:v>中</x:v>
      </x:c>
      <x:c r="I62" s="12" t="str">
        <x:v>2026-09-25</x:v>
      </x:c>
      <x:c r="J62" s="12" t="str"/>
      <x:c r="K62" s="12" t="str">
        <x:v>https://wikiwiki.jp/poke-unite/%E3%83%A1%E3%82%AC%E3%83%AA%E3%82%B6%E3%83%BC%E3%83%89%E3%83%B3Y</x:v>
      </x:c>
      <x:c r="L62" s="12" t="str">
        <x:v>https://www.pokemonunite.jp/pokemon/</x:v>
      </x:c>
      <x:c r="M62" s="12" t="str">
        <x:v>https://uniteapi.dev/jp/meta</x:v>
      </x:c>
    </x:row>
    <x:row r="63">
      <x:c r="A63" s="12" t="n">
        <x:v>62</x:v>
      </x:c>
      <x:c r="B63" s="12" t="str">
        <x:v>ルカリオ</x:v>
      </x:c>
      <x:c r="C63" s="12" t="str">
        <x:v>バランス型</x:v>
      </x:c>
      <x:c r="D63" s="12" t="str">
        <x:v>Skirmisher</x:v>
      </x:c>
      <x:c r="E63" s="12" t="str">
        <x:v>Diver</x:v>
      </x:c>
      <x:c r="F63" s="12" t="str">
        <x:v>Yes</x:v>
      </x:c>
      <x:c r="G63" s="12" t="n">
        <x:v>2</x:v>
      </x:c>
      <x:c r="H63" s="12" t="str">
        <x:v>高</x:v>
      </x:c>
      <x:c r="I63" s="12" t="str">
        <x:v>2026-09-25</x:v>
      </x:c>
      <x:c r="J63" s="12" t="str"/>
      <x:c r="K63" s="12" t="str">
        <x:v>https://wikiwiki.jp/poke-unite/%E3%83%AB%E3%82%AB%E3%83%AA%E3%82%AA</x:v>
      </x:c>
      <x:c r="L63" s="12" t="str">
        <x:v>https://www.pokemonunite.jp/pokemon/</x:v>
      </x:c>
      <x:c r="M63" s="12" t="str">
        <x:v>https://uniteapi.dev/jp/meta</x:v>
      </x:c>
    </x:row>
    <x:row r="64">
      <x:c r="A64" s="12" t="n">
        <x:v>63</x:v>
      </x:c>
      <x:c r="B64" s="12" t="str">
        <x:v>メガルカリオ</x:v>
      </x:c>
      <x:c r="C64" s="12" t="str">
        <x:v>バランス型</x:v>
      </x:c>
      <x:c r="D64" s="12" t="str">
        <x:v>Diver</x:v>
      </x:c>
      <x:c r="E64" s="12" t="str"/>
      <x:c r="F64" s="12" t="str">
        <x:v>No</x:v>
      </x:c>
      <x:c r="G64" s="12" t="n">
        <x:v>1</x:v>
      </x:c>
      <x:c r="H64" s="12" t="str">
        <x:v>中</x:v>
      </x:c>
      <x:c r="I64" s="12" t="str">
        <x:v>2026-09-25</x:v>
      </x:c>
      <x:c r="J64" s="12" t="str"/>
      <x:c r="K64" s="12" t="str">
        <x:v>https://wikiwiki.jp/poke-unite/%E3%83%A1%E3%82%AC%E3%83%AB%E3%82%AB%E3%83%AA%E3%82%AA</x:v>
      </x:c>
      <x:c r="L64" s="12" t="str">
        <x:v>https://www.pokemonunite.jp/pokemon/</x:v>
      </x:c>
      <x:c r="M64" s="12" t="str">
        <x:v>https://uniteapi.dev/jp/meta</x:v>
      </x:c>
    </x:row>
    <x:row r="65">
      <x:c r="A65" s="12" t="n">
        <x:v>64</x:v>
      </x:c>
      <x:c r="B65" s="12" t="str">
        <x:v>アブソル</x:v>
      </x:c>
      <x:c r="C65" s="12" t="str">
        <x:v>スピード型</x:v>
      </x:c>
      <x:c r="D65" s="12" t="str">
        <x:v>Assassin</x:v>
      </x:c>
      <x:c r="E65" s="12" t="str"/>
      <x:c r="F65" s="12" t="str">
        <x:v>No</x:v>
      </x:c>
      <x:c r="G65" s="12" t="n">
        <x:v>1</x:v>
      </x:c>
      <x:c r="H65" s="12" t="str">
        <x:v>高</x:v>
      </x:c>
      <x:c r="I65" s="12" t="str">
        <x:v>2026-09-25</x:v>
      </x:c>
      <x:c r="J65" s="12" t="str"/>
      <x:c r="K65" s="12" t="str">
        <x:v>https://wikiwiki.jp/poke-unite/%E3%82%A2%E3%83%96%E3%82%BD%E3%83%AB</x:v>
      </x:c>
      <x:c r="L65" s="12" t="str">
        <x:v>https://www.pokemonunite.jp/pokemon/</x:v>
      </x:c>
      <x:c r="M65" s="12" t="str">
        <x:v>https://uniteapi.dev/jp/meta</x:v>
      </x:c>
    </x:row>
    <x:row r="66">
      <x:c r="A66" s="12" t="n">
        <x:v>65</x:v>
      </x:c>
      <x:c r="B66" s="12" t="str">
        <x:v>ガラルギャロップ</x:v>
      </x:c>
      <x:c r="C66" s="12" t="str">
        <x:v>スピード型</x:v>
      </x:c>
      <x:c r="D66" s="12" t="str">
        <x:v>Diver</x:v>
      </x:c>
      <x:c r="E66" s="12" t="str"/>
      <x:c r="F66" s="12" t="str">
        <x:v>No</x:v>
      </x:c>
      <x:c r="G66" s="12" t="n">
        <x:v>1</x:v>
      </x:c>
      <x:c r="H66" s="12" t="str">
        <x:v>高</x:v>
      </x:c>
      <x:c r="I66" s="12" t="str">
        <x:v>2026-09-25</x:v>
      </x:c>
      <x:c r="J66" s="12" t="str"/>
      <x:c r="K66" s="12" t="str">
        <x:v>https://wikiwiki.jp/poke-unite/%E3%82%AC%E3%83%A9%E3%83%AB%E3%82%AE%E3%83%A3%E3%83%AD%E3%83%83%E3%83%97</x:v>
      </x:c>
      <x:c r="L66" s="12" t="str">
        <x:v>https://www.pokemonunite.jp/pokemon/</x:v>
      </x:c>
      <x:c r="M66" s="12" t="str">
        <x:v>https://uniteapi.dev/jp/meta</x:v>
      </x:c>
    </x:row>
    <x:row r="67">
      <x:c r="A67" s="12" t="n">
        <x:v>66</x:v>
      </x:c>
      <x:c r="B67" s="12" t="str">
        <x:v>ゲンガー</x:v>
      </x:c>
      <x:c r="C67" s="12" t="str">
        <x:v>スピード型</x:v>
      </x:c>
      <x:c r="D67" s="12" t="str">
        <x:v>Assassin</x:v>
      </x:c>
      <x:c r="E67" s="12" t="str"/>
      <x:c r="F67" s="12" t="str">
        <x:v>Yes</x:v>
      </x:c>
      <x:c r="G67" s="12" t="n">
        <x:v>2</x:v>
      </x:c>
      <x:c r="H67" s="12" t="str">
        <x:v>高</x:v>
      </x:c>
      <x:c r="I67" s="12" t="str">
        <x:v>2026-09-25</x:v>
      </x:c>
      <x:c r="J67" s="12" t="str"/>
      <x:c r="K67" s="12" t="str">
        <x:v>https://wikiwiki.jp/poke-unite/%E3%82%B2%E3%83%B3%E3%82%AC%E3%83%BC</x:v>
      </x:c>
      <x:c r="L67" s="12" t="str">
        <x:v>https://www.pokemonunite.jp/pokemon/</x:v>
      </x:c>
      <x:c r="M67" s="12" t="str">
        <x:v>https://uniteapi.dev/jp/meta</x:v>
      </x:c>
    </x:row>
    <x:row r="68">
      <x:c r="A68" s="12" t="n">
        <x:v>67</x:v>
      </x:c>
      <x:c r="B68" s="12" t="str">
        <x:v>ゼラオラ</x:v>
      </x:c>
      <x:c r="C68" s="12" t="str">
        <x:v>スピード型</x:v>
      </x:c>
      <x:c r="D68" s="12" t="str">
        <x:v>Skirmisher</x:v>
      </x:c>
      <x:c r="E68" s="12" t="str">
        <x:v>Assassin</x:v>
      </x:c>
      <x:c r="F68" s="12" t="str">
        <x:v>Yes</x:v>
      </x:c>
      <x:c r="G68" s="12" t="n">
        <x:v>2</x:v>
      </x:c>
      <x:c r="H68" s="12" t="str">
        <x:v>高</x:v>
      </x:c>
      <x:c r="I68" s="12" t="str">
        <x:v>2026-09-25</x:v>
      </x:c>
      <x:c r="J68" s="12" t="str"/>
      <x:c r="K68" s="12" t="str">
        <x:v>https://wikiwiki.jp/poke-unite/%E3%82%BC%E3%83%A9%E3%82%AA%E3%83%A9</x:v>
      </x:c>
      <x:c r="L68" s="12" t="str">
        <x:v>https://www.pokemonunite.jp/pokemon/</x:v>
      </x:c>
      <x:c r="M68" s="12" t="str">
        <x:v>https://uniteapi.dev/jp/meta</x:v>
      </x:c>
    </x:row>
    <x:row r="69">
      <x:c r="A69" s="12" t="n">
        <x:v>68</x:v>
      </x:c>
      <x:c r="B69" s="12" t="str">
        <x:v>ゾロアーク</x:v>
      </x:c>
      <x:c r="C69" s="12" t="str">
        <x:v>スピード型</x:v>
      </x:c>
      <x:c r="D69" s="12" t="str">
        <x:v>Assassin</x:v>
      </x:c>
      <x:c r="E69" s="12" t="str"/>
      <x:c r="F69" s="12" t="str">
        <x:v>No</x:v>
      </x:c>
      <x:c r="G69" s="12" t="n">
        <x:v>1</x:v>
      </x:c>
      <x:c r="H69" s="12" t="str">
        <x:v>高</x:v>
      </x:c>
      <x:c r="I69" s="12" t="str">
        <x:v>2026-09-25</x:v>
      </x:c>
      <x:c r="J69" s="12" t="str"/>
      <x:c r="K69" s="12" t="str">
        <x:v>https://wikiwiki.jp/poke-unite/%E3%82%BE%E3%83%AD%E3%82%A2%E3%83%BC%E3%82%AF</x:v>
      </x:c>
      <x:c r="L69" s="12" t="str">
        <x:v>https://www.pokemonunite.jp/pokemon/</x:v>
      </x:c>
      <x:c r="M69" s="12" t="str">
        <x:v>https://uniteapi.dev/jp/meta</x:v>
      </x:c>
    </x:row>
    <x:row r="70">
      <x:c r="A70" s="12" t="n">
        <x:v>69</x:v>
      </x:c>
      <x:c r="B70" s="12" t="str">
        <x:v>ダークライ</x:v>
      </x:c>
      <x:c r="C70" s="12" t="str">
        <x:v>スピード型</x:v>
      </x:c>
      <x:c r="D70" s="12" t="str">
        <x:v>Assassin</x:v>
      </x:c>
      <x:c r="E70" s="12" t="str"/>
      <x:c r="F70" s="12" t="str">
        <x:v>No</x:v>
      </x:c>
      <x:c r="G70" s="12" t="n">
        <x:v>1</x:v>
      </x:c>
      <x:c r="H70" s="12" t="str">
        <x:v>高</x:v>
      </x:c>
      <x:c r="I70" s="12" t="str">
        <x:v>2026-09-25</x:v>
      </x:c>
      <x:c r="J70" s="12" t="str"/>
      <x:c r="K70" s="12" t="str">
        <x:v>https://wikiwiki.jp/poke-unite/%E3%83%80%E3%83%BC%E3%82%AF%E3%83%A9%E3%82%A4</x:v>
      </x:c>
      <x:c r="L70" s="12" t="str">
        <x:v>https://www.pokemonunite.jp/pokemon/</x:v>
      </x:c>
      <x:c r="M70" s="12" t="str">
        <x:v>https://uniteapi.dev/jp/meta</x:v>
      </x:c>
    </x:row>
    <x:row r="71">
      <x:c r="A71" s="12" t="n">
        <x:v>70</x:v>
      </x:c>
      <x:c r="B71" s="12" t="str">
        <x:v>ドードリオ</x:v>
      </x:c>
      <x:c r="C71" s="12" t="str">
        <x:v>スピード型</x:v>
      </x:c>
      <x:c r="D71" s="12" t="str">
        <x:v>Diver</x:v>
      </x:c>
      <x:c r="E71" s="12" t="str"/>
      <x:c r="F71" s="12" t="str">
        <x:v>No</x:v>
      </x:c>
      <x:c r="G71" s="12" t="n">
        <x:v>1</x:v>
      </x:c>
      <x:c r="H71" s="12" t="str">
        <x:v>高</x:v>
      </x:c>
      <x:c r="I71" s="12" t="str">
        <x:v>2026-09-25</x:v>
      </x:c>
      <x:c r="J71" s="12" t="str"/>
      <x:c r="K71" s="12" t="str">
        <x:v>https://wikiwiki.jp/poke-unite/%E3%83%89%E3%83%BC%E3%83%89%E3%83%AA%E3%82%AA</x:v>
      </x:c>
      <x:c r="L71" s="12" t="str">
        <x:v>https://www.pokemonunite.jp/pokemon/</x:v>
      </x:c>
      <x:c r="M71" s="12" t="str">
        <x:v>https://uniteapi.dev/jp/meta</x:v>
      </x:c>
    </x:row>
    <x:row r="72">
      <x:c r="A72" s="12" t="n">
        <x:v>71</x:v>
      </x:c>
      <x:c r="B72" s="12" t="str">
        <x:v>ニャース</x:v>
      </x:c>
      <x:c r="C72" s="12" t="str">
        <x:v>スピード型</x:v>
      </x:c>
      <x:c r="D72" s="12" t="str">
        <x:v>Skirmisher</x:v>
      </x:c>
      <x:c r="E72" s="12" t="str"/>
      <x:c r="F72" s="12" t="str">
        <x:v>No</x:v>
      </x:c>
      <x:c r="G72" s="12" t="n">
        <x:v>1</x:v>
      </x:c>
      <x:c r="H72" s="12" t="str">
        <x:v>高</x:v>
      </x:c>
      <x:c r="I72" s="12" t="str">
        <x:v>2026-09-25</x:v>
      </x:c>
      <x:c r="J72" s="12" t="str"/>
      <x:c r="K72" s="12" t="str">
        <x:v>https://wikiwiki.jp/poke-unite/%E3%83%8B%E3%83%A3%E3%83%BC%E3%82%B9</x:v>
      </x:c>
      <x:c r="L72" s="12" t="str">
        <x:v>https://www.pokemonunite.jp/pokemon/</x:v>
      </x:c>
      <x:c r="M72" s="12" t="str">
        <x:v>https://uniteapi.dev/jp/meta</x:v>
      </x:c>
    </x:row>
    <x:row r="73">
      <x:c r="A73" s="12" t="n">
        <x:v>72</x:v>
      </x:c>
      <x:c r="B73" s="12" t="str">
        <x:v>ファイアロー</x:v>
      </x:c>
      <x:c r="C73" s="12" t="str">
        <x:v>スピード型</x:v>
      </x:c>
      <x:c r="D73" s="12" t="str">
        <x:v>Diver</x:v>
      </x:c>
      <x:c r="E73" s="12" t="str">
        <x:v>Assassin</x:v>
      </x:c>
      <x:c r="F73" s="12" t="str">
        <x:v>Yes</x:v>
      </x:c>
      <x:c r="G73" s="12" t="n">
        <x:v>2</x:v>
      </x:c>
      <x:c r="H73" s="12" t="str">
        <x:v>高</x:v>
      </x:c>
      <x:c r="I73" s="12" t="str">
        <x:v>2026-09-25</x:v>
      </x:c>
      <x:c r="J73" s="12" t="str"/>
      <x:c r="K73" s="12" t="str">
        <x:v>https://wikiwiki.jp/poke-unite/%E3%83%95%E3%82%A1%E3%82%A4%E3%82%A2%E3%83%AD%E3%83%BC</x:v>
      </x:c>
      <x:c r="L73" s="12" t="str">
        <x:v>https://www.pokemonunite.jp/pokemon/</x:v>
      </x:c>
      <x:c r="M73" s="12" t="str">
        <x:v>https://uniteapi.dev/jp/meta</x:v>
      </x:c>
    </x:row>
    <x:row r="74">
      <x:c r="A74" s="12" t="n">
        <x:v>73</x:v>
      </x:c>
      <x:c r="B74" s="12" t="str">
        <x:v>マスカーニャ</x:v>
      </x:c>
      <x:c r="C74" s="12" t="str">
        <x:v>スピード型</x:v>
      </x:c>
      <x:c r="D74" s="12" t="str">
        <x:v>Assassin</x:v>
      </x:c>
      <x:c r="E74" s="12" t="str">
        <x:v>Skirmisher</x:v>
      </x:c>
      <x:c r="F74" s="12" t="str">
        <x:v>Yes</x:v>
      </x:c>
      <x:c r="G74" s="12" t="n">
        <x:v>2</x:v>
      </x:c>
      <x:c r="H74" s="12" t="str">
        <x:v>高</x:v>
      </x:c>
      <x:c r="I74" s="12" t="str">
        <x:v>2026-09-25</x:v>
      </x:c>
      <x:c r="J74" s="12" t="str"/>
      <x:c r="K74" s="12" t="str">
        <x:v>https://wikiwiki.jp/poke-unite/%E3%83%9E%E3%82%B9%E3%82%AB%E3%83%BC%E3%83%8B%E3%83%A3</x:v>
      </x:c>
      <x:c r="L74" s="12" t="str">
        <x:v>https://www.pokemonunite.jp/pokemon/</x:v>
      </x:c>
      <x:c r="M74" s="12" t="str">
        <x:v>https://uniteapi.dev/jp/meta</x:v>
      </x:c>
    </x:row>
    <x:row r="75">
      <x:c r="A75" s="12" t="n">
        <x:v>74</x:v>
      </x:c>
      <x:c r="B75" s="12" t="str">
        <x:v>モルペコ</x:v>
      </x:c>
      <x:c r="C75" s="12" t="str">
        <x:v>スピード型</x:v>
      </x:c>
      <x:c r="D75" s="12" t="str">
        <x:v>Assassin</x:v>
      </x:c>
      <x:c r="E75" s="12" t="str"/>
      <x:c r="F75" s="12" t="str">
        <x:v>No</x:v>
      </x:c>
      <x:c r="G75" s="12" t="n">
        <x:v>1</x:v>
      </x:c>
      <x:c r="H75" s="12" t="str">
        <x:v>低</x:v>
      </x:c>
      <x:c r="I75" s="12" t="str">
        <x:v>2026-09-25</x:v>
      </x:c>
      <x:c r="J75" s="12" t="str"/>
      <x:c r="K75" s="12" t="str">
        <x:v>https://wikiwiki.jp/poke-unite/%E3%83%A2%E3%83%AB%E3%83%9A%E3%82%B3</x:v>
      </x:c>
      <x:c r="L75" s="12" t="str">
        <x:v>https://www.pokemonunite.jp/pokemon/</x:v>
      </x:c>
      <x:c r="M75" s="12" t="str">
        <x:v>https://uniteapi.dev/jp/meta</x:v>
      </x:c>
    </x:row>
    <x:row r="76">
      <x:c r="A76" s="12" t="n">
        <x:v>75</x:v>
      </x:c>
      <x:c r="B76" s="12" t="str">
        <x:v>リーフィア</x:v>
      </x:c>
      <x:c r="C76" s="12" t="str">
        <x:v>スピード型</x:v>
      </x:c>
      <x:c r="D76" s="12" t="str">
        <x:v>Assassin</x:v>
      </x:c>
      <x:c r="E76" s="12" t="str"/>
      <x:c r="F76" s="12" t="str">
        <x:v>No</x:v>
      </x:c>
      <x:c r="G76" s="12" t="n">
        <x:v>1</x:v>
      </x:c>
      <x:c r="H76" s="12" t="str">
        <x:v>高</x:v>
      </x:c>
      <x:c r="I76" s="12" t="str">
        <x:v>2026-09-25</x:v>
      </x:c>
      <x:c r="J76" s="12" t="str"/>
      <x:c r="K76" s="12" t="str">
        <x:v>https://wikiwiki.jp/poke-unite/%E3%83%AA%E3%83%BC%E3%83%95%E3%82%A3%E3%82%A2</x:v>
      </x:c>
      <x:c r="L76" s="12" t="str">
        <x:v>https://www.pokemonunite.jp/pokemon/</x:v>
      </x:c>
      <x:c r="M76" s="12" t="str">
        <x:v>https://uniteapi.dev/jp/meta</x:v>
      </x:c>
    </x:row>
    <x:row r="77">
      <x:c r="A77" s="12" t="n">
        <x:v>76</x:v>
      </x:c>
      <x:c r="B77" s="12" t="str">
        <x:v>イワパレス</x:v>
      </x:c>
      <x:c r="C77" s="12" t="str">
        <x:v>ディフェンス型</x:v>
      </x:c>
      <x:c r="D77" s="12" t="str">
        <x:v>Vanguard</x:v>
      </x:c>
      <x:c r="E77" s="12" t="str"/>
      <x:c r="F77" s="12" t="str">
        <x:v>Yes</x:v>
      </x:c>
      <x:c r="G77" s="12" t="n">
        <x:v>2</x:v>
      </x:c>
      <x:c r="H77" s="12" t="str">
        <x:v>高</x:v>
      </x:c>
      <x:c r="I77" s="12" t="str">
        <x:v>2026-09-25</x:v>
      </x:c>
      <x:c r="J77" s="12" t="str"/>
      <x:c r="K77" s="12" t="str">
        <x:v>https://wikiwiki.jp/poke-unite/%E3%82%A4%E3%83%AF%E3%83%91%E3%83%AC%E3%82%B9</x:v>
      </x:c>
      <x:c r="L77" s="12" t="str">
        <x:v>https://www.pokemonunite.jp/pokemon/</x:v>
      </x:c>
      <x:c r="M77" s="12" t="str">
        <x:v>https://uniteapi.dev/jp/meta</x:v>
      </x:c>
    </x:row>
    <x:row r="78">
      <x:c r="A78" s="12" t="n">
        <x:v>77</x:v>
      </x:c>
      <x:c r="B78" s="12" t="str">
        <x:v>オーロット</x:v>
      </x:c>
      <x:c r="C78" s="12" t="str">
        <x:v>ディフェンス型</x:v>
      </x:c>
      <x:c r="D78" s="12" t="str">
        <x:v>Vanguard</x:v>
      </x:c>
      <x:c r="E78" s="12" t="str">
        <x:v>Juggernaut</x:v>
      </x:c>
      <x:c r="F78" s="12" t="str">
        <x:v>Yes</x:v>
      </x:c>
      <x:c r="G78" s="12" t="n">
        <x:v>2</x:v>
      </x:c>
      <x:c r="H78" s="12" t="str">
        <x:v>高</x:v>
      </x:c>
      <x:c r="I78" s="12" t="str">
        <x:v>2026-09-25</x:v>
      </x:c>
      <x:c r="J78" s="12" t="str"/>
      <x:c r="K78" s="12" t="str">
        <x:v>https://wikiwiki.jp/poke-unite/%E3%82%AA%E3%83%BC%E3%83%AD%E3%83%83%E3%83%88</x:v>
      </x:c>
      <x:c r="L78" s="12" t="str">
        <x:v>https://www.pokemonunite.jp/pokemon/</x:v>
      </x:c>
      <x:c r="M78" s="12" t="str">
        <x:v>https://uniteapi.dev/jp/meta</x:v>
      </x:c>
    </x:row>
    <x:row r="79">
      <x:c r="A79" s="12" t="n">
        <x:v>78</x:v>
      </x:c>
      <x:c r="B79" s="12" t="str">
        <x:v>カビゴン</x:v>
      </x:c>
      <x:c r="C79" s="12" t="str">
        <x:v>ディフェンス型</x:v>
      </x:c>
      <x:c r="D79" s="12" t="str">
        <x:v>Vanguard</x:v>
      </x:c>
      <x:c r="E79" s="12" t="str">
        <x:v>Juggernaut</x:v>
      </x:c>
      <x:c r="F79" s="12" t="str">
        <x:v>Yes</x:v>
      </x:c>
      <x:c r="G79" s="12" t="n">
        <x:v>2</x:v>
      </x:c>
      <x:c r="H79" s="12" t="str">
        <x:v>高</x:v>
      </x:c>
      <x:c r="I79" s="12" t="str">
        <x:v>2026-09-25</x:v>
      </x:c>
      <x:c r="J79" s="12" t="str"/>
      <x:c r="K79" s="12" t="str">
        <x:v>https://wikiwiki.jp/poke-unite/%E3%82%AB%E3%83%93%E3%82%B4%E3%83%B3</x:v>
      </x:c>
      <x:c r="L79" s="12" t="str">
        <x:v>https://www.pokemonunite.jp/pokemon/</x:v>
      </x:c>
      <x:c r="M79" s="12" t="str">
        <x:v>https://uniteapi.dev/jp/meta</x:v>
      </x:c>
    </x:row>
    <x:row r="80">
      <x:c r="A80" s="12" t="n">
        <x:v>79</x:v>
      </x:c>
      <x:c r="B80" s="12" t="str">
        <x:v>カメックス</x:v>
      </x:c>
      <x:c r="C80" s="12" t="str">
        <x:v>ディフェンス型</x:v>
      </x:c>
      <x:c r="D80" s="12" t="str">
        <x:v>Warden</x:v>
      </x:c>
      <x:c r="E80" s="12" t="str">
        <x:v>Diver</x:v>
      </x:c>
      <x:c r="F80" s="12" t="str">
        <x:v>Yes</x:v>
      </x:c>
      <x:c r="G80" s="12" t="n">
        <x:v>2</x:v>
      </x:c>
      <x:c r="H80" s="12" t="str">
        <x:v>高</x:v>
      </x:c>
      <x:c r="I80" s="12" t="str">
        <x:v>2026-09-25</x:v>
      </x:c>
      <x:c r="J80" s="12" t="str"/>
      <x:c r="K80" s="12" t="str">
        <x:v>https://wikiwiki.jp/poke-unite/%E3%82%AB%E3%83%A1%E3%83%83%E3%82%AF%E3%82%B9</x:v>
      </x:c>
      <x:c r="L80" s="12" t="str">
        <x:v>https://www.pokemonunite.jp/pokemon/</x:v>
      </x:c>
      <x:c r="M80" s="12" t="str">
        <x:v>https://uniteapi.dev/jp/meta</x:v>
      </x:c>
    </x:row>
    <x:row r="81">
      <x:c r="A81" s="12" t="n">
        <x:v>80</x:v>
      </x:c>
      <x:c r="B81" s="12" t="str">
        <x:v>シャワーズ</x:v>
      </x:c>
      <x:c r="C81" s="12" t="str">
        <x:v>ディフェンス型</x:v>
      </x:c>
      <x:c r="D81" s="12" t="str">
        <x:v>Warden</x:v>
      </x:c>
      <x:c r="E81" s="12" t="str">
        <x:v>Enchanter</x:v>
      </x:c>
      <x:c r="F81" s="12" t="str">
        <x:v>Yes</x:v>
      </x:c>
      <x:c r="G81" s="12" t="n">
        <x:v>2</x:v>
      </x:c>
      <x:c r="H81" s="12" t="str">
        <x:v>高</x:v>
      </x:c>
      <x:c r="I81" s="12" t="str">
        <x:v>2026-09-25</x:v>
      </x:c>
      <x:c r="J81" s="12" t="str"/>
      <x:c r="K81" s="12" t="str">
        <x:v>https://wikiwiki.jp/poke-unite/%E3%82%B7%E3%83%A3%E3%83%AF%E3%83%BC%E3%82%BA</x:v>
      </x:c>
      <x:c r="L81" s="12" t="str">
        <x:v>https://www.pokemonunite.jp/pokemon/</x:v>
      </x:c>
      <x:c r="M81" s="12" t="str">
        <x:v>https://uniteapi.dev/jp/meta</x:v>
      </x:c>
    </x:row>
    <x:row r="82">
      <x:c r="A82" s="12" t="n">
        <x:v>81</x:v>
      </x:c>
      <x:c r="B82" s="12" t="str">
        <x:v>ヌメルゴン</x:v>
      </x:c>
      <x:c r="C82" s="12" t="str">
        <x:v>ディフェンス型</x:v>
      </x:c>
      <x:c r="D82" s="12" t="str">
        <x:v>Juggernaut</x:v>
      </x:c>
      <x:c r="E82" s="12" t="str"/>
      <x:c r="F82" s="12" t="str">
        <x:v>No</x:v>
      </x:c>
      <x:c r="G82" s="12" t="n">
        <x:v>1</x:v>
      </x:c>
      <x:c r="H82" s="12" t="str">
        <x:v>高</x:v>
      </x:c>
      <x:c r="I82" s="12" t="str">
        <x:v>2026-09-25</x:v>
      </x:c>
      <x:c r="J82" s="12" t="str"/>
      <x:c r="K82" s="12" t="str">
        <x:v>https://wikiwiki.jp/poke-unite/%E3%83%8C%E3%83%A1%E3%83%AB%E3%82%B4%E3%83%B3</x:v>
      </x:c>
      <x:c r="L82" s="12" t="str">
        <x:v>https://www.pokemonunite.jp/pokemon/</x:v>
      </x:c>
      <x:c r="M82" s="12" t="str">
        <x:v>https://uniteapi.dev/jp/meta</x:v>
      </x:c>
    </x:row>
    <x:row r="83">
      <x:c r="A83" s="12" t="n">
        <x:v>82</x:v>
      </x:c>
      <x:c r="B83" s="12" t="str">
        <x:v>フリーザー</x:v>
      </x:c>
      <x:c r="C83" s="12" t="str">
        <x:v>ディフェンス型</x:v>
      </x:c>
      <x:c r="D83" s="12" t="str">
        <x:v>Warden</x:v>
      </x:c>
      <x:c r="E83" s="12" t="str"/>
      <x:c r="F83" s="12" t="str">
        <x:v>No</x:v>
      </x:c>
      <x:c r="G83" s="12" t="n">
        <x:v>1</x:v>
      </x:c>
      <x:c r="H83" s="12" t="str">
        <x:v>中</x:v>
      </x:c>
      <x:c r="I83" s="12" t="str">
        <x:v>2026-09-25</x:v>
      </x:c>
      <x:c r="J83" s="12" t="str"/>
      <x:c r="K83" s="12" t="str">
        <x:v>https://wikiwiki.jp/poke-unite/%E3%83%95%E3%83%AA%E3%83%BC%E3%82%B6%E3%83%BC</x:v>
      </x:c>
      <x:c r="L83" s="12" t="str">
        <x:v>https://www.pokemonunite.jp/pokemon/</x:v>
      </x:c>
      <x:c r="M83" s="12" t="str">
        <x:v>https://uniteapi.dev/jp/meta</x:v>
      </x:c>
    </x:row>
    <x:row r="84">
      <x:c r="A84" s="12" t="n">
        <x:v>83</x:v>
      </x:c>
      <x:c r="B84" s="12" t="str">
        <x:v>ブラッキー</x:v>
      </x:c>
      <x:c r="C84" s="12" t="str">
        <x:v>ディフェンス型</x:v>
      </x:c>
      <x:c r="D84" s="12" t="str">
        <x:v>Warden</x:v>
      </x:c>
      <x:c r="E84" s="12" t="str">
        <x:v>Enchanter</x:v>
      </x:c>
      <x:c r="F84" s="12" t="str">
        <x:v>Yes</x:v>
      </x:c>
      <x:c r="G84" s="12" t="n">
        <x:v>2</x:v>
      </x:c>
      <x:c r="H84" s="12" t="str">
        <x:v>高</x:v>
      </x:c>
      <x:c r="I84" s="12" t="str">
        <x:v>2026-09-25</x:v>
      </x:c>
      <x:c r="J84" s="12" t="str"/>
      <x:c r="K84" s="12" t="str">
        <x:v>https://wikiwiki.jp/poke-unite/%E3%83%96%E3%83%A9%E3%83%83%E3%82%AD%E3%83%BC</x:v>
      </x:c>
      <x:c r="L84" s="12" t="str">
        <x:v>https://www.pokemonunite.jp/pokemon/</x:v>
      </x:c>
      <x:c r="M84" s="12" t="str">
        <x:v>https://uniteapi.dev/jp/meta</x:v>
      </x:c>
    </x:row>
    <x:row r="85">
      <x:c r="A85" s="12" t="n">
        <x:v>84</x:v>
      </x:c>
      <x:c r="B85" s="12" t="str">
        <x:v>ホウオウ</x:v>
      </x:c>
      <x:c r="C85" s="12" t="str">
        <x:v>ディフェンス型</x:v>
      </x:c>
      <x:c r="D85" s="12" t="str">
        <x:v>Juggernaut</x:v>
      </x:c>
      <x:c r="E85" s="12" t="str"/>
      <x:c r="F85" s="12" t="str">
        <x:v>Yes</x:v>
      </x:c>
      <x:c r="G85" s="12" t="n">
        <x:v>2</x:v>
      </x:c>
      <x:c r="H85" s="12" t="str">
        <x:v>高</x:v>
      </x:c>
      <x:c r="I85" s="12" t="str">
        <x:v>2026-09-25</x:v>
      </x:c>
      <x:c r="J85" s="12" t="str"/>
      <x:c r="K85" s="12" t="str">
        <x:v>https://wikiwiki.jp/poke-unite/%E3%83%9B%E3%82%A6%E3%82%AA%E3%82%A6</x:v>
      </x:c>
      <x:c r="L85" s="12" t="str">
        <x:v>https://www.pokemonunite.jp/pokemon/</x:v>
      </x:c>
      <x:c r="M85" s="12" t="str">
        <x:v>https://uniteapi.dev/jp/meta</x:v>
      </x:c>
    </x:row>
    <x:row r="86">
      <x:c r="A86" s="12" t="n">
        <x:v>85</x:v>
      </x:c>
      <x:c r="B86" s="12" t="str">
        <x:v>マンムー</x:v>
      </x:c>
      <x:c r="C86" s="12" t="str">
        <x:v>ディフェンス型</x:v>
      </x:c>
      <x:c r="D86" s="12" t="str">
        <x:v>Vanguard</x:v>
      </x:c>
      <x:c r="E86" s="12" t="str"/>
      <x:c r="F86" s="12" t="str">
        <x:v>No</x:v>
      </x:c>
      <x:c r="G86" s="12" t="n">
        <x:v>1</x:v>
      </x:c>
      <x:c r="H86" s="12" t="str">
        <x:v>高</x:v>
      </x:c>
      <x:c r="I86" s="12" t="str">
        <x:v>2026-09-25</x:v>
      </x:c>
      <x:c r="J86" s="12" t="str"/>
      <x:c r="K86" s="12" t="str">
        <x:v>https://wikiwiki.jp/poke-unite/%E3%83%9E%E3%83%B3%E3%83%A0%E3%83%BC</x:v>
      </x:c>
      <x:c r="L86" s="12" t="str">
        <x:v>https://www.pokemonunite.jp/pokemon/</x:v>
      </x:c>
      <x:c r="M86" s="12" t="str">
        <x:v>https://uniteapi.dev/jp/meta</x:v>
      </x:c>
    </x:row>
    <x:row r="87">
      <x:c r="A87" s="12" t="n">
        <x:v>86</x:v>
      </x:c>
      <x:c r="B87" s="12" t="str">
        <x:v>ヤドラン</x:v>
      </x:c>
      <x:c r="C87" s="12" t="str">
        <x:v>ディフェンス型</x:v>
      </x:c>
      <x:c r="D87" s="12" t="str">
        <x:v>Warden</x:v>
      </x:c>
      <x:c r="E87" s="12" t="str">
        <x:v>Catcher</x:v>
      </x:c>
      <x:c r="F87" s="12" t="str">
        <x:v>Yes</x:v>
      </x:c>
      <x:c r="G87" s="12" t="n">
        <x:v>2</x:v>
      </x:c>
      <x:c r="H87" s="12" t="str">
        <x:v>高</x:v>
      </x:c>
      <x:c r="I87" s="12" t="str">
        <x:v>2026-09-25</x:v>
      </x:c>
      <x:c r="J87" s="12" t="str"/>
      <x:c r="K87" s="12" t="str">
        <x:v>https://wikiwiki.jp/poke-unite/%E3%83%A4%E3%83%89%E3%83%A9%E3%83%B3</x:v>
      </x:c>
      <x:c r="L87" s="12" t="str">
        <x:v>https://www.pokemonunite.jp/pokemon/</x:v>
      </x:c>
      <x:c r="M87" s="12" t="str">
        <x:v>https://uniteapi.dev/jp/meta</x:v>
      </x:c>
    </x:row>
    <x:row r="88">
      <x:c r="A88" s="12" t="n">
        <x:v>87</x:v>
      </x:c>
      <x:c r="B88" s="12" t="str">
        <x:v>ヨクバリス</x:v>
      </x:c>
      <x:c r="C88" s="12" t="str">
        <x:v>ディフェンス型</x:v>
      </x:c>
      <x:c r="D88" s="12" t="str">
        <x:v>Diver</x:v>
      </x:c>
      <x:c r="E88" s="12" t="str">
        <x:v>Juggernaut</x:v>
      </x:c>
      <x:c r="F88" s="12" t="str">
        <x:v>Yes</x:v>
      </x:c>
      <x:c r="G88" s="12" t="n">
        <x:v>2</x:v>
      </x:c>
      <x:c r="H88" s="12" t="str">
        <x:v>高</x:v>
      </x:c>
      <x:c r="I88" s="12" t="str">
        <x:v>2026-09-25</x:v>
      </x:c>
      <x:c r="J88" s="12" t="str"/>
      <x:c r="K88" s="12" t="str">
        <x:v>https://wikiwiki.jp/poke-unite/%E3%83%A8%E3%82%AF%E3%83%90%E3%83%AA%E3%82%B9</x:v>
      </x:c>
      <x:c r="L88" s="12" t="str">
        <x:v>https://www.pokemonunite.jp/pokemon/</x:v>
      </x:c>
      <x:c r="M88" s="12" t="str">
        <x:v>https://uniteapi.dev/jp/meta</x:v>
      </x:c>
    </x:row>
    <x:row r="89">
      <x:c r="A89" s="12" t="n">
        <x:v>88</x:v>
      </x:c>
      <x:c r="B89" s="12" t="str">
        <x:v>ラプラス</x:v>
      </x:c>
      <x:c r="C89" s="12" t="str">
        <x:v>ディフェンス型</x:v>
      </x:c>
      <x:c r="D89" s="12" t="str">
        <x:v>Juggernaut</x:v>
      </x:c>
      <x:c r="E89" s="12" t="str">
        <x:v>Warden</x:v>
      </x:c>
      <x:c r="F89" s="12" t="str">
        <x:v>No</x:v>
      </x:c>
      <x:c r="G89" s="12" t="n">
        <x:v>1</x:v>
      </x:c>
      <x:c r="H89" s="12" t="str">
        <x:v>高</x:v>
      </x:c>
      <x:c r="I89" s="12" t="str">
        <x:v>2026-09-25</x:v>
      </x:c>
      <x:c r="J89" s="12" t="str"/>
      <x:c r="K89" s="12" t="str">
        <x:v>https://wikiwiki.jp/poke-unite/%E3%83%A9%E3%83%97%E3%83%A9%E3%82%B9</x:v>
      </x:c>
      <x:c r="L89" s="12" t="str">
        <x:v>https://www.pokemonunite.jp/pokemon/</x:v>
      </x:c>
      <x:c r="M89" s="12" t="str">
        <x:v>https://uniteapi.dev/jp/meta</x:v>
      </x:c>
    </x:row>
    <x:row r="90">
      <x:c r="A90" s="12" t="n">
        <x:v>89</x:v>
      </x:c>
      <x:c r="B90" s="12" t="str">
        <x:v>キュワワー</x:v>
      </x:c>
      <x:c r="C90" s="12" t="str">
        <x:v>サポート型</x:v>
      </x:c>
      <x:c r="D90" s="12" t="str">
        <x:v>Enchanter</x:v>
      </x:c>
      <x:c r="E90" s="12" t="str"/>
      <x:c r="F90" s="12" t="str">
        <x:v>No</x:v>
      </x:c>
      <x:c r="G90" s="12" t="n">
        <x:v>1</x:v>
      </x:c>
      <x:c r="H90" s="12" t="str">
        <x:v>高</x:v>
      </x:c>
      <x:c r="I90" s="12" t="str">
        <x:v>2026-09-25</x:v>
      </x:c>
      <x:c r="J90" s="12" t="str"/>
      <x:c r="K90" s="12" t="str">
        <x:v>https://wikiwiki.jp/poke-unite/%E3%82%AD%E3%83%A5%E3%83%AF%E3%83%AF%E3%83%BC</x:v>
      </x:c>
      <x:c r="L90" s="12" t="str">
        <x:v>https://www.pokemonunite.jp/pokemon/</x:v>
      </x:c>
      <x:c r="M90" s="12" t="str">
        <x:v>https://uniteapi.dev/jp/meta</x:v>
      </x:c>
    </x:row>
    <x:row r="91">
      <x:c r="A91" s="12" t="n">
        <x:v>90</x:v>
      </x:c>
      <x:c r="B91" s="12" t="str">
        <x:v>コダック</x:v>
      </x:c>
      <x:c r="C91" s="12" t="str">
        <x:v>サポート型</x:v>
      </x:c>
      <x:c r="D91" s="12" t="str">
        <x:v>Catcher</x:v>
      </x:c>
      <x:c r="E91" s="12" t="str">
        <x:v>Warden</x:v>
      </x:c>
      <x:c r="F91" s="12" t="str">
        <x:v>No</x:v>
      </x:c>
      <x:c r="G91" s="12" t="n">
        <x:v>1</x:v>
      </x:c>
      <x:c r="H91" s="12" t="str">
        <x:v>高</x:v>
      </x:c>
      <x:c r="I91" s="12" t="str">
        <x:v>2026-09-25</x:v>
      </x:c>
      <x:c r="J91" s="12" t="str"/>
      <x:c r="K91" s="12" t="str">
        <x:v>https://wikiwiki.jp/poke-unite/%E3%82%B3%E3%83%80%E3%83%83%E3%82%AF</x:v>
      </x:c>
      <x:c r="L91" s="12" t="str">
        <x:v>https://www.pokemonunite.jp/pokemon/</x:v>
      </x:c>
      <x:c r="M91" s="12" t="str">
        <x:v>https://uniteapi.dev/jp/meta</x:v>
      </x:c>
    </x:row>
    <x:row r="92">
      <x:c r="A92" s="12" t="n">
        <x:v>91</x:v>
      </x:c>
      <x:c r="B92" s="12" t="str">
        <x:v>ハピナス</x:v>
      </x:c>
      <x:c r="C92" s="12" t="str">
        <x:v>サポート型</x:v>
      </x:c>
      <x:c r="D92" s="12" t="str">
        <x:v>Enchanter</x:v>
      </x:c>
      <x:c r="E92" s="12" t="str"/>
      <x:c r="F92" s="12" t="str">
        <x:v>Yes</x:v>
      </x:c>
      <x:c r="G92" s="12" t="n">
        <x:v>2</x:v>
      </x:c>
      <x:c r="H92" s="12" t="str">
        <x:v>高</x:v>
      </x:c>
      <x:c r="I92" s="12" t="str">
        <x:v>2026-09-25</x:v>
      </x:c>
      <x:c r="J92" s="12" t="str"/>
      <x:c r="K92" s="12" t="str">
        <x:v>https://wikiwiki.jp/poke-unite/%E3%83%8F%E3%83%94%E3%83%8A%E3%82%B9</x:v>
      </x:c>
      <x:c r="L92" s="12" t="str">
        <x:v>https://www.pokemonunite.jp/pokemon/</x:v>
      </x:c>
      <x:c r="M92" s="12" t="str">
        <x:v>https://uniteapi.dev/jp/meta</x:v>
      </x:c>
    </x:row>
    <x:row r="93">
      <x:c r="A93" s="12" t="n">
        <x:v>92</x:v>
      </x:c>
      <x:c r="B93" s="12" t="str">
        <x:v>バリヤード</x:v>
      </x:c>
      <x:c r="C93" s="12" t="str">
        <x:v>サポート型</x:v>
      </x:c>
      <x:c r="D93" s="12" t="str">
        <x:v>Vanguard</x:v>
      </x:c>
      <x:c r="E93" s="12" t="str">
        <x:v>Enchanter</x:v>
      </x:c>
      <x:c r="F93" s="12" t="str">
        <x:v>Yes</x:v>
      </x:c>
      <x:c r="G93" s="12" t="n">
        <x:v>2</x:v>
      </x:c>
      <x:c r="H93" s="12" t="str">
        <x:v>高</x:v>
      </x:c>
      <x:c r="I93" s="12" t="str">
        <x:v>2026-09-25</x:v>
      </x:c>
      <x:c r="J93" s="12" t="str"/>
      <x:c r="K93" s="12" t="str">
        <x:v>https://wikiwiki.jp/poke-unite/%E3%83%90%E3%83%AA%E3%83%A4%E3%83%BC%E3%83%89</x:v>
      </x:c>
      <x:c r="L93" s="12" t="str">
        <x:v>https://www.pokemonunite.jp/pokemon/</x:v>
      </x:c>
      <x:c r="M93" s="12" t="str">
        <x:v>https://uniteapi.dev/jp/meta</x:v>
      </x:c>
    </x:row>
    <x:row r="94">
      <x:c r="A94" s="12" t="n">
        <x:v>93</x:v>
      </x:c>
      <x:c r="B94" s="12" t="str">
        <x:v>ピクシー</x:v>
      </x:c>
      <x:c r="C94" s="12" t="str">
        <x:v>サポート型</x:v>
      </x:c>
      <x:c r="D94" s="12" t="str">
        <x:v>Enchanter</x:v>
      </x:c>
      <x:c r="E94" s="12" t="str"/>
      <x:c r="F94" s="12" t="str">
        <x:v>No</x:v>
      </x:c>
      <x:c r="G94" s="12" t="n">
        <x:v>1</x:v>
      </x:c>
      <x:c r="H94" s="12" t="str">
        <x:v>高</x:v>
      </x:c>
      <x:c r="I94" s="12" t="str">
        <x:v>2026-09-25</x:v>
      </x:c>
      <x:c r="J94" s="12" t="str"/>
      <x:c r="K94" s="12" t="str">
        <x:v>https://wikiwiki.jp/poke-unite/%E3%83%94%E3%82%AF%E3%82%B7%E3%83%BC</x:v>
      </x:c>
      <x:c r="L94" s="12" t="str">
        <x:v>https://www.pokemonunite.jp/pokemon/</x:v>
      </x:c>
      <x:c r="M94" s="12" t="str">
        <x:v>https://uniteapi.dev/jp/meta</x:v>
      </x:c>
    </x:row>
    <x:row r="95">
      <x:c r="A95" s="12" t="n">
        <x:v>94</x:v>
      </x:c>
      <x:c r="B95" s="12" t="str">
        <x:v>フーパ</x:v>
      </x:c>
      <x:c r="C95" s="12" t="str">
        <x:v>サポート型</x:v>
      </x:c>
      <x:c r="D95" s="12" t="str">
        <x:v>Specialist</x:v>
      </x:c>
      <x:c r="E95" s="12" t="str">
        <x:v>Enchanter</x:v>
      </x:c>
      <x:c r="F95" s="12" t="str">
        <x:v>Yes</x:v>
      </x:c>
      <x:c r="G95" s="12" t="n">
        <x:v>2</x:v>
      </x:c>
      <x:c r="H95" s="12" t="str">
        <x:v>高</x:v>
      </x:c>
      <x:c r="I95" s="12" t="str">
        <x:v>2026-09-25</x:v>
      </x:c>
      <x:c r="J95" s="12" t="str"/>
      <x:c r="K95" s="12" t="str">
        <x:v>https://wikiwiki.jp/poke-unite/%E3%83%95%E3%83%BC%E3%83%91</x:v>
      </x:c>
      <x:c r="L95" s="12" t="str">
        <x:v>https://www.pokemonunite.jp/pokemon/</x:v>
      </x:c>
      <x:c r="M95" s="12" t="str">
        <x:v>https://uniteapi.dev/jp/meta</x:v>
      </x:c>
    </x:row>
    <x:row r="96">
      <x:c r="A96" s="12" t="n">
        <x:v>95</x:v>
      </x:c>
      <x:c r="B96" s="12" t="str">
        <x:v>プクリン</x:v>
      </x:c>
      <x:c r="C96" s="12" t="str">
        <x:v>サポート型</x:v>
      </x:c>
      <x:c r="D96" s="12" t="str">
        <x:v>Warden</x:v>
      </x:c>
      <x:c r="E96" s="12" t="str"/>
      <x:c r="F96" s="12" t="str">
        <x:v>No</x:v>
      </x:c>
      <x:c r="G96" s="12" t="n">
        <x:v>1</x:v>
      </x:c>
      <x:c r="H96" s="12" t="str">
        <x:v>高</x:v>
      </x:c>
      <x:c r="I96" s="12" t="str">
        <x:v>2026-09-25</x:v>
      </x:c>
      <x:c r="J96" s="12" t="str"/>
      <x:c r="K96" s="12" t="str">
        <x:v>https://wikiwiki.jp/poke-unite/%E3%83%97%E3%82%AF%E3%83%AA%E3%83%B3</x:v>
      </x:c>
      <x:c r="L96" s="12" t="str">
        <x:v>https://www.pokemonunite.jp/pokemon/</x:v>
      </x:c>
      <x:c r="M96" s="12" t="str">
        <x:v>https://uniteapi.dev/jp/meta</x:v>
      </x:c>
    </x:row>
    <x:row r="97">
      <x:c r="A97" s="12" t="n">
        <x:v>96</x:v>
      </x:c>
      <x:c r="B97" s="12" t="str">
        <x:v>マホイップ</x:v>
      </x:c>
      <x:c r="C97" s="12" t="str">
        <x:v>サポート型</x:v>
      </x:c>
      <x:c r="D97" s="12" t="str">
        <x:v>Enchanter</x:v>
      </x:c>
      <x:c r="E97" s="12" t="str"/>
      <x:c r="F97" s="12" t="str">
        <x:v>No</x:v>
      </x:c>
      <x:c r="G97" s="12" t="n">
        <x:v>1</x:v>
      </x:c>
      <x:c r="H97" s="12" t="str">
        <x:v>高</x:v>
      </x:c>
      <x:c r="I97" s="12" t="str">
        <x:v>2026-09-25</x:v>
      </x:c>
      <x:c r="J97" s="12" t="str"/>
      <x:c r="K97" s="12" t="str">
        <x:v>https://wikiwiki.jp/poke-unite/%E3%83%9E%E3%83%9B%E3%82%A4%E3%83%83%E3%83%97</x:v>
      </x:c>
      <x:c r="L97" s="12" t="str">
        <x:v>https://www.pokemonunite.jp/pokemon/</x:v>
      </x:c>
      <x:c r="M97" s="12" t="str">
        <x:v>https://uniteapi.dev/jp/meta</x:v>
      </x:c>
    </x:row>
    <x:row r="98">
      <x:c r="A98" s="12" t="n">
        <x:v>97</x:v>
      </x:c>
      <x:c r="B98" s="12" t="str">
        <x:v>メガニウム</x:v>
      </x:c>
      <x:c r="C98" s="12" t="str">
        <x:v>サポート型</x:v>
      </x:c>
      <x:c r="D98" s="12" t="str">
        <x:v>Enchanter</x:v>
      </x:c>
      <x:c r="E98" s="12" t="str"/>
      <x:c r="F98" s="12" t="str">
        <x:v>No</x:v>
      </x:c>
      <x:c r="G98" s="12" t="n">
        <x:v>1</x:v>
      </x:c>
      <x:c r="H98" s="12" t="str">
        <x:v>中</x:v>
      </x:c>
      <x:c r="I98" s="12" t="str">
        <x:v>2026-09-25</x:v>
      </x:c>
      <x:c r="J98" s="12" t="str"/>
      <x:c r="K98" s="12" t="str">
        <x:v>https://wikiwiki.jp/poke-unite/%E3%83%A1%E3%82%AC%E3%83%8B%E3%82%A6%E3%83%A0</x:v>
      </x:c>
      <x:c r="L98" s="12" t="str">
        <x:v>https://www.pokemonunite.jp/pokemon/</x:v>
      </x:c>
      <x:c r="M98" s="12" t="str">
        <x:v>https://uniteapi.dev/jp/meta</x:v>
      </x:c>
    </x:row>
    <x:row r="99">
      <x:c r="A99" s="12" t="n">
        <x:v>98</x:v>
      </x:c>
      <x:c r="B99" s="12" t="str">
        <x:v>ヤミラミ</x:v>
      </x:c>
      <x:c r="C99" s="12" t="str">
        <x:v>サポート型</x:v>
      </x:c>
      <x:c r="D99" s="12" t="str">
        <x:v>Specialist</x:v>
      </x:c>
      <x:c r="E99" s="12" t="str"/>
      <x:c r="F99" s="12" t="str">
        <x:v>No</x:v>
      </x:c>
      <x:c r="G99" s="12" t="n">
        <x:v>1</x:v>
      </x:c>
      <x:c r="H99" s="12" t="str">
        <x:v>高</x:v>
      </x:c>
      <x:c r="I99" s="12" t="str">
        <x:v>2026-09-25</x:v>
      </x:c>
      <x:c r="J99" s="12" t="str"/>
      <x:c r="K99" s="12" t="str">
        <x:v>https://wikiwiki.jp/poke-unite/%E3%83%A4%E3%83%9F%E3%83%A9%E3%83%9F</x:v>
      </x:c>
      <x:c r="L99" s="12" t="str">
        <x:v>https://www.pokemonunite.jp/pokemon/</x:v>
      </x:c>
      <x:c r="M99" s="12" t="str">
        <x:v>https://uniteapi.dev/jp/meta</x:v>
      </x:c>
    </x:row>
    <x:row r="100">
      <x:c r="A100" s="12" t="n">
        <x:v>99</x:v>
      </x:c>
      <x:c r="B100" s="12" t="str">
        <x:v>ラティアス</x:v>
      </x:c>
      <x:c r="C100" s="12" t="str">
        <x:v>サポート型</x:v>
      </x:c>
      <x:c r="D100" s="12" t="str">
        <x:v>Enchanter</x:v>
      </x:c>
      <x:c r="E100" s="12" t="str">
        <x:v>BattleMage</x:v>
      </x:c>
      <x:c r="F100" s="12" t="str">
        <x:v>No</x:v>
      </x:c>
      <x:c r="G100" s="12" t="n">
        <x:v>1</x:v>
      </x:c>
      <x:c r="H100" s="12" t="str">
        <x:v>高</x:v>
      </x:c>
      <x:c r="I100" s="12" t="str">
        <x:v>2026-09-25</x:v>
      </x:c>
      <x:c r="J100" s="12" t="str"/>
      <x:c r="K100" s="12" t="str">
        <x:v>https://wikiwiki.jp/poke-unite/%E3%83%A9%E3%83%86%E3%82%A3%E3%82%A2%E3%82%B9</x:v>
      </x:c>
      <x:c r="L100" s="12" t="str">
        <x:v>https://www.pokemonunite.jp/pokemon/</x:v>
      </x:c>
      <x:c r="M100" s="12" t="str">
        <x:v>https://uniteapi.dev/jp/meta</x:v>
      </x:c>
    </x:row>
    <x:row r="101">
      <x:c r="A101" s="12" t="n">
        <x:v>100</x:v>
      </x:c>
      <x:c r="B101" s="12" t="str">
        <x:v>ワタシラガ</x:v>
      </x:c>
      <x:c r="C101" s="12" t="str">
        <x:v>サポート型</x:v>
      </x:c>
      <x:c r="D101" s="12" t="str">
        <x:v>Enchanter</x:v>
      </x:c>
      <x:c r="E101" s="12" t="str"/>
      <x:c r="F101" s="12" t="str">
        <x:v>Yes</x:v>
      </x:c>
      <x:c r="G101" s="12" t="n">
        <x:v>2</x:v>
      </x:c>
      <x:c r="H101" s="12" t="str">
        <x:v>高</x:v>
      </x:c>
      <x:c r="I101" s="12" t="str">
        <x:v>2026-09-25</x:v>
      </x:c>
      <x:c r="J101" s="12" t="str"/>
      <x:c r="K101" s="12" t="str">
        <x:v>https://wikiwiki.jp/poke-unite/%E3%83%AF%E3%82%BF%E3%82%B7%E3%83%A9%E3%82%AC</x:v>
      </x:c>
      <x:c r="L101" s="12" t="str">
        <x:v>https://www.pokemonunite.jp/pokemon/</x:v>
      </x:c>
      <x:c r="M101" s="12" t="str">
        <x:v>https://uniteapi.dev/jp/meta</x:v>
      </x:c>
    </x:row>
  </x:sheetData>
  <x:conditionalFormatting sqref="H2:H101">
    <x:cfRule type="expression" dxfId="0" priority="1">
      <x:formula>H2="低"</x:formula>
    </x:cfRule>
    <x:cfRule type="expression" dxfId="1" priority="2">
      <x:formula>H2="中"</x:formula>
    </x:cfRule>
  </x:conditionalFormatting>
  <x:conditionalFormatting sqref="F2:F101">
    <x:cfRule type="expression" dxfId="2" priority="3">
      <x:formula>F2="Yes"</x:formula>
    </x:cfRule>
  </x:conditionalFormatting>
  <x:pageMargins left="0.7" right="0.7" top="0.75" bottom="0.75" header="0.3" footer="0.3"/>
  <x:tableParts count="1">
    <x:tablePart xmlns:r="http://schemas.openxmlformats.org/officeDocument/2006/relationships" r:id="R7263ec3895384832"/>
  </x:tableParts>
</x:worksheet>
</file>

<file path=xl/worksheets/sheet3.xml><?xml version="1.0" encoding="utf-8"?>
<x:worksheet xmlns:x="http://schemas.openxmlformats.org/spreadsheetml/2006/main">
  <x:sheetFormatPr defaultRowHeight="15"/>
  <x:cols>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1" hidden="0" customWidth="1"/>
    <x:col min="28" max="28" width="11" hidden="0" customWidth="1"/>
    <x:col min="29" max="29" width="11" hidden="0" customWidth="1"/>
    <x:col min="30" max="30" width="11" hidden="0" customWidth="1"/>
    <x:col min="31" max="31" width="11" hidden="0" customWidth="1"/>
    <x:col min="32" max="32" width="11" hidden="0" customWidth="1"/>
    <x:col min="1" max="1" width="18" hidden="0" customWidth="1"/>
    <x:col min="2" max="2" width="13" hidden="0" customWidth="1"/>
    <x:col min="3" max="3" width="21" hidden="0" customWidth="1"/>
    <x:col min="4" max="4" width="26" hidden="0" customWidth="1"/>
    <x:col min="5" max="5" width="18" hidden="0" customWidth="1"/>
    <x:col min="6" max="6" width="18" hidden="0" customWidth="1"/>
    <x:col min="7" max="7" width="18" hidden="0" customWidth="1"/>
    <x:col min="8" max="8" width="34" hidden="0" customWidth="1"/>
    <x:col min="9" max="9" width="12" hidden="0" customWidth="1"/>
    <x:col min="10" max="10" width="12" hidden="0" customWidth="1"/>
    <x:col min="33" max="33" width="42" hidden="0" customWidth="1"/>
  </x:cols>
  <x:sheetData>
    <x:row r="1">
      <x:c r="A1" s="18" t="str">
        <x:v>Pokemon</x:v>
      </x:c>
      <x:c r="B1" s="18" t="str">
        <x:v>OfficialRole</x:v>
      </x:c>
      <x:c r="C1" s="18" t="str">
        <x:v>ProfileID</x:v>
      </x:c>
      <x:c r="D1" s="18" t="str">
        <x:v>ProfileName</x:v>
      </x:c>
      <x:c r="E1" s="18" t="str">
        <x:v>ProfileLabel</x:v>
      </x:c>
      <x:c r="F1" s="18" t="str">
        <x:v>PrimaryArchetype</x:v>
      </x:c>
      <x:c r="G1" s="18" t="str">
        <x:v>SecondaryArchetype</x:v>
      </x:c>
      <x:c r="H1" s="18" t="str">
        <x:v>SplitReason</x:v>
      </x:c>
      <x:c r="I1" s="18" t="str">
        <x:v>Confidence</x:v>
      </x:c>
      <x:c r="J1" s="18" t="str">
        <x:v>AsOf</x:v>
      </x:c>
      <x:c r="K1" s="18" t="str">
        <x:v>Engage</x:v>
      </x:c>
      <x:c r="L1" s="18" t="str">
        <x:v>Dive</x:v>
      </x:c>
      <x:c r="M1" s="18" t="str">
        <x:v>Peel</x:v>
      </x:c>
      <x:c r="N1" s="18" t="str">
        <x:v>Frontline</x:v>
      </x:c>
      <x:c r="O1" s="18" t="str">
        <x:v>Poke</x:v>
      </x:c>
      <x:c r="P1" s="18" t="str">
        <x:v>Burst</x:v>
      </x:c>
      <x:c r="Q1" s="18" t="str">
        <x:v>SustainDPS</x:v>
      </x:c>
      <x:c r="R1" s="18" t="str">
        <x:v>Control</x:v>
      </x:c>
      <x:c r="S1" s="18" t="str">
        <x:v>Support</x:v>
      </x:c>
      <x:c r="T1" s="18" t="str">
        <x:v>Mobility</x:v>
      </x:c>
      <x:c r="U1" s="18" t="str">
        <x:v>FarmScaling</x:v>
      </x:c>
      <x:c r="V1" s="18" t="str">
        <x:v>ObjectiveSecure</x:v>
      </x:c>
      <x:c r="W1" s="18" t="str">
        <x:v>ScoringSide</x:v>
      </x:c>
      <x:c r="X1" s="18" t="str">
        <x:v>Execution</x:v>
      </x:c>
      <x:c r="Y1" s="18" t="str">
        <x:v>Decision</x:v>
      </x:c>
      <x:c r="Z1" s="18" t="str">
        <x:v>P_Initiative</x:v>
      </x:c>
      <x:c r="AA1" s="18" t="str">
        <x:v>P_RiskTolerance</x:v>
      </x:c>
      <x:c r="AB1" s="18" t="str">
        <x:v>P_Cooperation</x:v>
      </x:c>
      <x:c r="AC1" s="18" t="str">
        <x:v>P_SelfReliance</x:v>
      </x:c>
      <x:c r="AD1" s="18" t="str">
        <x:v>P_Planning</x:v>
      </x:c>
      <x:c r="AE1" s="18" t="str">
        <x:v>P_Adaptability</x:v>
      </x:c>
      <x:c r="AF1" s="18" t="str">
        <x:v>P_Mastery</x:v>
      </x:c>
      <x:c r="AG1" s="18" t="str">
        <x:v>SourceURL</x:v>
      </x:c>
    </x:row>
    <x:row r="2">
      <x:c r="A2" s="12" t="str">
        <x:v>アローラキュウコン</x:v>
      </x:c>
      <x:c r="B2" s="12" t="str">
        <x:v>アタック型</x:v>
      </x:c>
      <x:c r="C2" s="12" t="str">
        <x:v>アローラキュウコン-1</x:v>
      </x:c>
      <x:c r="D2" s="12" t="str">
        <x:v>ゆきなだれ＋ふぶき</x:v>
      </x:c>
      <x:c r="E2" s="12" t="str">
        <x:v>Control Burst Mage</x:v>
      </x:c>
      <x:c r="F2" s="12" t="str">
        <x:v>BurstMage</x:v>
      </x:c>
      <x:c r="G2" s="12" t="str"/>
      <x:c r="H2" s="12" t="str">
        <x:v>遠隔コンボ・ゾーニング</x:v>
      </x:c>
      <x:c r="I2" s="12" t="str">
        <x:v>高</x:v>
      </x:c>
      <x:c r="J2" s="12" t="str">
        <x:v>2026-09-25</x:v>
      </x:c>
      <x:c r="K2" s="12" t="n">
        <x:v>30</x:v>
      </x:c>
      <x:c r="L2" s="12" t="n">
        <x:v>10</x:v>
      </x:c>
      <x:c r="M2" s="12" t="n">
        <x:v>40</x:v>
      </x:c>
      <x:c r="N2" s="12" t="n">
        <x:v>10</x:v>
      </x:c>
      <x:c r="O2" s="12" t="n">
        <x:v>95</x:v>
      </x:c>
      <x:c r="P2" s="12" t="n">
        <x:v>100</x:v>
      </x:c>
      <x:c r="Q2" s="12" t="n">
        <x:v>50</x:v>
      </x:c>
      <x:c r="R2" s="12" t="n">
        <x:v>80</x:v>
      </x:c>
      <x:c r="S2" s="12" t="n">
        <x:v>10</x:v>
      </x:c>
      <x:c r="T2" s="12" t="n">
        <x:v>30</x:v>
      </x:c>
      <x:c r="U2" s="12" t="n">
        <x:v>65</x:v>
      </x:c>
      <x:c r="V2" s="12" t="n">
        <x:v>70</x:v>
      </x:c>
      <x:c r="W2" s="12" t="n">
        <x:v>35</x:v>
      </x:c>
      <x:c r="X2" s="12" t="n">
        <x:v>65</x:v>
      </x:c>
      <x:c r="Y2" s="12" t="n">
        <x:v>75</x:v>
      </x:c>
      <x:c r="Z2" s="12" t="n">
        <x:f>ROUND(0.38*K2+0.30*L2+0.17*P2+0.15*Y2,0)</x:f>
        <x:v>43</x:v>
      </x:c>
      <x:c r="AA2" s="12" t="n">
        <x:f>ROUND(0.38*L2+0.25*P2+0.20*T2+0.17*(100-M2),0)</x:f>
        <x:v>45</x:v>
      </x:c>
      <x:c r="AB2" s="12" t="n">
        <x:f>ROUND(0.32*M2+0.26*S2+0.24*R2+0.18*K2,0)</x:f>
        <x:v>40</x:v>
      </x:c>
      <x:c r="AC2" s="12" t="n">
        <x:f>ROUND(0.27*Q2+0.24*T2+0.22*N2+0.15*P2+0.12*V2,0)</x:f>
        <x:v>46</x:v>
      </x:c>
      <x:c r="AD2" s="12" t="n">
        <x:f>ROUND(0.28*O2+0.28*R2+0.28*Y2+0.16*(100-L2),0)</x:f>
        <x:v>84</x:v>
      </x:c>
      <x:c r="AE2" s="12" t="n">
        <x:f>ROUND(0.35*Y2+0.22*T2+0.18*R2+0.13*S2+0.12*X2,0)</x:f>
        <x:v>56</x:v>
      </x:c>
      <x:c r="AF2" s="12" t="n">
        <x:f>ROUND(0.72*X2+0.28*Y2,0)</x:f>
        <x:v>68</x:v>
      </x:c>
      <x:c r="AG2" s="12" t="str">
        <x:v>https://wikiwiki.jp/poke-unite/%E3%82%A2%E3%83%AD%E3%83%BC%E3%83%A9%E3%82%AD%E3%83%A5%E3%82%A6%E3%82%B3%E3%83%B3</x:v>
      </x:c>
    </x:row>
    <x:row r="3">
      <x:c r="A3" s="12" t="str">
        <x:v>アローラキュウコン</x:v>
      </x:c>
      <x:c r="B3" s="12" t="str">
        <x:v>アタック型</x:v>
      </x:c>
      <x:c r="C3" s="12" t="str">
        <x:v>アローラキュウコン-2</x:v>
      </x:c>
      <x:c r="D3" s="12" t="str">
        <x:v>マジカルシャイン＋オーロラベール</x:v>
      </x:c>
      <x:c r="E3" s="12" t="str">
        <x:v>Peel Marksman</x:v>
      </x:c>
      <x:c r="F3" s="12" t="str">
        <x:v>Marksman</x:v>
      </x:c>
      <x:c r="G3" s="12" t="str">
        <x:v>Warden</x:v>
      </x:c>
      <x:c r="H3" s="12" t="str">
        <x:v>迎撃・ベール内AAで持久戦</x:v>
      </x:c>
      <x:c r="I3" s="12" t="str">
        <x:v>高</x:v>
      </x:c>
      <x:c r="J3" s="12" t="str">
        <x:v>2026-09-25</x:v>
      </x:c>
      <x:c r="K3" s="12" t="n">
        <x:v>30</x:v>
      </x:c>
      <x:c r="L3" s="12" t="n">
        <x:v>15</x:v>
      </x:c>
      <x:c r="M3" s="12" t="n">
        <x:v>55</x:v>
      </x:c>
      <x:c r="N3" s="12" t="n">
        <x:v>35</x:v>
      </x:c>
      <x:c r="O3" s="12" t="n">
        <x:v>55</x:v>
      </x:c>
      <x:c r="P3" s="12" t="n">
        <x:v>45</x:v>
      </x:c>
      <x:c r="Q3" s="12" t="n">
        <x:v>85</x:v>
      </x:c>
      <x:c r="R3" s="12" t="n">
        <x:v>40</x:v>
      </x:c>
      <x:c r="S3" s="12" t="n">
        <x:v>30</x:v>
      </x:c>
      <x:c r="T3" s="12" t="n">
        <x:v>40</x:v>
      </x:c>
      <x:c r="U3" s="12" t="n">
        <x:v>70</x:v>
      </x:c>
      <x:c r="V3" s="12" t="n">
        <x:v>85</x:v>
      </x:c>
      <x:c r="W3" s="12" t="n">
        <x:v>45</x:v>
      </x:c>
      <x:c r="X3" s="12" t="n">
        <x:v>60</x:v>
      </x:c>
      <x:c r="Y3" s="12" t="n">
        <x:v>75</x:v>
      </x:c>
      <x:c r="Z3" s="12" t="n">
        <x:f>ROUND(0.38*K3+0.30*L3+0.17*P3+0.15*Y3,0)</x:f>
        <x:v>35</x:v>
      </x:c>
      <x:c r="AA3" s="12" t="n">
        <x:f>ROUND(0.38*L3+0.25*P3+0.20*T3+0.17*(100-M3),0)</x:f>
        <x:v>33</x:v>
      </x:c>
      <x:c r="AB3" s="12" t="n">
        <x:f>ROUND(0.32*M3+0.26*S3+0.24*R3+0.18*K3,0)</x:f>
        <x:v>40</x:v>
      </x:c>
      <x:c r="AC3" s="12" t="n">
        <x:f>ROUND(0.27*Q3+0.24*T3+0.22*N3+0.15*P3+0.12*V3,0)</x:f>
        <x:v>57</x:v>
      </x:c>
      <x:c r="AD3" s="12" t="n">
        <x:f>ROUND(0.28*O3+0.28*R3+0.28*Y3+0.16*(100-L3),0)</x:f>
        <x:v>61</x:v>
      </x:c>
      <x:c r="AE3" s="12" t="n">
        <x:f>ROUND(0.35*Y3+0.22*T3+0.18*R3+0.13*S3+0.12*X3,0)</x:f>
        <x:v>53</x:v>
      </x:c>
      <x:c r="AF3" s="12" t="n">
        <x:f>ROUND(0.72*X3+0.28*Y3,0)</x:f>
        <x:v>64</x:v>
      </x:c>
      <x:c r="AG3" s="12" t="str">
        <x:v>https://wikiwiki.jp/poke-unite/%E3%82%A2%E3%83%AD%E3%83%BC%E3%83%A9%E3%82%AD%E3%83%A5%E3%82%A6%E3%82%B3%E3%83%B3</x:v>
      </x:c>
    </x:row>
    <x:row r="4">
      <x:c r="A4" s="12" t="str">
        <x:v>アローラライチュウ</x:v>
      </x:c>
      <x:c r="B4" s="12" t="str">
        <x:v>アタック型</x:v>
      </x:c>
      <x:c r="C4" s="12" t="str">
        <x:v>アローラライチュウ-1</x:v>
      </x:c>
      <x:c r="D4" s="12" t="str">
        <x:v>共通プロファイル</x:v>
      </x:c>
      <x:c r="E4" s="12" t="str">
        <x:v>BattleMage</x:v>
      </x:c>
      <x:c r="F4" s="12" t="str">
        <x:v>BattleMage</x:v>
      </x:c>
      <x:c r="G4" s="12" t="str"/>
      <x:c r="H4" s="12" t="str">
        <x:v>技選択で主役割が大きく変わらないため統合</x:v>
      </x:c>
      <x:c r="I4" s="12" t="str">
        <x:v>高</x:v>
      </x:c>
      <x:c r="J4" s="12" t="str">
        <x:v>2026-09-25</x:v>
      </x:c>
      <x:c r="K4" s="12" t="n">
        <x:v>40</x:v>
      </x:c>
      <x:c r="L4" s="12" t="n">
        <x:v>35</x:v>
      </x:c>
      <x:c r="M4" s="12" t="n">
        <x:v>30</x:v>
      </x:c>
      <x:c r="N4" s="12" t="n">
        <x:v>30</x:v>
      </x:c>
      <x:c r="O4" s="12" t="n">
        <x:v>65</x:v>
      </x:c>
      <x:c r="P4" s="12" t="n">
        <x:v>65</x:v>
      </x:c>
      <x:c r="Q4" s="12" t="n">
        <x:v>95</x:v>
      </x:c>
      <x:c r="R4" s="12" t="n">
        <x:v>45</x:v>
      </x:c>
      <x:c r="S4" s="12" t="n">
        <x:v>15</x:v>
      </x:c>
      <x:c r="T4" s="12" t="n">
        <x:v>65</x:v>
      </x:c>
      <x:c r="U4" s="12" t="n">
        <x:v>70</x:v>
      </x:c>
      <x:c r="V4" s="12" t="n">
        <x:v>70</x:v>
      </x:c>
      <x:c r="W4" s="12" t="n">
        <x:v>45</x:v>
      </x:c>
      <x:c r="X4" s="12" t="n">
        <x:v>65</x:v>
      </x:c>
      <x:c r="Y4" s="12" t="n">
        <x:v>70</x:v>
      </x:c>
      <x:c r="Z4" s="12" t="n">
        <x:f>ROUND(0.38*K4+0.30*L4+0.17*P4+0.15*Y4,0)</x:f>
        <x:v>47</x:v>
      </x:c>
      <x:c r="AA4" s="12" t="n">
        <x:f>ROUND(0.38*L4+0.25*P4+0.20*T4+0.17*(100-M4),0)</x:f>
        <x:v>54</x:v>
      </x:c>
      <x:c r="AB4" s="12" t="n">
        <x:f>ROUND(0.32*M4+0.26*S4+0.24*R4+0.18*K4,0)</x:f>
        <x:v>31</x:v>
      </x:c>
      <x:c r="AC4" s="12" t="n">
        <x:f>ROUND(0.27*Q4+0.24*T4+0.22*N4+0.15*P4+0.12*V4,0)</x:f>
        <x:v>66</x:v>
      </x:c>
      <x:c r="AD4" s="12" t="n">
        <x:f>ROUND(0.28*O4+0.28*R4+0.28*Y4+0.16*(100-L4),0)</x:f>
        <x:v>61</x:v>
      </x:c>
      <x:c r="AE4" s="12" t="n">
        <x:f>ROUND(0.35*Y4+0.22*T4+0.18*R4+0.13*S4+0.12*X4,0)</x:f>
        <x:v>57</x:v>
      </x:c>
      <x:c r="AF4" s="12" t="n">
        <x:f>ROUND(0.72*X4+0.28*Y4,0)</x:f>
        <x:v>66</x:v>
      </x:c>
      <x:c r="AG4" s="12" t="str">
        <x:v>https://wikiwiki.jp/poke-unite/%E3%82%A2%E3%83%AD%E3%83%BC%E3%83%A9%E3%83%A9%E3%82%A4%E3%83%81%E3%83%A5%E3%82%A6</x:v>
      </x:c>
    </x:row>
    <x:row r="5">
      <x:c r="A5" s="12" t="str">
        <x:v>イベルタル</x:v>
      </x:c>
      <x:c r="B5" s="12" t="str">
        <x:v>アタック型</x:v>
      </x:c>
      <x:c r="C5" s="12" t="str">
        <x:v>イベルタル-1</x:v>
      </x:c>
      <x:c r="D5" s="12" t="str">
        <x:v>共通プロファイル</x:v>
      </x:c>
      <x:c r="E5" s="12" t="str">
        <x:v>BurstMage</x:v>
      </x:c>
      <x:c r="F5" s="12" t="str">
        <x:v>BurstMage</x:v>
      </x:c>
      <x:c r="G5" s="12" t="str"/>
      <x:c r="H5" s="12" t="str">
        <x:v>技選択で主役割が大きく変わらないため統合</x:v>
      </x:c>
      <x:c r="I5" s="12" t="str">
        <x:v>高</x:v>
      </x:c>
      <x:c r="J5" s="12" t="str">
        <x:v>2026-09-25</x:v>
      </x:c>
      <x:c r="K5" s="12" t="n">
        <x:v>30</x:v>
      </x:c>
      <x:c r="L5" s="12" t="n">
        <x:v>10</x:v>
      </x:c>
      <x:c r="M5" s="12" t="n">
        <x:v>40</x:v>
      </x:c>
      <x:c r="N5" s="12" t="n">
        <x:v>20</x:v>
      </x:c>
      <x:c r="O5" s="12" t="n">
        <x:v>90</x:v>
      </x:c>
      <x:c r="P5" s="12" t="n">
        <x:v>95</x:v>
      </x:c>
      <x:c r="Q5" s="12" t="n">
        <x:v>50</x:v>
      </x:c>
      <x:c r="R5" s="12" t="n">
        <x:v>65</x:v>
      </x:c>
      <x:c r="S5" s="12" t="n">
        <x:v>15</x:v>
      </x:c>
      <x:c r="T5" s="12" t="n">
        <x:v>25</x:v>
      </x:c>
      <x:c r="U5" s="12" t="n">
        <x:v>65</x:v>
      </x:c>
      <x:c r="V5" s="12" t="n">
        <x:v>85</x:v>
      </x:c>
      <x:c r="W5" s="12" t="n">
        <x:v>35</x:v>
      </x:c>
      <x:c r="X5" s="12" t="n">
        <x:v>65</x:v>
      </x:c>
      <x:c r="Y5" s="12" t="n">
        <x:v>75</x:v>
      </x:c>
      <x:c r="Z5" s="12" t="n">
        <x:f>ROUND(0.38*K5+0.30*L5+0.17*P5+0.15*Y5,0)</x:f>
        <x:v>42</x:v>
      </x:c>
      <x:c r="AA5" s="12" t="n">
        <x:f>ROUND(0.38*L5+0.25*P5+0.20*T5+0.17*(100-M5),0)</x:f>
        <x:v>43</x:v>
      </x:c>
      <x:c r="AB5" s="12" t="n">
        <x:f>ROUND(0.32*M5+0.26*S5+0.24*R5+0.18*K5,0)</x:f>
        <x:v>38</x:v>
      </x:c>
      <x:c r="AC5" s="12" t="n">
        <x:f>ROUND(0.27*Q5+0.24*T5+0.22*N5+0.15*P5+0.12*V5,0)</x:f>
        <x:v>48</x:v>
      </x:c>
      <x:c r="AD5" s="12" t="n">
        <x:f>ROUND(0.28*O5+0.28*R5+0.28*Y5+0.16*(100-L5),0)</x:f>
        <x:v>79</x:v>
      </x:c>
      <x:c r="AE5" s="12" t="n">
        <x:f>ROUND(0.35*Y5+0.22*T5+0.18*R5+0.13*S5+0.12*X5,0)</x:f>
        <x:v>53</x:v>
      </x:c>
      <x:c r="AF5" s="12" t="n">
        <x:f>ROUND(0.72*X5+0.28*Y5,0)</x:f>
        <x:v>68</x:v>
      </x:c>
      <x:c r="AG5" s="12" t="str">
        <x:v>https://wikiwiki.jp/poke-unite/%E3%82%A4%E3%83%99%E3%83%AB%E3%82%BF%E3%83%AB</x:v>
      </x:c>
    </x:row>
    <x:row r="6">
      <x:c r="A6" s="12" t="str">
        <x:v>インテレオン</x:v>
      </x:c>
      <x:c r="B6" s="12" t="str">
        <x:v>アタック型</x:v>
      </x:c>
      <x:c r="C6" s="12" t="str">
        <x:v>インテレオン-1</x:v>
      </x:c>
      <x:c r="D6" s="12" t="str">
        <x:v>ねらいうち＋とどめばり</x:v>
      </x:c>
      <x:c r="E6" s="12" t="str">
        <x:v>Sniper</x:v>
      </x:c>
      <x:c r="F6" s="12" t="str">
        <x:v>Artillery</x:v>
      </x:c>
      <x:c r="G6" s="12" t="str"/>
      <x:c r="H6" s="12" t="str">
        <x:v>超長射程スナイプ</x:v>
      </x:c>
      <x:c r="I6" s="12" t="str">
        <x:v>高</x:v>
      </x:c>
      <x:c r="J6" s="12" t="str">
        <x:v>2026-09-25</x:v>
      </x:c>
      <x:c r="K6" s="12" t="n">
        <x:v>20</x:v>
      </x:c>
      <x:c r="L6" s="12" t="n">
        <x:v>5</x:v>
      </x:c>
      <x:c r="M6" s="12" t="n">
        <x:v>20</x:v>
      </x:c>
      <x:c r="N6" s="12" t="n">
        <x:v>5</x:v>
      </x:c>
      <x:c r="O6" s="12" t="n">
        <x:v>100</x:v>
      </x:c>
      <x:c r="P6" s="12" t="n">
        <x:v>100</x:v>
      </x:c>
      <x:c r="Q6" s="12" t="n">
        <x:v>60</x:v>
      </x:c>
      <x:c r="R6" s="12" t="n">
        <x:v>45</x:v>
      </x:c>
      <x:c r="S6" s="12" t="n">
        <x:v>10</x:v>
      </x:c>
      <x:c r="T6" s="12" t="n">
        <x:v>20</x:v>
      </x:c>
      <x:c r="U6" s="12" t="n">
        <x:v>70</x:v>
      </x:c>
      <x:c r="V6" s="12" t="n">
        <x:v>85</x:v>
      </x:c>
      <x:c r="W6" s="12" t="n">
        <x:v>30</x:v>
      </x:c>
      <x:c r="X6" s="12" t="n">
        <x:v>90</x:v>
      </x:c>
      <x:c r="Y6" s="12" t="n">
        <x:v>80</x:v>
      </x:c>
      <x:c r="Z6" s="12" t="n">
        <x:f>ROUND(0.38*K6+0.30*L6+0.17*P6+0.15*Y6,0)</x:f>
        <x:v>38</x:v>
      </x:c>
      <x:c r="AA6" s="12" t="n">
        <x:f>ROUND(0.38*L6+0.25*P6+0.20*T6+0.17*(100-M6),0)</x:f>
        <x:v>45</x:v>
      </x:c>
      <x:c r="AB6" s="12" t="n">
        <x:f>ROUND(0.32*M6+0.26*S6+0.24*R6+0.18*K6,0)</x:f>
        <x:v>23</x:v>
      </x:c>
      <x:c r="AC6" s="12" t="n">
        <x:f>ROUND(0.27*Q6+0.24*T6+0.22*N6+0.15*P6+0.12*V6,0)</x:f>
        <x:v>47</x:v>
      </x:c>
      <x:c r="AD6" s="12" t="n">
        <x:f>ROUND(0.28*O6+0.28*R6+0.28*Y6+0.16*(100-L6),0)</x:f>
        <x:v>78</x:v>
      </x:c>
      <x:c r="AE6" s="12" t="n">
        <x:f>ROUND(0.35*Y6+0.22*T6+0.18*R6+0.13*S6+0.12*X6,0)</x:f>
        <x:v>53</x:v>
      </x:c>
      <x:c r="AF6" s="12" t="n">
        <x:f>ROUND(0.72*X6+0.28*Y6,0)</x:f>
        <x:v>87</x:v>
      </x:c>
      <x:c r="AG6" s="12" t="str">
        <x:v>https://wikiwiki.jp/poke-unite/%E3%82%A4%E3%83%B3%E3%83%86%E3%83%AC%E3%82%AA%E3%83%B3</x:v>
      </x:c>
    </x:row>
    <x:row r="7">
      <x:c r="A7" s="12" t="str">
        <x:v>インテレオン</x:v>
      </x:c>
      <x:c r="B7" s="12" t="str">
        <x:v>アタック型</x:v>
      </x:c>
      <x:c r="C7" s="12" t="str">
        <x:v>インテレオン-2</x:v>
      </x:c>
      <x:c r="D7" s="12" t="str">
        <x:v>アクアブレイク＋アクロバット</x:v>
      </x:c>
      <x:c r="E7" s="12" t="str">
        <x:v>Mobile Carry</x:v>
      </x:c>
      <x:c r="F7" s="12" t="str">
        <x:v>BattleMage</x:v>
      </x:c>
      <x:c r="G7" s="12" t="str">
        <x:v>Marksman</x:v>
      </x:c>
      <x:c r="H7" s="12" t="str">
        <x:v>中距離カイト・継続戦</x:v>
      </x:c>
      <x:c r="I7" s="12" t="str">
        <x:v>高</x:v>
      </x:c>
      <x:c r="J7" s="12" t="str">
        <x:v>2026-09-25</x:v>
      </x:c>
      <x:c r="K7" s="12" t="n">
        <x:v>35</x:v>
      </x:c>
      <x:c r="L7" s="12" t="n">
        <x:v>30</x:v>
      </x:c>
      <x:c r="M7" s="12" t="n">
        <x:v>30</x:v>
      </x:c>
      <x:c r="N7" s="12" t="n">
        <x:v>25</x:v>
      </x:c>
      <x:c r="O7" s="12" t="n">
        <x:v>50</x:v>
      </x:c>
      <x:c r="P7" s="12" t="n">
        <x:v>60</x:v>
      </x:c>
      <x:c r="Q7" s="12" t="n">
        <x:v>100</x:v>
      </x:c>
      <x:c r="R7" s="12" t="n">
        <x:v>40</x:v>
      </x:c>
      <x:c r="S7" s="12" t="n">
        <x:v>10</x:v>
      </x:c>
      <x:c r="T7" s="12" t="n">
        <x:v>65</x:v>
      </x:c>
      <x:c r="U7" s="12" t="n">
        <x:v>75</x:v>
      </x:c>
      <x:c r="V7" s="12" t="n">
        <x:v>85</x:v>
      </x:c>
      <x:c r="W7" s="12" t="n">
        <x:v>45</x:v>
      </x:c>
      <x:c r="X7" s="12" t="n">
        <x:v>70</x:v>
      </x:c>
      <x:c r="Y7" s="12" t="n">
        <x:v>70</x:v>
      </x:c>
      <x:c r="Z7" s="12" t="n">
        <x:f>ROUND(0.38*K7+0.30*L7+0.17*P7+0.15*Y7,0)</x:f>
        <x:v>43</x:v>
      </x:c>
      <x:c r="AA7" s="12" t="n">
        <x:f>ROUND(0.38*L7+0.25*P7+0.20*T7+0.17*(100-M7),0)</x:f>
        <x:v>51</x:v>
      </x:c>
      <x:c r="AB7" s="12" t="n">
        <x:f>ROUND(0.32*M7+0.26*S7+0.24*R7+0.18*K7,0)</x:f>
        <x:v>28</x:v>
      </x:c>
      <x:c r="AC7" s="12" t="n">
        <x:f>ROUND(0.27*Q7+0.24*T7+0.22*N7+0.15*P7+0.12*V7,0)</x:f>
        <x:v>67</x:v>
      </x:c>
      <x:c r="AD7" s="12" t="n">
        <x:f>ROUND(0.28*O7+0.28*R7+0.28*Y7+0.16*(100-L7),0)</x:f>
        <x:v>56</x:v>
      </x:c>
      <x:c r="AE7" s="12" t="n">
        <x:f>ROUND(0.35*Y7+0.22*T7+0.18*R7+0.13*S7+0.12*X7,0)</x:f>
        <x:v>56</x:v>
      </x:c>
      <x:c r="AF7" s="12" t="n">
        <x:f>ROUND(0.72*X7+0.28*Y7,0)</x:f>
        <x:v>70</x:v>
      </x:c>
      <x:c r="AG7" s="12" t="str">
        <x:v>https://wikiwiki.jp/poke-unite/%E3%82%A4%E3%83%B3%E3%83%86%E3%83%AC%E3%82%AA%E3%83%B3</x:v>
      </x:c>
    </x:row>
    <x:row r="8">
      <x:c r="A8" s="12" t="str">
        <x:v>ウッウ</x:v>
      </x:c>
      <x:c r="B8" s="12" t="str">
        <x:v>アタック型</x:v>
      </x:c>
      <x:c r="C8" s="12" t="str">
        <x:v>ウッウ-1</x:v>
      </x:c>
      <x:c r="D8" s="12" t="str">
        <x:v>なみのり＋ぼうふう</x:v>
      </x:c>
      <x:c r="E8" s="12" t="str">
        <x:v>Control Mage</x:v>
      </x:c>
      <x:c r="F8" s="12" t="str">
        <x:v>BurstMage</x:v>
      </x:c>
      <x:c r="G8" s="12" t="str"/>
      <x:c r="H8" s="12" t="str">
        <x:v>遠隔CCと範囲バースト</x:v>
      </x:c>
      <x:c r="I8" s="12" t="str">
        <x:v>高</x:v>
      </x:c>
      <x:c r="J8" s="12" t="str">
        <x:v>2026-09-25</x:v>
      </x:c>
      <x:c r="K8" s="12" t="n">
        <x:v>30</x:v>
      </x:c>
      <x:c r="L8" s="12" t="n">
        <x:v>10</x:v>
      </x:c>
      <x:c r="M8" s="12" t="n">
        <x:v>40</x:v>
      </x:c>
      <x:c r="N8" s="12" t="n">
        <x:v>10</x:v>
      </x:c>
      <x:c r="O8" s="12" t="n">
        <x:v>95</x:v>
      </x:c>
      <x:c r="P8" s="12" t="n">
        <x:v>95</x:v>
      </x:c>
      <x:c r="Q8" s="12" t="n">
        <x:v>50</x:v>
      </x:c>
      <x:c r="R8" s="12" t="n">
        <x:v>80</x:v>
      </x:c>
      <x:c r="S8" s="12" t="n">
        <x:v>15</x:v>
      </x:c>
      <x:c r="T8" s="12" t="n">
        <x:v>20</x:v>
      </x:c>
      <x:c r="U8" s="12" t="n">
        <x:v>65</x:v>
      </x:c>
      <x:c r="V8" s="12" t="n">
        <x:v>70</x:v>
      </x:c>
      <x:c r="W8" s="12" t="n">
        <x:v>35</x:v>
      </x:c>
      <x:c r="X8" s="12" t="n">
        <x:v>65</x:v>
      </x:c>
      <x:c r="Y8" s="12" t="n">
        <x:v>75</x:v>
      </x:c>
      <x:c r="Z8" s="12" t="n">
        <x:f>ROUND(0.38*K8+0.30*L8+0.17*P8+0.15*Y8,0)</x:f>
        <x:v>42</x:v>
      </x:c>
      <x:c r="AA8" s="12" t="n">
        <x:f>ROUND(0.38*L8+0.25*P8+0.20*T8+0.17*(100-M8),0)</x:f>
        <x:v>42</x:v>
      </x:c>
      <x:c r="AB8" s="12" t="n">
        <x:f>ROUND(0.32*M8+0.26*S8+0.24*R8+0.18*K8,0)</x:f>
        <x:v>41</x:v>
      </x:c>
      <x:c r="AC8" s="12" t="n">
        <x:f>ROUND(0.27*Q8+0.24*T8+0.22*N8+0.15*P8+0.12*V8,0)</x:f>
        <x:v>43</x:v>
      </x:c>
      <x:c r="AD8" s="12" t="n">
        <x:f>ROUND(0.28*O8+0.28*R8+0.28*Y8+0.16*(100-L8),0)</x:f>
        <x:v>84</x:v>
      </x:c>
      <x:c r="AE8" s="12" t="n">
        <x:f>ROUND(0.35*Y8+0.22*T8+0.18*R8+0.13*S8+0.12*X8,0)</x:f>
        <x:v>55</x:v>
      </x:c>
      <x:c r="AF8" s="12" t="n">
        <x:f>ROUND(0.72*X8+0.28*Y8,0)</x:f>
        <x:v>68</x:v>
      </x:c>
      <x:c r="AG8" s="12" t="str">
        <x:v>https://wikiwiki.jp/poke-unite/%E3%82%A6%E3%83%83%E3%82%A6</x:v>
      </x:c>
    </x:row>
    <x:row r="9">
      <x:c r="A9" s="12" t="str">
        <x:v>ウッウ</x:v>
      </x:c>
      <x:c r="B9" s="12" t="str">
        <x:v>アタック型</x:v>
      </x:c>
      <x:c r="C9" s="12" t="str">
        <x:v>ウッウ-2</x:v>
      </x:c>
      <x:c r="D9" s="12" t="str">
        <x:v>ダイビング＋エアスラッシュ</x:v>
      </x:c>
      <x:c r="E9" s="12" t="str">
        <x:v>Mobile Battlemage</x:v>
      </x:c>
      <x:c r="F9" s="12" t="str">
        <x:v>BattleMage</x:v>
      </x:c>
      <x:c r="G9" s="12" t="str"/>
      <x:c r="H9" s="12" t="str">
        <x:v>高機動近中距離戦</x:v>
      </x:c>
      <x:c r="I9" s="12" t="str">
        <x:v>高</x:v>
      </x:c>
      <x:c r="J9" s="12" t="str">
        <x:v>2026-09-25</x:v>
      </x:c>
      <x:c r="K9" s="12" t="n">
        <x:v>40</x:v>
      </x:c>
      <x:c r="L9" s="12" t="n">
        <x:v>45</x:v>
      </x:c>
      <x:c r="M9" s="12" t="n">
        <x:v>30</x:v>
      </x:c>
      <x:c r="N9" s="12" t="n">
        <x:v>30</x:v>
      </x:c>
      <x:c r="O9" s="12" t="n">
        <x:v>50</x:v>
      </x:c>
      <x:c r="P9" s="12" t="n">
        <x:v>65</x:v>
      </x:c>
      <x:c r="Q9" s="12" t="n">
        <x:v>95</x:v>
      </x:c>
      <x:c r="R9" s="12" t="n">
        <x:v>45</x:v>
      </x:c>
      <x:c r="S9" s="12" t="n">
        <x:v>15</x:v>
      </x:c>
      <x:c r="T9" s="12" t="n">
        <x:v>75</x:v>
      </x:c>
      <x:c r="U9" s="12" t="n">
        <x:v>70</x:v>
      </x:c>
      <x:c r="V9" s="12" t="n">
        <x:v>80</x:v>
      </x:c>
      <x:c r="W9" s="12" t="n">
        <x:v>45</x:v>
      </x:c>
      <x:c r="X9" s="12" t="n">
        <x:v>75</x:v>
      </x:c>
      <x:c r="Y9" s="12" t="n">
        <x:v>70</x:v>
      </x:c>
      <x:c r="Z9" s="12" t="n">
        <x:f>ROUND(0.38*K9+0.30*L9+0.17*P9+0.15*Y9,0)</x:f>
        <x:v>50</x:v>
      </x:c>
      <x:c r="AA9" s="12" t="n">
        <x:f>ROUND(0.38*L9+0.25*P9+0.20*T9+0.17*(100-M9),0)</x:f>
        <x:v>60</x:v>
      </x:c>
      <x:c r="AB9" s="12" t="n">
        <x:f>ROUND(0.32*M9+0.26*S9+0.24*R9+0.18*K9,0)</x:f>
        <x:v>31</x:v>
      </x:c>
      <x:c r="AC9" s="12" t="n">
        <x:f>ROUND(0.27*Q9+0.24*T9+0.22*N9+0.15*P9+0.12*V9,0)</x:f>
        <x:v>70</x:v>
      </x:c>
      <x:c r="AD9" s="12" t="n">
        <x:f>ROUND(0.28*O9+0.28*R9+0.28*Y9+0.16*(100-L9),0)</x:f>
        <x:v>55</x:v>
      </x:c>
      <x:c r="AE9" s="12" t="n">
        <x:f>ROUND(0.35*Y9+0.22*T9+0.18*R9+0.13*S9+0.12*X9,0)</x:f>
        <x:v>60</x:v>
      </x:c>
      <x:c r="AF9" s="12" t="n">
        <x:f>ROUND(0.72*X9+0.28*Y9,0)</x:f>
        <x:v>74</x:v>
      </x:c>
      <x:c r="AG9" s="12" t="str">
        <x:v>https://wikiwiki.jp/poke-unite/%E3%82%A6%E3%83%83%E3%82%A6</x:v>
      </x:c>
    </x:row>
    <x:row r="10">
      <x:c r="A10" s="12" t="str">
        <x:v>エースバーン</x:v>
      </x:c>
      <x:c r="B10" s="12" t="str">
        <x:v>アタック型</x:v>
      </x:c>
      <x:c r="C10" s="12" t="str">
        <x:v>エースバーン-1</x:v>
      </x:c>
      <x:c r="D10" s="12" t="str">
        <x:v>共通プロファイル</x:v>
      </x:c>
      <x:c r="E10" s="12" t="str">
        <x:v>Marksman</x:v>
      </x:c>
      <x:c r="F10" s="12" t="str">
        <x:v>Marksman</x:v>
      </x:c>
      <x:c r="G10" s="12" t="str"/>
      <x:c r="H10" s="12" t="str">
        <x:v>技選択で主役割が大きく変わらないため統合</x:v>
      </x:c>
      <x:c r="I10" s="12" t="str">
        <x:v>高</x:v>
      </x:c>
      <x:c r="J10" s="12" t="str">
        <x:v>2026-09-25</x:v>
      </x:c>
      <x:c r="K10" s="12" t="n">
        <x:v>20</x:v>
      </x:c>
      <x:c r="L10" s="12" t="n">
        <x:v>10</x:v>
      </x:c>
      <x:c r="M10" s="12" t="n">
        <x:v>20</x:v>
      </x:c>
      <x:c r="N10" s="12" t="n">
        <x:v>10</x:v>
      </x:c>
      <x:c r="O10" s="12" t="n">
        <x:v>70</x:v>
      </x:c>
      <x:c r="P10" s="12" t="n">
        <x:v>50</x:v>
      </x:c>
      <x:c r="Q10" s="12" t="n">
        <x:v>100</x:v>
      </x:c>
      <x:c r="R10" s="12" t="n">
        <x:v>20</x:v>
      </x:c>
      <x:c r="S10" s="12" t="n">
        <x:v>10</x:v>
      </x:c>
      <x:c r="T10" s="12" t="n">
        <x:v>50</x:v>
      </x:c>
      <x:c r="U10" s="12" t="n">
        <x:v>85</x:v>
      </x:c>
      <x:c r="V10" s="12" t="n">
        <x:v>100</x:v>
      </x:c>
      <x:c r="W10" s="12" t="n">
        <x:v>50</x:v>
      </x:c>
      <x:c r="X10" s="12" t="n">
        <x:v>65</x:v>
      </x:c>
      <x:c r="Y10" s="12" t="n">
        <x:v>70</x:v>
      </x:c>
      <x:c r="Z10" s="12" t="n">
        <x:f>ROUND(0.38*K10+0.30*L10+0.17*P10+0.15*Y10,0)</x:f>
        <x:v>30</x:v>
      </x:c>
      <x:c r="AA10" s="12" t="n">
        <x:f>ROUND(0.38*L10+0.25*P10+0.20*T10+0.17*(100-M10),0)</x:f>
        <x:v>40</x:v>
      </x:c>
      <x:c r="AB10" s="12" t="n">
        <x:f>ROUND(0.32*M10+0.26*S10+0.24*R10+0.18*K10,0)</x:f>
        <x:v>17</x:v>
      </x:c>
      <x:c r="AC10" s="12" t="n">
        <x:f>ROUND(0.27*Q10+0.24*T10+0.22*N10+0.15*P10+0.12*V10,0)</x:f>
        <x:v>61</x:v>
      </x:c>
      <x:c r="AD10" s="12" t="n">
        <x:f>ROUND(0.28*O10+0.28*R10+0.28*Y10+0.16*(100-L10),0)</x:f>
        <x:v>59</x:v>
      </x:c>
      <x:c r="AE10" s="12" t="n">
        <x:f>ROUND(0.35*Y10+0.22*T10+0.18*R10+0.13*S10+0.12*X10,0)</x:f>
        <x:v>48</x:v>
      </x:c>
      <x:c r="AF10" s="12" t="n">
        <x:f>ROUND(0.72*X10+0.28*Y10,0)</x:f>
        <x:v>66</x:v>
      </x:c>
      <x:c r="AG10" s="12" t="str">
        <x:v>https://wikiwiki.jp/poke-unite/%E3%82%A8%E3%83%BC%E3%82%B9%E3%83%90%E3%83%BC%E3%83%B3</x:v>
      </x:c>
    </x:row>
    <x:row r="11">
      <x:c r="A11" s="12" t="str">
        <x:v>エーフィ</x:v>
      </x:c>
      <x:c r="B11" s="12" t="str">
        <x:v>アタック型</x:v>
      </x:c>
      <x:c r="C11" s="12" t="str">
        <x:v>エーフィ-1</x:v>
      </x:c>
      <x:c r="D11" s="12" t="str">
        <x:v>サイコショック＋サイケこうせん</x:v>
      </x:c>
      <x:c r="E11" s="12" t="str">
        <x:v>Burst Mage</x:v>
      </x:c>
      <x:c r="F11" s="12" t="str">
        <x:v>BurstMage</x:v>
      </x:c>
      <x:c r="G11" s="12" t="str"/>
      <x:c r="H11" s="12" t="str">
        <x:v>直線バーストとCC</x:v>
      </x:c>
      <x:c r="I11" s="12" t="str">
        <x:v>高</x:v>
      </x:c>
      <x:c r="J11" s="12" t="str">
        <x:v>2026-09-25</x:v>
      </x:c>
      <x:c r="K11" s="12" t="n">
        <x:v>30</x:v>
      </x:c>
      <x:c r="L11" s="12" t="n">
        <x:v>10</x:v>
      </x:c>
      <x:c r="M11" s="12" t="n">
        <x:v>40</x:v>
      </x:c>
      <x:c r="N11" s="12" t="n">
        <x:v>10</x:v>
      </x:c>
      <x:c r="O11" s="12" t="n">
        <x:v>95</x:v>
      </x:c>
      <x:c r="P11" s="12" t="n">
        <x:v>100</x:v>
      </x:c>
      <x:c r="Q11" s="12" t="n">
        <x:v>50</x:v>
      </x:c>
      <x:c r="R11" s="12" t="n">
        <x:v>75</x:v>
      </x:c>
      <x:c r="S11" s="12" t="n">
        <x:v>15</x:v>
      </x:c>
      <x:c r="T11" s="12" t="n">
        <x:v>30</x:v>
      </x:c>
      <x:c r="U11" s="12" t="n">
        <x:v>65</x:v>
      </x:c>
      <x:c r="V11" s="12" t="n">
        <x:v>70</x:v>
      </x:c>
      <x:c r="W11" s="12" t="n">
        <x:v>35</x:v>
      </x:c>
      <x:c r="X11" s="12" t="n">
        <x:v>65</x:v>
      </x:c>
      <x:c r="Y11" s="12" t="n">
        <x:v>75</x:v>
      </x:c>
      <x:c r="Z11" s="12" t="n">
        <x:f>ROUND(0.38*K11+0.30*L11+0.17*P11+0.15*Y11,0)</x:f>
        <x:v>43</x:v>
      </x:c>
      <x:c r="AA11" s="12" t="n">
        <x:f>ROUND(0.38*L11+0.25*P11+0.20*T11+0.17*(100-M11),0)</x:f>
        <x:v>45</x:v>
      </x:c>
      <x:c r="AB11" s="12" t="n">
        <x:f>ROUND(0.32*M11+0.26*S11+0.24*R11+0.18*K11,0)</x:f>
        <x:v>40</x:v>
      </x:c>
      <x:c r="AC11" s="12" t="n">
        <x:f>ROUND(0.27*Q11+0.24*T11+0.22*N11+0.15*P11+0.12*V11,0)</x:f>
        <x:v>46</x:v>
      </x:c>
      <x:c r="AD11" s="12" t="n">
        <x:f>ROUND(0.28*O11+0.28*R11+0.28*Y11+0.16*(100-L11),0)</x:f>
        <x:v>83</x:v>
      </x:c>
      <x:c r="AE11" s="12" t="n">
        <x:f>ROUND(0.35*Y11+0.22*T11+0.18*R11+0.13*S11+0.12*X11,0)</x:f>
        <x:v>56</x:v>
      </x:c>
      <x:c r="AF11" s="12" t="n">
        <x:f>ROUND(0.72*X11+0.28*Y11,0)</x:f>
        <x:v>68</x:v>
      </x:c>
      <x:c r="AG11" s="12" t="str">
        <x:v>https://wikiwiki.jp/poke-unite/%E3%82%A8%E3%83%BC%E3%83%95%E3%82%A3</x:v>
      </x:c>
    </x:row>
    <x:row r="12">
      <x:c r="A12" s="12" t="str">
        <x:v>エーフィ</x:v>
      </x:c>
      <x:c r="B12" s="12" t="str">
        <x:v>アタック型</x:v>
      </x:c>
      <x:c r="C12" s="12" t="str">
        <x:v>エーフィ-2</x:v>
      </x:c>
      <x:c r="D12" s="12" t="str">
        <x:v>アシストパワー＋みらいよち</x:v>
      </x:c>
      <x:c r="E12" s="12" t="str">
        <x:v>Kiting Battlemage</x:v>
      </x:c>
      <x:c r="F12" s="12" t="str">
        <x:v>BattleMage</x:v>
      </x:c>
      <x:c r="G12" s="12" t="str"/>
      <x:c r="H12" s="12" t="str">
        <x:v>必中寄りの安定カイト</x:v>
      </x:c>
      <x:c r="I12" s="12" t="str">
        <x:v>高</x:v>
      </x:c>
      <x:c r="J12" s="12" t="str">
        <x:v>2026-09-25</x:v>
      </x:c>
      <x:c r="K12" s="12" t="n">
        <x:v>40</x:v>
      </x:c>
      <x:c r="L12" s="12" t="n">
        <x:v>35</x:v>
      </x:c>
      <x:c r="M12" s="12" t="n">
        <x:v>30</x:v>
      </x:c>
      <x:c r="N12" s="12" t="n">
        <x:v>30</x:v>
      </x:c>
      <x:c r="O12" s="12" t="n">
        <x:v>65</x:v>
      </x:c>
      <x:c r="P12" s="12" t="n">
        <x:v>60</x:v>
      </x:c>
      <x:c r="Q12" s="12" t="n">
        <x:v>95</x:v>
      </x:c>
      <x:c r="R12" s="12" t="n">
        <x:v>45</x:v>
      </x:c>
      <x:c r="S12" s="12" t="n">
        <x:v>15</x:v>
      </x:c>
      <x:c r="T12" s="12" t="n">
        <x:v>65</x:v>
      </x:c>
      <x:c r="U12" s="12" t="n">
        <x:v>70</x:v>
      </x:c>
      <x:c r="V12" s="12" t="n">
        <x:v>80</x:v>
      </x:c>
      <x:c r="W12" s="12" t="n">
        <x:v>45</x:v>
      </x:c>
      <x:c r="X12" s="12" t="n">
        <x:v>60</x:v>
      </x:c>
      <x:c r="Y12" s="12" t="n">
        <x:v>70</x:v>
      </x:c>
      <x:c r="Z12" s="12" t="n">
        <x:f>ROUND(0.38*K12+0.30*L12+0.17*P12+0.15*Y12,0)</x:f>
        <x:v>46</x:v>
      </x:c>
      <x:c r="AA12" s="12" t="n">
        <x:f>ROUND(0.38*L12+0.25*P12+0.20*T12+0.17*(100-M12),0)</x:f>
        <x:v>53</x:v>
      </x:c>
      <x:c r="AB12" s="12" t="n">
        <x:f>ROUND(0.32*M12+0.26*S12+0.24*R12+0.18*K12,0)</x:f>
        <x:v>31</x:v>
      </x:c>
      <x:c r="AC12" s="12" t="n">
        <x:f>ROUND(0.27*Q12+0.24*T12+0.22*N12+0.15*P12+0.12*V12,0)</x:f>
        <x:v>66</x:v>
      </x:c>
      <x:c r="AD12" s="12" t="n">
        <x:f>ROUND(0.28*O12+0.28*R12+0.28*Y12+0.16*(100-L12),0)</x:f>
        <x:v>61</x:v>
      </x:c>
      <x:c r="AE12" s="12" t="n">
        <x:f>ROUND(0.35*Y12+0.22*T12+0.18*R12+0.13*S12+0.12*X12,0)</x:f>
        <x:v>56</x:v>
      </x:c>
      <x:c r="AF12" s="12" t="n">
        <x:f>ROUND(0.72*X12+0.28*Y12,0)</x:f>
        <x:v>63</x:v>
      </x:c>
      <x:c r="AG12" s="12" t="str">
        <x:v>https://wikiwiki.jp/poke-unite/%E3%82%A8%E3%83%BC%E3%83%95%E3%82%A3</x:v>
      </x:c>
    </x:row>
    <x:row r="13">
      <x:c r="A13" s="12" t="str">
        <x:v>グレイシア</x:v>
      </x:c>
      <x:c r="B13" s="12" t="str">
        <x:v>アタック型</x:v>
      </x:c>
      <x:c r="C13" s="12" t="str">
        <x:v>グレイシア-1</x:v>
      </x:c>
      <x:c r="D13" s="12" t="str">
        <x:v>つららばり＋こおりのつぶて</x:v>
      </x:c>
      <x:c r="E13" s="12" t="str">
        <x:v>DPS Marksman</x:v>
      </x:c>
      <x:c r="F13" s="12" t="str">
        <x:v>Marksman</x:v>
      </x:c>
      <x:c r="G13" s="12" t="str"/>
      <x:c r="H13" s="12" t="str">
        <x:v>必中DPS・前衛削り</x:v>
      </x:c>
      <x:c r="I13" s="12" t="str">
        <x:v>高</x:v>
      </x:c>
      <x:c r="J13" s="12" t="str">
        <x:v>2026-09-25</x:v>
      </x:c>
      <x:c r="K13" s="12" t="n">
        <x:v>20</x:v>
      </x:c>
      <x:c r="L13" s="12" t="n">
        <x:v>10</x:v>
      </x:c>
      <x:c r="M13" s="12" t="n">
        <x:v>20</x:v>
      </x:c>
      <x:c r="N13" s="12" t="n">
        <x:v>10</x:v>
      </x:c>
      <x:c r="O13" s="12" t="n">
        <x:v>70</x:v>
      </x:c>
      <x:c r="P13" s="12" t="n">
        <x:v>50</x:v>
      </x:c>
      <x:c r="Q13" s="12" t="n">
        <x:v>100</x:v>
      </x:c>
      <x:c r="R13" s="12" t="n">
        <x:v>20</x:v>
      </x:c>
      <x:c r="S13" s="12" t="n">
        <x:v>10</x:v>
      </x:c>
      <x:c r="T13" s="12" t="n">
        <x:v>45</x:v>
      </x:c>
      <x:c r="U13" s="12" t="n">
        <x:v>85</x:v>
      </x:c>
      <x:c r="V13" s="12" t="n">
        <x:v>100</x:v>
      </x:c>
      <x:c r="W13" s="12" t="n">
        <x:v>50</x:v>
      </x:c>
      <x:c r="X13" s="12" t="n">
        <x:v>65</x:v>
      </x:c>
      <x:c r="Y13" s="12" t="n">
        <x:v>70</x:v>
      </x:c>
      <x:c r="Z13" s="12" t="n">
        <x:f>ROUND(0.38*K13+0.30*L13+0.17*P13+0.15*Y13,0)</x:f>
        <x:v>30</x:v>
      </x:c>
      <x:c r="AA13" s="12" t="n">
        <x:f>ROUND(0.38*L13+0.25*P13+0.20*T13+0.17*(100-M13),0)</x:f>
        <x:v>39</x:v>
      </x:c>
      <x:c r="AB13" s="12" t="n">
        <x:f>ROUND(0.32*M13+0.26*S13+0.24*R13+0.18*K13,0)</x:f>
        <x:v>17</x:v>
      </x:c>
      <x:c r="AC13" s="12" t="n">
        <x:f>ROUND(0.27*Q13+0.24*T13+0.22*N13+0.15*P13+0.12*V13,0)</x:f>
        <x:v>60</x:v>
      </x:c>
      <x:c r="AD13" s="12" t="n">
        <x:f>ROUND(0.28*O13+0.28*R13+0.28*Y13+0.16*(100-L13),0)</x:f>
        <x:v>59</x:v>
      </x:c>
      <x:c r="AE13" s="12" t="n">
        <x:f>ROUND(0.35*Y13+0.22*T13+0.18*R13+0.13*S13+0.12*X13,0)</x:f>
        <x:v>47</x:v>
      </x:c>
      <x:c r="AF13" s="12" t="n">
        <x:f>ROUND(0.72*X13+0.28*Y13,0)</x:f>
        <x:v>66</x:v>
      </x:c>
      <x:c r="AG13" s="12" t="str">
        <x:v>https://wikiwiki.jp/poke-unite/%E3%82%B0%E3%83%AC%E3%82%A4%E3%82%B7%E3%82%A2</x:v>
      </x:c>
    </x:row>
    <x:row r="14">
      <x:c r="A14" s="12" t="str">
        <x:v>グレイシア</x:v>
      </x:c>
      <x:c r="B14" s="12" t="str">
        <x:v>アタック型</x:v>
      </x:c>
      <x:c r="C14" s="12" t="str">
        <x:v>グレイシア-2</x:v>
      </x:c>
      <x:c r="D14" s="12" t="str">
        <x:v>こごえるかぜ＋フリーズドライ</x:v>
      </x:c>
      <x:c r="E14" s="12" t="str">
        <x:v>Mobile Battlemage</x:v>
      </x:c>
      <x:c r="F14" s="12" t="str">
        <x:v>BattleMage</x:v>
      </x:c>
      <x:c r="G14" s="12" t="str"/>
      <x:c r="H14" s="12" t="str">
        <x:v>スタック管理・瞬間火力</x:v>
      </x:c>
      <x:c r="I14" s="12" t="str">
        <x:v>高</x:v>
      </x:c>
      <x:c r="J14" s="12" t="str">
        <x:v>2026-09-25</x:v>
      </x:c>
      <x:c r="K14" s="12" t="n">
        <x:v>40</x:v>
      </x:c>
      <x:c r="L14" s="12" t="n">
        <x:v>35</x:v>
      </x:c>
      <x:c r="M14" s="12" t="n">
        <x:v>30</x:v>
      </x:c>
      <x:c r="N14" s="12" t="n">
        <x:v>30</x:v>
      </x:c>
      <x:c r="O14" s="12" t="n">
        <x:v>65</x:v>
      </x:c>
      <x:c r="P14" s="12" t="n">
        <x:v>75</x:v>
      </x:c>
      <x:c r="Q14" s="12" t="n">
        <x:v>85</x:v>
      </x:c>
      <x:c r="R14" s="12" t="n">
        <x:v>45</x:v>
      </x:c>
      <x:c r="S14" s="12" t="n">
        <x:v>15</x:v>
      </x:c>
      <x:c r="T14" s="12" t="n">
        <x:v>70</x:v>
      </x:c>
      <x:c r="U14" s="12" t="n">
        <x:v>70</x:v>
      </x:c>
      <x:c r="V14" s="12" t="n">
        <x:v>70</x:v>
      </x:c>
      <x:c r="W14" s="12" t="n">
        <x:v>45</x:v>
      </x:c>
      <x:c r="X14" s="12" t="n">
        <x:v>75</x:v>
      </x:c>
      <x:c r="Y14" s="12" t="n">
        <x:v>70</x:v>
      </x:c>
      <x:c r="Z14" s="12" t="n">
        <x:f>ROUND(0.38*K14+0.30*L14+0.17*P14+0.15*Y14,0)</x:f>
        <x:v>49</x:v>
      </x:c>
      <x:c r="AA14" s="12" t="n">
        <x:f>ROUND(0.38*L14+0.25*P14+0.20*T14+0.17*(100-M14),0)</x:f>
        <x:v>58</x:v>
      </x:c>
      <x:c r="AB14" s="12" t="n">
        <x:f>ROUND(0.32*M14+0.26*S14+0.24*R14+0.18*K14,0)</x:f>
        <x:v>31</x:v>
      </x:c>
      <x:c r="AC14" s="12" t="n">
        <x:f>ROUND(0.27*Q14+0.24*T14+0.22*N14+0.15*P14+0.12*V14,0)</x:f>
        <x:v>66</x:v>
      </x:c>
      <x:c r="AD14" s="12" t="n">
        <x:f>ROUND(0.28*O14+0.28*R14+0.28*Y14+0.16*(100-L14),0)</x:f>
        <x:v>61</x:v>
      </x:c>
      <x:c r="AE14" s="12" t="n">
        <x:f>ROUND(0.35*Y14+0.22*T14+0.18*R14+0.13*S14+0.12*X14,0)</x:f>
        <x:v>59</x:v>
      </x:c>
      <x:c r="AF14" s="12" t="n">
        <x:f>ROUND(0.72*X14+0.28*Y14,0)</x:f>
        <x:v>74</x:v>
      </x:c>
      <x:c r="AG14" s="12" t="str">
        <x:v>https://wikiwiki.jp/poke-unite/%E3%82%B0%E3%83%AC%E3%82%A4%E3%82%B7%E3%82%A2</x:v>
      </x:c>
    </x:row>
    <x:row r="15">
      <x:c r="A15" s="12" t="str">
        <x:v>グレンアルマ</x:v>
      </x:c>
      <x:c r="B15" s="12" t="str">
        <x:v>アタック型</x:v>
      </x:c>
      <x:c r="C15" s="12" t="str">
        <x:v>グレンアルマ-1</x:v>
      </x:c>
      <x:c r="D15" s="12" t="str">
        <x:v>ほのおのうず＋ニトロチャージ</x:v>
      </x:c>
      <x:c r="E15" s="12" t="str">
        <x:v>Tank Battlemage</x:v>
      </x:c>
      <x:c r="F15" s="12" t="str">
        <x:v>Juggernaut</x:v>
      </x:c>
      <x:c r="G15" s="12" t="str">
        <x:v>BattleMage</x:v>
      </x:c>
      <x:c r="H15" s="12" t="str">
        <x:v>シールドで前寄りに戦う</x:v>
      </x:c>
      <x:c r="I15" s="12" t="str">
        <x:v>高</x:v>
      </x:c>
      <x:c r="J15" s="12" t="str">
        <x:v>2026-09-25</x:v>
      </x:c>
      <x:c r="K15" s="12" t="n">
        <x:v>50</x:v>
      </x:c>
      <x:c r="L15" s="12" t="n">
        <x:v>40</x:v>
      </x:c>
      <x:c r="M15" s="12" t="n">
        <x:v>35</x:v>
      </x:c>
      <x:c r="N15" s="12" t="n">
        <x:v>85</x:v>
      </x:c>
      <x:c r="O15" s="12" t="n">
        <x:v>15</x:v>
      </x:c>
      <x:c r="P15" s="12" t="n">
        <x:v>65</x:v>
      </x:c>
      <x:c r="Q15" s="12" t="n">
        <x:v>100</x:v>
      </x:c>
      <x:c r="R15" s="12" t="n">
        <x:v>45</x:v>
      </x:c>
      <x:c r="S15" s="12" t="n">
        <x:v>15</x:v>
      </x:c>
      <x:c r="T15" s="12" t="n">
        <x:v>50</x:v>
      </x:c>
      <x:c r="U15" s="12" t="n">
        <x:v>75</x:v>
      </x:c>
      <x:c r="V15" s="12" t="n">
        <x:v>85</x:v>
      </x:c>
      <x:c r="W15" s="12" t="n">
        <x:v>45</x:v>
      </x:c>
      <x:c r="X15" s="12" t="n">
        <x:v>55</x:v>
      </x:c>
      <x:c r="Y15" s="12" t="n">
        <x:v>65</x:v>
      </x:c>
      <x:c r="Z15" s="12" t="n">
        <x:f>ROUND(0.38*K15+0.30*L15+0.17*P15+0.15*Y15,0)</x:f>
        <x:v>52</x:v>
      </x:c>
      <x:c r="AA15" s="12" t="n">
        <x:f>ROUND(0.38*L15+0.25*P15+0.20*T15+0.17*(100-M15),0)</x:f>
        <x:v>53</x:v>
      </x:c>
      <x:c r="AB15" s="12" t="n">
        <x:f>ROUND(0.32*M15+0.26*S15+0.24*R15+0.18*K15,0)</x:f>
        <x:v>35</x:v>
      </x:c>
      <x:c r="AC15" s="12" t="n">
        <x:f>ROUND(0.27*Q15+0.24*T15+0.22*N15+0.15*P15+0.12*V15,0)</x:f>
        <x:v>78</x:v>
      </x:c>
      <x:c r="AD15" s="12" t="n">
        <x:f>ROUND(0.28*O15+0.28*R15+0.28*Y15+0.16*(100-L15),0)</x:f>
        <x:v>45</x:v>
      </x:c>
      <x:c r="AE15" s="12" t="n">
        <x:f>ROUND(0.35*Y15+0.22*T15+0.18*R15+0.13*S15+0.12*X15,0)</x:f>
        <x:v>50</x:v>
      </x:c>
      <x:c r="AF15" s="12" t="n">
        <x:f>ROUND(0.72*X15+0.28*Y15,0)</x:f>
        <x:v>58</x:v>
      </x:c>
      <x:c r="AG15" s="12" t="str">
        <x:v>https://wikiwiki.jp/poke-unite/%E3%82%B0%E3%83%AC%E3%83%B3%E3%82%A2%E3%83%AB%E3%83%9E</x:v>
      </x:c>
    </x:row>
    <x:row r="16">
      <x:c r="A16" s="12" t="str">
        <x:v>グレンアルマ</x:v>
      </x:c>
      <x:c r="B16" s="12" t="str">
        <x:v>アタック型</x:v>
      </x:c>
      <x:c r="C16" s="12" t="str">
        <x:v>グレンアルマ-2</x:v>
      </x:c>
      <x:c r="D16" s="12" t="str">
        <x:v>アーマーキャノン＋サイコショック</x:v>
      </x:c>
      <x:c r="E16" s="12" t="str">
        <x:v>Control Mage</x:v>
      </x:c>
      <x:c r="F16" s="12" t="str">
        <x:v>BurstMage</x:v>
      </x:c>
      <x:c r="G16" s="12" t="str"/>
      <x:c r="H16" s="12" t="str">
        <x:v>遠隔範囲CC・メイジ</x:v>
      </x:c>
      <x:c r="I16" s="12" t="str">
        <x:v>高</x:v>
      </x:c>
      <x:c r="J16" s="12" t="str">
        <x:v>2026-09-25</x:v>
      </x:c>
      <x:c r="K16" s="12" t="n">
        <x:v>30</x:v>
      </x:c>
      <x:c r="L16" s="12" t="n">
        <x:v>10</x:v>
      </x:c>
      <x:c r="M16" s="12" t="n">
        <x:v>40</x:v>
      </x:c>
      <x:c r="N16" s="12" t="n">
        <x:v>0</x:v>
      </x:c>
      <x:c r="O16" s="12" t="n">
        <x:v>100</x:v>
      </x:c>
      <x:c r="P16" s="12" t="n">
        <x:v>95</x:v>
      </x:c>
      <x:c r="Q16" s="12" t="n">
        <x:v>50</x:v>
      </x:c>
      <x:c r="R16" s="12" t="n">
        <x:v>80</x:v>
      </x:c>
      <x:c r="S16" s="12" t="n">
        <x:v>15</x:v>
      </x:c>
      <x:c r="T16" s="12" t="n">
        <x:v>25</x:v>
      </x:c>
      <x:c r="U16" s="12" t="n">
        <x:v>65</x:v>
      </x:c>
      <x:c r="V16" s="12" t="n">
        <x:v>70</x:v>
      </x:c>
      <x:c r="W16" s="12" t="n">
        <x:v>35</x:v>
      </x:c>
      <x:c r="X16" s="12" t="n">
        <x:v>65</x:v>
      </x:c>
      <x:c r="Y16" s="12" t="n">
        <x:v>75</x:v>
      </x:c>
      <x:c r="Z16" s="12" t="n">
        <x:f>ROUND(0.38*K16+0.30*L16+0.17*P16+0.15*Y16,0)</x:f>
        <x:v>42</x:v>
      </x:c>
      <x:c r="AA16" s="12" t="n">
        <x:f>ROUND(0.38*L16+0.25*P16+0.20*T16+0.17*(100-M16),0)</x:f>
        <x:v>43</x:v>
      </x:c>
      <x:c r="AB16" s="12" t="n">
        <x:f>ROUND(0.32*M16+0.26*S16+0.24*R16+0.18*K16,0)</x:f>
        <x:v>41</x:v>
      </x:c>
      <x:c r="AC16" s="12" t="n">
        <x:f>ROUND(0.27*Q16+0.24*T16+0.22*N16+0.15*P16+0.12*V16,0)</x:f>
        <x:v>42</x:v>
      </x:c>
      <x:c r="AD16" s="12" t="n">
        <x:f>ROUND(0.28*O16+0.28*R16+0.28*Y16+0.16*(100-L16),0)</x:f>
        <x:v>86</x:v>
      </x:c>
      <x:c r="AE16" s="12" t="n">
        <x:f>ROUND(0.35*Y16+0.22*T16+0.18*R16+0.13*S16+0.12*X16,0)</x:f>
        <x:v>56</x:v>
      </x:c>
      <x:c r="AF16" s="12" t="n">
        <x:f>ROUND(0.72*X16+0.28*Y16,0)</x:f>
        <x:v>68</x:v>
      </x:c>
      <x:c r="AG16" s="12" t="str">
        <x:v>https://wikiwiki.jp/poke-unite/%E3%82%B0%E3%83%AC%E3%83%B3%E3%82%A2%E3%83%AB%E3%83%9E</x:v>
      </x:c>
    </x:row>
    <x:row r="17">
      <x:c r="A17" s="12" t="str">
        <x:v>ゲッコウガ</x:v>
      </x:c>
      <x:c r="B17" s="12" t="str">
        <x:v>アタック型</x:v>
      </x:c>
      <x:c r="C17" s="12" t="str">
        <x:v>ゲッコウガ-1</x:v>
      </x:c>
      <x:c r="D17" s="12" t="str">
        <x:v>みずしゅりけん＋かげぶんしん</x:v>
      </x:c>
      <x:c r="E17" s="12" t="str">
        <x:v>Marksman</x:v>
      </x:c>
      <x:c r="F17" s="12" t="str">
        <x:v>Marksman</x:v>
      </x:c>
      <x:c r="G17" s="12" t="str"/>
      <x:c r="H17" s="12" t="str">
        <x:v>中距離DPS・カイト</x:v>
      </x:c>
      <x:c r="I17" s="12" t="str">
        <x:v>高</x:v>
      </x:c>
      <x:c r="J17" s="12" t="str">
        <x:v>2026-09-25</x:v>
      </x:c>
      <x:c r="K17" s="12" t="n">
        <x:v>20</x:v>
      </x:c>
      <x:c r="L17" s="12" t="n">
        <x:v>10</x:v>
      </x:c>
      <x:c r="M17" s="12" t="n">
        <x:v>20</x:v>
      </x:c>
      <x:c r="N17" s="12" t="n">
        <x:v>10</x:v>
      </x:c>
      <x:c r="O17" s="12" t="n">
        <x:v>70</x:v>
      </x:c>
      <x:c r="P17" s="12" t="n">
        <x:v>40</x:v>
      </x:c>
      <x:c r="Q17" s="12" t="n">
        <x:v>100</x:v>
      </x:c>
      <x:c r="R17" s="12" t="n">
        <x:v>20</x:v>
      </x:c>
      <x:c r="S17" s="12" t="n">
        <x:v>10</x:v>
      </x:c>
      <x:c r="T17" s="12" t="n">
        <x:v>50</x:v>
      </x:c>
      <x:c r="U17" s="12" t="n">
        <x:v>85</x:v>
      </x:c>
      <x:c r="V17" s="12" t="n">
        <x:v>100</x:v>
      </x:c>
      <x:c r="W17" s="12" t="n">
        <x:v>50</x:v>
      </x:c>
      <x:c r="X17" s="12" t="n">
        <x:v>65</x:v>
      </x:c>
      <x:c r="Y17" s="12" t="n">
        <x:v>70</x:v>
      </x:c>
      <x:c r="Z17" s="12" t="n">
        <x:f>ROUND(0.38*K17+0.30*L17+0.17*P17+0.15*Y17,0)</x:f>
        <x:v>28</x:v>
      </x:c>
      <x:c r="AA17" s="12" t="n">
        <x:f>ROUND(0.38*L17+0.25*P17+0.20*T17+0.17*(100-M17),0)</x:f>
        <x:v>37</x:v>
      </x:c>
      <x:c r="AB17" s="12" t="n">
        <x:f>ROUND(0.32*M17+0.26*S17+0.24*R17+0.18*K17,0)</x:f>
        <x:v>17</x:v>
      </x:c>
      <x:c r="AC17" s="12" t="n">
        <x:f>ROUND(0.27*Q17+0.24*T17+0.22*N17+0.15*P17+0.12*V17,0)</x:f>
        <x:v>59</x:v>
      </x:c>
      <x:c r="AD17" s="12" t="n">
        <x:f>ROUND(0.28*O17+0.28*R17+0.28*Y17+0.16*(100-L17),0)</x:f>
        <x:v>59</x:v>
      </x:c>
      <x:c r="AE17" s="12" t="n">
        <x:f>ROUND(0.35*Y17+0.22*T17+0.18*R17+0.13*S17+0.12*X17,0)</x:f>
        <x:v>48</x:v>
      </x:c>
      <x:c r="AF17" s="12" t="n">
        <x:f>ROUND(0.72*X17+0.28*Y17,0)</x:f>
        <x:v>66</x:v>
      </x:c>
      <x:c r="AG17" s="12" t="str">
        <x:v>https://wikiwiki.jp/poke-unite/%E3%82%B2%E3%83%83%E3%82%B3%E3%82%A6%E3%82%AC</x:v>
      </x:c>
    </x:row>
    <x:row r="18">
      <x:c r="A18" s="12" t="str">
        <x:v>ゲッコウガ</x:v>
      </x:c>
      <x:c r="B18" s="12" t="str">
        <x:v>アタック型</x:v>
      </x:c>
      <x:c r="C18" s="12" t="str">
        <x:v>ゲッコウガ-2</x:v>
      </x:c>
      <x:c r="D18" s="12" t="str">
        <x:v>なみのり＋えんまく</x:v>
      </x:c>
      <x:c r="E18" s="12" t="str">
        <x:v>Assassin</x:v>
      </x:c>
      <x:c r="F18" s="12" t="str">
        <x:v>Assassin</x:v>
      </x:c>
      <x:c r="G18" s="12" t="str"/>
      <x:c r="H18" s="12" t="str">
        <x:v>確殺・リセット・スティール</x:v>
      </x:c>
      <x:c r="I18" s="12" t="str">
        <x:v>高</x:v>
      </x:c>
      <x:c r="J18" s="12" t="str">
        <x:v>2026-09-25</x:v>
      </x:c>
      <x:c r="K18" s="12" t="n">
        <x:v>50</x:v>
      </x:c>
      <x:c r="L18" s="12" t="n">
        <x:v>100</x:v>
      </x:c>
      <x:c r="M18" s="12" t="n">
        <x:v>10</x:v>
      </x:c>
      <x:c r="N18" s="12" t="n">
        <x:v>15</x:v>
      </x:c>
      <x:c r="O18" s="12" t="n">
        <x:v>25</x:v>
      </x:c>
      <x:c r="P18" s="12" t="n">
        <x:v>100</x:v>
      </x:c>
      <x:c r="Q18" s="12" t="n">
        <x:v>45</x:v>
      </x:c>
      <x:c r="R18" s="12" t="n">
        <x:v>30</x:v>
      </x:c>
      <x:c r="S18" s="12" t="n">
        <x:v>10</x:v>
      </x:c>
      <x:c r="T18" s="12" t="n">
        <x:v>100</x:v>
      </x:c>
      <x:c r="U18" s="12" t="n">
        <x:v>65</x:v>
      </x:c>
      <x:c r="V18" s="12" t="n">
        <x:v>80</x:v>
      </x:c>
      <x:c r="W18" s="12" t="n">
        <x:v>80</x:v>
      </x:c>
      <x:c r="X18" s="12" t="n">
        <x:v>80</x:v>
      </x:c>
      <x:c r="Y18" s="12" t="n">
        <x:v>75</x:v>
      </x:c>
      <x:c r="Z18" s="12" t="n">
        <x:f>ROUND(0.38*K18+0.30*L18+0.17*P18+0.15*Y18,0)</x:f>
        <x:v>77</x:v>
      </x:c>
      <x:c r="AA18" s="12" t="n">
        <x:f>ROUND(0.38*L18+0.25*P18+0.20*T18+0.17*(100-M18),0)</x:f>
        <x:v>98</x:v>
      </x:c>
      <x:c r="AB18" s="12" t="n">
        <x:f>ROUND(0.32*M18+0.26*S18+0.24*R18+0.18*K18,0)</x:f>
        <x:v>22</x:v>
      </x:c>
      <x:c r="AC18" s="12" t="n">
        <x:f>ROUND(0.27*Q18+0.24*T18+0.22*N18+0.15*P18+0.12*V18,0)</x:f>
        <x:v>64</x:v>
      </x:c>
      <x:c r="AD18" s="12" t="n">
        <x:f>ROUND(0.28*O18+0.28*R18+0.28*Y18+0.16*(100-L18),0)</x:f>
        <x:v>36</x:v>
      </x:c>
      <x:c r="AE18" s="12" t="n">
        <x:f>ROUND(0.35*Y18+0.22*T18+0.18*R18+0.13*S18+0.12*X18,0)</x:f>
        <x:v>65</x:v>
      </x:c>
      <x:c r="AF18" s="12" t="n">
        <x:f>ROUND(0.72*X18+0.28*Y18,0)</x:f>
        <x:v>79</x:v>
      </x:c>
      <x:c r="AG18" s="12" t="str">
        <x:v>https://wikiwiki.jp/poke-unite/%E3%82%B2%E3%83%83%E3%82%B3%E3%82%A6%E3%82%AC</x:v>
      </x:c>
    </x:row>
    <x:row r="19">
      <x:c r="A19" s="12" t="str">
        <x:v>サンダー</x:v>
      </x:c>
      <x:c r="B19" s="12" t="str">
        <x:v>アタック型</x:v>
      </x:c>
      <x:c r="C19" s="12" t="str">
        <x:v>サンダー-1</x:v>
      </x:c>
      <x:c r="D19" s="12" t="str">
        <x:v>共通プロファイル</x:v>
      </x:c>
      <x:c r="E19" s="12" t="str">
        <x:v>BurstMage</x:v>
      </x:c>
      <x:c r="F19" s="12" t="str">
        <x:v>BurstMage</x:v>
      </x:c>
      <x:c r="G19" s="12" t="str"/>
      <x:c r="H19" s="12" t="str">
        <x:v>技選択で主役割が大きく変わらないため統合</x:v>
      </x:c>
      <x:c r="I19" s="12" t="str">
        <x:v>中</x:v>
      </x:c>
      <x:c r="J19" s="12" t="str">
        <x:v>2026-09-25</x:v>
      </x:c>
      <x:c r="K19" s="12" t="n">
        <x:v>30</x:v>
      </x:c>
      <x:c r="L19" s="12" t="n">
        <x:v>10</x:v>
      </x:c>
      <x:c r="M19" s="12" t="n">
        <x:v>40</x:v>
      </x:c>
      <x:c r="N19" s="12" t="n">
        <x:v>10</x:v>
      </x:c>
      <x:c r="O19" s="12" t="n">
        <x:v>95</x:v>
      </x:c>
      <x:c r="P19" s="12" t="n">
        <x:v>95</x:v>
      </x:c>
      <x:c r="Q19" s="12" t="n">
        <x:v>50</x:v>
      </x:c>
      <x:c r="R19" s="12" t="n">
        <x:v>75</x:v>
      </x:c>
      <x:c r="S19" s="12" t="n">
        <x:v>15</x:v>
      </x:c>
      <x:c r="T19" s="12" t="n">
        <x:v>20</x:v>
      </x:c>
      <x:c r="U19" s="12" t="n">
        <x:v>65</x:v>
      </x:c>
      <x:c r="V19" s="12" t="n">
        <x:v>70</x:v>
      </x:c>
      <x:c r="W19" s="12" t="n">
        <x:v>35</x:v>
      </x:c>
      <x:c r="X19" s="12" t="n">
        <x:v>65</x:v>
      </x:c>
      <x:c r="Y19" s="12" t="n">
        <x:v>75</x:v>
      </x:c>
      <x:c r="Z19" s="12" t="n">
        <x:f>ROUND(0.38*K19+0.30*L19+0.17*P19+0.15*Y19,0)</x:f>
        <x:v>42</x:v>
      </x:c>
      <x:c r="AA19" s="12" t="n">
        <x:f>ROUND(0.38*L19+0.25*P19+0.20*T19+0.17*(100-M19),0)</x:f>
        <x:v>42</x:v>
      </x:c>
      <x:c r="AB19" s="12" t="n">
        <x:f>ROUND(0.32*M19+0.26*S19+0.24*R19+0.18*K19,0)</x:f>
        <x:v>40</x:v>
      </x:c>
      <x:c r="AC19" s="12" t="n">
        <x:f>ROUND(0.27*Q19+0.24*T19+0.22*N19+0.15*P19+0.12*V19,0)</x:f>
        <x:v>43</x:v>
      </x:c>
      <x:c r="AD19" s="12" t="n">
        <x:f>ROUND(0.28*O19+0.28*R19+0.28*Y19+0.16*(100-L19),0)</x:f>
        <x:v>83</x:v>
      </x:c>
      <x:c r="AE19" s="12" t="n">
        <x:f>ROUND(0.35*Y19+0.22*T19+0.18*R19+0.13*S19+0.12*X19,0)</x:f>
        <x:v>54</x:v>
      </x:c>
      <x:c r="AF19" s="12" t="n">
        <x:f>ROUND(0.72*X19+0.28*Y19,0)</x:f>
        <x:v>68</x:v>
      </x:c>
      <x:c r="AG19" s="12" t="str">
        <x:v>https://wikiwiki.jp/poke-unite/%E3%82%B5%E3%83%B3%E3%83%80%E3%83%BC</x:v>
      </x:c>
    </x:row>
    <x:row r="20">
      <x:c r="A20" s="12" t="str">
        <x:v>サーナイト</x:v>
      </x:c>
      <x:c r="B20" s="12" t="str">
        <x:v>アタック型</x:v>
      </x:c>
      <x:c r="C20" s="12" t="str">
        <x:v>サーナイト-1</x:v>
      </x:c>
      <x:c r="D20" s="12" t="str">
        <x:v>共通プロファイル</x:v>
      </x:c>
      <x:c r="E20" s="12" t="str">
        <x:v>BurstMage</x:v>
      </x:c>
      <x:c r="F20" s="12" t="str">
        <x:v>BurstMage</x:v>
      </x:c>
      <x:c r="G20" s="12" t="str"/>
      <x:c r="H20" s="12" t="str">
        <x:v>技選択で主役割が大きく変わらないため統合</x:v>
      </x:c>
      <x:c r="I20" s="12" t="str">
        <x:v>高</x:v>
      </x:c>
      <x:c r="J20" s="12" t="str">
        <x:v>2026-09-25</x:v>
      </x:c>
      <x:c r="K20" s="12" t="n">
        <x:v>30</x:v>
      </x:c>
      <x:c r="L20" s="12" t="n">
        <x:v>10</x:v>
      </x:c>
      <x:c r="M20" s="12" t="n">
        <x:v>40</x:v>
      </x:c>
      <x:c r="N20" s="12" t="n">
        <x:v>10</x:v>
      </x:c>
      <x:c r="O20" s="12" t="n">
        <x:v>95</x:v>
      </x:c>
      <x:c r="P20" s="12" t="n">
        <x:v>100</x:v>
      </x:c>
      <x:c r="Q20" s="12" t="n">
        <x:v>50</x:v>
      </x:c>
      <x:c r="R20" s="12" t="n">
        <x:v>75</x:v>
      </x:c>
      <x:c r="S20" s="12" t="n">
        <x:v>15</x:v>
      </x:c>
      <x:c r="T20" s="12" t="n">
        <x:v>25</x:v>
      </x:c>
      <x:c r="U20" s="12" t="n">
        <x:v>65</x:v>
      </x:c>
      <x:c r="V20" s="12" t="n">
        <x:v>70</x:v>
      </x:c>
      <x:c r="W20" s="12" t="n">
        <x:v>35</x:v>
      </x:c>
      <x:c r="X20" s="12" t="n">
        <x:v>65</x:v>
      </x:c>
      <x:c r="Y20" s="12" t="n">
        <x:v>75</x:v>
      </x:c>
      <x:c r="Z20" s="12" t="n">
        <x:f>ROUND(0.38*K20+0.30*L20+0.17*P20+0.15*Y20,0)</x:f>
        <x:v>43</x:v>
      </x:c>
      <x:c r="AA20" s="12" t="n">
        <x:f>ROUND(0.38*L20+0.25*P20+0.20*T20+0.17*(100-M20),0)</x:f>
        <x:v>44</x:v>
      </x:c>
      <x:c r="AB20" s="12" t="n">
        <x:f>ROUND(0.32*M20+0.26*S20+0.24*R20+0.18*K20,0)</x:f>
        <x:v>40</x:v>
      </x:c>
      <x:c r="AC20" s="12" t="n">
        <x:f>ROUND(0.27*Q20+0.24*T20+0.22*N20+0.15*P20+0.12*V20,0)</x:f>
        <x:v>45</x:v>
      </x:c>
      <x:c r="AD20" s="12" t="n">
        <x:f>ROUND(0.28*O20+0.28*R20+0.28*Y20+0.16*(100-L20),0)</x:f>
        <x:v>83</x:v>
      </x:c>
      <x:c r="AE20" s="12" t="n">
        <x:f>ROUND(0.35*Y20+0.22*T20+0.18*R20+0.13*S20+0.12*X20,0)</x:f>
        <x:v>55</x:v>
      </x:c>
      <x:c r="AF20" s="12" t="n">
        <x:f>ROUND(0.72*X20+0.28*Y20,0)</x:f>
        <x:v>68</x:v>
      </x:c>
      <x:c r="AG20" s="12" t="str">
        <x:v>https://wikiwiki.jp/poke-unite/%E3%82%B5%E3%83%BC%E3%83%8A%E3%82%A4%E3%83%88</x:v>
      </x:c>
    </x:row>
    <x:row r="21">
      <x:c r="A21" s="12" t="str">
        <x:v>シャンデラ</x:v>
      </x:c>
      <x:c r="B21" s="12" t="str">
        <x:v>アタック型</x:v>
      </x:c>
      <x:c r="C21" s="12" t="str">
        <x:v>シャンデラ-1</x:v>
      </x:c>
      <x:c r="D21" s="12" t="str">
        <x:v>共通プロファイル</x:v>
      </x:c>
      <x:c r="E21" s="12" t="str">
        <x:v>BurstMage</x:v>
      </x:c>
      <x:c r="F21" s="12" t="str">
        <x:v>BurstMage</x:v>
      </x:c>
      <x:c r="G21" s="12" t="str"/>
      <x:c r="H21" s="12" t="str">
        <x:v>技選択で主役割が大きく変わらないため統合</x:v>
      </x:c>
      <x:c r="I21" s="12" t="str">
        <x:v>高</x:v>
      </x:c>
      <x:c r="J21" s="12" t="str">
        <x:v>2026-09-25</x:v>
      </x:c>
      <x:c r="K21" s="12" t="n">
        <x:v>30</x:v>
      </x:c>
      <x:c r="L21" s="12" t="n">
        <x:v>10</x:v>
      </x:c>
      <x:c r="M21" s="12" t="n">
        <x:v>40</x:v>
      </x:c>
      <x:c r="N21" s="12" t="n">
        <x:v>10</x:v>
      </x:c>
      <x:c r="O21" s="12" t="n">
        <x:v>95</x:v>
      </x:c>
      <x:c r="P21" s="12" t="n">
        <x:v>95</x:v>
      </x:c>
      <x:c r="Q21" s="12" t="n">
        <x:v>50</x:v>
      </x:c>
      <x:c r="R21" s="12" t="n">
        <x:v>75</x:v>
      </x:c>
      <x:c r="S21" s="12" t="n">
        <x:v>15</x:v>
      </x:c>
      <x:c r="T21" s="12" t="n">
        <x:v>25</x:v>
      </x:c>
      <x:c r="U21" s="12" t="n">
        <x:v>65</x:v>
      </x:c>
      <x:c r="V21" s="12" t="n">
        <x:v>70</x:v>
      </x:c>
      <x:c r="W21" s="12" t="n">
        <x:v>35</x:v>
      </x:c>
      <x:c r="X21" s="12" t="n">
        <x:v>65</x:v>
      </x:c>
      <x:c r="Y21" s="12" t="n">
        <x:v>75</x:v>
      </x:c>
      <x:c r="Z21" s="12" t="n">
        <x:f>ROUND(0.38*K21+0.30*L21+0.17*P21+0.15*Y21,0)</x:f>
        <x:v>42</x:v>
      </x:c>
      <x:c r="AA21" s="12" t="n">
        <x:f>ROUND(0.38*L21+0.25*P21+0.20*T21+0.17*(100-M21),0)</x:f>
        <x:v>43</x:v>
      </x:c>
      <x:c r="AB21" s="12" t="n">
        <x:f>ROUND(0.32*M21+0.26*S21+0.24*R21+0.18*K21,0)</x:f>
        <x:v>40</x:v>
      </x:c>
      <x:c r="AC21" s="12" t="n">
        <x:f>ROUND(0.27*Q21+0.24*T21+0.22*N21+0.15*P21+0.12*V21,0)</x:f>
        <x:v>44</x:v>
      </x:c>
      <x:c r="AD21" s="12" t="n">
        <x:f>ROUND(0.28*O21+0.28*R21+0.28*Y21+0.16*(100-L21),0)</x:f>
        <x:v>83</x:v>
      </x:c>
      <x:c r="AE21" s="12" t="n">
        <x:f>ROUND(0.35*Y21+0.22*T21+0.18*R21+0.13*S21+0.12*X21,0)</x:f>
        <x:v>55</x:v>
      </x:c>
      <x:c r="AF21" s="12" t="n">
        <x:f>ROUND(0.72*X21+0.28*Y21,0)</x:f>
        <x:v>68</x:v>
      </x:c>
      <x:c r="AG21" s="12" t="str">
        <x:v>https://wikiwiki.jp/poke-unite/%E3%82%B7%E3%83%A3%E3%83%B3%E3%83%87%E3%83%A9</x:v>
      </x:c>
    </x:row>
    <x:row r="22">
      <x:c r="A22" s="12" t="str">
        <x:v>ジュナイパー</x:v>
      </x:c>
      <x:c r="B22" s="12" t="str">
        <x:v>アタック型</x:v>
      </x:c>
      <x:c r="C22" s="12" t="str">
        <x:v>ジュナイパー-1</x:v>
      </x:c>
      <x:c r="D22" s="12" t="str">
        <x:v>かげぬい＋かげうち</x:v>
      </x:c>
      <x:c r="E22" s="12" t="str">
        <x:v>Sniper</x:v>
      </x:c>
      <x:c r="F22" s="12" t="str">
        <x:v>Artillery</x:v>
      </x:c>
      <x:c r="G22" s="12" t="str"/>
      <x:c r="H22" s="12" t="str">
        <x:v>長射程スナイプ</x:v>
      </x:c>
      <x:c r="I22" s="12" t="str">
        <x:v>高</x:v>
      </x:c>
      <x:c r="J22" s="12" t="str">
        <x:v>2026-09-25</x:v>
      </x:c>
      <x:c r="K22" s="12" t="n">
        <x:v>20</x:v>
      </x:c>
      <x:c r="L22" s="12" t="n">
        <x:v>5</x:v>
      </x:c>
      <x:c r="M22" s="12" t="n">
        <x:v>20</x:v>
      </x:c>
      <x:c r="N22" s="12" t="n">
        <x:v>5</x:v>
      </x:c>
      <x:c r="O22" s="12" t="n">
        <x:v>100</x:v>
      </x:c>
      <x:c r="P22" s="12" t="n">
        <x:v>100</x:v>
      </x:c>
      <x:c r="Q22" s="12" t="n">
        <x:v>60</x:v>
      </x:c>
      <x:c r="R22" s="12" t="n">
        <x:v>45</x:v>
      </x:c>
      <x:c r="S22" s="12" t="n">
        <x:v>10</x:v>
      </x:c>
      <x:c r="T22" s="12" t="n">
        <x:v>20</x:v>
      </x:c>
      <x:c r="U22" s="12" t="n">
        <x:v>70</x:v>
      </x:c>
      <x:c r="V22" s="12" t="n">
        <x:v>85</x:v>
      </x:c>
      <x:c r="W22" s="12" t="n">
        <x:v>30</x:v>
      </x:c>
      <x:c r="X22" s="12" t="n">
        <x:v>95</x:v>
      </x:c>
      <x:c r="Y22" s="12" t="n">
        <x:v>80</x:v>
      </x:c>
      <x:c r="Z22" s="12" t="n">
        <x:f>ROUND(0.38*K22+0.30*L22+0.17*P22+0.15*Y22,0)</x:f>
        <x:v>38</x:v>
      </x:c>
      <x:c r="AA22" s="12" t="n">
        <x:f>ROUND(0.38*L22+0.25*P22+0.20*T22+0.17*(100-M22),0)</x:f>
        <x:v>45</x:v>
      </x:c>
      <x:c r="AB22" s="12" t="n">
        <x:f>ROUND(0.32*M22+0.26*S22+0.24*R22+0.18*K22,0)</x:f>
        <x:v>23</x:v>
      </x:c>
      <x:c r="AC22" s="12" t="n">
        <x:f>ROUND(0.27*Q22+0.24*T22+0.22*N22+0.15*P22+0.12*V22,0)</x:f>
        <x:v>47</x:v>
      </x:c>
      <x:c r="AD22" s="12" t="n">
        <x:f>ROUND(0.28*O22+0.28*R22+0.28*Y22+0.16*(100-L22),0)</x:f>
        <x:v>78</x:v>
      </x:c>
      <x:c r="AE22" s="12" t="n">
        <x:f>ROUND(0.35*Y22+0.22*T22+0.18*R22+0.13*S22+0.12*X22,0)</x:f>
        <x:v>53</x:v>
      </x:c>
      <x:c r="AF22" s="12" t="n">
        <x:f>ROUND(0.72*X22+0.28*Y22,0)</x:f>
        <x:v>91</x:v>
      </x:c>
      <x:c r="AG22" s="12" t="str">
        <x:v>https://wikiwiki.jp/poke-unite/%E3%82%B8%E3%83%A5%E3%83%8A%E3%82%A4%E3%83%91%E3%83%BC</x:v>
      </x:c>
    </x:row>
    <x:row r="23">
      <x:c r="A23" s="12" t="str">
        <x:v>ジュナイパー</x:v>
      </x:c>
      <x:c r="B23" s="12" t="str">
        <x:v>アタック型</x:v>
      </x:c>
      <x:c r="C23" s="12" t="str">
        <x:v>ジュナイパー-2</x:v>
      </x:c>
      <x:c r="D23" s="12" t="str">
        <x:v>はっぱカッター＋リーフストーム</x:v>
      </x:c>
      <x:c r="E23" s="12" t="str">
        <x:v>Marksman</x:v>
      </x:c>
      <x:c r="F23" s="12" t="str">
        <x:v>Marksman</x:v>
      </x:c>
      <x:c r="G23" s="12" t="str"/>
      <x:c r="H23" s="12" t="str">
        <x:v>AA継続火力・前衛処理</x:v>
      </x:c>
      <x:c r="I23" s="12" t="str">
        <x:v>高</x:v>
      </x:c>
      <x:c r="J23" s="12" t="str">
        <x:v>2026-09-25</x:v>
      </x:c>
      <x:c r="K23" s="12" t="n">
        <x:v>20</x:v>
      </x:c>
      <x:c r="L23" s="12" t="n">
        <x:v>10</x:v>
      </x:c>
      <x:c r="M23" s="12" t="n">
        <x:v>25</x:v>
      </x:c>
      <x:c r="N23" s="12" t="n">
        <x:v>10</x:v>
      </x:c>
      <x:c r="O23" s="12" t="n">
        <x:v>60</x:v>
      </x:c>
      <x:c r="P23" s="12" t="n">
        <x:v>50</x:v>
      </x:c>
      <x:c r="Q23" s="12" t="n">
        <x:v>100</x:v>
      </x:c>
      <x:c r="R23" s="12" t="n">
        <x:v>20</x:v>
      </x:c>
      <x:c r="S23" s="12" t="n">
        <x:v>10</x:v>
      </x:c>
      <x:c r="T23" s="12" t="n">
        <x:v>45</x:v>
      </x:c>
      <x:c r="U23" s="12" t="n">
        <x:v>85</x:v>
      </x:c>
      <x:c r="V23" s="12" t="n">
        <x:v>100</x:v>
      </x:c>
      <x:c r="W23" s="12" t="n">
        <x:v>50</x:v>
      </x:c>
      <x:c r="X23" s="12" t="n">
        <x:v>65</x:v>
      </x:c>
      <x:c r="Y23" s="12" t="n">
        <x:v>70</x:v>
      </x:c>
      <x:c r="Z23" s="12" t="n">
        <x:f>ROUND(0.38*K23+0.30*L23+0.17*P23+0.15*Y23,0)</x:f>
        <x:v>30</x:v>
      </x:c>
      <x:c r="AA23" s="12" t="n">
        <x:f>ROUND(0.38*L23+0.25*P23+0.20*T23+0.17*(100-M23),0)</x:f>
        <x:v>38</x:v>
      </x:c>
      <x:c r="AB23" s="12" t="n">
        <x:f>ROUND(0.32*M23+0.26*S23+0.24*R23+0.18*K23,0)</x:f>
        <x:v>19</x:v>
      </x:c>
      <x:c r="AC23" s="12" t="n">
        <x:f>ROUND(0.27*Q23+0.24*T23+0.22*N23+0.15*P23+0.12*V23,0)</x:f>
        <x:v>60</x:v>
      </x:c>
      <x:c r="AD23" s="12" t="n">
        <x:f>ROUND(0.28*O23+0.28*R23+0.28*Y23+0.16*(100-L23),0)</x:f>
        <x:v>56</x:v>
      </x:c>
      <x:c r="AE23" s="12" t="n">
        <x:f>ROUND(0.35*Y23+0.22*T23+0.18*R23+0.13*S23+0.12*X23,0)</x:f>
        <x:v>47</x:v>
      </x:c>
      <x:c r="AF23" s="12" t="n">
        <x:f>ROUND(0.72*X23+0.28*Y23,0)</x:f>
        <x:v>66</x:v>
      </x:c>
      <x:c r="AG23" s="12" t="str">
        <x:v>https://wikiwiki.jp/poke-unite/%E3%82%B8%E3%83%A5%E3%83%8A%E3%82%A4%E3%83%91%E3%83%BC</x:v>
      </x:c>
    </x:row>
    <x:row r="24">
      <x:c r="A24" s="12" t="str">
        <x:v>ジュラルドン</x:v>
      </x:c>
      <x:c r="B24" s="12" t="str">
        <x:v>アタック型</x:v>
      </x:c>
      <x:c r="C24" s="12" t="str">
        <x:v>ジュラルドン-1</x:v>
      </x:c>
      <x:c r="D24" s="12" t="str">
        <x:v>ラスターカノン＋ドラゴンテール</x:v>
      </x:c>
      <x:c r="E24" s="12" t="str">
        <x:v>Siege Marksman</x:v>
      </x:c>
      <x:c r="F24" s="12" t="str">
        <x:v>Marksman</x:v>
      </x:c>
      <x:c r="G24" s="12" t="str">
        <x:v>Artillery</x:v>
      </x:c>
      <x:c r="H24" s="12" t="str">
        <x:v>固定砲台・長射程制圧</x:v>
      </x:c>
      <x:c r="I24" s="12" t="str">
        <x:v>高</x:v>
      </x:c>
      <x:c r="J24" s="12" t="str">
        <x:v>2026-09-25</x:v>
      </x:c>
      <x:c r="K24" s="12" t="n">
        <x:v>20</x:v>
      </x:c>
      <x:c r="L24" s="12" t="n">
        <x:v>10</x:v>
      </x:c>
      <x:c r="M24" s="12" t="n">
        <x:v>20</x:v>
      </x:c>
      <x:c r="N24" s="12" t="n">
        <x:v>0</x:v>
      </x:c>
      <x:c r="O24" s="12" t="n">
        <x:v>95</x:v>
      </x:c>
      <x:c r="P24" s="12" t="n">
        <x:v>60</x:v>
      </x:c>
      <x:c r="Q24" s="12" t="n">
        <x:v>90</x:v>
      </x:c>
      <x:c r="R24" s="12" t="n">
        <x:v>35</x:v>
      </x:c>
      <x:c r="S24" s="12" t="n">
        <x:v>10</x:v>
      </x:c>
      <x:c r="T24" s="12" t="n">
        <x:v>25</x:v>
      </x:c>
      <x:c r="U24" s="12" t="n">
        <x:v>80</x:v>
      </x:c>
      <x:c r="V24" s="12" t="n">
        <x:v>95</x:v>
      </x:c>
      <x:c r="W24" s="12" t="n">
        <x:v>45</x:v>
      </x:c>
      <x:c r="X24" s="12" t="n">
        <x:v>70</x:v>
      </x:c>
      <x:c r="Y24" s="12" t="n">
        <x:v>75</x:v>
      </x:c>
      <x:c r="Z24" s="12" t="n">
        <x:f>ROUND(0.38*K24+0.30*L24+0.17*P24+0.15*Y24,0)</x:f>
        <x:v>32</x:v>
      </x:c>
      <x:c r="AA24" s="12" t="n">
        <x:f>ROUND(0.38*L24+0.25*P24+0.20*T24+0.17*(100-M24),0)</x:f>
        <x:v>37</x:v>
      </x:c>
      <x:c r="AB24" s="12" t="n">
        <x:f>ROUND(0.32*M24+0.26*S24+0.24*R24+0.18*K24,0)</x:f>
        <x:v>21</x:v>
      </x:c>
      <x:c r="AC24" s="12" t="n">
        <x:f>ROUND(0.27*Q24+0.24*T24+0.22*N24+0.15*P24+0.12*V24,0)</x:f>
        <x:v>51</x:v>
      </x:c>
      <x:c r="AD24" s="12" t="n">
        <x:f>ROUND(0.28*O24+0.28*R24+0.28*Y24+0.16*(100-L24),0)</x:f>
        <x:v>72</x:v>
      </x:c>
      <x:c r="AE24" s="12" t="n">
        <x:f>ROUND(0.35*Y24+0.22*T24+0.18*R24+0.13*S24+0.12*X24,0)</x:f>
        <x:v>48</x:v>
      </x:c>
      <x:c r="AF24" s="12" t="n">
        <x:f>ROUND(0.72*X24+0.28*Y24,0)</x:f>
        <x:v>71</x:v>
      </x:c>
      <x:c r="AG24" s="12" t="str">
        <x:v>https://wikiwiki.jp/poke-unite/%E3%82%B8%E3%83%A5%E3%83%A9%E3%83%AB%E3%83%89%E3%83%B3</x:v>
      </x:c>
    </x:row>
    <x:row r="25">
      <x:c r="A25" s="12" t="str">
        <x:v>ジュラルドン</x:v>
      </x:c>
      <x:c r="B25" s="12" t="str">
        <x:v>アタック型</x:v>
      </x:c>
      <x:c r="C25" s="12" t="str">
        <x:v>ジュラルドン-2</x:v>
      </x:c>
      <x:c r="D25" s="12" t="str">
        <x:v>りゅうのはどう＋ステルスロック</x:v>
      </x:c>
      <x:c r="E25" s="12" t="str">
        <x:v>Burst Marksman</x:v>
      </x:c>
      <x:c r="F25" s="12" t="str">
        <x:v>BattleMage</x:v>
      </x:c>
      <x:c r="G25" s="12" t="str">
        <x:v>Marksman</x:v>
      </x:c>
      <x:c r="H25" s="12" t="str">
        <x:v>マーク蓄積から瞬間火力</x:v>
      </x:c>
      <x:c r="I25" s="12" t="str">
        <x:v>高</x:v>
      </x:c>
      <x:c r="J25" s="12" t="str">
        <x:v>2026-09-25</x:v>
      </x:c>
      <x:c r="K25" s="12" t="n">
        <x:v>35</x:v>
      </x:c>
      <x:c r="L25" s="12" t="n">
        <x:v>30</x:v>
      </x:c>
      <x:c r="M25" s="12" t="n">
        <x:v>30</x:v>
      </x:c>
      <x:c r="N25" s="12" t="n">
        <x:v>25</x:v>
      </x:c>
      <x:c r="O25" s="12" t="n">
        <x:v>60</x:v>
      </x:c>
      <x:c r="P25" s="12" t="n">
        <x:v>75</x:v>
      </x:c>
      <x:c r="Q25" s="12" t="n">
        <x:v>90</x:v>
      </x:c>
      <x:c r="R25" s="12" t="n">
        <x:v>45</x:v>
      </x:c>
      <x:c r="S25" s="12" t="n">
        <x:v>10</x:v>
      </x:c>
      <x:c r="T25" s="12" t="n">
        <x:v>55</x:v>
      </x:c>
      <x:c r="U25" s="12" t="n">
        <x:v>75</x:v>
      </x:c>
      <x:c r="V25" s="12" t="n">
        <x:v>85</x:v>
      </x:c>
      <x:c r="W25" s="12" t="n">
        <x:v>45</x:v>
      </x:c>
      <x:c r="X25" s="12" t="n">
        <x:v>75</x:v>
      </x:c>
      <x:c r="Y25" s="12" t="n">
        <x:v>70</x:v>
      </x:c>
      <x:c r="Z25" s="12" t="n">
        <x:f>ROUND(0.38*K25+0.30*L25+0.17*P25+0.15*Y25,0)</x:f>
        <x:v>46</x:v>
      </x:c>
      <x:c r="AA25" s="12" t="n">
        <x:f>ROUND(0.38*L25+0.25*P25+0.20*T25+0.17*(100-M25),0)</x:f>
        <x:v>53</x:v>
      </x:c>
      <x:c r="AB25" s="12" t="n">
        <x:f>ROUND(0.32*M25+0.26*S25+0.24*R25+0.18*K25,0)</x:f>
        <x:v>29</x:v>
      </x:c>
      <x:c r="AC25" s="12" t="n">
        <x:f>ROUND(0.27*Q25+0.24*T25+0.22*N25+0.15*P25+0.12*V25,0)</x:f>
        <x:v>64</x:v>
      </x:c>
      <x:c r="AD25" s="12" t="n">
        <x:f>ROUND(0.28*O25+0.28*R25+0.28*Y25+0.16*(100-L25),0)</x:f>
        <x:v>60</x:v>
      </x:c>
      <x:c r="AE25" s="12" t="n">
        <x:f>ROUND(0.35*Y25+0.22*T25+0.18*R25+0.13*S25+0.12*X25,0)</x:f>
        <x:v>55</x:v>
      </x:c>
      <x:c r="AF25" s="12" t="n">
        <x:f>ROUND(0.72*X25+0.28*Y25,0)</x:f>
        <x:v>74</x:v>
      </x:c>
      <x:c r="AG25" s="12" t="str">
        <x:v>https://wikiwiki.jp/poke-unite/%E3%82%B8%E3%83%A5%E3%83%A9%E3%83%AB%E3%83%89%E3%83%B3</x:v>
      </x:c>
    </x:row>
    <x:row r="26">
      <x:c r="A26" s="12" t="str">
        <x:v>ドラパルト</x:v>
      </x:c>
      <x:c r="B26" s="12" t="str">
        <x:v>アタック型</x:v>
      </x:c>
      <x:c r="C26" s="12" t="str">
        <x:v>ドラパルト-1</x:v>
      </x:c>
      <x:c r="D26" s="12" t="str">
        <x:v>りゅうのいぶき＋りゅうのまい</x:v>
      </x:c>
      <x:c r="E26" s="12" t="str">
        <x:v>Mobile Marksman</x:v>
      </x:c>
      <x:c r="F26" s="12" t="str">
        <x:v>Marksman</x:v>
      </x:c>
      <x:c r="G26" s="12" t="str">
        <x:v>Diver</x:v>
      </x:c>
      <x:c r="H26" s="12" t="str">
        <x:v>旋回しながらDPS・連続KO</x:v>
      </x:c>
      <x:c r="I26" s="12" t="str">
        <x:v>高</x:v>
      </x:c>
      <x:c r="J26" s="12" t="str">
        <x:v>2026-09-25</x:v>
      </x:c>
      <x:c r="K26" s="12" t="n">
        <x:v>35</x:v>
      </x:c>
      <x:c r="L26" s="12" t="n">
        <x:v>40</x:v>
      </x:c>
      <x:c r="M26" s="12" t="n">
        <x:v>20</x:v>
      </x:c>
      <x:c r="N26" s="12" t="n">
        <x:v>20</x:v>
      </x:c>
      <x:c r="O26" s="12" t="n">
        <x:v>60</x:v>
      </x:c>
      <x:c r="P26" s="12" t="n">
        <x:v>55</x:v>
      </x:c>
      <x:c r="Q26" s="12" t="n">
        <x:v>100</x:v>
      </x:c>
      <x:c r="R26" s="12" t="n">
        <x:v>25</x:v>
      </x:c>
      <x:c r="S26" s="12" t="n">
        <x:v>10</x:v>
      </x:c>
      <x:c r="T26" s="12" t="n">
        <x:v>70</x:v>
      </x:c>
      <x:c r="U26" s="12" t="n">
        <x:v>80</x:v>
      </x:c>
      <x:c r="V26" s="12" t="n">
        <x:v>90</x:v>
      </x:c>
      <x:c r="W26" s="12" t="n">
        <x:v>55</x:v>
      </x:c>
      <x:c r="X26" s="12" t="n">
        <x:v>75</x:v>
      </x:c>
      <x:c r="Y26" s="12" t="n">
        <x:v>70</x:v>
      </x:c>
      <x:c r="Z26" s="12" t="n">
        <x:f>ROUND(0.38*K26+0.30*L26+0.17*P26+0.15*Y26,0)</x:f>
        <x:v>45</x:v>
      </x:c>
      <x:c r="AA26" s="12" t="n">
        <x:f>ROUND(0.38*L26+0.25*P26+0.20*T26+0.17*(100-M26),0)</x:f>
        <x:v>57</x:v>
      </x:c>
      <x:c r="AB26" s="12" t="n">
        <x:f>ROUND(0.32*M26+0.26*S26+0.24*R26+0.18*K26,0)</x:f>
        <x:v>21</x:v>
      </x:c>
      <x:c r="AC26" s="12" t="n">
        <x:f>ROUND(0.27*Q26+0.24*T26+0.22*N26+0.15*P26+0.12*V26,0)</x:f>
        <x:v>67</x:v>
      </x:c>
      <x:c r="AD26" s="12" t="n">
        <x:f>ROUND(0.28*O26+0.28*R26+0.28*Y26+0.16*(100-L26),0)</x:f>
        <x:v>53</x:v>
      </x:c>
      <x:c r="AE26" s="12" t="n">
        <x:f>ROUND(0.35*Y26+0.22*T26+0.18*R26+0.13*S26+0.12*X26,0)</x:f>
        <x:v>55</x:v>
      </x:c>
      <x:c r="AF26" s="12" t="n">
        <x:f>ROUND(0.72*X26+0.28*Y26,0)</x:f>
        <x:v>74</x:v>
      </x:c>
      <x:c r="AG26" s="12" t="str">
        <x:v>https://wikiwiki.jp/poke-unite/%E3%83%89%E3%83%A9%E3%83%91%E3%83%AB%E3%83%88</x:v>
      </x:c>
    </x:row>
    <x:row r="27">
      <x:c r="A27" s="12" t="str">
        <x:v>ドラパルト</x:v>
      </x:c>
      <x:c r="B27" s="12" t="str">
        <x:v>アタック型</x:v>
      </x:c>
      <x:c r="C27" s="12" t="str">
        <x:v>ドラパルト-2</x:v>
      </x:c>
      <x:c r="D27" s="12" t="str">
        <x:v>シャドーボール＋ゴーストダイブ</x:v>
      </x:c>
      <x:c r="E27" s="12" t="str">
        <x:v>Stealth Marksman</x:v>
      </x:c>
      <x:c r="F27" s="12" t="str">
        <x:v>Assassin</x:v>
      </x:c>
      <x:c r="G27" s="12" t="str">
        <x:v>Marksman</x:v>
      </x:c>
      <x:c r="H27" s="12" t="str">
        <x:v>ステルス奇襲・ピック</x:v>
      </x:c>
      <x:c r="I27" s="12" t="str">
        <x:v>高</x:v>
      </x:c>
      <x:c r="J27" s="12" t="str">
        <x:v>2026-09-25</x:v>
      </x:c>
      <x:c r="K27" s="12" t="n">
        <x:v>40</x:v>
      </x:c>
      <x:c r="L27" s="12" t="n">
        <x:v>70</x:v>
      </x:c>
      <x:c r="M27" s="12" t="n">
        <x:v>15</x:v>
      </x:c>
      <x:c r="N27" s="12" t="n">
        <x:v>10</x:v>
      </x:c>
      <x:c r="O27" s="12" t="n">
        <x:v>40</x:v>
      </x:c>
      <x:c r="P27" s="12" t="n">
        <x:v>95</x:v>
      </x:c>
      <x:c r="Q27" s="12" t="n">
        <x:v>70</x:v>
      </x:c>
      <x:c r="R27" s="12" t="n">
        <x:v>20</x:v>
      </x:c>
      <x:c r="S27" s="12" t="n">
        <x:v>10</x:v>
      </x:c>
      <x:c r="T27" s="12" t="n">
        <x:v>90</x:v>
      </x:c>
      <x:c r="U27" s="12" t="n">
        <x:v>70</x:v>
      </x:c>
      <x:c r="V27" s="12" t="n">
        <x:v>80</x:v>
      </x:c>
      <x:c r="W27" s="12" t="n">
        <x:v>80</x:v>
      </x:c>
      <x:c r="X27" s="12" t="n">
        <x:v>75</x:v>
      </x:c>
      <x:c r="Y27" s="12" t="n">
        <x:v>75</x:v>
      </x:c>
      <x:c r="Z27" s="12" t="n">
        <x:f>ROUND(0.38*K27+0.30*L27+0.17*P27+0.15*Y27,0)</x:f>
        <x:v>64</x:v>
      </x:c>
      <x:c r="AA27" s="12" t="n">
        <x:f>ROUND(0.38*L27+0.25*P27+0.20*T27+0.17*(100-M27),0)</x:f>
        <x:v>83</x:v>
      </x:c>
      <x:c r="AB27" s="12" t="n">
        <x:f>ROUND(0.32*M27+0.26*S27+0.24*R27+0.18*K27,0)</x:f>
        <x:v>19</x:v>
      </x:c>
      <x:c r="AC27" s="12" t="n">
        <x:f>ROUND(0.27*Q27+0.24*T27+0.22*N27+0.15*P27+0.12*V27,0)</x:f>
        <x:v>67</x:v>
      </x:c>
      <x:c r="AD27" s="12" t="n">
        <x:f>ROUND(0.28*O27+0.28*R27+0.28*Y27+0.16*(100-L27),0)</x:f>
        <x:v>43</x:v>
      </x:c>
      <x:c r="AE27" s="12" t="n">
        <x:f>ROUND(0.35*Y27+0.22*T27+0.18*R27+0.13*S27+0.12*X27,0)</x:f>
        <x:v>60</x:v>
      </x:c>
      <x:c r="AF27" s="12" t="n">
        <x:f>ROUND(0.72*X27+0.28*Y27,0)</x:f>
        <x:v>75</x:v>
      </x:c>
      <x:c r="AG27" s="12" t="str">
        <x:v>https://wikiwiki.jp/poke-unite/%E3%83%89%E3%83%A9%E3%83%91%E3%83%AB%E3%83%88</x:v>
      </x:c>
    </x:row>
    <x:row r="28">
      <x:c r="A28" s="12" t="str">
        <x:v>ニンフィア</x:v>
      </x:c>
      <x:c r="B28" s="12" t="str">
        <x:v>アタック型</x:v>
      </x:c>
      <x:c r="C28" s="12" t="str">
        <x:v>ニンフィア-1</x:v>
      </x:c>
      <x:c r="D28" s="12" t="str">
        <x:v>ハイパーボイス＋めいそう</x:v>
      </x:c>
      <x:c r="E28" s="12" t="str">
        <x:v>Kiting Mage</x:v>
      </x:c>
      <x:c r="F28" s="12" t="str">
        <x:v>BattleMage</x:v>
      </x:c>
      <x:c r="G28" s="12" t="str"/>
      <x:c r="H28" s="12" t="str">
        <x:v>間合い維持・方向管理</x:v>
      </x:c>
      <x:c r="I28" s="12" t="str">
        <x:v>高</x:v>
      </x:c>
      <x:c r="J28" s="12" t="str">
        <x:v>2026-09-25</x:v>
      </x:c>
      <x:c r="K28" s="12" t="n">
        <x:v>40</x:v>
      </x:c>
      <x:c r="L28" s="12" t="n">
        <x:v>35</x:v>
      </x:c>
      <x:c r="M28" s="12" t="n">
        <x:v>30</x:v>
      </x:c>
      <x:c r="N28" s="12" t="n">
        <x:v>25</x:v>
      </x:c>
      <x:c r="O28" s="12" t="n">
        <x:v>75</x:v>
      </x:c>
      <x:c r="P28" s="12" t="n">
        <x:v>65</x:v>
      </x:c>
      <x:c r="Q28" s="12" t="n">
        <x:v>95</x:v>
      </x:c>
      <x:c r="R28" s="12" t="n">
        <x:v>45</x:v>
      </x:c>
      <x:c r="S28" s="12" t="n">
        <x:v>15</x:v>
      </x:c>
      <x:c r="T28" s="12" t="n">
        <x:v>60</x:v>
      </x:c>
      <x:c r="U28" s="12" t="n">
        <x:v>70</x:v>
      </x:c>
      <x:c r="V28" s="12" t="n">
        <x:v>80</x:v>
      </x:c>
      <x:c r="W28" s="12" t="n">
        <x:v>45</x:v>
      </x:c>
      <x:c r="X28" s="12" t="n">
        <x:v>65</x:v>
      </x:c>
      <x:c r="Y28" s="12" t="n">
        <x:v>70</x:v>
      </x:c>
      <x:c r="Z28" s="12" t="n">
        <x:f>ROUND(0.38*K28+0.30*L28+0.17*P28+0.15*Y28,0)</x:f>
        <x:v>47</x:v>
      </x:c>
      <x:c r="AA28" s="12" t="n">
        <x:f>ROUND(0.38*L28+0.25*P28+0.20*T28+0.17*(100-M28),0)</x:f>
        <x:v>53</x:v>
      </x:c>
      <x:c r="AB28" s="12" t="n">
        <x:f>ROUND(0.32*M28+0.26*S28+0.24*R28+0.18*K28,0)</x:f>
        <x:v>31</x:v>
      </x:c>
      <x:c r="AC28" s="12" t="n">
        <x:f>ROUND(0.27*Q28+0.24*T28+0.22*N28+0.15*P28+0.12*V28,0)</x:f>
        <x:v>65</x:v>
      </x:c>
      <x:c r="AD28" s="12" t="n">
        <x:f>ROUND(0.28*O28+0.28*R28+0.28*Y28+0.16*(100-L28),0)</x:f>
        <x:v>64</x:v>
      </x:c>
      <x:c r="AE28" s="12" t="n">
        <x:f>ROUND(0.35*Y28+0.22*T28+0.18*R28+0.13*S28+0.12*X28,0)</x:f>
        <x:v>56</x:v>
      </x:c>
      <x:c r="AF28" s="12" t="n">
        <x:f>ROUND(0.72*X28+0.28*Y28,0)</x:f>
        <x:v>66</x:v>
      </x:c>
      <x:c r="AG28" s="12" t="str">
        <x:v>https://wikiwiki.jp/poke-unite/%E3%83%8B%E3%83%B3%E3%83%95%E3%82%A3%E3%82%A2</x:v>
      </x:c>
    </x:row>
    <x:row r="29">
      <x:c r="A29" s="12" t="str">
        <x:v>ニンフィア</x:v>
      </x:c>
      <x:c r="B29" s="12" t="str">
        <x:v>アタック型</x:v>
      </x:c>
      <x:c r="C29" s="12" t="str">
        <x:v>ニンフィア-2</x:v>
      </x:c>
      <x:c r="D29" s="12" t="str">
        <x:v>マジカルフレイム＋ドレインキッス</x:v>
      </x:c>
      <x:c r="E29" s="12" t="str">
        <x:v>Drain Battlemage</x:v>
      </x:c>
      <x:c r="F29" s="12" t="str">
        <x:v>BattleMage</x:v>
      </x:c>
      <x:c r="G29" s="12" t="str">
        <x:v>Skirmisher</x:v>
      </x:c>
      <x:c r="H29" s="12" t="str">
        <x:v>近中距離サステイン</x:v>
      </x:c>
      <x:c r="I29" s="12" t="str">
        <x:v>高</x:v>
      </x:c>
      <x:c r="J29" s="12" t="str">
        <x:v>2026-09-25</x:v>
      </x:c>
      <x:c r="K29" s="12" t="n">
        <x:v>45</x:v>
      </x:c>
      <x:c r="L29" s="12" t="n">
        <x:v>45</x:v>
      </x:c>
      <x:c r="M29" s="12" t="n">
        <x:v>30</x:v>
      </x:c>
      <x:c r="N29" s="12" t="n">
        <x:v>50</x:v>
      </x:c>
      <x:c r="O29" s="12" t="n">
        <x:v>40</x:v>
      </x:c>
      <x:c r="P29" s="12" t="n">
        <x:v>70</x:v>
      </x:c>
      <x:c r="Q29" s="12" t="n">
        <x:v>100</x:v>
      </x:c>
      <x:c r="R29" s="12" t="n">
        <x:v>45</x:v>
      </x:c>
      <x:c r="S29" s="12" t="n">
        <x:v>20</x:v>
      </x:c>
      <x:c r="T29" s="12" t="n">
        <x:v>70</x:v>
      </x:c>
      <x:c r="U29" s="12" t="n">
        <x:v>70</x:v>
      </x:c>
      <x:c r="V29" s="12" t="n">
        <x:v>80</x:v>
      </x:c>
      <x:c r="W29" s="12" t="n">
        <x:v>50</x:v>
      </x:c>
      <x:c r="X29" s="12" t="n">
        <x:v>70</x:v>
      </x:c>
      <x:c r="Y29" s="12" t="n">
        <x:v>70</x:v>
      </x:c>
      <x:c r="Z29" s="12" t="n">
        <x:f>ROUND(0.38*K29+0.30*L29+0.17*P29+0.15*Y29,0)</x:f>
        <x:v>53</x:v>
      </x:c>
      <x:c r="AA29" s="12" t="n">
        <x:f>ROUND(0.38*L29+0.25*P29+0.20*T29+0.17*(100-M29),0)</x:f>
        <x:v>61</x:v>
      </x:c>
      <x:c r="AB29" s="12" t="n">
        <x:f>ROUND(0.32*M29+0.26*S29+0.24*R29+0.18*K29,0)</x:f>
        <x:v>34</x:v>
      </x:c>
      <x:c r="AC29" s="12" t="n">
        <x:f>ROUND(0.27*Q29+0.24*T29+0.22*N29+0.15*P29+0.12*V29,0)</x:f>
        <x:v>75</x:v>
      </x:c>
      <x:c r="AD29" s="12" t="n">
        <x:f>ROUND(0.28*O29+0.28*R29+0.28*Y29+0.16*(100-L29),0)</x:f>
        <x:v>52</x:v>
      </x:c>
      <x:c r="AE29" s="12" t="n">
        <x:f>ROUND(0.35*Y29+0.22*T29+0.18*R29+0.13*S29+0.12*X29,0)</x:f>
        <x:v>59</x:v>
      </x:c>
      <x:c r="AF29" s="12" t="n">
        <x:f>ROUND(0.72*X29+0.28*Y29,0)</x:f>
        <x:v>70</x:v>
      </x:c>
      <x:c r="AG29" s="12" t="str">
        <x:v>https://wikiwiki.jp/poke-unite/%E3%83%8B%E3%83%B3%E3%83%95%E3%82%A3%E3%82%A2</x:v>
      </x:c>
    </x:row>
    <x:row r="30">
      <x:c r="A30" s="12" t="str">
        <x:v>バクフーン</x:v>
      </x:c>
      <x:c r="B30" s="12" t="str">
        <x:v>アタック型</x:v>
      </x:c>
      <x:c r="C30" s="12" t="str">
        <x:v>バクフーン-1</x:v>
      </x:c>
      <x:c r="D30" s="12" t="str">
        <x:v>共通プロファイル</x:v>
      </x:c>
      <x:c r="E30" s="12" t="str">
        <x:v>Diver</x:v>
      </x:c>
      <x:c r="F30" s="12" t="str">
        <x:v>Diver</x:v>
      </x:c>
      <x:c r="G30" s="12" t="str"/>
      <x:c r="H30" s="12" t="str">
        <x:v>技選択で主役割が大きく変わらないため統合</x:v>
      </x:c>
      <x:c r="I30" s="12" t="str">
        <x:v>中</x:v>
      </x:c>
      <x:c r="J30" s="12" t="str">
        <x:v>2026-09-25</x:v>
      </x:c>
      <x:c r="K30" s="12" t="n">
        <x:v>75</x:v>
      </x:c>
      <x:c r="L30" s="12" t="n">
        <x:v>90</x:v>
      </x:c>
      <x:c r="M30" s="12" t="n">
        <x:v>25</x:v>
      </x:c>
      <x:c r="N30" s="12" t="n">
        <x:v>50</x:v>
      </x:c>
      <x:c r="O30" s="12" t="n">
        <x:v>30</x:v>
      </x:c>
      <x:c r="P30" s="12" t="n">
        <x:v>90</x:v>
      </x:c>
      <x:c r="Q30" s="12" t="n">
        <x:v>75</x:v>
      </x:c>
      <x:c r="R30" s="12" t="n">
        <x:v>45</x:v>
      </x:c>
      <x:c r="S30" s="12" t="n">
        <x:v>10</x:v>
      </x:c>
      <x:c r="T30" s="12" t="n">
        <x:v>80</x:v>
      </x:c>
      <x:c r="U30" s="12" t="n">
        <x:v>65</x:v>
      </x:c>
      <x:c r="V30" s="12" t="n">
        <x:v>75</x:v>
      </x:c>
      <x:c r="W30" s="12" t="n">
        <x:v>60</x:v>
      </x:c>
      <x:c r="X30" s="12" t="n">
        <x:v>70</x:v>
      </x:c>
      <x:c r="Y30" s="12" t="n">
        <x:v>70</x:v>
      </x:c>
      <x:c r="Z30" s="12" t="n">
        <x:f>ROUND(0.38*K30+0.30*L30+0.17*P30+0.15*Y30,0)</x:f>
        <x:v>81</x:v>
      </x:c>
      <x:c r="AA30" s="12" t="n">
        <x:f>ROUND(0.38*L30+0.25*P30+0.20*T30+0.17*(100-M30),0)</x:f>
        <x:v>85</x:v>
      </x:c>
      <x:c r="AB30" s="12" t="n">
        <x:f>ROUND(0.32*M30+0.26*S30+0.24*R30+0.18*K30,0)</x:f>
        <x:v>35</x:v>
      </x:c>
      <x:c r="AC30" s="12" t="n">
        <x:f>ROUND(0.27*Q30+0.24*T30+0.22*N30+0.15*P30+0.12*V30,0)</x:f>
        <x:v>73</x:v>
      </x:c>
      <x:c r="AD30" s="12" t="n">
        <x:f>ROUND(0.28*O30+0.28*R30+0.28*Y30+0.16*(100-L30),0)</x:f>
        <x:v>42</x:v>
      </x:c>
      <x:c r="AE30" s="12" t="n">
        <x:f>ROUND(0.35*Y30+0.22*T30+0.18*R30+0.13*S30+0.12*X30,0)</x:f>
        <x:v>60</x:v>
      </x:c>
      <x:c r="AF30" s="12" t="n">
        <x:f>ROUND(0.72*X30+0.28*Y30,0)</x:f>
        <x:v>70</x:v>
      </x:c>
      <x:c r="AG30" s="12" t="str">
        <x:v>https://wikiwiki.jp/poke-unite/%E3%83%90%E3%82%AF%E3%83%95%E3%83%BC%E3%83%B3</x:v>
      </x:c>
    </x:row>
    <x:row r="31">
      <x:c r="A31" s="12" t="str">
        <x:v>ピカチュウ</x:v>
      </x:c>
      <x:c r="B31" s="12" t="str">
        <x:v>アタック型</x:v>
      </x:c>
      <x:c r="C31" s="12" t="str">
        <x:v>ピカチュウ-1</x:v>
      </x:c>
      <x:c r="D31" s="12" t="str">
        <x:v>エレキボール＋ボルテッカー</x:v>
      </x:c>
      <x:c r="E31" s="12" t="str">
        <x:v>Pick Mage</x:v>
      </x:c>
      <x:c r="F31" s="12" t="str">
        <x:v>BurstMage</x:v>
      </x:c>
      <x:c r="G31" s="12" t="str">
        <x:v>Catcher</x:v>
      </x:c>
      <x:c r="H31" s="12" t="str">
        <x:v>必中拘束から確殺補助</x:v>
      </x:c>
      <x:c r="I31" s="12" t="str">
        <x:v>高</x:v>
      </x:c>
      <x:c r="J31" s="12" t="str">
        <x:v>2026-09-25</x:v>
      </x:c>
      <x:c r="K31" s="12" t="n">
        <x:v>45</x:v>
      </x:c>
      <x:c r="L31" s="12" t="n">
        <x:v>25</x:v>
      </x:c>
      <x:c r="M31" s="12" t="n">
        <x:v>45</x:v>
      </x:c>
      <x:c r="N31" s="12" t="n">
        <x:v>20</x:v>
      </x:c>
      <x:c r="O31" s="12" t="n">
        <x:v>70</x:v>
      </x:c>
      <x:c r="P31" s="12" t="n">
        <x:v>90</x:v>
      </x:c>
      <x:c r="Q31" s="12" t="n">
        <x:v>50</x:v>
      </x:c>
      <x:c r="R31" s="12" t="n">
        <x:v>85</x:v>
      </x:c>
      <x:c r="S31" s="12" t="n">
        <x:v>20</x:v>
      </x:c>
      <x:c r="T31" s="12" t="n">
        <x:v>35</x:v>
      </x:c>
      <x:c r="U31" s="12" t="n">
        <x:v>55</x:v>
      </x:c>
      <x:c r="V31" s="12" t="n">
        <x:v>65</x:v>
      </x:c>
      <x:c r="W31" s="12" t="n">
        <x:v>35</x:v>
      </x:c>
      <x:c r="X31" s="12" t="n">
        <x:v>65</x:v>
      </x:c>
      <x:c r="Y31" s="12" t="n">
        <x:v>75</x:v>
      </x:c>
      <x:c r="Z31" s="12" t="n">
        <x:f>ROUND(0.38*K31+0.30*L31+0.17*P31+0.15*Y31,0)</x:f>
        <x:v>51</x:v>
      </x:c>
      <x:c r="AA31" s="12" t="n">
        <x:f>ROUND(0.38*L31+0.25*P31+0.20*T31+0.17*(100-M31),0)</x:f>
        <x:v>48</x:v>
      </x:c>
      <x:c r="AB31" s="12" t="n">
        <x:f>ROUND(0.32*M31+0.26*S31+0.24*R31+0.18*K31,0)</x:f>
        <x:v>48</x:v>
      </x:c>
      <x:c r="AC31" s="12" t="n">
        <x:f>ROUND(0.27*Q31+0.24*T31+0.22*N31+0.15*P31+0.12*V31,0)</x:f>
        <x:v>48</x:v>
      </x:c>
      <x:c r="AD31" s="12" t="n">
        <x:f>ROUND(0.28*O31+0.28*R31+0.28*Y31+0.16*(100-L31),0)</x:f>
        <x:v>76</x:v>
      </x:c>
      <x:c r="AE31" s="12" t="n">
        <x:f>ROUND(0.35*Y31+0.22*T31+0.18*R31+0.13*S31+0.12*X31,0)</x:f>
        <x:v>60</x:v>
      </x:c>
      <x:c r="AF31" s="12" t="n">
        <x:f>ROUND(0.72*X31+0.28*Y31,0)</x:f>
        <x:v>68</x:v>
      </x:c>
      <x:c r="AG31" s="12" t="str">
        <x:v>https://wikiwiki.jp/poke-unite/%E3%83%94%E3%82%AB%E3%83%81%E3%83%A5%E3%82%A6</x:v>
      </x:c>
    </x:row>
    <x:row r="32">
      <x:c r="A32" s="12" t="str">
        <x:v>ピカチュウ</x:v>
      </x:c>
      <x:c r="B32" s="12" t="str">
        <x:v>アタック型</x:v>
      </x:c>
      <x:c r="C32" s="12" t="str">
        <x:v>ピカチュウ-2</x:v>
      </x:c>
      <x:c r="D32" s="12" t="str">
        <x:v>かみなり＋10まんボルト</x:v>
      </x:c>
      <x:c r="E32" s="12" t="str">
        <x:v>Artillery Mage</x:v>
      </x:c>
      <x:c r="F32" s="12" t="str">
        <x:v>Artillery</x:v>
      </x:c>
      <x:c r="G32" s="12" t="str">
        <x:v>BurstMage</x:v>
      </x:c>
      <x:c r="H32" s="12" t="str">
        <x:v>遠距離範囲制圧</x:v>
      </x:c>
      <x:c r="I32" s="12" t="str">
        <x:v>高</x:v>
      </x:c>
      <x:c r="J32" s="12" t="str">
        <x:v>2026-09-25</x:v>
      </x:c>
      <x:c r="K32" s="12" t="n">
        <x:v>20</x:v>
      </x:c>
      <x:c r="L32" s="12" t="n">
        <x:v>0</x:v>
      </x:c>
      <x:c r="M32" s="12" t="n">
        <x:v>25</x:v>
      </x:c>
      <x:c r="N32" s="12" t="n">
        <x:v>5</x:v>
      </x:c>
      <x:c r="O32" s="12" t="n">
        <x:v>100</x:v>
      </x:c>
      <x:c r="P32" s="12" t="n">
        <x:v>90</x:v>
      </x:c>
      <x:c r="Q32" s="12" t="n">
        <x:v>60</x:v>
      </x:c>
      <x:c r="R32" s="12" t="n">
        <x:v>60</x:v>
      </x:c>
      <x:c r="S32" s="12" t="n">
        <x:v>10</x:v>
      </x:c>
      <x:c r="T32" s="12" t="n">
        <x:v>20</x:v>
      </x:c>
      <x:c r="U32" s="12" t="n">
        <x:v>70</x:v>
      </x:c>
      <x:c r="V32" s="12" t="n">
        <x:v>80</x:v>
      </x:c>
      <x:c r="W32" s="12" t="n">
        <x:v>30</x:v>
      </x:c>
      <x:c r="X32" s="12" t="n">
        <x:v>75</x:v>
      </x:c>
      <x:c r="Y32" s="12" t="n">
        <x:v>80</x:v>
      </x:c>
      <x:c r="Z32" s="12" t="n">
        <x:f>ROUND(0.38*K32+0.30*L32+0.17*P32+0.15*Y32,0)</x:f>
        <x:v>35</x:v>
      </x:c>
      <x:c r="AA32" s="12" t="n">
        <x:f>ROUND(0.38*L32+0.25*P32+0.20*T32+0.17*(100-M32),0)</x:f>
        <x:v>39</x:v>
      </x:c>
      <x:c r="AB32" s="12" t="n">
        <x:f>ROUND(0.32*M32+0.26*S32+0.24*R32+0.18*K32,0)</x:f>
        <x:v>29</x:v>
      </x:c>
      <x:c r="AC32" s="12" t="n">
        <x:f>ROUND(0.27*Q32+0.24*T32+0.22*N32+0.15*P32+0.12*V32,0)</x:f>
        <x:v>45</x:v>
      </x:c>
      <x:c r="AD32" s="12" t="n">
        <x:f>ROUND(0.28*O32+0.28*R32+0.28*Y32+0.16*(100-L32),0)</x:f>
        <x:v>83</x:v>
      </x:c>
      <x:c r="AE32" s="12" t="n">
        <x:f>ROUND(0.35*Y32+0.22*T32+0.18*R32+0.13*S32+0.12*X32,0)</x:f>
        <x:v>53</x:v>
      </x:c>
      <x:c r="AF32" s="12" t="n">
        <x:f>ROUND(0.72*X32+0.28*Y32,0)</x:f>
        <x:v>76</x:v>
      </x:c>
      <x:c r="AG32" s="12" t="str">
        <x:v>https://wikiwiki.jp/poke-unite/%E3%83%94%E3%82%AB%E3%83%81%E3%83%A5%E3%82%A6</x:v>
      </x:c>
    </x:row>
    <x:row r="33">
      <x:c r="A33" s="12" t="str">
        <x:v>フシギバナ</x:v>
      </x:c>
      <x:c r="B33" s="12" t="str">
        <x:v>アタック型</x:v>
      </x:c>
      <x:c r="C33" s="12" t="str">
        <x:v>フシギバナ-1</x:v>
      </x:c>
      <x:c r="D33" s="12" t="str">
        <x:v>ヘドロばくだん＋ソーラービーム</x:v>
      </x:c>
      <x:c r="E33" s="12" t="str">
        <x:v>Artillery</x:v>
      </x:c>
      <x:c r="F33" s="12" t="str">
        <x:v>Artillery</x:v>
      </x:c>
      <x:c r="G33" s="12" t="str"/>
      <x:c r="H33" s="12" t="str">
        <x:v>後衛・長射程・スティール</x:v>
      </x:c>
      <x:c r="I33" s="12" t="str">
        <x:v>高</x:v>
      </x:c>
      <x:c r="J33" s="12" t="str">
        <x:v>2026-09-25</x:v>
      </x:c>
      <x:c r="K33" s="12" t="n">
        <x:v>20</x:v>
      </x:c>
      <x:c r="L33" s="12" t="n">
        <x:v>5</x:v>
      </x:c>
      <x:c r="M33" s="12" t="n">
        <x:v>20</x:v>
      </x:c>
      <x:c r="N33" s="12" t="n">
        <x:v>0</x:v>
      </x:c>
      <x:c r="O33" s="12" t="n">
        <x:v>100</x:v>
      </x:c>
      <x:c r="P33" s="12" t="n">
        <x:v>100</x:v>
      </x:c>
      <x:c r="Q33" s="12" t="n">
        <x:v>60</x:v>
      </x:c>
      <x:c r="R33" s="12" t="n">
        <x:v>45</x:v>
      </x:c>
      <x:c r="S33" s="12" t="n">
        <x:v>10</x:v>
      </x:c>
      <x:c r="T33" s="12" t="n">
        <x:v>25</x:v>
      </x:c>
      <x:c r="U33" s="12" t="n">
        <x:v>70</x:v>
      </x:c>
      <x:c r="V33" s="12" t="n">
        <x:v>95</x:v>
      </x:c>
      <x:c r="W33" s="12" t="n">
        <x:v>30</x:v>
      </x:c>
      <x:c r="X33" s="12" t="n">
        <x:v>80</x:v>
      </x:c>
      <x:c r="Y33" s="12" t="n">
        <x:v>80</x:v>
      </x:c>
      <x:c r="Z33" s="12" t="n">
        <x:f>ROUND(0.38*K33+0.30*L33+0.17*P33+0.15*Y33,0)</x:f>
        <x:v>38</x:v>
      </x:c>
      <x:c r="AA33" s="12" t="n">
        <x:f>ROUND(0.38*L33+0.25*P33+0.20*T33+0.17*(100-M33),0)</x:f>
        <x:v>46</x:v>
      </x:c>
      <x:c r="AB33" s="12" t="n">
        <x:f>ROUND(0.32*M33+0.26*S33+0.24*R33+0.18*K33,0)</x:f>
        <x:v>23</x:v>
      </x:c>
      <x:c r="AC33" s="12" t="n">
        <x:f>ROUND(0.27*Q33+0.24*T33+0.22*N33+0.15*P33+0.12*V33,0)</x:f>
        <x:v>49</x:v>
      </x:c>
      <x:c r="AD33" s="12" t="n">
        <x:f>ROUND(0.28*O33+0.28*R33+0.28*Y33+0.16*(100-L33),0)</x:f>
        <x:v>78</x:v>
      </x:c>
      <x:c r="AE33" s="12" t="n">
        <x:f>ROUND(0.35*Y33+0.22*T33+0.18*R33+0.13*S33+0.12*X33,0)</x:f>
        <x:v>53</x:v>
      </x:c>
      <x:c r="AF33" s="12" t="n">
        <x:f>ROUND(0.72*X33+0.28*Y33,0)</x:f>
        <x:v>80</x:v>
      </x:c>
      <x:c r="AG33" s="12" t="str">
        <x:v>https://wikiwiki.jp/poke-unite/%E3%83%95%E3%82%B7%E3%82%AE%E3%83%90%E3%83%8A</x:v>
      </x:c>
    </x:row>
    <x:row r="34">
      <x:c r="A34" s="12" t="str">
        <x:v>フシギバナ</x:v>
      </x:c>
      <x:c r="B34" s="12" t="str">
        <x:v>アタック型</x:v>
      </x:c>
      <x:c r="C34" s="12" t="str">
        <x:v>フシギバナ-2</x:v>
      </x:c>
      <x:c r="D34" s="12" t="str">
        <x:v>ギガドレイン＋はなびらのまい</x:v>
      </x:c>
      <x:c r="E34" s="12" t="str">
        <x:v>Juggernaut Mage</x:v>
      </x:c>
      <x:c r="F34" s="12" t="str">
        <x:v>Juggernaut</x:v>
      </x:c>
      <x:c r="G34" s="12" t="str">
        <x:v>BattleMage</x:v>
      </x:c>
      <x:c r="H34" s="12" t="str">
        <x:v>前衛・回復・継続戦</x:v>
      </x:c>
      <x:c r="I34" s="12" t="str">
        <x:v>高</x:v>
      </x:c>
      <x:c r="J34" s="12" t="str">
        <x:v>2026-09-25</x:v>
      </x:c>
      <x:c r="K34" s="12" t="n">
        <x:v>50</x:v>
      </x:c>
      <x:c r="L34" s="12" t="n">
        <x:v>40</x:v>
      </x:c>
      <x:c r="M34" s="12" t="n">
        <x:v>35</x:v>
      </x:c>
      <x:c r="N34" s="12" t="n">
        <x:v>85</x:v>
      </x:c>
      <x:c r="O34" s="12" t="n">
        <x:v>10</x:v>
      </x:c>
      <x:c r="P34" s="12" t="n">
        <x:v>65</x:v>
      </x:c>
      <x:c r="Q34" s="12" t="n">
        <x:v>100</x:v>
      </x:c>
      <x:c r="R34" s="12" t="n">
        <x:v>45</x:v>
      </x:c>
      <x:c r="S34" s="12" t="n">
        <x:v>15</x:v>
      </x:c>
      <x:c r="T34" s="12" t="n">
        <x:v>55</x:v>
      </x:c>
      <x:c r="U34" s="12" t="n">
        <x:v>75</x:v>
      </x:c>
      <x:c r="V34" s="12" t="n">
        <x:v>85</x:v>
      </x:c>
      <x:c r="W34" s="12" t="n">
        <x:v>45</x:v>
      </x:c>
      <x:c r="X34" s="12" t="n">
        <x:v>55</x:v>
      </x:c>
      <x:c r="Y34" s="12" t="n">
        <x:v>65</x:v>
      </x:c>
      <x:c r="Z34" s="12" t="n">
        <x:f>ROUND(0.38*K34+0.30*L34+0.17*P34+0.15*Y34,0)</x:f>
        <x:v>52</x:v>
      </x:c>
      <x:c r="AA34" s="12" t="n">
        <x:f>ROUND(0.38*L34+0.25*P34+0.20*T34+0.17*(100-M34),0)</x:f>
        <x:v>54</x:v>
      </x:c>
      <x:c r="AB34" s="12" t="n">
        <x:f>ROUND(0.32*M34+0.26*S34+0.24*R34+0.18*K34,0)</x:f>
        <x:v>35</x:v>
      </x:c>
      <x:c r="AC34" s="12" t="n">
        <x:f>ROUND(0.27*Q34+0.24*T34+0.22*N34+0.15*P34+0.12*V34,0)</x:f>
        <x:v>79</x:v>
      </x:c>
      <x:c r="AD34" s="12" t="n">
        <x:f>ROUND(0.28*O34+0.28*R34+0.28*Y34+0.16*(100-L34),0)</x:f>
        <x:v>43</x:v>
      </x:c>
      <x:c r="AE34" s="12" t="n">
        <x:f>ROUND(0.35*Y34+0.22*T34+0.18*R34+0.13*S34+0.12*X34,0)</x:f>
        <x:v>52</x:v>
      </x:c>
      <x:c r="AF34" s="12" t="n">
        <x:f>ROUND(0.72*X34+0.28*Y34,0)</x:f>
        <x:v>58</x:v>
      </x:c>
      <x:c r="AG34" s="12" t="str">
        <x:v>https://wikiwiki.jp/poke-unite/%E3%83%95%E3%82%B7%E3%82%AE%E3%83%90%E3%83%8A</x:v>
      </x:c>
    </x:row>
    <x:row r="35">
      <x:c r="A35" s="12" t="str">
        <x:v>マフォクシー</x:v>
      </x:c>
      <x:c r="B35" s="12" t="str">
        <x:v>アタック型</x:v>
      </x:c>
      <x:c r="C35" s="12" t="str">
        <x:v>マフォクシー-1</x:v>
      </x:c>
      <x:c r="D35" s="12" t="str">
        <x:v>だいもんじ＋ほのおのうず</x:v>
      </x:c>
      <x:c r="E35" s="12" t="str">
        <x:v>Control Burst Mage</x:v>
      </x:c>
      <x:c r="F35" s="12" t="str">
        <x:v>BurstMage</x:v>
      </x:c>
      <x:c r="G35" s="12" t="str"/>
      <x:c r="H35" s="12" t="str">
        <x:v>追尾CCから範囲バースト</x:v>
      </x:c>
      <x:c r="I35" s="12" t="str">
        <x:v>高</x:v>
      </x:c>
      <x:c r="J35" s="12" t="str">
        <x:v>2026-09-25</x:v>
      </x:c>
      <x:c r="K35" s="12" t="n">
        <x:v>30</x:v>
      </x:c>
      <x:c r="L35" s="12" t="n">
        <x:v>10</x:v>
      </x:c>
      <x:c r="M35" s="12" t="n">
        <x:v>40</x:v>
      </x:c>
      <x:c r="N35" s="12" t="n">
        <x:v>10</x:v>
      </x:c>
      <x:c r="O35" s="12" t="n">
        <x:v>95</x:v>
      </x:c>
      <x:c r="P35" s="12" t="n">
        <x:v>100</x:v>
      </x:c>
      <x:c r="Q35" s="12" t="n">
        <x:v>50</x:v>
      </x:c>
      <x:c r="R35" s="12" t="n">
        <x:v>80</x:v>
      </x:c>
      <x:c r="S35" s="12" t="n">
        <x:v>15</x:v>
      </x:c>
      <x:c r="T35" s="12" t="n">
        <x:v>25</x:v>
      </x:c>
      <x:c r="U35" s="12" t="n">
        <x:v>65</x:v>
      </x:c>
      <x:c r="V35" s="12" t="n">
        <x:v>70</x:v>
      </x:c>
      <x:c r="W35" s="12" t="n">
        <x:v>35</x:v>
      </x:c>
      <x:c r="X35" s="12" t="n">
        <x:v>65</x:v>
      </x:c>
      <x:c r="Y35" s="12" t="n">
        <x:v>75</x:v>
      </x:c>
      <x:c r="Z35" s="12" t="n">
        <x:f>ROUND(0.38*K35+0.30*L35+0.17*P35+0.15*Y35,0)</x:f>
        <x:v>43</x:v>
      </x:c>
      <x:c r="AA35" s="12" t="n">
        <x:f>ROUND(0.38*L35+0.25*P35+0.20*T35+0.17*(100-M35),0)</x:f>
        <x:v>44</x:v>
      </x:c>
      <x:c r="AB35" s="12" t="n">
        <x:f>ROUND(0.32*M35+0.26*S35+0.24*R35+0.18*K35,0)</x:f>
        <x:v>41</x:v>
      </x:c>
      <x:c r="AC35" s="12" t="n">
        <x:f>ROUND(0.27*Q35+0.24*T35+0.22*N35+0.15*P35+0.12*V35,0)</x:f>
        <x:v>45</x:v>
      </x:c>
      <x:c r="AD35" s="12" t="n">
        <x:f>ROUND(0.28*O35+0.28*R35+0.28*Y35+0.16*(100-L35),0)</x:f>
        <x:v>84</x:v>
      </x:c>
      <x:c r="AE35" s="12" t="n">
        <x:f>ROUND(0.35*Y35+0.22*T35+0.18*R35+0.13*S35+0.12*X35,0)</x:f>
        <x:v>56</x:v>
      </x:c>
      <x:c r="AF35" s="12" t="n">
        <x:f>ROUND(0.72*X35+0.28*Y35,0)</x:f>
        <x:v>68</x:v>
      </x:c>
      <x:c r="AG35" s="12" t="str">
        <x:v>https://wikiwiki.jp/poke-unite/%E3%83%9E%E3%83%95%E3%82%A9%E3%82%AF%E3%82%B7%E3%83%BC</x:v>
      </x:c>
    </x:row>
    <x:row r="36">
      <x:c r="A36" s="12" t="str">
        <x:v>マフォクシー</x:v>
      </x:c>
      <x:c r="B36" s="12" t="str">
        <x:v>アタック型</x:v>
      </x:c>
      <x:c r="C36" s="12" t="str">
        <x:v>マフォクシー-2</x:v>
      </x:c>
      <x:c r="D36" s="12" t="str">
        <x:v>マジカルフレイム＋ニトロチャージ</x:v>
      </x:c>
      <x:c r="E36" s="12" t="str">
        <x:v>Mobile Battlemage</x:v>
      </x:c>
      <x:c r="F36" s="12" t="str">
        <x:v>BattleMage</x:v>
      </x:c>
      <x:c r="G36" s="12" t="str"/>
      <x:c r="H36" s="12" t="str">
        <x:v>ムーブで避けながら連射</x:v>
      </x:c>
      <x:c r="I36" s="12" t="str">
        <x:v>高</x:v>
      </x:c>
      <x:c r="J36" s="12" t="str">
        <x:v>2026-09-25</x:v>
      </x:c>
      <x:c r="K36" s="12" t="n">
        <x:v>40</x:v>
      </x:c>
      <x:c r="L36" s="12" t="n">
        <x:v>35</x:v>
      </x:c>
      <x:c r="M36" s="12" t="n">
        <x:v>30</x:v>
      </x:c>
      <x:c r="N36" s="12" t="n">
        <x:v>30</x:v>
      </x:c>
      <x:c r="O36" s="12" t="n">
        <x:v>65</x:v>
      </x:c>
      <x:c r="P36" s="12" t="n">
        <x:v>60</x:v>
      </x:c>
      <x:c r="Q36" s="12" t="n">
        <x:v>100</x:v>
      </x:c>
      <x:c r="R36" s="12" t="n">
        <x:v>40</x:v>
      </x:c>
      <x:c r="S36" s="12" t="n">
        <x:v>15</x:v>
      </x:c>
      <x:c r="T36" s="12" t="n">
        <x:v>70</x:v>
      </x:c>
      <x:c r="U36" s="12" t="n">
        <x:v>70</x:v>
      </x:c>
      <x:c r="V36" s="12" t="n">
        <x:v>80</x:v>
      </x:c>
      <x:c r="W36" s="12" t="n">
        <x:v>45</x:v>
      </x:c>
      <x:c r="X36" s="12" t="n">
        <x:v>75</x:v>
      </x:c>
      <x:c r="Y36" s="12" t="n">
        <x:v>70</x:v>
      </x:c>
      <x:c r="Z36" s="12" t="n">
        <x:f>ROUND(0.38*K36+0.30*L36+0.17*P36+0.15*Y36,0)</x:f>
        <x:v>46</x:v>
      </x:c>
      <x:c r="AA36" s="12" t="n">
        <x:f>ROUND(0.38*L36+0.25*P36+0.20*T36+0.17*(100-M36),0)</x:f>
        <x:v>54</x:v>
      </x:c>
      <x:c r="AB36" s="12" t="n">
        <x:f>ROUND(0.32*M36+0.26*S36+0.24*R36+0.18*K36,0)</x:f>
        <x:v>30</x:v>
      </x:c>
      <x:c r="AC36" s="12" t="n">
        <x:f>ROUND(0.27*Q36+0.24*T36+0.22*N36+0.15*P36+0.12*V36,0)</x:f>
        <x:v>69</x:v>
      </x:c>
      <x:c r="AD36" s="12" t="n">
        <x:f>ROUND(0.28*O36+0.28*R36+0.28*Y36+0.16*(100-L36),0)</x:f>
        <x:v>59</x:v>
      </x:c>
      <x:c r="AE36" s="12" t="n">
        <x:f>ROUND(0.35*Y36+0.22*T36+0.18*R36+0.13*S36+0.12*X36,0)</x:f>
        <x:v>58</x:v>
      </x:c>
      <x:c r="AF36" s="12" t="n">
        <x:f>ROUND(0.72*X36+0.28*Y36,0)</x:f>
        <x:v>74</x:v>
      </x:c>
      <x:c r="AG36" s="12" t="str">
        <x:v>https://wikiwiki.jp/poke-unite/%E3%83%9E%E3%83%95%E3%82%A9%E3%82%AF%E3%82%B7%E3%83%BC</x:v>
      </x:c>
    </x:row>
    <x:row r="37">
      <x:c r="A37" s="12" t="str">
        <x:v>ミュウ</x:v>
      </x:c>
      <x:c r="B37" s="12" t="str">
        <x:v>アタック型</x:v>
      </x:c>
      <x:c r="C37" s="12" t="str">
        <x:v>ミュウ-1</x:v>
      </x:c>
      <x:c r="D37" s="12" t="str">
        <x:v>共通プロファイル</x:v>
      </x:c>
      <x:c r="E37" s="12" t="str">
        <x:v>Specialist/Artillery</x:v>
      </x:c>
      <x:c r="F37" s="12" t="str">
        <x:v>Specialist</x:v>
      </x:c>
      <x:c r="G37" s="12" t="str">
        <x:v>Artillery</x:v>
      </x:c>
      <x:c r="H37" s="12" t="str">
        <x:v>技選択で主役割が大きく変わらないため統合</x:v>
      </x:c>
      <x:c r="I37" s="12" t="str">
        <x:v>高</x:v>
      </x:c>
      <x:c r="J37" s="12" t="str">
        <x:v>2026-09-25</x:v>
      </x:c>
      <x:c r="K37" s="12" t="n">
        <x:v>40</x:v>
      </x:c>
      <x:c r="L37" s="12" t="n">
        <x:v>30</x:v>
      </x:c>
      <x:c r="M37" s="12" t="n">
        <x:v>50</x:v>
      </x:c>
      <x:c r="N37" s="12" t="n">
        <x:v>30</x:v>
      </x:c>
      <x:c r="O37" s="12" t="n">
        <x:v>80</x:v>
      </x:c>
      <x:c r="P37" s="12" t="n">
        <x:v>60</x:v>
      </x:c>
      <x:c r="Q37" s="12" t="n">
        <x:v>55</x:v>
      </x:c>
      <x:c r="R37" s="12" t="n">
        <x:v>65</x:v>
      </x:c>
      <x:c r="S37" s="12" t="n">
        <x:v>55</x:v>
      </x:c>
      <x:c r="T37" s="12" t="n">
        <x:v>65</x:v>
      </x:c>
      <x:c r="U37" s="12" t="n">
        <x:v>50</x:v>
      </x:c>
      <x:c r="V37" s="12" t="n">
        <x:v>65</x:v>
      </x:c>
      <x:c r="W37" s="12" t="n">
        <x:v>60</x:v>
      </x:c>
      <x:c r="X37" s="12" t="n">
        <x:v>95</x:v>
      </x:c>
      <x:c r="Y37" s="12" t="n">
        <x:v>95</x:v>
      </x:c>
      <x:c r="Z37" s="12" t="n">
        <x:f>ROUND(0.38*K37+0.30*L37+0.17*P37+0.15*Y37,0)</x:f>
        <x:v>49</x:v>
      </x:c>
      <x:c r="AA37" s="12" t="n">
        <x:f>ROUND(0.38*L37+0.25*P37+0.20*T37+0.17*(100-M37),0)</x:f>
        <x:v>48</x:v>
      </x:c>
      <x:c r="AB37" s="12" t="n">
        <x:f>ROUND(0.32*M37+0.26*S37+0.24*R37+0.18*K37,0)</x:f>
        <x:v>53</x:v>
      </x:c>
      <x:c r="AC37" s="12" t="n">
        <x:f>ROUND(0.27*Q37+0.24*T37+0.22*N37+0.15*P37+0.12*V37,0)</x:f>
        <x:v>54</x:v>
      </x:c>
      <x:c r="AD37" s="12" t="n">
        <x:f>ROUND(0.28*O37+0.28*R37+0.28*Y37+0.16*(100-L37),0)</x:f>
        <x:v>78</x:v>
      </x:c>
      <x:c r="AE37" s="12" t="n">
        <x:f>ROUND(0.35*Y37+0.22*T37+0.18*R37+0.13*S37+0.12*X37,0)</x:f>
        <x:v>78</x:v>
      </x:c>
      <x:c r="AF37" s="12" t="n">
        <x:f>ROUND(0.72*X37+0.28*Y37,0)</x:f>
        <x:v>95</x:v>
      </x:c>
      <x:c r="AG37" s="12" t="str">
        <x:v>https://wikiwiki.jp/poke-unite/%E3%83%9F%E3%83%A5%E3%82%A6</x:v>
      </x:c>
    </x:row>
    <x:row r="38">
      <x:c r="A38" s="12" t="str">
        <x:v>ミュウツー(Y)</x:v>
      </x:c>
      <x:c r="B38" s="12" t="str">
        <x:v>アタック型</x:v>
      </x:c>
      <x:c r="C38" s="12" t="str">
        <x:v>ミュウツー(Y)-1</x:v>
      </x:c>
      <x:c r="D38" s="12" t="str">
        <x:v>共通プロファイル</x:v>
      </x:c>
      <x:c r="E38" s="12" t="str">
        <x:v>Marksman/BattleMage</x:v>
      </x:c>
      <x:c r="F38" s="12" t="str">
        <x:v>Marksman</x:v>
      </x:c>
      <x:c r="G38" s="12" t="str">
        <x:v>BattleMage</x:v>
      </x:c>
      <x:c r="H38" s="12" t="str">
        <x:v>技選択で主役割が大きく変わらないため統合</x:v>
      </x:c>
      <x:c r="I38" s="12" t="str">
        <x:v>高</x:v>
      </x:c>
      <x:c r="J38" s="12" t="str">
        <x:v>2026-09-25</x:v>
      </x:c>
      <x:c r="K38" s="12" t="n">
        <x:v>30</x:v>
      </x:c>
      <x:c r="L38" s="12" t="n">
        <x:v>20</x:v>
      </x:c>
      <x:c r="M38" s="12" t="n">
        <x:v>20</x:v>
      </x:c>
      <x:c r="N38" s="12" t="n">
        <x:v>15</x:v>
      </x:c>
      <x:c r="O38" s="12" t="n">
        <x:v>70</x:v>
      </x:c>
      <x:c r="P38" s="12" t="n">
        <x:v>55</x:v>
      </x:c>
      <x:c r="Q38" s="12" t="n">
        <x:v>100</x:v>
      </x:c>
      <x:c r="R38" s="12" t="n">
        <x:v>35</x:v>
      </x:c>
      <x:c r="S38" s="12" t="n">
        <x:v>10</x:v>
      </x:c>
      <x:c r="T38" s="12" t="n">
        <x:v>50</x:v>
      </x:c>
      <x:c r="U38" s="12" t="n">
        <x:v>80</x:v>
      </x:c>
      <x:c r="V38" s="12" t="n">
        <x:v>95</x:v>
      </x:c>
      <x:c r="W38" s="12" t="n">
        <x:v>50</x:v>
      </x:c>
      <x:c r="X38" s="12" t="n">
        <x:v>55</x:v>
      </x:c>
      <x:c r="Y38" s="12" t="n">
        <x:v>70</x:v>
      </x:c>
      <x:c r="Z38" s="12" t="n">
        <x:f>ROUND(0.38*K38+0.30*L38+0.17*P38+0.15*Y38,0)</x:f>
        <x:v>37</x:v>
      </x:c>
      <x:c r="AA38" s="12" t="n">
        <x:f>ROUND(0.38*L38+0.25*P38+0.20*T38+0.17*(100-M38),0)</x:f>
        <x:v>45</x:v>
      </x:c>
      <x:c r="AB38" s="12" t="n">
        <x:f>ROUND(0.32*M38+0.26*S38+0.24*R38+0.18*K38,0)</x:f>
        <x:v>23</x:v>
      </x:c>
      <x:c r="AC38" s="12" t="n">
        <x:f>ROUND(0.27*Q38+0.24*T38+0.22*N38+0.15*P38+0.12*V38,0)</x:f>
        <x:v>62</x:v>
      </x:c>
      <x:c r="AD38" s="12" t="n">
        <x:f>ROUND(0.28*O38+0.28*R38+0.28*Y38+0.16*(100-L38),0)</x:f>
        <x:v>62</x:v>
      </x:c>
      <x:c r="AE38" s="12" t="n">
        <x:f>ROUND(0.35*Y38+0.22*T38+0.18*R38+0.13*S38+0.12*X38,0)</x:f>
        <x:v>50</x:v>
      </x:c>
      <x:c r="AF38" s="12" t="n">
        <x:f>ROUND(0.72*X38+0.28*Y38,0)</x:f>
        <x:v>59</x:v>
      </x:c>
      <x:c r="AG38" s="12" t="str">
        <x:v>https://wikiwiki.jp/poke-unite/%E3%83%9F%E3%83%A5%E3%82%A6%E3%83%84%E3%83%BC(Y)</x:v>
      </x:c>
    </x:row>
    <x:row r="39">
      <x:c r="A39" s="12" t="str">
        <x:v>ミライドン</x:v>
      </x:c>
      <x:c r="B39" s="12" t="str">
        <x:v>アタック型</x:v>
      </x:c>
      <x:c r="C39" s="12" t="str">
        <x:v>ミライドン-1</x:v>
      </x:c>
      <x:c r="D39" s="12" t="str">
        <x:v>チャージビーム＋かみなり</x:v>
      </x:c>
      <x:c r="E39" s="12" t="str">
        <x:v>Artillery Mage</x:v>
      </x:c>
      <x:c r="F39" s="12" t="str">
        <x:v>Artillery</x:v>
      </x:c>
      <x:c r="G39" s="12" t="str"/>
      <x:c r="H39" s="12" t="str">
        <x:v>長射程ハラス・索敵</x:v>
      </x:c>
      <x:c r="I39" s="12" t="str">
        <x:v>高</x:v>
      </x:c>
      <x:c r="J39" s="12" t="str">
        <x:v>2026-09-25</x:v>
      </x:c>
      <x:c r="K39" s="12" t="n">
        <x:v>20</x:v>
      </x:c>
      <x:c r="L39" s="12" t="n">
        <x:v>5</x:v>
      </x:c>
      <x:c r="M39" s="12" t="n">
        <x:v>20</x:v>
      </x:c>
      <x:c r="N39" s="12" t="n">
        <x:v>5</x:v>
      </x:c>
      <x:c r="O39" s="12" t="n">
        <x:v>100</x:v>
      </x:c>
      <x:c r="P39" s="12" t="n">
        <x:v>90</x:v>
      </x:c>
      <x:c r="Q39" s="12" t="n">
        <x:v>65</x:v>
      </x:c>
      <x:c r="R39" s="12" t="n">
        <x:v>55</x:v>
      </x:c>
      <x:c r="S39" s="12" t="n">
        <x:v>10</x:v>
      </x:c>
      <x:c r="T39" s="12" t="n">
        <x:v>15</x:v>
      </x:c>
      <x:c r="U39" s="12" t="n">
        <x:v>70</x:v>
      </x:c>
      <x:c r="V39" s="12" t="n">
        <x:v>85</x:v>
      </x:c>
      <x:c r="W39" s="12" t="n">
        <x:v>30</x:v>
      </x:c>
      <x:c r="X39" s="12" t="n">
        <x:v>80</x:v>
      </x:c>
      <x:c r="Y39" s="12" t="n">
        <x:v>80</x:v>
      </x:c>
      <x:c r="Z39" s="12" t="n">
        <x:f>ROUND(0.38*K39+0.30*L39+0.17*P39+0.15*Y39,0)</x:f>
        <x:v>36</x:v>
      </x:c>
      <x:c r="AA39" s="12" t="n">
        <x:f>ROUND(0.38*L39+0.25*P39+0.20*T39+0.17*(100-M39),0)</x:f>
        <x:v>41</x:v>
      </x:c>
      <x:c r="AB39" s="12" t="n">
        <x:f>ROUND(0.32*M39+0.26*S39+0.24*R39+0.18*K39,0)</x:f>
        <x:v>26</x:v>
      </x:c>
      <x:c r="AC39" s="12" t="n">
        <x:f>ROUND(0.27*Q39+0.24*T39+0.22*N39+0.15*P39+0.12*V39,0)</x:f>
        <x:v>46</x:v>
      </x:c>
      <x:c r="AD39" s="12" t="n">
        <x:f>ROUND(0.28*O39+0.28*R39+0.28*Y39+0.16*(100-L39),0)</x:f>
        <x:v>81</x:v>
      </x:c>
      <x:c r="AE39" s="12" t="n">
        <x:f>ROUND(0.35*Y39+0.22*T39+0.18*R39+0.13*S39+0.12*X39,0)</x:f>
        <x:v>52</x:v>
      </x:c>
      <x:c r="AF39" s="12" t="n">
        <x:f>ROUND(0.72*X39+0.28*Y39,0)</x:f>
        <x:v>80</x:v>
      </x:c>
      <x:c r="AG39" s="12" t="str">
        <x:v>https://wikiwiki.jp/poke-unite/%E3%83%9F%E3%83%A9%E3%82%A4%E3%83%89%E3%83%B3</x:v>
      </x:c>
    </x:row>
    <x:row r="40">
      <x:c r="A40" s="12" t="str">
        <x:v>ミライドン</x:v>
      </x:c>
      <x:c r="B40" s="12" t="str">
        <x:v>アタック型</x:v>
      </x:c>
      <x:c r="C40" s="12" t="str">
        <x:v>ミライドン-2</x:v>
      </x:c>
      <x:c r="D40" s="12" t="str">
        <x:v>イナズマドライブ＋パラボラチャージ</x:v>
      </x:c>
      <x:c r="E40" s="12" t="str">
        <x:v>Dive Skirmisher</x:v>
      </x:c>
      <x:c r="F40" s="12" t="str">
        <x:v>Skirmisher</x:v>
      </x:c>
      <x:c r="G40" s="12" t="str">
        <x:v>Assassin</x:v>
      </x:c>
      <x:c r="H40" s="12" t="str">
        <x:v>スピード型寄りの突入・回復</x:v>
      </x:c>
      <x:c r="I40" s="12" t="str">
        <x:v>高</x:v>
      </x:c>
      <x:c r="J40" s="12" t="str">
        <x:v>2026-09-25</x:v>
      </x:c>
      <x:c r="K40" s="12" t="n">
        <x:v>55</x:v>
      </x:c>
      <x:c r="L40" s="12" t="n">
        <x:v>95</x:v>
      </x:c>
      <x:c r="M40" s="12" t="n">
        <x:v>20</x:v>
      </x:c>
      <x:c r="N40" s="12" t="n">
        <x:v>50</x:v>
      </x:c>
      <x:c r="O40" s="12" t="n">
        <x:v>0</x:v>
      </x:c>
      <x:c r="P40" s="12" t="n">
        <x:v>75</x:v>
      </x:c>
      <x:c r="Q40" s="12" t="n">
        <x:v>80</x:v>
      </x:c>
      <x:c r="R40" s="12" t="n">
        <x:v>35</x:v>
      </x:c>
      <x:c r="S40" s="12" t="n">
        <x:v>10</x:v>
      </x:c>
      <x:c r="T40" s="12" t="n">
        <x:v>95</x:v>
      </x:c>
      <x:c r="U40" s="12" t="n">
        <x:v>70</x:v>
      </x:c>
      <x:c r="V40" s="12" t="n">
        <x:v>75</x:v>
      </x:c>
      <x:c r="W40" s="12" t="n">
        <x:v>65</x:v>
      </x:c>
      <x:c r="X40" s="12" t="n">
        <x:v>80</x:v>
      </x:c>
      <x:c r="Y40" s="12" t="n">
        <x:v>70</x:v>
      </x:c>
      <x:c r="Z40" s="12" t="n">
        <x:f>ROUND(0.38*K40+0.30*L40+0.17*P40+0.15*Y40,0)</x:f>
        <x:v>73</x:v>
      </x:c>
      <x:c r="AA40" s="12" t="n">
        <x:f>ROUND(0.38*L40+0.25*P40+0.20*T40+0.17*(100-M40),0)</x:f>
        <x:v>87</x:v>
      </x:c>
      <x:c r="AB40" s="12" t="n">
        <x:f>ROUND(0.32*M40+0.26*S40+0.24*R40+0.18*K40,0)</x:f>
        <x:v>27</x:v>
      </x:c>
      <x:c r="AC40" s="12" t="n">
        <x:f>ROUND(0.27*Q40+0.24*T40+0.22*N40+0.15*P40+0.12*V40,0)</x:f>
        <x:v>76</x:v>
      </x:c>
      <x:c r="AD40" s="12" t="n">
        <x:f>ROUND(0.28*O40+0.28*R40+0.28*Y40+0.16*(100-L40),0)</x:f>
        <x:v>30</x:v>
      </x:c>
      <x:c r="AE40" s="12" t="n">
        <x:f>ROUND(0.35*Y40+0.22*T40+0.18*R40+0.13*S40+0.12*X40,0)</x:f>
        <x:v>63</x:v>
      </x:c>
      <x:c r="AF40" s="12" t="n">
        <x:f>ROUND(0.72*X40+0.28*Y40,0)</x:f>
        <x:v>77</x:v>
      </x:c>
      <x:c r="AG40" s="12" t="str">
        <x:v>https://wikiwiki.jp/poke-unite/%E3%83%9F%E3%83%A9%E3%82%A4%E3%83%89%E3%83%B3</x:v>
      </x:c>
    </x:row>
    <x:row r="41">
      <x:c r="A41" s="12" t="str">
        <x:v>ラウドボーン</x:v>
      </x:c>
      <x:c r="B41" s="12" t="str">
        <x:v>アタック型</x:v>
      </x:c>
      <x:c r="C41" s="12" t="str">
        <x:v>ラウドボーン-1</x:v>
      </x:c>
      <x:c r="D41" s="12" t="str">
        <x:v>共通プロファイル</x:v>
      </x:c>
      <x:c r="E41" s="12" t="str">
        <x:v>Artillery</x:v>
      </x:c>
      <x:c r="F41" s="12" t="str">
        <x:v>Artillery</x:v>
      </x:c>
      <x:c r="G41" s="12" t="str"/>
      <x:c r="H41" s="12" t="str">
        <x:v>技選択で主役割が大きく変わらないため統合</x:v>
      </x:c>
      <x:c r="I41" s="12" t="str">
        <x:v>中</x:v>
      </x:c>
      <x:c r="J41" s="12" t="str">
        <x:v>2026-09-25</x:v>
      </x:c>
      <x:c r="K41" s="12" t="n">
        <x:v>20</x:v>
      </x:c>
      <x:c r="L41" s="12" t="n">
        <x:v>5</x:v>
      </x:c>
      <x:c r="M41" s="12" t="n">
        <x:v>20</x:v>
      </x:c>
      <x:c r="N41" s="12" t="n">
        <x:v>5</x:v>
      </x:c>
      <x:c r="O41" s="12" t="n">
        <x:v>100</x:v>
      </x:c>
      <x:c r="P41" s="12" t="n">
        <x:v>100</x:v>
      </x:c>
      <x:c r="Q41" s="12" t="n">
        <x:v>60</x:v>
      </x:c>
      <x:c r="R41" s="12" t="n">
        <x:v>45</x:v>
      </x:c>
      <x:c r="S41" s="12" t="n">
        <x:v>10</x:v>
      </x:c>
      <x:c r="T41" s="12" t="n">
        <x:v>10</x:v>
      </x:c>
      <x:c r="U41" s="12" t="n">
        <x:v>70</x:v>
      </x:c>
      <x:c r="V41" s="12" t="n">
        <x:v>85</x:v>
      </x:c>
      <x:c r="W41" s="12" t="n">
        <x:v>30</x:v>
      </x:c>
      <x:c r="X41" s="12" t="n">
        <x:v>80</x:v>
      </x:c>
      <x:c r="Y41" s="12" t="n">
        <x:v>80</x:v>
      </x:c>
      <x:c r="Z41" s="12" t="n">
        <x:f>ROUND(0.38*K41+0.30*L41+0.17*P41+0.15*Y41,0)</x:f>
        <x:v>38</x:v>
      </x:c>
      <x:c r="AA41" s="12" t="n">
        <x:f>ROUND(0.38*L41+0.25*P41+0.20*T41+0.17*(100-M41),0)</x:f>
        <x:v>43</x:v>
      </x:c>
      <x:c r="AB41" s="12" t="n">
        <x:f>ROUND(0.32*M41+0.26*S41+0.24*R41+0.18*K41,0)</x:f>
        <x:v>23</x:v>
      </x:c>
      <x:c r="AC41" s="12" t="n">
        <x:f>ROUND(0.27*Q41+0.24*T41+0.22*N41+0.15*P41+0.12*V41,0)</x:f>
        <x:v>45</x:v>
      </x:c>
      <x:c r="AD41" s="12" t="n">
        <x:f>ROUND(0.28*O41+0.28*R41+0.28*Y41+0.16*(100-L41),0)</x:f>
        <x:v>78</x:v>
      </x:c>
      <x:c r="AE41" s="12" t="n">
        <x:f>ROUND(0.35*Y41+0.22*T41+0.18*R41+0.13*S41+0.12*X41,0)</x:f>
        <x:v>49</x:v>
      </x:c>
      <x:c r="AF41" s="12" t="n">
        <x:f>ROUND(0.72*X41+0.28*Y41,0)</x:f>
        <x:v>80</x:v>
      </x:c>
      <x:c r="AG41" s="12" t="str">
        <x:v>https://wikiwiki.jp/poke-unite/%E3%83%A9%E3%82%A6%E3%83%89%E3%83%9C%E3%83%BC%E3%83%B3</x:v>
      </x:c>
    </x:row>
    <x:row r="42">
      <x:c r="A42" s="12" t="str">
        <x:v>ラティオス</x:v>
      </x:c>
      <x:c r="B42" s="12" t="str">
        <x:v>アタック型</x:v>
      </x:c>
      <x:c r="C42" s="12" t="str">
        <x:v>ラティオス-1</x:v>
      </x:c>
      <x:c r="D42" s="12" t="str">
        <x:v>共通プロファイル</x:v>
      </x:c>
      <x:c r="E42" s="12" t="str">
        <x:v>BurstMage</x:v>
      </x:c>
      <x:c r="F42" s="12" t="str">
        <x:v>BurstMage</x:v>
      </x:c>
      <x:c r="G42" s="12" t="str"/>
      <x:c r="H42" s="12" t="str">
        <x:v>技選択で主役割が大きく変わらないため統合</x:v>
      </x:c>
      <x:c r="I42" s="12" t="str">
        <x:v>高</x:v>
      </x:c>
      <x:c r="J42" s="12" t="str">
        <x:v>2026-09-25</x:v>
      </x:c>
      <x:c r="K42" s="12" t="n">
        <x:v>30</x:v>
      </x:c>
      <x:c r="L42" s="12" t="n">
        <x:v>10</x:v>
      </x:c>
      <x:c r="M42" s="12" t="n">
        <x:v>40</x:v>
      </x:c>
      <x:c r="N42" s="12" t="n">
        <x:v>10</x:v>
      </x:c>
      <x:c r="O42" s="12" t="n">
        <x:v>90</x:v>
      </x:c>
      <x:c r="P42" s="12" t="n">
        <x:v>100</x:v>
      </x:c>
      <x:c r="Q42" s="12" t="n">
        <x:v>50</x:v>
      </x:c>
      <x:c r="R42" s="12" t="n">
        <x:v>65</x:v>
      </x:c>
      <x:c r="S42" s="12" t="n">
        <x:v>15</x:v>
      </x:c>
      <x:c r="T42" s="12" t="n">
        <x:v>40</x:v>
      </x:c>
      <x:c r="U42" s="12" t="n">
        <x:v>75</x:v>
      </x:c>
      <x:c r="V42" s="12" t="n">
        <x:v>70</x:v>
      </x:c>
      <x:c r="W42" s="12" t="n">
        <x:v>35</x:v>
      </x:c>
      <x:c r="X42" s="12" t="n">
        <x:v>65</x:v>
      </x:c>
      <x:c r="Y42" s="12" t="n">
        <x:v>75</x:v>
      </x:c>
      <x:c r="Z42" s="12" t="n">
        <x:f>ROUND(0.38*K42+0.30*L42+0.17*P42+0.15*Y42,0)</x:f>
        <x:v>43</x:v>
      </x:c>
      <x:c r="AA42" s="12" t="n">
        <x:f>ROUND(0.38*L42+0.25*P42+0.20*T42+0.17*(100-M42),0)</x:f>
        <x:v>47</x:v>
      </x:c>
      <x:c r="AB42" s="12" t="n">
        <x:f>ROUND(0.32*M42+0.26*S42+0.24*R42+0.18*K42,0)</x:f>
        <x:v>38</x:v>
      </x:c>
      <x:c r="AC42" s="12" t="n">
        <x:f>ROUND(0.27*Q42+0.24*T42+0.22*N42+0.15*P42+0.12*V42,0)</x:f>
        <x:v>49</x:v>
      </x:c>
      <x:c r="AD42" s="12" t="n">
        <x:f>ROUND(0.28*O42+0.28*R42+0.28*Y42+0.16*(100-L42),0)</x:f>
        <x:v>79</x:v>
      </x:c>
      <x:c r="AE42" s="12" t="n">
        <x:f>ROUND(0.35*Y42+0.22*T42+0.18*R42+0.13*S42+0.12*X42,0)</x:f>
        <x:v>57</x:v>
      </x:c>
      <x:c r="AF42" s="12" t="n">
        <x:f>ROUND(0.72*X42+0.28*Y42,0)</x:f>
        <x:v>68</x:v>
      </x:c>
      <x:c r="AG42" s="12" t="str">
        <x:v>https://wikiwiki.jp/poke-unite/%E3%83%A9%E3%83%86%E3%82%A3%E3%82%AA%E3%82%B9</x:v>
      </x:c>
    </x:row>
    <x:row r="43">
      <x:c r="A43" s="12" t="str">
        <x:v>レシラム</x:v>
      </x:c>
      <x:c r="B43" s="12" t="str">
        <x:v>アタック型</x:v>
      </x:c>
      <x:c r="C43" s="12" t="str">
        <x:v>レシラム-1</x:v>
      </x:c>
      <x:c r="D43" s="12" t="str">
        <x:v>共通プロファイル</x:v>
      </x:c>
      <x:c r="E43" s="12" t="str">
        <x:v>BattleMage</x:v>
      </x:c>
      <x:c r="F43" s="12" t="str">
        <x:v>BattleMage</x:v>
      </x:c>
      <x:c r="G43" s="12" t="str"/>
      <x:c r="H43" s="12" t="str">
        <x:v>技選択で主役割が大きく変わらないため統合</x:v>
      </x:c>
      <x:c r="I43" s="12" t="str">
        <x:v>低</x:v>
      </x:c>
      <x:c r="J43" s="12" t="str">
        <x:v>2026-09-25</x:v>
      </x:c>
      <x:c r="K43" s="12" t="n">
        <x:v>40</x:v>
      </x:c>
      <x:c r="L43" s="12" t="n">
        <x:v>35</x:v>
      </x:c>
      <x:c r="M43" s="12" t="n">
        <x:v>30</x:v>
      </x:c>
      <x:c r="N43" s="12" t="n">
        <x:v>30</x:v>
      </x:c>
      <x:c r="O43" s="12" t="n">
        <x:v>70</x:v>
      </x:c>
      <x:c r="P43" s="12" t="n">
        <x:v>65</x:v>
      </x:c>
      <x:c r="Q43" s="12" t="n">
        <x:v>95</x:v>
      </x:c>
      <x:c r="R43" s="12" t="n">
        <x:v>45</x:v>
      </x:c>
      <x:c r="S43" s="12" t="n">
        <x:v>15</x:v>
      </x:c>
      <x:c r="T43" s="12" t="n">
        <x:v>55</x:v>
      </x:c>
      <x:c r="U43" s="12" t="n">
        <x:v>80</x:v>
      </x:c>
      <x:c r="V43" s="12" t="n">
        <x:v>80</x:v>
      </x:c>
      <x:c r="W43" s="12" t="n">
        <x:v>45</x:v>
      </x:c>
      <x:c r="X43" s="12" t="n">
        <x:v>65</x:v>
      </x:c>
      <x:c r="Y43" s="12" t="n">
        <x:v>70</x:v>
      </x:c>
      <x:c r="Z43" s="12" t="n">
        <x:f>ROUND(0.38*K43+0.30*L43+0.17*P43+0.15*Y43,0)</x:f>
        <x:v>47</x:v>
      </x:c>
      <x:c r="AA43" s="12" t="n">
        <x:f>ROUND(0.38*L43+0.25*P43+0.20*T43+0.17*(100-M43),0)</x:f>
        <x:v>52</x:v>
      </x:c>
      <x:c r="AB43" s="12" t="n">
        <x:f>ROUND(0.32*M43+0.26*S43+0.24*R43+0.18*K43,0)</x:f>
        <x:v>31</x:v>
      </x:c>
      <x:c r="AC43" s="12" t="n">
        <x:f>ROUND(0.27*Q43+0.24*T43+0.22*N43+0.15*P43+0.12*V43,0)</x:f>
        <x:v>65</x:v>
      </x:c>
      <x:c r="AD43" s="12" t="n">
        <x:f>ROUND(0.28*O43+0.28*R43+0.28*Y43+0.16*(100-L43),0)</x:f>
        <x:v>62</x:v>
      </x:c>
      <x:c r="AE43" s="12" t="n">
        <x:f>ROUND(0.35*Y43+0.22*T43+0.18*R43+0.13*S43+0.12*X43,0)</x:f>
        <x:v>54</x:v>
      </x:c>
      <x:c r="AF43" s="12" t="n">
        <x:f>ROUND(0.72*X43+0.28*Y43,0)</x:f>
        <x:v>66</x:v>
      </x:c>
      <x:c r="AG43" s="12" t="str">
        <x:v>https://wikiwiki.jp/poke-unite/%E3%83%AC%E3%82%B7%E3%83%A9%E3%83%A0</x:v>
      </x:c>
    </x:row>
    <x:row r="44">
      <x:c r="A44" s="12" t="str">
        <x:v>ストリンダー</x:v>
      </x:c>
      <x:c r="B44" s="12" t="str">
        <x:v>アタック型</x:v>
      </x:c>
      <x:c r="C44" s="12" t="str">
        <x:v>ストリンダー-1</x:v>
      </x:c>
      <x:c r="D44" s="12" t="str">
        <x:v>共通プロファイル</x:v>
      </x:c>
      <x:c r="E44" s="12" t="str">
        <x:v>Marksman/BattleMage</x:v>
      </x:c>
      <x:c r="F44" s="12" t="str">
        <x:v>Marksman</x:v>
      </x:c>
      <x:c r="G44" s="12" t="str">
        <x:v>BattleMage</x:v>
      </x:c>
      <x:c r="H44" s="12" t="str">
        <x:v>技選択で主役割が大きく変わらないため統合</x:v>
      </x:c>
      <x:c r="I44" s="12" t="str">
        <x:v>低</x:v>
      </x:c>
      <x:c r="J44" s="12" t="str">
        <x:v>2026-09-25</x:v>
      </x:c>
      <x:c r="K44" s="12" t="n">
        <x:v>30</x:v>
      </x:c>
      <x:c r="L44" s="12" t="n">
        <x:v>20</x:v>
      </x:c>
      <x:c r="M44" s="12" t="n">
        <x:v>20</x:v>
      </x:c>
      <x:c r="N44" s="12" t="n">
        <x:v>15</x:v>
      </x:c>
      <x:c r="O44" s="12" t="n">
        <x:v>75</x:v>
      </x:c>
      <x:c r="P44" s="12" t="n">
        <x:v>55</x:v>
      </x:c>
      <x:c r="Q44" s="12" t="n">
        <x:v>100</x:v>
      </x:c>
      <x:c r="R44" s="12" t="n">
        <x:v>30</x:v>
      </x:c>
      <x:c r="S44" s="12" t="n">
        <x:v>10</x:v>
      </x:c>
      <x:c r="T44" s="12" t="n">
        <x:v>50</x:v>
      </x:c>
      <x:c r="U44" s="12" t="n">
        <x:v>80</x:v>
      </x:c>
      <x:c r="V44" s="12" t="n">
        <x:v>95</x:v>
      </x:c>
      <x:c r="W44" s="12" t="n">
        <x:v>50</x:v>
      </x:c>
      <x:c r="X44" s="12" t="n">
        <x:v>65</x:v>
      </x:c>
      <x:c r="Y44" s="12" t="n">
        <x:v>75</x:v>
      </x:c>
      <x:c r="Z44" s="12" t="n">
        <x:f>ROUND(0.38*K44+0.30*L44+0.17*P44+0.15*Y44,0)</x:f>
        <x:v>38</x:v>
      </x:c>
      <x:c r="AA44" s="12" t="n">
        <x:f>ROUND(0.38*L44+0.25*P44+0.20*T44+0.17*(100-M44),0)</x:f>
        <x:v>45</x:v>
      </x:c>
      <x:c r="AB44" s="12" t="n">
        <x:f>ROUND(0.32*M44+0.26*S44+0.24*R44+0.18*K44,0)</x:f>
        <x:v>22</x:v>
      </x:c>
      <x:c r="AC44" s="12" t="n">
        <x:f>ROUND(0.27*Q44+0.24*T44+0.22*N44+0.15*P44+0.12*V44,0)</x:f>
        <x:v>62</x:v>
      </x:c>
      <x:c r="AD44" s="12" t="n">
        <x:f>ROUND(0.28*O44+0.28*R44+0.28*Y44+0.16*(100-L44),0)</x:f>
        <x:v>63</x:v>
      </x:c>
      <x:c r="AE44" s="12" t="n">
        <x:f>ROUND(0.35*Y44+0.22*T44+0.18*R44+0.13*S44+0.12*X44,0)</x:f>
        <x:v>52</x:v>
      </x:c>
      <x:c r="AF44" s="12" t="n">
        <x:f>ROUND(0.72*X44+0.28*Y44,0)</x:f>
        <x:v>68</x:v>
      </x:c>
      <x:c r="AG44" s="12" t="str">
        <x:v>https://www.pokemonunite.jp/ja/topics/news/20260924/</x:v>
      </x:c>
    </x:row>
    <x:row r="45">
      <x:c r="A45" s="12" t="str">
        <x:v>アマージョ</x:v>
      </x:c>
      <x:c r="B45" s="12" t="str">
        <x:v>バランス型</x:v>
      </x:c>
      <x:c r="C45" s="12" t="str">
        <x:v>アマージョ-1</x:v>
      </x:c>
      <x:c r="D45" s="12" t="str">
        <x:v>ふみつけ＋トロピカルキック</x:v>
      </x:c>
      <x:c r="E45" s="12" t="str">
        <x:v>Burst Skirmisher</x:v>
      </x:c>
      <x:c r="F45" s="12" t="str">
        <x:v>Skirmisher</x:v>
      </x:c>
      <x:c r="G45" s="12" t="str"/>
      <x:c r="H45" s="12" t="str">
        <x:v>瞬間火力と短い交換を重視</x:v>
      </x:c>
      <x:c r="I45" s="12" t="str">
        <x:v>高</x:v>
      </x:c>
      <x:c r="J45" s="12" t="str">
        <x:v>2026-09-25</x:v>
      </x:c>
      <x:c r="K45" s="12" t="n">
        <x:v>55</x:v>
      </x:c>
      <x:c r="L45" s="12" t="n">
        <x:v>75</x:v>
      </x:c>
      <x:c r="M45" s="12" t="n">
        <x:v>25</x:v>
      </x:c>
      <x:c r="N45" s="12" t="n">
        <x:v>65</x:v>
      </x:c>
      <x:c r="O45" s="12" t="n">
        <x:v>20</x:v>
      </x:c>
      <x:c r="P45" s="12" t="n">
        <x:v>80</x:v>
      </x:c>
      <x:c r="Q45" s="12" t="n">
        <x:v>80</x:v>
      </x:c>
      <x:c r="R45" s="12" t="n">
        <x:v>45</x:v>
      </x:c>
      <x:c r="S45" s="12" t="n">
        <x:v>10</x:v>
      </x:c>
      <x:c r="T45" s="12" t="n">
        <x:v>75</x:v>
      </x:c>
      <x:c r="U45" s="12" t="n">
        <x:v>75</x:v>
      </x:c>
      <x:c r="V45" s="12" t="n">
        <x:v>75</x:v>
      </x:c>
      <x:c r="W45" s="12" t="n">
        <x:v>60</x:v>
      </x:c>
      <x:c r="X45" s="12" t="n">
        <x:v>70</x:v>
      </x:c>
      <x:c r="Y45" s="12" t="n">
        <x:v>65</x:v>
      </x:c>
      <x:c r="Z45" s="12" t="n">
        <x:f>ROUND(0.38*K45+0.30*L45+0.17*P45+0.15*Y45,0)</x:f>
        <x:v>67</x:v>
      </x:c>
      <x:c r="AA45" s="12" t="n">
        <x:f>ROUND(0.38*L45+0.25*P45+0.20*T45+0.17*(100-M45),0)</x:f>
        <x:v>76</x:v>
      </x:c>
      <x:c r="AB45" s="12" t="n">
        <x:f>ROUND(0.32*M45+0.26*S45+0.24*R45+0.18*K45,0)</x:f>
        <x:v>31</x:v>
      </x:c>
      <x:c r="AC45" s="12" t="n">
        <x:f>ROUND(0.27*Q45+0.24*T45+0.22*N45+0.15*P45+0.12*V45,0)</x:f>
        <x:v>75</x:v>
      </x:c>
      <x:c r="AD45" s="12" t="n">
        <x:f>ROUND(0.28*O45+0.28*R45+0.28*Y45+0.16*(100-L45),0)</x:f>
        <x:v>40</x:v>
      </x:c>
      <x:c r="AE45" s="12" t="n">
        <x:f>ROUND(0.35*Y45+0.22*T45+0.18*R45+0.13*S45+0.12*X45,0)</x:f>
        <x:v>57</x:v>
      </x:c>
      <x:c r="AF45" s="12" t="n">
        <x:f>ROUND(0.72*X45+0.28*Y45,0)</x:f>
        <x:v>69</x:v>
      </x:c>
      <x:c r="AG45" s="12" t="str">
        <x:v>https://wikiwiki.jp/poke-unite/%E3%82%A2%E3%83%9E%E3%83%BC%E3%82%B8%E3%83%A7</x:v>
      </x:c>
    </x:row>
    <x:row r="46">
      <x:c r="A46" s="12" t="str">
        <x:v>アマージョ</x:v>
      </x:c>
      <x:c r="B46" s="12" t="str">
        <x:v>バランス型</x:v>
      </x:c>
      <x:c r="C46" s="12" t="str">
        <x:v>アマージョ-2</x:v>
      </x:c>
      <x:c r="D46" s="12" t="str">
        <x:v>トリプルアクセル＋グラススライダー</x:v>
      </x:c>
      <x:c r="E46" s="12" t="str">
        <x:v>Sustain Skirmisher</x:v>
      </x:c>
      <x:c r="F46" s="12" t="str">
        <x:v>Skirmisher</x:v>
      </x:c>
      <x:c r="G46" s="12" t="str"/>
      <x:c r="H46" s="12" t="str">
        <x:v>手数・継戦・張り付き重視</x:v>
      </x:c>
      <x:c r="I46" s="12" t="str">
        <x:v>高</x:v>
      </x:c>
      <x:c r="J46" s="12" t="str">
        <x:v>2026-09-25</x:v>
      </x:c>
      <x:c r="K46" s="12" t="n">
        <x:v>55</x:v>
      </x:c>
      <x:c r="L46" s="12" t="n">
        <x:v>75</x:v>
      </x:c>
      <x:c r="M46" s="12" t="n">
        <x:v>25</x:v>
      </x:c>
      <x:c r="N46" s="12" t="n">
        <x:v>70</x:v>
      </x:c>
      <x:c r="O46" s="12" t="n">
        <x:v>20</x:v>
      </x:c>
      <x:c r="P46" s="12" t="n">
        <x:v>55</x:v>
      </x:c>
      <x:c r="Q46" s="12" t="n">
        <x:v>100</x:v>
      </x:c>
      <x:c r="R46" s="12" t="n">
        <x:v>35</x:v>
      </x:c>
      <x:c r="S46" s="12" t="n">
        <x:v>10</x:v>
      </x:c>
      <x:c r="T46" s="12" t="n">
        <x:v>80</x:v>
      </x:c>
      <x:c r="U46" s="12" t="n">
        <x:v>75</x:v>
      </x:c>
      <x:c r="V46" s="12" t="n">
        <x:v>75</x:v>
      </x:c>
      <x:c r="W46" s="12" t="n">
        <x:v>60</x:v>
      </x:c>
      <x:c r="X46" s="12" t="n">
        <x:v>70</x:v>
      </x:c>
      <x:c r="Y46" s="12" t="n">
        <x:v>65</x:v>
      </x:c>
      <x:c r="Z46" s="12" t="n">
        <x:f>ROUND(0.38*K46+0.30*L46+0.17*P46+0.15*Y46,0)</x:f>
        <x:v>63</x:v>
      </x:c>
      <x:c r="AA46" s="12" t="n">
        <x:f>ROUND(0.38*L46+0.25*P46+0.20*T46+0.17*(100-M46),0)</x:f>
        <x:v>71</x:v>
      </x:c>
      <x:c r="AB46" s="12" t="n">
        <x:f>ROUND(0.32*M46+0.26*S46+0.24*R46+0.18*K46,0)</x:f>
        <x:v>29</x:v>
      </x:c>
      <x:c r="AC46" s="12" t="n">
        <x:f>ROUND(0.27*Q46+0.24*T46+0.22*N46+0.15*P46+0.12*V46,0)</x:f>
        <x:v>79</x:v>
      </x:c>
      <x:c r="AD46" s="12" t="n">
        <x:f>ROUND(0.28*O46+0.28*R46+0.28*Y46+0.16*(100-L46),0)</x:f>
        <x:v>38</x:v>
      </x:c>
      <x:c r="AE46" s="12" t="n">
        <x:f>ROUND(0.35*Y46+0.22*T46+0.18*R46+0.13*S46+0.12*X46,0)</x:f>
        <x:v>56</x:v>
      </x:c>
      <x:c r="AF46" s="12" t="n">
        <x:f>ROUND(0.72*X46+0.28*Y46,0)</x:f>
        <x:v>69</x:v>
      </x:c>
      <x:c r="AG46" s="12" t="str">
        <x:v>https://wikiwiki.jp/poke-unite/%E3%82%A2%E3%83%9E%E3%83%BC%E3%82%B8%E3%83%A7</x:v>
      </x:c>
    </x:row>
    <x:row r="47">
      <x:c r="A47" s="12" t="str">
        <x:v>ウェーニバル</x:v>
      </x:c>
      <x:c r="B47" s="12" t="str">
        <x:v>バランス型</x:v>
      </x:c>
      <x:c r="C47" s="12" t="str">
        <x:v>ウェーニバル-1</x:v>
      </x:c>
      <x:c r="D47" s="12" t="str">
        <x:v>共通プロファイル</x:v>
      </x:c>
      <x:c r="E47" s="12" t="str">
        <x:v>Skirmisher</x:v>
      </x:c>
      <x:c r="F47" s="12" t="str">
        <x:v>Skirmisher</x:v>
      </x:c>
      <x:c r="G47" s="12" t="str"/>
      <x:c r="H47" s="12" t="str">
        <x:v>技選択で主役割が大きく変わらないため統合</x:v>
      </x:c>
      <x:c r="I47" s="12" t="str">
        <x:v>中</x:v>
      </x:c>
      <x:c r="J47" s="12" t="str">
        <x:v>2026-09-25</x:v>
      </x:c>
      <x:c r="K47" s="12" t="n">
        <x:v>55</x:v>
      </x:c>
      <x:c r="L47" s="12" t="n">
        <x:v>75</x:v>
      </x:c>
      <x:c r="M47" s="12" t="n">
        <x:v>25</x:v>
      </x:c>
      <x:c r="N47" s="12" t="n">
        <x:v>65</x:v>
      </x:c>
      <x:c r="O47" s="12" t="n">
        <x:v>20</x:v>
      </x:c>
      <x:c r="P47" s="12" t="n">
        <x:v>55</x:v>
      </x:c>
      <x:c r="Q47" s="12" t="n">
        <x:v>100</x:v>
      </x:c>
      <x:c r="R47" s="12" t="n">
        <x:v>35</x:v>
      </x:c>
      <x:c r="S47" s="12" t="n">
        <x:v>10</x:v>
      </x:c>
      <x:c r="T47" s="12" t="n">
        <x:v>85</x:v>
      </x:c>
      <x:c r="U47" s="12" t="n">
        <x:v>75</x:v>
      </x:c>
      <x:c r="V47" s="12" t="n">
        <x:v>75</x:v>
      </x:c>
      <x:c r="W47" s="12" t="n">
        <x:v>60</x:v>
      </x:c>
      <x:c r="X47" s="12" t="n">
        <x:v>70</x:v>
      </x:c>
      <x:c r="Y47" s="12" t="n">
        <x:v>65</x:v>
      </x:c>
      <x:c r="Z47" s="12" t="n">
        <x:f>ROUND(0.38*K47+0.30*L47+0.17*P47+0.15*Y47,0)</x:f>
        <x:v>63</x:v>
      </x:c>
      <x:c r="AA47" s="12" t="n">
        <x:f>ROUND(0.38*L47+0.25*P47+0.20*T47+0.17*(100-M47),0)</x:f>
        <x:v>72</x:v>
      </x:c>
      <x:c r="AB47" s="12" t="n">
        <x:f>ROUND(0.32*M47+0.26*S47+0.24*R47+0.18*K47,0)</x:f>
        <x:v>29</x:v>
      </x:c>
      <x:c r="AC47" s="12" t="n">
        <x:f>ROUND(0.27*Q47+0.24*T47+0.22*N47+0.15*P47+0.12*V47,0)</x:f>
        <x:v>79</x:v>
      </x:c>
      <x:c r="AD47" s="12" t="n">
        <x:f>ROUND(0.28*O47+0.28*R47+0.28*Y47+0.16*(100-L47),0)</x:f>
        <x:v>38</x:v>
      </x:c>
      <x:c r="AE47" s="12" t="n">
        <x:f>ROUND(0.35*Y47+0.22*T47+0.18*R47+0.13*S47+0.12*X47,0)</x:f>
        <x:v>57</x:v>
      </x:c>
      <x:c r="AF47" s="12" t="n">
        <x:f>ROUND(0.72*X47+0.28*Y47,0)</x:f>
        <x:v>69</x:v>
      </x:c>
      <x:c r="AG47" s="12" t="str">
        <x:v>https://wikiwiki.jp/poke-unite/%E3%82%A6%E3%82%A7%E3%83%BC%E3%83%8B%E3%83%90%E3%83%AB</x:v>
      </x:c>
    </x:row>
    <x:row r="48">
      <x:c r="A48" s="12" t="str">
        <x:v>ウーラオス</x:v>
      </x:c>
      <x:c r="B48" s="12" t="str">
        <x:v>バランス型</x:v>
      </x:c>
      <x:c r="C48" s="12" t="str">
        <x:v>ウーラオス-1</x:v>
      </x:c>
      <x:c r="D48" s="12" t="str">
        <x:v>あんこくきょうだ＋じごくづき</x:v>
      </x:c>
      <x:c r="E48" s="12" t="str">
        <x:v>Single-Strike Diver</x:v>
      </x:c>
      <x:c r="F48" s="12" t="str">
        <x:v>Diver</x:v>
      </x:c>
      <x:c r="G48" s="12" t="str">
        <x:v>Assassin</x:v>
      </x:c>
      <x:c r="H48" s="12" t="str">
        <x:v>溜め一撃・確殺</x:v>
      </x:c>
      <x:c r="I48" s="12" t="str">
        <x:v>高</x:v>
      </x:c>
      <x:c r="J48" s="12" t="str">
        <x:v>2026-09-25</x:v>
      </x:c>
      <x:c r="K48" s="12" t="n">
        <x:v>70</x:v>
      </x:c>
      <x:c r="L48" s="12" t="n">
        <x:v>95</x:v>
      </x:c>
      <x:c r="M48" s="12" t="n">
        <x:v>20</x:v>
      </x:c>
      <x:c r="N48" s="12" t="n">
        <x:v>55</x:v>
      </x:c>
      <x:c r="O48" s="12" t="n">
        <x:v>15</x:v>
      </x:c>
      <x:c r="P48" s="12" t="n">
        <x:v>95</x:v>
      </x:c>
      <x:c r="Q48" s="12" t="n">
        <x:v>55</x:v>
      </x:c>
      <x:c r="R48" s="12" t="n">
        <x:v>40</x:v>
      </x:c>
      <x:c r="S48" s="12" t="n">
        <x:v>10</x:v>
      </x:c>
      <x:c r="T48" s="12" t="n">
        <x:v>85</x:v>
      </x:c>
      <x:c r="U48" s="12" t="n">
        <x:v>70</x:v>
      </x:c>
      <x:c r="V48" s="12" t="n">
        <x:v>75</x:v>
      </x:c>
      <x:c r="W48" s="12" t="n">
        <x:v>65</x:v>
      </x:c>
      <x:c r="X48" s="12" t="n">
        <x:v>75</x:v>
      </x:c>
      <x:c r="Y48" s="12" t="n">
        <x:v>70</x:v>
      </x:c>
      <x:c r="Z48" s="12" t="n">
        <x:f>ROUND(0.38*K48+0.30*L48+0.17*P48+0.15*Y48,0)</x:f>
        <x:v>82</x:v>
      </x:c>
      <x:c r="AA48" s="12" t="n">
        <x:f>ROUND(0.38*L48+0.25*P48+0.20*T48+0.17*(100-M48),0)</x:f>
        <x:v>90</x:v>
      </x:c>
      <x:c r="AB48" s="12" t="n">
        <x:f>ROUND(0.32*M48+0.26*S48+0.24*R48+0.18*K48,0)</x:f>
        <x:v>31</x:v>
      </x:c>
      <x:c r="AC48" s="12" t="n">
        <x:f>ROUND(0.27*Q48+0.24*T48+0.22*N48+0.15*P48+0.12*V48,0)</x:f>
        <x:v>71</x:v>
      </x:c>
      <x:c r="AD48" s="12" t="n">
        <x:f>ROUND(0.28*O48+0.28*R48+0.28*Y48+0.16*(100-L48),0)</x:f>
        <x:v>36</x:v>
      </x:c>
      <x:c r="AE48" s="12" t="n">
        <x:f>ROUND(0.35*Y48+0.22*T48+0.18*R48+0.13*S48+0.12*X48,0)</x:f>
        <x:v>61</x:v>
      </x:c>
      <x:c r="AF48" s="12" t="n">
        <x:f>ROUND(0.72*X48+0.28*Y48,0)</x:f>
        <x:v>74</x:v>
      </x:c>
      <x:c r="AG48" s="12" t="str">
        <x:v>https://wikiwiki.jp/poke-unite/%E3%82%A6%E3%83%BC%E3%83%A9%E3%82%AA%E3%82%B9</x:v>
      </x:c>
    </x:row>
    <x:row r="49">
      <x:c r="A49" s="12" t="str">
        <x:v>ウーラオス</x:v>
      </x:c>
      <x:c r="B49" s="12" t="str">
        <x:v>バランス型</x:v>
      </x:c>
      <x:c r="C49" s="12" t="str">
        <x:v>ウーラオス-2</x:v>
      </x:c>
      <x:c r="D49" s="12" t="str">
        <x:v>すいりゅうれんだ＋アクアブレイク</x:v>
      </x:c>
      <x:c r="E49" s="12" t="str">
        <x:v>Rapid-Strike Skirmisher</x:v>
      </x:c>
      <x:c r="F49" s="12" t="str">
        <x:v>Skirmisher</x:v>
      </x:c>
      <x:c r="G49" s="12" t="str">
        <x:v>Diver</x:v>
      </x:c>
      <x:c r="H49" s="12" t="str">
        <x:v>連撃・継戦・追撃</x:v>
      </x:c>
      <x:c r="I49" s="12" t="str">
        <x:v>高</x:v>
      </x:c>
      <x:c r="J49" s="12" t="str">
        <x:v>2026-09-25</x:v>
      </x:c>
      <x:c r="K49" s="12" t="n">
        <x:v>60</x:v>
      </x:c>
      <x:c r="L49" s="12" t="n">
        <x:v>80</x:v>
      </x:c>
      <x:c r="M49" s="12" t="n">
        <x:v>25</x:v>
      </x:c>
      <x:c r="N49" s="12" t="n">
        <x:v>70</x:v>
      </x:c>
      <x:c r="O49" s="12" t="n">
        <x:v>20</x:v>
      </x:c>
      <x:c r="P49" s="12" t="n">
        <x:v>60</x:v>
      </x:c>
      <x:c r="Q49" s="12" t="n">
        <x:v>100</x:v>
      </x:c>
      <x:c r="R49" s="12" t="n">
        <x:v>40</x:v>
      </x:c>
      <x:c r="S49" s="12" t="n">
        <x:v>10</x:v>
      </x:c>
      <x:c r="T49" s="12" t="n">
        <x:v>85</x:v>
      </x:c>
      <x:c r="U49" s="12" t="n">
        <x:v>70</x:v>
      </x:c>
      <x:c r="V49" s="12" t="n">
        <x:v>75</x:v>
      </x:c>
      <x:c r="W49" s="12" t="n">
        <x:v>60</x:v>
      </x:c>
      <x:c r="X49" s="12" t="n">
        <x:v>70</x:v>
      </x:c>
      <x:c r="Y49" s="12" t="n">
        <x:v>65</x:v>
      </x:c>
      <x:c r="Z49" s="12" t="n">
        <x:f>ROUND(0.38*K49+0.30*L49+0.17*P49+0.15*Y49,0)</x:f>
        <x:v>67</x:v>
      </x:c>
      <x:c r="AA49" s="12" t="n">
        <x:f>ROUND(0.38*L49+0.25*P49+0.20*T49+0.17*(100-M49),0)</x:f>
        <x:v>75</x:v>
      </x:c>
      <x:c r="AB49" s="12" t="n">
        <x:f>ROUND(0.32*M49+0.26*S49+0.24*R49+0.18*K49,0)</x:f>
        <x:v>31</x:v>
      </x:c>
      <x:c r="AC49" s="12" t="n">
        <x:f>ROUND(0.27*Q49+0.24*T49+0.22*N49+0.15*P49+0.12*V49,0)</x:f>
        <x:v>81</x:v>
      </x:c>
      <x:c r="AD49" s="12" t="n">
        <x:f>ROUND(0.28*O49+0.28*R49+0.28*Y49+0.16*(100-L49),0)</x:f>
        <x:v>38</x:v>
      </x:c>
      <x:c r="AE49" s="12" t="n">
        <x:f>ROUND(0.35*Y49+0.22*T49+0.18*R49+0.13*S49+0.12*X49,0)</x:f>
        <x:v>58</x:v>
      </x:c>
      <x:c r="AF49" s="12" t="n">
        <x:f>ROUND(0.72*X49+0.28*Y49,0)</x:f>
        <x:v>69</x:v>
      </x:c>
      <x:c r="AG49" s="12" t="str">
        <x:v>https://wikiwiki.jp/poke-unite/%E3%82%A6%E3%83%BC%E3%83%A9%E3%82%AA%E3%82%B9</x:v>
      </x:c>
    </x:row>
    <x:row r="50">
      <x:c r="A50" s="12" t="str">
        <x:v>エンペルト</x:v>
      </x:c>
      <x:c r="B50" s="12" t="str">
        <x:v>バランス型</x:v>
      </x:c>
      <x:c r="C50" s="12" t="str">
        <x:v>エンペルト-1</x:v>
      </x:c>
      <x:c r="D50" s="12" t="str">
        <x:v>共通プロファイル</x:v>
      </x:c>
      <x:c r="E50" s="12" t="str">
        <x:v>Juggernaut</x:v>
      </x:c>
      <x:c r="F50" s="12" t="str">
        <x:v>Juggernaut</x:v>
      </x:c>
      <x:c r="G50" s="12" t="str"/>
      <x:c r="H50" s="12" t="str">
        <x:v>技選択で主役割が大きく変わらないため統合</x:v>
      </x:c>
      <x:c r="I50" s="12" t="str">
        <x:v>高</x:v>
      </x:c>
      <x:c r="J50" s="12" t="str">
        <x:v>2026-09-25</x:v>
      </x:c>
      <x:c r="K50" s="12" t="n">
        <x:v>55</x:v>
      </x:c>
      <x:c r="L50" s="12" t="n">
        <x:v>50</x:v>
      </x:c>
      <x:c r="M50" s="12" t="n">
        <x:v>40</x:v>
      </x:c>
      <x:c r="N50" s="12" t="n">
        <x:v>100</x:v>
      </x:c>
      <x:c r="O50" s="12" t="n">
        <x:v>15</x:v>
      </x:c>
      <x:c r="P50" s="12" t="n">
        <x:v>60</x:v>
      </x:c>
      <x:c r="Q50" s="12" t="n">
        <x:v>90</x:v>
      </x:c>
      <x:c r="R50" s="12" t="n">
        <x:v>45</x:v>
      </x:c>
      <x:c r="S50" s="12" t="n">
        <x:v>20</x:v>
      </x:c>
      <x:c r="T50" s="12" t="n">
        <x:v>30</x:v>
      </x:c>
      <x:c r="U50" s="12" t="n">
        <x:v>80</x:v>
      </x:c>
      <x:c r="V50" s="12" t="n">
        <x:v>80</x:v>
      </x:c>
      <x:c r="W50" s="12" t="n">
        <x:v>45</x:v>
      </x:c>
      <x:c r="X50" s="12" t="n">
        <x:v>50</x:v>
      </x:c>
      <x:c r="Y50" s="12" t="n">
        <x:v>60</x:v>
      </x:c>
      <x:c r="Z50" s="12" t="n">
        <x:f>ROUND(0.38*K50+0.30*L50+0.17*P50+0.15*Y50,0)</x:f>
        <x:v>55</x:v>
      </x:c>
      <x:c r="AA50" s="12" t="n">
        <x:f>ROUND(0.38*L50+0.25*P50+0.20*T50+0.17*(100-M50),0)</x:f>
        <x:v>50</x:v>
      </x:c>
      <x:c r="AB50" s="12" t="n">
        <x:f>ROUND(0.32*M50+0.26*S50+0.24*R50+0.18*K50,0)</x:f>
        <x:v>39</x:v>
      </x:c>
      <x:c r="AC50" s="12" t="n">
        <x:f>ROUND(0.27*Q50+0.24*T50+0.22*N50+0.15*P50+0.12*V50,0)</x:f>
        <x:v>72</x:v>
      </x:c>
      <x:c r="AD50" s="12" t="n">
        <x:f>ROUND(0.28*O50+0.28*R50+0.28*Y50+0.16*(100-L50),0)</x:f>
        <x:v>42</x:v>
      </x:c>
      <x:c r="AE50" s="12" t="n">
        <x:f>ROUND(0.35*Y50+0.22*T50+0.18*R50+0.13*S50+0.12*X50,0)</x:f>
        <x:v>44</x:v>
      </x:c>
      <x:c r="AF50" s="12" t="n">
        <x:f>ROUND(0.72*X50+0.28*Y50,0)</x:f>
        <x:v>53</x:v>
      </x:c>
      <x:c r="AG50" s="12" t="str">
        <x:v>https://wikiwiki.jp/poke-unite/%E3%82%A8%E3%83%B3%E3%83%9A%E3%83%AB%E3%83%88</x:v>
      </x:c>
    </x:row>
    <x:row r="51">
      <x:c r="A51" s="12" t="str">
        <x:v>オーダイル</x:v>
      </x:c>
      <x:c r="B51" s="12" t="str">
        <x:v>バランス型</x:v>
      </x:c>
      <x:c r="C51" s="12" t="str">
        <x:v>オーダイル-1</x:v>
      </x:c>
      <x:c r="D51" s="12" t="str">
        <x:v>共通プロファイル</x:v>
      </x:c>
      <x:c r="E51" s="12" t="str">
        <x:v>Diver</x:v>
      </x:c>
      <x:c r="F51" s="12" t="str">
        <x:v>Diver</x:v>
      </x:c>
      <x:c r="G51" s="12" t="str"/>
      <x:c r="H51" s="12" t="str">
        <x:v>技選択で主役割が大きく変わらないため統合</x:v>
      </x:c>
      <x:c r="I51" s="12" t="str">
        <x:v>中</x:v>
      </x:c>
      <x:c r="J51" s="12" t="str">
        <x:v>2026-09-25</x:v>
      </x:c>
      <x:c r="K51" s="12" t="n">
        <x:v>75</x:v>
      </x:c>
      <x:c r="L51" s="12" t="n">
        <x:v>95</x:v>
      </x:c>
      <x:c r="M51" s="12" t="n">
        <x:v>25</x:v>
      </x:c>
      <x:c r="N51" s="12" t="n">
        <x:v>65</x:v>
      </x:c>
      <x:c r="O51" s="12" t="n">
        <x:v>15</x:v>
      </x:c>
      <x:c r="P51" s="12" t="n">
        <x:v>85</x:v>
      </x:c>
      <x:c r="Q51" s="12" t="n">
        <x:v>75</x:v>
      </x:c>
      <x:c r="R51" s="12" t="n">
        <x:v>40</x:v>
      </x:c>
      <x:c r="S51" s="12" t="n">
        <x:v>10</x:v>
      </x:c>
      <x:c r="T51" s="12" t="n">
        <x:v>90</x:v>
      </x:c>
      <x:c r="U51" s="12" t="n">
        <x:v>70</x:v>
      </x:c>
      <x:c r="V51" s="12" t="n">
        <x:v>70</x:v>
      </x:c>
      <x:c r="W51" s="12" t="n">
        <x:v>60</x:v>
      </x:c>
      <x:c r="X51" s="12" t="n">
        <x:v>70</x:v>
      </x:c>
      <x:c r="Y51" s="12" t="n">
        <x:v>70</x:v>
      </x:c>
      <x:c r="Z51" s="12" t="n">
        <x:f>ROUND(0.38*K51+0.30*L51+0.17*P51+0.15*Y51,0)</x:f>
        <x:v>82</x:v>
      </x:c>
      <x:c r="AA51" s="12" t="n">
        <x:f>ROUND(0.38*L51+0.25*P51+0.20*T51+0.17*(100-M51),0)</x:f>
        <x:v>88</x:v>
      </x:c>
      <x:c r="AB51" s="12" t="n">
        <x:f>ROUND(0.32*M51+0.26*S51+0.24*R51+0.18*K51,0)</x:f>
        <x:v>34</x:v>
      </x:c>
      <x:c r="AC51" s="12" t="n">
        <x:f>ROUND(0.27*Q51+0.24*T51+0.22*N51+0.15*P51+0.12*V51,0)</x:f>
        <x:v>77</x:v>
      </x:c>
      <x:c r="AD51" s="12" t="n">
        <x:f>ROUND(0.28*O51+0.28*R51+0.28*Y51+0.16*(100-L51),0)</x:f>
        <x:v>36</x:v>
      </x:c>
      <x:c r="AE51" s="12" t="n">
        <x:f>ROUND(0.35*Y51+0.22*T51+0.18*R51+0.13*S51+0.12*X51,0)</x:f>
        <x:v>61</x:v>
      </x:c>
      <x:c r="AF51" s="12" t="n">
        <x:f>ROUND(0.72*X51+0.28*Y51,0)</x:f>
        <x:v>70</x:v>
      </x:c>
      <x:c r="AG51" s="12" t="str">
        <x:v>https://wikiwiki.jp/poke-unite/%E3%82%AA%E3%83%BC%E3%83%80%E3%82%A4%E3%83%AB</x:v>
      </x:c>
    </x:row>
    <x:row r="52">
      <x:c r="A52" s="12" t="str">
        <x:v>カイリキー</x:v>
      </x:c>
      <x:c r="B52" s="12" t="str">
        <x:v>バランス型</x:v>
      </x:c>
      <x:c r="C52" s="12" t="str">
        <x:v>カイリキー-1</x:v>
      </x:c>
      <x:c r="D52" s="12" t="str">
        <x:v>共通プロファイル</x:v>
      </x:c>
      <x:c r="E52" s="12" t="str">
        <x:v>Diver</x:v>
      </x:c>
      <x:c r="F52" s="12" t="str">
        <x:v>Diver</x:v>
      </x:c>
      <x:c r="G52" s="12" t="str"/>
      <x:c r="H52" s="12" t="str">
        <x:v>技選択で主役割が大きく変わらないため統合</x:v>
      </x:c>
      <x:c r="I52" s="12" t="str">
        <x:v>高</x:v>
      </x:c>
      <x:c r="J52" s="12" t="str">
        <x:v>2026-09-25</x:v>
      </x:c>
      <x:c r="K52" s="12" t="n">
        <x:v>75</x:v>
      </x:c>
      <x:c r="L52" s="12" t="n">
        <x:v>95</x:v>
      </x:c>
      <x:c r="M52" s="12" t="n">
        <x:v>25</x:v>
      </x:c>
      <x:c r="N52" s="12" t="n">
        <x:v>65</x:v>
      </x:c>
      <x:c r="O52" s="12" t="n">
        <x:v>15</x:v>
      </x:c>
      <x:c r="P52" s="12" t="n">
        <x:v>85</x:v>
      </x:c>
      <x:c r="Q52" s="12" t="n">
        <x:v>70</x:v>
      </x:c>
      <x:c r="R52" s="12" t="n">
        <x:v>55</x:v>
      </x:c>
      <x:c r="S52" s="12" t="n">
        <x:v>10</x:v>
      </x:c>
      <x:c r="T52" s="12" t="n">
        <x:v>80</x:v>
      </x:c>
      <x:c r="U52" s="12" t="n">
        <x:v>70</x:v>
      </x:c>
      <x:c r="V52" s="12" t="n">
        <x:v>70</x:v>
      </x:c>
      <x:c r="W52" s="12" t="n">
        <x:v>60</x:v>
      </x:c>
      <x:c r="X52" s="12" t="n">
        <x:v>70</x:v>
      </x:c>
      <x:c r="Y52" s="12" t="n">
        <x:v>70</x:v>
      </x:c>
      <x:c r="Z52" s="12" t="n">
        <x:f>ROUND(0.38*K52+0.30*L52+0.17*P52+0.15*Y52,0)</x:f>
        <x:v>82</x:v>
      </x:c>
      <x:c r="AA52" s="12" t="n">
        <x:f>ROUND(0.38*L52+0.25*P52+0.20*T52+0.17*(100-M52),0)</x:f>
        <x:v>86</x:v>
      </x:c>
      <x:c r="AB52" s="12" t="n">
        <x:f>ROUND(0.32*M52+0.26*S52+0.24*R52+0.18*K52,0)</x:f>
        <x:v>37</x:v>
      </x:c>
      <x:c r="AC52" s="12" t="n">
        <x:f>ROUND(0.27*Q52+0.24*T52+0.22*N52+0.15*P52+0.12*V52,0)</x:f>
        <x:v>74</x:v>
      </x:c>
      <x:c r="AD52" s="12" t="n">
        <x:f>ROUND(0.28*O52+0.28*R52+0.28*Y52+0.16*(100-L52),0)</x:f>
        <x:v>40</x:v>
      </x:c>
      <x:c r="AE52" s="12" t="n">
        <x:f>ROUND(0.35*Y52+0.22*T52+0.18*R52+0.13*S52+0.12*X52,0)</x:f>
        <x:v>62</x:v>
      </x:c>
      <x:c r="AF52" s="12" t="n">
        <x:f>ROUND(0.72*X52+0.28*Y52,0)</x:f>
        <x:v>70</x:v>
      </x:c>
      <x:c r="AG52" s="12" t="str">
        <x:v>https://wikiwiki.jp/poke-unite/%E3%82%AB%E3%82%A4%E3%83%AA%E3%82%AD%E3%83%BC</x:v>
      </x:c>
    </x:row>
    <x:row r="53">
      <x:c r="A53" s="12" t="str">
        <x:v>カイリュー</x:v>
      </x:c>
      <x:c r="B53" s="12" t="str">
        <x:v>バランス型</x:v>
      </x:c>
      <x:c r="C53" s="12" t="str">
        <x:v>カイリュー-1</x:v>
      </x:c>
      <x:c r="D53" s="12" t="str">
        <x:v>りゅうのまい＋はかいこうせん</x:v>
      </x:c>
      <x:c r="E53" s="12" t="str">
        <x:v>Objective Marksman</x:v>
      </x:c>
      <x:c r="F53" s="12" t="str">
        <x:v>Marksman</x:v>
      </x:c>
      <x:c r="G53" s="12" t="str"/>
      <x:c r="H53" s="12" t="str">
        <x:v>遠隔DPSとオブジェクト確保</x:v>
      </x:c>
      <x:c r="I53" s="12" t="str">
        <x:v>高</x:v>
      </x:c>
      <x:c r="J53" s="12" t="str">
        <x:v>2026-09-25</x:v>
      </x:c>
      <x:c r="K53" s="12" t="n">
        <x:v>20</x:v>
      </x:c>
      <x:c r="L53" s="12" t="n">
        <x:v>15</x:v>
      </x:c>
      <x:c r="M53" s="12" t="n">
        <x:v>20</x:v>
      </x:c>
      <x:c r="N53" s="12" t="n">
        <x:v>15</x:v>
      </x:c>
      <x:c r="O53" s="12" t="n">
        <x:v>65</x:v>
      </x:c>
      <x:c r="P53" s="12" t="n">
        <x:v>50</x:v>
      </x:c>
      <x:c r="Q53" s="12" t="n">
        <x:v>100</x:v>
      </x:c>
      <x:c r="R53" s="12" t="n">
        <x:v>20</x:v>
      </x:c>
      <x:c r="S53" s="12" t="n">
        <x:v>10</x:v>
      </x:c>
      <x:c r="T53" s="12" t="n">
        <x:v>55</x:v>
      </x:c>
      <x:c r="U53" s="12" t="n">
        <x:v>85</x:v>
      </x:c>
      <x:c r="V53" s="12" t="n">
        <x:v>100</x:v>
      </x:c>
      <x:c r="W53" s="12" t="n">
        <x:v>50</x:v>
      </x:c>
      <x:c r="X53" s="12" t="n">
        <x:v>65</x:v>
      </x:c>
      <x:c r="Y53" s="12" t="n">
        <x:v>70</x:v>
      </x:c>
      <x:c r="Z53" s="12" t="n">
        <x:f>ROUND(0.38*K53+0.30*L53+0.17*P53+0.15*Y53,0)</x:f>
        <x:v>31</x:v>
      </x:c>
      <x:c r="AA53" s="12" t="n">
        <x:f>ROUND(0.38*L53+0.25*P53+0.20*T53+0.17*(100-M53),0)</x:f>
        <x:v>43</x:v>
      </x:c>
      <x:c r="AB53" s="12" t="n">
        <x:f>ROUND(0.32*M53+0.26*S53+0.24*R53+0.18*K53,0)</x:f>
        <x:v>17</x:v>
      </x:c>
      <x:c r="AC53" s="12" t="n">
        <x:f>ROUND(0.27*Q53+0.24*T53+0.22*N53+0.15*P53+0.12*V53,0)</x:f>
        <x:v>63</x:v>
      </x:c>
      <x:c r="AD53" s="12" t="n">
        <x:f>ROUND(0.28*O53+0.28*R53+0.28*Y53+0.16*(100-L53),0)</x:f>
        <x:v>57</x:v>
      </x:c>
      <x:c r="AE53" s="12" t="n">
        <x:f>ROUND(0.35*Y53+0.22*T53+0.18*R53+0.13*S53+0.12*X53,0)</x:f>
        <x:v>49</x:v>
      </x:c>
      <x:c r="AF53" s="12" t="n">
        <x:f>ROUND(0.72*X53+0.28*Y53,0)</x:f>
        <x:v>66</x:v>
      </x:c>
      <x:c r="AG53" s="12" t="str">
        <x:v>https://wikiwiki.jp/poke-unite/%E3%82%AB%E3%82%A4%E3%83%AA%E3%83%A5%E3%83%BC</x:v>
      </x:c>
    </x:row>
    <x:row r="54">
      <x:c r="A54" s="12" t="str">
        <x:v>カイリュー</x:v>
      </x:c>
      <x:c r="B54" s="12" t="str">
        <x:v>バランス型</x:v>
      </x:c>
      <x:c r="C54" s="12" t="str">
        <x:v>カイリュー-2</x:v>
      </x:c>
      <x:c r="D54" s="12" t="str">
        <x:v>しんそく＋げきりん</x:v>
      </x:c>
      <x:c r="E54" s="12" t="str">
        <x:v>Melee Juggernaut</x:v>
      </x:c>
      <x:c r="F54" s="12" t="str">
        <x:v>Juggernaut</x:v>
      </x:c>
      <x:c r="G54" s="12" t="str">
        <x:v>Diver</x:v>
      </x:c>
      <x:c r="H54" s="12" t="str">
        <x:v>近接乱戦・殴り合い</x:v>
      </x:c>
      <x:c r="I54" s="12" t="str">
        <x:v>高</x:v>
      </x:c>
      <x:c r="J54" s="12" t="str">
        <x:v>2026-09-25</x:v>
      </x:c>
      <x:c r="K54" s="12" t="n">
        <x:v>60</x:v>
      </x:c>
      <x:c r="L54" s="12" t="n">
        <x:v>75</x:v>
      </x:c>
      <x:c r="M54" s="12" t="n">
        <x:v>35</x:v>
      </x:c>
      <x:c r="N54" s="12" t="n">
        <x:v>100</x:v>
      </x:c>
      <x:c r="O54" s="12" t="n">
        <x:v>0</x:v>
      </x:c>
      <x:c r="P54" s="12" t="n">
        <x:v>65</x:v>
      </x:c>
      <x:c r="Q54" s="12" t="n">
        <x:v>85</x:v>
      </x:c>
      <x:c r="R54" s="12" t="n">
        <x:v>50</x:v>
      </x:c>
      <x:c r="S54" s="12" t="n">
        <x:v>15</x:v>
      </x:c>
      <x:c r="T54" s="12" t="n">
        <x:v>50</x:v>
      </x:c>
      <x:c r="U54" s="12" t="n">
        <x:v>75</x:v>
      </x:c>
      <x:c r="V54" s="12" t="n">
        <x:v>75</x:v>
      </x:c>
      <x:c r="W54" s="12" t="n">
        <x:v>50</x:v>
      </x:c>
      <x:c r="X54" s="12" t="n">
        <x:v>55</x:v>
      </x:c>
      <x:c r="Y54" s="12" t="n">
        <x:v>65</x:v>
      </x:c>
      <x:c r="Z54" s="12" t="n">
        <x:f>ROUND(0.38*K54+0.30*L54+0.17*P54+0.15*Y54,0)</x:f>
        <x:v>66</x:v>
      </x:c>
      <x:c r="AA54" s="12" t="n">
        <x:f>ROUND(0.38*L54+0.25*P54+0.20*T54+0.17*(100-M54),0)</x:f>
        <x:v>66</x:v>
      </x:c>
      <x:c r="AB54" s="12" t="n">
        <x:f>ROUND(0.32*M54+0.26*S54+0.24*R54+0.18*K54,0)</x:f>
        <x:v>38</x:v>
      </x:c>
      <x:c r="AC54" s="12" t="n">
        <x:f>ROUND(0.27*Q54+0.24*T54+0.22*N54+0.15*P54+0.12*V54,0)</x:f>
        <x:v>76</x:v>
      </x:c>
      <x:c r="AD54" s="12" t="n">
        <x:f>ROUND(0.28*O54+0.28*R54+0.28*Y54+0.16*(100-L54),0)</x:f>
        <x:v>36</x:v>
      </x:c>
      <x:c r="AE54" s="12" t="n">
        <x:f>ROUND(0.35*Y54+0.22*T54+0.18*R54+0.13*S54+0.12*X54,0)</x:f>
        <x:v>51</x:v>
      </x:c>
      <x:c r="AF54" s="12" t="n">
        <x:f>ROUND(0.72*X54+0.28*Y54,0)</x:f>
        <x:v>58</x:v>
      </x:c>
      <x:c r="AG54" s="12" t="str">
        <x:v>https://wikiwiki.jp/poke-unite/%E3%82%AB%E3%82%A4%E3%83%AA%E3%83%A5%E3%83%BC</x:v>
      </x:c>
    </x:row>
    <x:row r="55">
      <x:c r="A55" s="12" t="str">
        <x:v>ガブリアス</x:v>
      </x:c>
      <x:c r="B55" s="12" t="str">
        <x:v>バランス型</x:v>
      </x:c>
      <x:c r="C55" s="12" t="str">
        <x:v>ガブリアス-1</x:v>
      </x:c>
      <x:c r="D55" s="12" t="str">
        <x:v>共通プロファイル</x:v>
      </x:c>
      <x:c r="E55" s="12" t="str">
        <x:v>Juggernaut</x:v>
      </x:c>
      <x:c r="F55" s="12" t="str">
        <x:v>Juggernaut</x:v>
      </x:c>
      <x:c r="G55" s="12" t="str"/>
      <x:c r="H55" s="12" t="str">
        <x:v>技選択で主役割が大きく変わらないため統合</x:v>
      </x:c>
      <x:c r="I55" s="12" t="str">
        <x:v>高</x:v>
      </x:c>
      <x:c r="J55" s="12" t="str">
        <x:v>2026-09-25</x:v>
      </x:c>
      <x:c r="K55" s="12" t="n">
        <x:v>55</x:v>
      </x:c>
      <x:c r="L55" s="12" t="n">
        <x:v>50</x:v>
      </x:c>
      <x:c r="M55" s="12" t="n">
        <x:v>40</x:v>
      </x:c>
      <x:c r="N55" s="12" t="n">
        <x:v>95</x:v>
      </x:c>
      <x:c r="O55" s="12" t="n">
        <x:v>15</x:v>
      </x:c>
      <x:c r="P55" s="12" t="n">
        <x:v>60</x:v>
      </x:c>
      <x:c r="Q55" s="12" t="n">
        <x:v>95</x:v>
      </x:c>
      <x:c r="R55" s="12" t="n">
        <x:v>45</x:v>
      </x:c>
      <x:c r="S55" s="12" t="n">
        <x:v>15</x:v>
      </x:c>
      <x:c r="T55" s="12" t="n">
        <x:v>25</x:v>
      </x:c>
      <x:c r="U55" s="12" t="n">
        <x:v>80</x:v>
      </x:c>
      <x:c r="V55" s="12" t="n">
        <x:v>90</x:v>
      </x:c>
      <x:c r="W55" s="12" t="n">
        <x:v>45</x:v>
      </x:c>
      <x:c r="X55" s="12" t="n">
        <x:v>50</x:v>
      </x:c>
      <x:c r="Y55" s="12" t="n">
        <x:v>60</x:v>
      </x:c>
      <x:c r="Z55" s="12" t="n">
        <x:f>ROUND(0.38*K55+0.30*L55+0.17*P55+0.15*Y55,0)</x:f>
        <x:v>55</x:v>
      </x:c>
      <x:c r="AA55" s="12" t="n">
        <x:f>ROUND(0.38*L55+0.25*P55+0.20*T55+0.17*(100-M55),0)</x:f>
        <x:v>49</x:v>
      </x:c>
      <x:c r="AB55" s="12" t="n">
        <x:f>ROUND(0.32*M55+0.26*S55+0.24*R55+0.18*K55,0)</x:f>
        <x:v>37</x:v>
      </x:c>
      <x:c r="AC55" s="12" t="n">
        <x:f>ROUND(0.27*Q55+0.24*T55+0.22*N55+0.15*P55+0.12*V55,0)</x:f>
        <x:v>72</x:v>
      </x:c>
      <x:c r="AD55" s="12" t="n">
        <x:f>ROUND(0.28*O55+0.28*R55+0.28*Y55+0.16*(100-L55),0)</x:f>
        <x:v>42</x:v>
      </x:c>
      <x:c r="AE55" s="12" t="n">
        <x:f>ROUND(0.35*Y55+0.22*T55+0.18*R55+0.13*S55+0.12*X55,0)</x:f>
        <x:v>43</x:v>
      </x:c>
      <x:c r="AF55" s="12" t="n">
        <x:f>ROUND(0.72*X55+0.28*Y55,0)</x:f>
        <x:v>53</x:v>
      </x:c>
      <x:c r="AG55" s="12" t="str">
        <x:v>https://wikiwiki.jp/poke-unite/%E3%82%AC%E3%83%96%E3%83%AA%E3%82%A2%E3%82%B9</x:v>
      </x:c>
    </x:row>
    <x:row r="56">
      <x:c r="A56" s="12" t="str">
        <x:v>ギャラドス</x:v>
      </x:c>
      <x:c r="B56" s="12" t="str">
        <x:v>バランス型</x:v>
      </x:c>
      <x:c r="C56" s="12" t="str">
        <x:v>ギャラドス-1</x:v>
      </x:c>
      <x:c r="D56" s="12" t="str">
        <x:v>共通プロファイル</x:v>
      </x:c>
      <x:c r="E56" s="12" t="str">
        <x:v>Diver</x:v>
      </x:c>
      <x:c r="F56" s="12" t="str">
        <x:v>Diver</x:v>
      </x:c>
      <x:c r="G56" s="12" t="str"/>
      <x:c r="H56" s="12" t="str">
        <x:v>技選択で主役割が大きく変わらないため統合</x:v>
      </x:c>
      <x:c r="I56" s="12" t="str">
        <x:v>高</x:v>
      </x:c>
      <x:c r="J56" s="12" t="str">
        <x:v>2026-09-25</x:v>
      </x:c>
      <x:c r="K56" s="12" t="n">
        <x:v>85</x:v>
      </x:c>
      <x:c r="L56" s="12" t="n">
        <x:v>95</x:v>
      </x:c>
      <x:c r="M56" s="12" t="n">
        <x:v>25</x:v>
      </x:c>
      <x:c r="N56" s="12" t="n">
        <x:v>60</x:v>
      </x:c>
      <x:c r="O56" s="12" t="n">
        <x:v>15</x:v>
      </x:c>
      <x:c r="P56" s="12" t="n">
        <x:v>85</x:v>
      </x:c>
      <x:c r="Q56" s="12" t="n">
        <x:v>75</x:v>
      </x:c>
      <x:c r="R56" s="12" t="n">
        <x:v>45</x:v>
      </x:c>
      <x:c r="S56" s="12" t="n">
        <x:v>10</x:v>
      </x:c>
      <x:c r="T56" s="12" t="n">
        <x:v>80</x:v>
      </x:c>
      <x:c r="U56" s="12" t="n">
        <x:v>70</x:v>
      </x:c>
      <x:c r="V56" s="12" t="n">
        <x:v>70</x:v>
      </x:c>
      <x:c r="W56" s="12" t="n">
        <x:v>60</x:v>
      </x:c>
      <x:c r="X56" s="12" t="n">
        <x:v>70</x:v>
      </x:c>
      <x:c r="Y56" s="12" t="n">
        <x:v>70</x:v>
      </x:c>
      <x:c r="Z56" s="12" t="n">
        <x:f>ROUND(0.38*K56+0.30*L56+0.17*P56+0.15*Y56,0)</x:f>
        <x:v>86</x:v>
      </x:c>
      <x:c r="AA56" s="12" t="n">
        <x:f>ROUND(0.38*L56+0.25*P56+0.20*T56+0.17*(100-M56),0)</x:f>
        <x:v>86</x:v>
      </x:c>
      <x:c r="AB56" s="12" t="n">
        <x:f>ROUND(0.32*M56+0.26*S56+0.24*R56+0.18*K56,0)</x:f>
        <x:v>37</x:v>
      </x:c>
      <x:c r="AC56" s="12" t="n">
        <x:f>ROUND(0.27*Q56+0.24*T56+0.22*N56+0.15*P56+0.12*V56,0)</x:f>
        <x:v>74</x:v>
      </x:c>
      <x:c r="AD56" s="12" t="n">
        <x:f>ROUND(0.28*O56+0.28*R56+0.28*Y56+0.16*(100-L56),0)</x:f>
        <x:v>37</x:v>
      </x:c>
      <x:c r="AE56" s="12" t="n">
        <x:f>ROUND(0.35*Y56+0.22*T56+0.18*R56+0.13*S56+0.12*X56,0)</x:f>
        <x:v>60</x:v>
      </x:c>
      <x:c r="AF56" s="12" t="n">
        <x:f>ROUND(0.72*X56+0.28*Y56,0)</x:f>
        <x:v>70</x:v>
      </x:c>
      <x:c r="AG56" s="12" t="str">
        <x:v>https://wikiwiki.jp/poke-unite/%E3%82%AE%E3%83%A3%E3%83%A9%E3%83%89%E3%82%B9</x:v>
      </x:c>
    </x:row>
    <x:row r="57">
      <x:c r="A57" s="12" t="str">
        <x:v>メガギャラドス</x:v>
      </x:c>
      <x:c r="B57" s="12" t="str">
        <x:v>バランス型</x:v>
      </x:c>
      <x:c r="C57" s="12" t="str">
        <x:v>メガギャラドス-1</x:v>
      </x:c>
      <x:c r="D57" s="12" t="str">
        <x:v>共通プロファイル</x:v>
      </x:c>
      <x:c r="E57" s="12" t="str">
        <x:v>Diver</x:v>
      </x:c>
      <x:c r="F57" s="12" t="str">
        <x:v>Diver</x:v>
      </x:c>
      <x:c r="G57" s="12" t="str"/>
      <x:c r="H57" s="12" t="str">
        <x:v>技選択で主役割が大きく変わらないため統合</x:v>
      </x:c>
      <x:c r="I57" s="12" t="str">
        <x:v>中</x:v>
      </x:c>
      <x:c r="J57" s="12" t="str">
        <x:v>2026-09-25</x:v>
      </x:c>
      <x:c r="K57" s="12" t="n">
        <x:v>75</x:v>
      </x:c>
      <x:c r="L57" s="12" t="n">
        <x:v>95</x:v>
      </x:c>
      <x:c r="M57" s="12" t="n">
        <x:v>25</x:v>
      </x:c>
      <x:c r="N57" s="12" t="n">
        <x:v>75</x:v>
      </x:c>
      <x:c r="O57" s="12" t="n">
        <x:v>15</x:v>
      </x:c>
      <x:c r="P57" s="12" t="n">
        <x:v>75</x:v>
      </x:c>
      <x:c r="Q57" s="12" t="n">
        <x:v>85</x:v>
      </x:c>
      <x:c r="R57" s="12" t="n">
        <x:v>45</x:v>
      </x:c>
      <x:c r="S57" s="12" t="n">
        <x:v>10</x:v>
      </x:c>
      <x:c r="T57" s="12" t="n">
        <x:v>90</x:v>
      </x:c>
      <x:c r="U57" s="12" t="n">
        <x:v>70</x:v>
      </x:c>
      <x:c r="V57" s="12" t="n">
        <x:v>70</x:v>
      </x:c>
      <x:c r="W57" s="12" t="n">
        <x:v>60</x:v>
      </x:c>
      <x:c r="X57" s="12" t="n">
        <x:v>70</x:v>
      </x:c>
      <x:c r="Y57" s="12" t="n">
        <x:v>70</x:v>
      </x:c>
      <x:c r="Z57" s="12" t="n">
        <x:f>ROUND(0.38*K57+0.30*L57+0.17*P57+0.15*Y57,0)</x:f>
        <x:v>80</x:v>
      </x:c>
      <x:c r="AA57" s="12" t="n">
        <x:f>ROUND(0.38*L57+0.25*P57+0.20*T57+0.17*(100-M57),0)</x:f>
        <x:v>86</x:v>
      </x:c>
      <x:c r="AB57" s="12" t="n">
        <x:f>ROUND(0.32*M57+0.26*S57+0.24*R57+0.18*K57,0)</x:f>
        <x:v>35</x:v>
      </x:c>
      <x:c r="AC57" s="12" t="n">
        <x:f>ROUND(0.27*Q57+0.24*T57+0.22*N57+0.15*P57+0.12*V57,0)</x:f>
        <x:v>81</x:v>
      </x:c>
      <x:c r="AD57" s="12" t="n">
        <x:f>ROUND(0.28*O57+0.28*R57+0.28*Y57+0.16*(100-L57),0)</x:f>
        <x:v>37</x:v>
      </x:c>
      <x:c r="AE57" s="12" t="n">
        <x:f>ROUND(0.35*Y57+0.22*T57+0.18*R57+0.13*S57+0.12*X57,0)</x:f>
        <x:v>62</x:v>
      </x:c>
      <x:c r="AF57" s="12" t="n">
        <x:f>ROUND(0.72*X57+0.28*Y57,0)</x:f>
        <x:v>70</x:v>
      </x:c>
      <x:c r="AG57" s="12" t="str">
        <x:v>https://wikiwiki.jp/poke-unite/%E3%83%A1%E3%82%AC%E3%82%AE%E3%83%A3%E3%83%A9%E3%83%89%E3%82%B9</x:v>
      </x:c>
    </x:row>
    <x:row r="58">
      <x:c r="A58" s="12" t="str">
        <x:v>ギルガルド</x:v>
      </x:c>
      <x:c r="B58" s="12" t="str">
        <x:v>バランス型</x:v>
      </x:c>
      <x:c r="C58" s="12" t="str">
        <x:v>ギルガルド-1</x:v>
      </x:c>
      <x:c r="D58" s="12" t="str">
        <x:v>共通プロファイル</x:v>
      </x:c>
      <x:c r="E58" s="12" t="str">
        <x:v>Skirmisher</x:v>
      </x:c>
      <x:c r="F58" s="12" t="str">
        <x:v>Skirmisher</x:v>
      </x:c>
      <x:c r="G58" s="12" t="str"/>
      <x:c r="H58" s="12" t="str">
        <x:v>技選択で主役割が大きく変わらないため統合</x:v>
      </x:c>
      <x:c r="I58" s="12" t="str">
        <x:v>高</x:v>
      </x:c>
      <x:c r="J58" s="12" t="str">
        <x:v>2026-09-25</x:v>
      </x:c>
      <x:c r="K58" s="12" t="n">
        <x:v>55</x:v>
      </x:c>
      <x:c r="L58" s="12" t="n">
        <x:v>75</x:v>
      </x:c>
      <x:c r="M58" s="12" t="n">
        <x:v>25</x:v>
      </x:c>
      <x:c r="N58" s="12" t="n">
        <x:v>75</x:v>
      </x:c>
      <x:c r="O58" s="12" t="n">
        <x:v>20</x:v>
      </x:c>
      <x:c r="P58" s="12" t="n">
        <x:v>65</x:v>
      </x:c>
      <x:c r="Q58" s="12" t="n">
        <x:v>90</x:v>
      </x:c>
      <x:c r="R58" s="12" t="n">
        <x:v>40</x:v>
      </x:c>
      <x:c r="S58" s="12" t="n">
        <x:v>10</x:v>
      </x:c>
      <x:c r="T58" s="12" t="n">
        <x:v>70</x:v>
      </x:c>
      <x:c r="U58" s="12" t="n">
        <x:v>75</x:v>
      </x:c>
      <x:c r="V58" s="12" t="n">
        <x:v>75</x:v>
      </x:c>
      <x:c r="W58" s="12" t="n">
        <x:v>60</x:v>
      </x:c>
      <x:c r="X58" s="12" t="n">
        <x:v>85</x:v>
      </x:c>
      <x:c r="Y58" s="12" t="n">
        <x:v>65</x:v>
      </x:c>
      <x:c r="Z58" s="12" t="n">
        <x:f>ROUND(0.38*K58+0.30*L58+0.17*P58+0.15*Y58,0)</x:f>
        <x:v>64</x:v>
      </x:c>
      <x:c r="AA58" s="12" t="n">
        <x:f>ROUND(0.38*L58+0.25*P58+0.20*T58+0.17*(100-M58),0)</x:f>
        <x:v>72</x:v>
      </x:c>
      <x:c r="AB58" s="12" t="n">
        <x:f>ROUND(0.32*M58+0.26*S58+0.24*R58+0.18*K58,0)</x:f>
        <x:v>30</x:v>
      </x:c>
      <x:c r="AC58" s="12" t="n">
        <x:f>ROUND(0.27*Q58+0.24*T58+0.22*N58+0.15*P58+0.12*V58,0)</x:f>
        <x:v>76</x:v>
      </x:c>
      <x:c r="AD58" s="12" t="n">
        <x:f>ROUND(0.28*O58+0.28*R58+0.28*Y58+0.16*(100-L58),0)</x:f>
        <x:v>39</x:v>
      </x:c>
      <x:c r="AE58" s="12" t="n">
        <x:f>ROUND(0.35*Y58+0.22*T58+0.18*R58+0.13*S58+0.12*X58,0)</x:f>
        <x:v>57</x:v>
      </x:c>
      <x:c r="AF58" s="12" t="n">
        <x:f>ROUND(0.72*X58+0.28*Y58,0)</x:f>
        <x:v>79</x:v>
      </x:c>
      <x:c r="AG58" s="12" t="str">
        <x:v>https://wikiwiki.jp/poke-unite/%E3%82%AE%E3%83%AB%E3%82%AC%E3%83%AB%E3%83%89</x:v>
      </x:c>
    </x:row>
    <x:row r="59">
      <x:c r="A59" s="12" t="str">
        <x:v>ザシアン</x:v>
      </x:c>
      <x:c r="B59" s="12" t="str">
        <x:v>バランス型</x:v>
      </x:c>
      <x:c r="C59" s="12" t="str">
        <x:v>ザシアン-1</x:v>
      </x:c>
      <x:c r="D59" s="12" t="str">
        <x:v>共通プロファイル</x:v>
      </x:c>
      <x:c r="E59" s="12" t="str">
        <x:v>Skirmisher</x:v>
      </x:c>
      <x:c r="F59" s="12" t="str">
        <x:v>Skirmisher</x:v>
      </x:c>
      <x:c r="G59" s="12" t="str"/>
      <x:c r="H59" s="12" t="str">
        <x:v>技選択で主役割が大きく変わらないため統合</x:v>
      </x:c>
      <x:c r="I59" s="12" t="str">
        <x:v>高</x:v>
      </x:c>
      <x:c r="J59" s="12" t="str">
        <x:v>2026-09-25</x:v>
      </x:c>
      <x:c r="K59" s="12" t="n">
        <x:v>55</x:v>
      </x:c>
      <x:c r="L59" s="12" t="n">
        <x:v>75</x:v>
      </x:c>
      <x:c r="M59" s="12" t="n">
        <x:v>25</x:v>
      </x:c>
      <x:c r="N59" s="12" t="n">
        <x:v>65</x:v>
      </x:c>
      <x:c r="O59" s="12" t="n">
        <x:v>20</x:v>
      </x:c>
      <x:c r="P59" s="12" t="n">
        <x:v>75</x:v>
      </x:c>
      <x:c r="Q59" s="12" t="n">
        <x:v>100</x:v>
      </x:c>
      <x:c r="R59" s="12" t="n">
        <x:v>35</x:v>
      </x:c>
      <x:c r="S59" s="12" t="n">
        <x:v>10</x:v>
      </x:c>
      <x:c r="T59" s="12" t="n">
        <x:v>80</x:v>
      </x:c>
      <x:c r="U59" s="12" t="n">
        <x:v>75</x:v>
      </x:c>
      <x:c r="V59" s="12" t="n">
        <x:v>75</x:v>
      </x:c>
      <x:c r="W59" s="12" t="n">
        <x:v>55</x:v>
      </x:c>
      <x:c r="X59" s="12" t="n">
        <x:v>70</x:v>
      </x:c>
      <x:c r="Y59" s="12" t="n">
        <x:v>65</x:v>
      </x:c>
      <x:c r="Z59" s="12" t="n">
        <x:f>ROUND(0.38*K59+0.30*L59+0.17*P59+0.15*Y59,0)</x:f>
        <x:v>66</x:v>
      </x:c>
      <x:c r="AA59" s="12" t="n">
        <x:f>ROUND(0.38*L59+0.25*P59+0.20*T59+0.17*(100-M59),0)</x:f>
        <x:v>76</x:v>
      </x:c>
      <x:c r="AB59" s="12" t="n">
        <x:f>ROUND(0.32*M59+0.26*S59+0.24*R59+0.18*K59,0)</x:f>
        <x:v>29</x:v>
      </x:c>
      <x:c r="AC59" s="12" t="n">
        <x:f>ROUND(0.27*Q59+0.24*T59+0.22*N59+0.15*P59+0.12*V59,0)</x:f>
        <x:v>81</x:v>
      </x:c>
      <x:c r="AD59" s="12" t="n">
        <x:f>ROUND(0.28*O59+0.28*R59+0.28*Y59+0.16*(100-L59),0)</x:f>
        <x:v>38</x:v>
      </x:c>
      <x:c r="AE59" s="12" t="n">
        <x:f>ROUND(0.35*Y59+0.22*T59+0.18*R59+0.13*S59+0.12*X59,0)</x:f>
        <x:v>56</x:v>
      </x:c>
      <x:c r="AF59" s="12" t="n">
        <x:f>ROUND(0.72*X59+0.28*Y59,0)</x:f>
        <x:v>69</x:v>
      </x:c>
      <x:c r="AG59" s="12" t="str">
        <x:v>https://wikiwiki.jp/poke-unite/%E3%82%B6%E3%82%B7%E3%82%A2%E3%83%B3</x:v>
      </x:c>
    </x:row>
    <x:row r="60">
      <x:c r="A60" s="12" t="str">
        <x:v>スイクン</x:v>
      </x:c>
      <x:c r="B60" s="12" t="str">
        <x:v>バランス型</x:v>
      </x:c>
      <x:c r="C60" s="12" t="str">
        <x:v>スイクン-1</x:v>
      </x:c>
      <x:c r="D60" s="12" t="str">
        <x:v>共通プロファイル</x:v>
      </x:c>
      <x:c r="E60" s="12" t="str">
        <x:v>BurstMage</x:v>
      </x:c>
      <x:c r="F60" s="12" t="str">
        <x:v>BurstMage</x:v>
      </x:c>
      <x:c r="G60" s="12" t="str"/>
      <x:c r="H60" s="12" t="str">
        <x:v>技選択で主役割が大きく変わらないため統合</x:v>
      </x:c>
      <x:c r="I60" s="12" t="str">
        <x:v>高</x:v>
      </x:c>
      <x:c r="J60" s="12" t="str">
        <x:v>2026-09-25</x:v>
      </x:c>
      <x:c r="K60" s="12" t="n">
        <x:v>30</x:v>
      </x:c>
      <x:c r="L60" s="12" t="n">
        <x:v>15</x:v>
      </x:c>
      <x:c r="M60" s="12" t="n">
        <x:v>40</x:v>
      </x:c>
      <x:c r="N60" s="12" t="n">
        <x:v>30</x:v>
      </x:c>
      <x:c r="O60" s="12" t="n">
        <x:v>80</x:v>
      </x:c>
      <x:c r="P60" s="12" t="n">
        <x:v>85</x:v>
      </x:c>
      <x:c r="Q60" s="12" t="n">
        <x:v>50</x:v>
      </x:c>
      <x:c r="R60" s="12" t="n">
        <x:v>80</x:v>
      </x:c>
      <x:c r="S60" s="12" t="n">
        <x:v>15</x:v>
      </x:c>
      <x:c r="T60" s="12" t="n">
        <x:v>20</x:v>
      </x:c>
      <x:c r="U60" s="12" t="n">
        <x:v>70</x:v>
      </x:c>
      <x:c r="V60" s="12" t="n">
        <x:v>65</x:v>
      </x:c>
      <x:c r="W60" s="12" t="n">
        <x:v>35</x:v>
      </x:c>
      <x:c r="X60" s="12" t="n">
        <x:v>65</x:v>
      </x:c>
      <x:c r="Y60" s="12" t="n">
        <x:v>75</x:v>
      </x:c>
      <x:c r="Z60" s="12" t="n">
        <x:f>ROUND(0.38*K60+0.30*L60+0.17*P60+0.15*Y60,0)</x:f>
        <x:v>42</x:v>
      </x:c>
      <x:c r="AA60" s="12" t="n">
        <x:f>ROUND(0.38*L60+0.25*P60+0.20*T60+0.17*(100-M60),0)</x:f>
        <x:v>41</x:v>
      </x:c>
      <x:c r="AB60" s="12" t="n">
        <x:f>ROUND(0.32*M60+0.26*S60+0.24*R60+0.18*K60,0)</x:f>
        <x:v>41</x:v>
      </x:c>
      <x:c r="AC60" s="12" t="n">
        <x:f>ROUND(0.27*Q60+0.24*T60+0.22*N60+0.15*P60+0.12*V60,0)</x:f>
        <x:v>45</x:v>
      </x:c>
      <x:c r="AD60" s="12" t="n">
        <x:f>ROUND(0.28*O60+0.28*R60+0.28*Y60+0.16*(100-L60),0)</x:f>
        <x:v>79</x:v>
      </x:c>
      <x:c r="AE60" s="12" t="n">
        <x:f>ROUND(0.35*Y60+0.22*T60+0.18*R60+0.13*S60+0.12*X60,0)</x:f>
        <x:v>55</x:v>
      </x:c>
      <x:c r="AF60" s="12" t="n">
        <x:f>ROUND(0.72*X60+0.28*Y60,0)</x:f>
        <x:v>68</x:v>
      </x:c>
      <x:c r="AG60" s="12" t="str">
        <x:v>https://wikiwiki.jp/poke-unite/%E3%82%B9%E3%82%A4%E3%82%AF%E3%83%B3</x:v>
      </x:c>
    </x:row>
    <x:row r="61">
      <x:c r="A61" s="12" t="str">
        <x:v>ソウブレイズ</x:v>
      </x:c>
      <x:c r="B61" s="12" t="str">
        <x:v>バランス型</x:v>
      </x:c>
      <x:c r="C61" s="12" t="str">
        <x:v>ソウブレイズ-1</x:v>
      </x:c>
      <x:c r="D61" s="12" t="str">
        <x:v>共通プロファイル</x:v>
      </x:c>
      <x:c r="E61" s="12" t="str">
        <x:v>Skirmisher</x:v>
      </x:c>
      <x:c r="F61" s="12" t="str">
        <x:v>Skirmisher</x:v>
      </x:c>
      <x:c r="G61" s="12" t="str"/>
      <x:c r="H61" s="12" t="str">
        <x:v>技選択で主役割が大きく変わらないため統合</x:v>
      </x:c>
      <x:c r="I61" s="12" t="str">
        <x:v>高</x:v>
      </x:c>
      <x:c r="J61" s="12" t="str">
        <x:v>2026-09-25</x:v>
      </x:c>
      <x:c r="K61" s="12" t="n">
        <x:v>55</x:v>
      </x:c>
      <x:c r="L61" s="12" t="n">
        <x:v>75</x:v>
      </x:c>
      <x:c r="M61" s="12" t="n">
        <x:v>25</x:v>
      </x:c>
      <x:c r="N61" s="12" t="n">
        <x:v>65</x:v>
      </x:c>
      <x:c r="O61" s="12" t="n">
        <x:v>20</x:v>
      </x:c>
      <x:c r="P61" s="12" t="n">
        <x:v>65</x:v>
      </x:c>
      <x:c r="Q61" s="12" t="n">
        <x:v>100</x:v>
      </x:c>
      <x:c r="R61" s="12" t="n">
        <x:v>25</x:v>
      </x:c>
      <x:c r="S61" s="12" t="n">
        <x:v>10</x:v>
      </x:c>
      <x:c r="T61" s="12" t="n">
        <x:v>80</x:v>
      </x:c>
      <x:c r="U61" s="12" t="n">
        <x:v>75</x:v>
      </x:c>
      <x:c r="V61" s="12" t="n">
        <x:v>75</x:v>
      </x:c>
      <x:c r="W61" s="12" t="n">
        <x:v>60</x:v>
      </x:c>
      <x:c r="X61" s="12" t="n">
        <x:v>70</x:v>
      </x:c>
      <x:c r="Y61" s="12" t="n">
        <x:v>65</x:v>
      </x:c>
      <x:c r="Z61" s="12" t="n">
        <x:f>ROUND(0.38*K61+0.30*L61+0.17*P61+0.15*Y61,0)</x:f>
        <x:v>64</x:v>
      </x:c>
      <x:c r="AA61" s="12" t="n">
        <x:f>ROUND(0.38*L61+0.25*P61+0.20*T61+0.17*(100-M61),0)</x:f>
        <x:v>74</x:v>
      </x:c>
      <x:c r="AB61" s="12" t="n">
        <x:f>ROUND(0.32*M61+0.26*S61+0.24*R61+0.18*K61,0)</x:f>
        <x:v>27</x:v>
      </x:c>
      <x:c r="AC61" s="12" t="n">
        <x:f>ROUND(0.27*Q61+0.24*T61+0.22*N61+0.15*P61+0.12*V61,0)</x:f>
        <x:v>79</x:v>
      </x:c>
      <x:c r="AD61" s="12" t="n">
        <x:f>ROUND(0.28*O61+0.28*R61+0.28*Y61+0.16*(100-L61),0)</x:f>
        <x:v>35</x:v>
      </x:c>
      <x:c r="AE61" s="12" t="n">
        <x:f>ROUND(0.35*Y61+0.22*T61+0.18*R61+0.13*S61+0.12*X61,0)</x:f>
        <x:v>55</x:v>
      </x:c>
      <x:c r="AF61" s="12" t="n">
        <x:f>ROUND(0.72*X61+0.28*Y61,0)</x:f>
        <x:v>69</x:v>
      </x:c>
      <x:c r="AG61" s="12" t="str">
        <x:v>https://wikiwiki.jp/poke-unite/%E3%82%BD%E3%82%A6%E3%83%96%E3%83%AC%E3%82%A4%E3%82%BA</x:v>
      </x:c>
    </x:row>
    <x:row r="62">
      <x:c r="A62" s="12" t="str">
        <x:v>ソルガレオ</x:v>
      </x:c>
      <x:c r="B62" s="12" t="str">
        <x:v>バランス型</x:v>
      </x:c>
      <x:c r="C62" s="12" t="str">
        <x:v>ソルガレオ-1</x:v>
      </x:c>
      <x:c r="D62" s="12" t="str">
        <x:v>共通プロファイル</x:v>
      </x:c>
      <x:c r="E62" s="12" t="str">
        <x:v>Juggernaut</x:v>
      </x:c>
      <x:c r="F62" s="12" t="str">
        <x:v>Juggernaut</x:v>
      </x:c>
      <x:c r="G62" s="12" t="str"/>
      <x:c r="H62" s="12" t="str">
        <x:v>技選択で主役割が大きく変わらないため統合</x:v>
      </x:c>
      <x:c r="I62" s="12" t="str">
        <x:v>低</x:v>
      </x:c>
      <x:c r="J62" s="12" t="str">
        <x:v>2026-09-25</x:v>
      </x:c>
      <x:c r="K62" s="12" t="n">
        <x:v>55</x:v>
      </x:c>
      <x:c r="L62" s="12" t="n">
        <x:v>50</x:v>
      </x:c>
      <x:c r="M62" s="12" t="n">
        <x:v>40</x:v>
      </x:c>
      <x:c r="N62" s="12" t="n">
        <x:v>100</x:v>
      </x:c>
      <x:c r="O62" s="12" t="n">
        <x:v>15</x:v>
      </x:c>
      <x:c r="P62" s="12" t="n">
        <x:v>60</x:v>
      </x:c>
      <x:c r="Q62" s="12" t="n">
        <x:v>90</x:v>
      </x:c>
      <x:c r="R62" s="12" t="n">
        <x:v>50</x:v>
      </x:c>
      <x:c r="S62" s="12" t="n">
        <x:v>15</x:v>
      </x:c>
      <x:c r="T62" s="12" t="n">
        <x:v>30</x:v>
      </x:c>
      <x:c r="U62" s="12" t="n">
        <x:v>80</x:v>
      </x:c>
      <x:c r="V62" s="12" t="n">
        <x:v>80</x:v>
      </x:c>
      <x:c r="W62" s="12" t="n">
        <x:v>45</x:v>
      </x:c>
      <x:c r="X62" s="12" t="n">
        <x:v>50</x:v>
      </x:c>
      <x:c r="Y62" s="12" t="n">
        <x:v>60</x:v>
      </x:c>
      <x:c r="Z62" s="12" t="n">
        <x:f>ROUND(0.38*K62+0.30*L62+0.17*P62+0.15*Y62,0)</x:f>
        <x:v>55</x:v>
      </x:c>
      <x:c r="AA62" s="12" t="n">
        <x:f>ROUND(0.38*L62+0.25*P62+0.20*T62+0.17*(100-M62),0)</x:f>
        <x:v>50</x:v>
      </x:c>
      <x:c r="AB62" s="12" t="n">
        <x:f>ROUND(0.32*M62+0.26*S62+0.24*R62+0.18*K62,0)</x:f>
        <x:v>39</x:v>
      </x:c>
      <x:c r="AC62" s="12" t="n">
        <x:f>ROUND(0.27*Q62+0.24*T62+0.22*N62+0.15*P62+0.12*V62,0)</x:f>
        <x:v>72</x:v>
      </x:c>
      <x:c r="AD62" s="12" t="n">
        <x:f>ROUND(0.28*O62+0.28*R62+0.28*Y62+0.16*(100-L62),0)</x:f>
        <x:v>43</x:v>
      </x:c>
      <x:c r="AE62" s="12" t="n">
        <x:f>ROUND(0.35*Y62+0.22*T62+0.18*R62+0.13*S62+0.12*X62,0)</x:f>
        <x:v>45</x:v>
      </x:c>
      <x:c r="AF62" s="12" t="n">
        <x:f>ROUND(0.72*X62+0.28*Y62,0)</x:f>
        <x:v>53</x:v>
      </x:c>
      <x:c r="AG62" s="12" t="str">
        <x:v>https://wikiwiki.jp/poke-unite/%E3%82%BD%E3%83%AB%E3%82%AC%E3%83%AC%E3%82%AA</x:v>
      </x:c>
    </x:row>
    <x:row r="63">
      <x:c r="A63" s="12" t="str">
        <x:v>タイレーツ</x:v>
      </x:c>
      <x:c r="B63" s="12" t="str">
        <x:v>バランス型</x:v>
      </x:c>
      <x:c r="C63" s="12" t="str">
        <x:v>タイレーツ-1</x:v>
      </x:c>
      <x:c r="D63" s="12" t="str">
        <x:v>メガホーン＋はいすいのじん</x:v>
      </x:c>
      <x:c r="E63" s="12" t="str">
        <x:v>Formation Juggernaut</x:v>
      </x:c>
      <x:c r="F63" s="12" t="str">
        <x:v>Juggernaut</x:v>
      </x:c>
      <x:c r="G63" s="12" t="str"/>
      <x:c r="H63" s="12" t="str">
        <x:v>正面から押す重装型</x:v>
      </x:c>
      <x:c r="I63" s="12" t="str">
        <x:v>高</x:v>
      </x:c>
      <x:c r="J63" s="12" t="str">
        <x:v>2026-09-25</x:v>
      </x:c>
      <x:c r="K63" s="12" t="n">
        <x:v>55</x:v>
      </x:c>
      <x:c r="L63" s="12" t="n">
        <x:v>50</x:v>
      </x:c>
      <x:c r="M63" s="12" t="n">
        <x:v>40</x:v>
      </x:c>
      <x:c r="N63" s="12" t="n">
        <x:v>100</x:v>
      </x:c>
      <x:c r="O63" s="12" t="n">
        <x:v>15</x:v>
      </x:c>
      <x:c r="P63" s="12" t="n">
        <x:v>70</x:v>
      </x:c>
      <x:c r="Q63" s="12" t="n">
        <x:v>90</x:v>
      </x:c>
      <x:c r="R63" s="12" t="n">
        <x:v>50</x:v>
      </x:c>
      <x:c r="S63" s="12" t="n">
        <x:v>15</x:v>
      </x:c>
      <x:c r="T63" s="12" t="n">
        <x:v>25</x:v>
      </x:c>
      <x:c r="U63" s="12" t="n">
        <x:v>80</x:v>
      </x:c>
      <x:c r="V63" s="12" t="n">
        <x:v>80</x:v>
      </x:c>
      <x:c r="W63" s="12" t="n">
        <x:v>45</x:v>
      </x:c>
      <x:c r="X63" s="12" t="n">
        <x:v>50</x:v>
      </x:c>
      <x:c r="Y63" s="12" t="n">
        <x:v>60</x:v>
      </x:c>
      <x:c r="Z63" s="12" t="n">
        <x:f>ROUND(0.38*K63+0.30*L63+0.17*P63+0.15*Y63,0)</x:f>
        <x:v>57</x:v>
      </x:c>
      <x:c r="AA63" s="12" t="n">
        <x:f>ROUND(0.38*L63+0.25*P63+0.20*T63+0.17*(100-M63),0)</x:f>
        <x:v>52</x:v>
      </x:c>
      <x:c r="AB63" s="12" t="n">
        <x:f>ROUND(0.32*M63+0.26*S63+0.24*R63+0.18*K63,0)</x:f>
        <x:v>39</x:v>
      </x:c>
      <x:c r="AC63" s="12" t="n">
        <x:f>ROUND(0.27*Q63+0.24*T63+0.22*N63+0.15*P63+0.12*V63,0)</x:f>
        <x:v>72</x:v>
      </x:c>
      <x:c r="AD63" s="12" t="n">
        <x:f>ROUND(0.28*O63+0.28*R63+0.28*Y63+0.16*(100-L63),0)</x:f>
        <x:v>43</x:v>
      </x:c>
      <x:c r="AE63" s="12" t="n">
        <x:f>ROUND(0.35*Y63+0.22*T63+0.18*R63+0.13*S63+0.12*X63,0)</x:f>
        <x:v>43</x:v>
      </x:c>
      <x:c r="AF63" s="12" t="n">
        <x:f>ROUND(0.72*X63+0.28*Y63,0)</x:f>
        <x:v>53</x:v>
      </x:c>
      <x:c r="AG63" s="12" t="str">
        <x:v>https://wikiwiki.jp/poke-unite/%E3%82%BF%E3%82%A4%E3%83%AC%E3%83%BC%E3%83%84</x:v>
      </x:c>
    </x:row>
    <x:row r="64">
      <x:c r="A64" s="12" t="str">
        <x:v>タイレーツ</x:v>
      </x:c>
      <x:c r="B64" s="12" t="str">
        <x:v>バランス型</x:v>
      </x:c>
      <x:c r="C64" s="12" t="str">
        <x:v>タイレーツ-2</x:v>
      </x:c>
      <x:c r="D64" s="12" t="str">
        <x:v>アイアンヘッド＋ふくろだたき</x:v>
      </x:c>
      <x:c r="E64" s="12" t="str">
        <x:v>Mobile Diver</x:v>
      </x:c>
      <x:c r="F64" s="12" t="str">
        <x:v>Diver</x:v>
      </x:c>
      <x:c r="G64" s="12" t="str">
        <x:v>Skirmisher</x:v>
      </x:c>
      <x:c r="H64" s="12" t="str">
        <x:v>散開・機動・追撃</x:v>
      </x:c>
      <x:c r="I64" s="12" t="str">
        <x:v>高</x:v>
      </x:c>
      <x:c r="J64" s="12" t="str">
        <x:v>2026-09-25</x:v>
      </x:c>
      <x:c r="K64" s="12" t="n">
        <x:v>70</x:v>
      </x:c>
      <x:c r="L64" s="12" t="n">
        <x:v>100</x:v>
      </x:c>
      <x:c r="M64" s="12" t="n">
        <x:v>25</x:v>
      </x:c>
      <x:c r="N64" s="12" t="n">
        <x:v>60</x:v>
      </x:c>
      <x:c r="O64" s="12" t="n">
        <x:v>15</x:v>
      </x:c>
      <x:c r="P64" s="12" t="n">
        <x:v>70</x:v>
      </x:c>
      <x:c r="Q64" s="12" t="n">
        <x:v>80</x:v>
      </x:c>
      <x:c r="R64" s="12" t="n">
        <x:v>40</x:v>
      </x:c>
      <x:c r="S64" s="12" t="n">
        <x:v>10</x:v>
      </x:c>
      <x:c r="T64" s="12" t="n">
        <x:v>95</x:v>
      </x:c>
      <x:c r="U64" s="12" t="n">
        <x:v>70</x:v>
      </x:c>
      <x:c r="V64" s="12" t="n">
        <x:v>70</x:v>
      </x:c>
      <x:c r="W64" s="12" t="n">
        <x:v>70</x:v>
      </x:c>
      <x:c r="X64" s="12" t="n">
        <x:v>70</x:v>
      </x:c>
      <x:c r="Y64" s="12" t="n">
        <x:v>70</x:v>
      </x:c>
      <x:c r="Z64" s="12" t="n">
        <x:f>ROUND(0.38*K64+0.30*L64+0.17*P64+0.15*Y64,0)</x:f>
        <x:v>79</x:v>
      </x:c>
      <x:c r="AA64" s="12" t="n">
        <x:f>ROUND(0.38*L64+0.25*P64+0.20*T64+0.17*(100-M64),0)</x:f>
        <x:v>87</x:v>
      </x:c>
      <x:c r="AB64" s="12" t="n">
        <x:f>ROUND(0.32*M64+0.26*S64+0.24*R64+0.18*K64,0)</x:f>
        <x:v>33</x:v>
      </x:c>
      <x:c r="AC64" s="12" t="n">
        <x:f>ROUND(0.27*Q64+0.24*T64+0.22*N64+0.15*P64+0.12*V64,0)</x:f>
        <x:v>77</x:v>
      </x:c>
      <x:c r="AD64" s="12" t="n">
        <x:f>ROUND(0.28*O64+0.28*R64+0.28*Y64+0.16*(100-L64),0)</x:f>
        <x:v>35</x:v>
      </x:c>
      <x:c r="AE64" s="12" t="n">
        <x:f>ROUND(0.35*Y64+0.22*T64+0.18*R64+0.13*S64+0.12*X64,0)</x:f>
        <x:v>62</x:v>
      </x:c>
      <x:c r="AF64" s="12" t="n">
        <x:f>ROUND(0.72*X64+0.28*Y64,0)</x:f>
        <x:v>70</x:v>
      </x:c>
      <x:c r="AG64" s="12" t="str">
        <x:v>https://wikiwiki.jp/poke-unite/%E3%82%BF%E3%82%A4%E3%83%AC%E3%83%BC%E3%83%84</x:v>
      </x:c>
    </x:row>
    <x:row r="65">
      <x:c r="A65" s="12" t="str">
        <x:v>ダダリン</x:v>
      </x:c>
      <x:c r="B65" s="12" t="str">
        <x:v>バランス型</x:v>
      </x:c>
      <x:c r="C65" s="12" t="str">
        <x:v>ダダリン-1</x:v>
      </x:c>
      <x:c r="D65" s="12" t="str">
        <x:v>共通プロファイル</x:v>
      </x:c>
      <x:c r="E65" s="12" t="str">
        <x:v>Catcher</x:v>
      </x:c>
      <x:c r="F65" s="12" t="str">
        <x:v>Catcher</x:v>
      </x:c>
      <x:c r="G65" s="12" t="str"/>
      <x:c r="H65" s="12" t="str">
        <x:v>技選択で主役割が大きく変わらないため統合</x:v>
      </x:c>
      <x:c r="I65" s="12" t="str">
        <x:v>高</x:v>
      </x:c>
      <x:c r="J65" s="12" t="str">
        <x:v>2026-09-25</x:v>
      </x:c>
      <x:c r="K65" s="12" t="n">
        <x:v>70</x:v>
      </x:c>
      <x:c r="L65" s="12" t="n">
        <x:v>45</x:v>
      </x:c>
      <x:c r="M65" s="12" t="n">
        <x:v>60</x:v>
      </x:c>
      <x:c r="N65" s="12" t="n">
        <x:v>70</x:v>
      </x:c>
      <x:c r="O65" s="12" t="n">
        <x:v>45</x:v>
      </x:c>
      <x:c r="P65" s="12" t="n">
        <x:v>50</x:v>
      </x:c>
      <x:c r="Q65" s="12" t="n">
        <x:v>40</x:v>
      </x:c>
      <x:c r="R65" s="12" t="n">
        <x:v>100</x:v>
      </x:c>
      <x:c r="S65" s="12" t="n">
        <x:v>20</x:v>
      </x:c>
      <x:c r="T65" s="12" t="n">
        <x:v>35</x:v>
      </x:c>
      <x:c r="U65" s="12" t="n">
        <x:v>35</x:v>
      </x:c>
      <x:c r="V65" s="12" t="n">
        <x:v>45</x:v>
      </x:c>
      <x:c r="W65" s="12" t="n">
        <x:v>35</x:v>
      </x:c>
      <x:c r="X65" s="12" t="n">
        <x:v>65</x:v>
      </x:c>
      <x:c r="Y65" s="12" t="n">
        <x:v>90</x:v>
      </x:c>
      <x:c r="Z65" s="12" t="n">
        <x:f>ROUND(0.38*K65+0.30*L65+0.17*P65+0.15*Y65,0)</x:f>
        <x:v>62</x:v>
      </x:c>
      <x:c r="AA65" s="12" t="n">
        <x:f>ROUND(0.38*L65+0.25*P65+0.20*T65+0.17*(100-M65),0)</x:f>
        <x:v>43</x:v>
      </x:c>
      <x:c r="AB65" s="12" t="n">
        <x:f>ROUND(0.32*M65+0.26*S65+0.24*R65+0.18*K65,0)</x:f>
        <x:v>61</x:v>
      </x:c>
      <x:c r="AC65" s="12" t="n">
        <x:f>ROUND(0.27*Q65+0.24*T65+0.22*N65+0.15*P65+0.12*V65,0)</x:f>
        <x:v>48</x:v>
      </x:c>
      <x:c r="AD65" s="12" t="n">
        <x:f>ROUND(0.28*O65+0.28*R65+0.28*Y65+0.16*(100-L65),0)</x:f>
        <x:v>75</x:v>
      </x:c>
      <x:c r="AE65" s="12" t="n">
        <x:f>ROUND(0.35*Y65+0.22*T65+0.18*R65+0.13*S65+0.12*X65,0)</x:f>
        <x:v>68</x:v>
      </x:c>
      <x:c r="AF65" s="12" t="n">
        <x:f>ROUND(0.72*X65+0.28*Y65,0)</x:f>
        <x:v>72</x:v>
      </x:c>
      <x:c r="AG65" s="12" t="str">
        <x:v>https://wikiwiki.jp/poke-unite/%E3%83%80%E3%83%80%E3%83%AA%E3%83%B3</x:v>
      </x:c>
    </x:row>
    <x:row r="66">
      <x:c r="A66" s="12" t="str">
        <x:v>デカヌチャン</x:v>
      </x:c>
      <x:c r="B66" s="12" t="str">
        <x:v>バランス型</x:v>
      </x:c>
      <x:c r="C66" s="12" t="str">
        <x:v>デカヌチャン-1</x:v>
      </x:c>
      <x:c r="D66" s="12" t="str">
        <x:v>共通プロファイル</x:v>
      </x:c>
      <x:c r="E66" s="12" t="str">
        <x:v>Juggernaut</x:v>
      </x:c>
      <x:c r="F66" s="12" t="str">
        <x:v>Juggernaut</x:v>
      </x:c>
      <x:c r="G66" s="12" t="str"/>
      <x:c r="H66" s="12" t="str">
        <x:v>技選択で主役割が大きく変わらないため統合</x:v>
      </x:c>
      <x:c r="I66" s="12" t="str">
        <x:v>高</x:v>
      </x:c>
      <x:c r="J66" s="12" t="str">
        <x:v>2026-09-25</x:v>
      </x:c>
      <x:c r="K66" s="12" t="n">
        <x:v>55</x:v>
      </x:c>
      <x:c r="L66" s="12" t="n">
        <x:v>50</x:v>
      </x:c>
      <x:c r="M66" s="12" t="n">
        <x:v>40</x:v>
      </x:c>
      <x:c r="N66" s="12" t="n">
        <x:v>95</x:v>
      </x:c>
      <x:c r="O66" s="12" t="n">
        <x:v>15</x:v>
      </x:c>
      <x:c r="P66" s="12" t="n">
        <x:v>65</x:v>
      </x:c>
      <x:c r="Q66" s="12" t="n">
        <x:v>90</x:v>
      </x:c>
      <x:c r="R66" s="12" t="n">
        <x:v>45</x:v>
      </x:c>
      <x:c r="S66" s="12" t="n">
        <x:v>15</x:v>
      </x:c>
      <x:c r="T66" s="12" t="n">
        <x:v>25</x:v>
      </x:c>
      <x:c r="U66" s="12" t="n">
        <x:v>90</x:v>
      </x:c>
      <x:c r="V66" s="12" t="n">
        <x:v>80</x:v>
      </x:c>
      <x:c r="W66" s="12" t="n">
        <x:v>45</x:v>
      </x:c>
      <x:c r="X66" s="12" t="n">
        <x:v>50</x:v>
      </x:c>
      <x:c r="Y66" s="12" t="n">
        <x:v>60</x:v>
      </x:c>
      <x:c r="Z66" s="12" t="n">
        <x:f>ROUND(0.38*K66+0.30*L66+0.17*P66+0.15*Y66,0)</x:f>
        <x:v>56</x:v>
      </x:c>
      <x:c r="AA66" s="12" t="n">
        <x:f>ROUND(0.38*L66+0.25*P66+0.20*T66+0.17*(100-M66),0)</x:f>
        <x:v>50</x:v>
      </x:c>
      <x:c r="AB66" s="12" t="n">
        <x:f>ROUND(0.32*M66+0.26*S66+0.24*R66+0.18*K66,0)</x:f>
        <x:v>37</x:v>
      </x:c>
      <x:c r="AC66" s="12" t="n">
        <x:f>ROUND(0.27*Q66+0.24*T66+0.22*N66+0.15*P66+0.12*V66,0)</x:f>
        <x:v>71</x:v>
      </x:c>
      <x:c r="AD66" s="12" t="n">
        <x:f>ROUND(0.28*O66+0.28*R66+0.28*Y66+0.16*(100-L66),0)</x:f>
        <x:v>42</x:v>
      </x:c>
      <x:c r="AE66" s="12" t="n">
        <x:f>ROUND(0.35*Y66+0.22*T66+0.18*R66+0.13*S66+0.12*X66,0)</x:f>
        <x:v>43</x:v>
      </x:c>
      <x:c r="AF66" s="12" t="n">
        <x:f>ROUND(0.72*X66+0.28*Y66,0)</x:f>
        <x:v>53</x:v>
      </x:c>
      <x:c r="AG66" s="12" t="str">
        <x:v>https://wikiwiki.jp/poke-unite/%E3%83%87%E3%82%AB%E3%83%8C%E3%83%81%E3%83%A3%E3%83%B3</x:v>
      </x:c>
    </x:row>
    <x:row r="67">
      <x:c r="A67" s="12" t="str">
        <x:v>ネギガナイト</x:v>
      </x:c>
      <x:c r="B67" s="12" t="str">
        <x:v>バランス型</x:v>
      </x:c>
      <x:c r="C67" s="12" t="str">
        <x:v>ネギガナイト-1</x:v>
      </x:c>
      <x:c r="D67" s="12" t="str">
        <x:v>共通プロファイル</x:v>
      </x:c>
      <x:c r="E67" s="12" t="str">
        <x:v>Diver</x:v>
      </x:c>
      <x:c r="F67" s="12" t="str">
        <x:v>Diver</x:v>
      </x:c>
      <x:c r="G67" s="12" t="str"/>
      <x:c r="H67" s="12" t="str">
        <x:v>技選択で主役割が大きく変わらないため統合</x:v>
      </x:c>
      <x:c r="I67" s="12" t="str">
        <x:v>高</x:v>
      </x:c>
      <x:c r="J67" s="12" t="str">
        <x:v>2026-09-25</x:v>
      </x:c>
      <x:c r="K67" s="12" t="n">
        <x:v>75</x:v>
      </x:c>
      <x:c r="L67" s="12" t="n">
        <x:v>95</x:v>
      </x:c>
      <x:c r="M67" s="12" t="n">
        <x:v>25</x:v>
      </x:c>
      <x:c r="N67" s="12" t="n">
        <x:v>70</x:v>
      </x:c>
      <x:c r="O67" s="12" t="n">
        <x:v>15</x:v>
      </x:c>
      <x:c r="P67" s="12" t="n">
        <x:v>85</x:v>
      </x:c>
      <x:c r="Q67" s="12" t="n">
        <x:v>75</x:v>
      </x:c>
      <x:c r="R67" s="12" t="n">
        <x:v>45</x:v>
      </x:c>
      <x:c r="S67" s="12" t="n">
        <x:v>10</x:v>
      </x:c>
      <x:c r="T67" s="12" t="n">
        <x:v>80</x:v>
      </x:c>
      <x:c r="U67" s="12" t="n">
        <x:v>70</x:v>
      </x:c>
      <x:c r="V67" s="12" t="n">
        <x:v>70</x:v>
      </x:c>
      <x:c r="W67" s="12" t="n">
        <x:v>60</x:v>
      </x:c>
      <x:c r="X67" s="12" t="n">
        <x:v>85</x:v>
      </x:c>
      <x:c r="Y67" s="12" t="n">
        <x:v>70</x:v>
      </x:c>
      <x:c r="Z67" s="12" t="n">
        <x:f>ROUND(0.38*K67+0.30*L67+0.17*P67+0.15*Y67,0)</x:f>
        <x:v>82</x:v>
      </x:c>
      <x:c r="AA67" s="12" t="n">
        <x:f>ROUND(0.38*L67+0.25*P67+0.20*T67+0.17*(100-M67),0)</x:f>
        <x:v>86</x:v>
      </x:c>
      <x:c r="AB67" s="12" t="n">
        <x:f>ROUND(0.32*M67+0.26*S67+0.24*R67+0.18*K67,0)</x:f>
        <x:v>35</x:v>
      </x:c>
      <x:c r="AC67" s="12" t="n">
        <x:f>ROUND(0.27*Q67+0.24*T67+0.22*N67+0.15*P67+0.12*V67,0)</x:f>
        <x:v>76</x:v>
      </x:c>
      <x:c r="AD67" s="12" t="n">
        <x:f>ROUND(0.28*O67+0.28*R67+0.28*Y67+0.16*(100-L67),0)</x:f>
        <x:v>37</x:v>
      </x:c>
      <x:c r="AE67" s="12" t="n">
        <x:f>ROUND(0.35*Y67+0.22*T67+0.18*R67+0.13*S67+0.12*X67,0)</x:f>
        <x:v>62</x:v>
      </x:c>
      <x:c r="AF67" s="12" t="n">
        <x:f>ROUND(0.72*X67+0.28*Y67,0)</x:f>
        <x:v>81</x:v>
      </x:c>
      <x:c r="AG67" s="12" t="str">
        <x:v>https://wikiwiki.jp/poke-unite/%E3%83%8D%E3%82%AE%E3%82%AC%E3%83%8A%E3%82%A4%E3%83%88</x:v>
      </x:c>
    </x:row>
    <x:row r="68">
      <x:c r="A68" s="12" t="str">
        <x:v>ハッサム</x:v>
      </x:c>
      <x:c r="B68" s="12" t="str">
        <x:v>バランス型</x:v>
      </x:c>
      <x:c r="C68" s="12" t="str">
        <x:v>ハッサム-1</x:v>
      </x:c>
      <x:c r="D68" s="12" t="str">
        <x:v>ダブルウイング＋ダブルアタック（ストライク）</x:v>
      </x:c>
      <x:c r="E68" s="12" t="str">
        <x:v>Assassin</x:v>
      </x:c>
      <x:c r="F68" s="12" t="str">
        <x:v>Assassin</x:v>
      </x:c>
      <x:c r="G68" s="12" t="str"/>
      <x:c r="H68" s="12" t="str">
        <x:v>高速一撃離脱・ストライク維持</x:v>
      </x:c>
      <x:c r="I68" s="12" t="str">
        <x:v>高</x:v>
      </x:c>
      <x:c r="J68" s="12" t="str">
        <x:v>2026-09-25</x:v>
      </x:c>
      <x:c r="K68" s="12" t="n">
        <x:v>50</x:v>
      </x:c>
      <x:c r="L68" s="12" t="n">
        <x:v>100</x:v>
      </x:c>
      <x:c r="M68" s="12" t="n">
        <x:v>10</x:v>
      </x:c>
      <x:c r="N68" s="12" t="n">
        <x:v>10</x:v>
      </x:c>
      <x:c r="O68" s="12" t="n">
        <x:v>20</x:v>
      </x:c>
      <x:c r="P68" s="12" t="n">
        <x:v>100</x:v>
      </x:c>
      <x:c r="Q68" s="12" t="n">
        <x:v>55</x:v>
      </x:c>
      <x:c r="R68" s="12" t="n">
        <x:v>30</x:v>
      </x:c>
      <x:c r="S68" s="12" t="n">
        <x:v>10</x:v>
      </x:c>
      <x:c r="T68" s="12" t="n">
        <x:v>100</x:v>
      </x:c>
      <x:c r="U68" s="12" t="n">
        <x:v>70</x:v>
      </x:c>
      <x:c r="V68" s="12" t="n">
        <x:v>65</x:v>
      </x:c>
      <x:c r="W68" s="12" t="n">
        <x:v>80</x:v>
      </x:c>
      <x:c r="X68" s="12" t="n">
        <x:v>80</x:v>
      </x:c>
      <x:c r="Y68" s="12" t="n">
        <x:v>75</x:v>
      </x:c>
      <x:c r="Z68" s="12" t="n">
        <x:f>ROUND(0.38*K68+0.30*L68+0.17*P68+0.15*Y68,0)</x:f>
        <x:v>77</x:v>
      </x:c>
      <x:c r="AA68" s="12" t="n">
        <x:f>ROUND(0.38*L68+0.25*P68+0.20*T68+0.17*(100-M68),0)</x:f>
        <x:v>98</x:v>
      </x:c>
      <x:c r="AB68" s="12" t="n">
        <x:f>ROUND(0.32*M68+0.26*S68+0.24*R68+0.18*K68,0)</x:f>
        <x:v>22</x:v>
      </x:c>
      <x:c r="AC68" s="12" t="n">
        <x:f>ROUND(0.27*Q68+0.24*T68+0.22*N68+0.15*P68+0.12*V68,0)</x:f>
        <x:v>64</x:v>
      </x:c>
      <x:c r="AD68" s="12" t="n">
        <x:f>ROUND(0.28*O68+0.28*R68+0.28*Y68+0.16*(100-L68),0)</x:f>
        <x:v>35</x:v>
      </x:c>
      <x:c r="AE68" s="12" t="n">
        <x:f>ROUND(0.35*Y68+0.22*T68+0.18*R68+0.13*S68+0.12*X68,0)</x:f>
        <x:v>65</x:v>
      </x:c>
      <x:c r="AF68" s="12" t="n">
        <x:f>ROUND(0.72*X68+0.28*Y68,0)</x:f>
        <x:v>79</x:v>
      </x:c>
      <x:c r="AG68" s="12" t="str">
        <x:v>https://wikiwiki.jp/poke-unite/%E3%83%8F%E3%83%83%E3%82%B5%E3%83%A0</x:v>
      </x:c>
    </x:row>
    <x:row r="69">
      <x:c r="A69" s="12" t="str">
        <x:v>ハッサム</x:v>
      </x:c>
      <x:c r="B69" s="12" t="str">
        <x:v>バランス型</x:v>
      </x:c>
      <x:c r="C69" s="12" t="str">
        <x:v>ハッサム-2</x:v>
      </x:c>
      <x:c r="D69" s="12" t="str">
        <x:v>バレットパンチ＋つるぎのまい（ハッサム）</x:v>
      </x:c>
      <x:c r="E69" s="12" t="str">
        <x:v>Skirmisher</x:v>
      </x:c>
      <x:c r="F69" s="12" t="str">
        <x:v>Skirmisher</x:v>
      </x:c>
      <x:c r="G69" s="12" t="str">
        <x:v>Juggernaut</x:v>
      </x:c>
      <x:c r="H69" s="12" t="str">
        <x:v>回復・継戦・ハッサム進化</x:v>
      </x:c>
      <x:c r="I69" s="12" t="str">
        <x:v>高</x:v>
      </x:c>
      <x:c r="J69" s="12" t="str">
        <x:v>2026-09-25</x:v>
      </x:c>
      <x:c r="K69" s="12" t="n">
        <x:v>55</x:v>
      </x:c>
      <x:c r="L69" s="12" t="n">
        <x:v>70</x:v>
      </x:c>
      <x:c r="M69" s="12" t="n">
        <x:v>30</x:v>
      </x:c>
      <x:c r="N69" s="12" t="n">
        <x:v>85</x:v>
      </x:c>
      <x:c r="O69" s="12" t="n">
        <x:v>20</x:v>
      </x:c>
      <x:c r="P69" s="12" t="n">
        <x:v>60</x:v>
      </x:c>
      <x:c r="Q69" s="12" t="n">
        <x:v>100</x:v>
      </x:c>
      <x:c r="R69" s="12" t="n">
        <x:v>40</x:v>
      </x:c>
      <x:c r="S69" s="12" t="n">
        <x:v>15</x:v>
      </x:c>
      <x:c r="T69" s="12" t="n">
        <x:v>55</x:v>
      </x:c>
      <x:c r="U69" s="12" t="n">
        <x:v>75</x:v>
      </x:c>
      <x:c r="V69" s="12" t="n">
        <x:v>75</x:v>
      </x:c>
      <x:c r="W69" s="12" t="n">
        <x:v>55</x:v>
      </x:c>
      <x:c r="X69" s="12" t="n">
        <x:v>65</x:v>
      </x:c>
      <x:c r="Y69" s="12" t="n">
        <x:v>65</x:v>
      </x:c>
      <x:c r="Z69" s="12" t="n">
        <x:f>ROUND(0.38*K69+0.30*L69+0.17*P69+0.15*Y69,0)</x:f>
        <x:v>62</x:v>
      </x:c>
      <x:c r="AA69" s="12" t="n">
        <x:f>ROUND(0.38*L69+0.25*P69+0.20*T69+0.17*(100-M69),0)</x:f>
        <x:v>65</x:v>
      </x:c>
      <x:c r="AB69" s="12" t="n">
        <x:f>ROUND(0.32*M69+0.26*S69+0.24*R69+0.18*K69,0)</x:f>
        <x:v>33</x:v>
      </x:c>
      <x:c r="AC69" s="12" t="n">
        <x:f>ROUND(0.27*Q69+0.24*T69+0.22*N69+0.15*P69+0.12*V69,0)</x:f>
        <x:v>77</x:v>
      </x:c>
      <x:c r="AD69" s="12" t="n">
        <x:f>ROUND(0.28*O69+0.28*R69+0.28*Y69+0.16*(100-L69),0)</x:f>
        <x:v>40</x:v>
      </x:c>
      <x:c r="AE69" s="12" t="n">
        <x:f>ROUND(0.35*Y69+0.22*T69+0.18*R69+0.13*S69+0.12*X69,0)</x:f>
        <x:v>52</x:v>
      </x:c>
      <x:c r="AF69" s="12" t="n">
        <x:f>ROUND(0.72*X69+0.28*Y69,0)</x:f>
        <x:v>65</x:v>
      </x:c>
      <x:c r="AG69" s="12" t="str">
        <x:v>https://wikiwiki.jp/poke-unite/%E3%83%8F%E3%83%83%E3%82%B5%E3%83%A0</x:v>
      </x:c>
    </x:row>
    <x:row r="70">
      <x:c r="A70" s="12" t="str">
        <x:v>バシャーモ</x:v>
      </x:c>
      <x:c r="B70" s="12" t="str">
        <x:v>バランス型</x:v>
      </x:c>
      <x:c r="C70" s="12" t="str">
        <x:v>バシャーモ-1</x:v>
      </x:c>
      <x:c r="D70" s="12" t="str">
        <x:v>共通プロファイル</x:v>
      </x:c>
      <x:c r="E70" s="12" t="str">
        <x:v>Diver</x:v>
      </x:c>
      <x:c r="F70" s="12" t="str">
        <x:v>Diver</x:v>
      </x:c>
      <x:c r="G70" s="12" t="str"/>
      <x:c r="H70" s="12" t="str">
        <x:v>技選択で主役割が大きく変わらないため統合</x:v>
      </x:c>
      <x:c r="I70" s="12" t="str">
        <x:v>高</x:v>
      </x:c>
      <x:c r="J70" s="12" t="str">
        <x:v>2026-09-25</x:v>
      </x:c>
      <x:c r="K70" s="12" t="n">
        <x:v>75</x:v>
      </x:c>
      <x:c r="L70" s="12" t="n">
        <x:v>95</x:v>
      </x:c>
      <x:c r="M70" s="12" t="n">
        <x:v>25</x:v>
      </x:c>
      <x:c r="N70" s="12" t="n">
        <x:v>65</x:v>
      </x:c>
      <x:c r="O70" s="12" t="n">
        <x:v>15</x:v>
      </x:c>
      <x:c r="P70" s="12" t="n">
        <x:v>75</x:v>
      </x:c>
      <x:c r="Q70" s="12" t="n">
        <x:v>85</x:v>
      </x:c>
      <x:c r="R70" s="12" t="n">
        <x:v>45</x:v>
      </x:c>
      <x:c r="S70" s="12" t="n">
        <x:v>10</x:v>
      </x:c>
      <x:c r="T70" s="12" t="n">
        <x:v>80</x:v>
      </x:c>
      <x:c r="U70" s="12" t="n">
        <x:v>70</x:v>
      </x:c>
      <x:c r="V70" s="12" t="n">
        <x:v>70</x:v>
      </x:c>
      <x:c r="W70" s="12" t="n">
        <x:v>60</x:v>
      </x:c>
      <x:c r="X70" s="12" t="n">
        <x:v>85</x:v>
      </x:c>
      <x:c r="Y70" s="12" t="n">
        <x:v>80</x:v>
      </x:c>
      <x:c r="Z70" s="12" t="n">
        <x:f>ROUND(0.38*K70+0.30*L70+0.17*P70+0.15*Y70,0)</x:f>
        <x:v>82</x:v>
      </x:c>
      <x:c r="AA70" s="12" t="n">
        <x:f>ROUND(0.38*L70+0.25*P70+0.20*T70+0.17*(100-M70),0)</x:f>
        <x:v>84</x:v>
      </x:c>
      <x:c r="AB70" s="12" t="n">
        <x:f>ROUND(0.32*M70+0.26*S70+0.24*R70+0.18*K70,0)</x:f>
        <x:v>35</x:v>
      </x:c>
      <x:c r="AC70" s="12" t="n">
        <x:f>ROUND(0.27*Q70+0.24*T70+0.22*N70+0.15*P70+0.12*V70,0)</x:f>
        <x:v>76</x:v>
      </x:c>
      <x:c r="AD70" s="12" t="n">
        <x:f>ROUND(0.28*O70+0.28*R70+0.28*Y70+0.16*(100-L70),0)</x:f>
        <x:v>40</x:v>
      </x:c>
      <x:c r="AE70" s="12" t="n">
        <x:f>ROUND(0.35*Y70+0.22*T70+0.18*R70+0.13*S70+0.12*X70,0)</x:f>
        <x:v>65</x:v>
      </x:c>
      <x:c r="AF70" s="12" t="n">
        <x:f>ROUND(0.72*X70+0.28*Y70,0)</x:f>
        <x:v>84</x:v>
      </x:c>
      <x:c r="AG70" s="12" t="str">
        <x:v>https://wikiwiki.jp/poke-unite/%E3%83%90%E3%82%B7%E3%83%A3%E3%83%BC%E3%83%A2</x:v>
      </x:c>
    </x:row>
    <x:row r="71">
      <x:c r="A71" s="12" t="str">
        <x:v>バンギラス</x:v>
      </x:c>
      <x:c r="B71" s="12" t="str">
        <x:v>バランス型</x:v>
      </x:c>
      <x:c r="C71" s="12" t="str">
        <x:v>バンギラス-1</x:v>
      </x:c>
      <x:c r="D71" s="12" t="str">
        <x:v>共通プロファイル</x:v>
      </x:c>
      <x:c r="E71" s="12" t="str">
        <x:v>Juggernaut</x:v>
      </x:c>
      <x:c r="F71" s="12" t="str">
        <x:v>Juggernaut</x:v>
      </x:c>
      <x:c r="G71" s="12" t="str"/>
      <x:c r="H71" s="12" t="str">
        <x:v>技選択で主役割が大きく変わらないため統合</x:v>
      </x:c>
      <x:c r="I71" s="12" t="str">
        <x:v>高</x:v>
      </x:c>
      <x:c r="J71" s="12" t="str">
        <x:v>2026-09-25</x:v>
      </x:c>
      <x:c r="K71" s="12" t="n">
        <x:v>55</x:v>
      </x:c>
      <x:c r="L71" s="12" t="n">
        <x:v>50</x:v>
      </x:c>
      <x:c r="M71" s="12" t="n">
        <x:v>40</x:v>
      </x:c>
      <x:c r="N71" s="12" t="n">
        <x:v>100</x:v>
      </x:c>
      <x:c r="O71" s="12" t="n">
        <x:v>15</x:v>
      </x:c>
      <x:c r="P71" s="12" t="n">
        <x:v>60</x:v>
      </x:c>
      <x:c r="Q71" s="12" t="n">
        <x:v>90</x:v>
      </x:c>
      <x:c r="R71" s="12" t="n">
        <x:v>45</x:v>
      </x:c>
      <x:c r="S71" s="12" t="n">
        <x:v>15</x:v>
      </x:c>
      <x:c r="T71" s="12" t="n">
        <x:v>25</x:v>
      </x:c>
      <x:c r="U71" s="12" t="n">
        <x:v>95</x:v>
      </x:c>
      <x:c r="V71" s="12" t="n">
        <x:v>70</x:v>
      </x:c>
      <x:c r="W71" s="12" t="n">
        <x:v>45</x:v>
      </x:c>
      <x:c r="X71" s="12" t="n">
        <x:v>50</x:v>
      </x:c>
      <x:c r="Y71" s="12" t="n">
        <x:v>60</x:v>
      </x:c>
      <x:c r="Z71" s="12" t="n">
        <x:f>ROUND(0.38*K71+0.30*L71+0.17*P71+0.15*Y71,0)</x:f>
        <x:v>55</x:v>
      </x:c>
      <x:c r="AA71" s="12" t="n">
        <x:f>ROUND(0.38*L71+0.25*P71+0.20*T71+0.17*(100-M71),0)</x:f>
        <x:v>49</x:v>
      </x:c>
      <x:c r="AB71" s="12" t="n">
        <x:f>ROUND(0.32*M71+0.26*S71+0.24*R71+0.18*K71,0)</x:f>
        <x:v>37</x:v>
      </x:c>
      <x:c r="AC71" s="12" t="n">
        <x:f>ROUND(0.27*Q71+0.24*T71+0.22*N71+0.15*P71+0.12*V71,0)</x:f>
        <x:v>70</x:v>
      </x:c>
      <x:c r="AD71" s="12" t="n">
        <x:f>ROUND(0.28*O71+0.28*R71+0.28*Y71+0.16*(100-L71),0)</x:f>
        <x:v>42</x:v>
      </x:c>
      <x:c r="AE71" s="12" t="n">
        <x:f>ROUND(0.35*Y71+0.22*T71+0.18*R71+0.13*S71+0.12*X71,0)</x:f>
        <x:v>43</x:v>
      </x:c>
      <x:c r="AF71" s="12" t="n">
        <x:f>ROUND(0.72*X71+0.28*Y71,0)</x:f>
        <x:v>53</x:v>
      </x:c>
      <x:c r="AG71" s="12" t="str">
        <x:v>https://wikiwiki.jp/poke-unite/%E3%83%90%E3%83%B3%E3%82%AE%E3%83%A9%E3%82%B9</x:v>
      </x:c>
    </x:row>
    <x:row r="72">
      <x:c r="A72" s="12" t="str">
        <x:v>パルキア</x:v>
      </x:c>
      <x:c r="B72" s="12" t="str">
        <x:v>バランス型</x:v>
      </x:c>
      <x:c r="C72" s="12" t="str">
        <x:v>パルキア-1</x:v>
      </x:c>
      <x:c r="D72" s="12" t="str">
        <x:v>共通プロファイル</x:v>
      </x:c>
      <x:c r="E72" s="12" t="str">
        <x:v>Diver</x:v>
      </x:c>
      <x:c r="F72" s="12" t="str">
        <x:v>Diver</x:v>
      </x:c>
      <x:c r="G72" s="12" t="str"/>
      <x:c r="H72" s="12" t="str">
        <x:v>技選択で主役割が大きく変わらないため統合</x:v>
      </x:c>
      <x:c r="I72" s="12" t="str">
        <x:v>中</x:v>
      </x:c>
      <x:c r="J72" s="12" t="str">
        <x:v>2026-09-25</x:v>
      </x:c>
      <x:c r="K72" s="12" t="n">
        <x:v>75</x:v>
      </x:c>
      <x:c r="L72" s="12" t="n">
        <x:v>95</x:v>
      </x:c>
      <x:c r="M72" s="12" t="n">
        <x:v>25</x:v>
      </x:c>
      <x:c r="N72" s="12" t="n">
        <x:v>75</x:v>
      </x:c>
      <x:c r="O72" s="12" t="n">
        <x:v>15</x:v>
      </x:c>
      <x:c r="P72" s="12" t="n">
        <x:v>70</x:v>
      </x:c>
      <x:c r="Q72" s="12" t="n">
        <x:v>75</x:v>
      </x:c>
      <x:c r="R72" s="12" t="n">
        <x:v>45</x:v>
      </x:c>
      <x:c r="S72" s="12" t="n">
        <x:v>10</x:v>
      </x:c>
      <x:c r="T72" s="12" t="n">
        <x:v>90</x:v>
      </x:c>
      <x:c r="U72" s="12" t="n">
        <x:v>70</x:v>
      </x:c>
      <x:c r="V72" s="12" t="n">
        <x:v>70</x:v>
      </x:c>
      <x:c r="W72" s="12" t="n">
        <x:v>60</x:v>
      </x:c>
      <x:c r="X72" s="12" t="n">
        <x:v>70</x:v>
      </x:c>
      <x:c r="Y72" s="12" t="n">
        <x:v>70</x:v>
      </x:c>
      <x:c r="Z72" s="12" t="n">
        <x:f>ROUND(0.38*K72+0.30*L72+0.17*P72+0.15*Y72,0)</x:f>
        <x:v>79</x:v>
      </x:c>
      <x:c r="AA72" s="12" t="n">
        <x:f>ROUND(0.38*L72+0.25*P72+0.20*T72+0.17*(100-M72),0)</x:f>
        <x:v>84</x:v>
      </x:c>
      <x:c r="AB72" s="12" t="n">
        <x:f>ROUND(0.32*M72+0.26*S72+0.24*R72+0.18*K72,0)</x:f>
        <x:v>35</x:v>
      </x:c>
      <x:c r="AC72" s="12" t="n">
        <x:f>ROUND(0.27*Q72+0.24*T72+0.22*N72+0.15*P72+0.12*V72,0)</x:f>
        <x:v>77</x:v>
      </x:c>
      <x:c r="AD72" s="12" t="n">
        <x:f>ROUND(0.28*O72+0.28*R72+0.28*Y72+0.16*(100-L72),0)</x:f>
        <x:v>37</x:v>
      </x:c>
      <x:c r="AE72" s="12" t="n">
        <x:f>ROUND(0.35*Y72+0.22*T72+0.18*R72+0.13*S72+0.12*X72,0)</x:f>
        <x:v>62</x:v>
      </x:c>
      <x:c r="AF72" s="12" t="n">
        <x:f>ROUND(0.72*X72+0.28*Y72,0)</x:f>
        <x:v>70</x:v>
      </x:c>
      <x:c r="AG72" s="12" t="str">
        <x:v>https://wikiwiki.jp/poke-unite/%E3%83%91%E3%83%AB%E3%82%AD%E3%82%A2</x:v>
      </x:c>
    </x:row>
    <x:row r="73">
      <x:c r="A73" s="12" t="str">
        <x:v>パーモット</x:v>
      </x:c>
      <x:c r="B73" s="12" t="str">
        <x:v>バランス型</x:v>
      </x:c>
      <x:c r="C73" s="12" t="str">
        <x:v>パーモット-1</x:v>
      </x:c>
      <x:c r="D73" s="12" t="str">
        <x:v>共通プロファイル</x:v>
      </x:c>
      <x:c r="E73" s="12" t="str">
        <x:v>Diver</x:v>
      </x:c>
      <x:c r="F73" s="12" t="str">
        <x:v>Diver</x:v>
      </x:c>
      <x:c r="G73" s="12" t="str"/>
      <x:c r="H73" s="12" t="str">
        <x:v>技選択で主役割が大きく変わらないため統合</x:v>
      </x:c>
      <x:c r="I73" s="12" t="str">
        <x:v>高</x:v>
      </x:c>
      <x:c r="J73" s="12" t="str">
        <x:v>2026-09-25</x:v>
      </x:c>
      <x:c r="K73" s="12" t="n">
        <x:v>75</x:v>
      </x:c>
      <x:c r="L73" s="12" t="n">
        <x:v>95</x:v>
      </x:c>
      <x:c r="M73" s="12" t="n">
        <x:v>25</x:v>
      </x:c>
      <x:c r="N73" s="12" t="n">
        <x:v>65</x:v>
      </x:c>
      <x:c r="O73" s="12" t="n">
        <x:v>15</x:v>
      </x:c>
      <x:c r="P73" s="12" t="n">
        <x:v>85</x:v>
      </x:c>
      <x:c r="Q73" s="12" t="n">
        <x:v>85</x:v>
      </x:c>
      <x:c r="R73" s="12" t="n">
        <x:v>45</x:v>
      </x:c>
      <x:c r="S73" s="12" t="n">
        <x:v>10</x:v>
      </x:c>
      <x:c r="T73" s="12" t="n">
        <x:v>80</x:v>
      </x:c>
      <x:c r="U73" s="12" t="n">
        <x:v>75</x:v>
      </x:c>
      <x:c r="V73" s="12" t="n">
        <x:v>70</x:v>
      </x:c>
      <x:c r="W73" s="12" t="n">
        <x:v>60</x:v>
      </x:c>
      <x:c r="X73" s="12" t="n">
        <x:v>70</x:v>
      </x:c>
      <x:c r="Y73" s="12" t="n">
        <x:v>70</x:v>
      </x:c>
      <x:c r="Z73" s="12" t="n">
        <x:f>ROUND(0.38*K73+0.30*L73+0.17*P73+0.15*Y73,0)</x:f>
        <x:v>82</x:v>
      </x:c>
      <x:c r="AA73" s="12" t="n">
        <x:f>ROUND(0.38*L73+0.25*P73+0.20*T73+0.17*(100-M73),0)</x:f>
        <x:v>86</x:v>
      </x:c>
      <x:c r="AB73" s="12" t="n">
        <x:f>ROUND(0.32*M73+0.26*S73+0.24*R73+0.18*K73,0)</x:f>
        <x:v>35</x:v>
      </x:c>
      <x:c r="AC73" s="12" t="n">
        <x:f>ROUND(0.27*Q73+0.24*T73+0.22*N73+0.15*P73+0.12*V73,0)</x:f>
        <x:v>78</x:v>
      </x:c>
      <x:c r="AD73" s="12" t="n">
        <x:f>ROUND(0.28*O73+0.28*R73+0.28*Y73+0.16*(100-L73),0)</x:f>
        <x:v>37</x:v>
      </x:c>
      <x:c r="AE73" s="12" t="n">
        <x:f>ROUND(0.35*Y73+0.22*T73+0.18*R73+0.13*S73+0.12*X73,0)</x:f>
        <x:v>60</x:v>
      </x:c>
      <x:c r="AF73" s="12" t="n">
        <x:f>ROUND(0.72*X73+0.28*Y73,0)</x:f>
        <x:v>70</x:v>
      </x:c>
      <x:c r="AG73" s="12" t="str">
        <x:v>https://wikiwiki.jp/poke-unite/%E3%83%91%E3%83%BC%E3%83%A2%E3%83%83%E3%83%88</x:v>
      </x:c>
    </x:row>
    <x:row r="74">
      <x:c r="A74" s="12" t="str">
        <x:v>ファイヤー</x:v>
      </x:c>
      <x:c r="B74" s="12" t="str">
        <x:v>バランス型</x:v>
      </x:c>
      <x:c r="C74" s="12" t="str">
        <x:v>ファイヤー-1</x:v>
      </x:c>
      <x:c r="D74" s="12" t="str">
        <x:v>共通プロファイル</x:v>
      </x:c>
      <x:c r="E74" s="12" t="str">
        <x:v>Juggernaut</x:v>
      </x:c>
      <x:c r="F74" s="12" t="str">
        <x:v>Juggernaut</x:v>
      </x:c>
      <x:c r="G74" s="12" t="str"/>
      <x:c r="H74" s="12" t="str">
        <x:v>技選択で主役割が大きく変わらないため統合</x:v>
      </x:c>
      <x:c r="I74" s="12" t="str">
        <x:v>中</x:v>
      </x:c>
      <x:c r="J74" s="12" t="str">
        <x:v>2026-09-25</x:v>
      </x:c>
      <x:c r="K74" s="12" t="n">
        <x:v>55</x:v>
      </x:c>
      <x:c r="L74" s="12" t="n">
        <x:v>50</x:v>
      </x:c>
      <x:c r="M74" s="12" t="n">
        <x:v>40</x:v>
      </x:c>
      <x:c r="N74" s="12" t="n">
        <x:v>100</x:v>
      </x:c>
      <x:c r="O74" s="12" t="n">
        <x:v>15</x:v>
      </x:c>
      <x:c r="P74" s="12" t="n">
        <x:v>60</x:v>
      </x:c>
      <x:c r="Q74" s="12" t="n">
        <x:v>100</x:v>
      </x:c>
      <x:c r="R74" s="12" t="n">
        <x:v>35</x:v>
      </x:c>
      <x:c r="S74" s="12" t="n">
        <x:v>15</x:v>
      </x:c>
      <x:c r="T74" s="12" t="n">
        <x:v>35</x:v>
      </x:c>
      <x:c r="U74" s="12" t="n">
        <x:v>80</x:v>
      </x:c>
      <x:c r="V74" s="12" t="n">
        <x:v>80</x:v>
      </x:c>
      <x:c r="W74" s="12" t="n">
        <x:v>45</x:v>
      </x:c>
      <x:c r="X74" s="12" t="n">
        <x:v>50</x:v>
      </x:c>
      <x:c r="Y74" s="12" t="n">
        <x:v>60</x:v>
      </x:c>
      <x:c r="Z74" s="12" t="n">
        <x:f>ROUND(0.38*K74+0.30*L74+0.17*P74+0.15*Y74,0)</x:f>
        <x:v>55</x:v>
      </x:c>
      <x:c r="AA74" s="12" t="n">
        <x:f>ROUND(0.38*L74+0.25*P74+0.20*T74+0.17*(100-M74),0)</x:f>
        <x:v>51</x:v>
      </x:c>
      <x:c r="AB74" s="12" t="n">
        <x:f>ROUND(0.32*M74+0.26*S74+0.24*R74+0.18*K74,0)</x:f>
        <x:v>35</x:v>
      </x:c>
      <x:c r="AC74" s="12" t="n">
        <x:f>ROUND(0.27*Q74+0.24*T74+0.22*N74+0.15*P74+0.12*V74,0)</x:f>
        <x:v>76</x:v>
      </x:c>
      <x:c r="AD74" s="12" t="n">
        <x:f>ROUND(0.28*O74+0.28*R74+0.28*Y74+0.16*(100-L74),0)</x:f>
        <x:v>39</x:v>
      </x:c>
      <x:c r="AE74" s="12" t="n">
        <x:f>ROUND(0.35*Y74+0.22*T74+0.18*R74+0.13*S74+0.12*X74,0)</x:f>
        <x:v>43</x:v>
      </x:c>
      <x:c r="AF74" s="12" t="n">
        <x:f>ROUND(0.72*X74+0.28*Y74,0)</x:f>
        <x:v>53</x:v>
      </x:c>
      <x:c r="AG74" s="12" t="str">
        <x:v>https://wikiwiki.jp/poke-unite/%E3%83%95%E3%82%A1%E3%82%A4%E3%83%A4%E3%83%BC</x:v>
      </x:c>
    </x:row>
    <x:row r="75">
      <x:c r="A75" s="12" t="str">
        <x:v>マッシブーン</x:v>
      </x:c>
      <x:c r="B75" s="12" t="str">
        <x:v>バランス型</x:v>
      </x:c>
      <x:c r="C75" s="12" t="str">
        <x:v>マッシブーン-1</x:v>
      </x:c>
      <x:c r="D75" s="12" t="str">
        <x:v>共通プロファイル</x:v>
      </x:c>
      <x:c r="E75" s="12" t="str">
        <x:v>Catcher</x:v>
      </x:c>
      <x:c r="F75" s="12" t="str">
        <x:v>Catcher</x:v>
      </x:c>
      <x:c r="G75" s="12" t="str"/>
      <x:c r="H75" s="12" t="str">
        <x:v>技選択で主役割が大きく変わらないため統合</x:v>
      </x:c>
      <x:c r="I75" s="12" t="str">
        <x:v>高</x:v>
      </x:c>
      <x:c r="J75" s="12" t="str">
        <x:v>2026-09-25</x:v>
      </x:c>
      <x:c r="K75" s="12" t="n">
        <x:v>70</x:v>
      </x:c>
      <x:c r="L75" s="12" t="n">
        <x:v>45</x:v>
      </x:c>
      <x:c r="M75" s="12" t="n">
        <x:v>60</x:v>
      </x:c>
      <x:c r="N75" s="12" t="n">
        <x:v>65</x:v>
      </x:c>
      <x:c r="O75" s="12" t="n">
        <x:v>45</x:v>
      </x:c>
      <x:c r="P75" s="12" t="n">
        <x:v>60</x:v>
      </x:c>
      <x:c r="Q75" s="12" t="n">
        <x:v>40</x:v>
      </x:c>
      <x:c r="R75" s="12" t="n">
        <x:v>100</x:v>
      </x:c>
      <x:c r="S75" s="12" t="n">
        <x:v>25</x:v>
      </x:c>
      <x:c r="T75" s="12" t="n">
        <x:v>40</x:v>
      </x:c>
      <x:c r="U75" s="12" t="n">
        <x:v>35</x:v>
      </x:c>
      <x:c r="V75" s="12" t="n">
        <x:v>45</x:v>
      </x:c>
      <x:c r="W75" s="12" t="n">
        <x:v>35</x:v>
      </x:c>
      <x:c r="X75" s="12" t="n">
        <x:v>65</x:v>
      </x:c>
      <x:c r="Y75" s="12" t="n">
        <x:v>90</x:v>
      </x:c>
      <x:c r="Z75" s="12" t="n">
        <x:f>ROUND(0.38*K75+0.30*L75+0.17*P75+0.15*Y75,0)</x:f>
        <x:v>64</x:v>
      </x:c>
      <x:c r="AA75" s="12" t="n">
        <x:f>ROUND(0.38*L75+0.25*P75+0.20*T75+0.17*(100-M75),0)</x:f>
        <x:v>47</x:v>
      </x:c>
      <x:c r="AB75" s="12" t="n">
        <x:f>ROUND(0.32*M75+0.26*S75+0.24*R75+0.18*K75,0)</x:f>
        <x:v>62</x:v>
      </x:c>
      <x:c r="AC75" s="12" t="n">
        <x:f>ROUND(0.27*Q75+0.24*T75+0.22*N75+0.15*P75+0.12*V75,0)</x:f>
        <x:v>49</x:v>
      </x:c>
      <x:c r="AD75" s="12" t="n">
        <x:f>ROUND(0.28*O75+0.28*R75+0.28*Y75+0.16*(100-L75),0)</x:f>
        <x:v>75</x:v>
      </x:c>
      <x:c r="AE75" s="12" t="n">
        <x:f>ROUND(0.35*Y75+0.22*T75+0.18*R75+0.13*S75+0.12*X75,0)</x:f>
        <x:v>69</x:v>
      </x:c>
      <x:c r="AF75" s="12" t="n">
        <x:f>ROUND(0.72*X75+0.28*Y75,0)</x:f>
        <x:v>72</x:v>
      </x:c>
      <x:c r="AG75" s="12" t="str">
        <x:v>https://wikiwiki.jp/poke-unite/%E3%83%9E%E3%83%83%E3%82%B7%E3%83%96%E3%83%BC%E3%83%B3</x:v>
      </x:c>
    </x:row>
    <x:row r="76">
      <x:c r="A76" s="12" t="str">
        <x:v>マリルリ</x:v>
      </x:c>
      <x:c r="B76" s="12" t="str">
        <x:v>バランス型</x:v>
      </x:c>
      <x:c r="C76" s="12" t="str">
        <x:v>マリルリ-1</x:v>
      </x:c>
      <x:c r="D76" s="12" t="str">
        <x:v>共通プロファイル</x:v>
      </x:c>
      <x:c r="E76" s="12" t="str">
        <x:v>Diver</x:v>
      </x:c>
      <x:c r="F76" s="12" t="str">
        <x:v>Diver</x:v>
      </x:c>
      <x:c r="G76" s="12" t="str"/>
      <x:c r="H76" s="12" t="str">
        <x:v>技選択で主役割が大きく変わらないため統合</x:v>
      </x:c>
      <x:c r="I76" s="12" t="str">
        <x:v>高</x:v>
      </x:c>
      <x:c r="J76" s="12" t="str">
        <x:v>2026-09-25</x:v>
      </x:c>
      <x:c r="K76" s="12" t="n">
        <x:v>75</x:v>
      </x:c>
      <x:c r="L76" s="12" t="n">
        <x:v>95</x:v>
      </x:c>
      <x:c r="M76" s="12" t="n">
        <x:v>25</x:v>
      </x:c>
      <x:c r="N76" s="12" t="n">
        <x:v>65</x:v>
      </x:c>
      <x:c r="O76" s="12" t="n">
        <x:v>15</x:v>
      </x:c>
      <x:c r="P76" s="12" t="n">
        <x:v>85</x:v>
      </x:c>
      <x:c r="Q76" s="12" t="n">
        <x:v>85</x:v>
      </x:c>
      <x:c r="R76" s="12" t="n">
        <x:v>45</x:v>
      </x:c>
      <x:c r="S76" s="12" t="n">
        <x:v>10</x:v>
      </x:c>
      <x:c r="T76" s="12" t="n">
        <x:v>75</x:v>
      </x:c>
      <x:c r="U76" s="12" t="n">
        <x:v>70</x:v>
      </x:c>
      <x:c r="V76" s="12" t="n">
        <x:v>70</x:v>
      </x:c>
      <x:c r="W76" s="12" t="n">
        <x:v>60</x:v>
      </x:c>
      <x:c r="X76" s="12" t="n">
        <x:v>70</x:v>
      </x:c>
      <x:c r="Y76" s="12" t="n">
        <x:v>70</x:v>
      </x:c>
      <x:c r="Z76" s="12" t="n">
        <x:f>ROUND(0.38*K76+0.30*L76+0.17*P76+0.15*Y76,0)</x:f>
        <x:v>82</x:v>
      </x:c>
      <x:c r="AA76" s="12" t="n">
        <x:f>ROUND(0.38*L76+0.25*P76+0.20*T76+0.17*(100-M76),0)</x:f>
        <x:v>85</x:v>
      </x:c>
      <x:c r="AB76" s="12" t="n">
        <x:f>ROUND(0.32*M76+0.26*S76+0.24*R76+0.18*K76,0)</x:f>
        <x:v>35</x:v>
      </x:c>
      <x:c r="AC76" s="12" t="n">
        <x:f>ROUND(0.27*Q76+0.24*T76+0.22*N76+0.15*P76+0.12*V76,0)</x:f>
        <x:v>76</x:v>
      </x:c>
      <x:c r="AD76" s="12" t="n">
        <x:f>ROUND(0.28*O76+0.28*R76+0.28*Y76+0.16*(100-L76),0)</x:f>
        <x:v>37</x:v>
      </x:c>
      <x:c r="AE76" s="12" t="n">
        <x:f>ROUND(0.35*Y76+0.22*T76+0.18*R76+0.13*S76+0.12*X76,0)</x:f>
        <x:v>59</x:v>
      </x:c>
      <x:c r="AF76" s="12" t="n">
        <x:f>ROUND(0.72*X76+0.28*Y76,0)</x:f>
        <x:v>70</x:v>
      </x:c>
      <x:c r="AG76" s="12" t="str">
        <x:v>https://wikiwiki.jp/poke-unite/%E3%83%9E%E3%83%AA%E3%83%AB%E3%83%AA</x:v>
      </x:c>
    </x:row>
    <x:row r="77">
      <x:c r="A77" s="12" t="str">
        <x:v>ミミッキュ</x:v>
      </x:c>
      <x:c r="B77" s="12" t="str">
        <x:v>バランス型</x:v>
      </x:c>
      <x:c r="C77" s="12" t="str">
        <x:v>ミミッキュ-1</x:v>
      </x:c>
      <x:c r="D77" s="12" t="str">
        <x:v>じゃれつく＋かげうち</x:v>
      </x:c>
      <x:c r="E77" s="12" t="str">
        <x:v>Assassin</x:v>
      </x:c>
      <x:c r="F77" s="12" t="str">
        <x:v>Assassin</x:v>
      </x:c>
      <x:c r="G77" s="12" t="str"/>
      <x:c r="H77" s="12" t="str">
        <x:v>無敵を使う単体暗殺</x:v>
      </x:c>
      <x:c r="I77" s="12" t="str">
        <x:v>高</x:v>
      </x:c>
      <x:c r="J77" s="12" t="str">
        <x:v>2026-09-25</x:v>
      </x:c>
      <x:c r="K77" s="12" t="n">
        <x:v>50</x:v>
      </x:c>
      <x:c r="L77" s="12" t="n">
        <x:v>100</x:v>
      </x:c>
      <x:c r="M77" s="12" t="n">
        <x:v>10</x:v>
      </x:c>
      <x:c r="N77" s="12" t="n">
        <x:v>25</x:v>
      </x:c>
      <x:c r="O77" s="12" t="n">
        <x:v>20</x:v>
      </x:c>
      <x:c r="P77" s="12" t="n">
        <x:v>100</x:v>
      </x:c>
      <x:c r="Q77" s="12" t="n">
        <x:v>45</x:v>
      </x:c>
      <x:c r="R77" s="12" t="n">
        <x:v>30</x:v>
      </x:c>
      <x:c r="S77" s="12" t="n">
        <x:v>10</x:v>
      </x:c>
      <x:c r="T77" s="12" t="n">
        <x:v>100</x:v>
      </x:c>
      <x:c r="U77" s="12" t="n">
        <x:v>70</x:v>
      </x:c>
      <x:c r="V77" s="12" t="n">
        <x:v>65</x:v>
      </x:c>
      <x:c r="W77" s="12" t="n">
        <x:v>80</x:v>
      </x:c>
      <x:c r="X77" s="12" t="n">
        <x:v>80</x:v>
      </x:c>
      <x:c r="Y77" s="12" t="n">
        <x:v>75</x:v>
      </x:c>
      <x:c r="Z77" s="12" t="n">
        <x:f>ROUND(0.38*K77+0.30*L77+0.17*P77+0.15*Y77,0)</x:f>
        <x:v>77</x:v>
      </x:c>
      <x:c r="AA77" s="12" t="n">
        <x:f>ROUND(0.38*L77+0.25*P77+0.20*T77+0.17*(100-M77),0)</x:f>
        <x:v>98</x:v>
      </x:c>
      <x:c r="AB77" s="12" t="n">
        <x:f>ROUND(0.32*M77+0.26*S77+0.24*R77+0.18*K77,0)</x:f>
        <x:v>22</x:v>
      </x:c>
      <x:c r="AC77" s="12" t="n">
        <x:f>ROUND(0.27*Q77+0.24*T77+0.22*N77+0.15*P77+0.12*V77,0)</x:f>
        <x:v>64</x:v>
      </x:c>
      <x:c r="AD77" s="12" t="n">
        <x:f>ROUND(0.28*O77+0.28*R77+0.28*Y77+0.16*(100-L77),0)</x:f>
        <x:v>35</x:v>
      </x:c>
      <x:c r="AE77" s="12" t="n">
        <x:f>ROUND(0.35*Y77+0.22*T77+0.18*R77+0.13*S77+0.12*X77,0)</x:f>
        <x:v>65</x:v>
      </x:c>
      <x:c r="AF77" s="12" t="n">
        <x:f>ROUND(0.72*X77+0.28*Y77,0)</x:f>
        <x:v>79</x:v>
      </x:c>
      <x:c r="AG77" s="12" t="str">
        <x:v>https://wikiwiki.jp/poke-unite/%E3%83%9F%E3%83%9F%E3%83%83%E3%82%AD%E3%83%A5</x:v>
      </x:c>
    </x:row>
    <x:row r="78">
      <x:c r="A78" s="12" t="str">
        <x:v>ミミッキュ</x:v>
      </x:c>
      <x:c r="B78" s="12" t="str">
        <x:v>バランス型</x:v>
      </x:c>
      <x:c r="C78" s="12" t="str">
        <x:v>ミミッキュ-2</x:v>
      </x:c>
      <x:c r="D78" s="12" t="str">
        <x:v>シャドークロー＋トリックルーム</x:v>
      </x:c>
      <x:c r="E78" s="12" t="str">
        <x:v>Skirmisher</x:v>
      </x:c>
      <x:c r="F78" s="12" t="str">
        <x:v>Skirmisher</x:v>
      </x:c>
      <x:c r="G78" s="12" t="str"/>
      <x:c r="H78" s="12" t="str">
        <x:v>高回転の継続戦</x:v>
      </x:c>
      <x:c r="I78" s="12" t="str">
        <x:v>高</x:v>
      </x:c>
      <x:c r="J78" s="12" t="str">
        <x:v>2026-09-25</x:v>
      </x:c>
      <x:c r="K78" s="12" t="n">
        <x:v>55</x:v>
      </x:c>
      <x:c r="L78" s="12" t="n">
        <x:v>75</x:v>
      </x:c>
      <x:c r="M78" s="12" t="n">
        <x:v>25</x:v>
      </x:c>
      <x:c r="N78" s="12" t="n">
        <x:v>75</x:v>
      </x:c>
      <x:c r="O78" s="12" t="n">
        <x:v>20</x:v>
      </x:c>
      <x:c r="P78" s="12" t="n">
        <x:v>55</x:v>
      </x:c>
      <x:c r="Q78" s="12" t="n">
        <x:v>100</x:v>
      </x:c>
      <x:c r="R78" s="12" t="n">
        <x:v>35</x:v>
      </x:c>
      <x:c r="S78" s="12" t="n">
        <x:v>10</x:v>
      </x:c>
      <x:c r="T78" s="12" t="n">
        <x:v>80</x:v>
      </x:c>
      <x:c r="U78" s="12" t="n">
        <x:v>75</x:v>
      </x:c>
      <x:c r="V78" s="12" t="n">
        <x:v>75</x:v>
      </x:c>
      <x:c r="W78" s="12" t="n">
        <x:v>60</x:v>
      </x:c>
      <x:c r="X78" s="12" t="n">
        <x:v>70</x:v>
      </x:c>
      <x:c r="Y78" s="12" t="n">
        <x:v>65</x:v>
      </x:c>
      <x:c r="Z78" s="12" t="n">
        <x:f>ROUND(0.38*K78+0.30*L78+0.17*P78+0.15*Y78,0)</x:f>
        <x:v>63</x:v>
      </x:c>
      <x:c r="AA78" s="12" t="n">
        <x:f>ROUND(0.38*L78+0.25*P78+0.20*T78+0.17*(100-M78),0)</x:f>
        <x:v>71</x:v>
      </x:c>
      <x:c r="AB78" s="12" t="n">
        <x:f>ROUND(0.32*M78+0.26*S78+0.24*R78+0.18*K78,0)</x:f>
        <x:v>29</x:v>
      </x:c>
      <x:c r="AC78" s="12" t="n">
        <x:f>ROUND(0.27*Q78+0.24*T78+0.22*N78+0.15*P78+0.12*V78,0)</x:f>
        <x:v>80</x:v>
      </x:c>
      <x:c r="AD78" s="12" t="n">
        <x:f>ROUND(0.28*O78+0.28*R78+0.28*Y78+0.16*(100-L78),0)</x:f>
        <x:v>38</x:v>
      </x:c>
      <x:c r="AE78" s="12" t="n">
        <x:f>ROUND(0.35*Y78+0.22*T78+0.18*R78+0.13*S78+0.12*X78,0)</x:f>
        <x:v>56</x:v>
      </x:c>
      <x:c r="AF78" s="12" t="n">
        <x:f>ROUND(0.72*X78+0.28*Y78,0)</x:f>
        <x:v>69</x:v>
      </x:c>
      <x:c r="AG78" s="12" t="str">
        <x:v>https://wikiwiki.jp/poke-unite/%E3%83%9F%E3%83%9F%E3%83%83%E3%82%AD%E3%83%A5</x:v>
      </x:c>
    </x:row>
    <x:row r="79">
      <x:c r="A79" s="12" t="str">
        <x:v>ミュウツー(X)</x:v>
      </x:c>
      <x:c r="B79" s="12" t="str">
        <x:v>バランス型</x:v>
      </x:c>
      <x:c r="C79" s="12" t="str">
        <x:v>ミュウツー(X)-1</x:v>
      </x:c>
      <x:c r="D79" s="12" t="str">
        <x:v>共通プロファイル</x:v>
      </x:c>
      <x:c r="E79" s="12" t="str">
        <x:v>Juggernaut/Catcher</x:v>
      </x:c>
      <x:c r="F79" s="12" t="str">
        <x:v>Juggernaut</x:v>
      </x:c>
      <x:c r="G79" s="12" t="str">
        <x:v>Catcher</x:v>
      </x:c>
      <x:c r="H79" s="12" t="str">
        <x:v>技選択で主役割が大きく変わらないため統合</x:v>
      </x:c>
      <x:c r="I79" s="12" t="str">
        <x:v>高</x:v>
      </x:c>
      <x:c r="J79" s="12" t="str">
        <x:v>2026-09-25</x:v>
      </x:c>
      <x:c r="K79" s="12" t="n">
        <x:v>60</x:v>
      </x:c>
      <x:c r="L79" s="12" t="n">
        <x:v>50</x:v>
      </x:c>
      <x:c r="M79" s="12" t="n">
        <x:v>45</x:v>
      </x:c>
      <x:c r="N79" s="12" t="n">
        <x:v>100</x:v>
      </x:c>
      <x:c r="O79" s="12" t="n">
        <x:v>25</x:v>
      </x:c>
      <x:c r="P79" s="12" t="n">
        <x:v>55</x:v>
      </x:c>
      <x:c r="Q79" s="12" t="n">
        <x:v>75</x:v>
      </x:c>
      <x:c r="R79" s="12" t="n">
        <x:v>70</x:v>
      </x:c>
      <x:c r="S79" s="12" t="n">
        <x:v>20</x:v>
      </x:c>
      <x:c r="T79" s="12" t="n">
        <x:v>40</x:v>
      </x:c>
      <x:c r="U79" s="12" t="n">
        <x:v>65</x:v>
      </x:c>
      <x:c r="V79" s="12" t="n">
        <x:v>70</x:v>
      </x:c>
      <x:c r="W79" s="12" t="n">
        <x:v>40</x:v>
      </x:c>
      <x:c r="X79" s="12" t="n">
        <x:v>45</x:v>
      </x:c>
      <x:c r="Y79" s="12" t="n">
        <x:v>70</x:v>
      </x:c>
      <x:c r="Z79" s="12" t="n">
        <x:f>ROUND(0.38*K79+0.30*L79+0.17*P79+0.15*Y79,0)</x:f>
        <x:v>58</x:v>
      </x:c>
      <x:c r="AA79" s="12" t="n">
        <x:f>ROUND(0.38*L79+0.25*P79+0.20*T79+0.17*(100-M79),0)</x:f>
        <x:v>50</x:v>
      </x:c>
      <x:c r="AB79" s="12" t="n">
        <x:f>ROUND(0.32*M79+0.26*S79+0.24*R79+0.18*K79,0)</x:f>
        <x:v>47</x:v>
      </x:c>
      <x:c r="AC79" s="12" t="n">
        <x:f>ROUND(0.27*Q79+0.24*T79+0.22*N79+0.15*P79+0.12*V79,0)</x:f>
        <x:v>69</x:v>
      </x:c>
      <x:c r="AD79" s="12" t="n">
        <x:f>ROUND(0.28*O79+0.28*R79+0.28*Y79+0.16*(100-L79),0)</x:f>
        <x:v>54</x:v>
      </x:c>
      <x:c r="AE79" s="12" t="n">
        <x:f>ROUND(0.35*Y79+0.22*T79+0.18*R79+0.13*S79+0.12*X79,0)</x:f>
        <x:v>54</x:v>
      </x:c>
      <x:c r="AF79" s="12" t="n">
        <x:f>ROUND(0.72*X79+0.28*Y79,0)</x:f>
        <x:v>52</x:v>
      </x:c>
      <x:c r="AG79" s="12" t="str">
        <x:v>https://wikiwiki.jp/poke-unite/%E3%83%9F%E3%83%A5%E3%82%A6%E3%83%84%E3%83%BC(X)</x:v>
      </x:c>
    </x:row>
    <x:row r="80">
      <x:c r="A80" s="12" t="str">
        <x:v>メタグロス</x:v>
      </x:c>
      <x:c r="B80" s="12" t="str">
        <x:v>バランス型</x:v>
      </x:c>
      <x:c r="C80" s="12" t="str">
        <x:v>メタグロス-1</x:v>
      </x:c>
      <x:c r="D80" s="12" t="str">
        <x:v>共通プロファイル</x:v>
      </x:c>
      <x:c r="E80" s="12" t="str">
        <x:v>Diver/Juggernaut</x:v>
      </x:c>
      <x:c r="F80" s="12" t="str">
        <x:v>Diver</x:v>
      </x:c>
      <x:c r="G80" s="12" t="str">
        <x:v>Juggernaut</x:v>
      </x:c>
      <x:c r="H80" s="12" t="str">
        <x:v>技選択で主役割が大きく変わらないため統合</x:v>
      </x:c>
      <x:c r="I80" s="12" t="str">
        <x:v>高</x:v>
      </x:c>
      <x:c r="J80" s="12" t="str">
        <x:v>2026-09-25</x:v>
      </x:c>
      <x:c r="K80" s="12" t="n">
        <x:v>70</x:v>
      </x:c>
      <x:c r="L80" s="12" t="n">
        <x:v>90</x:v>
      </x:c>
      <x:c r="M80" s="12" t="n">
        <x:v>30</x:v>
      </x:c>
      <x:c r="N80" s="12" t="n">
        <x:v>85</x:v>
      </x:c>
      <x:c r="O80" s="12" t="n">
        <x:v>15</x:v>
      </x:c>
      <x:c r="P80" s="12" t="n">
        <x:v>70</x:v>
      </x:c>
      <x:c r="Q80" s="12" t="n">
        <x:v>80</x:v>
      </x:c>
      <x:c r="R80" s="12" t="n">
        <x:v>45</x:v>
      </x:c>
      <x:c r="S80" s="12" t="n">
        <x:v>10</x:v>
      </x:c>
      <x:c r="T80" s="12" t="n">
        <x:v>65</x:v>
      </x:c>
      <x:c r="U80" s="12" t="n">
        <x:v>70</x:v>
      </x:c>
      <x:c r="V80" s="12" t="n">
        <x:v>70</x:v>
      </x:c>
      <x:c r="W80" s="12" t="n">
        <x:v>55</x:v>
      </x:c>
      <x:c r="X80" s="12" t="n">
        <x:v>65</x:v>
      </x:c>
      <x:c r="Y80" s="12" t="n">
        <x:v>65</x:v>
      </x:c>
      <x:c r="Z80" s="12" t="n">
        <x:f>ROUND(0.38*K80+0.30*L80+0.17*P80+0.15*Y80,0)</x:f>
        <x:v>75</x:v>
      </x:c>
      <x:c r="AA80" s="12" t="n">
        <x:f>ROUND(0.38*L80+0.25*P80+0.20*T80+0.17*(100-M80),0)</x:f>
        <x:v>77</x:v>
      </x:c>
      <x:c r="AB80" s="12" t="n">
        <x:f>ROUND(0.32*M80+0.26*S80+0.24*R80+0.18*K80,0)</x:f>
        <x:v>36</x:v>
      </x:c>
      <x:c r="AC80" s="12" t="n">
        <x:f>ROUND(0.27*Q80+0.24*T80+0.22*N80+0.15*P80+0.12*V80,0)</x:f>
        <x:v>75</x:v>
      </x:c>
      <x:c r="AD80" s="12" t="n">
        <x:f>ROUND(0.28*O80+0.28*R80+0.28*Y80+0.16*(100-L80),0)</x:f>
        <x:v>37</x:v>
      </x:c>
      <x:c r="AE80" s="12" t="n">
        <x:f>ROUND(0.35*Y80+0.22*T80+0.18*R80+0.13*S80+0.12*X80,0)</x:f>
        <x:v>54</x:v>
      </x:c>
      <x:c r="AF80" s="12" t="n">
        <x:f>ROUND(0.72*X80+0.28*Y80,0)</x:f>
        <x:v>65</x:v>
      </x:c>
      <x:c r="AG80" s="12" t="str">
        <x:v>https://wikiwiki.jp/poke-unite/%E3%83%A1%E3%82%BF%E3%82%B0%E3%83%AD%E3%82%B9</x:v>
      </x:c>
    </x:row>
    <x:row r="81">
      <x:c r="A81" s="12" t="str">
        <x:v>リザードン</x:v>
      </x:c>
      <x:c r="B81" s="12" t="str">
        <x:v>バランス型</x:v>
      </x:c>
      <x:c r="C81" s="12" t="str">
        <x:v>リザードン-1</x:v>
      </x:c>
      <x:c r="D81" s="12" t="str">
        <x:v>かえんほうしゃ＋だいもんじ</x:v>
      </x:c>
      <x:c r="E81" s="12" t="str">
        <x:v>Kiting Fighter</x:v>
      </x:c>
      <x:c r="F81" s="12" t="str">
        <x:v>BattleMage</x:v>
      </x:c>
      <x:c r="G81" s="12" t="str">
        <x:v>Marksman</x:v>
      </x:c>
      <x:c r="H81" s="12" t="str">
        <x:v>中遠距離カイト</x:v>
      </x:c>
      <x:c r="I81" s="12" t="str">
        <x:v>高</x:v>
      </x:c>
      <x:c r="J81" s="12" t="str">
        <x:v>2026-09-25</x:v>
      </x:c>
      <x:c r="K81" s="12" t="n">
        <x:v>35</x:v>
      </x:c>
      <x:c r="L81" s="12" t="n">
        <x:v>15</x:v>
      </x:c>
      <x:c r="M81" s="12" t="n">
        <x:v>30</x:v>
      </x:c>
      <x:c r="N81" s="12" t="n">
        <x:v>30</x:v>
      </x:c>
      <x:c r="O81" s="12" t="n">
        <x:v>70</x:v>
      </x:c>
      <x:c r="P81" s="12" t="n">
        <x:v>60</x:v>
      </x:c>
      <x:c r="Q81" s="12" t="n">
        <x:v>90</x:v>
      </x:c>
      <x:c r="R81" s="12" t="n">
        <x:v>40</x:v>
      </x:c>
      <x:c r="S81" s="12" t="n">
        <x:v>10</x:v>
      </x:c>
      <x:c r="T81" s="12" t="n">
        <x:v>60</x:v>
      </x:c>
      <x:c r="U81" s="12" t="n">
        <x:v>75</x:v>
      </x:c>
      <x:c r="V81" s="12" t="n">
        <x:v>80</x:v>
      </x:c>
      <x:c r="W81" s="12" t="n">
        <x:v>45</x:v>
      </x:c>
      <x:c r="X81" s="12" t="n">
        <x:v>65</x:v>
      </x:c>
      <x:c r="Y81" s="12" t="n">
        <x:v>70</x:v>
      </x:c>
      <x:c r="Z81" s="12" t="n">
        <x:f>ROUND(0.38*K81+0.30*L81+0.17*P81+0.15*Y81,0)</x:f>
        <x:v>39</x:v>
      </x:c>
      <x:c r="AA81" s="12" t="n">
        <x:f>ROUND(0.38*L81+0.25*P81+0.20*T81+0.17*(100-M81),0)</x:f>
        <x:v>45</x:v>
      </x:c>
      <x:c r="AB81" s="12" t="n">
        <x:f>ROUND(0.32*M81+0.26*S81+0.24*R81+0.18*K81,0)</x:f>
        <x:v>28</x:v>
      </x:c>
      <x:c r="AC81" s="12" t="n">
        <x:f>ROUND(0.27*Q81+0.24*T81+0.22*N81+0.15*P81+0.12*V81,0)</x:f>
        <x:v>64</x:v>
      </x:c>
      <x:c r="AD81" s="12" t="n">
        <x:f>ROUND(0.28*O81+0.28*R81+0.28*Y81+0.16*(100-L81),0)</x:f>
        <x:v>64</x:v>
      </x:c>
      <x:c r="AE81" s="12" t="n">
        <x:f>ROUND(0.35*Y81+0.22*T81+0.18*R81+0.13*S81+0.12*X81,0)</x:f>
        <x:v>54</x:v>
      </x:c>
      <x:c r="AF81" s="12" t="n">
        <x:f>ROUND(0.72*X81+0.28*Y81,0)</x:f>
        <x:v>66</x:v>
      </x:c>
      <x:c r="AG81" s="12" t="str">
        <x:v>https://wikiwiki.jp/poke-unite/%E3%83%AA%E3%82%B6%E3%83%BC%E3%83%89%E3%83%B3</x:v>
      </x:c>
    </x:row>
    <x:row r="82">
      <x:c r="A82" s="12" t="str">
        <x:v>リザードン</x:v>
      </x:c>
      <x:c r="B82" s="12" t="str">
        <x:v>バランス型</x:v>
      </x:c>
      <x:c r="C82" s="12" t="str">
        <x:v>リザードン-2</x:v>
      </x:c>
      <x:c r="D82" s="12" t="str">
        <x:v>ほのおのパンチ＋フレアドライブ</x:v>
      </x:c>
      <x:c r="E82" s="12" t="str">
        <x:v>Dive Fighter</x:v>
      </x:c>
      <x:c r="F82" s="12" t="str">
        <x:v>Diver</x:v>
      </x:c>
      <x:c r="G82" s="12" t="str">
        <x:v>Skirmisher</x:v>
      </x:c>
      <x:c r="H82" s="12" t="str">
        <x:v>近接ダイブ・張り付き</x:v>
      </x:c>
      <x:c r="I82" s="12" t="str">
        <x:v>高</x:v>
      </x:c>
      <x:c r="J82" s="12" t="str">
        <x:v>2026-09-25</x:v>
      </x:c>
      <x:c r="K82" s="12" t="n">
        <x:v>80</x:v>
      </x:c>
      <x:c r="L82" s="12" t="n">
        <x:v>100</x:v>
      </x:c>
      <x:c r="M82" s="12" t="n">
        <x:v>25</x:v>
      </x:c>
      <x:c r="N82" s="12" t="n">
        <x:v>75</x:v>
      </x:c>
      <x:c r="O82" s="12" t="n">
        <x:v>0</x:v>
      </x:c>
      <x:c r="P82" s="12" t="n">
        <x:v>70</x:v>
      </x:c>
      <x:c r="Q82" s="12" t="n">
        <x:v>80</x:v>
      </x:c>
      <x:c r="R82" s="12" t="n">
        <x:v>50</x:v>
      </x:c>
      <x:c r="S82" s="12" t="n">
        <x:v>10</x:v>
      </x:c>
      <x:c r="T82" s="12" t="n">
        <x:v>80</x:v>
      </x:c>
      <x:c r="U82" s="12" t="n">
        <x:v>70</x:v>
      </x:c>
      <x:c r="V82" s="12" t="n">
        <x:v>70</x:v>
      </x:c>
      <x:c r="W82" s="12" t="n">
        <x:v>60</x:v>
      </x:c>
      <x:c r="X82" s="12" t="n">
        <x:v>70</x:v>
      </x:c>
      <x:c r="Y82" s="12" t="n">
        <x:v>70</x:v>
      </x:c>
      <x:c r="Z82" s="12" t="n">
        <x:f>ROUND(0.38*K82+0.30*L82+0.17*P82+0.15*Y82,0)</x:f>
        <x:v>83</x:v>
      </x:c>
      <x:c r="AA82" s="12" t="n">
        <x:f>ROUND(0.38*L82+0.25*P82+0.20*T82+0.17*(100-M82),0)</x:f>
        <x:v>84</x:v>
      </x:c>
      <x:c r="AB82" s="12" t="n">
        <x:f>ROUND(0.32*M82+0.26*S82+0.24*R82+0.18*K82,0)</x:f>
        <x:v>37</x:v>
      </x:c>
      <x:c r="AC82" s="12" t="n">
        <x:f>ROUND(0.27*Q82+0.24*T82+0.22*N82+0.15*P82+0.12*V82,0)</x:f>
        <x:v>76</x:v>
      </x:c>
      <x:c r="AD82" s="12" t="n">
        <x:f>ROUND(0.28*O82+0.28*R82+0.28*Y82+0.16*(100-L82),0)</x:f>
        <x:v>34</x:v>
      </x:c>
      <x:c r="AE82" s="12" t="n">
        <x:f>ROUND(0.35*Y82+0.22*T82+0.18*R82+0.13*S82+0.12*X82,0)</x:f>
        <x:v>61</x:v>
      </x:c>
      <x:c r="AF82" s="12" t="n">
        <x:f>ROUND(0.72*X82+0.28*Y82,0)</x:f>
        <x:v>70</x:v>
      </x:c>
      <x:c r="AG82" s="12" t="str">
        <x:v>https://wikiwiki.jp/poke-unite/%E3%83%AA%E3%82%B6%E3%83%BC%E3%83%89%E3%83%B3</x:v>
      </x:c>
    </x:row>
    <x:row r="83">
      <x:c r="A83" s="12" t="str">
        <x:v>メガリザードンX</x:v>
      </x:c>
      <x:c r="B83" s="12" t="str">
        <x:v>バランス型</x:v>
      </x:c>
      <x:c r="C83" s="12" t="str">
        <x:v>メガリザードンX-1</x:v>
      </x:c>
      <x:c r="D83" s="12" t="str">
        <x:v>共通プロファイル</x:v>
      </x:c>
      <x:c r="E83" s="12" t="str">
        <x:v>Diver</x:v>
      </x:c>
      <x:c r="F83" s="12" t="str">
        <x:v>Diver</x:v>
      </x:c>
      <x:c r="G83" s="12" t="str"/>
      <x:c r="H83" s="12" t="str">
        <x:v>技選択で主役割が大きく変わらないため統合</x:v>
      </x:c>
      <x:c r="I83" s="12" t="str">
        <x:v>中</x:v>
      </x:c>
      <x:c r="J83" s="12" t="str">
        <x:v>2026-09-25</x:v>
      </x:c>
      <x:c r="K83" s="12" t="n">
        <x:v>75</x:v>
      </x:c>
      <x:c r="L83" s="12" t="n">
        <x:v>100</x:v>
      </x:c>
      <x:c r="M83" s="12" t="n">
        <x:v>25</x:v>
      </x:c>
      <x:c r="N83" s="12" t="n">
        <x:v>75</x:v>
      </x:c>
      <x:c r="O83" s="12" t="n">
        <x:v>15</x:v>
      </x:c>
      <x:c r="P83" s="12" t="n">
        <x:v>85</x:v>
      </x:c>
      <x:c r="Q83" s="12" t="n">
        <x:v>75</x:v>
      </x:c>
      <x:c r="R83" s="12" t="n">
        <x:v>45</x:v>
      </x:c>
      <x:c r="S83" s="12" t="n">
        <x:v>10</x:v>
      </x:c>
      <x:c r="T83" s="12" t="n">
        <x:v>80</x:v>
      </x:c>
      <x:c r="U83" s="12" t="n">
        <x:v>70</x:v>
      </x:c>
      <x:c r="V83" s="12" t="n">
        <x:v>70</x:v>
      </x:c>
      <x:c r="W83" s="12" t="n">
        <x:v>60</x:v>
      </x:c>
      <x:c r="X83" s="12" t="n">
        <x:v>70</x:v>
      </x:c>
      <x:c r="Y83" s="12" t="n">
        <x:v>70</x:v>
      </x:c>
      <x:c r="Z83" s="12" t="n">
        <x:f>ROUND(0.38*K83+0.30*L83+0.17*P83+0.15*Y83,0)</x:f>
        <x:v>83</x:v>
      </x:c>
      <x:c r="AA83" s="12" t="n">
        <x:f>ROUND(0.38*L83+0.25*P83+0.20*T83+0.17*(100-M83),0)</x:f>
        <x:v>88</x:v>
      </x:c>
      <x:c r="AB83" s="12" t="n">
        <x:f>ROUND(0.32*M83+0.26*S83+0.24*R83+0.18*K83,0)</x:f>
        <x:v>35</x:v>
      </x:c>
      <x:c r="AC83" s="12" t="n">
        <x:f>ROUND(0.27*Q83+0.24*T83+0.22*N83+0.15*P83+0.12*V83,0)</x:f>
        <x:v>77</x:v>
      </x:c>
      <x:c r="AD83" s="12" t="n">
        <x:f>ROUND(0.28*O83+0.28*R83+0.28*Y83+0.16*(100-L83),0)</x:f>
        <x:v>36</x:v>
      </x:c>
      <x:c r="AE83" s="12" t="n">
        <x:f>ROUND(0.35*Y83+0.22*T83+0.18*R83+0.13*S83+0.12*X83,0)</x:f>
        <x:v>60</x:v>
      </x:c>
      <x:c r="AF83" s="12" t="n">
        <x:f>ROUND(0.72*X83+0.28*Y83,0)</x:f>
        <x:v>70</x:v>
      </x:c>
      <x:c r="AG83" s="12" t="str">
        <x:v>https://wikiwiki.jp/poke-unite/%E3%83%A1%E3%82%AC%E3%83%AA%E3%82%B6%E3%83%BC%E3%83%89%E3%83%B3X</x:v>
      </x:c>
    </x:row>
    <x:row r="84">
      <x:c r="A84" s="12" t="str">
        <x:v>メガリザードンY</x:v>
      </x:c>
      <x:c r="B84" s="12" t="str">
        <x:v>バランス型</x:v>
      </x:c>
      <x:c r="C84" s="12" t="str">
        <x:v>メガリザードンY-1</x:v>
      </x:c>
      <x:c r="D84" s="12" t="str">
        <x:v>共通プロファイル</x:v>
      </x:c>
      <x:c r="E84" s="12" t="str">
        <x:v>Diver/BattleMage</x:v>
      </x:c>
      <x:c r="F84" s="12" t="str">
        <x:v>Diver</x:v>
      </x:c>
      <x:c r="G84" s="12" t="str">
        <x:v>BattleMage</x:v>
      </x:c>
      <x:c r="H84" s="12" t="str">
        <x:v>技選択で主役割が大きく変わらないため統合</x:v>
      </x:c>
      <x:c r="I84" s="12" t="str">
        <x:v>中</x:v>
      </x:c>
      <x:c r="J84" s="12" t="str">
        <x:v>2026-09-25</x:v>
      </x:c>
      <x:c r="K84" s="12" t="n">
        <x:v>65</x:v>
      </x:c>
      <x:c r="L84" s="12" t="n">
        <x:v>80</x:v>
      </x:c>
      <x:c r="M84" s="12" t="n">
        <x:v>25</x:v>
      </x:c>
      <x:c r="N84" s="12" t="n">
        <x:v>55</x:v>
      </x:c>
      <x:c r="O84" s="12" t="n">
        <x:v>35</x:v>
      </x:c>
      <x:c r="P84" s="12" t="n">
        <x:v>70</x:v>
      </x:c>
      <x:c r="Q84" s="12" t="n">
        <x:v>85</x:v>
      </x:c>
      <x:c r="R84" s="12" t="n">
        <x:v>45</x:v>
      </x:c>
      <x:c r="S84" s="12" t="n">
        <x:v>10</x:v>
      </x:c>
      <x:c r="T84" s="12" t="n">
        <x:v>85</x:v>
      </x:c>
      <x:c r="U84" s="12" t="n">
        <x:v>70</x:v>
      </x:c>
      <x:c r="V84" s="12" t="n">
        <x:v>70</x:v>
      </x:c>
      <x:c r="W84" s="12" t="n">
        <x:v>55</x:v>
      </x:c>
      <x:c r="X84" s="12" t="n">
        <x:v>70</x:v>
      </x:c>
      <x:c r="Y84" s="12" t="n">
        <x:v>70</x:v>
      </x:c>
      <x:c r="Z84" s="12" t="n">
        <x:f>ROUND(0.38*K84+0.30*L84+0.17*P84+0.15*Y84,0)</x:f>
        <x:v>71</x:v>
      </x:c>
      <x:c r="AA84" s="12" t="n">
        <x:f>ROUND(0.38*L84+0.25*P84+0.20*T84+0.17*(100-M84),0)</x:f>
        <x:v>78</x:v>
      </x:c>
      <x:c r="AB84" s="12" t="n">
        <x:f>ROUND(0.32*M84+0.26*S84+0.24*R84+0.18*K84,0)</x:f>
        <x:v>33</x:v>
      </x:c>
      <x:c r="AC84" s="12" t="n">
        <x:f>ROUND(0.27*Q84+0.24*T84+0.22*N84+0.15*P84+0.12*V84,0)</x:f>
        <x:v>74</x:v>
      </x:c>
      <x:c r="AD84" s="12" t="n">
        <x:f>ROUND(0.28*O84+0.28*R84+0.28*Y84+0.16*(100-L84),0)</x:f>
        <x:v>45</x:v>
      </x:c>
      <x:c r="AE84" s="12" t="n">
        <x:f>ROUND(0.35*Y84+0.22*T84+0.18*R84+0.13*S84+0.12*X84,0)</x:f>
        <x:v>61</x:v>
      </x:c>
      <x:c r="AF84" s="12" t="n">
        <x:f>ROUND(0.72*X84+0.28*Y84,0)</x:f>
        <x:v>70</x:v>
      </x:c>
      <x:c r="AG84" s="12" t="str">
        <x:v>https://wikiwiki.jp/poke-unite/%E3%83%A1%E3%82%AC%E3%83%AA%E3%82%B6%E3%83%BC%E3%83%89%E3%83%B3Y</x:v>
      </x:c>
    </x:row>
    <x:row r="85">
      <x:c r="A85" s="12" t="str">
        <x:v>ルカリオ</x:v>
      </x:c>
      <x:c r="B85" s="12" t="str">
        <x:v>バランス型</x:v>
      </x:c>
      <x:c r="C85" s="12" t="str">
        <x:v>ルカリオ-1</x:v>
      </x:c>
      <x:c r="D85" s="12" t="str">
        <x:v>しんそく＋ボーンラッシュ</x:v>
      </x:c>
      <x:c r="E85" s="12" t="str">
        <x:v>Mobility Assassin</x:v>
      </x:c>
      <x:c r="F85" s="12" t="str">
        <x:v>Assassin</x:v>
      </x:c>
      <x:c r="G85" s="12" t="str">
        <x:v>Skirmisher</x:v>
      </x:c>
      <x:c r="H85" s="12" t="str">
        <x:v>多人数マーカー管理・連続ブリンク</x:v>
      </x:c>
      <x:c r="I85" s="12" t="str">
        <x:v>高</x:v>
      </x:c>
      <x:c r="J85" s="12" t="str">
        <x:v>2026-09-25</x:v>
      </x:c>
      <x:c r="K85" s="12" t="n">
        <x:v>50</x:v>
      </x:c>
      <x:c r="L85" s="12" t="n">
        <x:v>100</x:v>
      </x:c>
      <x:c r="M85" s="12" t="n">
        <x:v>15</x:v>
      </x:c>
      <x:c r="N85" s="12" t="n">
        <x:v>35</x:v>
      </x:c>
      <x:c r="O85" s="12" t="n">
        <x:v>20</x:v>
      </x:c>
      <x:c r="P85" s="12" t="n">
        <x:v>85</x:v>
      </x:c>
      <x:c r="Q85" s="12" t="n">
        <x:v>65</x:v>
      </x:c>
      <x:c r="R85" s="12" t="n">
        <x:v>30</x:v>
      </x:c>
      <x:c r="S85" s="12" t="n">
        <x:v>10</x:v>
      </x:c>
      <x:c r="T85" s="12" t="n">
        <x:v>100</x:v>
      </x:c>
      <x:c r="U85" s="12" t="n">
        <x:v>70</x:v>
      </x:c>
      <x:c r="V85" s="12" t="n">
        <x:v>70</x:v>
      </x:c>
      <x:c r="W85" s="12" t="n">
        <x:v>75</x:v>
      </x:c>
      <x:c r="X85" s="12" t="n">
        <x:v>95</x:v>
      </x:c>
      <x:c r="Y85" s="12" t="n">
        <x:v>70</x:v>
      </x:c>
      <x:c r="Z85" s="12" t="n">
        <x:f>ROUND(0.38*K85+0.30*L85+0.17*P85+0.15*Y85,0)</x:f>
        <x:v>74</x:v>
      </x:c>
      <x:c r="AA85" s="12" t="n">
        <x:f>ROUND(0.38*L85+0.25*P85+0.20*T85+0.17*(100-M85),0)</x:f>
        <x:v>94</x:v>
      </x:c>
      <x:c r="AB85" s="12" t="n">
        <x:f>ROUND(0.32*M85+0.26*S85+0.24*R85+0.18*K85,0)</x:f>
        <x:v>24</x:v>
      </x:c>
      <x:c r="AC85" s="12" t="n">
        <x:f>ROUND(0.27*Q85+0.24*T85+0.22*N85+0.15*P85+0.12*V85,0)</x:f>
        <x:v>70</x:v>
      </x:c>
      <x:c r="AD85" s="12" t="n">
        <x:f>ROUND(0.28*O85+0.28*R85+0.28*Y85+0.16*(100-L85),0)</x:f>
        <x:v>34</x:v>
      </x:c>
      <x:c r="AE85" s="12" t="n">
        <x:f>ROUND(0.35*Y85+0.22*T85+0.18*R85+0.13*S85+0.12*X85,0)</x:f>
        <x:v>65</x:v>
      </x:c>
      <x:c r="AF85" s="12" t="n">
        <x:f>ROUND(0.72*X85+0.28*Y85,0)</x:f>
        <x:v>88</x:v>
      </x:c>
      <x:c r="AG85" s="12" t="str">
        <x:v>https://wikiwiki.jp/poke-unite/%E3%83%AB%E3%82%AB%E3%83%AA%E3%82%AA</x:v>
      </x:c>
    </x:row>
    <x:row r="86">
      <x:c r="A86" s="12" t="str">
        <x:v>ルカリオ</x:v>
      </x:c>
      <x:c r="B86" s="12" t="str">
        <x:v>バランス型</x:v>
      </x:c>
      <x:c r="C86" s="12" t="str">
        <x:v>ルカリオ-2</x:v>
      </x:c>
      <x:c r="D86" s="12" t="str">
        <x:v>グロウパンチ＋インファイト</x:v>
      </x:c>
      <x:c r="E86" s="12" t="str">
        <x:v>Burst Fighter</x:v>
      </x:c>
      <x:c r="F86" s="12" t="str">
        <x:v>Diver</x:v>
      </x:c>
      <x:c r="G86" s="12" t="str">
        <x:v>Skirmisher</x:v>
      </x:c>
      <x:c r="H86" s="12" t="str">
        <x:v>単発火力・確保・メレー</x:v>
      </x:c>
      <x:c r="I86" s="12" t="str">
        <x:v>高</x:v>
      </x:c>
      <x:c r="J86" s="12" t="str">
        <x:v>2026-09-25</x:v>
      </x:c>
      <x:c r="K86" s="12" t="n">
        <x:v>70</x:v>
      </x:c>
      <x:c r="L86" s="12" t="n">
        <x:v>90</x:v>
      </x:c>
      <x:c r="M86" s="12" t="n">
        <x:v>25</x:v>
      </x:c>
      <x:c r="N86" s="12" t="n">
        <x:v>65</x:v>
      </x:c>
      <x:c r="O86" s="12" t="n">
        <x:v>15</x:v>
      </x:c>
      <x:c r="P86" s="12" t="n">
        <x:v>85</x:v>
      </x:c>
      <x:c r="Q86" s="12" t="n">
        <x:v>85</x:v>
      </x:c>
      <x:c r="R86" s="12" t="n">
        <x:v>40</x:v>
      </x:c>
      <x:c r="S86" s="12" t="n">
        <x:v>10</x:v>
      </x:c>
      <x:c r="T86" s="12" t="n">
        <x:v>75</x:v>
      </x:c>
      <x:c r="U86" s="12" t="n">
        <x:v>70</x:v>
      </x:c>
      <x:c r="V86" s="12" t="n">
        <x:v>80</x:v>
      </x:c>
      <x:c r="W86" s="12" t="n">
        <x:v>60</x:v>
      </x:c>
      <x:c r="X86" s="12" t="n">
        <x:v>70</x:v>
      </x:c>
      <x:c r="Y86" s="12" t="n">
        <x:v>70</x:v>
      </x:c>
      <x:c r="Z86" s="12" t="n">
        <x:f>ROUND(0.38*K86+0.30*L86+0.17*P86+0.15*Y86,0)</x:f>
        <x:v>79</x:v>
      </x:c>
      <x:c r="AA86" s="12" t="n">
        <x:f>ROUND(0.38*L86+0.25*P86+0.20*T86+0.17*(100-M86),0)</x:f>
        <x:v>83</x:v>
      </x:c>
      <x:c r="AB86" s="12" t="n">
        <x:f>ROUND(0.32*M86+0.26*S86+0.24*R86+0.18*K86,0)</x:f>
        <x:v>33</x:v>
      </x:c>
      <x:c r="AC86" s="12" t="n">
        <x:f>ROUND(0.27*Q86+0.24*T86+0.22*N86+0.15*P86+0.12*V86,0)</x:f>
        <x:v>78</x:v>
      </x:c>
      <x:c r="AD86" s="12" t="n">
        <x:f>ROUND(0.28*O86+0.28*R86+0.28*Y86+0.16*(100-L86),0)</x:f>
        <x:v>37</x:v>
      </x:c>
      <x:c r="AE86" s="12" t="n">
        <x:f>ROUND(0.35*Y86+0.22*T86+0.18*R86+0.13*S86+0.12*X86,0)</x:f>
        <x:v>58</x:v>
      </x:c>
      <x:c r="AF86" s="12" t="n">
        <x:f>ROUND(0.72*X86+0.28*Y86,0)</x:f>
        <x:v>70</x:v>
      </x:c>
      <x:c r="AG86" s="12" t="str">
        <x:v>https://wikiwiki.jp/poke-unite/%E3%83%AB%E3%82%AB%E3%83%AA%E3%82%AA</x:v>
      </x:c>
    </x:row>
    <x:row r="87">
      <x:c r="A87" s="12" t="str">
        <x:v>メガルカリオ</x:v>
      </x:c>
      <x:c r="B87" s="12" t="str">
        <x:v>バランス型</x:v>
      </x:c>
      <x:c r="C87" s="12" t="str">
        <x:v>メガルカリオ-1</x:v>
      </x:c>
      <x:c r="D87" s="12" t="str">
        <x:v>共通プロファイル</x:v>
      </x:c>
      <x:c r="E87" s="12" t="str">
        <x:v>Diver</x:v>
      </x:c>
      <x:c r="F87" s="12" t="str">
        <x:v>Diver</x:v>
      </x:c>
      <x:c r="G87" s="12" t="str"/>
      <x:c r="H87" s="12" t="str">
        <x:v>技選択で主役割が大きく変わらないため統合</x:v>
      </x:c>
      <x:c r="I87" s="12" t="str">
        <x:v>中</x:v>
      </x:c>
      <x:c r="J87" s="12" t="str">
        <x:v>2026-09-25</x:v>
      </x:c>
      <x:c r="K87" s="12" t="n">
        <x:v>75</x:v>
      </x:c>
      <x:c r="L87" s="12" t="n">
        <x:v>95</x:v>
      </x:c>
      <x:c r="M87" s="12" t="n">
        <x:v>25</x:v>
      </x:c>
      <x:c r="N87" s="12" t="n">
        <x:v>75</x:v>
      </x:c>
      <x:c r="O87" s="12" t="n">
        <x:v>15</x:v>
      </x:c>
      <x:c r="P87" s="12" t="n">
        <x:v>85</x:v>
      </x:c>
      <x:c r="Q87" s="12" t="n">
        <x:v>75</x:v>
      </x:c>
      <x:c r="R87" s="12" t="n">
        <x:v>45</x:v>
      </x:c>
      <x:c r="S87" s="12" t="n">
        <x:v>10</x:v>
      </x:c>
      <x:c r="T87" s="12" t="n">
        <x:v>80</x:v>
      </x:c>
      <x:c r="U87" s="12" t="n">
        <x:v>70</x:v>
      </x:c>
      <x:c r="V87" s="12" t="n">
        <x:v>70</x:v>
      </x:c>
      <x:c r="W87" s="12" t="n">
        <x:v>60</x:v>
      </x:c>
      <x:c r="X87" s="12" t="n">
        <x:v>80</x:v>
      </x:c>
      <x:c r="Y87" s="12" t="n">
        <x:v>70</x:v>
      </x:c>
      <x:c r="Z87" s="12" t="n">
        <x:f>ROUND(0.38*K87+0.30*L87+0.17*P87+0.15*Y87,0)</x:f>
        <x:v>82</x:v>
      </x:c>
      <x:c r="AA87" s="12" t="n">
        <x:f>ROUND(0.38*L87+0.25*P87+0.20*T87+0.17*(100-M87),0)</x:f>
        <x:v>86</x:v>
      </x:c>
      <x:c r="AB87" s="12" t="n">
        <x:f>ROUND(0.32*M87+0.26*S87+0.24*R87+0.18*K87,0)</x:f>
        <x:v>35</x:v>
      </x:c>
      <x:c r="AC87" s="12" t="n">
        <x:f>ROUND(0.27*Q87+0.24*T87+0.22*N87+0.15*P87+0.12*V87,0)</x:f>
        <x:v>77</x:v>
      </x:c>
      <x:c r="AD87" s="12" t="n">
        <x:f>ROUND(0.28*O87+0.28*R87+0.28*Y87+0.16*(100-L87),0)</x:f>
        <x:v>37</x:v>
      </x:c>
      <x:c r="AE87" s="12" t="n">
        <x:f>ROUND(0.35*Y87+0.22*T87+0.18*R87+0.13*S87+0.12*X87,0)</x:f>
        <x:v>61</x:v>
      </x:c>
      <x:c r="AF87" s="12" t="n">
        <x:f>ROUND(0.72*X87+0.28*Y87,0)</x:f>
        <x:v>77</x:v>
      </x:c>
      <x:c r="AG87" s="12" t="str">
        <x:v>https://wikiwiki.jp/poke-unite/%E3%83%A1%E3%82%AC%E3%83%AB%E3%82%AB%E3%83%AA%E3%82%AA</x:v>
      </x:c>
    </x:row>
    <x:row r="88">
      <x:c r="A88" s="12" t="str">
        <x:v>アブソル</x:v>
      </x:c>
      <x:c r="B88" s="12" t="str">
        <x:v>スピード型</x:v>
      </x:c>
      <x:c r="C88" s="12" t="str">
        <x:v>アブソル-1</x:v>
      </x:c>
      <x:c r="D88" s="12" t="str">
        <x:v>共通プロファイル</x:v>
      </x:c>
      <x:c r="E88" s="12" t="str">
        <x:v>Assassin</x:v>
      </x:c>
      <x:c r="F88" s="12" t="str">
        <x:v>Assassin</x:v>
      </x:c>
      <x:c r="G88" s="12" t="str"/>
      <x:c r="H88" s="12" t="str">
        <x:v>技選択で主役割が大きく変わらないため統合</x:v>
      </x:c>
      <x:c r="I88" s="12" t="str">
        <x:v>高</x:v>
      </x:c>
      <x:c r="J88" s="12" t="str">
        <x:v>2026-09-25</x:v>
      </x:c>
      <x:c r="K88" s="12" t="n">
        <x:v>50</x:v>
      </x:c>
      <x:c r="L88" s="12" t="n">
        <x:v>100</x:v>
      </x:c>
      <x:c r="M88" s="12" t="n">
        <x:v>10</x:v>
      </x:c>
      <x:c r="N88" s="12" t="n">
        <x:v>10</x:v>
      </x:c>
      <x:c r="O88" s="12" t="n">
        <x:v>20</x:v>
      </x:c>
      <x:c r="P88" s="12" t="n">
        <x:v>100</x:v>
      </x:c>
      <x:c r="Q88" s="12" t="n">
        <x:v>50</x:v>
      </x:c>
      <x:c r="R88" s="12" t="n">
        <x:v>30</x:v>
      </x:c>
      <x:c r="S88" s="12" t="n">
        <x:v>5</x:v>
      </x:c>
      <x:c r="T88" s="12" t="n">
        <x:v>100</x:v>
      </x:c>
      <x:c r="U88" s="12" t="n">
        <x:v>65</x:v>
      </x:c>
      <x:c r="V88" s="12" t="n">
        <x:v>70</x:v>
      </x:c>
      <x:c r="W88" s="12" t="n">
        <x:v>85</x:v>
      </x:c>
      <x:c r="X88" s="12" t="n">
        <x:v>80</x:v>
      </x:c>
      <x:c r="Y88" s="12" t="n">
        <x:v>80</x:v>
      </x:c>
      <x:c r="Z88" s="12" t="n">
        <x:f>ROUND(0.38*K88+0.30*L88+0.17*P88+0.15*Y88,0)</x:f>
        <x:v>78</x:v>
      </x:c>
      <x:c r="AA88" s="12" t="n">
        <x:f>ROUND(0.38*L88+0.25*P88+0.20*T88+0.17*(100-M88),0)</x:f>
        <x:v>98</x:v>
      </x:c>
      <x:c r="AB88" s="12" t="n">
        <x:f>ROUND(0.32*M88+0.26*S88+0.24*R88+0.18*K88,0)</x:f>
        <x:v>21</x:v>
      </x:c>
      <x:c r="AC88" s="12" t="n">
        <x:f>ROUND(0.27*Q88+0.24*T88+0.22*N88+0.15*P88+0.12*V88,0)</x:f>
        <x:v>63</x:v>
      </x:c>
      <x:c r="AD88" s="12" t="n">
        <x:f>ROUND(0.28*O88+0.28*R88+0.28*Y88+0.16*(100-L88),0)</x:f>
        <x:v>36</x:v>
      </x:c>
      <x:c r="AE88" s="12" t="n">
        <x:f>ROUND(0.35*Y88+0.22*T88+0.18*R88+0.13*S88+0.12*X88,0)</x:f>
        <x:v>66</x:v>
      </x:c>
      <x:c r="AF88" s="12" t="n">
        <x:f>ROUND(0.72*X88+0.28*Y88,0)</x:f>
        <x:v>80</x:v>
      </x:c>
      <x:c r="AG88" s="12" t="str">
        <x:v>https://wikiwiki.jp/poke-unite/%E3%82%A2%E3%83%96%E3%82%BD%E3%83%AB</x:v>
      </x:c>
    </x:row>
    <x:row r="89">
      <x:c r="A89" s="12" t="str">
        <x:v>ガラルギャロップ</x:v>
      </x:c>
      <x:c r="B89" s="12" t="str">
        <x:v>スピード型</x:v>
      </x:c>
      <x:c r="C89" s="12" t="str">
        <x:v>ガラルギャロップ-1</x:v>
      </x:c>
      <x:c r="D89" s="12" t="str">
        <x:v>共通プロファイル</x:v>
      </x:c>
      <x:c r="E89" s="12" t="str">
        <x:v>Diver</x:v>
      </x:c>
      <x:c r="F89" s="12" t="str">
        <x:v>Diver</x:v>
      </x:c>
      <x:c r="G89" s="12" t="str"/>
      <x:c r="H89" s="12" t="str">
        <x:v>技選択で主役割が大きく変わらないため統合</x:v>
      </x:c>
      <x:c r="I89" s="12" t="str">
        <x:v>高</x:v>
      </x:c>
      <x:c r="J89" s="12" t="str">
        <x:v>2026-09-25</x:v>
      </x:c>
      <x:c r="K89" s="12" t="n">
        <x:v>75</x:v>
      </x:c>
      <x:c r="L89" s="12" t="n">
        <x:v>95</x:v>
      </x:c>
      <x:c r="M89" s="12" t="n">
        <x:v>25</x:v>
      </x:c>
      <x:c r="N89" s="12" t="n">
        <x:v>55</x:v>
      </x:c>
      <x:c r="O89" s="12" t="n">
        <x:v>15</x:v>
      </x:c>
      <x:c r="P89" s="12" t="n">
        <x:v>75</x:v>
      </x:c>
      <x:c r="Q89" s="12" t="n">
        <x:v>70</x:v>
      </x:c>
      <x:c r="R89" s="12" t="n">
        <x:v>50</x:v>
      </x:c>
      <x:c r="S89" s="12" t="n">
        <x:v>5</x:v>
      </x:c>
      <x:c r="T89" s="12" t="n">
        <x:v>100</x:v>
      </x:c>
      <x:c r="U89" s="12" t="n">
        <x:v>65</x:v>
      </x:c>
      <x:c r="V89" s="12" t="n">
        <x:v>70</x:v>
      </x:c>
      <x:c r="W89" s="12" t="n">
        <x:v>70</x:v>
      </x:c>
      <x:c r="X89" s="12" t="n">
        <x:v>70</x:v>
      </x:c>
      <x:c r="Y89" s="12" t="n">
        <x:v>70</x:v>
      </x:c>
      <x:c r="Z89" s="12" t="n">
        <x:f>ROUND(0.38*K89+0.30*L89+0.17*P89+0.15*Y89,0)</x:f>
        <x:v>80</x:v>
      </x:c>
      <x:c r="AA89" s="12" t="n">
        <x:f>ROUND(0.38*L89+0.25*P89+0.20*T89+0.17*(100-M89),0)</x:f>
        <x:v>88</x:v>
      </x:c>
      <x:c r="AB89" s="12" t="n">
        <x:f>ROUND(0.32*M89+0.26*S89+0.24*R89+0.18*K89,0)</x:f>
        <x:v>35</x:v>
      </x:c>
      <x:c r="AC89" s="12" t="n">
        <x:f>ROUND(0.27*Q89+0.24*T89+0.22*N89+0.15*P89+0.12*V89,0)</x:f>
        <x:v>75</x:v>
      </x:c>
      <x:c r="AD89" s="12" t="n">
        <x:f>ROUND(0.28*O89+0.28*R89+0.28*Y89+0.16*(100-L89),0)</x:f>
        <x:v>39</x:v>
      </x:c>
      <x:c r="AE89" s="12" t="n">
        <x:f>ROUND(0.35*Y89+0.22*T89+0.18*R89+0.13*S89+0.12*X89,0)</x:f>
        <x:v>65</x:v>
      </x:c>
      <x:c r="AF89" s="12" t="n">
        <x:f>ROUND(0.72*X89+0.28*Y89,0)</x:f>
        <x:v>70</x:v>
      </x:c>
      <x:c r="AG89" s="12" t="str">
        <x:v>https://wikiwiki.jp/poke-unite/%E3%82%AC%E3%83%A9%E3%83%AB%E3%82%AE%E3%83%A3%E3%83%AD%E3%83%83%E3%83%97</x:v>
      </x:c>
    </x:row>
    <x:row r="90">
      <x:c r="A90" s="12" t="str">
        <x:v>ゲンガー</x:v>
      </x:c>
      <x:c r="B90" s="12" t="str">
        <x:v>スピード型</x:v>
      </x:c>
      <x:c r="C90" s="12" t="str">
        <x:v>ゲンガー-1</x:v>
      </x:c>
      <x:c r="D90" s="12" t="str">
        <x:v>ヘドロばくだん＋たたりめ</x:v>
      </x:c>
      <x:c r="E90" s="12" t="str">
        <x:v>Reset Assassin</x:v>
      </x:c>
      <x:c r="F90" s="12" t="str">
        <x:v>Assassin</x:v>
      </x:c>
      <x:c r="G90" s="12" t="str">
        <x:v>Skirmisher</x:v>
      </x:c>
      <x:c r="H90" s="12" t="str">
        <x:v>連続ブリンク・リセット</x:v>
      </x:c>
      <x:c r="I90" s="12" t="str">
        <x:v>高</x:v>
      </x:c>
      <x:c r="J90" s="12" t="str">
        <x:v>2026-09-25</x:v>
      </x:c>
      <x:c r="K90" s="12" t="n">
        <x:v>50</x:v>
      </x:c>
      <x:c r="L90" s="12" t="n">
        <x:v>100</x:v>
      </x:c>
      <x:c r="M90" s="12" t="n">
        <x:v>15</x:v>
      </x:c>
      <x:c r="N90" s="12" t="n">
        <x:v>25</x:v>
      </x:c>
      <x:c r="O90" s="12" t="n">
        <x:v>20</x:v>
      </x:c>
      <x:c r="P90" s="12" t="n">
        <x:v>90</x:v>
      </x:c>
      <x:c r="Q90" s="12" t="n">
        <x:v>70</x:v>
      </x:c>
      <x:c r="R90" s="12" t="n">
        <x:v>30</x:v>
      </x:c>
      <x:c r="S90" s="12" t="n">
        <x:v>5</x:v>
      </x:c>
      <x:c r="T90" s="12" t="n">
        <x:v>95</x:v>
      </x:c>
      <x:c r="U90" s="12" t="n">
        <x:v>65</x:v>
      </x:c>
      <x:c r="V90" s="12" t="n">
        <x:v>70</x:v>
      </x:c>
      <x:c r="W90" s="12" t="n">
        <x:v>80</x:v>
      </x:c>
      <x:c r="X90" s="12" t="n">
        <x:v>90</x:v>
      </x:c>
      <x:c r="Y90" s="12" t="n">
        <x:v>70</x:v>
      </x:c>
      <x:c r="Z90" s="12" t="n">
        <x:f>ROUND(0.38*K90+0.30*L90+0.17*P90+0.15*Y90,0)</x:f>
        <x:v>75</x:v>
      </x:c>
      <x:c r="AA90" s="12" t="n">
        <x:f>ROUND(0.38*L90+0.25*P90+0.20*T90+0.17*(100-M90),0)</x:f>
        <x:v>94</x:v>
      </x:c>
      <x:c r="AB90" s="12" t="n">
        <x:f>ROUND(0.32*M90+0.26*S90+0.24*R90+0.18*K90,0)</x:f>
        <x:v>22</x:v>
      </x:c>
      <x:c r="AC90" s="12" t="n">
        <x:f>ROUND(0.27*Q90+0.24*T90+0.22*N90+0.15*P90+0.12*V90,0)</x:f>
        <x:v>69</x:v>
      </x:c>
      <x:c r="AD90" s="12" t="n">
        <x:f>ROUND(0.28*O90+0.28*R90+0.28*Y90+0.16*(100-L90),0)</x:f>
        <x:v>34</x:v>
      </x:c>
      <x:c r="AE90" s="12" t="n">
        <x:f>ROUND(0.35*Y90+0.22*T90+0.18*R90+0.13*S90+0.12*X90,0)</x:f>
        <x:v>62</x:v>
      </x:c>
      <x:c r="AF90" s="12" t="n">
        <x:f>ROUND(0.72*X90+0.28*Y90,0)</x:f>
        <x:v>84</x:v>
      </x:c>
      <x:c r="AG90" s="12" t="str">
        <x:v>https://wikiwiki.jp/poke-unite/%E3%82%B2%E3%83%B3%E3%82%AC%E3%83%BC</x:v>
      </x:c>
    </x:row>
    <x:row r="91">
      <x:c r="A91" s="12" t="str">
        <x:v>ゲンガー</x:v>
      </x:c>
      <x:c r="B91" s="12" t="str">
        <x:v>スピード型</x:v>
      </x:c>
      <x:c r="C91" s="12" t="str">
        <x:v>ゲンガー-2</x:v>
      </x:c>
      <x:c r="D91" s="12" t="str">
        <x:v>シャドーボール＋ゆめくい</x:v>
      </x:c>
      <x:c r="E91" s="12" t="str">
        <x:v>Pick Assassin</x:v>
      </x:c>
      <x:c r="F91" s="12" t="str">
        <x:v>Assassin</x:v>
      </x:c>
      <x:c r="G91" s="12" t="str"/>
      <x:c r="H91" s="12" t="str">
        <x:v>単体ピック・ワンコン</x:v>
      </x:c>
      <x:c r="I91" s="12" t="str">
        <x:v>高</x:v>
      </x:c>
      <x:c r="J91" s="12" t="str">
        <x:v>2026-09-25</x:v>
      </x:c>
      <x:c r="K91" s="12" t="n">
        <x:v>50</x:v>
      </x:c>
      <x:c r="L91" s="12" t="n">
        <x:v>100</x:v>
      </x:c>
      <x:c r="M91" s="12" t="n">
        <x:v>10</x:v>
      </x:c>
      <x:c r="N91" s="12" t="n">
        <x:v>10</x:v>
      </x:c>
      <x:c r="O91" s="12" t="n">
        <x:v>30</x:v>
      </x:c>
      <x:c r="P91" s="12" t="n">
        <x:v>100</x:v>
      </x:c>
      <x:c r="Q91" s="12" t="n">
        <x:v>50</x:v>
      </x:c>
      <x:c r="R91" s="12" t="n">
        <x:v>35</x:v>
      </x:c>
      <x:c r="S91" s="12" t="n">
        <x:v>5</x:v>
      </x:c>
      <x:c r="T91" s="12" t="n">
        <x:v>100</x:v>
      </x:c>
      <x:c r="U91" s="12" t="n">
        <x:v>65</x:v>
      </x:c>
      <x:c r="V91" s="12" t="n">
        <x:v>65</x:v>
      </x:c>
      <x:c r="W91" s="12" t="n">
        <x:v>85</x:v>
      </x:c>
      <x:c r="X91" s="12" t="n">
        <x:v>85</x:v>
      </x:c>
      <x:c r="Y91" s="12" t="n">
        <x:v>75</x:v>
      </x:c>
      <x:c r="Z91" s="12" t="n">
        <x:f>ROUND(0.38*K91+0.30*L91+0.17*P91+0.15*Y91,0)</x:f>
        <x:v>77</x:v>
      </x:c>
      <x:c r="AA91" s="12" t="n">
        <x:f>ROUND(0.38*L91+0.25*P91+0.20*T91+0.17*(100-M91),0)</x:f>
        <x:v>98</x:v>
      </x:c>
      <x:c r="AB91" s="12" t="n">
        <x:f>ROUND(0.32*M91+0.26*S91+0.24*R91+0.18*K91,0)</x:f>
        <x:v>22</x:v>
      </x:c>
      <x:c r="AC91" s="12" t="n">
        <x:f>ROUND(0.27*Q91+0.24*T91+0.22*N91+0.15*P91+0.12*V91,0)</x:f>
        <x:v>63</x:v>
      </x:c>
      <x:c r="AD91" s="12" t="n">
        <x:f>ROUND(0.28*O91+0.28*R91+0.28*Y91+0.16*(100-L91),0)</x:f>
        <x:v>39</x:v>
      </x:c>
      <x:c r="AE91" s="12" t="n">
        <x:f>ROUND(0.35*Y91+0.22*T91+0.18*R91+0.13*S91+0.12*X91,0)</x:f>
        <x:v>65</x:v>
      </x:c>
      <x:c r="AF91" s="12" t="n">
        <x:f>ROUND(0.72*X91+0.28*Y91,0)</x:f>
        <x:v>82</x:v>
      </x:c>
      <x:c r="AG91" s="12" t="str">
        <x:v>https://wikiwiki.jp/poke-unite/%E3%82%B2%E3%83%B3%E3%82%AC%E3%83%BC</x:v>
      </x:c>
    </x:row>
    <x:row r="92">
      <x:c r="A92" s="12" t="str">
        <x:v>ゼラオラ</x:v>
      </x:c>
      <x:c r="B92" s="12" t="str">
        <x:v>スピード型</x:v>
      </x:c>
      <x:c r="C92" s="12" t="str">
        <x:v>ゼラオラ-1</x:v>
      </x:c>
      <x:c r="D92" s="12" t="str">
        <x:v>ボルトチェンジ＋ほうでん</x:v>
      </x:c>
      <x:c r="E92" s="12" t="str">
        <x:v>Skirmisher</x:v>
      </x:c>
      <x:c r="F92" s="12" t="str">
        <x:v>Skirmisher</x:v>
      </x:c>
      <x:c r="G92" s="12" t="str"/>
      <x:c r="H92" s="12" t="str">
        <x:v>シールド込みの乱戦</x:v>
      </x:c>
      <x:c r="I92" s="12" t="str">
        <x:v>高</x:v>
      </x:c>
      <x:c r="J92" s="12" t="str">
        <x:v>2026-09-25</x:v>
      </x:c>
      <x:c r="K92" s="12" t="n">
        <x:v>55</x:v>
      </x:c>
      <x:c r="L92" s="12" t="n">
        <x:v>80</x:v>
      </x:c>
      <x:c r="M92" s="12" t="n">
        <x:v>25</x:v>
      </x:c>
      <x:c r="N92" s="12" t="n">
        <x:v>60</x:v>
      </x:c>
      <x:c r="O92" s="12" t="n">
        <x:v>20</x:v>
      </x:c>
      <x:c r="P92" s="12" t="n">
        <x:v>65</x:v>
      </x:c>
      <x:c r="Q92" s="12" t="n">
        <x:v>95</x:v>
      </x:c>
      <x:c r="R92" s="12" t="n">
        <x:v>45</x:v>
      </x:c>
      <x:c r="S92" s="12" t="n">
        <x:v>10</x:v>
      </x:c>
      <x:c r="T92" s="12" t="n">
        <x:v>80</x:v>
      </x:c>
      <x:c r="U92" s="12" t="n">
        <x:v>70</x:v>
      </x:c>
      <x:c r="V92" s="12" t="n">
        <x:v>75</x:v>
      </x:c>
      <x:c r="W92" s="12" t="n">
        <x:v>70</x:v>
      </x:c>
      <x:c r="X92" s="12" t="n">
        <x:v>70</x:v>
      </x:c>
      <x:c r="Y92" s="12" t="n">
        <x:v>65</x:v>
      </x:c>
      <x:c r="Z92" s="12" t="n">
        <x:f>ROUND(0.38*K92+0.30*L92+0.17*P92+0.15*Y92,0)</x:f>
        <x:v>66</x:v>
      </x:c>
      <x:c r="AA92" s="12" t="n">
        <x:f>ROUND(0.38*L92+0.25*P92+0.20*T92+0.17*(100-M92),0)</x:f>
        <x:v>75</x:v>
      </x:c>
      <x:c r="AB92" s="12" t="n">
        <x:f>ROUND(0.32*M92+0.26*S92+0.24*R92+0.18*K92,0)</x:f>
        <x:v>31</x:v>
      </x:c>
      <x:c r="AC92" s="12" t="n">
        <x:f>ROUND(0.27*Q92+0.24*T92+0.22*N92+0.15*P92+0.12*V92,0)</x:f>
        <x:v>77</x:v>
      </x:c>
      <x:c r="AD92" s="12" t="n">
        <x:f>ROUND(0.28*O92+0.28*R92+0.28*Y92+0.16*(100-L92),0)</x:f>
        <x:v>40</x:v>
      </x:c>
      <x:c r="AE92" s="12" t="n">
        <x:f>ROUND(0.35*Y92+0.22*T92+0.18*R92+0.13*S92+0.12*X92,0)</x:f>
        <x:v>58</x:v>
      </x:c>
      <x:c r="AF92" s="12" t="n">
        <x:f>ROUND(0.72*X92+0.28*Y92,0)</x:f>
        <x:v>69</x:v>
      </x:c>
      <x:c r="AG92" s="12" t="str">
        <x:v>https://wikiwiki.jp/poke-unite/%E3%82%BC%E3%83%A9%E3%82%AA%E3%83%A9</x:v>
      </x:c>
    </x:row>
    <x:row r="93">
      <x:c r="A93" s="12" t="str">
        <x:v>ゼラオラ</x:v>
      </x:c>
      <x:c r="B93" s="12" t="str">
        <x:v>スピード型</x:v>
      </x:c>
      <x:c r="C93" s="12" t="str">
        <x:v>ゼラオラ-2</x:v>
      </x:c>
      <x:c r="D93" s="12" t="str">
        <x:v>スパーク＋ワイルドボルト</x:v>
      </x:c>
      <x:c r="E93" s="12" t="str">
        <x:v>Burst Assassin</x:v>
      </x:c>
      <x:c r="F93" s="12" t="str">
        <x:v>Assassin</x:v>
      </x:c>
      <x:c r="G93" s="12" t="str">
        <x:v>Diver</x:v>
      </x:c>
      <x:c r="H93" s="12" t="str">
        <x:v>張り付き瞬間火力</x:v>
      </x:c>
      <x:c r="I93" s="12" t="str">
        <x:v>高</x:v>
      </x:c>
      <x:c r="J93" s="12" t="str">
        <x:v>2026-09-25</x:v>
      </x:c>
      <x:c r="K93" s="12" t="n">
        <x:v>55</x:v>
      </x:c>
      <x:c r="L93" s="12" t="n">
        <x:v>100</x:v>
      </x:c>
      <x:c r="M93" s="12" t="n">
        <x:v>15</x:v>
      </x:c>
      <x:c r="N93" s="12" t="n">
        <x:v>25</x:v>
      </x:c>
      <x:c r="O93" s="12" t="n">
        <x:v>20</x:v>
      </x:c>
      <x:c r="P93" s="12" t="n">
        <x:v>100</x:v>
      </x:c>
      <x:c r="Q93" s="12" t="n">
        <x:v>45</x:v>
      </x:c>
      <x:c r="R93" s="12" t="n">
        <x:v>35</x:v>
      </x:c>
      <x:c r="S93" s="12" t="n">
        <x:v>5</x:v>
      </x:c>
      <x:c r="T93" s="12" t="n">
        <x:v>100</x:v>
      </x:c>
      <x:c r="U93" s="12" t="n">
        <x:v>65</x:v>
      </x:c>
      <x:c r="V93" s="12" t="n">
        <x:v>65</x:v>
      </x:c>
      <x:c r="W93" s="12" t="n">
        <x:v>80</x:v>
      </x:c>
      <x:c r="X93" s="12" t="n">
        <x:v>75</x:v>
      </x:c>
      <x:c r="Y93" s="12" t="n">
        <x:v>75</x:v>
      </x:c>
      <x:c r="Z93" s="12" t="n">
        <x:f>ROUND(0.38*K93+0.30*L93+0.17*P93+0.15*Y93,0)</x:f>
        <x:v>79</x:v>
      </x:c>
      <x:c r="AA93" s="12" t="n">
        <x:f>ROUND(0.38*L93+0.25*P93+0.20*T93+0.17*(100-M93),0)</x:f>
        <x:v>97</x:v>
      </x:c>
      <x:c r="AB93" s="12" t="n">
        <x:f>ROUND(0.32*M93+0.26*S93+0.24*R93+0.18*K93,0)</x:f>
        <x:v>24</x:v>
      </x:c>
      <x:c r="AC93" s="12" t="n">
        <x:f>ROUND(0.27*Q93+0.24*T93+0.22*N93+0.15*P93+0.12*V93,0)</x:f>
        <x:v>64</x:v>
      </x:c>
      <x:c r="AD93" s="12" t="n">
        <x:f>ROUND(0.28*O93+0.28*R93+0.28*Y93+0.16*(100-L93),0)</x:f>
        <x:v>36</x:v>
      </x:c>
      <x:c r="AE93" s="12" t="n">
        <x:f>ROUND(0.35*Y93+0.22*T93+0.18*R93+0.13*S93+0.12*X93,0)</x:f>
        <x:v>64</x:v>
      </x:c>
      <x:c r="AF93" s="12" t="n">
        <x:f>ROUND(0.72*X93+0.28*Y93,0)</x:f>
        <x:v>75</x:v>
      </x:c>
      <x:c r="AG93" s="12" t="str">
        <x:v>https://wikiwiki.jp/poke-unite/%E3%82%BC%E3%83%A9%E3%82%AA%E3%83%A9</x:v>
      </x:c>
    </x:row>
    <x:row r="94">
      <x:c r="A94" s="12" t="str">
        <x:v>ゾロアーク</x:v>
      </x:c>
      <x:c r="B94" s="12" t="str">
        <x:v>スピード型</x:v>
      </x:c>
      <x:c r="C94" s="12" t="str">
        <x:v>ゾロアーク-1</x:v>
      </x:c>
      <x:c r="D94" s="12" t="str">
        <x:v>共通プロファイル</x:v>
      </x:c>
      <x:c r="E94" s="12" t="str">
        <x:v>Assassin</x:v>
      </x:c>
      <x:c r="F94" s="12" t="str">
        <x:v>Assassin</x:v>
      </x:c>
      <x:c r="G94" s="12" t="str"/>
      <x:c r="H94" s="12" t="str">
        <x:v>技選択で主役割が大きく変わらないため統合</x:v>
      </x:c>
      <x:c r="I94" s="12" t="str">
        <x:v>高</x:v>
      </x:c>
      <x:c r="J94" s="12" t="str">
        <x:v>2026-09-25</x:v>
      </x:c>
      <x:c r="K94" s="12" t="n">
        <x:v>50</x:v>
      </x:c>
      <x:c r="L94" s="12" t="n">
        <x:v>100</x:v>
      </x:c>
      <x:c r="M94" s="12" t="n">
        <x:v>10</x:v>
      </x:c>
      <x:c r="N94" s="12" t="n">
        <x:v>10</x:v>
      </x:c>
      <x:c r="O94" s="12" t="n">
        <x:v>20</x:v>
      </x:c>
      <x:c r="P94" s="12" t="n">
        <x:v>100</x:v>
      </x:c>
      <x:c r="Q94" s="12" t="n">
        <x:v>50</x:v>
      </x:c>
      <x:c r="R94" s="12" t="n">
        <x:v>30</x:v>
      </x:c>
      <x:c r="S94" s="12" t="n">
        <x:v>5</x:v>
      </x:c>
      <x:c r="T94" s="12" t="n">
        <x:v>100</x:v>
      </x:c>
      <x:c r="U94" s="12" t="n">
        <x:v>65</x:v>
      </x:c>
      <x:c r="V94" s="12" t="n">
        <x:v>65</x:v>
      </x:c>
      <x:c r="W94" s="12" t="n">
        <x:v>85</x:v>
      </x:c>
      <x:c r="X94" s="12" t="n">
        <x:v>95</x:v>
      </x:c>
      <x:c r="Y94" s="12" t="n">
        <x:v>80</x:v>
      </x:c>
      <x:c r="Z94" s="12" t="n">
        <x:f>ROUND(0.38*K94+0.30*L94+0.17*P94+0.15*Y94,0)</x:f>
        <x:v>78</x:v>
      </x:c>
      <x:c r="AA94" s="12" t="n">
        <x:f>ROUND(0.38*L94+0.25*P94+0.20*T94+0.17*(100-M94),0)</x:f>
        <x:v>98</x:v>
      </x:c>
      <x:c r="AB94" s="12" t="n">
        <x:f>ROUND(0.32*M94+0.26*S94+0.24*R94+0.18*K94,0)</x:f>
        <x:v>21</x:v>
      </x:c>
      <x:c r="AC94" s="12" t="n">
        <x:f>ROUND(0.27*Q94+0.24*T94+0.22*N94+0.15*P94+0.12*V94,0)</x:f>
        <x:v>63</x:v>
      </x:c>
      <x:c r="AD94" s="12" t="n">
        <x:f>ROUND(0.28*O94+0.28*R94+0.28*Y94+0.16*(100-L94),0)</x:f>
        <x:v>36</x:v>
      </x:c>
      <x:c r="AE94" s="12" t="n">
        <x:f>ROUND(0.35*Y94+0.22*T94+0.18*R94+0.13*S94+0.12*X94,0)</x:f>
        <x:v>67</x:v>
      </x:c>
      <x:c r="AF94" s="12" t="n">
        <x:f>ROUND(0.72*X94+0.28*Y94,0)</x:f>
        <x:v>91</x:v>
      </x:c>
      <x:c r="AG94" s="12" t="str">
        <x:v>https://wikiwiki.jp/poke-unite/%E3%82%BE%E3%83%AD%E3%82%A2%E3%83%BC%E3%82%AF</x:v>
      </x:c>
    </x:row>
    <x:row r="95">
      <x:c r="A95" s="12" t="str">
        <x:v>ダークライ</x:v>
      </x:c>
      <x:c r="B95" s="12" t="str">
        <x:v>スピード型</x:v>
      </x:c>
      <x:c r="C95" s="12" t="str">
        <x:v>ダークライ-1</x:v>
      </x:c>
      <x:c r="D95" s="12" t="str">
        <x:v>共通プロファイル</x:v>
      </x:c>
      <x:c r="E95" s="12" t="str">
        <x:v>Assassin</x:v>
      </x:c>
      <x:c r="F95" s="12" t="str">
        <x:v>Assassin</x:v>
      </x:c>
      <x:c r="G95" s="12" t="str"/>
      <x:c r="H95" s="12" t="str">
        <x:v>技選択で主役割が大きく変わらないため統合</x:v>
      </x:c>
      <x:c r="I95" s="12" t="str">
        <x:v>高</x:v>
      </x:c>
      <x:c r="J95" s="12" t="str">
        <x:v>2026-09-25</x:v>
      </x:c>
      <x:c r="K95" s="12" t="n">
        <x:v>50</x:v>
      </x:c>
      <x:c r="L95" s="12" t="n">
        <x:v>100</x:v>
      </x:c>
      <x:c r="M95" s="12" t="n">
        <x:v>10</x:v>
      </x:c>
      <x:c r="N95" s="12" t="n">
        <x:v>10</x:v>
      </x:c>
      <x:c r="O95" s="12" t="n">
        <x:v>20</x:v>
      </x:c>
      <x:c r="P95" s="12" t="n">
        <x:v>100</x:v>
      </x:c>
      <x:c r="Q95" s="12" t="n">
        <x:v>50</x:v>
      </x:c>
      <x:c r="R95" s="12" t="n">
        <x:v>40</x:v>
      </x:c>
      <x:c r="S95" s="12" t="n">
        <x:v>5</x:v>
      </x:c>
      <x:c r="T95" s="12" t="n">
        <x:v>100</x:v>
      </x:c>
      <x:c r="U95" s="12" t="n">
        <x:v>65</x:v>
      </x:c>
      <x:c r="V95" s="12" t="n">
        <x:v>50</x:v>
      </x:c>
      <x:c r="W95" s="12" t="n">
        <x:v>85</x:v>
      </x:c>
      <x:c r="X95" s="12" t="n">
        <x:v>90</x:v>
      </x:c>
      <x:c r="Y95" s="12" t="n">
        <x:v>75</x:v>
      </x:c>
      <x:c r="Z95" s="12" t="n">
        <x:f>ROUND(0.38*K95+0.30*L95+0.17*P95+0.15*Y95,0)</x:f>
        <x:v>77</x:v>
      </x:c>
      <x:c r="AA95" s="12" t="n">
        <x:f>ROUND(0.38*L95+0.25*P95+0.20*T95+0.17*(100-M95),0)</x:f>
        <x:v>98</x:v>
      </x:c>
      <x:c r="AB95" s="12" t="n">
        <x:f>ROUND(0.32*M95+0.26*S95+0.24*R95+0.18*K95,0)</x:f>
        <x:v>23</x:v>
      </x:c>
      <x:c r="AC95" s="12" t="n">
        <x:f>ROUND(0.27*Q95+0.24*T95+0.22*N95+0.15*P95+0.12*V95,0)</x:f>
        <x:v>61</x:v>
      </x:c>
      <x:c r="AD95" s="12" t="n">
        <x:f>ROUND(0.28*O95+0.28*R95+0.28*Y95+0.16*(100-L95),0)</x:f>
        <x:v>38</x:v>
      </x:c>
      <x:c r="AE95" s="12" t="n">
        <x:f>ROUND(0.35*Y95+0.22*T95+0.18*R95+0.13*S95+0.12*X95,0)</x:f>
        <x:v>67</x:v>
      </x:c>
      <x:c r="AF95" s="12" t="n">
        <x:f>ROUND(0.72*X95+0.28*Y95,0)</x:f>
        <x:v>86</x:v>
      </x:c>
      <x:c r="AG95" s="12" t="str">
        <x:v>https://wikiwiki.jp/poke-unite/%E3%83%80%E3%83%BC%E3%82%AF%E3%83%A9%E3%82%A4</x:v>
      </x:c>
    </x:row>
    <x:row r="96">
      <x:c r="A96" s="12" t="str">
        <x:v>ドードリオ</x:v>
      </x:c>
      <x:c r="B96" s="12" t="str">
        <x:v>スピード型</x:v>
      </x:c>
      <x:c r="C96" s="12" t="str">
        <x:v>ドードリオ-1</x:v>
      </x:c>
      <x:c r="D96" s="12" t="str">
        <x:v>共通プロファイル</x:v>
      </x:c>
      <x:c r="E96" s="12" t="str">
        <x:v>Diver</x:v>
      </x:c>
      <x:c r="F96" s="12" t="str">
        <x:v>Diver</x:v>
      </x:c>
      <x:c r="G96" s="12" t="str"/>
      <x:c r="H96" s="12" t="str">
        <x:v>技選択で主役割が大きく変わらないため統合</x:v>
      </x:c>
      <x:c r="I96" s="12" t="str">
        <x:v>高</x:v>
      </x:c>
      <x:c r="J96" s="12" t="str">
        <x:v>2026-09-25</x:v>
      </x:c>
      <x:c r="K96" s="12" t="n">
        <x:v>75</x:v>
      </x:c>
      <x:c r="L96" s="12" t="n">
        <x:v>95</x:v>
      </x:c>
      <x:c r="M96" s="12" t="n">
        <x:v>25</x:v>
      </x:c>
      <x:c r="N96" s="12" t="n">
        <x:v>55</x:v>
      </x:c>
      <x:c r="O96" s="12" t="n">
        <x:v>15</x:v>
      </x:c>
      <x:c r="P96" s="12" t="n">
        <x:v>80</x:v>
      </x:c>
      <x:c r="Q96" s="12" t="n">
        <x:v>70</x:v>
      </x:c>
      <x:c r="R96" s="12" t="n">
        <x:v>45</x:v>
      </x:c>
      <x:c r="S96" s="12" t="n">
        <x:v>5</x:v>
      </x:c>
      <x:c r="T96" s="12" t="n">
        <x:v>95</x:v>
      </x:c>
      <x:c r="U96" s="12" t="n">
        <x:v>65</x:v>
      </x:c>
      <x:c r="V96" s="12" t="n">
        <x:v>70</x:v>
      </x:c>
      <x:c r="W96" s="12" t="n">
        <x:v>90</x:v>
      </x:c>
      <x:c r="X96" s="12" t="n">
        <x:v>85</x:v>
      </x:c>
      <x:c r="Y96" s="12" t="n">
        <x:v>80</x:v>
      </x:c>
      <x:c r="Z96" s="12" t="n">
        <x:f>ROUND(0.38*K96+0.30*L96+0.17*P96+0.15*Y96,0)</x:f>
        <x:v>83</x:v>
      </x:c>
      <x:c r="AA96" s="12" t="n">
        <x:f>ROUND(0.38*L96+0.25*P96+0.20*T96+0.17*(100-M96),0)</x:f>
        <x:v>88</x:v>
      </x:c>
      <x:c r="AB96" s="12" t="n">
        <x:f>ROUND(0.32*M96+0.26*S96+0.24*R96+0.18*K96,0)</x:f>
        <x:v>34</x:v>
      </x:c>
      <x:c r="AC96" s="12" t="n">
        <x:f>ROUND(0.27*Q96+0.24*T96+0.22*N96+0.15*P96+0.12*V96,0)</x:f>
        <x:v>74</x:v>
      </x:c>
      <x:c r="AD96" s="12" t="n">
        <x:f>ROUND(0.28*O96+0.28*R96+0.28*Y96+0.16*(100-L96),0)</x:f>
        <x:v>40</x:v>
      </x:c>
      <x:c r="AE96" s="12" t="n">
        <x:f>ROUND(0.35*Y96+0.22*T96+0.18*R96+0.13*S96+0.12*X96,0)</x:f>
        <x:v>68</x:v>
      </x:c>
      <x:c r="AF96" s="12" t="n">
        <x:f>ROUND(0.72*X96+0.28*Y96,0)</x:f>
        <x:v>84</x:v>
      </x:c>
      <x:c r="AG96" s="12" t="str">
        <x:v>https://wikiwiki.jp/poke-unite/%E3%83%89%E3%83%BC%E3%83%89%E3%83%AA%E3%82%AA</x:v>
      </x:c>
    </x:row>
    <x:row r="97">
      <x:c r="A97" s="12" t="str">
        <x:v>ニャース</x:v>
      </x:c>
      <x:c r="B97" s="12" t="str">
        <x:v>スピード型</x:v>
      </x:c>
      <x:c r="C97" s="12" t="str">
        <x:v>ニャース-1</x:v>
      </x:c>
      <x:c r="D97" s="12" t="str">
        <x:v>共通プロファイル</x:v>
      </x:c>
      <x:c r="E97" s="12" t="str">
        <x:v>Skirmisher</x:v>
      </x:c>
      <x:c r="F97" s="12" t="str">
        <x:v>Skirmisher</x:v>
      </x:c>
      <x:c r="G97" s="12" t="str"/>
      <x:c r="H97" s="12" t="str">
        <x:v>技選択で主役割が大きく変わらないため統合</x:v>
      </x:c>
      <x:c r="I97" s="12" t="str">
        <x:v>高</x:v>
      </x:c>
      <x:c r="J97" s="12" t="str">
        <x:v>2026-09-25</x:v>
      </x:c>
      <x:c r="K97" s="12" t="n">
        <x:v>55</x:v>
      </x:c>
      <x:c r="L97" s="12" t="n">
        <x:v>80</x:v>
      </x:c>
      <x:c r="M97" s="12" t="n">
        <x:v>25</x:v>
      </x:c>
      <x:c r="N97" s="12" t="n">
        <x:v>50</x:v>
      </x:c>
      <x:c r="O97" s="12" t="n">
        <x:v>30</x:v>
      </x:c>
      <x:c r="P97" s="12" t="n">
        <x:v>70</x:v>
      </x:c>
      <x:c r="Q97" s="12" t="n">
        <x:v>85</x:v>
      </x:c>
      <x:c r="R97" s="12" t="n">
        <x:v>35</x:v>
      </x:c>
      <x:c r="S97" s="12" t="n">
        <x:v>10</x:v>
      </x:c>
      <x:c r="T97" s="12" t="n">
        <x:v>85</x:v>
      </x:c>
      <x:c r="U97" s="12" t="n">
        <x:v>70</x:v>
      </x:c>
      <x:c r="V97" s="12" t="n">
        <x:v>75</x:v>
      </x:c>
      <x:c r="W97" s="12" t="n">
        <x:v>70</x:v>
      </x:c>
      <x:c r="X97" s="12" t="n">
        <x:v>70</x:v>
      </x:c>
      <x:c r="Y97" s="12" t="n">
        <x:v>75</x:v>
      </x:c>
      <x:c r="Z97" s="12" t="n">
        <x:f>ROUND(0.38*K97+0.30*L97+0.17*P97+0.15*Y97,0)</x:f>
        <x:v>68</x:v>
      </x:c>
      <x:c r="AA97" s="12" t="n">
        <x:f>ROUND(0.38*L97+0.25*P97+0.20*T97+0.17*(100-M97),0)</x:f>
        <x:v>78</x:v>
      </x:c>
      <x:c r="AB97" s="12" t="n">
        <x:f>ROUND(0.32*M97+0.26*S97+0.24*R97+0.18*K97,0)</x:f>
        <x:v>29</x:v>
      </x:c>
      <x:c r="AC97" s="12" t="n">
        <x:f>ROUND(0.27*Q97+0.24*T97+0.22*N97+0.15*P97+0.12*V97,0)</x:f>
        <x:v>74</x:v>
      </x:c>
      <x:c r="AD97" s="12" t="n">
        <x:f>ROUND(0.28*O97+0.28*R97+0.28*Y97+0.16*(100-L97),0)</x:f>
        <x:v>42</x:v>
      </x:c>
      <x:c r="AE97" s="12" t="n">
        <x:f>ROUND(0.35*Y97+0.22*T97+0.18*R97+0.13*S97+0.12*X97,0)</x:f>
        <x:v>61</x:v>
      </x:c>
      <x:c r="AF97" s="12" t="n">
        <x:f>ROUND(0.72*X97+0.28*Y97,0)</x:f>
        <x:v>71</x:v>
      </x:c>
      <x:c r="AG97" s="12" t="str">
        <x:v>https://wikiwiki.jp/poke-unite/%E3%83%8B%E3%83%A3%E3%83%BC%E3%82%B9</x:v>
      </x:c>
    </x:row>
    <x:row r="98">
      <x:c r="A98" s="12" t="str">
        <x:v>ファイアロー</x:v>
      </x:c>
      <x:c r="B98" s="12" t="str">
        <x:v>スピード型</x:v>
      </x:c>
      <x:c r="C98" s="12" t="str">
        <x:v>ファイアロー-1</x:v>
      </x:c>
      <x:c r="D98" s="12" t="str">
        <x:v>ブレイブバード＋つばめがえし</x:v>
      </x:c>
      <x:c r="E98" s="12" t="str">
        <x:v>Burst Diver</x:v>
      </x:c>
      <x:c r="F98" s="12" t="str">
        <x:v>Assassin</x:v>
      </x:c>
      <x:c r="G98" s="12" t="str">
        <x:v>Diver</x:v>
      </x:c>
      <x:c r="H98" s="12" t="str">
        <x:v>遠距離からの高火力ダイブ</x:v>
      </x:c>
      <x:c r="I98" s="12" t="str">
        <x:v>高</x:v>
      </x:c>
      <x:c r="J98" s="12" t="str">
        <x:v>2026-09-25</x:v>
      </x:c>
      <x:c r="K98" s="12" t="n">
        <x:v>55</x:v>
      </x:c>
      <x:c r="L98" s="12" t="n">
        <x:v>100</x:v>
      </x:c>
      <x:c r="M98" s="12" t="n">
        <x:v>15</x:v>
      </x:c>
      <x:c r="N98" s="12" t="n">
        <x:v>25</x:v>
      </x:c>
      <x:c r="O98" s="12" t="n">
        <x:v>20</x:v>
      </x:c>
      <x:c r="P98" s="12" t="n">
        <x:v>100</x:v>
      </x:c>
      <x:c r="Q98" s="12" t="n">
        <x:v>55</x:v>
      </x:c>
      <x:c r="R98" s="12" t="n">
        <x:v>35</x:v>
      </x:c>
      <x:c r="S98" s="12" t="n">
        <x:v>5</x:v>
      </x:c>
      <x:c r="T98" s="12" t="n">
        <x:v>100</x:v>
      </x:c>
      <x:c r="U98" s="12" t="n">
        <x:v>65</x:v>
      </x:c>
      <x:c r="V98" s="12" t="n">
        <x:v>65</x:v>
      </x:c>
      <x:c r="W98" s="12" t="n">
        <x:v>80</x:v>
      </x:c>
      <x:c r="X98" s="12" t="n">
        <x:v>85</x:v>
      </x:c>
      <x:c r="Y98" s="12" t="n">
        <x:v>75</x:v>
      </x:c>
      <x:c r="Z98" s="12" t="n">
        <x:f>ROUND(0.38*K98+0.30*L98+0.17*P98+0.15*Y98,0)</x:f>
        <x:v>79</x:v>
      </x:c>
      <x:c r="AA98" s="12" t="n">
        <x:f>ROUND(0.38*L98+0.25*P98+0.20*T98+0.17*(100-M98),0)</x:f>
        <x:v>97</x:v>
      </x:c>
      <x:c r="AB98" s="12" t="n">
        <x:f>ROUND(0.32*M98+0.26*S98+0.24*R98+0.18*K98,0)</x:f>
        <x:v>24</x:v>
      </x:c>
      <x:c r="AC98" s="12" t="n">
        <x:f>ROUND(0.27*Q98+0.24*T98+0.22*N98+0.15*P98+0.12*V98,0)</x:f>
        <x:v>67</x:v>
      </x:c>
      <x:c r="AD98" s="12" t="n">
        <x:f>ROUND(0.28*O98+0.28*R98+0.28*Y98+0.16*(100-L98),0)</x:f>
        <x:v>36</x:v>
      </x:c>
      <x:c r="AE98" s="12" t="n">
        <x:f>ROUND(0.35*Y98+0.22*T98+0.18*R98+0.13*S98+0.12*X98,0)</x:f>
        <x:v>65</x:v>
      </x:c>
      <x:c r="AF98" s="12" t="n">
        <x:f>ROUND(0.72*X98+0.28*Y98,0)</x:f>
        <x:v>82</x:v>
      </x:c>
      <x:c r="AG98" s="12" t="str">
        <x:v>https://wikiwiki.jp/poke-unite/%E3%83%95%E3%82%A1%E3%82%A4%E3%82%A2%E3%83%AD%E3%83%BC</x:v>
      </x:c>
    </x:row>
    <x:row r="99">
      <x:c r="A99" s="12" t="str">
        <x:v>ファイアロー</x:v>
      </x:c>
      <x:c r="B99" s="12" t="str">
        <x:v>スピード型</x:v>
      </x:c>
      <x:c r="C99" s="12" t="str">
        <x:v>ファイアロー-2</x:v>
      </x:c>
      <x:c r="D99" s="12" t="str">
        <x:v>そらをとぶ＋ニトロチャージ</x:v>
      </x:c>
      <x:c r="E99" s="12" t="str">
        <x:v>Roaming Assassin</x:v>
      </x:c>
      <x:c r="F99" s="12" t="str">
        <x:v>Assassin</x:v>
      </x:c>
      <x:c r="G99" s="12" t="str"/>
      <x:c r="H99" s="12" t="str">
        <x:v>安全な奇襲・離脱・ローム</x:v>
      </x:c>
      <x:c r="I99" s="12" t="str">
        <x:v>高</x:v>
      </x:c>
      <x:c r="J99" s="12" t="str">
        <x:v>2026-09-25</x:v>
      </x:c>
      <x:c r="K99" s="12" t="n">
        <x:v>50</x:v>
      </x:c>
      <x:c r="L99" s="12" t="n">
        <x:v>100</x:v>
      </x:c>
      <x:c r="M99" s="12" t="n">
        <x:v>10</x:v>
      </x:c>
      <x:c r="N99" s="12" t="n">
        <x:v>10</x:v>
      </x:c>
      <x:c r="O99" s="12" t="n">
        <x:v>20</x:v>
      </x:c>
      <x:c r="P99" s="12" t="n">
        <x:v>100</x:v>
      </x:c>
      <x:c r="Q99" s="12" t="n">
        <x:v>50</x:v>
      </x:c>
      <x:c r="R99" s="12" t="n">
        <x:v>30</x:v>
      </x:c>
      <x:c r="S99" s="12" t="n">
        <x:v>5</x:v>
      </x:c>
      <x:c r="T99" s="12" t="n">
        <x:v>100</x:v>
      </x:c>
      <x:c r="U99" s="12" t="n">
        <x:v>65</x:v>
      </x:c>
      <x:c r="V99" s="12" t="n">
        <x:v>65</x:v>
      </x:c>
      <x:c r="W99" s="12" t="n">
        <x:v>95</x:v>
      </x:c>
      <x:c r="X99" s="12" t="n">
        <x:v>80</x:v>
      </x:c>
      <x:c r="Y99" s="12" t="n">
        <x:v>80</x:v>
      </x:c>
      <x:c r="Z99" s="12" t="n">
        <x:f>ROUND(0.38*K99+0.30*L99+0.17*P99+0.15*Y99,0)</x:f>
        <x:v>78</x:v>
      </x:c>
      <x:c r="AA99" s="12" t="n">
        <x:f>ROUND(0.38*L99+0.25*P99+0.20*T99+0.17*(100-M99),0)</x:f>
        <x:v>98</x:v>
      </x:c>
      <x:c r="AB99" s="12" t="n">
        <x:f>ROUND(0.32*M99+0.26*S99+0.24*R99+0.18*K99,0)</x:f>
        <x:v>21</x:v>
      </x:c>
      <x:c r="AC99" s="12" t="n">
        <x:f>ROUND(0.27*Q99+0.24*T99+0.22*N99+0.15*P99+0.12*V99,0)</x:f>
        <x:v>63</x:v>
      </x:c>
      <x:c r="AD99" s="12" t="n">
        <x:f>ROUND(0.28*O99+0.28*R99+0.28*Y99+0.16*(100-L99),0)</x:f>
        <x:v>36</x:v>
      </x:c>
      <x:c r="AE99" s="12" t="n">
        <x:f>ROUND(0.35*Y99+0.22*T99+0.18*R99+0.13*S99+0.12*X99,0)</x:f>
        <x:v>66</x:v>
      </x:c>
      <x:c r="AF99" s="12" t="n">
        <x:f>ROUND(0.72*X99+0.28*Y99,0)</x:f>
        <x:v>80</x:v>
      </x:c>
      <x:c r="AG99" s="12" t="str">
        <x:v>https://wikiwiki.jp/poke-unite/%E3%83%95%E3%82%A1%E3%82%A4%E3%82%A2%E3%83%AD%E3%83%BC</x:v>
      </x:c>
    </x:row>
    <x:row r="100">
      <x:c r="A100" s="12" t="str">
        <x:v>マスカーニャ</x:v>
      </x:c>
      <x:c r="B100" s="12" t="str">
        <x:v>スピード型</x:v>
      </x:c>
      <x:c r="C100" s="12" t="str">
        <x:v>マスカーニャ-1</x:v>
      </x:c>
      <x:c r="D100" s="12" t="str">
        <x:v>トリックフラワー＋かげぶんしん</x:v>
      </x:c>
      <x:c r="E100" s="12" t="str">
        <x:v>Trick Assassin</x:v>
      </x:c>
      <x:c r="F100" s="12" t="str">
        <x:v>Assassin</x:v>
      </x:c>
      <x:c r="G100" s="12" t="str">
        <x:v>Specialist</x:v>
      </x:c>
      <x:c r="H100" s="12" t="str">
        <x:v>撹乱・心理戦・短時間バースト</x:v>
      </x:c>
      <x:c r="I100" s="12" t="str">
        <x:v>高</x:v>
      </x:c>
      <x:c r="J100" s="12" t="str">
        <x:v>2026-09-25</x:v>
      </x:c>
      <x:c r="K100" s="12" t="n">
        <x:v>50</x:v>
      </x:c>
      <x:c r="L100" s="12" t="n">
        <x:v>80</x:v>
      </x:c>
      <x:c r="M100" s="12" t="n">
        <x:v>25</x:v>
      </x:c>
      <x:c r="N100" s="12" t="n">
        <x:v>20</x:v>
      </x:c>
      <x:c r="O100" s="12" t="n">
        <x:v>30</x:v>
      </x:c>
      <x:c r="P100" s="12" t="n">
        <x:v>95</x:v>
      </x:c>
      <x:c r="Q100" s="12" t="n">
        <x:v>50</x:v>
      </x:c>
      <x:c r="R100" s="12" t="n">
        <x:v>50</x:v>
      </x:c>
      <x:c r="S100" s="12" t="n">
        <x:v>20</x:v>
      </x:c>
      <x:c r="T100" s="12" t="n">
        <x:v>95</x:v>
      </x:c>
      <x:c r="U100" s="12" t="n">
        <x:v>60</x:v>
      </x:c>
      <x:c r="V100" s="12" t="n">
        <x:v>60</x:v>
      </x:c>
      <x:c r="W100" s="12" t="n">
        <x:v>85</x:v>
      </x:c>
      <x:c r="X100" s="12" t="n">
        <x:v>80</x:v>
      </x:c>
      <x:c r="Y100" s="12" t="n">
        <x:v>90</x:v>
      </x:c>
      <x:c r="Z100" s="12" t="n">
        <x:f>ROUND(0.38*K100+0.30*L100+0.17*P100+0.15*Y100,0)</x:f>
        <x:v>73</x:v>
      </x:c>
      <x:c r="AA100" s="12" t="n">
        <x:f>ROUND(0.38*L100+0.25*P100+0.20*T100+0.17*(100-M100),0)</x:f>
        <x:v>86</x:v>
      </x:c>
      <x:c r="AB100" s="12" t="n">
        <x:f>ROUND(0.32*M100+0.26*S100+0.24*R100+0.18*K100,0)</x:f>
        <x:v>34</x:v>
      </x:c>
      <x:c r="AC100" s="12" t="n">
        <x:f>ROUND(0.27*Q100+0.24*T100+0.22*N100+0.15*P100+0.12*V100,0)</x:f>
        <x:v>62</x:v>
      </x:c>
      <x:c r="AD100" s="12" t="n">
        <x:f>ROUND(0.28*O100+0.28*R100+0.28*Y100+0.16*(100-L100),0)</x:f>
        <x:v>51</x:v>
      </x:c>
      <x:c r="AE100" s="12" t="n">
        <x:f>ROUND(0.35*Y100+0.22*T100+0.18*R100+0.13*S100+0.12*X100,0)</x:f>
        <x:v>74</x:v>
      </x:c>
      <x:c r="AF100" s="12" t="n">
        <x:f>ROUND(0.72*X100+0.28*Y100,0)</x:f>
        <x:v>83</x:v>
      </x:c>
      <x:c r="AG100" s="12" t="str">
        <x:v>https://wikiwiki.jp/poke-unite/%E3%83%9E%E3%82%B9%E3%82%AB%E3%83%BC%E3%83%8B%E3%83%A3</x:v>
      </x:c>
    </x:row>
    <x:row r="101">
      <x:c r="A101" s="12" t="str">
        <x:v>マスカーニャ</x:v>
      </x:c>
      <x:c r="B101" s="12" t="str">
        <x:v>スピード型</x:v>
      </x:c>
      <x:c r="C101" s="12" t="str">
        <x:v>マスカーニャ-2</x:v>
      </x:c>
      <x:c r="D101" s="12" t="str">
        <x:v>つじぎり＋くさわけ</x:v>
      </x:c>
      <x:c r="E101" s="12" t="str">
        <x:v>DPS Skirmisher</x:v>
      </x:c>
      <x:c r="F101" s="12" t="str">
        <x:v>Skirmisher</x:v>
      </x:c>
      <x:c r="G101" s="12" t="str">
        <x:v>Assassin</x:v>
      </x:c>
      <x:c r="H101" s="12" t="str">
        <x:v>AA継続火力・ローム</x:v>
      </x:c>
      <x:c r="I101" s="12" t="str">
        <x:v>高</x:v>
      </x:c>
      <x:c r="J101" s="12" t="str">
        <x:v>2026-09-25</x:v>
      </x:c>
      <x:c r="K101" s="12" t="n">
        <x:v>55</x:v>
      </x:c>
      <x:c r="L101" s="12" t="n">
        <x:v>85</x:v>
      </x:c>
      <x:c r="M101" s="12" t="n">
        <x:v>20</x:v>
      </x:c>
      <x:c r="N101" s="12" t="n">
        <x:v>40</x:v>
      </x:c>
      <x:c r="O101" s="12" t="n">
        <x:v>20</x:v>
      </x:c>
      <x:c r="P101" s="12" t="n">
        <x:v>70</x:v>
      </x:c>
      <x:c r="Q101" s="12" t="n">
        <x:v>90</x:v>
      </x:c>
      <x:c r="R101" s="12" t="n">
        <x:v>35</x:v>
      </x:c>
      <x:c r="S101" s="12" t="n">
        <x:v>5</x:v>
      </x:c>
      <x:c r="T101" s="12" t="n">
        <x:v>95</x:v>
      </x:c>
      <x:c r="U101" s="12" t="n">
        <x:v>70</x:v>
      </x:c>
      <x:c r="V101" s="12" t="n">
        <x:v>80</x:v>
      </x:c>
      <x:c r="W101" s="12" t="n">
        <x:v>75</x:v>
      </x:c>
      <x:c r="X101" s="12" t="n">
        <x:v>75</x:v>
      </x:c>
      <x:c r="Y101" s="12" t="n">
        <x:v>70</x:v>
      </x:c>
      <x:c r="Z101" s="12" t="n">
        <x:f>ROUND(0.38*K101+0.30*L101+0.17*P101+0.15*Y101,0)</x:f>
        <x:v>69</x:v>
      </x:c>
      <x:c r="AA101" s="12" t="n">
        <x:f>ROUND(0.38*L101+0.25*P101+0.20*T101+0.17*(100-M101),0)</x:f>
        <x:v>82</x:v>
      </x:c>
      <x:c r="AB101" s="12" t="n">
        <x:f>ROUND(0.32*M101+0.26*S101+0.24*R101+0.18*K101,0)</x:f>
        <x:v>26</x:v>
      </x:c>
      <x:c r="AC101" s="12" t="n">
        <x:f>ROUND(0.27*Q101+0.24*T101+0.22*N101+0.15*P101+0.12*V101,0)</x:f>
        <x:v>76</x:v>
      </x:c>
      <x:c r="AD101" s="12" t="n">
        <x:f>ROUND(0.28*O101+0.28*R101+0.28*Y101+0.16*(100-L101),0)</x:f>
        <x:v>37</x:v>
      </x:c>
      <x:c r="AE101" s="12" t="n">
        <x:f>ROUND(0.35*Y101+0.22*T101+0.18*R101+0.13*S101+0.12*X101,0)</x:f>
        <x:v>61</x:v>
      </x:c>
      <x:c r="AF101" s="12" t="n">
        <x:f>ROUND(0.72*X101+0.28*Y101,0)</x:f>
        <x:v>74</x:v>
      </x:c>
      <x:c r="AG101" s="12" t="str">
        <x:v>https://wikiwiki.jp/poke-unite/%E3%83%9E%E3%82%B9%E3%82%AB%E3%83%BC%E3%83%8B%E3%83%A3</x:v>
      </x:c>
    </x:row>
    <x:row r="102">
      <x:c r="A102" s="12" t="str">
        <x:v>モルペコ</x:v>
      </x:c>
      <x:c r="B102" s="12" t="str">
        <x:v>スピード型</x:v>
      </x:c>
      <x:c r="C102" s="12" t="str">
        <x:v>モルペコ-1</x:v>
      </x:c>
      <x:c r="D102" s="12" t="str">
        <x:v>共通プロファイル</x:v>
      </x:c>
      <x:c r="E102" s="12" t="str">
        <x:v>Assassin</x:v>
      </x:c>
      <x:c r="F102" s="12" t="str">
        <x:v>Assassin</x:v>
      </x:c>
      <x:c r="G102" s="12" t="str"/>
      <x:c r="H102" s="12" t="str">
        <x:v>技選択で主役割が大きく変わらないため統合</x:v>
      </x:c>
      <x:c r="I102" s="12" t="str">
        <x:v>低</x:v>
      </x:c>
      <x:c r="J102" s="12" t="str">
        <x:v>2026-09-25</x:v>
      </x:c>
      <x:c r="K102" s="12" t="n">
        <x:v>50</x:v>
      </x:c>
      <x:c r="L102" s="12" t="n">
        <x:v>100</x:v>
      </x:c>
      <x:c r="M102" s="12" t="n">
        <x:v>10</x:v>
      </x:c>
      <x:c r="N102" s="12" t="n">
        <x:v>10</x:v>
      </x:c>
      <x:c r="O102" s="12" t="n">
        <x:v>20</x:v>
      </x:c>
      <x:c r="P102" s="12" t="n">
        <x:v>100</x:v>
      </x:c>
      <x:c r="Q102" s="12" t="n">
        <x:v>50</x:v>
      </x:c>
      <x:c r="R102" s="12" t="n">
        <x:v>30</x:v>
      </x:c>
      <x:c r="S102" s="12" t="n">
        <x:v>5</x:v>
      </x:c>
      <x:c r="T102" s="12" t="n">
        <x:v>100</x:v>
      </x:c>
      <x:c r="U102" s="12" t="n">
        <x:v>65</x:v>
      </x:c>
      <x:c r="V102" s="12" t="n">
        <x:v>65</x:v>
      </x:c>
      <x:c r="W102" s="12" t="n">
        <x:v>85</x:v>
      </x:c>
      <x:c r="X102" s="12" t="n">
        <x:v>90</x:v>
      </x:c>
      <x:c r="Y102" s="12" t="n">
        <x:v>75</x:v>
      </x:c>
      <x:c r="Z102" s="12" t="n">
        <x:f>ROUND(0.38*K102+0.30*L102+0.17*P102+0.15*Y102,0)</x:f>
        <x:v>77</x:v>
      </x:c>
      <x:c r="AA102" s="12" t="n">
        <x:f>ROUND(0.38*L102+0.25*P102+0.20*T102+0.17*(100-M102),0)</x:f>
        <x:v>98</x:v>
      </x:c>
      <x:c r="AB102" s="12" t="n">
        <x:f>ROUND(0.32*M102+0.26*S102+0.24*R102+0.18*K102,0)</x:f>
        <x:v>21</x:v>
      </x:c>
      <x:c r="AC102" s="12" t="n">
        <x:f>ROUND(0.27*Q102+0.24*T102+0.22*N102+0.15*P102+0.12*V102,0)</x:f>
        <x:v>63</x:v>
      </x:c>
      <x:c r="AD102" s="12" t="n">
        <x:f>ROUND(0.28*O102+0.28*R102+0.28*Y102+0.16*(100-L102),0)</x:f>
        <x:v>35</x:v>
      </x:c>
      <x:c r="AE102" s="12" t="n">
        <x:f>ROUND(0.35*Y102+0.22*T102+0.18*R102+0.13*S102+0.12*X102,0)</x:f>
        <x:v>65</x:v>
      </x:c>
      <x:c r="AF102" s="12" t="n">
        <x:f>ROUND(0.72*X102+0.28*Y102,0)</x:f>
        <x:v>86</x:v>
      </x:c>
      <x:c r="AG102" s="12" t="str">
        <x:v>https://wikiwiki.jp/poke-unite/%E3%83%A2%E3%83%AB%E3%83%9A%E3%82%B3</x:v>
      </x:c>
    </x:row>
    <x:row r="103">
      <x:c r="A103" s="12" t="str">
        <x:v>リーフィア</x:v>
      </x:c>
      <x:c r="B103" s="12" t="str">
        <x:v>スピード型</x:v>
      </x:c>
      <x:c r="C103" s="12" t="str">
        <x:v>リーフィア-1</x:v>
      </x:c>
      <x:c r="D103" s="12" t="str">
        <x:v>共通プロファイル</x:v>
      </x:c>
      <x:c r="E103" s="12" t="str">
        <x:v>Assassin</x:v>
      </x:c>
      <x:c r="F103" s="12" t="str">
        <x:v>Assassin</x:v>
      </x:c>
      <x:c r="G103" s="12" t="str"/>
      <x:c r="H103" s="12" t="str">
        <x:v>技選択で主役割が大きく変わらないため統合</x:v>
      </x:c>
      <x:c r="I103" s="12" t="str">
        <x:v>高</x:v>
      </x:c>
      <x:c r="J103" s="12" t="str">
        <x:v>2026-09-25</x:v>
      </x:c>
      <x:c r="K103" s="12" t="n">
        <x:v>50</x:v>
      </x:c>
      <x:c r="L103" s="12" t="n">
        <x:v>100</x:v>
      </x:c>
      <x:c r="M103" s="12" t="n">
        <x:v>10</x:v>
      </x:c>
      <x:c r="N103" s="12" t="n">
        <x:v>10</x:v>
      </x:c>
      <x:c r="O103" s="12" t="n">
        <x:v>20</x:v>
      </x:c>
      <x:c r="P103" s="12" t="n">
        <x:v>100</x:v>
      </x:c>
      <x:c r="Q103" s="12" t="n">
        <x:v>50</x:v>
      </x:c>
      <x:c r="R103" s="12" t="n">
        <x:v>30</x:v>
      </x:c>
      <x:c r="S103" s="12" t="n">
        <x:v>5</x:v>
      </x:c>
      <x:c r="T103" s="12" t="n">
        <x:v>100</x:v>
      </x:c>
      <x:c r="U103" s="12" t="n">
        <x:v>55</x:v>
      </x:c>
      <x:c r="V103" s="12" t="n">
        <x:v>65</x:v>
      </x:c>
      <x:c r="W103" s="12" t="n">
        <x:v>85</x:v>
      </x:c>
      <x:c r="X103" s="12" t="n">
        <x:v>80</x:v>
      </x:c>
      <x:c r="Y103" s="12" t="n">
        <x:v>75</x:v>
      </x:c>
      <x:c r="Z103" s="12" t="n">
        <x:f>ROUND(0.38*K103+0.30*L103+0.17*P103+0.15*Y103,0)</x:f>
        <x:v>77</x:v>
      </x:c>
      <x:c r="AA103" s="12" t="n">
        <x:f>ROUND(0.38*L103+0.25*P103+0.20*T103+0.17*(100-M103),0)</x:f>
        <x:v>98</x:v>
      </x:c>
      <x:c r="AB103" s="12" t="n">
        <x:f>ROUND(0.32*M103+0.26*S103+0.24*R103+0.18*K103,0)</x:f>
        <x:v>21</x:v>
      </x:c>
      <x:c r="AC103" s="12" t="n">
        <x:f>ROUND(0.27*Q103+0.24*T103+0.22*N103+0.15*P103+0.12*V103,0)</x:f>
        <x:v>63</x:v>
      </x:c>
      <x:c r="AD103" s="12" t="n">
        <x:f>ROUND(0.28*O103+0.28*R103+0.28*Y103+0.16*(100-L103),0)</x:f>
        <x:v>35</x:v>
      </x:c>
      <x:c r="AE103" s="12" t="n">
        <x:f>ROUND(0.35*Y103+0.22*T103+0.18*R103+0.13*S103+0.12*X103,0)</x:f>
        <x:v>64</x:v>
      </x:c>
      <x:c r="AF103" s="12" t="n">
        <x:f>ROUND(0.72*X103+0.28*Y103,0)</x:f>
        <x:v>79</x:v>
      </x:c>
      <x:c r="AG103" s="12" t="str">
        <x:v>https://wikiwiki.jp/poke-unite/%E3%83%AA%E3%83%BC%E3%83%95%E3%82%A3%E3%82%A2</x:v>
      </x:c>
    </x:row>
    <x:row r="104">
      <x:c r="A104" s="12" t="str">
        <x:v>イワパレス</x:v>
      </x:c>
      <x:c r="B104" s="12" t="str">
        <x:v>ディフェンス型</x:v>
      </x:c>
      <x:c r="C104" s="12" t="str">
        <x:v>イワパレス-1</x:v>
      </x:c>
      <x:c r="D104" s="12" t="str">
        <x:v>がんせきふうじ＋ステルスロック</x:v>
      </x:c>
      <x:c r="E104" s="12" t="str">
        <x:v>Zone Vanguard</x:v>
      </x:c>
      <x:c r="F104" s="12" t="str">
        <x:v>Vanguard</x:v>
      </x:c>
      <x:c r="G104" s="12" t="str"/>
      <x:c r="H104" s="12" t="str">
        <x:v>壁と設置で盤面制御</x:v>
      </x:c>
      <x:c r="I104" s="12" t="str">
        <x:v>高</x:v>
      </x:c>
      <x:c r="J104" s="12" t="str">
        <x:v>2026-09-25</x:v>
      </x:c>
      <x:c r="K104" s="12" t="n">
        <x:v>95</x:v>
      </x:c>
      <x:c r="L104" s="12" t="n">
        <x:v>70</x:v>
      </x:c>
      <x:c r="M104" s="12" t="n">
        <x:v>80</x:v>
      </x:c>
      <x:c r="N104" s="12" t="n">
        <x:v>100</x:v>
      </x:c>
      <x:c r="O104" s="12" t="n">
        <x:v>30</x:v>
      </x:c>
      <x:c r="P104" s="12" t="n">
        <x:v>40</x:v>
      </x:c>
      <x:c r="Q104" s="12" t="n">
        <x:v>40</x:v>
      </x:c>
      <x:c r="R104" s="12" t="n">
        <x:v>100</x:v>
      </x:c>
      <x:c r="S104" s="12" t="n">
        <x:v>30</x:v>
      </x:c>
      <x:c r="T104" s="12" t="n">
        <x:v>40</x:v>
      </x:c>
      <x:c r="U104" s="12" t="n">
        <x:v>30</x:v>
      </x:c>
      <x:c r="V104" s="12" t="n">
        <x:v>45</x:v>
      </x:c>
      <x:c r="W104" s="12" t="n">
        <x:v>35</x:v>
      </x:c>
      <x:c r="X104" s="12" t="n">
        <x:v>55</x:v>
      </x:c>
      <x:c r="Y104" s="12" t="n">
        <x:v>85</x:v>
      </x:c>
      <x:c r="Z104" s="12" t="n">
        <x:f>ROUND(0.38*K104+0.30*L104+0.17*P104+0.15*Y104,0)</x:f>
        <x:v>77</x:v>
      </x:c>
      <x:c r="AA104" s="12" t="n">
        <x:f>ROUND(0.38*L104+0.25*P104+0.20*T104+0.17*(100-M104),0)</x:f>
        <x:v>48</x:v>
      </x:c>
      <x:c r="AB104" s="12" t="n">
        <x:f>ROUND(0.32*M104+0.26*S104+0.24*R104+0.18*K104,0)</x:f>
        <x:v>75</x:v>
      </x:c>
      <x:c r="AC104" s="12" t="n">
        <x:f>ROUND(0.27*Q104+0.24*T104+0.22*N104+0.15*P104+0.12*V104,0)</x:f>
        <x:v>54</x:v>
      </x:c>
      <x:c r="AD104" s="12" t="n">
        <x:f>ROUND(0.28*O104+0.28*R104+0.28*Y104+0.16*(100-L104),0)</x:f>
        <x:v>65</x:v>
      </x:c>
      <x:c r="AE104" s="12" t="n">
        <x:f>ROUND(0.35*Y104+0.22*T104+0.18*R104+0.13*S104+0.12*X104,0)</x:f>
        <x:v>67</x:v>
      </x:c>
      <x:c r="AF104" s="12" t="n">
        <x:f>ROUND(0.72*X104+0.28*Y104,0)</x:f>
        <x:v>63</x:v>
      </x:c>
      <x:c r="AG104" s="12" t="str">
        <x:v>https://wikiwiki.jp/poke-unite/%E3%82%A4%E3%83%AF%E3%83%91%E3%83%AC%E3%82%B9</x:v>
      </x:c>
    </x:row>
    <x:row r="105">
      <x:c r="A105" s="12" t="str">
        <x:v>イワパレス</x:v>
      </x:c>
      <x:c r="B105" s="12" t="str">
        <x:v>ディフェンス型</x:v>
      </x:c>
      <x:c r="C105" s="12" t="str">
        <x:v>イワパレス-2</x:v>
      </x:c>
      <x:c r="D105" s="12" t="str">
        <x:v>からをやぶる＋シザークロス</x:v>
      </x:c>
      <x:c r="E105" s="12" t="str">
        <x:v>Roaming Bruiser</x:v>
      </x:c>
      <x:c r="F105" s="12" t="str">
        <x:v>Diver</x:v>
      </x:c>
      <x:c r="G105" s="12" t="str">
        <x:v>Juggernaut</x:v>
      </x:c>
      <x:c r="H105" s="12" t="str">
        <x:v>高速ローム・押し込み</x:v>
      </x:c>
      <x:c r="I105" s="12" t="str">
        <x:v>高</x:v>
      </x:c>
      <x:c r="J105" s="12" t="str">
        <x:v>2026-09-25</x:v>
      </x:c>
      <x:c r="K105" s="12" t="n">
        <x:v>70</x:v>
      </x:c>
      <x:c r="L105" s="12" t="n">
        <x:v>75</x:v>
      </x:c>
      <x:c r="M105" s="12" t="n">
        <x:v>20</x:v>
      </x:c>
      <x:c r="N105" s="12" t="n">
        <x:v>80</x:v>
      </x:c>
      <x:c r="O105" s="12" t="n">
        <x:v>15</x:v>
      </x:c>
      <x:c r="P105" s="12" t="n">
        <x:v>80</x:v>
      </x:c>
      <x:c r="Q105" s="12" t="n">
        <x:v>75</x:v>
      </x:c>
      <x:c r="R105" s="12" t="n">
        <x:v>50</x:v>
      </x:c>
      <x:c r="S105" s="12" t="n">
        <x:v>15</x:v>
      </x:c>
      <x:c r="T105" s="12" t="n">
        <x:v>85</x:v>
      </x:c>
      <x:c r="U105" s="12" t="n">
        <x:v>65</x:v>
      </x:c>
      <x:c r="V105" s="12" t="n">
        <x:v>70</x:v>
      </x:c>
      <x:c r="W105" s="12" t="n">
        <x:v>70</x:v>
      </x:c>
      <x:c r="X105" s="12" t="n">
        <x:v>65</x:v>
      </x:c>
      <x:c r="Y105" s="12" t="n">
        <x:v>65</x:v>
      </x:c>
      <x:c r="Z105" s="12" t="n">
        <x:f>ROUND(0.38*K105+0.30*L105+0.17*P105+0.15*Y105,0)</x:f>
        <x:v>72</x:v>
      </x:c>
      <x:c r="AA105" s="12" t="n">
        <x:f>ROUND(0.38*L105+0.25*P105+0.20*T105+0.17*(100-M105),0)</x:f>
        <x:v>79</x:v>
      </x:c>
      <x:c r="AB105" s="12" t="n">
        <x:f>ROUND(0.32*M105+0.26*S105+0.24*R105+0.18*K105,0)</x:f>
        <x:v>35</x:v>
      </x:c>
      <x:c r="AC105" s="12" t="n">
        <x:f>ROUND(0.27*Q105+0.24*T105+0.22*N105+0.15*P105+0.12*V105,0)</x:f>
        <x:v>79</x:v>
      </x:c>
      <x:c r="AD105" s="12" t="n">
        <x:f>ROUND(0.28*O105+0.28*R105+0.28*Y105+0.16*(100-L105),0)</x:f>
        <x:v>40</x:v>
      </x:c>
      <x:c r="AE105" s="12" t="n">
        <x:f>ROUND(0.35*Y105+0.22*T105+0.18*R105+0.13*S105+0.12*X105,0)</x:f>
        <x:v>60</x:v>
      </x:c>
      <x:c r="AF105" s="12" t="n">
        <x:f>ROUND(0.72*X105+0.28*Y105,0)</x:f>
        <x:v>65</x:v>
      </x:c>
      <x:c r="AG105" s="12" t="str">
        <x:v>https://wikiwiki.jp/poke-unite/%E3%82%A4%E3%83%AF%E3%83%91%E3%83%AC%E3%82%B9</x:v>
      </x:c>
    </x:row>
    <x:row r="106">
      <x:c r="A106" s="12" t="str">
        <x:v>オーロット</x:v>
      </x:c>
      <x:c r="B106" s="12" t="str">
        <x:v>ディフェンス型</x:v>
      </x:c>
      <x:c r="C106" s="12" t="str">
        <x:v>オーロット-1</x:v>
      </x:c>
      <x:c r="D106" s="12" t="str">
        <x:v>ウッドハンマー＋ウッドホーン</x:v>
      </x:c>
      <x:c r="E106" s="12" t="str">
        <x:v>Engage Tank</x:v>
      </x:c>
      <x:c r="F106" s="12" t="str">
        <x:v>Vanguard</x:v>
      </x:c>
      <x:c r="G106" s="12" t="str">
        <x:v>Warden</x:v>
      </x:c>
      <x:c r="H106" s="12" t="str">
        <x:v>CCチェイン・味方起点</x:v>
      </x:c>
      <x:c r="I106" s="12" t="str">
        <x:v>高</x:v>
      </x:c>
      <x:c r="J106" s="12" t="str">
        <x:v>2026-09-25</x:v>
      </x:c>
      <x:c r="K106" s="12" t="n">
        <x:v>90</x:v>
      </x:c>
      <x:c r="L106" s="12" t="n">
        <x:v>60</x:v>
      </x:c>
      <x:c r="M106" s="12" t="n">
        <x:v>90</x:v>
      </x:c>
      <x:c r="N106" s="12" t="n">
        <x:v>100</x:v>
      </x:c>
      <x:c r="O106" s="12" t="n">
        <x:v>15</x:v>
      </x:c>
      <x:c r="P106" s="12" t="n">
        <x:v>35</x:v>
      </x:c>
      <x:c r="Q106" s="12" t="n">
        <x:v>30</x:v>
      </x:c>
      <x:c r="R106" s="12" t="n">
        <x:v>100</x:v>
      </x:c>
      <x:c r="S106" s="12" t="n">
        <x:v>35</x:v>
      </x:c>
      <x:c r="T106" s="12" t="n">
        <x:v>50</x:v>
      </x:c>
      <x:c r="U106" s="12" t="n">
        <x:v>30</x:v>
      </x:c>
      <x:c r="V106" s="12" t="n">
        <x:v>40</x:v>
      </x:c>
      <x:c r="W106" s="12" t="n">
        <x:v>35</x:v>
      </x:c>
      <x:c r="X106" s="12" t="n">
        <x:v>55</x:v>
      </x:c>
      <x:c r="Y106" s="12" t="n">
        <x:v>85</x:v>
      </x:c>
      <x:c r="Z106" s="12" t="n">
        <x:f>ROUND(0.38*K106+0.30*L106+0.17*P106+0.15*Y106,0)</x:f>
        <x:v>71</x:v>
      </x:c>
      <x:c r="AA106" s="12" t="n">
        <x:f>ROUND(0.38*L106+0.25*P106+0.20*T106+0.17*(100-M106),0)</x:f>
        <x:v>43</x:v>
      </x:c>
      <x:c r="AB106" s="12" t="n">
        <x:f>ROUND(0.32*M106+0.26*S106+0.24*R106+0.18*K106,0)</x:f>
        <x:v>78</x:v>
      </x:c>
      <x:c r="AC106" s="12" t="n">
        <x:f>ROUND(0.27*Q106+0.24*T106+0.22*N106+0.15*P106+0.12*V106,0)</x:f>
        <x:v>52</x:v>
      </x:c>
      <x:c r="AD106" s="12" t="n">
        <x:f>ROUND(0.28*O106+0.28*R106+0.28*Y106+0.16*(100-L106),0)</x:f>
        <x:v>62</x:v>
      </x:c>
      <x:c r="AE106" s="12" t="n">
        <x:f>ROUND(0.35*Y106+0.22*T106+0.18*R106+0.13*S106+0.12*X106,0)</x:f>
        <x:v>70</x:v>
      </x:c>
      <x:c r="AF106" s="12" t="n">
        <x:f>ROUND(0.72*X106+0.28*Y106,0)</x:f>
        <x:v>63</x:v>
      </x:c>
      <x:c r="AG106" s="12" t="str">
        <x:v>https://wikiwiki.jp/poke-unite/%E3%82%AA%E3%83%BC%E3%83%AD%E3%83%83%E3%83%88</x:v>
      </x:c>
    </x:row>
    <x:row r="107">
      <x:c r="A107" s="12" t="str">
        <x:v>オーロット</x:v>
      </x:c>
      <x:c r="B107" s="12" t="str">
        <x:v>ディフェンス型</x:v>
      </x:c>
      <x:c r="C107" s="12" t="str">
        <x:v>オーロット-2</x:v>
      </x:c>
      <x:c r="D107" s="12" t="str">
        <x:v>のろい＋いたみわけ</x:v>
      </x:c>
      <x:c r="E107" s="12" t="str">
        <x:v>Drain Juggernaut</x:v>
      </x:c>
      <x:c r="F107" s="12" t="str">
        <x:v>Juggernaut</x:v>
      </x:c>
      <x:c r="G107" s="12" t="str"/>
      <x:c r="H107" s="12" t="str">
        <x:v>自己完結の耐久デュエル</x:v>
      </x:c>
      <x:c r="I107" s="12" t="str">
        <x:v>高</x:v>
      </x:c>
      <x:c r="J107" s="12" t="str">
        <x:v>2026-09-25</x:v>
      </x:c>
      <x:c r="K107" s="12" t="n">
        <x:v>55</x:v>
      </x:c>
      <x:c r="L107" s="12" t="n">
        <x:v>45</x:v>
      </x:c>
      <x:c r="M107" s="12" t="n">
        <x:v>45</x:v>
      </x:c>
      <x:c r="N107" s="12" t="n">
        <x:v>100</x:v>
      </x:c>
      <x:c r="O107" s="12" t="n">
        <x:v>15</x:v>
      </x:c>
      <x:c r="P107" s="12" t="n">
        <x:v>60</x:v>
      </x:c>
      <x:c r="Q107" s="12" t="n">
        <x:v>95</x:v>
      </x:c>
      <x:c r="R107" s="12" t="n">
        <x:v>35</x:v>
      </x:c>
      <x:c r="S107" s="12" t="n">
        <x:v>10</x:v>
      </x:c>
      <x:c r="T107" s="12" t="n">
        <x:v>35</x:v>
      </x:c>
      <x:c r="U107" s="12" t="n">
        <x:v>70</x:v>
      </x:c>
      <x:c r="V107" s="12" t="n">
        <x:v>80</x:v>
      </x:c>
      <x:c r="W107" s="12" t="n">
        <x:v>40</x:v>
      </x:c>
      <x:c r="X107" s="12" t="n">
        <x:v>50</x:v>
      </x:c>
      <x:c r="Y107" s="12" t="n">
        <x:v>60</x:v>
      </x:c>
      <x:c r="Z107" s="12" t="n">
        <x:f>ROUND(0.38*K107+0.30*L107+0.17*P107+0.15*Y107,0)</x:f>
        <x:v>54</x:v>
      </x:c>
      <x:c r="AA107" s="12" t="n">
        <x:f>ROUND(0.38*L107+0.25*P107+0.20*T107+0.17*(100-M107),0)</x:f>
        <x:v>48</x:v>
      </x:c>
      <x:c r="AB107" s="12" t="n">
        <x:f>ROUND(0.32*M107+0.26*S107+0.24*R107+0.18*K107,0)</x:f>
        <x:v>35</x:v>
      </x:c>
      <x:c r="AC107" s="12" t="n">
        <x:f>ROUND(0.27*Q107+0.24*T107+0.22*N107+0.15*P107+0.12*V107,0)</x:f>
        <x:v>75</x:v>
      </x:c>
      <x:c r="AD107" s="12" t="n">
        <x:f>ROUND(0.28*O107+0.28*R107+0.28*Y107+0.16*(100-L107),0)</x:f>
        <x:v>40</x:v>
      </x:c>
      <x:c r="AE107" s="12" t="n">
        <x:f>ROUND(0.35*Y107+0.22*T107+0.18*R107+0.13*S107+0.12*X107,0)</x:f>
        <x:v>42</x:v>
      </x:c>
      <x:c r="AF107" s="12" t="n">
        <x:f>ROUND(0.72*X107+0.28*Y107,0)</x:f>
        <x:v>53</x:v>
      </x:c>
      <x:c r="AG107" s="12" t="str">
        <x:v>https://wikiwiki.jp/poke-unite/%E3%82%AA%E3%83%BC%E3%83%AD%E3%83%83%E3%83%88</x:v>
      </x:c>
    </x:row>
    <x:row r="108">
      <x:c r="A108" s="12" t="str">
        <x:v>カビゴン</x:v>
      </x:c>
      <x:c r="B108" s="12" t="str">
        <x:v>ディフェンス型</x:v>
      </x:c>
      <x:c r="C108" s="12" t="str">
        <x:v>カビゴン-1</x:v>
      </x:c>
      <x:c r="D108" s="12" t="str">
        <x:v>ヘビーボンバー＋とおせんぼう</x:v>
      </x:c>
      <x:c r="E108" s="12" t="str">
        <x:v>Engage Tank</x:v>
      </x:c>
      <x:c r="F108" s="12" t="str">
        <x:v>Vanguard</x:v>
      </x:c>
      <x:c r="G108" s="12" t="str">
        <x:v>Warden</x:v>
      </x:c>
      <x:c r="H108" s="12" t="str">
        <x:v>集団戦の起点・壁役</x:v>
      </x:c>
      <x:c r="I108" s="12" t="str">
        <x:v>高</x:v>
      </x:c>
      <x:c r="J108" s="12" t="str">
        <x:v>2026-09-25</x:v>
      </x:c>
      <x:c r="K108" s="12" t="n">
        <x:v>95</x:v>
      </x:c>
      <x:c r="L108" s="12" t="n">
        <x:v>60</x:v>
      </x:c>
      <x:c r="M108" s="12" t="n">
        <x:v>95</x:v>
      </x:c>
      <x:c r="N108" s="12" t="n">
        <x:v>100</x:v>
      </x:c>
      <x:c r="O108" s="12" t="n">
        <x:v>15</x:v>
      </x:c>
      <x:c r="P108" s="12" t="n">
        <x:v>25</x:v>
      </x:c>
      <x:c r="Q108" s="12" t="n">
        <x:v>35</x:v>
      </x:c>
      <x:c r="R108" s="12" t="n">
        <x:v>100</x:v>
      </x:c>
      <x:c r="S108" s="12" t="n">
        <x:v>40</x:v>
      </x:c>
      <x:c r="T108" s="12" t="n">
        <x:v>50</x:v>
      </x:c>
      <x:c r="U108" s="12" t="n">
        <x:v>30</x:v>
      </x:c>
      <x:c r="V108" s="12" t="n">
        <x:v>40</x:v>
      </x:c>
      <x:c r="W108" s="12" t="n">
        <x:v>35</x:v>
      </x:c>
      <x:c r="X108" s="12" t="n">
        <x:v>55</x:v>
      </x:c>
      <x:c r="Y108" s="12" t="n">
        <x:v>85</x:v>
      </x:c>
      <x:c r="Z108" s="12" t="n">
        <x:f>ROUND(0.38*K108+0.30*L108+0.17*P108+0.15*Y108,0)</x:f>
        <x:v>71</x:v>
      </x:c>
      <x:c r="AA108" s="12" t="n">
        <x:f>ROUND(0.38*L108+0.25*P108+0.20*T108+0.17*(100-M108),0)</x:f>
        <x:v>40</x:v>
      </x:c>
      <x:c r="AB108" s="12" t="n">
        <x:f>ROUND(0.32*M108+0.26*S108+0.24*R108+0.18*K108,0)</x:f>
        <x:v>82</x:v>
      </x:c>
      <x:c r="AC108" s="12" t="n">
        <x:f>ROUND(0.27*Q108+0.24*T108+0.22*N108+0.15*P108+0.12*V108,0)</x:f>
        <x:v>52</x:v>
      </x:c>
      <x:c r="AD108" s="12" t="n">
        <x:f>ROUND(0.28*O108+0.28*R108+0.28*Y108+0.16*(100-L108),0)</x:f>
        <x:v>62</x:v>
      </x:c>
      <x:c r="AE108" s="12" t="n">
        <x:f>ROUND(0.35*Y108+0.22*T108+0.18*R108+0.13*S108+0.12*X108,0)</x:f>
        <x:v>71</x:v>
      </x:c>
      <x:c r="AF108" s="12" t="n">
        <x:f>ROUND(0.72*X108+0.28*Y108,0)</x:f>
        <x:v>63</x:v>
      </x:c>
      <x:c r="AG108" s="12" t="str">
        <x:v>https://wikiwiki.jp/poke-unite/%E3%82%AB%E3%83%93%E3%82%B4%E3%83%B3</x:v>
      </x:c>
    </x:row>
    <x:row r="109">
      <x:c r="A109" s="12" t="str">
        <x:v>カビゴン</x:v>
      </x:c>
      <x:c r="B109" s="12" t="str">
        <x:v>ディフェンス型</x:v>
      </x:c>
      <x:c r="C109" s="12" t="str">
        <x:v>カビゴン-2</x:v>
      </x:c>
      <x:c r="D109" s="12" t="str">
        <x:v>じたばた＋あくび</x:v>
      </x:c>
      <x:c r="E109" s="12" t="str">
        <x:v>Bruiser Tank</x:v>
      </x:c>
      <x:c r="F109" s="12" t="str">
        <x:v>Juggernaut</x:v>
      </x:c>
      <x:c r="G109" s="12" t="str">
        <x:v>Catcher</x:v>
      </x:c>
      <x:c r="H109" s="12" t="str">
        <x:v>殴り合い・単独圧力</x:v>
      </x:c>
      <x:c r="I109" s="12" t="str">
        <x:v>高</x:v>
      </x:c>
      <x:c r="J109" s="12" t="str">
        <x:v>2026-09-25</x:v>
      </x:c>
      <x:c r="K109" s="12" t="n">
        <x:v>60</x:v>
      </x:c>
      <x:c r="L109" s="12" t="n">
        <x:v>45</x:v>
      </x:c>
      <x:c r="M109" s="12" t="n">
        <x:v>35</x:v>
      </x:c>
      <x:c r="N109" s="12" t="n">
        <x:v>95</x:v>
      </x:c>
      <x:c r="O109" s="12" t="n">
        <x:v>25</x:v>
      </x:c>
      <x:c r="P109" s="12" t="n">
        <x:v>65</x:v>
      </x:c>
      <x:c r="Q109" s="12" t="n">
        <x:v>85</x:v>
      </x:c>
      <x:c r="R109" s="12" t="n">
        <x:v>65</x:v>
      </x:c>
      <x:c r="S109" s="12" t="n">
        <x:v>20</x:v>
      </x:c>
      <x:c r="T109" s="12" t="n">
        <x:v>40</x:v>
      </x:c>
      <x:c r="U109" s="12" t="n">
        <x:v>60</x:v>
      </x:c>
      <x:c r="V109" s="12" t="n">
        <x:v>70</x:v>
      </x:c>
      <x:c r="W109" s="12" t="n">
        <x:v>40</x:v>
      </x:c>
      <x:c r="X109" s="12" t="n">
        <x:v>55</x:v>
      </x:c>
      <x:c r="Y109" s="12" t="n">
        <x:v>70</x:v>
      </x:c>
      <x:c r="Z109" s="12" t="n">
        <x:f>ROUND(0.38*K109+0.30*L109+0.17*P109+0.15*Y109,0)</x:f>
        <x:v>58</x:v>
      </x:c>
      <x:c r="AA109" s="12" t="n">
        <x:f>ROUND(0.38*L109+0.25*P109+0.20*T109+0.17*(100-M109),0)</x:f>
        <x:v>52</x:v>
      </x:c>
      <x:c r="AB109" s="12" t="n">
        <x:f>ROUND(0.32*M109+0.26*S109+0.24*R109+0.18*K109,0)</x:f>
        <x:v>43</x:v>
      </x:c>
      <x:c r="AC109" s="12" t="n">
        <x:f>ROUND(0.27*Q109+0.24*T109+0.22*N109+0.15*P109+0.12*V109,0)</x:f>
        <x:v>72</x:v>
      </x:c>
      <x:c r="AD109" s="12" t="n">
        <x:f>ROUND(0.28*O109+0.28*R109+0.28*Y109+0.16*(100-L109),0)</x:f>
        <x:v>54</x:v>
      </x:c>
      <x:c r="AE109" s="12" t="n">
        <x:f>ROUND(0.35*Y109+0.22*T109+0.18*R109+0.13*S109+0.12*X109,0)</x:f>
        <x:v>54</x:v>
      </x:c>
      <x:c r="AF109" s="12" t="n">
        <x:f>ROUND(0.72*X109+0.28*Y109,0)</x:f>
        <x:v>59</x:v>
      </x:c>
      <x:c r="AG109" s="12" t="str">
        <x:v>https://wikiwiki.jp/poke-unite/%E3%82%AB%E3%83%93%E3%82%B4%E3%83%B3</x:v>
      </x:c>
    </x:row>
    <x:row r="110">
      <x:c r="A110" s="12" t="str">
        <x:v>カメックス</x:v>
      </x:c>
      <x:c r="B110" s="12" t="str">
        <x:v>ディフェンス型</x:v>
      </x:c>
      <x:c r="C110" s="12" t="str">
        <x:v>カメックス-1</x:v>
      </x:c>
      <x:c r="D110" s="12" t="str">
        <x:v>ハイドロポンプ＋なみのり</x:v>
      </x:c>
      <x:c r="E110" s="12" t="str">
        <x:v>Control Tank</x:v>
      </x:c>
      <x:c r="F110" s="12" t="str">
        <x:v>Warden</x:v>
      </x:c>
      <x:c r="G110" s="12" t="str">
        <x:v>Vanguard</x:v>
      </x:c>
      <x:c r="H110" s="12" t="str">
        <x:v>位置操作・接近拒否</x:v>
      </x:c>
      <x:c r="I110" s="12" t="str">
        <x:v>高</x:v>
      </x:c>
      <x:c r="J110" s="12" t="str">
        <x:v>2026-09-25</x:v>
      </x:c>
      <x:c r="K110" s="12" t="n">
        <x:v>70</x:v>
      </x:c>
      <x:c r="L110" s="12" t="n">
        <x:v>35</x:v>
      </x:c>
      <x:c r="M110" s="12" t="n">
        <x:v>100</x:v>
      </x:c>
      <x:c r="N110" s="12" t="n">
        <x:v>100</x:v>
      </x:c>
      <x:c r="O110" s="12" t="n">
        <x:v>25</x:v>
      </x:c>
      <x:c r="P110" s="12" t="n">
        <x:v>30</x:v>
      </x:c>
      <x:c r="Q110" s="12" t="n">
        <x:v>20</x:v>
      </x:c>
      <x:c r="R110" s="12" t="n">
        <x:v>100</x:v>
      </x:c>
      <x:c r="S110" s="12" t="n">
        <x:v>45</x:v>
      </x:c>
      <x:c r="T110" s="12" t="n">
        <x:v>40</x:v>
      </x:c>
      <x:c r="U110" s="12" t="n">
        <x:v>25</x:v>
      </x:c>
      <x:c r="V110" s="12" t="n">
        <x:v>40</x:v>
      </x:c>
      <x:c r="W110" s="12" t="n">
        <x:v>30</x:v>
      </x:c>
      <x:c r="X110" s="12" t="n">
        <x:v>50</x:v>
      </x:c>
      <x:c r="Y110" s="12" t="n">
        <x:v>85</x:v>
      </x:c>
      <x:c r="Z110" s="12" t="n">
        <x:f>ROUND(0.38*K110+0.30*L110+0.17*P110+0.15*Y110,0)</x:f>
        <x:v>55</x:v>
      </x:c>
      <x:c r="AA110" s="12" t="n">
        <x:f>ROUND(0.38*L110+0.25*P110+0.20*T110+0.17*(100-M110),0)</x:f>
        <x:v>29</x:v>
      </x:c>
      <x:c r="AB110" s="12" t="n">
        <x:f>ROUND(0.32*M110+0.26*S110+0.24*R110+0.18*K110,0)</x:f>
        <x:v>80</x:v>
      </x:c>
      <x:c r="AC110" s="12" t="n">
        <x:f>ROUND(0.27*Q110+0.24*T110+0.22*N110+0.15*P110+0.12*V110,0)</x:f>
        <x:v>46</x:v>
      </x:c>
      <x:c r="AD110" s="12" t="n">
        <x:f>ROUND(0.28*O110+0.28*R110+0.28*Y110+0.16*(100-L110),0)</x:f>
        <x:v>69</x:v>
      </x:c>
      <x:c r="AE110" s="12" t="n">
        <x:f>ROUND(0.35*Y110+0.22*T110+0.18*R110+0.13*S110+0.12*X110,0)</x:f>
        <x:v>68</x:v>
      </x:c>
      <x:c r="AF110" s="12" t="n">
        <x:f>ROUND(0.72*X110+0.28*Y110,0)</x:f>
        <x:v>60</x:v>
      </x:c>
      <x:c r="AG110" s="12" t="str">
        <x:v>https://wikiwiki.jp/poke-unite/%E3%82%AB%E3%83%A1%E3%83%83%E3%82%AF%E3%82%B9</x:v>
      </x:c>
    </x:row>
    <x:row r="111">
      <x:c r="A111" s="12" t="str">
        <x:v>カメックス</x:v>
      </x:c>
      <x:c r="B111" s="12" t="str">
        <x:v>ディフェンス型</x:v>
      </x:c>
      <x:c r="C111" s="12" t="str">
        <x:v>カメックス-2</x:v>
      </x:c>
      <x:c r="D111" s="12" t="str">
        <x:v>しおふき＋こうそくスピン</x:v>
      </x:c>
      <x:c r="E111" s="12" t="str">
        <x:v>Spin Bruiser</x:v>
      </x:c>
      <x:c r="F111" s="12" t="str">
        <x:v>Diver</x:v>
      </x:c>
      <x:c r="G111" s="12" t="str">
        <x:v>Juggernaut</x:v>
      </x:c>
      <x:c r="H111" s="12" t="str">
        <x:v>妨害耐性で回り込み継続火力</x:v>
      </x:c>
      <x:c r="I111" s="12" t="str">
        <x:v>高</x:v>
      </x:c>
      <x:c r="J111" s="12" t="str">
        <x:v>2026-09-25</x:v>
      </x:c>
      <x:c r="K111" s="12" t="n">
        <x:v>70</x:v>
      </x:c>
      <x:c r="L111" s="12" t="n">
        <x:v>90</x:v>
      </x:c>
      <x:c r="M111" s="12" t="n">
        <x:v>15</x:v>
      </x:c>
      <x:c r="N111" s="12" t="n">
        <x:v>80</x:v>
      </x:c>
      <x:c r="O111" s="12" t="n">
        <x:v>5</x:v>
      </x:c>
      <x:c r="P111" s="12" t="n">
        <x:v>70</x:v>
      </x:c>
      <x:c r="Q111" s="12" t="n">
        <x:v>90</x:v>
      </x:c>
      <x:c r="R111" s="12" t="n">
        <x:v>50</x:v>
      </x:c>
      <x:c r="S111" s="12" t="n">
        <x:v>15</x:v>
      </x:c>
      <x:c r="T111" s="12" t="n">
        <x:v>80</x:v>
      </x:c>
      <x:c r="U111" s="12" t="n">
        <x:v>65</x:v>
      </x:c>
      <x:c r="V111" s="12" t="n">
        <x:v>70</x:v>
      </x:c>
      <x:c r="W111" s="12" t="n">
        <x:v>55</x:v>
      </x:c>
      <x:c r="X111" s="12" t="n">
        <x:v>65</x:v>
      </x:c>
      <x:c r="Y111" s="12" t="n">
        <x:v>65</x:v>
      </x:c>
      <x:c r="Z111" s="12" t="n">
        <x:f>ROUND(0.38*K111+0.30*L111+0.17*P111+0.15*Y111,0)</x:f>
        <x:v>75</x:v>
      </x:c>
      <x:c r="AA111" s="12" t="n">
        <x:f>ROUND(0.38*L111+0.25*P111+0.20*T111+0.17*(100-M111),0)</x:f>
        <x:v>82</x:v>
      </x:c>
      <x:c r="AB111" s="12" t="n">
        <x:f>ROUND(0.32*M111+0.26*S111+0.24*R111+0.18*K111,0)</x:f>
        <x:v>33</x:v>
      </x:c>
      <x:c r="AC111" s="12" t="n">
        <x:f>ROUND(0.27*Q111+0.24*T111+0.22*N111+0.15*P111+0.12*V111,0)</x:f>
        <x:v>80</x:v>
      </x:c>
      <x:c r="AD111" s="12" t="n">
        <x:f>ROUND(0.28*O111+0.28*R111+0.28*Y111+0.16*(100-L111),0)</x:f>
        <x:v>35</x:v>
      </x:c>
      <x:c r="AE111" s="12" t="n">
        <x:f>ROUND(0.35*Y111+0.22*T111+0.18*R111+0.13*S111+0.12*X111,0)</x:f>
        <x:v>59</x:v>
      </x:c>
      <x:c r="AF111" s="12" t="n">
        <x:f>ROUND(0.72*X111+0.28*Y111,0)</x:f>
        <x:v>65</x:v>
      </x:c>
      <x:c r="AG111" s="12" t="str">
        <x:v>https://wikiwiki.jp/poke-unite/%E3%82%AB%E3%83%A1%E3%83%83%E3%82%AF%E3%82%B9</x:v>
      </x:c>
    </x:row>
    <x:row r="112">
      <x:c r="A112" s="12" t="str">
        <x:v>シャワーズ</x:v>
      </x:c>
      <x:c r="B112" s="12" t="str">
        <x:v>ディフェンス型</x:v>
      </x:c>
      <x:c r="C112" s="12" t="str">
        <x:v>シャワーズ-1</x:v>
      </x:c>
      <x:c r="D112" s="12" t="str">
        <x:v>ハイドロポンプ＋アクアリング</x:v>
      </x:c>
      <x:c r="E112" s="12" t="str">
        <x:v>Warden Enchanter</x:v>
      </x:c>
      <x:c r="F112" s="12" t="str">
        <x:v>Enchanter</x:v>
      </x:c>
      <x:c r="G112" s="12" t="str">
        <x:v>Warden</x:v>
      </x:c>
      <x:c r="H112" s="12" t="str">
        <x:v>ヒールしつつ一方向を守る</x:v>
      </x:c>
      <x:c r="I112" s="12" t="str">
        <x:v>高</x:v>
      </x:c>
      <x:c r="J112" s="12" t="str">
        <x:v>2026-09-25</x:v>
      </x:c>
      <x:c r="K112" s="12" t="n">
        <x:v>30</x:v>
      </x:c>
      <x:c r="L112" s="12" t="n">
        <x:v>10</x:v>
      </x:c>
      <x:c r="M112" s="12" t="n">
        <x:v>100</x:v>
      </x:c>
      <x:c r="N112" s="12" t="n">
        <x:v>60</x:v>
      </x:c>
      <x:c r="O112" s="12" t="n">
        <x:v>35</x:v>
      </x:c>
      <x:c r="P112" s="12" t="n">
        <x:v>20</x:v>
      </x:c>
      <x:c r="Q112" s="12" t="n">
        <x:v>25</x:v>
      </x:c>
      <x:c r="R112" s="12" t="n">
        <x:v>70</x:v>
      </x:c>
      <x:c r="S112" s="12" t="n">
        <x:v>95</x:v>
      </x:c>
      <x:c r="T112" s="12" t="n">
        <x:v>30</x:v>
      </x:c>
      <x:c r="U112" s="12" t="n">
        <x:v>20</x:v>
      </x:c>
      <x:c r="V112" s="12" t="n">
        <x:v>30</x:v>
      </x:c>
      <x:c r="W112" s="12" t="n">
        <x:v>30</x:v>
      </x:c>
      <x:c r="X112" s="12" t="n">
        <x:v>50</x:v>
      </x:c>
      <x:c r="Y112" s="12" t="n">
        <x:v>90</x:v>
      </x:c>
      <x:c r="Z112" s="12" t="n">
        <x:f>ROUND(0.38*K112+0.30*L112+0.17*P112+0.15*Y112,0)</x:f>
        <x:v>31</x:v>
      </x:c>
      <x:c r="AA112" s="12" t="n">
        <x:f>ROUND(0.38*L112+0.25*P112+0.20*T112+0.17*(100-M112),0)</x:f>
        <x:v>15</x:v>
      </x:c>
      <x:c r="AB112" s="12" t="n">
        <x:f>ROUND(0.32*M112+0.26*S112+0.24*R112+0.18*K112,0)</x:f>
        <x:v>79</x:v>
      </x:c>
      <x:c r="AC112" s="12" t="n">
        <x:f>ROUND(0.27*Q112+0.24*T112+0.22*N112+0.15*P112+0.12*V112,0)</x:f>
        <x:v>34</x:v>
      </x:c>
      <x:c r="AD112" s="12" t="n">
        <x:f>ROUND(0.28*O112+0.28*R112+0.28*Y112+0.16*(100-L112),0)</x:f>
        <x:v>69</x:v>
      </x:c>
      <x:c r="AE112" s="12" t="n">
        <x:f>ROUND(0.35*Y112+0.22*T112+0.18*R112+0.13*S112+0.12*X112,0)</x:f>
        <x:v>69</x:v>
      </x:c>
      <x:c r="AF112" s="12" t="n">
        <x:f>ROUND(0.72*X112+0.28*Y112,0)</x:f>
        <x:v>61</x:v>
      </x:c>
      <x:c r="AG112" s="12" t="str">
        <x:v>https://wikiwiki.jp/poke-unite/%E3%82%B7%E3%83%A3%E3%83%AF%E3%83%BC%E3%82%BA</x:v>
      </x:c>
    </x:row>
    <x:row r="113">
      <x:c r="A113" s="12" t="str">
        <x:v>シャワーズ</x:v>
      </x:c>
      <x:c r="B113" s="12" t="str">
        <x:v>ディフェンス型</x:v>
      </x:c>
      <x:c r="C113" s="12" t="str">
        <x:v>シャワーズ-2</x:v>
      </x:c>
      <x:c r="D113" s="12" t="str">
        <x:v>だくりゅう＋クイックターン</x:v>
      </x:c>
      <x:c r="E113" s="12" t="str">
        <x:v>Mobile Tank</x:v>
      </x:c>
      <x:c r="F113" s="12" t="str">
        <x:v>Warden</x:v>
      </x:c>
      <x:c r="G113" s="12" t="str">
        <x:v>Diver</x:v>
      </x:c>
      <x:c r="H113" s="12" t="str">
        <x:v>機動CC・早熟タンク</x:v>
      </x:c>
      <x:c r="I113" s="12" t="str">
        <x:v>高</x:v>
      </x:c>
      <x:c r="J113" s="12" t="str">
        <x:v>2026-09-25</x:v>
      </x:c>
      <x:c r="K113" s="12" t="n">
        <x:v>65</x:v>
      </x:c>
      <x:c r="L113" s="12" t="n">
        <x:v>40</x:v>
      </x:c>
      <x:c r="M113" s="12" t="n">
        <x:v>80</x:v>
      </x:c>
      <x:c r="N113" s="12" t="n">
        <x:v>90</x:v>
      </x:c>
      <x:c r="O113" s="12" t="n">
        <x:v>25</x:v>
      </x:c>
      <x:c r="P113" s="12" t="n">
        <x:v>40</x:v>
      </x:c>
      <x:c r="Q113" s="12" t="n">
        <x:v>40</x:v>
      </x:c>
      <x:c r="R113" s="12" t="n">
        <x:v>95</x:v>
      </x:c>
      <x:c r="S113" s="12" t="n">
        <x:v>20</x:v>
      </x:c>
      <x:c r="T113" s="12" t="n">
        <x:v>60</x:v>
      </x:c>
      <x:c r="U113" s="12" t="n">
        <x:v>35</x:v>
      </x:c>
      <x:c r="V113" s="12" t="n">
        <x:v>45</x:v>
      </x:c>
      <x:c r="W113" s="12" t="n">
        <x:v>35</x:v>
      </x:c>
      <x:c r="X113" s="12" t="n">
        <x:v>55</x:v>
      </x:c>
      <x:c r="Y113" s="12" t="n">
        <x:v>80</x:v>
      </x:c>
      <x:c r="Z113" s="12" t="n">
        <x:f>ROUND(0.38*K113+0.30*L113+0.17*P113+0.15*Y113,0)</x:f>
        <x:v>56</x:v>
      </x:c>
      <x:c r="AA113" s="12" t="n">
        <x:f>ROUND(0.38*L113+0.25*P113+0.20*T113+0.17*(100-M113),0)</x:f>
        <x:v>41</x:v>
      </x:c>
      <x:c r="AB113" s="12" t="n">
        <x:f>ROUND(0.32*M113+0.26*S113+0.24*R113+0.18*K113,0)</x:f>
        <x:v>65</x:v>
      </x:c>
      <x:c r="AC113" s="12" t="n">
        <x:f>ROUND(0.27*Q113+0.24*T113+0.22*N113+0.15*P113+0.12*V113,0)</x:f>
        <x:v>56</x:v>
      </x:c>
      <x:c r="AD113" s="12" t="n">
        <x:f>ROUND(0.28*O113+0.28*R113+0.28*Y113+0.16*(100-L113),0)</x:f>
        <x:v>66</x:v>
      </x:c>
      <x:c r="AE113" s="12" t="n">
        <x:f>ROUND(0.35*Y113+0.22*T113+0.18*R113+0.13*S113+0.12*X113,0)</x:f>
        <x:v>68</x:v>
      </x:c>
      <x:c r="AF113" s="12" t="n">
        <x:f>ROUND(0.72*X113+0.28*Y113,0)</x:f>
        <x:v>62</x:v>
      </x:c>
      <x:c r="AG113" s="12" t="str">
        <x:v>https://wikiwiki.jp/poke-unite/%E3%82%B7%E3%83%A3%E3%83%AF%E3%83%BC%E3%82%BA</x:v>
      </x:c>
    </x:row>
    <x:row r="114">
      <x:c r="A114" s="12" t="str">
        <x:v>ヌメルゴン</x:v>
      </x:c>
      <x:c r="B114" s="12" t="str">
        <x:v>ディフェンス型</x:v>
      </x:c>
      <x:c r="C114" s="12" t="str">
        <x:v>ヌメルゴン-1</x:v>
      </x:c>
      <x:c r="D114" s="12" t="str">
        <x:v>共通プロファイル</x:v>
      </x:c>
      <x:c r="E114" s="12" t="str">
        <x:v>Juggernaut</x:v>
      </x:c>
      <x:c r="F114" s="12" t="str">
        <x:v>Juggernaut</x:v>
      </x:c>
      <x:c r="G114" s="12" t="str"/>
      <x:c r="H114" s="12" t="str">
        <x:v>技選択で主役割が大きく変わらないため統合</x:v>
      </x:c>
      <x:c r="I114" s="12" t="str">
        <x:v>高</x:v>
      </x:c>
      <x:c r="J114" s="12" t="str">
        <x:v>2026-09-25</x:v>
      </x:c>
      <x:c r="K114" s="12" t="n">
        <x:v>55</x:v>
      </x:c>
      <x:c r="L114" s="12" t="n">
        <x:v>45</x:v>
      </x:c>
      <x:c r="M114" s="12" t="n">
        <x:v>45</x:v>
      </x:c>
      <x:c r="N114" s="12" t="n">
        <x:v>100</x:v>
      </x:c>
      <x:c r="O114" s="12" t="n">
        <x:v>15</x:v>
      </x:c>
      <x:c r="P114" s="12" t="n">
        <x:v>60</x:v>
      </x:c>
      <x:c r="Q114" s="12" t="n">
        <x:v>90</x:v>
      </x:c>
      <x:c r="R114" s="12" t="n">
        <x:v>40</x:v>
      </x:c>
      <x:c r="S114" s="12" t="n">
        <x:v>20</x:v>
      </x:c>
      <x:c r="T114" s="12" t="n">
        <x:v>35</x:v>
      </x:c>
      <x:c r="U114" s="12" t="n">
        <x:v>70</x:v>
      </x:c>
      <x:c r="V114" s="12" t="n">
        <x:v>80</x:v>
      </x:c>
      <x:c r="W114" s="12" t="n">
        <x:v>40</x:v>
      </x:c>
      <x:c r="X114" s="12" t="n">
        <x:v>50</x:v>
      </x:c>
      <x:c r="Y114" s="12" t="n">
        <x:v>60</x:v>
      </x:c>
      <x:c r="Z114" s="12" t="n">
        <x:f>ROUND(0.38*K114+0.30*L114+0.17*P114+0.15*Y114,0)</x:f>
        <x:v>54</x:v>
      </x:c>
      <x:c r="AA114" s="12" t="n">
        <x:f>ROUND(0.38*L114+0.25*P114+0.20*T114+0.17*(100-M114),0)</x:f>
        <x:v>48</x:v>
      </x:c>
      <x:c r="AB114" s="12" t="n">
        <x:f>ROUND(0.32*M114+0.26*S114+0.24*R114+0.18*K114,0)</x:f>
        <x:v>39</x:v>
      </x:c>
      <x:c r="AC114" s="12" t="n">
        <x:f>ROUND(0.27*Q114+0.24*T114+0.22*N114+0.15*P114+0.12*V114,0)</x:f>
        <x:v>73</x:v>
      </x:c>
      <x:c r="AD114" s="12" t="n">
        <x:f>ROUND(0.28*O114+0.28*R114+0.28*Y114+0.16*(100-L114),0)</x:f>
        <x:v>41</x:v>
      </x:c>
      <x:c r="AE114" s="12" t="n">
        <x:f>ROUND(0.35*Y114+0.22*T114+0.18*R114+0.13*S114+0.12*X114,0)</x:f>
        <x:v>45</x:v>
      </x:c>
      <x:c r="AF114" s="12" t="n">
        <x:f>ROUND(0.72*X114+0.28*Y114,0)</x:f>
        <x:v>53</x:v>
      </x:c>
      <x:c r="AG114" s="12" t="str">
        <x:v>https://wikiwiki.jp/poke-unite/%E3%83%8C%E3%83%A1%E3%83%AB%E3%82%B4%E3%83%B3</x:v>
      </x:c>
    </x:row>
    <x:row r="115">
      <x:c r="A115" s="12" t="str">
        <x:v>フリーザー</x:v>
      </x:c>
      <x:c r="B115" s="12" t="str">
        <x:v>ディフェンス型</x:v>
      </x:c>
      <x:c r="C115" s="12" t="str">
        <x:v>フリーザー-1</x:v>
      </x:c>
      <x:c r="D115" s="12" t="str">
        <x:v>共通プロファイル</x:v>
      </x:c>
      <x:c r="E115" s="12" t="str">
        <x:v>Warden</x:v>
      </x:c>
      <x:c r="F115" s="12" t="str">
        <x:v>Warden</x:v>
      </x:c>
      <x:c r="G115" s="12" t="str"/>
      <x:c r="H115" s="12" t="str">
        <x:v>技選択で主役割が大きく変わらないため統合</x:v>
      </x:c>
      <x:c r="I115" s="12" t="str">
        <x:v>中</x:v>
      </x:c>
      <x:c r="J115" s="12" t="str">
        <x:v>2026-09-25</x:v>
      </x:c>
      <x:c r="K115" s="12" t="n">
        <x:v>50</x:v>
      </x:c>
      <x:c r="L115" s="12" t="n">
        <x:v>20</x:v>
      </x:c>
      <x:c r="M115" s="12" t="n">
        <x:v>100</x:v>
      </x:c>
      <x:c r="N115" s="12" t="n">
        <x:v>100</x:v>
      </x:c>
      <x:c r="O115" s="12" t="n">
        <x:v>35</x:v>
      </x:c>
      <x:c r="P115" s="12" t="n">
        <x:v>30</x:v>
      </x:c>
      <x:c r="Q115" s="12" t="n">
        <x:v>30</x:v>
      </x:c>
      <x:c r="R115" s="12" t="n">
        <x:v>100</x:v>
      </x:c>
      <x:c r="S115" s="12" t="n">
        <x:v>50</x:v>
      </x:c>
      <x:c r="T115" s="12" t="n">
        <x:v>25</x:v>
      </x:c>
      <x:c r="U115" s="12" t="n">
        <x:v>25</x:v>
      </x:c>
      <x:c r="V115" s="12" t="n">
        <x:v>40</x:v>
      </x:c>
      <x:c r="W115" s="12" t="n">
        <x:v>25</x:v>
      </x:c>
      <x:c r="X115" s="12" t="n">
        <x:v>50</x:v>
      </x:c>
      <x:c r="Y115" s="12" t="n">
        <x:v>85</x:v>
      </x:c>
      <x:c r="Z115" s="12" t="n">
        <x:f>ROUND(0.38*K115+0.30*L115+0.17*P115+0.15*Y115,0)</x:f>
        <x:v>43</x:v>
      </x:c>
      <x:c r="AA115" s="12" t="n">
        <x:f>ROUND(0.38*L115+0.25*P115+0.20*T115+0.17*(100-M115),0)</x:f>
        <x:v>20</x:v>
      </x:c>
      <x:c r="AB115" s="12" t="n">
        <x:f>ROUND(0.32*M115+0.26*S115+0.24*R115+0.18*K115,0)</x:f>
        <x:v>78</x:v>
      </x:c>
      <x:c r="AC115" s="12" t="n">
        <x:f>ROUND(0.27*Q115+0.24*T115+0.22*N115+0.15*P115+0.12*V115,0)</x:f>
        <x:v>45</x:v>
      </x:c>
      <x:c r="AD115" s="12" t="n">
        <x:f>ROUND(0.28*O115+0.28*R115+0.28*Y115+0.16*(100-L115),0)</x:f>
        <x:v>74</x:v>
      </x:c>
      <x:c r="AE115" s="12" t="n">
        <x:f>ROUND(0.35*Y115+0.22*T115+0.18*R115+0.13*S115+0.12*X115,0)</x:f>
        <x:v>66</x:v>
      </x:c>
      <x:c r="AF115" s="12" t="n">
        <x:f>ROUND(0.72*X115+0.28*Y115,0)</x:f>
        <x:v>60</x:v>
      </x:c>
      <x:c r="AG115" s="12" t="str">
        <x:v>https://wikiwiki.jp/poke-unite/%E3%83%95%E3%83%AA%E3%83%BC%E3%82%B6%E3%83%BC</x:v>
      </x:c>
    </x:row>
    <x:row r="116">
      <x:c r="A116" s="12" t="str">
        <x:v>ブラッキー</x:v>
      </x:c>
      <x:c r="B116" s="12" t="str">
        <x:v>ディフェンス型</x:v>
      </x:c>
      <x:c r="C116" s="12" t="str">
        <x:v>ブラッキー-1</x:v>
      </x:c>
      <x:c r="D116" s="12" t="str">
        <x:v>くろいまなざし＋ねがいごと</x:v>
      </x:c>
      <x:c r="E116" s="12" t="str">
        <x:v>Support Warden</x:v>
      </x:c>
      <x:c r="F116" s="12" t="str">
        <x:v>Enchanter</x:v>
      </x:c>
      <x:c r="G116" s="12" t="str">
        <x:v>Warden</x:v>
      </x:c>
      <x:c r="H116" s="12" t="str">
        <x:v>純サポート・単体拘束と回復</x:v>
      </x:c>
      <x:c r="I116" s="12" t="str">
        <x:v>高</x:v>
      </x:c>
      <x:c r="J116" s="12" t="str">
        <x:v>2026-09-25</x:v>
      </x:c>
      <x:c r="K116" s="12" t="n">
        <x:v>20</x:v>
      </x:c>
      <x:c r="L116" s="12" t="n">
        <x:v>10</x:v>
      </x:c>
      <x:c r="M116" s="12" t="n">
        <x:v>100</x:v>
      </x:c>
      <x:c r="N116" s="12" t="n">
        <x:v>50</x:v>
      </x:c>
      <x:c r="O116" s="12" t="n">
        <x:v>35</x:v>
      </x:c>
      <x:c r="P116" s="12" t="n">
        <x:v>20</x:v>
      </x:c>
      <x:c r="Q116" s="12" t="n">
        <x:v>25</x:v>
      </x:c>
      <x:c r="R116" s="12" t="n">
        <x:v>80</x:v>
      </x:c>
      <x:c r="S116" s="12" t="n">
        <x:v>100</x:v>
      </x:c>
      <x:c r="T116" s="12" t="n">
        <x:v>40</x:v>
      </x:c>
      <x:c r="U116" s="12" t="n">
        <x:v>20</x:v>
      </x:c>
      <x:c r="V116" s="12" t="n">
        <x:v>30</x:v>
      </x:c>
      <x:c r="W116" s="12" t="n">
        <x:v>30</x:v>
      </x:c>
      <x:c r="X116" s="12" t="n">
        <x:v>50</x:v>
      </x:c>
      <x:c r="Y116" s="12" t="n">
        <x:v>90</x:v>
      </x:c>
      <x:c r="Z116" s="12" t="n">
        <x:f>ROUND(0.38*K116+0.30*L116+0.17*P116+0.15*Y116,0)</x:f>
        <x:v>28</x:v>
      </x:c>
      <x:c r="AA116" s="12" t="n">
        <x:f>ROUND(0.38*L116+0.25*P116+0.20*T116+0.17*(100-M116),0)</x:f>
        <x:v>17</x:v>
      </x:c>
      <x:c r="AB116" s="12" t="n">
        <x:f>ROUND(0.32*M116+0.26*S116+0.24*R116+0.18*K116,0)</x:f>
        <x:v>81</x:v>
      </x:c>
      <x:c r="AC116" s="12" t="n">
        <x:f>ROUND(0.27*Q116+0.24*T116+0.22*N116+0.15*P116+0.12*V116,0)</x:f>
        <x:v>34</x:v>
      </x:c>
      <x:c r="AD116" s="12" t="n">
        <x:f>ROUND(0.28*O116+0.28*R116+0.28*Y116+0.16*(100-L116),0)</x:f>
        <x:v>72</x:v>
      </x:c>
      <x:c r="AE116" s="12" t="n">
        <x:f>ROUND(0.35*Y116+0.22*T116+0.18*R116+0.13*S116+0.12*X116,0)</x:f>
        <x:v>74</x:v>
      </x:c>
      <x:c r="AF116" s="12" t="n">
        <x:f>ROUND(0.72*X116+0.28*Y116,0)</x:f>
        <x:v>61</x:v>
      </x:c>
      <x:c r="AG116" s="12" t="str">
        <x:v>https://wikiwiki.jp/poke-unite/%E3%83%96%E3%83%A9%E3%83%83%E3%82%AD%E3%83%BC</x:v>
      </x:c>
    </x:row>
    <x:row r="117">
      <x:c r="A117" s="12" t="str">
        <x:v>ブラッキー</x:v>
      </x:c>
      <x:c r="B117" s="12" t="str">
        <x:v>ディフェンス型</x:v>
      </x:c>
      <x:c r="C117" s="12" t="str">
        <x:v>ブラッキー-2</x:v>
      </x:c>
      <x:c r="D117" s="12" t="str">
        <x:v>イカサマ＋バークアウト</x:v>
      </x:c>
      <x:c r="E117" s="12" t="str">
        <x:v>Vanguard Tank</x:v>
      </x:c>
      <x:c r="F117" s="12" t="str">
        <x:v>Vanguard</x:v>
      </x:c>
      <x:c r="G117" s="12" t="str">
        <x:v>Warden</x:v>
      </x:c>
      <x:c r="H117" s="12" t="str">
        <x:v>前に出る妨害タンク</x:v>
      </x:c>
      <x:c r="I117" s="12" t="str">
        <x:v>高</x:v>
      </x:c>
      <x:c r="J117" s="12" t="str">
        <x:v>2026-09-25</x:v>
      </x:c>
      <x:c r="K117" s="12" t="n">
        <x:v>95</x:v>
      </x:c>
      <x:c r="L117" s="12" t="n">
        <x:v>60</x:v>
      </x:c>
      <x:c r="M117" s="12" t="n">
        <x:v>80</x:v>
      </x:c>
      <x:c r="N117" s="12" t="n">
        <x:v>100</x:v>
      </x:c>
      <x:c r="O117" s="12" t="n">
        <x:v>15</x:v>
      </x:c>
      <x:c r="P117" s="12" t="n">
        <x:v>35</x:v>
      </x:c>
      <x:c r="Q117" s="12" t="n">
        <x:v>35</x:v>
      </x:c>
      <x:c r="R117" s="12" t="n">
        <x:v>100</x:v>
      </x:c>
      <x:c r="S117" s="12" t="n">
        <x:v>20</x:v>
      </x:c>
      <x:c r="T117" s="12" t="n">
        <x:v>50</x:v>
      </x:c>
      <x:c r="U117" s="12" t="n">
        <x:v>30</x:v>
      </x:c>
      <x:c r="V117" s="12" t="n">
        <x:v>40</x:v>
      </x:c>
      <x:c r="W117" s="12" t="n">
        <x:v>35</x:v>
      </x:c>
      <x:c r="X117" s="12" t="n">
        <x:v>55</x:v>
      </x:c>
      <x:c r="Y117" s="12" t="n">
        <x:v>85</x:v>
      </x:c>
      <x:c r="Z117" s="12" t="n">
        <x:f>ROUND(0.38*K117+0.30*L117+0.17*P117+0.15*Y117,0)</x:f>
        <x:v>73</x:v>
      </x:c>
      <x:c r="AA117" s="12" t="n">
        <x:f>ROUND(0.38*L117+0.25*P117+0.20*T117+0.17*(100-M117),0)</x:f>
        <x:v>45</x:v>
      </x:c>
      <x:c r="AB117" s="12" t="n">
        <x:f>ROUND(0.32*M117+0.26*S117+0.24*R117+0.18*K117,0)</x:f>
        <x:v>72</x:v>
      </x:c>
      <x:c r="AC117" s="12" t="n">
        <x:f>ROUND(0.27*Q117+0.24*T117+0.22*N117+0.15*P117+0.12*V117,0)</x:f>
        <x:v>54</x:v>
      </x:c>
      <x:c r="AD117" s="12" t="n">
        <x:f>ROUND(0.28*O117+0.28*R117+0.28*Y117+0.16*(100-L117),0)</x:f>
        <x:v>62</x:v>
      </x:c>
      <x:c r="AE117" s="12" t="n">
        <x:f>ROUND(0.35*Y117+0.22*T117+0.18*R117+0.13*S117+0.12*X117,0)</x:f>
        <x:v>68</x:v>
      </x:c>
      <x:c r="AF117" s="12" t="n">
        <x:f>ROUND(0.72*X117+0.28*Y117,0)</x:f>
        <x:v>63</x:v>
      </x:c>
      <x:c r="AG117" s="12" t="str">
        <x:v>https://wikiwiki.jp/poke-unite/%E3%83%96%E3%83%A9%E3%83%83%E3%82%AD%E3%83%BC</x:v>
      </x:c>
    </x:row>
    <x:row r="118">
      <x:c r="A118" s="12" t="str">
        <x:v>ホウオウ</x:v>
      </x:c>
      <x:c r="B118" s="12" t="str">
        <x:v>ディフェンス型</x:v>
      </x:c>
      <x:c r="C118" s="12" t="str">
        <x:v>ホウオウ-1</x:v>
      </x:c>
      <x:c r="D118" s="12" t="str">
        <x:v>せいなるほのお＋かえんほうしゃ</x:v>
      </x:c>
      <x:c r="E118" s="12" t="str">
        <x:v>Ranged Juggernaut</x:v>
      </x:c>
      <x:c r="F118" s="12" t="str">
        <x:v>BattleMage</x:v>
      </x:c>
      <x:c r="G118" s="12" t="str">
        <x:v>Juggernaut</x:v>
      </x:c>
      <x:c r="H118" s="12" t="str">
        <x:v>飛行カイト・継続火力</x:v>
      </x:c>
      <x:c r="I118" s="12" t="str">
        <x:v>高</x:v>
      </x:c>
      <x:c r="J118" s="12" t="str">
        <x:v>2026-09-25</x:v>
      </x:c>
      <x:c r="K118" s="12" t="n">
        <x:v>45</x:v>
      </x:c>
      <x:c r="L118" s="12" t="n">
        <x:v>35</x:v>
      </x:c>
      <x:c r="M118" s="12" t="n">
        <x:v>30</x:v>
      </x:c>
      <x:c r="N118" s="12" t="n">
        <x:v>60</x:v>
      </x:c>
      <x:c r="O118" s="12" t="n">
        <x:v>55</x:v>
      </x:c>
      <x:c r="P118" s="12" t="n">
        <x:v>60</x:v>
      </x:c>
      <x:c r="Q118" s="12" t="n">
        <x:v>95</x:v>
      </x:c>
      <x:c r="R118" s="12" t="n">
        <x:v>50</x:v>
      </x:c>
      <x:c r="S118" s="12" t="n">
        <x:v>15</x:v>
      </x:c>
      <x:c r="T118" s="12" t="n">
        <x:v>60</x:v>
      </x:c>
      <x:c r="U118" s="12" t="n">
        <x:v>65</x:v>
      </x:c>
      <x:c r="V118" s="12" t="n">
        <x:v>75</x:v>
      </x:c>
      <x:c r="W118" s="12" t="n">
        <x:v>40</x:v>
      </x:c>
      <x:c r="X118" s="12" t="n">
        <x:v>60</x:v>
      </x:c>
      <x:c r="Y118" s="12" t="n">
        <x:v>65</x:v>
      </x:c>
      <x:c r="Z118" s="12" t="n">
        <x:f>ROUND(0.38*K118+0.30*L118+0.17*P118+0.15*Y118,0)</x:f>
        <x:v>48</x:v>
      </x:c>
      <x:c r="AA118" s="12" t="n">
        <x:f>ROUND(0.38*L118+0.25*P118+0.20*T118+0.17*(100-M118),0)</x:f>
        <x:v>52</x:v>
      </x:c>
      <x:c r="AB118" s="12" t="n">
        <x:f>ROUND(0.32*M118+0.26*S118+0.24*R118+0.18*K118,0)</x:f>
        <x:v>34</x:v>
      </x:c>
      <x:c r="AC118" s="12" t="n">
        <x:f>ROUND(0.27*Q118+0.24*T118+0.22*N118+0.15*P118+0.12*V118,0)</x:f>
        <x:v>71</x:v>
      </x:c>
      <x:c r="AD118" s="12" t="n">
        <x:f>ROUND(0.28*O118+0.28*R118+0.28*Y118+0.16*(100-L118),0)</x:f>
        <x:v>58</x:v>
      </x:c>
      <x:c r="AE118" s="12" t="n">
        <x:f>ROUND(0.35*Y118+0.22*T118+0.18*R118+0.13*S118+0.12*X118,0)</x:f>
        <x:v>54</x:v>
      </x:c>
      <x:c r="AF118" s="12" t="n">
        <x:f>ROUND(0.72*X118+0.28*Y118,0)</x:f>
        <x:v>61</x:v>
      </x:c>
      <x:c r="AG118" s="12" t="str">
        <x:v>https://wikiwiki.jp/poke-unite/%E3%83%9B%E3%82%A6%E3%82%AA%E3%82%A6</x:v>
      </x:c>
    </x:row>
    <x:row r="119">
      <x:c r="A119" s="12" t="str">
        <x:v>ホウオウ</x:v>
      </x:c>
      <x:c r="B119" s="12" t="str">
        <x:v>ディフェンス型</x:v>
      </x:c>
      <x:c r="C119" s="12" t="str">
        <x:v>ホウオウ-2</x:v>
      </x:c>
      <x:c r="D119" s="12" t="str">
        <x:v>ほのおのうず＋ゴッドバード</x:v>
      </x:c>
      <x:c r="E119" s="12" t="str">
        <x:v>Tank Initiator</x:v>
      </x:c>
      <x:c r="F119" s="12" t="str">
        <x:v>Vanguard</x:v>
      </x:c>
      <x:c r="G119" s="12" t="str">
        <x:v>Juggernaut</x:v>
      </x:c>
      <x:c r="H119" s="12" t="str">
        <x:v>前衛・集団戦起点・復活支援</x:v>
      </x:c>
      <x:c r="I119" s="12" t="str">
        <x:v>高</x:v>
      </x:c>
      <x:c r="J119" s="12" t="str">
        <x:v>2026-09-25</x:v>
      </x:c>
      <x:c r="K119" s="12" t="n">
        <x:v>100</x:v>
      </x:c>
      <x:c r="L119" s="12" t="n">
        <x:v>65</x:v>
      </x:c>
      <x:c r="M119" s="12" t="n">
        <x:v>65</x:v>
      </x:c>
      <x:c r="N119" s="12" t="n">
        <x:v>100</x:v>
      </x:c>
      <x:c r="O119" s="12" t="n">
        <x:v>0</x:v>
      </x:c>
      <x:c r="P119" s="12" t="n">
        <x:v>45</x:v>
      </x:c>
      <x:c r="Q119" s="12" t="n">
        <x:v>50</x:v>
      </x:c>
      <x:c r="R119" s="12" t="n">
        <x:v>95</x:v>
      </x:c>
      <x:c r="S119" s="12" t="n">
        <x:v>35</x:v>
      </x:c>
      <x:c r="T119" s="12" t="n">
        <x:v>50</x:v>
      </x:c>
      <x:c r="U119" s="12" t="n">
        <x:v>40</x:v>
      </x:c>
      <x:c r="V119" s="12" t="n">
        <x:v>55</x:v>
      </x:c>
      <x:c r="W119" s="12" t="n">
        <x:v>35</x:v>
      </x:c>
      <x:c r="X119" s="12" t="n">
        <x:v>55</x:v>
      </x:c>
      <x:c r="Y119" s="12" t="n">
        <x:v>75</x:v>
      </x:c>
      <x:c r="Z119" s="12" t="n">
        <x:f>ROUND(0.38*K119+0.30*L119+0.17*P119+0.15*Y119,0)</x:f>
        <x:v>76</x:v>
      </x:c>
      <x:c r="AA119" s="12" t="n">
        <x:f>ROUND(0.38*L119+0.25*P119+0.20*T119+0.17*(100-M119),0)</x:f>
        <x:v>52</x:v>
      </x:c>
      <x:c r="AB119" s="12" t="n">
        <x:f>ROUND(0.32*M119+0.26*S119+0.24*R119+0.18*K119,0)</x:f>
        <x:v>71</x:v>
      </x:c>
      <x:c r="AC119" s="12" t="n">
        <x:f>ROUND(0.27*Q119+0.24*T119+0.22*N119+0.15*P119+0.12*V119,0)</x:f>
        <x:v>61</x:v>
      </x:c>
      <x:c r="AD119" s="12" t="n">
        <x:f>ROUND(0.28*O119+0.28*R119+0.28*Y119+0.16*(100-L119),0)</x:f>
        <x:v>53</x:v>
      </x:c>
      <x:c r="AE119" s="12" t="n">
        <x:f>ROUND(0.35*Y119+0.22*T119+0.18*R119+0.13*S119+0.12*X119,0)</x:f>
        <x:v>65</x:v>
      </x:c>
      <x:c r="AF119" s="12" t="n">
        <x:f>ROUND(0.72*X119+0.28*Y119,0)</x:f>
        <x:v>61</x:v>
      </x:c>
      <x:c r="AG119" s="12" t="str">
        <x:v>https://wikiwiki.jp/poke-unite/%E3%83%9B%E3%82%A6%E3%82%AA%E3%82%A6</x:v>
      </x:c>
    </x:row>
    <x:row r="120">
      <x:c r="A120" s="12" t="str">
        <x:v>マンムー</x:v>
      </x:c>
      <x:c r="B120" s="12" t="str">
        <x:v>ディフェンス型</x:v>
      </x:c>
      <x:c r="C120" s="12" t="str">
        <x:v>マンムー-1</x:v>
      </x:c>
      <x:c r="D120" s="12" t="str">
        <x:v>共通プロファイル</x:v>
      </x:c>
      <x:c r="E120" s="12" t="str">
        <x:v>Vanguard</x:v>
      </x:c>
      <x:c r="F120" s="12" t="str">
        <x:v>Vanguard</x:v>
      </x:c>
      <x:c r="G120" s="12" t="str"/>
      <x:c r="H120" s="12" t="str">
        <x:v>技選択で主役割が大きく変わらないため統合</x:v>
      </x:c>
      <x:c r="I120" s="12" t="str">
        <x:v>高</x:v>
      </x:c>
      <x:c r="J120" s="12" t="str">
        <x:v>2026-09-25</x:v>
      </x:c>
      <x:c r="K120" s="12" t="n">
        <x:v>95</x:v>
      </x:c>
      <x:c r="L120" s="12" t="n">
        <x:v>70</x:v>
      </x:c>
      <x:c r="M120" s="12" t="n">
        <x:v>75</x:v>
      </x:c>
      <x:c r="N120" s="12" t="n">
        <x:v>100</x:v>
      </x:c>
      <x:c r="O120" s="12" t="n">
        <x:v>10</x:v>
      </x:c>
      <x:c r="P120" s="12" t="n">
        <x:v>45</x:v>
      </x:c>
      <x:c r="Q120" s="12" t="n">
        <x:v>30</x:v>
      </x:c>
      <x:c r="R120" s="12" t="n">
        <x:v>100</x:v>
      </x:c>
      <x:c r="S120" s="12" t="n">
        <x:v>30</x:v>
      </x:c>
      <x:c r="T120" s="12" t="n">
        <x:v>55</x:v>
      </x:c>
      <x:c r="U120" s="12" t="n">
        <x:v>30</x:v>
      </x:c>
      <x:c r="V120" s="12" t="n">
        <x:v>45</x:v>
      </x:c>
      <x:c r="W120" s="12" t="n">
        <x:v>35</x:v>
      </x:c>
      <x:c r="X120" s="12" t="n">
        <x:v>55</x:v>
      </x:c>
      <x:c r="Y120" s="12" t="n">
        <x:v>85</x:v>
      </x:c>
      <x:c r="Z120" s="12" t="n">
        <x:f>ROUND(0.38*K120+0.30*L120+0.17*P120+0.15*Y120,0)</x:f>
        <x:v>78</x:v>
      </x:c>
      <x:c r="AA120" s="12" t="n">
        <x:f>ROUND(0.38*L120+0.25*P120+0.20*T120+0.17*(100-M120),0)</x:f>
        <x:v>53</x:v>
      </x:c>
      <x:c r="AB120" s="12" t="n">
        <x:f>ROUND(0.32*M120+0.26*S120+0.24*R120+0.18*K120,0)</x:f>
        <x:v>73</x:v>
      </x:c>
      <x:c r="AC120" s="12" t="n">
        <x:f>ROUND(0.27*Q120+0.24*T120+0.22*N120+0.15*P120+0.12*V120,0)</x:f>
        <x:v>55</x:v>
      </x:c>
      <x:c r="AD120" s="12" t="n">
        <x:f>ROUND(0.28*O120+0.28*R120+0.28*Y120+0.16*(100-L120),0)</x:f>
        <x:v>59</x:v>
      </x:c>
      <x:c r="AE120" s="12" t="n">
        <x:f>ROUND(0.35*Y120+0.22*T120+0.18*R120+0.13*S120+0.12*X120,0)</x:f>
        <x:v>70</x:v>
      </x:c>
      <x:c r="AF120" s="12" t="n">
        <x:f>ROUND(0.72*X120+0.28*Y120,0)</x:f>
        <x:v>63</x:v>
      </x:c>
      <x:c r="AG120" s="12" t="str">
        <x:v>https://wikiwiki.jp/poke-unite/%E3%83%9E%E3%83%B3%E3%83%A0%E3%83%BC</x:v>
      </x:c>
    </x:row>
    <x:row r="121">
      <x:c r="A121" s="12" t="str">
        <x:v>ヤドラン</x:v>
      </x:c>
      <x:c r="B121" s="12" t="str">
        <x:v>ディフェンス型</x:v>
      </x:c>
      <x:c r="C121" s="12" t="str">
        <x:v>ヤドラン-1</x:v>
      </x:c>
      <x:c r="D121" s="12" t="str">
        <x:v>ねっとう＋ドわすれ</x:v>
      </x:c>
      <x:c r="E121" s="12" t="str">
        <x:v>Ranged Juggernaut</x:v>
      </x:c>
      <x:c r="F121" s="12" t="str">
        <x:v>Juggernaut</x:v>
      </x:c>
      <x:c r="G121" s="12" t="str">
        <x:v>BattleMage</x:v>
      </x:c>
      <x:c r="H121" s="12" t="str">
        <x:v>硬い遠距離継続火力</x:v>
      </x:c>
      <x:c r="I121" s="12" t="str">
        <x:v>高</x:v>
      </x:c>
      <x:c r="J121" s="12" t="str">
        <x:v>2026-09-25</x:v>
      </x:c>
      <x:c r="K121" s="12" t="n">
        <x:v>50</x:v>
      </x:c>
      <x:c r="L121" s="12" t="n">
        <x:v>40</x:v>
      </x:c>
      <x:c r="M121" s="12" t="n">
        <x:v>25</x:v>
      </x:c>
      <x:c r="N121" s="12" t="n">
        <x:v>95</x:v>
      </x:c>
      <x:c r="O121" s="12" t="n">
        <x:v>40</x:v>
      </x:c>
      <x:c r="P121" s="12" t="n">
        <x:v>60</x:v>
      </x:c>
      <x:c r="Q121" s="12" t="n">
        <x:v>95</x:v>
      </x:c>
      <x:c r="R121" s="12" t="n">
        <x:v>30</x:v>
      </x:c>
      <x:c r="S121" s="12" t="n">
        <x:v>20</x:v>
      </x:c>
      <x:c r="T121" s="12" t="n">
        <x:v>40</x:v>
      </x:c>
      <x:c r="U121" s="12" t="n">
        <x:v>70</x:v>
      </x:c>
      <x:c r="V121" s="12" t="n">
        <x:v>80</x:v>
      </x:c>
      <x:c r="W121" s="12" t="n">
        <x:v>40</x:v>
      </x:c>
      <x:c r="X121" s="12" t="n">
        <x:v>55</x:v>
      </x:c>
      <x:c r="Y121" s="12" t="n">
        <x:v>65</x:v>
      </x:c>
      <x:c r="Z121" s="12" t="n">
        <x:f>ROUND(0.38*K121+0.30*L121+0.17*P121+0.15*Y121,0)</x:f>
        <x:v>51</x:v>
      </x:c>
      <x:c r="AA121" s="12" t="n">
        <x:f>ROUND(0.38*L121+0.25*P121+0.20*T121+0.17*(100-M121),0)</x:f>
        <x:v>51</x:v>
      </x:c>
      <x:c r="AB121" s="12" t="n">
        <x:f>ROUND(0.32*M121+0.26*S121+0.24*R121+0.18*K121,0)</x:f>
        <x:v>29</x:v>
      </x:c>
      <x:c r="AC121" s="12" t="n">
        <x:f>ROUND(0.27*Q121+0.24*T121+0.22*N121+0.15*P121+0.12*V121,0)</x:f>
        <x:v>75</x:v>
      </x:c>
      <x:c r="AD121" s="12" t="n">
        <x:f>ROUND(0.28*O121+0.28*R121+0.28*Y121+0.16*(100-L121),0)</x:f>
        <x:v>47</x:v>
      </x:c>
      <x:c r="AE121" s="12" t="n">
        <x:f>ROUND(0.35*Y121+0.22*T121+0.18*R121+0.13*S121+0.12*X121,0)</x:f>
        <x:v>46</x:v>
      </x:c>
      <x:c r="AF121" s="12" t="n">
        <x:f>ROUND(0.72*X121+0.28*Y121,0)</x:f>
        <x:v>58</x:v>
      </x:c>
      <x:c r="AG121" s="12" t="str">
        <x:v>https://wikiwiki.jp/poke-unite/%E3%83%A4%E3%83%89%E3%83%A9%E3%83%B3</x:v>
      </x:c>
    </x:row>
    <x:row r="122">
      <x:c r="A122" s="12" t="str">
        <x:v>ヤドラン</x:v>
      </x:c>
      <x:c r="B122" s="12" t="str">
        <x:v>ディフェンス型</x:v>
      </x:c>
      <x:c r="C122" s="12" t="str">
        <x:v>ヤドラン-2</x:v>
      </x:c>
      <x:c r="D122" s="12" t="str">
        <x:v>なみのり＋テレキネシス</x:v>
      </x:c>
      <x:c r="E122" s="12" t="str">
        <x:v>Catcher Tank</x:v>
      </x:c>
      <x:c r="F122" s="12" t="str">
        <x:v>Warden</x:v>
      </x:c>
      <x:c r="G122" s="12" t="str">
        <x:v>Catcher</x:v>
      </x:c>
      <x:c r="H122" s="12" t="str">
        <x:v>CC特化・味方の起点</x:v>
      </x:c>
      <x:c r="I122" s="12" t="str">
        <x:v>高</x:v>
      </x:c>
      <x:c r="J122" s="12" t="str">
        <x:v>2026-09-25</x:v>
      </x:c>
      <x:c r="K122" s="12" t="n">
        <x:v>60</x:v>
      </x:c>
      <x:c r="L122" s="12" t="n">
        <x:v>30</x:v>
      </x:c>
      <x:c r="M122" s="12" t="n">
        <x:v>100</x:v>
      </x:c>
      <x:c r="N122" s="12" t="n">
        <x:v>90</x:v>
      </x:c>
      <x:c r="O122" s="12" t="n">
        <x:v>35</x:v>
      </x:c>
      <x:c r="P122" s="12" t="n">
        <x:v>25</x:v>
      </x:c>
      <x:c r="Q122" s="12" t="n">
        <x:v>30</x:v>
      </x:c>
      <x:c r="R122" s="12" t="n">
        <x:v>100</x:v>
      </x:c>
      <x:c r="S122" s="12" t="n">
        <x:v>45</x:v>
      </x:c>
      <x:c r="T122" s="12" t="n">
        <x:v>40</x:v>
      </x:c>
      <x:c r="U122" s="12" t="n">
        <x:v>25</x:v>
      </x:c>
      <x:c r="V122" s="12" t="n">
        <x:v>40</x:v>
      </x:c>
      <x:c r="W122" s="12" t="n">
        <x:v>30</x:v>
      </x:c>
      <x:c r="X122" s="12" t="n">
        <x:v>55</x:v>
      </x:c>
      <x:c r="Y122" s="12" t="n">
        <x:v>85</x:v>
      </x:c>
      <x:c r="Z122" s="12" t="n">
        <x:f>ROUND(0.38*K122+0.30*L122+0.17*P122+0.15*Y122,0)</x:f>
        <x:v>49</x:v>
      </x:c>
      <x:c r="AA122" s="12" t="n">
        <x:f>ROUND(0.38*L122+0.25*P122+0.20*T122+0.17*(100-M122),0)</x:f>
        <x:v>26</x:v>
      </x:c>
      <x:c r="AB122" s="12" t="n">
        <x:f>ROUND(0.32*M122+0.26*S122+0.24*R122+0.18*K122,0)</x:f>
        <x:v>79</x:v>
      </x:c>
      <x:c r="AC122" s="12" t="n">
        <x:f>ROUND(0.27*Q122+0.24*T122+0.22*N122+0.15*P122+0.12*V122,0)</x:f>
        <x:v>46</x:v>
      </x:c>
      <x:c r="AD122" s="12" t="n">
        <x:f>ROUND(0.28*O122+0.28*R122+0.28*Y122+0.16*(100-L122),0)</x:f>
        <x:v>73</x:v>
      </x:c>
      <x:c r="AE122" s="12" t="n">
        <x:f>ROUND(0.35*Y122+0.22*T122+0.18*R122+0.13*S122+0.12*X122,0)</x:f>
        <x:v>69</x:v>
      </x:c>
      <x:c r="AF122" s="12" t="n">
        <x:f>ROUND(0.72*X122+0.28*Y122,0)</x:f>
        <x:v>63</x:v>
      </x:c>
      <x:c r="AG122" s="12" t="str">
        <x:v>https://wikiwiki.jp/poke-unite/%E3%83%A4%E3%83%89%E3%83%A9%E3%83%B3</x:v>
      </x:c>
    </x:row>
    <x:row r="123">
      <x:c r="A123" s="12" t="str">
        <x:v>ヨクバリス</x:v>
      </x:c>
      <x:c r="B123" s="12" t="str">
        <x:v>ディフェンス型</x:v>
      </x:c>
      <x:c r="C123" s="12" t="str">
        <x:v>ヨクバリス-1</x:v>
      </x:c>
      <x:c r="D123" s="12" t="str">
        <x:v>タネマシンガン＋ほおばる</x:v>
      </x:c>
      <x:c r="E123" s="12" t="str">
        <x:v>Sustain Bruiser</x:v>
      </x:c>
      <x:c r="F123" s="12" t="str">
        <x:v>Juggernaut</x:v>
      </x:c>
      <x:c r="G123" s="12" t="str">
        <x:v>Skirmisher</x:v>
      </x:c>
      <x:c r="H123" s="12" t="str">
        <x:v>1対1・回復・持久戦</x:v>
      </x:c>
      <x:c r="I123" s="12" t="str">
        <x:v>高</x:v>
      </x:c>
      <x:c r="J123" s="12" t="str">
        <x:v>2026-09-25</x:v>
      </x:c>
      <x:c r="K123" s="12" t="n">
        <x:v>55</x:v>
      </x:c>
      <x:c r="L123" s="12" t="n">
        <x:v>55</x:v>
      </x:c>
      <x:c r="M123" s="12" t="n">
        <x:v>40</x:v>
      </x:c>
      <x:c r="N123" s="12" t="n">
        <x:v>100</x:v>
      </x:c>
      <x:c r="O123" s="12" t="n">
        <x:v>15</x:v>
      </x:c>
      <x:c r="P123" s="12" t="n">
        <x:v>60</x:v>
      </x:c>
      <x:c r="Q123" s="12" t="n">
        <x:v>100</x:v>
      </x:c>
      <x:c r="R123" s="12" t="n">
        <x:v>35</x:v>
      </x:c>
      <x:c r="S123" s="12" t="n">
        <x:v>15</x:v>
      </x:c>
      <x:c r="T123" s="12" t="n">
        <x:v>50</x:v>
      </x:c>
      <x:c r="U123" s="12" t="n">
        <x:v>70</x:v>
      </x:c>
      <x:c r="V123" s="12" t="n">
        <x:v>80</x:v>
      </x:c>
      <x:c r="W123" s="12" t="n">
        <x:v>45</x:v>
      </x:c>
      <x:c r="X123" s="12" t="n">
        <x:v>55</x:v>
      </x:c>
      <x:c r="Y123" s="12" t="n">
        <x:v>60</x:v>
      </x:c>
      <x:c r="Z123" s="12" t="n">
        <x:f>ROUND(0.38*K123+0.30*L123+0.17*P123+0.15*Y123,0)</x:f>
        <x:v>57</x:v>
      </x:c>
      <x:c r="AA123" s="12" t="n">
        <x:f>ROUND(0.38*L123+0.25*P123+0.20*T123+0.17*(100-M123),0)</x:f>
        <x:v>56</x:v>
      </x:c>
      <x:c r="AB123" s="12" t="n">
        <x:f>ROUND(0.32*M123+0.26*S123+0.24*R123+0.18*K123,0)</x:f>
        <x:v>35</x:v>
      </x:c>
      <x:c r="AC123" s="12" t="n">
        <x:f>ROUND(0.27*Q123+0.24*T123+0.22*N123+0.15*P123+0.12*V123,0)</x:f>
        <x:v>80</x:v>
      </x:c>
      <x:c r="AD123" s="12" t="n">
        <x:f>ROUND(0.28*O123+0.28*R123+0.28*Y123+0.16*(100-L123),0)</x:f>
        <x:v>38</x:v>
      </x:c>
      <x:c r="AE123" s="12" t="n">
        <x:f>ROUND(0.35*Y123+0.22*T123+0.18*R123+0.13*S123+0.12*X123,0)</x:f>
        <x:v>47</x:v>
      </x:c>
      <x:c r="AF123" s="12" t="n">
        <x:f>ROUND(0.72*X123+0.28*Y123,0)</x:f>
        <x:v>56</x:v>
      </x:c>
      <x:c r="AG123" s="12" t="str">
        <x:v>https://wikiwiki.jp/poke-unite/%E3%83%A8%E3%82%AF%E3%83%90%E3%83%AA%E3%82%B9</x:v>
      </x:c>
    </x:row>
    <x:row r="124">
      <x:c r="A124" s="12" t="str">
        <x:v>ヨクバリス</x:v>
      </x:c>
      <x:c r="B124" s="12" t="str">
        <x:v>ディフェンス型</x:v>
      </x:c>
      <x:c r="C124" s="12" t="str">
        <x:v>ヨクバリス-2</x:v>
      </x:c>
      <x:c r="D124" s="12" t="str">
        <x:v>ゲップ＋ほしがる</x:v>
      </x:c>
      <x:c r="E124" s="12" t="str">
        <x:v>Roaming Disruptor</x:v>
      </x:c>
      <x:c r="F124" s="12" t="str">
        <x:v>Diver</x:v>
      </x:c>
      <x:c r="G124" s="12" t="str">
        <x:v>Specialist</x:v>
      </x:c>
      <x:c r="H124" s="12" t="str">
        <x:v>カジャン・撹乱・高速移動</x:v>
      </x:c>
      <x:c r="I124" s="12" t="str">
        <x:v>高</x:v>
      </x:c>
      <x:c r="J124" s="12" t="str">
        <x:v>2026-09-25</x:v>
      </x:c>
      <x:c r="K124" s="12" t="n">
        <x:v>70</x:v>
      </x:c>
      <x:c r="L124" s="12" t="n">
        <x:v>75</x:v>
      </x:c>
      <x:c r="M124" s="12" t="n">
        <x:v>40</x:v>
      </x:c>
      <x:c r="N124" s="12" t="n">
        <x:v>55</x:v>
      </x:c>
      <x:c r="O124" s="12" t="n">
        <x:v>25</x:v>
      </x:c>
      <x:c r="P124" s="12" t="n">
        <x:v>75</x:v>
      </x:c>
      <x:c r="Q124" s="12" t="n">
        <x:v>65</x:v>
      </x:c>
      <x:c r="R124" s="12" t="n">
        <x:v>65</x:v>
      </x:c>
      <x:c r="S124" s="12" t="n">
        <x:v>30</x:v>
      </x:c>
      <x:c r="T124" s="12" t="n">
        <x:v>95</x:v>
      </x:c>
      <x:c r="U124" s="12" t="n">
        <x:v>55</x:v>
      </x:c>
      <x:c r="V124" s="12" t="n">
        <x:v>60</x:v>
      </x:c>
      <x:c r="W124" s="12" t="n">
        <x:v>75</x:v>
      </x:c>
      <x:c r="X124" s="12" t="n">
        <x:v>70</x:v>
      </x:c>
      <x:c r="Y124" s="12" t="n">
        <x:v>75</x:v>
      </x:c>
      <x:c r="Z124" s="12" t="n">
        <x:f>ROUND(0.38*K124+0.30*L124+0.17*P124+0.15*Y124,0)</x:f>
        <x:v>73</x:v>
      </x:c>
      <x:c r="AA124" s="12" t="n">
        <x:f>ROUND(0.38*L124+0.25*P124+0.20*T124+0.17*(100-M124),0)</x:f>
        <x:v>76</x:v>
      </x:c>
      <x:c r="AB124" s="12" t="n">
        <x:f>ROUND(0.32*M124+0.26*S124+0.24*R124+0.18*K124,0)</x:f>
        <x:v>49</x:v>
      </x:c>
      <x:c r="AC124" s="12" t="n">
        <x:f>ROUND(0.27*Q124+0.24*T124+0.22*N124+0.15*P124+0.12*V124,0)</x:f>
        <x:v>71</x:v>
      </x:c>
      <x:c r="AD124" s="12" t="n">
        <x:f>ROUND(0.28*O124+0.28*R124+0.28*Y124+0.16*(100-L124),0)</x:f>
        <x:v>50</x:v>
      </x:c>
      <x:c r="AE124" s="12" t="n">
        <x:f>ROUND(0.35*Y124+0.22*T124+0.18*R124+0.13*S124+0.12*X124,0)</x:f>
        <x:v>71</x:v>
      </x:c>
      <x:c r="AF124" s="12" t="n">
        <x:f>ROUND(0.72*X124+0.28*Y124,0)</x:f>
        <x:v>71</x:v>
      </x:c>
      <x:c r="AG124" s="12" t="str">
        <x:v>https://wikiwiki.jp/poke-unite/%E3%83%A8%E3%82%AF%E3%83%90%E3%83%AA%E3%82%B9</x:v>
      </x:c>
    </x:row>
    <x:row r="125">
      <x:c r="A125" s="12" t="str">
        <x:v>ラプラス</x:v>
      </x:c>
      <x:c r="B125" s="12" t="str">
        <x:v>ディフェンス型</x:v>
      </x:c>
      <x:c r="C125" s="12" t="str">
        <x:v>ラプラス-1</x:v>
      </x:c>
      <x:c r="D125" s="12" t="str">
        <x:v>共通プロファイル</x:v>
      </x:c>
      <x:c r="E125" s="12" t="str">
        <x:v>Juggernaut/Warden</x:v>
      </x:c>
      <x:c r="F125" s="12" t="str">
        <x:v>Juggernaut</x:v>
      </x:c>
      <x:c r="G125" s="12" t="str">
        <x:v>Warden</x:v>
      </x:c>
      <x:c r="H125" s="12" t="str">
        <x:v>技選択で主役割が大きく変わらないため統合</x:v>
      </x:c>
      <x:c r="I125" s="12" t="str">
        <x:v>高</x:v>
      </x:c>
      <x:c r="J125" s="12" t="str">
        <x:v>2026-09-25</x:v>
      </x:c>
      <x:c r="K125" s="12" t="n">
        <x:v>55</x:v>
      </x:c>
      <x:c r="L125" s="12" t="n">
        <x:v>40</x:v>
      </x:c>
      <x:c r="M125" s="12" t="n">
        <x:v>60</x:v>
      </x:c>
      <x:c r="N125" s="12" t="n">
        <x:v>100</x:v>
      </x:c>
      <x:c r="O125" s="12" t="n">
        <x:v>20</x:v>
      </x:c>
      <x:c r="P125" s="12" t="n">
        <x:v>40</x:v>
      </x:c>
      <x:c r="Q125" s="12" t="n">
        <x:v>70</x:v>
      </x:c>
      <x:c r="R125" s="12" t="n">
        <x:v>65</x:v>
      </x:c>
      <x:c r="S125" s="12" t="n">
        <x:v>35</x:v>
      </x:c>
      <x:c r="T125" s="12" t="n">
        <x:v>40</x:v>
      </x:c>
      <x:c r="U125" s="12" t="n">
        <x:v>55</x:v>
      </x:c>
      <x:c r="V125" s="12" t="n">
        <x:v>70</x:v>
      </x:c>
      <x:c r="W125" s="12" t="n">
        <x:v>35</x:v>
      </x:c>
      <x:c r="X125" s="12" t="n">
        <x:v>50</x:v>
      </x:c>
      <x:c r="Y125" s="12" t="n">
        <x:v>65</x:v>
      </x:c>
      <x:c r="Z125" s="12" t="n">
        <x:f>ROUND(0.38*K125+0.30*L125+0.17*P125+0.15*Y125,0)</x:f>
        <x:v>49</x:v>
      </x:c>
      <x:c r="AA125" s="12" t="n">
        <x:f>ROUND(0.38*L125+0.25*P125+0.20*T125+0.17*(100-M125),0)</x:f>
        <x:v>40</x:v>
      </x:c>
      <x:c r="AB125" s="12" t="n">
        <x:f>ROUND(0.32*M125+0.26*S125+0.24*R125+0.18*K125,0)</x:f>
        <x:v>54</x:v>
      </x:c>
      <x:c r="AC125" s="12" t="n">
        <x:f>ROUND(0.27*Q125+0.24*T125+0.22*N125+0.15*P125+0.12*V125,0)</x:f>
        <x:v>65</x:v>
      </x:c>
      <x:c r="AD125" s="12" t="n">
        <x:f>ROUND(0.28*O125+0.28*R125+0.28*Y125+0.16*(100-L125),0)</x:f>
        <x:v>52</x:v>
      </x:c>
      <x:c r="AE125" s="12" t="n">
        <x:f>ROUND(0.35*Y125+0.22*T125+0.18*R125+0.13*S125+0.12*X125,0)</x:f>
        <x:v>54</x:v>
      </x:c>
      <x:c r="AF125" s="12" t="n">
        <x:f>ROUND(0.72*X125+0.28*Y125,0)</x:f>
        <x:v>54</x:v>
      </x:c>
      <x:c r="AG125" s="12" t="str">
        <x:v>https://wikiwiki.jp/poke-unite/%E3%83%A9%E3%83%97%E3%83%A9%E3%82%B9</x:v>
      </x:c>
    </x:row>
    <x:row r="126">
      <x:c r="A126" s="12" t="str">
        <x:v>キュワワー</x:v>
      </x:c>
      <x:c r="B126" s="12" t="str">
        <x:v>サポート型</x:v>
      </x:c>
      <x:c r="C126" s="12" t="str">
        <x:v>キュワワー-1</x:v>
      </x:c>
      <x:c r="D126" s="12" t="str">
        <x:v>共通プロファイル</x:v>
      </x:c>
      <x:c r="E126" s="12" t="str">
        <x:v>Enchanter</x:v>
      </x:c>
      <x:c r="F126" s="12" t="str">
        <x:v>Enchanter</x:v>
      </x:c>
      <x:c r="G126" s="12" t="str"/>
      <x:c r="H126" s="12" t="str">
        <x:v>技選択で主役割が大きく変わらないため統合</x:v>
      </x:c>
      <x:c r="I126" s="12" t="str">
        <x:v>高</x:v>
      </x:c>
      <x:c r="J126" s="12" t="str">
        <x:v>2026-09-25</x:v>
      </x:c>
      <x:c r="K126" s="12" t="n">
        <x:v>25</x:v>
      </x:c>
      <x:c r="L126" s="12" t="n">
        <x:v>5</x:v>
      </x:c>
      <x:c r="M126" s="12" t="n">
        <x:v>95</x:v>
      </x:c>
      <x:c r="N126" s="12" t="n">
        <x:v>10</x:v>
      </x:c>
      <x:c r="O126" s="12" t="n">
        <x:v>40</x:v>
      </x:c>
      <x:c r="P126" s="12" t="n">
        <x:v>15</x:v>
      </x:c>
      <x:c r="Q126" s="12" t="n">
        <x:v>25</x:v>
      </x:c>
      <x:c r="R126" s="12" t="n">
        <x:v>60</x:v>
      </x:c>
      <x:c r="S126" s="12" t="n">
        <x:v>100</x:v>
      </x:c>
      <x:c r="T126" s="12" t="n">
        <x:v>35</x:v>
      </x:c>
      <x:c r="U126" s="12" t="n">
        <x:v>10</x:v>
      </x:c>
      <x:c r="V126" s="12" t="n">
        <x:v>25</x:v>
      </x:c>
      <x:c r="W126" s="12" t="n">
        <x:v>35</x:v>
      </x:c>
      <x:c r="X126" s="12" t="n">
        <x:v>45</x:v>
      </x:c>
      <x:c r="Y126" s="12" t="n">
        <x:v>90</x:v>
      </x:c>
      <x:c r="Z126" s="12" t="n">
        <x:f>ROUND(0.38*K126+0.30*L126+0.17*P126+0.15*Y126,0)</x:f>
        <x:v>27</x:v>
      </x:c>
      <x:c r="AA126" s="12" t="n">
        <x:f>ROUND(0.38*L126+0.25*P126+0.20*T126+0.17*(100-M126),0)</x:f>
        <x:v>14</x:v>
      </x:c>
      <x:c r="AB126" s="12" t="n">
        <x:f>ROUND(0.32*M126+0.26*S126+0.24*R126+0.18*K126,0)</x:f>
        <x:v>75</x:v>
      </x:c>
      <x:c r="AC126" s="12" t="n">
        <x:f>ROUND(0.27*Q126+0.24*T126+0.22*N126+0.15*P126+0.12*V126,0)</x:f>
        <x:v>23</x:v>
      </x:c>
      <x:c r="AD126" s="12" t="n">
        <x:f>ROUND(0.28*O126+0.28*R126+0.28*Y126+0.16*(100-L126),0)</x:f>
        <x:v>68</x:v>
      </x:c>
      <x:c r="AE126" s="12" t="n">
        <x:f>ROUND(0.35*Y126+0.22*T126+0.18*R126+0.13*S126+0.12*X126,0)</x:f>
        <x:v>68</x:v>
      </x:c>
      <x:c r="AF126" s="12" t="n">
        <x:f>ROUND(0.72*X126+0.28*Y126,0)</x:f>
        <x:v>58</x:v>
      </x:c>
      <x:c r="AG126" s="12" t="str">
        <x:v>https://wikiwiki.jp/poke-unite/%E3%82%AD%E3%83%A5%E3%83%AF%E3%83%AF%E3%83%BC</x:v>
      </x:c>
    </x:row>
    <x:row r="127">
      <x:c r="A127" s="12" t="str">
        <x:v>コダック</x:v>
      </x:c>
      <x:c r="B127" s="12" t="str">
        <x:v>サポート型</x:v>
      </x:c>
      <x:c r="C127" s="12" t="str">
        <x:v>コダック-1</x:v>
      </x:c>
      <x:c r="D127" s="12" t="str">
        <x:v>共通プロファイル</x:v>
      </x:c>
      <x:c r="E127" s="12" t="str">
        <x:v>Catcher/Warden</x:v>
      </x:c>
      <x:c r="F127" s="12" t="str">
        <x:v>Catcher</x:v>
      </x:c>
      <x:c r="G127" s="12" t="str">
        <x:v>Warden</x:v>
      </x:c>
      <x:c r="H127" s="12" t="str">
        <x:v>技選択で主役割が大きく変わらないため統合</x:v>
      </x:c>
      <x:c r="I127" s="12" t="str">
        <x:v>高</x:v>
      </x:c>
      <x:c r="J127" s="12" t="str">
        <x:v>2026-09-25</x:v>
      </x:c>
      <x:c r="K127" s="12" t="n">
        <x:v>65</x:v>
      </x:c>
      <x:c r="L127" s="12" t="n">
        <x:v>35</x:v>
      </x:c>
      <x:c r="M127" s="12" t="n">
        <x:v>75</x:v>
      </x:c>
      <x:c r="N127" s="12" t="n">
        <x:v>70</x:v>
      </x:c>
      <x:c r="O127" s="12" t="n">
        <x:v>40</x:v>
      </x:c>
      <x:c r="P127" s="12" t="n">
        <x:v>40</x:v>
      </x:c>
      <x:c r="Q127" s="12" t="n">
        <x:v>35</x:v>
      </x:c>
      <x:c r="R127" s="12" t="n">
        <x:v>100</x:v>
      </x:c>
      <x:c r="S127" s="12" t="n">
        <x:v>30</x:v>
      </x:c>
      <x:c r="T127" s="12" t="n">
        <x:v>50</x:v>
      </x:c>
      <x:c r="U127" s="12" t="n">
        <x:v>25</x:v>
      </x:c>
      <x:c r="V127" s="12" t="n">
        <x:v>40</x:v>
      </x:c>
      <x:c r="W127" s="12" t="n">
        <x:v>35</x:v>
      </x:c>
      <x:c r="X127" s="12" t="n">
        <x:v>60</x:v>
      </x:c>
      <x:c r="Y127" s="12" t="n">
        <x:v>85</x:v>
      </x:c>
      <x:c r="Z127" s="12" t="n">
        <x:f>ROUND(0.38*K127+0.30*L127+0.17*P127+0.15*Y127,0)</x:f>
        <x:v>55</x:v>
      </x:c>
      <x:c r="AA127" s="12" t="n">
        <x:f>ROUND(0.38*L127+0.25*P127+0.20*T127+0.17*(100-M127),0)</x:f>
        <x:v>38</x:v>
      </x:c>
      <x:c r="AB127" s="12" t="n">
        <x:f>ROUND(0.32*M127+0.26*S127+0.24*R127+0.18*K127,0)</x:f>
        <x:v>68</x:v>
      </x:c>
      <x:c r="AC127" s="12" t="n">
        <x:f>ROUND(0.27*Q127+0.24*T127+0.22*N127+0.15*P127+0.12*V127,0)</x:f>
        <x:v>48</x:v>
      </x:c>
      <x:c r="AD127" s="12" t="n">
        <x:f>ROUND(0.28*O127+0.28*R127+0.28*Y127+0.16*(100-L127),0)</x:f>
        <x:v>73</x:v>
      </x:c>
      <x:c r="AE127" s="12" t="n">
        <x:f>ROUND(0.35*Y127+0.22*T127+0.18*R127+0.13*S127+0.12*X127,0)</x:f>
        <x:v>70</x:v>
      </x:c>
      <x:c r="AF127" s="12" t="n">
        <x:f>ROUND(0.72*X127+0.28*Y127,0)</x:f>
        <x:v>67</x:v>
      </x:c>
      <x:c r="AG127" s="12" t="str">
        <x:v>https://wikiwiki.jp/poke-unite/%E3%82%B3%E3%83%80%E3%83%83%E3%82%AF</x:v>
      </x:c>
    </x:row>
    <x:row r="128">
      <x:c r="A128" s="12" t="str">
        <x:v>ハピナス</x:v>
      </x:c>
      <x:c r="B128" s="12" t="str">
        <x:v>サポート型</x:v>
      </x:c>
      <x:c r="C128" s="12" t="str">
        <x:v>ハピナス-1</x:v>
      </x:c>
      <x:c r="D128" s="12" t="str">
        <x:v>タマゴうみ＋タマゴばくだん</x:v>
      </x:c>
      <x:c r="E128" s="12" t="str">
        <x:v>Healer</x:v>
      </x:c>
      <x:c r="F128" s="12" t="str">
        <x:v>Enchanter</x:v>
      </x:c>
      <x:c r="G128" s="12" t="str"/>
      <x:c r="H128" s="12" t="str">
        <x:v>回復中心の後衛支援</x:v>
      </x:c>
      <x:c r="I128" s="12" t="str">
        <x:v>高</x:v>
      </x:c>
      <x:c r="J128" s="12" t="str">
        <x:v>2026-09-25</x:v>
      </x:c>
      <x:c r="K128" s="12" t="n">
        <x:v>25</x:v>
      </x:c>
      <x:c r="L128" s="12" t="n">
        <x:v>5</x:v>
      </x:c>
      <x:c r="M128" s="12" t="n">
        <x:v>95</x:v>
      </x:c>
      <x:c r="N128" s="12" t="n">
        <x:v>25</x:v>
      </x:c>
      <x:c r="O128" s="12" t="n">
        <x:v>40</x:v>
      </x:c>
      <x:c r="P128" s="12" t="n">
        <x:v>10</x:v>
      </x:c>
      <x:c r="Q128" s="12" t="n">
        <x:v>25</x:v>
      </x:c>
      <x:c r="R128" s="12" t="n">
        <x:v>65</x:v>
      </x:c>
      <x:c r="S128" s="12" t="n">
        <x:v>100</x:v>
      </x:c>
      <x:c r="T128" s="12" t="n">
        <x:v>40</x:v>
      </x:c>
      <x:c r="U128" s="12" t="n">
        <x:v>10</x:v>
      </x:c>
      <x:c r="V128" s="12" t="n">
        <x:v>25</x:v>
      </x:c>
      <x:c r="W128" s="12" t="n">
        <x:v>35</x:v>
      </x:c>
      <x:c r="X128" s="12" t="n">
        <x:v>50</x:v>
      </x:c>
      <x:c r="Y128" s="12" t="n">
        <x:v>90</x:v>
      </x:c>
      <x:c r="Z128" s="12" t="n">
        <x:f>ROUND(0.38*K128+0.30*L128+0.17*P128+0.15*Y128,0)</x:f>
        <x:v>26</x:v>
      </x:c>
      <x:c r="AA128" s="12" t="n">
        <x:f>ROUND(0.38*L128+0.25*P128+0.20*T128+0.17*(100-M128),0)</x:f>
        <x:v>13</x:v>
      </x:c>
      <x:c r="AB128" s="12" t="n">
        <x:f>ROUND(0.32*M128+0.26*S128+0.24*R128+0.18*K128,0)</x:f>
        <x:v>77</x:v>
      </x:c>
      <x:c r="AC128" s="12" t="n">
        <x:f>ROUND(0.27*Q128+0.24*T128+0.22*N128+0.15*P128+0.12*V128,0)</x:f>
        <x:v>26</x:v>
      </x:c>
      <x:c r="AD128" s="12" t="n">
        <x:f>ROUND(0.28*O128+0.28*R128+0.28*Y128+0.16*(100-L128),0)</x:f>
        <x:v>70</x:v>
      </x:c>
      <x:c r="AE128" s="12" t="n">
        <x:f>ROUND(0.35*Y128+0.22*T128+0.18*R128+0.13*S128+0.12*X128,0)</x:f>
        <x:v>71</x:v>
      </x:c>
      <x:c r="AF128" s="12" t="n">
        <x:f>ROUND(0.72*X128+0.28*Y128,0)</x:f>
        <x:v>61</x:v>
      </x:c>
      <x:c r="AG128" s="12" t="str">
        <x:v>https://wikiwiki.jp/poke-unite/%E3%83%8F%E3%83%94%E3%83%8A%E3%82%B9</x:v>
      </x:c>
    </x:row>
    <x:row r="129">
      <x:c r="A129" s="12" t="str">
        <x:v>ハピナス</x:v>
      </x:c>
      <x:c r="B129" s="12" t="str">
        <x:v>サポート型</x:v>
      </x:c>
      <x:c r="C129" s="12" t="str">
        <x:v>ハピナス-2</x:v>
      </x:c>
      <x:c r="D129" s="12" t="str">
        <x:v>てだすけ＋しんぴのまもり</x:v>
      </x:c>
      <x:c r="E129" s="12" t="str">
        <x:v>Buffer</x:v>
      </x:c>
      <x:c r="F129" s="12" t="str">
        <x:v>Enchanter</x:v>
      </x:c>
      <x:c r="G129" s="12" t="str">
        <x:v>Specialist</x:v>
      </x:c>
      <x:c r="H129" s="12" t="str">
        <x:v>火力加速・妨害対策</x:v>
      </x:c>
      <x:c r="I129" s="12" t="str">
        <x:v>高</x:v>
      </x:c>
      <x:c r="J129" s="12" t="str">
        <x:v>2026-09-25</x:v>
      </x:c>
      <x:c r="K129" s="12" t="n">
        <x:v>35</x:v>
      </x:c>
      <x:c r="L129" s="12" t="n">
        <x:v>15</x:v>
      </x:c>
      <x:c r="M129" s="12" t="n">
        <x:v>90</x:v>
      </x:c>
      <x:c r="N129" s="12" t="n">
        <x:v>30</x:v>
      </x:c>
      <x:c r="O129" s="12" t="n">
        <x:v>40</x:v>
      </x:c>
      <x:c r="P129" s="12" t="n">
        <x:v>20</x:v>
      </x:c>
      <x:c r="Q129" s="12" t="n">
        <x:v>30</x:v>
      </x:c>
      <x:c r="R129" s="12" t="n">
        <x:v>55</x:v>
      </x:c>
      <x:c r="S129" s="12" t="n">
        <x:v>100</x:v>
      </x:c>
      <x:c r="T129" s="12" t="n">
        <x:v>55</x:v>
      </x:c>
      <x:c r="U129" s="12" t="n">
        <x:v>20</x:v>
      </x:c>
      <x:c r="V129" s="12" t="n">
        <x:v>30</x:v>
      </x:c>
      <x:c r="W129" s="12" t="n">
        <x:v>45</x:v>
      </x:c>
      <x:c r="X129" s="12" t="n">
        <x:v>60</x:v>
      </x:c>
      <x:c r="Y129" s="12" t="n">
        <x:v>95</x:v>
      </x:c>
      <x:c r="Z129" s="12" t="n">
        <x:f>ROUND(0.38*K129+0.30*L129+0.17*P129+0.15*Y129,0)</x:f>
        <x:v>35</x:v>
      </x:c>
      <x:c r="AA129" s="12" t="n">
        <x:f>ROUND(0.38*L129+0.25*P129+0.20*T129+0.17*(100-M129),0)</x:f>
        <x:v>23</x:v>
      </x:c>
      <x:c r="AB129" s="12" t="n">
        <x:f>ROUND(0.32*M129+0.26*S129+0.24*R129+0.18*K129,0)</x:f>
        <x:v>74</x:v>
      </x:c>
      <x:c r="AC129" s="12" t="n">
        <x:f>ROUND(0.27*Q129+0.24*T129+0.22*N129+0.15*P129+0.12*V129,0)</x:f>
        <x:v>35</x:v>
      </x:c>
      <x:c r="AD129" s="12" t="n">
        <x:f>ROUND(0.28*O129+0.28*R129+0.28*Y129+0.16*(100-L129),0)</x:f>
        <x:v>67</x:v>
      </x:c>
      <x:c r="AE129" s="12" t="n">
        <x:f>ROUND(0.35*Y129+0.22*T129+0.18*R129+0.13*S129+0.12*X129,0)</x:f>
        <x:v>75</x:v>
      </x:c>
      <x:c r="AF129" s="12" t="n">
        <x:f>ROUND(0.72*X129+0.28*Y129,0)</x:f>
        <x:v>70</x:v>
      </x:c>
      <x:c r="AG129" s="12" t="str">
        <x:v>https://wikiwiki.jp/poke-unite/%E3%83%8F%E3%83%94%E3%83%8A%E3%82%B9</x:v>
      </x:c>
    </x:row>
    <x:row r="130">
      <x:c r="A130" s="12" t="str">
        <x:v>バリヤード</x:v>
      </x:c>
      <x:c r="B130" s="12" t="str">
        <x:v>サポート型</x:v>
      </x:c>
      <x:c r="C130" s="12" t="str">
        <x:v>バリヤード-1</x:v>
      </x:c>
      <x:c r="D130" s="12" t="str">
        <x:v>ねんりき＋バリアー</x:v>
      </x:c>
      <x:c r="E130" s="12" t="str">
        <x:v>Catcher</x:v>
      </x:c>
      <x:c r="F130" s="12" t="str">
        <x:v>Catcher</x:v>
      </x:c>
      <x:c r="G130" s="12" t="str">
        <x:v>Vanguard</x:v>
      </x:c>
      <x:c r="H130" s="12" t="str">
        <x:v>壁コンボ・位置操作</x:v>
      </x:c>
      <x:c r="I130" s="12" t="str">
        <x:v>高</x:v>
      </x:c>
      <x:c r="J130" s="12" t="str">
        <x:v>2026-09-25</x:v>
      </x:c>
      <x:c r="K130" s="12" t="n">
        <x:v>75</x:v>
      </x:c>
      <x:c r="L130" s="12" t="n">
        <x:v>50</x:v>
      </x:c>
      <x:c r="M130" s="12" t="n">
        <x:v>70</x:v>
      </x:c>
      <x:c r="N130" s="12" t="n">
        <x:v>70</x:v>
      </x:c>
      <x:c r="O130" s="12" t="n">
        <x:v>40</x:v>
      </x:c>
      <x:c r="P130" s="12" t="n">
        <x:v>50</x:v>
      </x:c>
      <x:c r="Q130" s="12" t="n">
        <x:v>40</x:v>
      </x:c>
      <x:c r="R130" s="12" t="n">
        <x:v>100</x:v>
      </x:c>
      <x:c r="S130" s="12" t="n">
        <x:v>25</x:v>
      </x:c>
      <x:c r="T130" s="12" t="n">
        <x:v>50</x:v>
      </x:c>
      <x:c r="U130" s="12" t="n">
        <x:v>25</x:v>
      </x:c>
      <x:c r="V130" s="12" t="n">
        <x:v>40</x:v>
      </x:c>
      <x:c r="W130" s="12" t="n">
        <x:v>35</x:v>
      </x:c>
      <x:c r="X130" s="12" t="n">
        <x:v>65</x:v>
      </x:c>
      <x:c r="Y130" s="12" t="n">
        <x:v>85</x:v>
      </x:c>
      <x:c r="Z130" s="12" t="n">
        <x:f>ROUND(0.38*K130+0.30*L130+0.17*P130+0.15*Y130,0)</x:f>
        <x:v>65</x:v>
      </x:c>
      <x:c r="AA130" s="12" t="n">
        <x:f>ROUND(0.38*L130+0.25*P130+0.20*T130+0.17*(100-M130),0)</x:f>
        <x:v>47</x:v>
      </x:c>
      <x:c r="AB130" s="12" t="n">
        <x:f>ROUND(0.32*M130+0.26*S130+0.24*R130+0.18*K130,0)</x:f>
        <x:v>66</x:v>
      </x:c>
      <x:c r="AC130" s="12" t="n">
        <x:f>ROUND(0.27*Q130+0.24*T130+0.22*N130+0.15*P130+0.12*V130,0)</x:f>
        <x:v>51</x:v>
      </x:c>
      <x:c r="AD130" s="12" t="n">
        <x:f>ROUND(0.28*O130+0.28*R130+0.28*Y130+0.16*(100-L130),0)</x:f>
        <x:v>71</x:v>
      </x:c>
      <x:c r="AE130" s="12" t="n">
        <x:f>ROUND(0.35*Y130+0.22*T130+0.18*R130+0.13*S130+0.12*X130,0)</x:f>
        <x:v>70</x:v>
      </x:c>
      <x:c r="AF130" s="12" t="n">
        <x:f>ROUND(0.72*X130+0.28*Y130,0)</x:f>
        <x:v>71</x:v>
      </x:c>
      <x:c r="AG130" s="12" t="str">
        <x:v>https://wikiwiki.jp/poke-unite/%E3%83%90%E3%83%AA%E3%83%A4%E3%83%BC%E3%83%89</x:v>
      </x:c>
    </x:row>
    <x:row r="131">
      <x:c r="A131" s="12" t="str">
        <x:v>バリヤード</x:v>
      </x:c>
      <x:c r="B131" s="12" t="str">
        <x:v>サポート型</x:v>
      </x:c>
      <x:c r="C131" s="12" t="str">
        <x:v>バリヤード-2</x:v>
      </x:c>
      <x:c r="D131" s="12" t="str">
        <x:v>サイコキネシス＋パワースワップ</x:v>
      </x:c>
      <x:c r="E131" s="12" t="str">
        <x:v>Link Support</x:v>
      </x:c>
      <x:c r="F131" s="12" t="str">
        <x:v>Enchanter</x:v>
      </x:c>
      <x:c r="G131" s="12" t="str">
        <x:v>BattleMage</x:v>
      </x:c>
      <x:c r="H131" s="12" t="str">
        <x:v>リンク支援・持久戦</x:v>
      </x:c>
      <x:c r="I131" s="12" t="str">
        <x:v>高</x:v>
      </x:c>
      <x:c r="J131" s="12" t="str">
        <x:v>2026-09-25</x:v>
      </x:c>
      <x:c r="K131" s="12" t="n">
        <x:v>30</x:v>
      </x:c>
      <x:c r="L131" s="12" t="n">
        <x:v>15</x:v>
      </x:c>
      <x:c r="M131" s="12" t="n">
        <x:v>75</x:v>
      </x:c>
      <x:c r="N131" s="12" t="n">
        <x:v>30</x:v>
      </x:c>
      <x:c r="O131" s="12" t="n">
        <x:v>35</x:v>
      </x:c>
      <x:c r="P131" s="12" t="n">
        <x:v>25</x:v>
      </x:c>
      <x:c r="Q131" s="12" t="n">
        <x:v>50</x:v>
      </x:c>
      <x:c r="R131" s="12" t="n">
        <x:v>60</x:v>
      </x:c>
      <x:c r="S131" s="12" t="n">
        <x:v>100</x:v>
      </x:c>
      <x:c r="T131" s="12" t="n">
        <x:v>45</x:v>
      </x:c>
      <x:c r="U131" s="12" t="n">
        <x:v>25</x:v>
      </x:c>
      <x:c r="V131" s="12" t="n">
        <x:v>40</x:v>
      </x:c>
      <x:c r="W131" s="12" t="n">
        <x:v>40</x:v>
      </x:c>
      <x:c r="X131" s="12" t="n">
        <x:v>55</x:v>
      </x:c>
      <x:c r="Y131" s="12" t="n">
        <x:v>85</x:v>
      </x:c>
      <x:c r="Z131" s="12" t="n">
        <x:f>ROUND(0.38*K131+0.30*L131+0.17*P131+0.15*Y131,0)</x:f>
        <x:v>33</x:v>
      </x:c>
      <x:c r="AA131" s="12" t="n">
        <x:f>ROUND(0.38*L131+0.25*P131+0.20*T131+0.17*(100-M131),0)</x:f>
        <x:v>25</x:v>
      </x:c>
      <x:c r="AB131" s="12" t="n">
        <x:f>ROUND(0.32*M131+0.26*S131+0.24*R131+0.18*K131,0)</x:f>
        <x:v>70</x:v>
      </x:c>
      <x:c r="AC131" s="12" t="n">
        <x:f>ROUND(0.27*Q131+0.24*T131+0.22*N131+0.15*P131+0.12*V131,0)</x:f>
        <x:v>39</x:v>
      </x:c>
      <x:c r="AD131" s="12" t="n">
        <x:f>ROUND(0.28*O131+0.28*R131+0.28*Y131+0.16*(100-L131),0)</x:f>
        <x:v>64</x:v>
      </x:c>
      <x:c r="AE131" s="12" t="n">
        <x:f>ROUND(0.35*Y131+0.22*T131+0.18*R131+0.13*S131+0.12*X131,0)</x:f>
        <x:v>70</x:v>
      </x:c>
      <x:c r="AF131" s="12" t="n">
        <x:f>ROUND(0.72*X131+0.28*Y131,0)</x:f>
        <x:v>63</x:v>
      </x:c>
      <x:c r="AG131" s="12" t="str">
        <x:v>https://wikiwiki.jp/poke-unite/%E3%83%90%E3%83%AA%E3%83%A4%E3%83%BC%E3%83%89</x:v>
      </x:c>
    </x:row>
    <x:row r="132">
      <x:c r="A132" s="12" t="str">
        <x:v>ピクシー</x:v>
      </x:c>
      <x:c r="B132" s="12" t="str">
        <x:v>サポート型</x:v>
      </x:c>
      <x:c r="C132" s="12" t="str">
        <x:v>ピクシー-1</x:v>
      </x:c>
      <x:c r="D132" s="12" t="str">
        <x:v>共通プロファイル</x:v>
      </x:c>
      <x:c r="E132" s="12" t="str">
        <x:v>Enchanter</x:v>
      </x:c>
      <x:c r="F132" s="12" t="str">
        <x:v>Enchanter</x:v>
      </x:c>
      <x:c r="G132" s="12" t="str"/>
      <x:c r="H132" s="12" t="str">
        <x:v>技選択で主役割が大きく変わらないため統合</x:v>
      </x:c>
      <x:c r="I132" s="12" t="str">
        <x:v>高</x:v>
      </x:c>
      <x:c r="J132" s="12" t="str">
        <x:v>2026-09-25</x:v>
      </x:c>
      <x:c r="K132" s="12" t="n">
        <x:v>25</x:v>
      </x:c>
      <x:c r="L132" s="12" t="n">
        <x:v>5</x:v>
      </x:c>
      <x:c r="M132" s="12" t="n">
        <x:v>100</x:v>
      </x:c>
      <x:c r="N132" s="12" t="n">
        <x:v>25</x:v>
      </x:c>
      <x:c r="O132" s="12" t="n">
        <x:v>40</x:v>
      </x:c>
      <x:c r="P132" s="12" t="n">
        <x:v>15</x:v>
      </x:c>
      <x:c r="Q132" s="12" t="n">
        <x:v>25</x:v>
      </x:c>
      <x:c r="R132" s="12" t="n">
        <x:v>65</x:v>
      </x:c>
      <x:c r="S132" s="12" t="n">
        <x:v>100</x:v>
      </x:c>
      <x:c r="T132" s="12" t="n">
        <x:v>40</x:v>
      </x:c>
      <x:c r="U132" s="12" t="n">
        <x:v>10</x:v>
      </x:c>
      <x:c r="V132" s="12" t="n">
        <x:v>25</x:v>
      </x:c>
      <x:c r="W132" s="12" t="n">
        <x:v>35</x:v>
      </x:c>
      <x:c r="X132" s="12" t="n">
        <x:v>50</x:v>
      </x:c>
      <x:c r="Y132" s="12" t="n">
        <x:v>95</x:v>
      </x:c>
      <x:c r="Z132" s="12" t="n">
        <x:f>ROUND(0.38*K132+0.30*L132+0.17*P132+0.15*Y132,0)</x:f>
        <x:v>28</x:v>
      </x:c>
      <x:c r="AA132" s="12" t="n">
        <x:f>ROUND(0.38*L132+0.25*P132+0.20*T132+0.17*(100-M132),0)</x:f>
        <x:v>14</x:v>
      </x:c>
      <x:c r="AB132" s="12" t="n">
        <x:f>ROUND(0.32*M132+0.26*S132+0.24*R132+0.18*K132,0)</x:f>
        <x:v>78</x:v>
      </x:c>
      <x:c r="AC132" s="12" t="n">
        <x:f>ROUND(0.27*Q132+0.24*T132+0.22*N132+0.15*P132+0.12*V132,0)</x:f>
        <x:v>27</x:v>
      </x:c>
      <x:c r="AD132" s="12" t="n">
        <x:f>ROUND(0.28*O132+0.28*R132+0.28*Y132+0.16*(100-L132),0)</x:f>
        <x:v>71</x:v>
      </x:c>
      <x:c r="AE132" s="12" t="n">
        <x:f>ROUND(0.35*Y132+0.22*T132+0.18*R132+0.13*S132+0.12*X132,0)</x:f>
        <x:v>73</x:v>
      </x:c>
      <x:c r="AF132" s="12" t="n">
        <x:f>ROUND(0.72*X132+0.28*Y132,0)</x:f>
        <x:v>63</x:v>
      </x:c>
      <x:c r="AG132" s="12" t="str">
        <x:v>https://wikiwiki.jp/poke-unite/%E3%83%94%E3%82%AF%E3%82%B7%E3%83%BC</x:v>
      </x:c>
    </x:row>
    <x:row r="133">
      <x:c r="A133" s="12" t="str">
        <x:v>フーパ</x:v>
      </x:c>
      <x:c r="B133" s="12" t="str">
        <x:v>サポート型</x:v>
      </x:c>
      <x:c r="C133" s="12" t="str">
        <x:v>フーパ-1</x:v>
      </x:c>
      <x:c r="D133" s="12" t="str">
        <x:v>いじげんホール＋ゴーストダイブ</x:v>
      </x:c>
      <x:c r="E133" s="12" t="str">
        <x:v>Macro Specialist</x:v>
      </x:c>
      <x:c r="F133" s="12" t="str">
        <x:v>Specialist</x:v>
      </x:c>
      <x:c r="G133" s="12" t="str">
        <x:v>Enchanter</x:v>
      </x:c>
      <x:c r="H133" s="12" t="str">
        <x:v>ワープ・全体マクロ支援</x:v>
      </x:c>
      <x:c r="I133" s="12" t="str">
        <x:v>高</x:v>
      </x:c>
      <x:c r="J133" s="12" t="str">
        <x:v>2026-09-25</x:v>
      </x:c>
      <x:c r="K133" s="12" t="n">
        <x:v>45</x:v>
      </x:c>
      <x:c r="L133" s="12" t="n">
        <x:v>30</x:v>
      </x:c>
      <x:c r="M133" s="12" t="n">
        <x:v>70</x:v>
      </x:c>
      <x:c r="N133" s="12" t="n">
        <x:v>40</x:v>
      </x:c>
      <x:c r="O133" s="12" t="n">
        <x:v>50</x:v>
      </x:c>
      <x:c r="P133" s="12" t="n">
        <x:v>25</x:v>
      </x:c>
      <x:c r="Q133" s="12" t="n">
        <x:v>40</x:v>
      </x:c>
      <x:c r="R133" s="12" t="n">
        <x:v>75</x:v>
      </x:c>
      <x:c r="S133" s="12" t="n">
        <x:v>95</x:v>
      </x:c>
      <x:c r="T133" s="12" t="n">
        <x:v>75</x:v>
      </x:c>
      <x:c r="U133" s="12" t="n">
        <x:v>30</x:v>
      </x:c>
      <x:c r="V133" s="12" t="n">
        <x:v>40</x:v>
      </x:c>
      <x:c r="W133" s="12" t="n">
        <x:v>60</x:v>
      </x:c>
      <x:c r="X133" s="12" t="n">
        <x:v>70</x:v>
      </x:c>
      <x:c r="Y133" s="12" t="n">
        <x:v>100</x:v>
      </x:c>
      <x:c r="Z133" s="12" t="n">
        <x:f>ROUND(0.38*K133+0.30*L133+0.17*P133+0.15*Y133,0)</x:f>
        <x:v>45</x:v>
      </x:c>
      <x:c r="AA133" s="12" t="n">
        <x:f>ROUND(0.38*L133+0.25*P133+0.20*T133+0.17*(100-M133),0)</x:f>
        <x:v>38</x:v>
      </x:c>
      <x:c r="AB133" s="12" t="n">
        <x:f>ROUND(0.32*M133+0.26*S133+0.24*R133+0.18*K133,0)</x:f>
        <x:v>73</x:v>
      </x:c>
      <x:c r="AC133" s="12" t="n">
        <x:f>ROUND(0.27*Q133+0.24*T133+0.22*N133+0.15*P133+0.12*V133,0)</x:f>
        <x:v>46</x:v>
      </x:c>
      <x:c r="AD133" s="12" t="n">
        <x:f>ROUND(0.28*O133+0.28*R133+0.28*Y133+0.16*(100-L133),0)</x:f>
        <x:v>74</x:v>
      </x:c>
      <x:c r="AE133" s="12" t="n">
        <x:f>ROUND(0.35*Y133+0.22*T133+0.18*R133+0.13*S133+0.12*X133,0)</x:f>
        <x:v>86</x:v>
      </x:c>
      <x:c r="AF133" s="12" t="n">
        <x:f>ROUND(0.72*X133+0.28*Y133,0)</x:f>
        <x:v>78</x:v>
      </x:c>
      <x:c r="AG133" s="12" t="str">
        <x:v>https://wikiwiki.jp/poke-unite/%E3%83%95%E3%83%BC%E3%83%91</x:v>
      </x:c>
    </x:row>
    <x:row r="134">
      <x:c r="A134" s="12" t="str">
        <x:v>フーパ</x:v>
      </x:c>
      <x:c r="B134" s="12" t="str">
        <x:v>サポート型</x:v>
      </x:c>
      <x:c r="C134" s="12" t="str">
        <x:v>フーパ-2</x:v>
      </x:c>
      <x:c r="D134" s="12" t="str">
        <x:v>トリック＋シャドーボール</x:v>
      </x:c>
      <x:c r="E134" s="12" t="str">
        <x:v>Combat Enchanter</x:v>
      </x:c>
      <x:c r="F134" s="12" t="str">
        <x:v>Enchanter</x:v>
      </x:c>
      <x:c r="G134" s="12" t="str">
        <x:v>BattleMage</x:v>
      </x:c>
      <x:c r="H134" s="12" t="str">
        <x:v>局所戦のバフ・火力支援</x:v>
      </x:c>
      <x:c r="I134" s="12" t="str">
        <x:v>高</x:v>
      </x:c>
      <x:c r="J134" s="12" t="str">
        <x:v>2026-09-25</x:v>
      </x:c>
      <x:c r="K134" s="12" t="n">
        <x:v>30</x:v>
      </x:c>
      <x:c r="L134" s="12" t="n">
        <x:v>15</x:v>
      </x:c>
      <x:c r="M134" s="12" t="n">
        <x:v>75</x:v>
      </x:c>
      <x:c r="N134" s="12" t="n">
        <x:v>30</x:v>
      </x:c>
      <x:c r="O134" s="12" t="n">
        <x:v>45</x:v>
      </x:c>
      <x:c r="P134" s="12" t="n">
        <x:v>25</x:v>
      </x:c>
      <x:c r="Q134" s="12" t="n">
        <x:v>50</x:v>
      </x:c>
      <x:c r="R134" s="12" t="n">
        <x:v>65</x:v>
      </x:c>
      <x:c r="S134" s="12" t="n">
        <x:v>90</x:v>
      </x:c>
      <x:c r="T134" s="12" t="n">
        <x:v>40</x:v>
      </x:c>
      <x:c r="U134" s="12" t="n">
        <x:v>25</x:v>
      </x:c>
      <x:c r="V134" s="12" t="n">
        <x:v>40</x:v>
      </x:c>
      <x:c r="W134" s="12" t="n">
        <x:v>40</x:v>
      </x:c>
      <x:c r="X134" s="12" t="n">
        <x:v>55</x:v>
      </x:c>
      <x:c r="Y134" s="12" t="n">
        <x:v>85</x:v>
      </x:c>
      <x:c r="Z134" s="12" t="n">
        <x:f>ROUND(0.38*K134+0.30*L134+0.17*P134+0.15*Y134,0)</x:f>
        <x:v>33</x:v>
      </x:c>
      <x:c r="AA134" s="12" t="n">
        <x:f>ROUND(0.38*L134+0.25*P134+0.20*T134+0.17*(100-M134),0)</x:f>
        <x:v>24</x:v>
      </x:c>
      <x:c r="AB134" s="12" t="n">
        <x:f>ROUND(0.32*M134+0.26*S134+0.24*R134+0.18*K134,0)</x:f>
        <x:v>68</x:v>
      </x:c>
      <x:c r="AC134" s="12" t="n">
        <x:f>ROUND(0.27*Q134+0.24*T134+0.22*N134+0.15*P134+0.12*V134,0)</x:f>
        <x:v>38</x:v>
      </x:c>
      <x:c r="AD134" s="12" t="n">
        <x:f>ROUND(0.28*O134+0.28*R134+0.28*Y134+0.16*(100-L134),0)</x:f>
        <x:v>68</x:v>
      </x:c>
      <x:c r="AE134" s="12" t="n">
        <x:f>ROUND(0.35*Y134+0.22*T134+0.18*R134+0.13*S134+0.12*X134,0)</x:f>
        <x:v>69</x:v>
      </x:c>
      <x:c r="AF134" s="12" t="n">
        <x:f>ROUND(0.72*X134+0.28*Y134,0)</x:f>
        <x:v>63</x:v>
      </x:c>
      <x:c r="AG134" s="12" t="str">
        <x:v>https://wikiwiki.jp/poke-unite/%E3%83%95%E3%83%BC%E3%83%91</x:v>
      </x:c>
    </x:row>
    <x:row r="135">
      <x:c r="A135" s="12" t="str">
        <x:v>プクリン</x:v>
      </x:c>
      <x:c r="B135" s="12" t="str">
        <x:v>サポート型</x:v>
      </x:c>
      <x:c r="C135" s="12" t="str">
        <x:v>プクリン-1</x:v>
      </x:c>
      <x:c r="D135" s="12" t="str">
        <x:v>共通プロファイル</x:v>
      </x:c>
      <x:c r="E135" s="12" t="str">
        <x:v>Warden</x:v>
      </x:c>
      <x:c r="F135" s="12" t="str">
        <x:v>Warden</x:v>
      </x:c>
      <x:c r="G135" s="12" t="str"/>
      <x:c r="H135" s="12" t="str">
        <x:v>技選択で主役割が大きく変わらないため統合</x:v>
      </x:c>
      <x:c r="I135" s="12" t="str">
        <x:v>高</x:v>
      </x:c>
      <x:c r="J135" s="12" t="str">
        <x:v>2026-09-25</x:v>
      </x:c>
      <x:c r="K135" s="12" t="n">
        <x:v>55</x:v>
      </x:c>
      <x:c r="L135" s="12" t="n">
        <x:v>20</x:v>
      </x:c>
      <x:c r="M135" s="12" t="n">
        <x:v>100</x:v>
      </x:c>
      <x:c r="N135" s="12" t="n">
        <x:v>90</x:v>
      </x:c>
      <x:c r="O135" s="12" t="n">
        <x:v>30</x:v>
      </x:c>
      <x:c r="P135" s="12" t="n">
        <x:v>25</x:v>
      </x:c>
      <x:c r="Q135" s="12" t="n">
        <x:v>30</x:v>
      </x:c>
      <x:c r="R135" s="12" t="n">
        <x:v>100</x:v>
      </x:c>
      <x:c r="S135" s="12" t="n">
        <x:v>45</x:v>
      </x:c>
      <x:c r="T135" s="12" t="n">
        <x:v>35</x:v>
      </x:c>
      <x:c r="U135" s="12" t="n">
        <x:v>20</x:v>
      </x:c>
      <x:c r="V135" s="12" t="n">
        <x:v>35</x:v>
      </x:c>
      <x:c r="W135" s="12" t="n">
        <x:v>30</x:v>
      </x:c>
      <x:c r="X135" s="12" t="n">
        <x:v>50</x:v>
      </x:c>
      <x:c r="Y135" s="12" t="n">
        <x:v>85</x:v>
      </x:c>
      <x:c r="Z135" s="12" t="n">
        <x:f>ROUND(0.38*K135+0.30*L135+0.17*P135+0.15*Y135,0)</x:f>
        <x:v>44</x:v>
      </x:c>
      <x:c r="AA135" s="12" t="n">
        <x:f>ROUND(0.38*L135+0.25*P135+0.20*T135+0.17*(100-M135),0)</x:f>
        <x:v>21</x:v>
      </x:c>
      <x:c r="AB135" s="12" t="n">
        <x:f>ROUND(0.32*M135+0.26*S135+0.24*R135+0.18*K135,0)</x:f>
        <x:v>78</x:v>
      </x:c>
      <x:c r="AC135" s="12" t="n">
        <x:f>ROUND(0.27*Q135+0.24*T135+0.22*N135+0.15*P135+0.12*V135,0)</x:f>
        <x:v>44</x:v>
      </x:c>
      <x:c r="AD135" s="12" t="n">
        <x:f>ROUND(0.28*O135+0.28*R135+0.28*Y135+0.16*(100-L135),0)</x:f>
        <x:v>73</x:v>
      </x:c>
      <x:c r="AE135" s="12" t="n">
        <x:f>ROUND(0.35*Y135+0.22*T135+0.18*R135+0.13*S135+0.12*X135,0)</x:f>
        <x:v>67</x:v>
      </x:c>
      <x:c r="AF135" s="12" t="n">
        <x:f>ROUND(0.72*X135+0.28*Y135,0)</x:f>
        <x:v>60</x:v>
      </x:c>
      <x:c r="AG135" s="12" t="str">
        <x:v>https://wikiwiki.jp/poke-unite/%E3%83%97%E3%82%AF%E3%83%AA%E3%83%B3</x:v>
      </x:c>
    </x:row>
    <x:row r="136">
      <x:c r="A136" s="12" t="str">
        <x:v>マホイップ</x:v>
      </x:c>
      <x:c r="B136" s="12" t="str">
        <x:v>サポート型</x:v>
      </x:c>
      <x:c r="C136" s="12" t="str">
        <x:v>マホイップ-1</x:v>
      </x:c>
      <x:c r="D136" s="12" t="str">
        <x:v>共通プロファイル</x:v>
      </x:c>
      <x:c r="E136" s="12" t="str">
        <x:v>Enchanter</x:v>
      </x:c>
      <x:c r="F136" s="12" t="str">
        <x:v>Enchanter</x:v>
      </x:c>
      <x:c r="G136" s="12" t="str"/>
      <x:c r="H136" s="12" t="str">
        <x:v>技選択で主役割が大きく変わらないため統合</x:v>
      </x:c>
      <x:c r="I136" s="12" t="str">
        <x:v>高</x:v>
      </x:c>
      <x:c r="J136" s="12" t="str">
        <x:v>2026-09-25</x:v>
      </x:c>
      <x:c r="K136" s="12" t="n">
        <x:v>25</x:v>
      </x:c>
      <x:c r="L136" s="12" t="n">
        <x:v>5</x:v>
      </x:c>
      <x:c r="M136" s="12" t="n">
        <x:v>90</x:v>
      </x:c>
      <x:c r="N136" s="12" t="n">
        <x:v>25</x:v>
      </x:c>
      <x:c r="O136" s="12" t="n">
        <x:v>40</x:v>
      </x:c>
      <x:c r="P136" s="12" t="n">
        <x:v>15</x:v>
      </x:c>
      <x:c r="Q136" s="12" t="n">
        <x:v>25</x:v>
      </x:c>
      <x:c r="R136" s="12" t="n">
        <x:v>60</x:v>
      </x:c>
      <x:c r="S136" s="12" t="n">
        <x:v>100</x:v>
      </x:c>
      <x:c r="T136" s="12" t="n">
        <x:v>30</x:v>
      </x:c>
      <x:c r="U136" s="12" t="n">
        <x:v>10</x:v>
      </x:c>
      <x:c r="V136" s="12" t="n">
        <x:v>25</x:v>
      </x:c>
      <x:c r="W136" s="12" t="n">
        <x:v>35</x:v>
      </x:c>
      <x:c r="X136" s="12" t="n">
        <x:v>50</x:v>
      </x:c>
      <x:c r="Y136" s="12" t="n">
        <x:v>95</x:v>
      </x:c>
      <x:c r="Z136" s="12" t="n">
        <x:f>ROUND(0.38*K136+0.30*L136+0.17*P136+0.15*Y136,0)</x:f>
        <x:v>28</x:v>
      </x:c>
      <x:c r="AA136" s="12" t="n">
        <x:f>ROUND(0.38*L136+0.25*P136+0.20*T136+0.17*(100-M136),0)</x:f>
        <x:v>13</x:v>
      </x:c>
      <x:c r="AB136" s="12" t="n">
        <x:f>ROUND(0.32*M136+0.26*S136+0.24*R136+0.18*K136,0)</x:f>
        <x:v>74</x:v>
      </x:c>
      <x:c r="AC136" s="12" t="n">
        <x:f>ROUND(0.27*Q136+0.24*T136+0.22*N136+0.15*P136+0.12*V136,0)</x:f>
        <x:v>25</x:v>
      </x:c>
      <x:c r="AD136" s="12" t="n">
        <x:f>ROUND(0.28*O136+0.28*R136+0.28*Y136+0.16*(100-L136),0)</x:f>
        <x:v>70</x:v>
      </x:c>
      <x:c r="AE136" s="12" t="n">
        <x:f>ROUND(0.35*Y136+0.22*T136+0.18*R136+0.13*S136+0.12*X136,0)</x:f>
        <x:v>70</x:v>
      </x:c>
      <x:c r="AF136" s="12" t="n">
        <x:f>ROUND(0.72*X136+0.28*Y136,0)</x:f>
        <x:v>63</x:v>
      </x:c>
      <x:c r="AG136" s="12" t="str">
        <x:v>https://wikiwiki.jp/poke-unite/%E3%83%9E%E3%83%9B%E3%82%A4%E3%83%83%E3%83%97</x:v>
      </x:c>
    </x:row>
    <x:row r="137">
      <x:c r="A137" s="12" t="str">
        <x:v>メガニウム</x:v>
      </x:c>
      <x:c r="B137" s="12" t="str">
        <x:v>サポート型</x:v>
      </x:c>
      <x:c r="C137" s="12" t="str">
        <x:v>メガニウム-1</x:v>
      </x:c>
      <x:c r="D137" s="12" t="str">
        <x:v>共通プロファイル</x:v>
      </x:c>
      <x:c r="E137" s="12" t="str">
        <x:v>Enchanter</x:v>
      </x:c>
      <x:c r="F137" s="12" t="str">
        <x:v>Enchanter</x:v>
      </x:c>
      <x:c r="G137" s="12" t="str"/>
      <x:c r="H137" s="12" t="str">
        <x:v>技選択で主役割が大きく変わらないため統合</x:v>
      </x:c>
      <x:c r="I137" s="12" t="str">
        <x:v>中</x:v>
      </x:c>
      <x:c r="J137" s="12" t="str">
        <x:v>2026-09-25</x:v>
      </x:c>
      <x:c r="K137" s="12" t="n">
        <x:v>25</x:v>
      </x:c>
      <x:c r="L137" s="12" t="n">
        <x:v>5</x:v>
      </x:c>
      <x:c r="M137" s="12" t="n">
        <x:v>90</x:v>
      </x:c>
      <x:c r="N137" s="12" t="n">
        <x:v>25</x:v>
      </x:c>
      <x:c r="O137" s="12" t="n">
        <x:v>40</x:v>
      </x:c>
      <x:c r="P137" s="12" t="n">
        <x:v>15</x:v>
      </x:c>
      <x:c r="Q137" s="12" t="n">
        <x:v>30</x:v>
      </x:c>
      <x:c r="R137" s="12" t="n">
        <x:v>60</x:v>
      </x:c>
      <x:c r="S137" s="12" t="n">
        <x:v>100</x:v>
      </x:c>
      <x:c r="T137" s="12" t="n">
        <x:v>40</x:v>
      </x:c>
      <x:c r="U137" s="12" t="n">
        <x:v>10</x:v>
      </x:c>
      <x:c r="V137" s="12" t="n">
        <x:v>25</x:v>
      </x:c>
      <x:c r="W137" s="12" t="n">
        <x:v>35</x:v>
      </x:c>
      <x:c r="X137" s="12" t="n">
        <x:v>50</x:v>
      </x:c>
      <x:c r="Y137" s="12" t="n">
        <x:v>85</x:v>
      </x:c>
      <x:c r="Z137" s="12" t="n">
        <x:f>ROUND(0.38*K137+0.30*L137+0.17*P137+0.15*Y137,0)</x:f>
        <x:v>26</x:v>
      </x:c>
      <x:c r="AA137" s="12" t="n">
        <x:f>ROUND(0.38*L137+0.25*P137+0.20*T137+0.17*(100-M137),0)</x:f>
        <x:v>15</x:v>
      </x:c>
      <x:c r="AB137" s="12" t="n">
        <x:f>ROUND(0.32*M137+0.26*S137+0.24*R137+0.18*K137,0)</x:f>
        <x:v>74</x:v>
      </x:c>
      <x:c r="AC137" s="12" t="n">
        <x:f>ROUND(0.27*Q137+0.24*T137+0.22*N137+0.15*P137+0.12*V137,0)</x:f>
        <x:v>28</x:v>
      </x:c>
      <x:c r="AD137" s="12" t="n">
        <x:f>ROUND(0.28*O137+0.28*R137+0.28*Y137+0.16*(100-L137),0)</x:f>
        <x:v>67</x:v>
      </x:c>
      <x:c r="AE137" s="12" t="n">
        <x:f>ROUND(0.35*Y137+0.22*T137+0.18*R137+0.13*S137+0.12*X137,0)</x:f>
        <x:v>68</x:v>
      </x:c>
      <x:c r="AF137" s="12" t="n">
        <x:f>ROUND(0.72*X137+0.28*Y137,0)</x:f>
        <x:v>60</x:v>
      </x:c>
      <x:c r="AG137" s="12" t="str">
        <x:v>https://wikiwiki.jp/poke-unite/%E3%83%A1%E3%82%AC%E3%83%8B%E3%82%A6%E3%83%A0</x:v>
      </x:c>
    </x:row>
    <x:row r="138">
      <x:c r="A138" s="12" t="str">
        <x:v>ヤミラミ</x:v>
      </x:c>
      <x:c r="B138" s="12" t="str">
        <x:v>サポート型</x:v>
      </x:c>
      <x:c r="C138" s="12" t="str">
        <x:v>ヤミラミ-1</x:v>
      </x:c>
      <x:c r="D138" s="12" t="str">
        <x:v>共通プロファイル</x:v>
      </x:c>
      <x:c r="E138" s="12" t="str">
        <x:v>Specialist</x:v>
      </x:c>
      <x:c r="F138" s="12" t="str">
        <x:v>Specialist</x:v>
      </x:c>
      <x:c r="G138" s="12" t="str"/>
      <x:c r="H138" s="12" t="str">
        <x:v>技選択で主役割が大きく変わらないため統合</x:v>
      </x:c>
      <x:c r="I138" s="12" t="str">
        <x:v>高</x:v>
      </x:c>
      <x:c r="J138" s="12" t="str">
        <x:v>2026-09-25</x:v>
      </x:c>
      <x:c r="K138" s="12" t="n">
        <x:v>50</x:v>
      </x:c>
      <x:c r="L138" s="12" t="n">
        <x:v>40</x:v>
      </x:c>
      <x:c r="M138" s="12" t="n">
        <x:v>65</x:v>
      </x:c>
      <x:c r="N138" s="12" t="n">
        <x:v>45</x:v>
      </x:c>
      <x:c r="O138" s="12" t="n">
        <x:v>50</x:v>
      </x:c>
      <x:c r="P138" s="12" t="n">
        <x:v>20</x:v>
      </x:c>
      <x:c r="Q138" s="12" t="n">
        <x:v>50</x:v>
      </x:c>
      <x:c r="R138" s="12" t="n">
        <x:v>90</x:v>
      </x:c>
      <x:c r="S138" s="12" t="n">
        <x:v>70</x:v>
      </x:c>
      <x:c r="T138" s="12" t="n">
        <x:v>80</x:v>
      </x:c>
      <x:c r="U138" s="12" t="n">
        <x:v>35</x:v>
      </x:c>
      <x:c r="V138" s="12" t="n">
        <x:v>45</x:v>
      </x:c>
      <x:c r="W138" s="12" t="n">
        <x:v>90</x:v>
      </x:c>
      <x:c r="X138" s="12" t="n">
        <x:v>80</x:v>
      </x:c>
      <x:c r="Y138" s="12" t="n">
        <x:v>100</x:v>
      </x:c>
      <x:c r="Z138" s="12" t="n">
        <x:f>ROUND(0.38*K138+0.30*L138+0.17*P138+0.15*Y138,0)</x:f>
        <x:v>49</x:v>
      </x:c>
      <x:c r="AA138" s="12" t="n">
        <x:f>ROUND(0.38*L138+0.25*P138+0.20*T138+0.17*(100-M138),0)</x:f>
        <x:v>42</x:v>
      </x:c>
      <x:c r="AB138" s="12" t="n">
        <x:f>ROUND(0.32*M138+0.26*S138+0.24*R138+0.18*K138,0)</x:f>
        <x:v>70</x:v>
      </x:c>
      <x:c r="AC138" s="12" t="n">
        <x:f>ROUND(0.27*Q138+0.24*T138+0.22*N138+0.15*P138+0.12*V138,0)</x:f>
        <x:v>51</x:v>
      </x:c>
      <x:c r="AD138" s="12" t="n">
        <x:f>ROUND(0.28*O138+0.28*R138+0.28*Y138+0.16*(100-L138),0)</x:f>
        <x:v>77</x:v>
      </x:c>
      <x:c r="AE138" s="12" t="n">
        <x:f>ROUND(0.35*Y138+0.22*T138+0.18*R138+0.13*S138+0.12*X138,0)</x:f>
        <x:v>87</x:v>
      </x:c>
      <x:c r="AF138" s="12" t="n">
        <x:f>ROUND(0.72*X138+0.28*Y138,0)</x:f>
        <x:v>86</x:v>
      </x:c>
      <x:c r="AG138" s="12" t="str">
        <x:v>https://wikiwiki.jp/poke-unite/%E3%83%A4%E3%83%9F%E3%83%A9%E3%83%9F</x:v>
      </x:c>
    </x:row>
    <x:row r="139">
      <x:c r="A139" s="12" t="str">
        <x:v>ラティアス</x:v>
      </x:c>
      <x:c r="B139" s="12" t="str">
        <x:v>サポート型</x:v>
      </x:c>
      <x:c r="C139" s="12" t="str">
        <x:v>ラティアス-1</x:v>
      </x:c>
      <x:c r="D139" s="12" t="str">
        <x:v>共通プロファイル</x:v>
      </x:c>
      <x:c r="E139" s="12" t="str">
        <x:v>Enchanter/BattleMage</x:v>
      </x:c>
      <x:c r="F139" s="12" t="str">
        <x:v>Enchanter</x:v>
      </x:c>
      <x:c r="G139" s="12" t="str">
        <x:v>BattleMage</x:v>
      </x:c>
      <x:c r="H139" s="12" t="str">
        <x:v>技選択で主役割が大きく変わらないため統合</x:v>
      </x:c>
      <x:c r="I139" s="12" t="str">
        <x:v>高</x:v>
      </x:c>
      <x:c r="J139" s="12" t="str">
        <x:v>2026-09-25</x:v>
      </x:c>
      <x:c r="K139" s="12" t="n">
        <x:v>30</x:v>
      </x:c>
      <x:c r="L139" s="12" t="n">
        <x:v>15</x:v>
      </x:c>
      <x:c r="M139" s="12" t="n">
        <x:v>75</x:v>
      </x:c>
      <x:c r="N139" s="12" t="n">
        <x:v>30</x:v>
      </x:c>
      <x:c r="O139" s="12" t="n">
        <x:v>45</x:v>
      </x:c>
      <x:c r="P139" s="12" t="n">
        <x:v>25</x:v>
      </x:c>
      <x:c r="Q139" s="12" t="n">
        <x:v>50</x:v>
      </x:c>
      <x:c r="R139" s="12" t="n">
        <x:v>55</x:v>
      </x:c>
      <x:c r="S139" s="12" t="n">
        <x:v>95</x:v>
      </x:c>
      <x:c r="T139" s="12" t="n">
        <x:v>55</x:v>
      </x:c>
      <x:c r="U139" s="12" t="n">
        <x:v>25</x:v>
      </x:c>
      <x:c r="V139" s="12" t="n">
        <x:v>40</x:v>
      </x:c>
      <x:c r="W139" s="12" t="n">
        <x:v>40</x:v>
      </x:c>
      <x:c r="X139" s="12" t="n">
        <x:v>55</x:v>
      </x:c>
      <x:c r="Y139" s="12" t="n">
        <x:v>85</x:v>
      </x:c>
      <x:c r="Z139" s="12" t="n">
        <x:f>ROUND(0.38*K139+0.30*L139+0.17*P139+0.15*Y139,0)</x:f>
        <x:v>33</x:v>
      </x:c>
      <x:c r="AA139" s="12" t="n">
        <x:f>ROUND(0.38*L139+0.25*P139+0.20*T139+0.17*(100-M139),0)</x:f>
        <x:v>27</x:v>
      </x:c>
      <x:c r="AB139" s="12" t="n">
        <x:f>ROUND(0.32*M139+0.26*S139+0.24*R139+0.18*K139,0)</x:f>
        <x:v>67</x:v>
      </x:c>
      <x:c r="AC139" s="12" t="n">
        <x:f>ROUND(0.27*Q139+0.24*T139+0.22*N139+0.15*P139+0.12*V139,0)</x:f>
        <x:v>42</x:v>
      </x:c>
      <x:c r="AD139" s="12" t="n">
        <x:f>ROUND(0.28*O139+0.28*R139+0.28*Y139+0.16*(100-L139),0)</x:f>
        <x:v>65</x:v>
      </x:c>
      <x:c r="AE139" s="12" t="n">
        <x:f>ROUND(0.35*Y139+0.22*T139+0.18*R139+0.13*S139+0.12*X139,0)</x:f>
        <x:v>71</x:v>
      </x:c>
      <x:c r="AF139" s="12" t="n">
        <x:f>ROUND(0.72*X139+0.28*Y139,0)</x:f>
        <x:v>63</x:v>
      </x:c>
      <x:c r="AG139" s="12" t="str">
        <x:v>https://wikiwiki.jp/poke-unite/%E3%83%A9%E3%83%86%E3%82%A3%E3%82%A2%E3%82%B9</x:v>
      </x:c>
    </x:row>
    <x:row r="140">
      <x:c r="A140" s="12" t="str">
        <x:v>ワタシラガ</x:v>
      </x:c>
      <x:c r="B140" s="12" t="str">
        <x:v>サポート型</x:v>
      </x:c>
      <x:c r="C140" s="12" t="str">
        <x:v>ワタシラガ-1</x:v>
      </x:c>
      <x:c r="D140" s="12" t="str">
        <x:v>かふんだんご＋コットンガード</x:v>
      </x:c>
      <x:c r="E140" s="12" t="str">
        <x:v>Healer</x:v>
      </x:c>
      <x:c r="F140" s="12" t="str">
        <x:v>Enchanter</x:v>
      </x:c>
      <x:c r="G140" s="12" t="str"/>
      <x:c r="H140" s="12" t="str">
        <x:v>回復・シールドに特化</x:v>
      </x:c>
      <x:c r="I140" s="12" t="str">
        <x:v>高</x:v>
      </x:c>
      <x:c r="J140" s="12" t="str">
        <x:v>2026-09-25</x:v>
      </x:c>
      <x:c r="K140" s="12" t="n">
        <x:v>25</x:v>
      </x:c>
      <x:c r="L140" s="12" t="n">
        <x:v>5</x:v>
      </x:c>
      <x:c r="M140" s="12" t="n">
        <x:v>100</x:v>
      </x:c>
      <x:c r="N140" s="12" t="n">
        <x:v>25</x:v>
      </x:c>
      <x:c r="O140" s="12" t="n">
        <x:v>40</x:v>
      </x:c>
      <x:c r="P140" s="12" t="n">
        <x:v>15</x:v>
      </x:c>
      <x:c r="Q140" s="12" t="n">
        <x:v>25</x:v>
      </x:c>
      <x:c r="R140" s="12" t="n">
        <x:v>60</x:v>
      </x:c>
      <x:c r="S140" s="12" t="n">
        <x:v>100</x:v>
      </x:c>
      <x:c r="T140" s="12" t="n">
        <x:v>35</x:v>
      </x:c>
      <x:c r="U140" s="12" t="n">
        <x:v>10</x:v>
      </x:c>
      <x:c r="V140" s="12" t="n">
        <x:v>25</x:v>
      </x:c>
      <x:c r="W140" s="12" t="n">
        <x:v>35</x:v>
      </x:c>
      <x:c r="X140" s="12" t="n">
        <x:v>50</x:v>
      </x:c>
      <x:c r="Y140" s="12" t="n">
        <x:v>90</x:v>
      </x:c>
      <x:c r="Z140" s="12" t="n">
        <x:f>ROUND(0.38*K140+0.30*L140+0.17*P140+0.15*Y140,0)</x:f>
        <x:v>27</x:v>
      </x:c>
      <x:c r="AA140" s="12" t="n">
        <x:f>ROUND(0.38*L140+0.25*P140+0.20*T140+0.17*(100-M140),0)</x:f>
        <x:v>13</x:v>
      </x:c>
      <x:c r="AB140" s="12" t="n">
        <x:f>ROUND(0.32*M140+0.26*S140+0.24*R140+0.18*K140,0)</x:f>
        <x:v>77</x:v>
      </x:c>
      <x:c r="AC140" s="12" t="n">
        <x:f>ROUND(0.27*Q140+0.24*T140+0.22*N140+0.15*P140+0.12*V140,0)</x:f>
        <x:v>26</x:v>
      </x:c>
      <x:c r="AD140" s="12" t="n">
        <x:f>ROUND(0.28*O140+0.28*R140+0.28*Y140+0.16*(100-L140),0)</x:f>
        <x:v>68</x:v>
      </x:c>
      <x:c r="AE140" s="12" t="n">
        <x:f>ROUND(0.35*Y140+0.22*T140+0.18*R140+0.13*S140+0.12*X140,0)</x:f>
        <x:v>69</x:v>
      </x:c>
      <x:c r="AF140" s="12" t="n">
        <x:f>ROUND(0.72*X140+0.28*Y140,0)</x:f>
        <x:v>61</x:v>
      </x:c>
      <x:c r="AG140" s="12" t="str">
        <x:v>https://wikiwiki.jp/poke-unite/%E3%83%AF%E3%82%BF%E3%82%B7%E3%83%A9%E3%82%AC</x:v>
      </x:c>
    </x:row>
    <x:row r="141">
      <x:c r="A141" s="12" t="str">
        <x:v>ワタシラガ</x:v>
      </x:c>
      <x:c r="B141" s="12" t="str">
        <x:v>サポート型</x:v>
      </x:c>
      <x:c r="C141" s="12" t="str">
        <x:v>ワタシラガ-2</x:v>
      </x:c>
      <x:c r="D141" s="12" t="str">
        <x:v>グラスミキサー＋わたほうし</x:v>
      </x:c>
      <x:c r="E141" s="12" t="str">
        <x:v>Mobile Utility</x:v>
      </x:c>
      <x:c r="F141" s="12" t="str">
        <x:v>Enchanter</x:v>
      </x:c>
      <x:c r="G141" s="12" t="str">
        <x:v>BattleMage</x:v>
      </x:c>
      <x:c r="H141" s="12" t="str">
        <x:v>機動・攻撃寄りのユーティリティ</x:v>
      </x:c>
      <x:c r="I141" s="12" t="str">
        <x:v>高</x:v>
      </x:c>
      <x:c r="J141" s="12" t="str">
        <x:v>2026-09-25</x:v>
      </x:c>
      <x:c r="K141" s="12" t="n">
        <x:v>30</x:v>
      </x:c>
      <x:c r="L141" s="12" t="n">
        <x:v>15</x:v>
      </x:c>
      <x:c r="M141" s="12" t="n">
        <x:v>75</x:v>
      </x:c>
      <x:c r="N141" s="12" t="n">
        <x:v>30</x:v>
      </x:c>
      <x:c r="O141" s="12" t="n">
        <x:v>45</x:v>
      </x:c>
      <x:c r="P141" s="12" t="n">
        <x:v>25</x:v>
      </x:c>
      <x:c r="Q141" s="12" t="n">
        <x:v>50</x:v>
      </x:c>
      <x:c r="R141" s="12" t="n">
        <x:v>65</x:v>
      </x:c>
      <x:c r="S141" s="12" t="n">
        <x:v>55</x:v>
      </x:c>
      <x:c r="T141" s="12" t="n">
        <x:v>65</x:v>
      </x:c>
      <x:c r="U141" s="12" t="n">
        <x:v>25</x:v>
      </x:c>
      <x:c r="V141" s="12" t="n">
        <x:v>40</x:v>
      </x:c>
      <x:c r="W141" s="12" t="n">
        <x:v>45</x:v>
      </x:c>
      <x:c r="X141" s="12" t="n">
        <x:v>55</x:v>
      </x:c>
      <x:c r="Y141" s="12" t="n">
        <x:v>85</x:v>
      </x:c>
      <x:c r="Z141" s="12" t="n">
        <x:f>ROUND(0.38*K141+0.30*L141+0.17*P141+0.15*Y141,0)</x:f>
        <x:v>33</x:v>
      </x:c>
      <x:c r="AA141" s="12" t="n">
        <x:f>ROUND(0.38*L141+0.25*P141+0.20*T141+0.17*(100-M141),0)</x:f>
        <x:v>29</x:v>
      </x:c>
      <x:c r="AB141" s="12" t="n">
        <x:f>ROUND(0.32*M141+0.26*S141+0.24*R141+0.18*K141,0)</x:f>
        <x:v>59</x:v>
      </x:c>
      <x:c r="AC141" s="12" t="n">
        <x:f>ROUND(0.27*Q141+0.24*T141+0.22*N141+0.15*P141+0.12*V141,0)</x:f>
        <x:v>44</x:v>
      </x:c>
      <x:c r="AD141" s="12" t="n">
        <x:f>ROUND(0.28*O141+0.28*R141+0.28*Y141+0.16*(100-L141),0)</x:f>
        <x:v>68</x:v>
      </x:c>
      <x:c r="AE141" s="12" t="n">
        <x:f>ROUND(0.35*Y141+0.22*T141+0.18*R141+0.13*S141+0.12*X141,0)</x:f>
        <x:v>70</x:v>
      </x:c>
      <x:c r="AF141" s="12" t="n">
        <x:f>ROUND(0.72*X141+0.28*Y141,0)</x:f>
        <x:v>63</x:v>
      </x:c>
      <x:c r="AG141" s="12" t="str">
        <x:v>https://wikiwiki.jp/poke-unite/%E3%83%AF%E3%82%BF%E3%82%B7%E3%83%A9%E3%82%AC</x:v>
      </x:c>
    </x:row>
  </x:sheetData>
  <x:conditionalFormatting sqref="K2:K141">
    <x:cfRule type="dataBar" priority="1">
      <x:dataBar>
        <x:cfvo type="min"/>
        <x:cfvo type="max"/>
        <x:color rgb="FFA02B93"/>
      </x:dataBar>
      <x:extLst>
        <x:ext xmlns:x14="http://schemas.microsoft.com/office/spreadsheetml/2009/9/main" uri="{B025F937-C7B1-47D3-B67F-A62EFF666E3E}">
          <x14:id>{FCE6F1FB-DB38-6008-2848-868EEB71B62D}</x14:id>
        </x:ext>
      </x:extLst>
    </x:cfRule>
  </x:conditionalFormatting>
  <x:conditionalFormatting sqref="L2:L141">
    <x:cfRule type="dataBar" priority="2">
      <x:dataBar>
        <x:cfvo type="min"/>
        <x:cfvo type="max"/>
        <x:color rgb="FFA02B93"/>
      </x:dataBar>
      <x:extLst>
        <x:ext xmlns:x14="http://schemas.microsoft.com/office/spreadsheetml/2009/9/main" uri="{B025F937-C7B1-47D3-B67F-A62EFF666E3E}">
          <x14:id>{288F886F-EFED-CA9A-4CA1-CA120D8D1F06}</x14:id>
        </x:ext>
      </x:extLst>
    </x:cfRule>
  </x:conditionalFormatting>
  <x:conditionalFormatting sqref="M2:M141">
    <x:cfRule type="dataBar" priority="3">
      <x:dataBar>
        <x:cfvo type="min"/>
        <x:cfvo type="max"/>
        <x:color rgb="FFA02B93"/>
      </x:dataBar>
      <x:extLst>
        <x:ext xmlns:x14="http://schemas.microsoft.com/office/spreadsheetml/2009/9/main" uri="{B025F937-C7B1-47D3-B67F-A62EFF666E3E}">
          <x14:id>{8DC16409-DD79-4289-D9AC-1EA0FD7E17F4}</x14:id>
        </x:ext>
      </x:extLst>
    </x:cfRule>
  </x:conditionalFormatting>
  <x:conditionalFormatting sqref="N2:N141">
    <x:cfRule type="dataBar" priority="4">
      <x:dataBar>
        <x:cfvo type="min"/>
        <x:cfvo type="max"/>
        <x:color rgb="FFA02B93"/>
      </x:dataBar>
      <x:extLst>
        <x:ext xmlns:x14="http://schemas.microsoft.com/office/spreadsheetml/2009/9/main" uri="{B025F937-C7B1-47D3-B67F-A62EFF666E3E}">
          <x14:id>{60BD451E-7589-6B56-B36F-C39177733338}</x14:id>
        </x:ext>
      </x:extLst>
    </x:cfRule>
  </x:conditionalFormatting>
  <x:conditionalFormatting sqref="O2:O141">
    <x:cfRule type="dataBar" priority="5">
      <x:dataBar>
        <x:cfvo type="min"/>
        <x:cfvo type="max"/>
        <x:color rgb="FFA02B93"/>
      </x:dataBar>
      <x:extLst>
        <x:ext xmlns:x14="http://schemas.microsoft.com/office/spreadsheetml/2009/9/main" uri="{B025F937-C7B1-47D3-B67F-A62EFF666E3E}">
          <x14:id>{0397D2C9-8DB5-0D54-A905-988BD26CBB94}</x14:id>
        </x:ext>
      </x:extLst>
    </x:cfRule>
  </x:conditionalFormatting>
  <x:conditionalFormatting sqref="P2:P141">
    <x:cfRule type="dataBar" priority="6">
      <x:dataBar>
        <x:cfvo type="min"/>
        <x:cfvo type="max"/>
        <x:color rgb="FFA02B93"/>
      </x:dataBar>
      <x:extLst>
        <x:ext xmlns:x14="http://schemas.microsoft.com/office/spreadsheetml/2009/9/main" uri="{B025F937-C7B1-47D3-B67F-A62EFF666E3E}">
          <x14:id>{69BCA2D8-00BC-A86E-7FD7-57092C57EF1C}</x14:id>
        </x:ext>
      </x:extLst>
    </x:cfRule>
  </x:conditionalFormatting>
  <x:conditionalFormatting sqref="Q2:Q141">
    <x:cfRule type="dataBar" priority="7">
      <x:dataBar>
        <x:cfvo type="min"/>
        <x:cfvo type="max"/>
        <x:color rgb="FFA02B93"/>
      </x:dataBar>
      <x:extLst>
        <x:ext xmlns:x14="http://schemas.microsoft.com/office/spreadsheetml/2009/9/main" uri="{B025F937-C7B1-47D3-B67F-A62EFF666E3E}">
          <x14:id>{47C9B1CE-4873-7C2A-891B-CDB6E84FFF0C}</x14:id>
        </x:ext>
      </x:extLst>
    </x:cfRule>
  </x:conditionalFormatting>
  <x:conditionalFormatting sqref="R2:R141">
    <x:cfRule type="dataBar" priority="8">
      <x:dataBar>
        <x:cfvo type="min"/>
        <x:cfvo type="max"/>
        <x:color rgb="FFA02B93"/>
      </x:dataBar>
      <x:extLst>
        <x:ext xmlns:x14="http://schemas.microsoft.com/office/spreadsheetml/2009/9/main" uri="{B025F937-C7B1-47D3-B67F-A62EFF666E3E}">
          <x14:id>{57867675-A140-5432-358A-54773F633031}</x14:id>
        </x:ext>
      </x:extLst>
    </x:cfRule>
  </x:conditionalFormatting>
  <x:conditionalFormatting sqref="S2:S141">
    <x:cfRule type="dataBar" priority="9">
      <x:dataBar>
        <x:cfvo type="min"/>
        <x:cfvo type="max"/>
        <x:color rgb="FFA02B93"/>
      </x:dataBar>
      <x:extLst>
        <x:ext xmlns:x14="http://schemas.microsoft.com/office/spreadsheetml/2009/9/main" uri="{B025F937-C7B1-47D3-B67F-A62EFF666E3E}">
          <x14:id>{CCBC7E36-73DF-B1C5-D2F1-1C4268B4038C}</x14:id>
        </x:ext>
      </x:extLst>
    </x:cfRule>
  </x:conditionalFormatting>
  <x:conditionalFormatting sqref="T2:T141">
    <x:cfRule type="dataBar" priority="10">
      <x:dataBar>
        <x:cfvo type="min"/>
        <x:cfvo type="max"/>
        <x:color rgb="FFA02B93"/>
      </x:dataBar>
      <x:extLst>
        <x:ext xmlns:x14="http://schemas.microsoft.com/office/spreadsheetml/2009/9/main" uri="{B025F937-C7B1-47D3-B67F-A62EFF666E3E}">
          <x14:id>{6667D22E-2EEA-D952-DC02-0A18E09A37A3}</x14:id>
        </x:ext>
      </x:extLst>
    </x:cfRule>
  </x:conditionalFormatting>
  <x:conditionalFormatting sqref="U2:U141">
    <x:cfRule type="dataBar" priority="11">
      <x:dataBar>
        <x:cfvo type="min"/>
        <x:cfvo type="max"/>
        <x:color rgb="FFA02B93"/>
      </x:dataBar>
      <x:extLst>
        <x:ext xmlns:x14="http://schemas.microsoft.com/office/spreadsheetml/2009/9/main" uri="{B025F937-C7B1-47D3-B67F-A62EFF666E3E}">
          <x14:id>{4E4DDCFB-889C-7BA1-D12B-02BD06698C2D}</x14:id>
        </x:ext>
      </x:extLst>
    </x:cfRule>
  </x:conditionalFormatting>
  <x:conditionalFormatting sqref="V2:V141">
    <x:cfRule type="dataBar" priority="12">
      <x:dataBar>
        <x:cfvo type="min"/>
        <x:cfvo type="max"/>
        <x:color rgb="FFA02B93"/>
      </x:dataBar>
      <x:extLst>
        <x:ext xmlns:x14="http://schemas.microsoft.com/office/spreadsheetml/2009/9/main" uri="{B025F937-C7B1-47D3-B67F-A62EFF666E3E}">
          <x14:id>{2912A0C4-0510-7D76-3D32-01213811C799}</x14:id>
        </x:ext>
      </x:extLst>
    </x:cfRule>
  </x:conditionalFormatting>
  <x:conditionalFormatting sqref="W2:W141">
    <x:cfRule type="dataBar" priority="13">
      <x:dataBar>
        <x:cfvo type="min"/>
        <x:cfvo type="max"/>
        <x:color rgb="FFA02B93"/>
      </x:dataBar>
      <x:extLst>
        <x:ext xmlns:x14="http://schemas.microsoft.com/office/spreadsheetml/2009/9/main" uri="{B025F937-C7B1-47D3-B67F-A62EFF666E3E}">
          <x14:id>{A17140C3-2FEB-B135-8A30-50487E51C541}</x14:id>
        </x:ext>
      </x:extLst>
    </x:cfRule>
  </x:conditionalFormatting>
  <x:conditionalFormatting sqref="X2:X141">
    <x:cfRule type="dataBar" priority="14">
      <x:dataBar>
        <x:cfvo type="min"/>
        <x:cfvo type="max"/>
        <x:color rgb="FFA02B93"/>
      </x:dataBar>
      <x:extLst>
        <x:ext xmlns:x14="http://schemas.microsoft.com/office/spreadsheetml/2009/9/main" uri="{B025F937-C7B1-47D3-B67F-A62EFF666E3E}">
          <x14:id>{3ECE9AD2-281C-862D-40B2-B36ABDC1F51C}</x14:id>
        </x:ext>
      </x:extLst>
    </x:cfRule>
  </x:conditionalFormatting>
  <x:conditionalFormatting sqref="Y2:Y141">
    <x:cfRule type="dataBar" priority="15">
      <x:dataBar>
        <x:cfvo type="min"/>
        <x:cfvo type="max"/>
        <x:color rgb="FFA02B93"/>
      </x:dataBar>
      <x:extLst>
        <x:ext xmlns:x14="http://schemas.microsoft.com/office/spreadsheetml/2009/9/main" uri="{B025F937-C7B1-47D3-B67F-A62EFF666E3E}">
          <x14:id>{C87C2AF5-5DDA-436D-5C9A-AE7E347C255D}</x14:id>
        </x:ext>
      </x:extLst>
    </x:cfRule>
  </x:conditionalFormatting>
  <x:conditionalFormatting sqref="Z2:Z141">
    <x:cfRule type="dataBar" priority="16">
      <x:dataBar>
        <x:cfvo type="min"/>
        <x:cfvo type="max"/>
        <x:color rgb="FFA02B93"/>
      </x:dataBar>
      <x:extLst>
        <x:ext xmlns:x14="http://schemas.microsoft.com/office/spreadsheetml/2009/9/main" uri="{B025F937-C7B1-47D3-B67F-A62EFF666E3E}">
          <x14:id>{29AC2AEA-2A95-5E3F-C944-D440D1AEF282}</x14:id>
        </x:ext>
      </x:extLst>
    </x:cfRule>
  </x:conditionalFormatting>
  <x:conditionalFormatting sqref="AA2:AA141">
    <x:cfRule type="dataBar" priority="17">
      <x:dataBar>
        <x:cfvo type="min"/>
        <x:cfvo type="max"/>
        <x:color rgb="FFA02B93"/>
      </x:dataBar>
      <x:extLst>
        <x:ext xmlns:x14="http://schemas.microsoft.com/office/spreadsheetml/2009/9/main" uri="{B025F937-C7B1-47D3-B67F-A62EFF666E3E}">
          <x14:id>{6228F0A4-7761-09A5-FE34-C1286539BABF}</x14:id>
        </x:ext>
      </x:extLst>
    </x:cfRule>
  </x:conditionalFormatting>
  <x:conditionalFormatting sqref="AB2:AB141">
    <x:cfRule type="dataBar" priority="18">
      <x:dataBar>
        <x:cfvo type="min"/>
        <x:cfvo type="max"/>
        <x:color rgb="FFA02B93"/>
      </x:dataBar>
      <x:extLst>
        <x:ext xmlns:x14="http://schemas.microsoft.com/office/spreadsheetml/2009/9/main" uri="{B025F937-C7B1-47D3-B67F-A62EFF666E3E}">
          <x14:id>{BB551D94-D8F9-A194-A10B-64BFE87CD06E}</x14:id>
        </x:ext>
      </x:extLst>
    </x:cfRule>
  </x:conditionalFormatting>
  <x:conditionalFormatting sqref="AC2:AC141">
    <x:cfRule type="dataBar" priority="19">
      <x:dataBar>
        <x:cfvo type="min"/>
        <x:cfvo type="max"/>
        <x:color rgb="FFA02B93"/>
      </x:dataBar>
      <x:extLst>
        <x:ext xmlns:x14="http://schemas.microsoft.com/office/spreadsheetml/2009/9/main" uri="{B025F937-C7B1-47D3-B67F-A62EFF666E3E}">
          <x14:id>{72E5AF9F-5709-C1C4-DAD6-12A1D66F42A7}</x14:id>
        </x:ext>
      </x:extLst>
    </x:cfRule>
  </x:conditionalFormatting>
  <x:conditionalFormatting sqref="AD2:AD141">
    <x:cfRule type="dataBar" priority="20">
      <x:dataBar>
        <x:cfvo type="min"/>
        <x:cfvo type="max"/>
        <x:color rgb="FFA02B93"/>
      </x:dataBar>
      <x:extLst>
        <x:ext xmlns:x14="http://schemas.microsoft.com/office/spreadsheetml/2009/9/main" uri="{B025F937-C7B1-47D3-B67F-A62EFF666E3E}">
          <x14:id>{F32B9A28-841E-A288-F402-A0D1C03B00CB}</x14:id>
        </x:ext>
      </x:extLst>
    </x:cfRule>
  </x:conditionalFormatting>
  <x:conditionalFormatting sqref="AE2:AE141">
    <x:cfRule type="dataBar" priority="21">
      <x:dataBar>
        <x:cfvo type="min"/>
        <x:cfvo type="max"/>
        <x:color rgb="FFA02B93"/>
      </x:dataBar>
      <x:extLst>
        <x:ext xmlns:x14="http://schemas.microsoft.com/office/spreadsheetml/2009/9/main" uri="{B025F937-C7B1-47D3-B67F-A62EFF666E3E}">
          <x14:id>{FDDAB6B2-4EEC-4C00-666A-31BBD64E1E8F}</x14:id>
        </x:ext>
      </x:extLst>
    </x:cfRule>
  </x:conditionalFormatting>
  <x:conditionalFormatting sqref="AF2:AF141">
    <x:cfRule type="dataBar" priority="22">
      <x:dataBar>
        <x:cfvo type="min"/>
        <x:cfvo type="max"/>
        <x:color rgb="FFA02B93"/>
      </x:dataBar>
      <x:extLst>
        <x:ext xmlns:x14="http://schemas.microsoft.com/office/spreadsheetml/2009/9/main" uri="{B025F937-C7B1-47D3-B67F-A62EFF666E3E}">
          <x14:id>{5DEB7F29-7DD9-5FC6-E632-80AE189E5405}</x14:id>
        </x:ext>
      </x:extLst>
    </x:cfRule>
  </x:conditionalFormatting>
  <x:conditionalFormatting sqref="I2:I141">
    <x:cfRule type="expression" dxfId="3" priority="23">
      <x:formula>I2="低"</x:formula>
    </x:cfRule>
    <x:cfRule type="expression" dxfId="4" priority="24">
      <x:formula>I2="中"</x:formula>
    </x:cfRule>
  </x:conditionalFormatting>
  <x:pageMargins left="0.7" right="0.7" top="0.75" bottom="0.75" header="0.3" footer="0.3"/>
  <x:tableParts count="1">
    <x:tablePart xmlns:r="http://schemas.openxmlformats.org/officeDocument/2006/relationships" r:id="Rcd144d6d78e34d69"/>
  </x:tableParts>
  <x:extLst>
    <x:ext xmlns:x14="http://schemas.microsoft.com/office/spreadsheetml/2009/9/main" xmlns:xm="http://schemas.microsoft.com/office/excel/2006/main" uri="{78C0D931-6437-407d-A8EE-F0AAD7539E65}">
      <x14:conditionalFormattings>
        <x14:conditionalFormatting>
          <x14:cfRule type="dataBar" priority="1" id="{FCE6F1FB-DB38-6008-2848-868EEB71B62D}">
            <x14:dataBar gradient="1">
              <x14:cfvo type="min"/>
              <x14:cfvo type="max"/>
              <x14:fillColor rgb="FFA02B93"/>
            </x14:dataBar>
          </x14:cfRule>
          <xm:sqref>K2:K141</xm:sqref>
        </x14:conditionalFormatting>
        <x14:conditionalFormatting>
          <x14:cfRule type="dataBar" priority="2" id="{288F886F-EFED-CA9A-4CA1-CA120D8D1F06}">
            <x14:dataBar gradient="1">
              <x14:cfvo type="min"/>
              <x14:cfvo type="max"/>
              <x14:fillColor rgb="FFA02B93"/>
            </x14:dataBar>
          </x14:cfRule>
          <xm:sqref>L2:L141</xm:sqref>
        </x14:conditionalFormatting>
        <x14:conditionalFormatting>
          <x14:cfRule type="dataBar" priority="3" id="{8DC16409-DD79-4289-D9AC-1EA0FD7E17F4}">
            <x14:dataBar gradient="1">
              <x14:cfvo type="min"/>
              <x14:cfvo type="max"/>
              <x14:fillColor rgb="FFA02B93"/>
            </x14:dataBar>
          </x14:cfRule>
          <xm:sqref>M2:M141</xm:sqref>
        </x14:conditionalFormatting>
        <x14:conditionalFormatting>
          <x14:cfRule type="dataBar" priority="4" id="{60BD451E-7589-6B56-B36F-C39177733338}">
            <x14:dataBar gradient="1">
              <x14:cfvo type="min"/>
              <x14:cfvo type="max"/>
              <x14:fillColor rgb="FFA02B93"/>
            </x14:dataBar>
          </x14:cfRule>
          <xm:sqref>N2:N141</xm:sqref>
        </x14:conditionalFormatting>
        <x14:conditionalFormatting>
          <x14:cfRule type="dataBar" priority="5" id="{0397D2C9-8DB5-0D54-A905-988BD26CBB94}">
            <x14:dataBar gradient="1">
              <x14:cfvo type="min"/>
              <x14:cfvo type="max"/>
              <x14:fillColor rgb="FFA02B93"/>
            </x14:dataBar>
          </x14:cfRule>
          <xm:sqref>O2:O141</xm:sqref>
        </x14:conditionalFormatting>
        <x14:conditionalFormatting>
          <x14:cfRule type="dataBar" priority="6" id="{69BCA2D8-00BC-A86E-7FD7-57092C57EF1C}">
            <x14:dataBar gradient="1">
              <x14:cfvo type="min"/>
              <x14:cfvo type="max"/>
              <x14:fillColor rgb="FFA02B93"/>
            </x14:dataBar>
          </x14:cfRule>
          <xm:sqref>P2:P141</xm:sqref>
        </x14:conditionalFormatting>
        <x14:conditionalFormatting>
          <x14:cfRule type="dataBar" priority="7" id="{47C9B1CE-4873-7C2A-891B-CDB6E84FFF0C}">
            <x14:dataBar gradient="1">
              <x14:cfvo type="min"/>
              <x14:cfvo type="max"/>
              <x14:fillColor rgb="FFA02B93"/>
            </x14:dataBar>
          </x14:cfRule>
          <xm:sqref>Q2:Q141</xm:sqref>
        </x14:conditionalFormatting>
        <x14:conditionalFormatting>
          <x14:cfRule type="dataBar" priority="8" id="{57867675-A140-5432-358A-54773F633031}">
            <x14:dataBar gradient="1">
              <x14:cfvo type="min"/>
              <x14:cfvo type="max"/>
              <x14:fillColor rgb="FFA02B93"/>
            </x14:dataBar>
          </x14:cfRule>
          <xm:sqref>R2:R141</xm:sqref>
        </x14:conditionalFormatting>
        <x14:conditionalFormatting>
          <x14:cfRule type="dataBar" priority="9" id="{CCBC7E36-73DF-B1C5-D2F1-1C4268B4038C}">
            <x14:dataBar gradient="1">
              <x14:cfvo type="min"/>
              <x14:cfvo type="max"/>
              <x14:fillColor rgb="FFA02B93"/>
            </x14:dataBar>
          </x14:cfRule>
          <xm:sqref>S2:S141</xm:sqref>
        </x14:conditionalFormatting>
        <x14:conditionalFormatting>
          <x14:cfRule type="dataBar" priority="10" id="{6667D22E-2EEA-D952-DC02-0A18E09A37A3}">
            <x14:dataBar gradient="1">
              <x14:cfvo type="min"/>
              <x14:cfvo type="max"/>
              <x14:fillColor rgb="FFA02B93"/>
            </x14:dataBar>
          </x14:cfRule>
          <xm:sqref>T2:T141</xm:sqref>
        </x14:conditionalFormatting>
        <x14:conditionalFormatting>
          <x14:cfRule type="dataBar" priority="11" id="{4E4DDCFB-889C-7BA1-D12B-02BD06698C2D}">
            <x14:dataBar gradient="1">
              <x14:cfvo type="min"/>
              <x14:cfvo type="max"/>
              <x14:fillColor rgb="FFA02B93"/>
            </x14:dataBar>
          </x14:cfRule>
          <xm:sqref>U2:U141</xm:sqref>
        </x14:conditionalFormatting>
        <x14:conditionalFormatting>
          <x14:cfRule type="dataBar" priority="12" id="{2912A0C4-0510-7D76-3D32-01213811C799}">
            <x14:dataBar gradient="1">
              <x14:cfvo type="min"/>
              <x14:cfvo type="max"/>
              <x14:fillColor rgb="FFA02B93"/>
            </x14:dataBar>
          </x14:cfRule>
          <xm:sqref>V2:V141</xm:sqref>
        </x14:conditionalFormatting>
        <x14:conditionalFormatting>
          <x14:cfRule type="dataBar" priority="13" id="{A17140C3-2FEB-B135-8A30-50487E51C541}">
            <x14:dataBar gradient="1">
              <x14:cfvo type="min"/>
              <x14:cfvo type="max"/>
              <x14:fillColor rgb="FFA02B93"/>
            </x14:dataBar>
          </x14:cfRule>
          <xm:sqref>W2:W141</xm:sqref>
        </x14:conditionalFormatting>
        <x14:conditionalFormatting>
          <x14:cfRule type="dataBar" priority="14" id="{3ECE9AD2-281C-862D-40B2-B36ABDC1F51C}">
            <x14:dataBar gradient="1">
              <x14:cfvo type="min"/>
              <x14:cfvo type="max"/>
              <x14:fillColor rgb="FFA02B93"/>
            </x14:dataBar>
          </x14:cfRule>
          <xm:sqref>X2:X141</xm:sqref>
        </x14:conditionalFormatting>
        <x14:conditionalFormatting>
          <x14:cfRule type="dataBar" priority="15" id="{C87C2AF5-5DDA-436D-5C9A-AE7E347C255D}">
            <x14:dataBar gradient="1">
              <x14:cfvo type="min"/>
              <x14:cfvo type="max"/>
              <x14:fillColor rgb="FFA02B93"/>
            </x14:dataBar>
          </x14:cfRule>
          <xm:sqref>Y2:Y141</xm:sqref>
        </x14:conditionalFormatting>
        <x14:conditionalFormatting>
          <x14:cfRule type="dataBar" priority="16" id="{29AC2AEA-2A95-5E3F-C944-D440D1AEF282}">
            <x14:dataBar gradient="1">
              <x14:cfvo type="min"/>
              <x14:cfvo type="max"/>
              <x14:fillColor rgb="FFA02B93"/>
            </x14:dataBar>
          </x14:cfRule>
          <xm:sqref>Z2:Z141</xm:sqref>
        </x14:conditionalFormatting>
        <x14:conditionalFormatting>
          <x14:cfRule type="dataBar" priority="17" id="{6228F0A4-7761-09A5-FE34-C1286539BABF}">
            <x14:dataBar gradient="1">
              <x14:cfvo type="min"/>
              <x14:cfvo type="max"/>
              <x14:fillColor rgb="FFA02B93"/>
            </x14:dataBar>
          </x14:cfRule>
          <xm:sqref>AA2:AA141</xm:sqref>
        </x14:conditionalFormatting>
        <x14:conditionalFormatting>
          <x14:cfRule type="dataBar" priority="18" id="{BB551D94-D8F9-A194-A10B-64BFE87CD06E}">
            <x14:dataBar gradient="1">
              <x14:cfvo type="min"/>
              <x14:cfvo type="max"/>
              <x14:fillColor rgb="FFA02B93"/>
            </x14:dataBar>
          </x14:cfRule>
          <xm:sqref>AB2:AB141</xm:sqref>
        </x14:conditionalFormatting>
        <x14:conditionalFormatting>
          <x14:cfRule type="dataBar" priority="19" id="{72E5AF9F-5709-C1C4-DAD6-12A1D66F42A7}">
            <x14:dataBar gradient="1">
              <x14:cfvo type="min"/>
              <x14:cfvo type="max"/>
              <x14:fillColor rgb="FFA02B93"/>
            </x14:dataBar>
          </x14:cfRule>
          <xm:sqref>AC2:AC141</xm:sqref>
        </x14:conditionalFormatting>
        <x14:conditionalFormatting>
          <x14:cfRule type="dataBar" priority="20" id="{F32B9A28-841E-A288-F402-A0D1C03B00CB}">
            <x14:dataBar gradient="1">
              <x14:cfvo type="min"/>
              <x14:cfvo type="max"/>
              <x14:fillColor rgb="FFA02B93"/>
            </x14:dataBar>
          </x14:cfRule>
          <xm:sqref>AD2:AD141</xm:sqref>
        </x14:conditionalFormatting>
        <x14:conditionalFormatting>
          <x14:cfRule type="dataBar" priority="21" id="{FDDAB6B2-4EEC-4C00-666A-31BBD64E1E8F}">
            <x14:dataBar gradient="1">
              <x14:cfvo type="min"/>
              <x14:cfvo type="max"/>
              <x14:fillColor rgb="FFA02B93"/>
            </x14:dataBar>
          </x14:cfRule>
          <xm:sqref>AE2:AE141</xm:sqref>
        </x14:conditionalFormatting>
        <x14:conditionalFormatting>
          <x14:cfRule type="dataBar" priority="22" id="{5DEB7F29-7DD9-5FC6-E632-80AE189E5405}">
            <x14:dataBar gradient="1">
              <x14:cfvo type="min"/>
              <x14:cfvo type="max"/>
              <x14:fillColor rgb="FFA02B93"/>
            </x14:dataBar>
          </x14:cfRule>
          <xm:sqref>AF2:AF141</xm:sqref>
        </x14:conditionalFormatting>
      </x14:conditionalFormattings>
    </x:ext>
  </x:extLst>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62" hidden="0" customWidth="1"/>
    <x:col min="5" max="5" width="20" hidden="0" customWidth="1"/>
    <x:col min="6" max="6" width="18" hidden="0" customWidth="1"/>
    <x:col min="7" max="7" width="58" hidden="0" customWidth="1"/>
  </x:cols>
  <x:sheetData>
    <x:row r="1">
      <x:c r="A1" s="18" t="str">
        <x:v>Code</x:v>
      </x:c>
      <x:c r="B1" s="18" t="str">
        <x:v>日本語名</x:v>
      </x:c>
      <x:c r="C1" s="18" t="str">
        <x:v>定義</x:v>
      </x:c>
      <x:c r="E1" s="18" t="str">
        <x:v>7つの性格座標（15軸から自動算出）</x:v>
      </x:c>
      <x:c r="F1" s="18"/>
      <x:c r="G1" s="18"/>
      <x:c r="H1" s="18"/>
    </x:row>
    <x:row r="2">
      <x:c r="A2" s="12" t="str">
        <x:v>Engage</x:v>
      </x:c>
      <x:c r="B2" s="12" t="str">
        <x:v>開戦力</x:v>
      </x:c>
      <x:c r="C2" s="12" t="str">
        <x:v>自分から集団戦・接敵を始める役割の強さ</x:v>
      </x:c>
      <x:c r="E2" s="18" t="str">
        <x:v>P_Initiative</x:v>
      </x:c>
      <x:c r="F2" s="18" t="str">
        <x:v>主導性</x:v>
      </x:c>
      <x:c r="G2" s="18" t="str">
        <x:v>開戦・突入・瞬間火力・判断負荷が高いほど上がる</x:v>
      </x:c>
    </x:row>
    <x:row r="3">
      <x:c r="A3" s="12" t="str">
        <x:v>Dive</x:v>
      </x:c>
      <x:c r="B3" s="12" t="str">
        <x:v>突入力</x:v>
      </x:c>
      <x:c r="C3" s="12" t="str">
        <x:v>敵後衛へ入り込む・追い切る性質</x:v>
      </x:c>
      <x:c r="E3" s="12" t="str">
        <x:v>P_RiskTolerance</x:v>
      </x:c>
      <x:c r="F3" s="12" t="str">
        <x:v>リスク許容</x:v>
      </x:c>
      <x:c r="G3" s="12" t="str">
        <x:v>突入・瞬間火力・機動が高く、味方保護依存が低いほど上がる</x:v>
      </x:c>
    </x:row>
    <x:row r="4">
      <x:c r="A4" s="12" t="str">
        <x:v>Peel</x:v>
      </x:c>
      <x:c r="B4" s="12" t="str">
        <x:v>味方保護</x:v>
      </x:c>
      <x:c r="C4" s="12" t="str">
        <x:v>味方キャリーを守り、敵の接近を止める力</x:v>
      </x:c>
      <x:c r="E4" s="12" t="str">
        <x:v>P_Cooperation</x:v>
      </x:c>
      <x:c r="F4" s="12" t="str">
        <x:v>協働志向</x:v>
      </x:c>
      <x:c r="G4" s="12" t="str">
        <x:v>Peel・Support・Control・Engageを重視</x:v>
      </x:c>
    </x:row>
    <x:row r="5">
      <x:c r="A5" s="12" t="str">
        <x:v>Frontline</x:v>
      </x:c>
      <x:c r="B5" s="12" t="str">
        <x:v>前線維持</x:v>
      </x:c>
      <x:c r="C5" s="12" t="str">
        <x:v>前線に居続けて攻撃を受け持つ適性</x:v>
      </x:c>
      <x:c r="E5" s="12" t="str">
        <x:v>P_SelfReliance</x:v>
      </x:c>
      <x:c r="F5" s="12" t="str">
        <x:v>自己完結</x:v>
      </x:c>
      <x:c r="G5" s="12" t="str">
        <x:v>継続火力・機動・前線・瞬間火力・オブジェクトを重視</x:v>
      </x:c>
    </x:row>
    <x:row r="6">
      <x:c r="A6" s="12" t="str">
        <x:v>Poke</x:v>
      </x:c>
      <x:c r="B6" s="12" t="str">
        <x:v>遠距離圧力</x:v>
      </x:c>
      <x:c r="C6" s="12" t="str">
        <x:v>安全圏から削り・牽制・索敵する力</x:v>
      </x:c>
      <x:c r="E6" s="12" t="str">
        <x:v>P_Planning</x:v>
      </x:c>
      <x:c r="F6" s="12" t="str">
        <x:v>計画性</x:v>
      </x:c>
      <x:c r="G6" s="12" t="str">
        <x:v>Poke・Control・Decisionを重視し、Dive過多はやや下げる</x:v>
      </x:c>
    </x:row>
    <x:row r="7">
      <x:c r="A7" s="12" t="str">
        <x:v>Burst</x:v>
      </x:c>
      <x:c r="B7" s="12" t="str">
        <x:v>瞬間火力</x:v>
      </x:c>
      <x:c r="C7" s="12" t="str">
        <x:v>短時間に大きなダメージを出す性質</x:v>
      </x:c>
      <x:c r="E7" s="12" t="str">
        <x:v>P_Adaptability</x:v>
      </x:c>
      <x:c r="F7" s="12" t="str">
        <x:v>適応性</x:v>
      </x:c>
      <x:c r="G7" s="12" t="str">
        <x:v>Decision・Mobility・Control・Support・Executionを重視</x:v>
      </x:c>
    </x:row>
    <x:row r="8">
      <x:c r="A8" s="12" t="str">
        <x:v>SustainDPS</x:v>
      </x:c>
      <x:c r="B8" s="12" t="str">
        <x:v>継続火力</x:v>
      </x:c>
      <x:c r="C8" s="12" t="str">
        <x:v>長い戦闘でダメージを出し続ける性質</x:v>
      </x:c>
      <x:c r="E8" s="12" t="str">
        <x:v>P_Mastery</x:v>
      </x:c>
      <x:c r="F8" s="12" t="str">
        <x:v>熟練志向</x:v>
      </x:c>
      <x:c r="G8" s="12" t="str">
        <x:v>操作負荷と判断負荷を重視</x:v>
      </x:c>
    </x:row>
    <x:row r="9">
      <x:c r="A9" s="12" t="str">
        <x:v>Control</x:v>
      </x:c>
      <x:c r="B9" s="12" t="str">
        <x:v>妨害・盤面制御</x:v>
      </x:c>
      <x:c r="C9" s="12" t="str">
        <x:v>CC、ゾーニング、壁、設置などで行動を制限する力</x:v>
      </x:c>
    </x:row>
    <x:row r="10">
      <x:c r="A10" s="12" t="str">
        <x:v>Support</x:v>
      </x:c>
      <x:c r="B10" s="12" t="str">
        <x:v>直接支援</x:v>
      </x:c>
      <x:c r="C10" s="12" t="str">
        <x:v>回復・シールド・バフ・ワープ等の味方支援</x:v>
      </x:c>
    </x:row>
    <x:row r="11">
      <x:c r="A11" s="12" t="str">
        <x:v>Mobility</x:v>
      </x:c>
      <x:c r="B11" s="12" t="str">
        <x:v>機動・ローム</x:v>
      </x:c>
      <x:c r="C11" s="12" t="str">
        <x:v>移動、壁抜け、追撃、離脱、マップ移動の強さ</x:v>
      </x:c>
    </x:row>
    <x:row r="12">
      <x:c r="A12" s="12" t="str">
        <x:v>FarmScaling</x:v>
      </x:c>
      <x:c r="B12" s="12" t="str">
        <x:v>育成依存</x:v>
      </x:c>
      <x:c r="C12" s="12" t="str">
        <x:v>レベル・ファームを必要とし、成長後に価値が増す度合い</x:v>
      </x:c>
    </x:row>
    <x:row r="13">
      <x:c r="A13" s="12" t="str">
        <x:v>ObjectiveSecure</x:v>
      </x:c>
      <x:c r="B13" s="12" t="str">
        <x:v>オブジェクト</x:v>
      </x:c>
      <x:c r="C13" s="12" t="str">
        <x:v>大型野生削り・ラストヒット・確保への適性</x:v>
      </x:c>
    </x:row>
    <x:row r="14">
      <x:c r="A14" s="12" t="str">
        <x:v>ScoringSide</x:v>
      </x:c>
      <x:c r="B14" s="12" t="str">
        <x:v>得点・サイド</x:v>
      </x:c>
      <x:c r="C14" s="12" t="str">
        <x:v>得点、裏抜け、サイド圧力、敵陣荒らしへの適性</x:v>
      </x:c>
    </x:row>
    <x:row r="15">
      <x:c r="A15" s="12" t="str">
        <x:v>Execution</x:v>
      </x:c>
      <x:c r="B15" s="12" t="str">
        <x:v>操作負荷</x:v>
      </x:c>
      <x:c r="C15" s="12" t="str">
        <x:v>エイム、コンボ、入力精度、メカニクス要求</x:v>
      </x:c>
    </x:row>
    <x:row r="16">
      <x:c r="A16" s="12" t="str">
        <x:v>Decision</x:v>
      </x:c>
      <x:c r="B16" s="12" t="str">
        <x:v>判断負荷</x:v>
      </x:c>
      <x:c r="C16" s="12" t="str">
        <x:v>進退、対象選択、位置、味方連携、状況判断の要求</x:v>
      </x:c>
    </x:row>
  </x:sheetData>
  <x:mergeCells>
    <x:mergeCell ref="E1:H1"/>
  </x:mergeCells>
  <x:pageMargins left="0.7" right="0.7" top="0.75" bottom="0.75" header="0.3" footer="0.3"/>
  <x:tableParts count="1">
    <x:tablePart xmlns:r="http://schemas.openxmlformats.org/officeDocument/2006/relationships" r:id="R699345f3d4f64923"/>
  </x:tableParts>
</x:worksheet>
</file>

<file path=xl/worksheets/sheet5.xml><?xml version="1.0" encoding="utf-8"?>
<x:worksheet xmlns:x="http://schemas.openxmlformats.org/spreadsheetml/2006/main">
  <x:sheetFormatPr defaultRowHeight="15"/>
  <x:cols>
    <x:col min="1" max="1" width="20"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s>
  <x:sheetData>
    <x:row r="1">
      <x:c r="A1" s="18" t="str">
        <x:v>Archetype</x:v>
      </x:c>
      <x:c r="B1" s="18" t="str">
        <x:v>Engage</x:v>
      </x:c>
      <x:c r="C1" s="18" t="str">
        <x:v>Dive</x:v>
      </x:c>
      <x:c r="D1" s="18" t="str">
        <x:v>Peel</x:v>
      </x:c>
      <x:c r="E1" s="18" t="str">
        <x:v>Frontline</x:v>
      </x:c>
      <x:c r="F1" s="18" t="str">
        <x:v>Poke</x:v>
      </x:c>
      <x:c r="G1" s="18" t="str">
        <x:v>Burst</x:v>
      </x:c>
      <x:c r="H1" s="18" t="str">
        <x:v>SustainDPS</x:v>
      </x:c>
      <x:c r="I1" s="18" t="str">
        <x:v>Control</x:v>
      </x:c>
      <x:c r="J1" s="18" t="str">
        <x:v>Support</x:v>
      </x:c>
      <x:c r="K1" s="18" t="str">
        <x:v>Mobility</x:v>
      </x:c>
      <x:c r="L1" s="18" t="str">
        <x:v>FarmScaling</x:v>
      </x:c>
      <x:c r="M1" s="18" t="str">
        <x:v>ObjectiveSecure</x:v>
      </x:c>
      <x:c r="N1" s="18" t="str">
        <x:v>ScoringSide</x:v>
      </x:c>
      <x:c r="O1" s="18" t="str">
        <x:v>Execution</x:v>
      </x:c>
      <x:c r="P1" s="18" t="str">
        <x:v>Decision</x:v>
      </x:c>
    </x:row>
    <x:row r="2">
      <x:c r="A2" t="str">
        <x:v>Assassin</x:v>
      </x:c>
      <x:c r="B2" t="n">
        <x:v>50</x:v>
      </x:c>
      <x:c r="C2" t="n">
        <x:v>92</x:v>
      </x:c>
      <x:c r="D2" t="n">
        <x:v>12</x:v>
      </x:c>
      <x:c r="E2" t="n">
        <x:v>20</x:v>
      </x:c>
      <x:c r="F2" t="n">
        <x:v>20</x:v>
      </x:c>
      <x:c r="G2" t="n">
        <x:v>94</x:v>
      </x:c>
      <x:c r="H2" t="n">
        <x:v>50</x:v>
      </x:c>
      <x:c r="I2" t="n">
        <x:v>30</x:v>
      </x:c>
      <x:c r="J2" t="n">
        <x:v>8</x:v>
      </x:c>
      <x:c r="K2" t="n">
        <x:v>92</x:v>
      </x:c>
      <x:c r="L2" t="n">
        <x:v>65</x:v>
      </x:c>
      <x:c r="M2" t="n">
        <x:v>66</x:v>
      </x:c>
      <x:c r="N2" t="n">
        <x:v>78</x:v>
      </x:c>
      <x:c r="O2" t="n">
        <x:v>80</x:v>
      </x:c>
      <x:c r="P2" t="n">
        <x:v>74</x:v>
      </x:c>
    </x:row>
    <x:row r="3">
      <x:c r="A3" t="str">
        <x:v>Skirmisher</x:v>
      </x:c>
      <x:c r="B3" t="n">
        <x:v>55</x:v>
      </x:c>
      <x:c r="C3" t="n">
        <x:v>72</x:v>
      </x:c>
      <x:c r="D3" t="n">
        <x:v>24</x:v>
      </x:c>
      <x:c r="E3" t="n">
        <x:v>60</x:v>
      </x:c>
      <x:c r="F3" t="n">
        <x:v>20</x:v>
      </x:c>
      <x:c r="G3" t="n">
        <x:v>65</x:v>
      </x:c>
      <x:c r="H3" t="n">
        <x:v>86</x:v>
      </x:c>
      <x:c r="I3" t="n">
        <x:v>35</x:v>
      </x:c>
      <x:c r="J3" t="n">
        <x:v>12</x:v>
      </x:c>
      <x:c r="K3" t="n">
        <x:v>72</x:v>
      </x:c>
      <x:c r="L3" t="n">
        <x:v>70</x:v>
      </x:c>
      <x:c r="M3" t="n">
        <x:v>75</x:v>
      </x:c>
      <x:c r="N3" t="n">
        <x:v>62</x:v>
      </x:c>
      <x:c r="O3" t="n">
        <x:v>72</x:v>
      </x:c>
      <x:c r="P3" t="n">
        <x:v>66</x:v>
      </x:c>
    </x:row>
    <x:row r="4">
      <x:c r="A4" t="str">
        <x:v>Diver</x:v>
      </x:c>
      <x:c r="B4" t="n">
        <x:v>76</x:v>
      </x:c>
      <x:c r="C4" t="n">
        <x:v>90</x:v>
      </x:c>
      <x:c r="D4" t="n">
        <x:v>25</x:v>
      </x:c>
      <x:c r="E4" t="n">
        <x:v>62</x:v>
      </x:c>
      <x:c r="F4" t="n">
        <x:v>15</x:v>
      </x:c>
      <x:c r="G4" t="n">
        <x:v>75</x:v>
      </x:c>
      <x:c r="H4" t="n">
        <x:v>72</x:v>
      </x:c>
      <x:c r="I4" t="n">
        <x:v>45</x:v>
      </x:c>
      <x:c r="J4" t="n">
        <x:v>10</x:v>
      </x:c>
      <x:c r="K4" t="n">
        <x:v>82</x:v>
      </x:c>
      <x:c r="L4" t="n">
        <x:v>65</x:v>
      </x:c>
      <x:c r="M4" t="n">
        <x:v>68</x:v>
      </x:c>
      <x:c r="N4" t="n">
        <x:v>62</x:v>
      </x:c>
      <x:c r="O4" t="n">
        <x:v>69</x:v>
      </x:c>
      <x:c r="P4" t="n">
        <x:v>70</x:v>
      </x:c>
    </x:row>
    <x:row r="5">
      <x:c r="A5" t="str">
        <x:v>Juggernaut</x:v>
      </x:c>
      <x:c r="B5" t="n">
        <x:v>55</x:v>
      </x:c>
      <x:c r="C5" t="n">
        <x:v>45</x:v>
      </x:c>
      <x:c r="D5" t="n">
        <x:v>38</x:v>
      </x:c>
      <x:c r="E5" t="n">
        <x:v>92</x:v>
      </x:c>
      <x:c r="F5" t="n">
        <x:v>15</x:v>
      </x:c>
      <x:c r="G5" t="n">
        <x:v>58</x:v>
      </x:c>
      <x:c r="H5" t="n">
        <x:v>84</x:v>
      </x:c>
      <x:c r="I5" t="n">
        <x:v>45</x:v>
      </x:c>
      <x:c r="J5" t="n">
        <x:v>15</x:v>
      </x:c>
      <x:c r="K5" t="n">
        <x:v>35</x:v>
      </x:c>
      <x:c r="L5" t="n">
        <x:v>75</x:v>
      </x:c>
      <x:c r="M5" t="n">
        <x:v>80</x:v>
      </x:c>
      <x:c r="N5" t="n">
        <x:v>44</x:v>
      </x:c>
      <x:c r="O5" t="n">
        <x:v>50</x:v>
      </x:c>
      <x:c r="P5" t="n">
        <x:v>60</x:v>
      </x:c>
    </x:row>
    <x:row r="6">
      <x:c r="A6" t="str">
        <x:v>Marksman</x:v>
      </x:c>
      <x:c r="B6" t="n">
        <x:v>22</x:v>
      </x:c>
      <x:c r="C6" t="n">
        <x:v>12</x:v>
      </x:c>
      <x:c r="D6" t="n">
        <x:v>18</x:v>
      </x:c>
      <x:c r="E6" t="n">
        <x:v>14</x:v>
      </x:c>
      <x:c r="F6" t="n">
        <x:v>66</x:v>
      </x:c>
      <x:c r="G6" t="n">
        <x:v>44</x:v>
      </x:c>
      <x:c r="H6" t="n">
        <x:v>96</x:v>
      </x:c>
      <x:c r="I6" t="n">
        <x:v>18</x:v>
      </x:c>
      <x:c r="J6" t="n">
        <x:v>8</x:v>
      </x:c>
      <x:c r="K6" t="n">
        <x:v>45</x:v>
      </x:c>
      <x:c r="L6" t="n">
        <x:v>84</x:v>
      </x:c>
      <x:c r="M6" t="n">
        <x:v>94</x:v>
      </x:c>
      <x:c r="N6" t="n">
        <x:v>52</x:v>
      </x:c>
      <x:c r="O6" t="n">
        <x:v>63</x:v>
      </x:c>
      <x:c r="P6" t="n">
        <x:v>72</x:v>
      </x:c>
    </x:row>
    <x:row r="7">
      <x:c r="A7" t="str">
        <x:v>BurstMage</x:v>
      </x:c>
      <x:c r="B7" t="n">
        <x:v>32</x:v>
      </x:c>
      <x:c r="C7" t="n">
        <x:v>12</x:v>
      </x:c>
      <x:c r="D7" t="n">
        <x:v>38</x:v>
      </x:c>
      <x:c r="E7" t="n">
        <x:v>16</x:v>
      </x:c>
      <x:c r="F7" t="n">
        <x:v>82</x:v>
      </x:c>
      <x:c r="G7" t="n">
        <x:v>92</x:v>
      </x:c>
      <x:c r="H7" t="n">
        <x:v>46</x:v>
      </x:c>
      <x:c r="I7" t="n">
        <x:v>66</x:v>
      </x:c>
      <x:c r="J7" t="n">
        <x:v>15</x:v>
      </x:c>
      <x:c r="K7" t="n">
        <x:v>32</x:v>
      </x:c>
      <x:c r="L7" t="n">
        <x:v>66</x:v>
      </x:c>
      <x:c r="M7" t="n">
        <x:v>63</x:v>
      </x:c>
      <x:c r="N7" t="n">
        <x:v>34</x:v>
      </x:c>
      <x:c r="O7" t="n">
        <x:v>64</x:v>
      </x:c>
      <x:c r="P7" t="n">
        <x:v>73</x:v>
      </x:c>
    </x:row>
    <x:row r="8">
      <x:c r="A8" t="str">
        <x:v>BattleMage</x:v>
      </x:c>
      <x:c r="B8" t="n">
        <x:v>42</x:v>
      </x:c>
      <x:c r="C8" t="n">
        <x:v>34</x:v>
      </x:c>
      <x:c r="D8" t="n">
        <x:v>32</x:v>
      </x:c>
      <x:c r="E8" t="n">
        <x:v>38</x:v>
      </x:c>
      <x:c r="F8" t="n">
        <x:v>58</x:v>
      </x:c>
      <x:c r="G8" t="n">
        <x:v>63</x:v>
      </x:c>
      <x:c r="H8" t="n">
        <x:v>82</x:v>
      </x:c>
      <x:c r="I8" t="n">
        <x:v>46</x:v>
      </x:c>
      <x:c r="J8" t="n">
        <x:v>14</x:v>
      </x:c>
      <x:c r="K8" t="n">
        <x:v>56</x:v>
      </x:c>
      <x:c r="L8" t="n">
        <x:v>70</x:v>
      </x:c>
      <x:c r="M8" t="n">
        <x:v>74</x:v>
      </x:c>
      <x:c r="N8" t="n">
        <x:v>45</x:v>
      </x:c>
      <x:c r="O8" t="n">
        <x:v>67</x:v>
      </x:c>
      <x:c r="P8" t="n">
        <x:v>69</x:v>
      </x:c>
    </x:row>
    <x:row r="9">
      <x:c r="A9" t="str">
        <x:v>Artillery</x:v>
      </x:c>
      <x:c r="B9" t="n">
        <x:v>18</x:v>
      </x:c>
      <x:c r="C9" t="n">
        <x:v>6</x:v>
      </x:c>
      <x:c r="D9" t="n">
        <x:v>22</x:v>
      </x:c>
      <x:c r="E9" t="n">
        <x:v>10</x:v>
      </x:c>
      <x:c r="F9" t="n">
        <x:v>98</x:v>
      </x:c>
      <x:c r="G9" t="n">
        <x:v>85</x:v>
      </x:c>
      <x:c r="H9" t="n">
        <x:v>56</x:v>
      </x:c>
      <x:c r="I9" t="n">
        <x:v>45</x:v>
      </x:c>
      <x:c r="J9" t="n">
        <x:v>8</x:v>
      </x:c>
      <x:c r="K9" t="n">
        <x:v>24</x:v>
      </x:c>
      <x:c r="L9" t="n">
        <x:v>72</x:v>
      </x:c>
      <x:c r="M9" t="n">
        <x:v>82</x:v>
      </x:c>
      <x:c r="N9" t="n">
        <x:v>28</x:v>
      </x:c>
      <x:c r="O9" t="n">
        <x:v>82</x:v>
      </x:c>
      <x:c r="P9" t="n">
        <x:v>80</x:v>
      </x:c>
    </x:row>
    <x:row r="10">
      <x:c r="A10" t="str">
        <x:v>Vanguard</x:v>
      </x:c>
      <x:c r="B10" t="n">
        <x:v>96</x:v>
      </x:c>
      <x:c r="C10" t="n">
        <x:v>72</x:v>
      </x:c>
      <x:c r="D10" t="n">
        <x:v>68</x:v>
      </x:c>
      <x:c r="E10" t="n">
        <x:v>96</x:v>
      </x:c>
      <x:c r="F10" t="n">
        <x:v>10</x:v>
      </x:c>
      <x:c r="G10" t="n">
        <x:v>38</x:v>
      </x:c>
      <x:c r="H10" t="n">
        <x:v>38</x:v>
      </x:c>
      <x:c r="I10" t="n">
        <x:v>92</x:v>
      </x:c>
      <x:c r="J10" t="n">
        <x:v>25</x:v>
      </x:c>
      <x:c r="K10" t="n">
        <x:v>55</x:v>
      </x:c>
      <x:c r="L10" t="n">
        <x:v>34</x:v>
      </x:c>
      <x:c r="M10" t="n">
        <x:v>43</x:v>
      </x:c>
      <x:c r="N10" t="n">
        <x:v>38</x:v>
      </x:c>
      <x:c r="O10" t="n">
        <x:v>56</x:v>
      </x:c>
      <x:c r="P10" t="n">
        <x:v>84</x:v>
      </x:c>
    </x:row>
    <x:row r="11">
      <x:c r="A11" t="str">
        <x:v>Warden</x:v>
      </x:c>
      <x:c r="B11" t="n">
        <x:v>48</x:v>
      </x:c>
      <x:c r="C11" t="n">
        <x:v>22</x:v>
      </x:c>
      <x:c r="D11" t="n">
        <x:v>96</x:v>
      </x:c>
      <x:c r="E11" t="n">
        <x:v>92</x:v>
      </x:c>
      <x:c r="F11" t="n">
        <x:v>28</x:v>
      </x:c>
      <x:c r="G11" t="n">
        <x:v>28</x:v>
      </x:c>
      <x:c r="H11" t="n">
        <x:v>30</x:v>
      </x:c>
      <x:c r="I11" t="n">
        <x:v>92</x:v>
      </x:c>
      <x:c r="J11" t="n">
        <x:v>48</x:v>
      </x:c>
      <x:c r="K11" t="n">
        <x:v>34</x:v>
      </x:c>
      <x:c r="L11" t="n">
        <x:v>30</x:v>
      </x:c>
      <x:c r="M11" t="n">
        <x:v>38</x:v>
      </x:c>
      <x:c r="N11" t="n">
        <x:v>30</x:v>
      </x:c>
      <x:c r="O11" t="n">
        <x:v>50</x:v>
      </x:c>
      <x:c r="P11" t="n">
        <x:v>86</x:v>
      </x:c>
    </x:row>
    <x:row r="12">
      <x:c r="A12" t="str">
        <x:v>Catcher</x:v>
      </x:c>
      <x:c r="B12" t="n">
        <x:v>70</x:v>
      </x:c>
      <x:c r="C12" t="n">
        <x:v>42</x:v>
      </x:c>
      <x:c r="D12" t="n">
        <x:v>62</x:v>
      </x:c>
      <x:c r="E12" t="n">
        <x:v>58</x:v>
      </x:c>
      <x:c r="F12" t="n">
        <x:v>45</x:v>
      </x:c>
      <x:c r="G12" t="n">
        <x:v>50</x:v>
      </x:c>
      <x:c r="H12" t="n">
        <x:v>38</x:v>
      </x:c>
      <x:c r="I12" t="n">
        <x:v>98</x:v>
      </x:c>
      <x:c r="J12" t="n">
        <x:v>26</x:v>
      </x:c>
      <x:c r="K12" t="n">
        <x:v>48</x:v>
      </x:c>
      <x:c r="L12" t="n">
        <x:v>32</x:v>
      </x:c>
      <x:c r="M12" t="n">
        <x:v>45</x:v>
      </x:c>
      <x:c r="N12" t="n">
        <x:v>34</x:v>
      </x:c>
      <x:c r="O12" t="n">
        <x:v>66</x:v>
      </x:c>
      <x:c r="P12" t="n">
        <x:v>88</x:v>
      </x:c>
    </x:row>
    <x:row r="13">
      <x:c r="A13" t="str">
        <x:v>Enchanter</x:v>
      </x:c>
      <x:c r="B13" t="n">
        <x:v>25</x:v>
      </x:c>
      <x:c r="C13" t="n">
        <x:v>7</x:v>
      </x:c>
      <x:c r="D13" t="n">
        <x:v>84</x:v>
      </x:c>
      <x:c r="E13" t="n">
        <x:v>26</x:v>
      </x:c>
      <x:c r="F13" t="n">
        <x:v>38</x:v>
      </x:c>
      <x:c r="G13" t="n">
        <x:v>20</x:v>
      </x:c>
      <x:c r="H13" t="n">
        <x:v>24</x:v>
      </x:c>
      <x:c r="I13" t="n">
        <x:v>55</x:v>
      </x:c>
      <x:c r="J13" t="n">
        <x:v>98</x:v>
      </x:c>
      <x:c r="K13" t="n">
        <x:v>42</x:v>
      </x:c>
      <x:c r="L13" t="n">
        <x:v>20</x:v>
      </x:c>
      <x:c r="M13" t="n">
        <x:v>30</x:v>
      </x:c>
      <x:c r="N13" t="n">
        <x:v>36</x:v>
      </x:c>
      <x:c r="O13" t="n">
        <x:v>50</x:v>
      </x:c>
      <x:c r="P13" t="n">
        <x:v>89</x:v>
      </x:c>
    </x:row>
    <x:row r="14">
      <x:c r="A14" t="str">
        <x:v>Specialist</x:v>
      </x:c>
      <x:c r="B14" t="n">
        <x:v>52</x:v>
      </x:c>
      <x:c r="C14" t="n">
        <x:v>42</x:v>
      </x:c>
      <x:c r="D14" t="n">
        <x:v>58</x:v>
      </x:c>
      <x:c r="E14" t="n">
        <x:v>45</x:v>
      </x:c>
      <x:c r="F14" t="n">
        <x:v>52</x:v>
      </x:c>
      <x:c r="G14" t="n">
        <x:v>46</x:v>
      </x:c>
      <x:c r="H14" t="n">
        <x:v>48</x:v>
      </x:c>
      <x:c r="I14" t="n">
        <x:v>76</x:v>
      </x:c>
      <x:c r="J14" t="n">
        <x:v>62</x:v>
      </x:c>
      <x:c r="K14" t="n">
        <x:v>68</x:v>
      </x:c>
      <x:c r="L14" t="n">
        <x:v>42</x:v>
      </x:c>
      <x:c r="M14" t="n">
        <x:v>48</x:v>
      </x:c>
      <x:c r="N14" t="n">
        <x:v>70</x:v>
      </x:c>
      <x:c r="O14" t="n">
        <x:v>78</x:v>
      </x:c>
      <x:c r="P14" t="n">
        <x:v>95</x:v>
      </x:c>
    </x:row>
  </x:sheetData>
  <x:conditionalFormatting sqref="B2:B14">
    <x:cfRule type="colorScale" priority="1">
      <x:colorScale>
        <x:cfvo type="min"/>
        <x:cfvo type="percentile" val="50"/>
        <x:cfvo type="max"/>
        <x:color rgb="FFEFF6FF"/>
        <x:color rgb="FF93C5FD"/>
        <x:color rgb="FF1D4ED8"/>
      </x:colorScale>
    </x:cfRule>
  </x:conditionalFormatting>
  <x:conditionalFormatting sqref="C2:C14">
    <x:cfRule type="colorScale" priority="2">
      <x:colorScale>
        <x:cfvo type="min"/>
        <x:cfvo type="percentile" val="50"/>
        <x:cfvo type="max"/>
        <x:color rgb="FFEFF6FF"/>
        <x:color rgb="FF93C5FD"/>
        <x:color rgb="FF1D4ED8"/>
      </x:colorScale>
    </x:cfRule>
  </x:conditionalFormatting>
  <x:conditionalFormatting sqref="D2:D14">
    <x:cfRule type="colorScale" priority="3">
      <x:colorScale>
        <x:cfvo type="min"/>
        <x:cfvo type="percentile" val="50"/>
        <x:cfvo type="max"/>
        <x:color rgb="FFEFF6FF"/>
        <x:color rgb="FF93C5FD"/>
        <x:color rgb="FF1D4ED8"/>
      </x:colorScale>
    </x:cfRule>
  </x:conditionalFormatting>
  <x:conditionalFormatting sqref="E2:E14">
    <x:cfRule type="colorScale" priority="4">
      <x:colorScale>
        <x:cfvo type="min"/>
        <x:cfvo type="percentile" val="50"/>
        <x:cfvo type="max"/>
        <x:color rgb="FFEFF6FF"/>
        <x:color rgb="FF93C5FD"/>
        <x:color rgb="FF1D4ED8"/>
      </x:colorScale>
    </x:cfRule>
  </x:conditionalFormatting>
  <x:conditionalFormatting sqref="F2:F14">
    <x:cfRule type="colorScale" priority="5">
      <x:colorScale>
        <x:cfvo type="min"/>
        <x:cfvo type="percentile" val="50"/>
        <x:cfvo type="max"/>
        <x:color rgb="FFEFF6FF"/>
        <x:color rgb="FF93C5FD"/>
        <x:color rgb="FF1D4ED8"/>
      </x:colorScale>
    </x:cfRule>
  </x:conditionalFormatting>
  <x:conditionalFormatting sqref="G2:G14">
    <x:cfRule type="colorScale" priority="6">
      <x:colorScale>
        <x:cfvo type="min"/>
        <x:cfvo type="percentile" val="50"/>
        <x:cfvo type="max"/>
        <x:color rgb="FFEFF6FF"/>
        <x:color rgb="FF93C5FD"/>
        <x:color rgb="FF1D4ED8"/>
      </x:colorScale>
    </x:cfRule>
  </x:conditionalFormatting>
  <x:conditionalFormatting sqref="H2:H14">
    <x:cfRule type="colorScale" priority="7">
      <x:colorScale>
        <x:cfvo type="min"/>
        <x:cfvo type="percentile" val="50"/>
        <x:cfvo type="max"/>
        <x:color rgb="FFEFF6FF"/>
        <x:color rgb="FF93C5FD"/>
        <x:color rgb="FF1D4ED8"/>
      </x:colorScale>
    </x:cfRule>
  </x:conditionalFormatting>
  <x:conditionalFormatting sqref="I2:I14">
    <x:cfRule type="colorScale" priority="8">
      <x:colorScale>
        <x:cfvo type="min"/>
        <x:cfvo type="percentile" val="50"/>
        <x:cfvo type="max"/>
        <x:color rgb="FFEFF6FF"/>
        <x:color rgb="FF93C5FD"/>
        <x:color rgb="FF1D4ED8"/>
      </x:colorScale>
    </x:cfRule>
  </x:conditionalFormatting>
  <x:conditionalFormatting sqref="J2:J14">
    <x:cfRule type="colorScale" priority="9">
      <x:colorScale>
        <x:cfvo type="min"/>
        <x:cfvo type="percentile" val="50"/>
        <x:cfvo type="max"/>
        <x:color rgb="FFEFF6FF"/>
        <x:color rgb="FF93C5FD"/>
        <x:color rgb="FF1D4ED8"/>
      </x:colorScale>
    </x:cfRule>
  </x:conditionalFormatting>
  <x:conditionalFormatting sqref="K2:K14">
    <x:cfRule type="colorScale" priority="10">
      <x:colorScale>
        <x:cfvo type="min"/>
        <x:cfvo type="percentile" val="50"/>
        <x:cfvo type="max"/>
        <x:color rgb="FFEFF6FF"/>
        <x:color rgb="FF93C5FD"/>
        <x:color rgb="FF1D4ED8"/>
      </x:colorScale>
    </x:cfRule>
  </x:conditionalFormatting>
  <x:conditionalFormatting sqref="L2:L14">
    <x:cfRule type="colorScale" priority="11">
      <x:colorScale>
        <x:cfvo type="min"/>
        <x:cfvo type="percentile" val="50"/>
        <x:cfvo type="max"/>
        <x:color rgb="FFEFF6FF"/>
        <x:color rgb="FF93C5FD"/>
        <x:color rgb="FF1D4ED8"/>
      </x:colorScale>
    </x:cfRule>
  </x:conditionalFormatting>
  <x:conditionalFormatting sqref="M2:M14">
    <x:cfRule type="colorScale" priority="12">
      <x:colorScale>
        <x:cfvo type="min"/>
        <x:cfvo type="percentile" val="50"/>
        <x:cfvo type="max"/>
        <x:color rgb="FFEFF6FF"/>
        <x:color rgb="FF93C5FD"/>
        <x:color rgb="FF1D4ED8"/>
      </x:colorScale>
    </x:cfRule>
  </x:conditionalFormatting>
  <x:conditionalFormatting sqref="N2:N14">
    <x:cfRule type="colorScale" priority="13">
      <x:colorScale>
        <x:cfvo type="min"/>
        <x:cfvo type="percentile" val="50"/>
        <x:cfvo type="max"/>
        <x:color rgb="FFEFF6FF"/>
        <x:color rgb="FF93C5FD"/>
        <x:color rgb="FF1D4ED8"/>
      </x:colorScale>
    </x:cfRule>
  </x:conditionalFormatting>
  <x:conditionalFormatting sqref="O2:O14">
    <x:cfRule type="colorScale" priority="14">
      <x:colorScale>
        <x:cfvo type="min"/>
        <x:cfvo type="percentile" val="50"/>
        <x:cfvo type="max"/>
        <x:color rgb="FFEFF6FF"/>
        <x:color rgb="FF93C5FD"/>
        <x:color rgb="FF1D4ED8"/>
      </x:colorScale>
    </x:cfRule>
  </x:conditionalFormatting>
  <x:conditionalFormatting sqref="P2:P14">
    <x:cfRule type="colorScale" priority="15">
      <x:colorScale>
        <x:cfvo type="min"/>
        <x:cfvo type="percentile" val="50"/>
        <x:cfvo type="max"/>
        <x:color rgb="FFEFF6FF"/>
        <x:color rgb="FF93C5FD"/>
        <x:color rgb="FF1D4ED8"/>
      </x:colorScale>
    </x:cfRule>
  </x:conditionalFormatting>
  <x:pageMargins left="0.7" right="0.7" top="0.75" bottom="0.75" header="0.3" footer="0.3"/>
  <x:tableParts count="1">
    <x:tablePart xmlns:r="http://schemas.openxmlformats.org/officeDocument/2006/relationships" r:id="Ra062947ee28b41c0"/>
  </x:tableParts>
</x:worksheet>
</file>

<file path=xl/worksheets/sheet6.xml><?xml version="1.0" encoding="utf-8"?>
<x:worksheet xmlns:x="http://schemas.openxmlformats.org/spreadsheetml/2006/main">
  <x:sheetFormatPr defaultRowHeight="15"/>
  <x:cols>
    <x:col min="1" max="1" width="18" hidden="0" customWidth="1"/>
    <x:col min="2" max="2" width="13" hidden="0" customWidth="1"/>
    <x:col min="3" max="3" width="28" hidden="0" customWidth="1"/>
    <x:col min="4" max="4" width="22" hidden="0" customWidth="1"/>
    <x:col min="5" max="5" width="18" hidden="0" customWidth="1"/>
    <x:col min="6" max="6" width="18" hidden="0" customWidth="1"/>
    <x:col min="7" max="7" width="38" hidden="0" customWidth="1"/>
    <x:col min="8" max="8" width="12" hidden="0" customWidth="1"/>
    <x:col min="9" max="9" width="44" hidden="0" customWidth="1"/>
  </x:cols>
  <x:sheetData>
    <x:row r="1">
      <x:c r="A1" s="18" t="str">
        <x:v>Pokemon</x:v>
      </x:c>
      <x:c r="B1" s="18" t="str">
        <x:v>OfficialRole</x:v>
      </x:c>
      <x:c r="C1" s="18" t="str">
        <x:v>ProfileName</x:v>
      </x:c>
      <x:c r="D1" s="18" t="str">
        <x:v>ProfileLabel</x:v>
      </x:c>
      <x:c r="E1" s="18" t="str">
        <x:v>PrimaryArchetype</x:v>
      </x:c>
      <x:c r="F1" s="18" t="str">
        <x:v>SecondaryArchetype</x:v>
      </x:c>
      <x:c r="G1" s="18" t="str">
        <x:v>SplitReason</x:v>
      </x:c>
      <x:c r="H1" s="18" t="str">
        <x:v>Confidence</x:v>
      </x:c>
      <x:c r="I1" s="18" t="str">
        <x:v>SourceURL</x:v>
      </x:c>
    </x:row>
    <x:row r="2">
      <x:c r="A2" s="12" t="str">
        <x:v>アローラキュウコン</x:v>
      </x:c>
      <x:c r="B2" s="12" t="str">
        <x:v>アタック型</x:v>
      </x:c>
      <x:c r="C2" s="12" t="str">
        <x:v>ゆきなだれ＋ふぶき</x:v>
      </x:c>
      <x:c r="D2" s="12" t="str">
        <x:v>Control Burst Mage</x:v>
      </x:c>
      <x:c r="E2" s="12" t="str">
        <x:v>BurstMage</x:v>
      </x:c>
      <x:c r="F2" s="12" t="str"/>
      <x:c r="G2" s="12" t="str">
        <x:v>遠隔コンボ・ゾーニング</x:v>
      </x:c>
      <x:c r="H2" s="12" t="str">
        <x:v>高</x:v>
      </x:c>
      <x:c r="I2" s="12" t="str">
        <x:v>https://wikiwiki.jp/poke-unite/%E3%82%A2%E3%83%AD%E3%83%BC%E3%83%A9%E3%82%AD%E3%83%A5%E3%82%A6%E3%82%B3%E3%83%B3</x:v>
      </x:c>
    </x:row>
    <x:row r="3">
      <x:c r="A3" s="12" t="str">
        <x:v>アローラキュウコン</x:v>
      </x:c>
      <x:c r="B3" s="12" t="str">
        <x:v>アタック型</x:v>
      </x:c>
      <x:c r="C3" s="12" t="str">
        <x:v>マジカルシャイン＋オーロラベール</x:v>
      </x:c>
      <x:c r="D3" s="12" t="str">
        <x:v>Peel Marksman</x:v>
      </x:c>
      <x:c r="E3" s="12" t="str">
        <x:v>Marksman</x:v>
      </x:c>
      <x:c r="F3" s="12" t="str">
        <x:v>Warden</x:v>
      </x:c>
      <x:c r="G3" s="12" t="str">
        <x:v>迎撃・ベール内AAで持久戦</x:v>
      </x:c>
      <x:c r="H3" s="12" t="str">
        <x:v>高</x:v>
      </x:c>
      <x:c r="I3" s="12" t="str">
        <x:v>https://wikiwiki.jp/poke-unite/%E3%82%A2%E3%83%AD%E3%83%BC%E3%83%A9%E3%82%AD%E3%83%A5%E3%82%A6%E3%82%B3%E3%83%B3</x:v>
      </x:c>
    </x:row>
    <x:row r="4">
      <x:c r="A4" s="12" t="str">
        <x:v>インテレオン</x:v>
      </x:c>
      <x:c r="B4" s="12" t="str">
        <x:v>アタック型</x:v>
      </x:c>
      <x:c r="C4" s="12" t="str">
        <x:v>ねらいうち＋とどめばり</x:v>
      </x:c>
      <x:c r="D4" s="12" t="str">
        <x:v>Sniper</x:v>
      </x:c>
      <x:c r="E4" s="12" t="str">
        <x:v>Artillery</x:v>
      </x:c>
      <x:c r="F4" s="12" t="str"/>
      <x:c r="G4" s="12" t="str">
        <x:v>超長射程スナイプ</x:v>
      </x:c>
      <x:c r="H4" s="12" t="str">
        <x:v>高</x:v>
      </x:c>
      <x:c r="I4" s="12" t="str">
        <x:v>https://wikiwiki.jp/poke-unite/%E3%82%A4%E3%83%B3%E3%83%86%E3%83%AC%E3%82%AA%E3%83%B3</x:v>
      </x:c>
    </x:row>
    <x:row r="5">
      <x:c r="A5" s="12" t="str">
        <x:v>インテレオン</x:v>
      </x:c>
      <x:c r="B5" s="12" t="str">
        <x:v>アタック型</x:v>
      </x:c>
      <x:c r="C5" s="12" t="str">
        <x:v>アクアブレイク＋アクロバット</x:v>
      </x:c>
      <x:c r="D5" s="12" t="str">
        <x:v>Mobile Carry</x:v>
      </x:c>
      <x:c r="E5" s="12" t="str">
        <x:v>BattleMage</x:v>
      </x:c>
      <x:c r="F5" s="12" t="str">
        <x:v>Marksman</x:v>
      </x:c>
      <x:c r="G5" s="12" t="str">
        <x:v>中距離カイト・継続戦</x:v>
      </x:c>
      <x:c r="H5" s="12" t="str">
        <x:v>高</x:v>
      </x:c>
      <x:c r="I5" s="12" t="str">
        <x:v>https://wikiwiki.jp/poke-unite/%E3%82%A4%E3%83%B3%E3%83%86%E3%83%AC%E3%82%AA%E3%83%B3</x:v>
      </x:c>
    </x:row>
    <x:row r="6">
      <x:c r="A6" s="12" t="str">
        <x:v>ウッウ</x:v>
      </x:c>
      <x:c r="B6" s="12" t="str">
        <x:v>アタック型</x:v>
      </x:c>
      <x:c r="C6" s="12" t="str">
        <x:v>なみのり＋ぼうふう</x:v>
      </x:c>
      <x:c r="D6" s="12" t="str">
        <x:v>Control Mage</x:v>
      </x:c>
      <x:c r="E6" s="12" t="str">
        <x:v>BurstMage</x:v>
      </x:c>
      <x:c r="F6" s="12" t="str"/>
      <x:c r="G6" s="12" t="str">
        <x:v>遠隔CCと範囲バースト</x:v>
      </x:c>
      <x:c r="H6" s="12" t="str">
        <x:v>高</x:v>
      </x:c>
      <x:c r="I6" s="12" t="str">
        <x:v>https://wikiwiki.jp/poke-unite/%E3%82%A6%E3%83%83%E3%82%A6</x:v>
      </x:c>
    </x:row>
    <x:row r="7">
      <x:c r="A7" s="12" t="str">
        <x:v>ウッウ</x:v>
      </x:c>
      <x:c r="B7" s="12" t="str">
        <x:v>アタック型</x:v>
      </x:c>
      <x:c r="C7" s="12" t="str">
        <x:v>ダイビング＋エアスラッシュ</x:v>
      </x:c>
      <x:c r="D7" s="12" t="str">
        <x:v>Mobile Battlemage</x:v>
      </x:c>
      <x:c r="E7" s="12" t="str">
        <x:v>BattleMage</x:v>
      </x:c>
      <x:c r="F7" s="12" t="str"/>
      <x:c r="G7" s="12" t="str">
        <x:v>高機動近中距離戦</x:v>
      </x:c>
      <x:c r="H7" s="12" t="str">
        <x:v>高</x:v>
      </x:c>
      <x:c r="I7" s="12" t="str">
        <x:v>https://wikiwiki.jp/poke-unite/%E3%82%A6%E3%83%83%E3%82%A6</x:v>
      </x:c>
    </x:row>
    <x:row r="8">
      <x:c r="A8" s="12" t="str">
        <x:v>エーフィ</x:v>
      </x:c>
      <x:c r="B8" s="12" t="str">
        <x:v>アタック型</x:v>
      </x:c>
      <x:c r="C8" s="12" t="str">
        <x:v>サイコショック＋サイケこうせん</x:v>
      </x:c>
      <x:c r="D8" s="12" t="str">
        <x:v>Burst Mage</x:v>
      </x:c>
      <x:c r="E8" s="12" t="str">
        <x:v>BurstMage</x:v>
      </x:c>
      <x:c r="F8" s="12" t="str"/>
      <x:c r="G8" s="12" t="str">
        <x:v>直線バーストとCC</x:v>
      </x:c>
      <x:c r="H8" s="12" t="str">
        <x:v>高</x:v>
      </x:c>
      <x:c r="I8" s="12" t="str">
        <x:v>https://wikiwiki.jp/poke-unite/%E3%82%A8%E3%83%BC%E3%83%95%E3%82%A3</x:v>
      </x:c>
    </x:row>
    <x:row r="9">
      <x:c r="A9" s="12" t="str">
        <x:v>エーフィ</x:v>
      </x:c>
      <x:c r="B9" s="12" t="str">
        <x:v>アタック型</x:v>
      </x:c>
      <x:c r="C9" s="12" t="str">
        <x:v>アシストパワー＋みらいよち</x:v>
      </x:c>
      <x:c r="D9" s="12" t="str">
        <x:v>Kiting Battlemage</x:v>
      </x:c>
      <x:c r="E9" s="12" t="str">
        <x:v>BattleMage</x:v>
      </x:c>
      <x:c r="F9" s="12" t="str"/>
      <x:c r="G9" s="12" t="str">
        <x:v>必中寄りの安定カイト</x:v>
      </x:c>
      <x:c r="H9" s="12" t="str">
        <x:v>高</x:v>
      </x:c>
      <x:c r="I9" s="12" t="str">
        <x:v>https://wikiwiki.jp/poke-unite/%E3%82%A8%E3%83%BC%E3%83%95%E3%82%A3</x:v>
      </x:c>
    </x:row>
    <x:row r="10">
      <x:c r="A10" s="12" t="str">
        <x:v>グレイシア</x:v>
      </x:c>
      <x:c r="B10" s="12" t="str">
        <x:v>アタック型</x:v>
      </x:c>
      <x:c r="C10" s="12" t="str">
        <x:v>つららばり＋こおりのつぶて</x:v>
      </x:c>
      <x:c r="D10" s="12" t="str">
        <x:v>DPS Marksman</x:v>
      </x:c>
      <x:c r="E10" s="12" t="str">
        <x:v>Marksman</x:v>
      </x:c>
      <x:c r="F10" s="12" t="str"/>
      <x:c r="G10" s="12" t="str">
        <x:v>必中DPS・前衛削り</x:v>
      </x:c>
      <x:c r="H10" s="12" t="str">
        <x:v>高</x:v>
      </x:c>
      <x:c r="I10" s="12" t="str">
        <x:v>https://wikiwiki.jp/poke-unite/%E3%82%B0%E3%83%AC%E3%82%A4%E3%82%B7%E3%82%A2</x:v>
      </x:c>
    </x:row>
    <x:row r="11">
      <x:c r="A11" s="12" t="str">
        <x:v>グレイシア</x:v>
      </x:c>
      <x:c r="B11" s="12" t="str">
        <x:v>アタック型</x:v>
      </x:c>
      <x:c r="C11" s="12" t="str">
        <x:v>こごえるかぜ＋フリーズドライ</x:v>
      </x:c>
      <x:c r="D11" s="12" t="str">
        <x:v>Mobile Battlemage</x:v>
      </x:c>
      <x:c r="E11" s="12" t="str">
        <x:v>BattleMage</x:v>
      </x:c>
      <x:c r="F11" s="12" t="str"/>
      <x:c r="G11" s="12" t="str">
        <x:v>スタック管理・瞬間火力</x:v>
      </x:c>
      <x:c r="H11" s="12" t="str">
        <x:v>高</x:v>
      </x:c>
      <x:c r="I11" s="12" t="str">
        <x:v>https://wikiwiki.jp/poke-unite/%E3%82%B0%E3%83%AC%E3%82%A4%E3%82%B7%E3%82%A2</x:v>
      </x:c>
    </x:row>
    <x:row r="12">
      <x:c r="A12" s="12" t="str">
        <x:v>グレンアルマ</x:v>
      </x:c>
      <x:c r="B12" s="12" t="str">
        <x:v>アタック型</x:v>
      </x:c>
      <x:c r="C12" s="12" t="str">
        <x:v>ほのおのうず＋ニトロチャージ</x:v>
      </x:c>
      <x:c r="D12" s="12" t="str">
        <x:v>Tank Battlemage</x:v>
      </x:c>
      <x:c r="E12" s="12" t="str">
        <x:v>Juggernaut</x:v>
      </x:c>
      <x:c r="F12" s="12" t="str">
        <x:v>BattleMage</x:v>
      </x:c>
      <x:c r="G12" s="12" t="str">
        <x:v>シールドで前寄りに戦う</x:v>
      </x:c>
      <x:c r="H12" s="12" t="str">
        <x:v>高</x:v>
      </x:c>
      <x:c r="I12" s="12" t="str">
        <x:v>https://wikiwiki.jp/poke-unite/%E3%82%B0%E3%83%AC%E3%83%B3%E3%82%A2%E3%83%AB%E3%83%9E</x:v>
      </x:c>
    </x:row>
    <x:row r="13">
      <x:c r="A13" s="12" t="str">
        <x:v>グレンアルマ</x:v>
      </x:c>
      <x:c r="B13" s="12" t="str">
        <x:v>アタック型</x:v>
      </x:c>
      <x:c r="C13" s="12" t="str">
        <x:v>アーマーキャノン＋サイコショック</x:v>
      </x:c>
      <x:c r="D13" s="12" t="str">
        <x:v>Control Mage</x:v>
      </x:c>
      <x:c r="E13" s="12" t="str">
        <x:v>BurstMage</x:v>
      </x:c>
      <x:c r="F13" s="12" t="str"/>
      <x:c r="G13" s="12" t="str">
        <x:v>遠隔範囲CC・メイジ</x:v>
      </x:c>
      <x:c r="H13" s="12" t="str">
        <x:v>高</x:v>
      </x:c>
      <x:c r="I13" s="12" t="str">
        <x:v>https://wikiwiki.jp/poke-unite/%E3%82%B0%E3%83%AC%E3%83%B3%E3%82%A2%E3%83%AB%E3%83%9E</x:v>
      </x:c>
    </x:row>
    <x:row r="14">
      <x:c r="A14" s="12" t="str">
        <x:v>ゲッコウガ</x:v>
      </x:c>
      <x:c r="B14" s="12" t="str">
        <x:v>アタック型</x:v>
      </x:c>
      <x:c r="C14" s="12" t="str">
        <x:v>みずしゅりけん＋かげぶんしん</x:v>
      </x:c>
      <x:c r="D14" s="12" t="str">
        <x:v>Marksman</x:v>
      </x:c>
      <x:c r="E14" s="12" t="str">
        <x:v>Marksman</x:v>
      </x:c>
      <x:c r="F14" s="12" t="str"/>
      <x:c r="G14" s="12" t="str">
        <x:v>中距離DPS・カイト</x:v>
      </x:c>
      <x:c r="H14" s="12" t="str">
        <x:v>高</x:v>
      </x:c>
      <x:c r="I14" s="12" t="str">
        <x:v>https://wikiwiki.jp/poke-unite/%E3%82%B2%E3%83%83%E3%82%B3%E3%82%A6%E3%82%AC</x:v>
      </x:c>
    </x:row>
    <x:row r="15">
      <x:c r="A15" s="12" t="str">
        <x:v>ゲッコウガ</x:v>
      </x:c>
      <x:c r="B15" s="12" t="str">
        <x:v>アタック型</x:v>
      </x:c>
      <x:c r="C15" s="12" t="str">
        <x:v>なみのり＋えんまく</x:v>
      </x:c>
      <x:c r="D15" s="12" t="str">
        <x:v>Assassin</x:v>
      </x:c>
      <x:c r="E15" s="12" t="str">
        <x:v>Assassin</x:v>
      </x:c>
      <x:c r="F15" s="12" t="str"/>
      <x:c r="G15" s="12" t="str">
        <x:v>確殺・リセット・スティール</x:v>
      </x:c>
      <x:c r="H15" s="12" t="str">
        <x:v>高</x:v>
      </x:c>
      <x:c r="I15" s="12" t="str">
        <x:v>https://wikiwiki.jp/poke-unite/%E3%82%B2%E3%83%83%E3%82%B3%E3%82%A6%E3%82%AC</x:v>
      </x:c>
    </x:row>
    <x:row r="16">
      <x:c r="A16" s="12" t="str">
        <x:v>ジュナイパー</x:v>
      </x:c>
      <x:c r="B16" s="12" t="str">
        <x:v>アタック型</x:v>
      </x:c>
      <x:c r="C16" s="12" t="str">
        <x:v>かげぬい＋かげうち</x:v>
      </x:c>
      <x:c r="D16" s="12" t="str">
        <x:v>Sniper</x:v>
      </x:c>
      <x:c r="E16" s="12" t="str">
        <x:v>Artillery</x:v>
      </x:c>
      <x:c r="F16" s="12" t="str"/>
      <x:c r="G16" s="12" t="str">
        <x:v>長射程スナイプ</x:v>
      </x:c>
      <x:c r="H16" s="12" t="str">
        <x:v>高</x:v>
      </x:c>
      <x:c r="I16" s="12" t="str">
        <x:v>https://wikiwiki.jp/poke-unite/%E3%82%B8%E3%83%A5%E3%83%8A%E3%82%A4%E3%83%91%E3%83%BC</x:v>
      </x:c>
    </x:row>
    <x:row r="17">
      <x:c r="A17" s="12" t="str">
        <x:v>ジュナイパー</x:v>
      </x:c>
      <x:c r="B17" s="12" t="str">
        <x:v>アタック型</x:v>
      </x:c>
      <x:c r="C17" s="12" t="str">
        <x:v>はっぱカッター＋リーフストーム</x:v>
      </x:c>
      <x:c r="D17" s="12" t="str">
        <x:v>Marksman</x:v>
      </x:c>
      <x:c r="E17" s="12" t="str">
        <x:v>Marksman</x:v>
      </x:c>
      <x:c r="F17" s="12" t="str"/>
      <x:c r="G17" s="12" t="str">
        <x:v>AA継続火力・前衛処理</x:v>
      </x:c>
      <x:c r="H17" s="12" t="str">
        <x:v>高</x:v>
      </x:c>
      <x:c r="I17" s="12" t="str">
        <x:v>https://wikiwiki.jp/poke-unite/%E3%82%B8%E3%83%A5%E3%83%8A%E3%82%A4%E3%83%91%E3%83%BC</x:v>
      </x:c>
    </x:row>
    <x:row r="18">
      <x:c r="A18" s="12" t="str">
        <x:v>ジュラルドン</x:v>
      </x:c>
      <x:c r="B18" s="12" t="str">
        <x:v>アタック型</x:v>
      </x:c>
      <x:c r="C18" s="12" t="str">
        <x:v>ラスターカノン＋ドラゴンテール</x:v>
      </x:c>
      <x:c r="D18" s="12" t="str">
        <x:v>Siege Marksman</x:v>
      </x:c>
      <x:c r="E18" s="12" t="str">
        <x:v>Marksman</x:v>
      </x:c>
      <x:c r="F18" s="12" t="str">
        <x:v>Artillery</x:v>
      </x:c>
      <x:c r="G18" s="12" t="str">
        <x:v>固定砲台・長射程制圧</x:v>
      </x:c>
      <x:c r="H18" s="12" t="str">
        <x:v>高</x:v>
      </x:c>
      <x:c r="I18" s="12" t="str">
        <x:v>https://wikiwiki.jp/poke-unite/%E3%82%B8%E3%83%A5%E3%83%A9%E3%83%AB%E3%83%89%E3%83%B3</x:v>
      </x:c>
    </x:row>
    <x:row r="19">
      <x:c r="A19" s="12" t="str">
        <x:v>ジュラルドン</x:v>
      </x:c>
      <x:c r="B19" s="12" t="str">
        <x:v>アタック型</x:v>
      </x:c>
      <x:c r="C19" s="12" t="str">
        <x:v>りゅうのはどう＋ステルスロック</x:v>
      </x:c>
      <x:c r="D19" s="12" t="str">
        <x:v>Burst Marksman</x:v>
      </x:c>
      <x:c r="E19" s="12" t="str">
        <x:v>BattleMage</x:v>
      </x:c>
      <x:c r="F19" s="12" t="str">
        <x:v>Marksman</x:v>
      </x:c>
      <x:c r="G19" s="12" t="str">
        <x:v>マーク蓄積から瞬間火力</x:v>
      </x:c>
      <x:c r="H19" s="12" t="str">
        <x:v>高</x:v>
      </x:c>
      <x:c r="I19" s="12" t="str">
        <x:v>https://wikiwiki.jp/poke-unite/%E3%82%B8%E3%83%A5%E3%83%A9%E3%83%AB%E3%83%89%E3%83%B3</x:v>
      </x:c>
    </x:row>
    <x:row r="20">
      <x:c r="A20" s="12" t="str">
        <x:v>ドラパルト</x:v>
      </x:c>
      <x:c r="B20" s="12" t="str">
        <x:v>アタック型</x:v>
      </x:c>
      <x:c r="C20" s="12" t="str">
        <x:v>りゅうのいぶき＋りゅうのまい</x:v>
      </x:c>
      <x:c r="D20" s="12" t="str">
        <x:v>Mobile Marksman</x:v>
      </x:c>
      <x:c r="E20" s="12" t="str">
        <x:v>Marksman</x:v>
      </x:c>
      <x:c r="F20" s="12" t="str">
        <x:v>Diver</x:v>
      </x:c>
      <x:c r="G20" s="12" t="str">
        <x:v>旋回しながらDPS・連続KO</x:v>
      </x:c>
      <x:c r="H20" s="12" t="str">
        <x:v>高</x:v>
      </x:c>
      <x:c r="I20" s="12" t="str">
        <x:v>https://wikiwiki.jp/poke-unite/%E3%83%89%E3%83%A9%E3%83%91%E3%83%AB%E3%83%88</x:v>
      </x:c>
    </x:row>
    <x:row r="21">
      <x:c r="A21" s="12" t="str">
        <x:v>ドラパルト</x:v>
      </x:c>
      <x:c r="B21" s="12" t="str">
        <x:v>アタック型</x:v>
      </x:c>
      <x:c r="C21" s="12" t="str">
        <x:v>シャドーボール＋ゴーストダイブ</x:v>
      </x:c>
      <x:c r="D21" s="12" t="str">
        <x:v>Stealth Marksman</x:v>
      </x:c>
      <x:c r="E21" s="12" t="str">
        <x:v>Assassin</x:v>
      </x:c>
      <x:c r="F21" s="12" t="str">
        <x:v>Marksman</x:v>
      </x:c>
      <x:c r="G21" s="12" t="str">
        <x:v>ステルス奇襲・ピック</x:v>
      </x:c>
      <x:c r="H21" s="12" t="str">
        <x:v>高</x:v>
      </x:c>
      <x:c r="I21" s="12" t="str">
        <x:v>https://wikiwiki.jp/poke-unite/%E3%83%89%E3%83%A9%E3%83%91%E3%83%AB%E3%83%88</x:v>
      </x:c>
    </x:row>
    <x:row r="22">
      <x:c r="A22" s="12" t="str">
        <x:v>ニンフィア</x:v>
      </x:c>
      <x:c r="B22" s="12" t="str">
        <x:v>アタック型</x:v>
      </x:c>
      <x:c r="C22" s="12" t="str">
        <x:v>ハイパーボイス＋めいそう</x:v>
      </x:c>
      <x:c r="D22" s="12" t="str">
        <x:v>Kiting Mage</x:v>
      </x:c>
      <x:c r="E22" s="12" t="str">
        <x:v>BattleMage</x:v>
      </x:c>
      <x:c r="F22" s="12" t="str"/>
      <x:c r="G22" s="12" t="str">
        <x:v>間合い維持・方向管理</x:v>
      </x:c>
      <x:c r="H22" s="12" t="str">
        <x:v>高</x:v>
      </x:c>
      <x:c r="I22" s="12" t="str">
        <x:v>https://wikiwiki.jp/poke-unite/%E3%83%8B%E3%83%B3%E3%83%95%E3%82%A3%E3%82%A2</x:v>
      </x:c>
    </x:row>
    <x:row r="23">
      <x:c r="A23" s="12" t="str">
        <x:v>ニンフィア</x:v>
      </x:c>
      <x:c r="B23" s="12" t="str">
        <x:v>アタック型</x:v>
      </x:c>
      <x:c r="C23" s="12" t="str">
        <x:v>マジカルフレイム＋ドレインキッス</x:v>
      </x:c>
      <x:c r="D23" s="12" t="str">
        <x:v>Drain Battlemage</x:v>
      </x:c>
      <x:c r="E23" s="12" t="str">
        <x:v>BattleMage</x:v>
      </x:c>
      <x:c r="F23" s="12" t="str">
        <x:v>Skirmisher</x:v>
      </x:c>
      <x:c r="G23" s="12" t="str">
        <x:v>近中距離サステイン</x:v>
      </x:c>
      <x:c r="H23" s="12" t="str">
        <x:v>高</x:v>
      </x:c>
      <x:c r="I23" s="12" t="str">
        <x:v>https://wikiwiki.jp/poke-unite/%E3%83%8B%E3%83%B3%E3%83%95%E3%82%A3%E3%82%A2</x:v>
      </x:c>
    </x:row>
    <x:row r="24">
      <x:c r="A24" s="12" t="str">
        <x:v>ピカチュウ</x:v>
      </x:c>
      <x:c r="B24" s="12" t="str">
        <x:v>アタック型</x:v>
      </x:c>
      <x:c r="C24" s="12" t="str">
        <x:v>エレキボール＋ボルテッカー</x:v>
      </x:c>
      <x:c r="D24" s="12" t="str">
        <x:v>Pick Mage</x:v>
      </x:c>
      <x:c r="E24" s="12" t="str">
        <x:v>BurstMage</x:v>
      </x:c>
      <x:c r="F24" s="12" t="str">
        <x:v>Catcher</x:v>
      </x:c>
      <x:c r="G24" s="12" t="str">
        <x:v>必中拘束から確殺補助</x:v>
      </x:c>
      <x:c r="H24" s="12" t="str">
        <x:v>高</x:v>
      </x:c>
      <x:c r="I24" s="12" t="str">
        <x:v>https://wikiwiki.jp/poke-unite/%E3%83%94%E3%82%AB%E3%83%81%E3%83%A5%E3%82%A6</x:v>
      </x:c>
    </x:row>
    <x:row r="25">
      <x:c r="A25" s="12" t="str">
        <x:v>ピカチュウ</x:v>
      </x:c>
      <x:c r="B25" s="12" t="str">
        <x:v>アタック型</x:v>
      </x:c>
      <x:c r="C25" s="12" t="str">
        <x:v>かみなり＋10まんボルト</x:v>
      </x:c>
      <x:c r="D25" s="12" t="str">
        <x:v>Artillery Mage</x:v>
      </x:c>
      <x:c r="E25" s="12" t="str">
        <x:v>Artillery</x:v>
      </x:c>
      <x:c r="F25" s="12" t="str">
        <x:v>BurstMage</x:v>
      </x:c>
      <x:c r="G25" s="12" t="str">
        <x:v>遠距離範囲制圧</x:v>
      </x:c>
      <x:c r="H25" s="12" t="str">
        <x:v>高</x:v>
      </x:c>
      <x:c r="I25" s="12" t="str">
        <x:v>https://wikiwiki.jp/poke-unite/%E3%83%94%E3%82%AB%E3%83%81%E3%83%A5%E3%82%A6</x:v>
      </x:c>
    </x:row>
    <x:row r="26">
      <x:c r="A26" s="12" t="str">
        <x:v>フシギバナ</x:v>
      </x:c>
      <x:c r="B26" s="12" t="str">
        <x:v>アタック型</x:v>
      </x:c>
      <x:c r="C26" s="12" t="str">
        <x:v>ヘドロばくだん＋ソーラービーム</x:v>
      </x:c>
      <x:c r="D26" s="12" t="str">
        <x:v>Artillery</x:v>
      </x:c>
      <x:c r="E26" s="12" t="str">
        <x:v>Artillery</x:v>
      </x:c>
      <x:c r="F26" s="12" t="str"/>
      <x:c r="G26" s="12" t="str">
        <x:v>後衛・長射程・スティール</x:v>
      </x:c>
      <x:c r="H26" s="12" t="str">
        <x:v>高</x:v>
      </x:c>
      <x:c r="I26" s="12" t="str">
        <x:v>https://wikiwiki.jp/poke-unite/%E3%83%95%E3%82%B7%E3%82%AE%E3%83%90%E3%83%8A</x:v>
      </x:c>
    </x:row>
    <x:row r="27">
      <x:c r="A27" s="12" t="str">
        <x:v>フシギバナ</x:v>
      </x:c>
      <x:c r="B27" s="12" t="str">
        <x:v>アタック型</x:v>
      </x:c>
      <x:c r="C27" s="12" t="str">
        <x:v>ギガドレイン＋はなびらのまい</x:v>
      </x:c>
      <x:c r="D27" s="12" t="str">
        <x:v>Juggernaut Mage</x:v>
      </x:c>
      <x:c r="E27" s="12" t="str">
        <x:v>Juggernaut</x:v>
      </x:c>
      <x:c r="F27" s="12" t="str">
        <x:v>BattleMage</x:v>
      </x:c>
      <x:c r="G27" s="12" t="str">
        <x:v>前衛・回復・継続戦</x:v>
      </x:c>
      <x:c r="H27" s="12" t="str">
        <x:v>高</x:v>
      </x:c>
      <x:c r="I27" s="12" t="str">
        <x:v>https://wikiwiki.jp/poke-unite/%E3%83%95%E3%82%B7%E3%82%AE%E3%83%90%E3%83%8A</x:v>
      </x:c>
    </x:row>
    <x:row r="28">
      <x:c r="A28" s="12" t="str">
        <x:v>マフォクシー</x:v>
      </x:c>
      <x:c r="B28" s="12" t="str">
        <x:v>アタック型</x:v>
      </x:c>
      <x:c r="C28" s="12" t="str">
        <x:v>だいもんじ＋ほのおのうず</x:v>
      </x:c>
      <x:c r="D28" s="12" t="str">
        <x:v>Control Burst Mage</x:v>
      </x:c>
      <x:c r="E28" s="12" t="str">
        <x:v>BurstMage</x:v>
      </x:c>
      <x:c r="F28" s="12" t="str"/>
      <x:c r="G28" s="12" t="str">
        <x:v>追尾CCから範囲バースト</x:v>
      </x:c>
      <x:c r="H28" s="12" t="str">
        <x:v>高</x:v>
      </x:c>
      <x:c r="I28" s="12" t="str">
        <x:v>https://wikiwiki.jp/poke-unite/%E3%83%9E%E3%83%95%E3%82%A9%E3%82%AF%E3%82%B7%E3%83%BC</x:v>
      </x:c>
    </x:row>
    <x:row r="29">
      <x:c r="A29" s="12" t="str">
        <x:v>マフォクシー</x:v>
      </x:c>
      <x:c r="B29" s="12" t="str">
        <x:v>アタック型</x:v>
      </x:c>
      <x:c r="C29" s="12" t="str">
        <x:v>マジカルフレイム＋ニトロチャージ</x:v>
      </x:c>
      <x:c r="D29" s="12" t="str">
        <x:v>Mobile Battlemage</x:v>
      </x:c>
      <x:c r="E29" s="12" t="str">
        <x:v>BattleMage</x:v>
      </x:c>
      <x:c r="F29" s="12" t="str"/>
      <x:c r="G29" s="12" t="str">
        <x:v>ムーブで避けながら連射</x:v>
      </x:c>
      <x:c r="H29" s="12" t="str">
        <x:v>高</x:v>
      </x:c>
      <x:c r="I29" s="12" t="str">
        <x:v>https://wikiwiki.jp/poke-unite/%E3%83%9E%E3%83%95%E3%82%A9%E3%82%AF%E3%82%B7%E3%83%BC</x:v>
      </x:c>
    </x:row>
    <x:row r="30">
      <x:c r="A30" s="12" t="str">
        <x:v>ミライドン</x:v>
      </x:c>
      <x:c r="B30" s="12" t="str">
        <x:v>アタック型</x:v>
      </x:c>
      <x:c r="C30" s="12" t="str">
        <x:v>チャージビーム＋かみなり</x:v>
      </x:c>
      <x:c r="D30" s="12" t="str">
        <x:v>Artillery Mage</x:v>
      </x:c>
      <x:c r="E30" s="12" t="str">
        <x:v>Artillery</x:v>
      </x:c>
      <x:c r="F30" s="12" t="str"/>
      <x:c r="G30" s="12" t="str">
        <x:v>長射程ハラス・索敵</x:v>
      </x:c>
      <x:c r="H30" s="12" t="str">
        <x:v>高</x:v>
      </x:c>
      <x:c r="I30" s="12" t="str">
        <x:v>https://wikiwiki.jp/poke-unite/%E3%83%9F%E3%83%A9%E3%82%A4%E3%83%89%E3%83%B3</x:v>
      </x:c>
    </x:row>
    <x:row r="31">
      <x:c r="A31" s="12" t="str">
        <x:v>ミライドン</x:v>
      </x:c>
      <x:c r="B31" s="12" t="str">
        <x:v>アタック型</x:v>
      </x:c>
      <x:c r="C31" s="12" t="str">
        <x:v>イナズマドライブ＋パラボラチャージ</x:v>
      </x:c>
      <x:c r="D31" s="12" t="str">
        <x:v>Dive Skirmisher</x:v>
      </x:c>
      <x:c r="E31" s="12" t="str">
        <x:v>Skirmisher</x:v>
      </x:c>
      <x:c r="F31" s="12" t="str">
        <x:v>Assassin</x:v>
      </x:c>
      <x:c r="G31" s="12" t="str">
        <x:v>スピード型寄りの突入・回復</x:v>
      </x:c>
      <x:c r="H31" s="12" t="str">
        <x:v>高</x:v>
      </x:c>
      <x:c r="I31" s="12" t="str">
        <x:v>https://wikiwiki.jp/poke-unite/%E3%83%9F%E3%83%A9%E3%82%A4%E3%83%89%E3%83%B3</x:v>
      </x:c>
    </x:row>
    <x:row r="32">
      <x:c r="A32" s="12" t="str">
        <x:v>アマージョ</x:v>
      </x:c>
      <x:c r="B32" s="12" t="str">
        <x:v>バランス型</x:v>
      </x:c>
      <x:c r="C32" s="12" t="str">
        <x:v>ふみつけ＋トロピカルキック</x:v>
      </x:c>
      <x:c r="D32" s="12" t="str">
        <x:v>Burst Skirmisher</x:v>
      </x:c>
      <x:c r="E32" s="12" t="str">
        <x:v>Skirmisher</x:v>
      </x:c>
      <x:c r="F32" s="12" t="str"/>
      <x:c r="G32" s="12" t="str">
        <x:v>瞬間火力と短い交換を重視</x:v>
      </x:c>
      <x:c r="H32" s="12" t="str">
        <x:v>高</x:v>
      </x:c>
      <x:c r="I32" s="12" t="str">
        <x:v>https://wikiwiki.jp/poke-unite/%E3%82%A2%E3%83%9E%E3%83%BC%E3%82%B8%E3%83%A7</x:v>
      </x:c>
    </x:row>
    <x:row r="33">
      <x:c r="A33" s="12" t="str">
        <x:v>アマージョ</x:v>
      </x:c>
      <x:c r="B33" s="12" t="str">
        <x:v>バランス型</x:v>
      </x:c>
      <x:c r="C33" s="12" t="str">
        <x:v>トリプルアクセル＋グラススライダー</x:v>
      </x:c>
      <x:c r="D33" s="12" t="str">
        <x:v>Sustain Skirmisher</x:v>
      </x:c>
      <x:c r="E33" s="12" t="str">
        <x:v>Skirmisher</x:v>
      </x:c>
      <x:c r="F33" s="12" t="str"/>
      <x:c r="G33" s="12" t="str">
        <x:v>手数・継戦・張り付き重視</x:v>
      </x:c>
      <x:c r="H33" s="12" t="str">
        <x:v>高</x:v>
      </x:c>
      <x:c r="I33" s="12" t="str">
        <x:v>https://wikiwiki.jp/poke-unite/%E3%82%A2%E3%83%9E%E3%83%BC%E3%82%B8%E3%83%A7</x:v>
      </x:c>
    </x:row>
    <x:row r="34">
      <x:c r="A34" s="12" t="str">
        <x:v>ウーラオス</x:v>
      </x:c>
      <x:c r="B34" s="12" t="str">
        <x:v>バランス型</x:v>
      </x:c>
      <x:c r="C34" s="12" t="str">
        <x:v>あんこくきょうだ＋じごくづき</x:v>
      </x:c>
      <x:c r="D34" s="12" t="str">
        <x:v>Single-Strike Diver</x:v>
      </x:c>
      <x:c r="E34" s="12" t="str">
        <x:v>Diver</x:v>
      </x:c>
      <x:c r="F34" s="12" t="str">
        <x:v>Assassin</x:v>
      </x:c>
      <x:c r="G34" s="12" t="str">
        <x:v>溜め一撃・確殺</x:v>
      </x:c>
      <x:c r="H34" s="12" t="str">
        <x:v>高</x:v>
      </x:c>
      <x:c r="I34" s="12" t="str">
        <x:v>https://wikiwiki.jp/poke-unite/%E3%82%A6%E3%83%BC%E3%83%A9%E3%82%AA%E3%82%B9</x:v>
      </x:c>
    </x:row>
    <x:row r="35">
      <x:c r="A35" s="12" t="str">
        <x:v>ウーラオス</x:v>
      </x:c>
      <x:c r="B35" s="12" t="str">
        <x:v>バランス型</x:v>
      </x:c>
      <x:c r="C35" s="12" t="str">
        <x:v>すいりゅうれんだ＋アクアブレイク</x:v>
      </x:c>
      <x:c r="D35" s="12" t="str">
        <x:v>Rapid-Strike Skirmisher</x:v>
      </x:c>
      <x:c r="E35" s="12" t="str">
        <x:v>Skirmisher</x:v>
      </x:c>
      <x:c r="F35" s="12" t="str">
        <x:v>Diver</x:v>
      </x:c>
      <x:c r="G35" s="12" t="str">
        <x:v>連撃・継戦・追撃</x:v>
      </x:c>
      <x:c r="H35" s="12" t="str">
        <x:v>高</x:v>
      </x:c>
      <x:c r="I35" s="12" t="str">
        <x:v>https://wikiwiki.jp/poke-unite/%E3%82%A6%E3%83%BC%E3%83%A9%E3%82%AA%E3%82%B9</x:v>
      </x:c>
    </x:row>
    <x:row r="36">
      <x:c r="A36" s="12" t="str">
        <x:v>カイリュー</x:v>
      </x:c>
      <x:c r="B36" s="12" t="str">
        <x:v>バランス型</x:v>
      </x:c>
      <x:c r="C36" s="12" t="str">
        <x:v>りゅうのまい＋はかいこうせん</x:v>
      </x:c>
      <x:c r="D36" s="12" t="str">
        <x:v>Objective Marksman</x:v>
      </x:c>
      <x:c r="E36" s="12" t="str">
        <x:v>Marksman</x:v>
      </x:c>
      <x:c r="F36" s="12" t="str"/>
      <x:c r="G36" s="12" t="str">
        <x:v>遠隔DPSとオブジェクト確保</x:v>
      </x:c>
      <x:c r="H36" s="12" t="str">
        <x:v>高</x:v>
      </x:c>
      <x:c r="I36" s="12" t="str">
        <x:v>https://wikiwiki.jp/poke-unite/%E3%82%AB%E3%82%A4%E3%83%AA%E3%83%A5%E3%83%BC</x:v>
      </x:c>
    </x:row>
    <x:row r="37">
      <x:c r="A37" s="12" t="str">
        <x:v>カイリュー</x:v>
      </x:c>
      <x:c r="B37" s="12" t="str">
        <x:v>バランス型</x:v>
      </x:c>
      <x:c r="C37" s="12" t="str">
        <x:v>しんそく＋げきりん</x:v>
      </x:c>
      <x:c r="D37" s="12" t="str">
        <x:v>Melee Juggernaut</x:v>
      </x:c>
      <x:c r="E37" s="12" t="str">
        <x:v>Juggernaut</x:v>
      </x:c>
      <x:c r="F37" s="12" t="str">
        <x:v>Diver</x:v>
      </x:c>
      <x:c r="G37" s="12" t="str">
        <x:v>近接乱戦・殴り合い</x:v>
      </x:c>
      <x:c r="H37" s="12" t="str">
        <x:v>高</x:v>
      </x:c>
      <x:c r="I37" s="12" t="str">
        <x:v>https://wikiwiki.jp/poke-unite/%E3%82%AB%E3%82%A4%E3%83%AA%E3%83%A5%E3%83%BC</x:v>
      </x:c>
    </x:row>
    <x:row r="38">
      <x:c r="A38" s="12" t="str">
        <x:v>タイレーツ</x:v>
      </x:c>
      <x:c r="B38" s="12" t="str">
        <x:v>バランス型</x:v>
      </x:c>
      <x:c r="C38" s="12" t="str">
        <x:v>メガホーン＋はいすいのじん</x:v>
      </x:c>
      <x:c r="D38" s="12" t="str">
        <x:v>Formation Juggernaut</x:v>
      </x:c>
      <x:c r="E38" s="12" t="str">
        <x:v>Juggernaut</x:v>
      </x:c>
      <x:c r="F38" s="12" t="str"/>
      <x:c r="G38" s="12" t="str">
        <x:v>正面から押す重装型</x:v>
      </x:c>
      <x:c r="H38" s="12" t="str">
        <x:v>高</x:v>
      </x:c>
      <x:c r="I38" s="12" t="str">
        <x:v>https://wikiwiki.jp/poke-unite/%E3%82%BF%E3%82%A4%E3%83%AC%E3%83%BC%E3%83%84</x:v>
      </x:c>
    </x:row>
    <x:row r="39">
      <x:c r="A39" s="12" t="str">
        <x:v>タイレーツ</x:v>
      </x:c>
      <x:c r="B39" s="12" t="str">
        <x:v>バランス型</x:v>
      </x:c>
      <x:c r="C39" s="12" t="str">
        <x:v>アイアンヘッド＋ふくろだたき</x:v>
      </x:c>
      <x:c r="D39" s="12" t="str">
        <x:v>Mobile Diver</x:v>
      </x:c>
      <x:c r="E39" s="12" t="str">
        <x:v>Diver</x:v>
      </x:c>
      <x:c r="F39" s="12" t="str">
        <x:v>Skirmisher</x:v>
      </x:c>
      <x:c r="G39" s="12" t="str">
        <x:v>散開・機動・追撃</x:v>
      </x:c>
      <x:c r="H39" s="12" t="str">
        <x:v>高</x:v>
      </x:c>
      <x:c r="I39" s="12" t="str">
        <x:v>https://wikiwiki.jp/poke-unite/%E3%82%BF%E3%82%A4%E3%83%AC%E3%83%BC%E3%83%84</x:v>
      </x:c>
    </x:row>
    <x:row r="40">
      <x:c r="A40" s="12" t="str">
        <x:v>ハッサム</x:v>
      </x:c>
      <x:c r="B40" s="12" t="str">
        <x:v>バランス型</x:v>
      </x:c>
      <x:c r="C40" s="12" t="str">
        <x:v>ダブルウイング＋ダブルアタック（ストライク）</x:v>
      </x:c>
      <x:c r="D40" s="12" t="str">
        <x:v>Assassin</x:v>
      </x:c>
      <x:c r="E40" s="12" t="str">
        <x:v>Assassin</x:v>
      </x:c>
      <x:c r="F40" s="12" t="str"/>
      <x:c r="G40" s="12" t="str">
        <x:v>高速一撃離脱・ストライク維持</x:v>
      </x:c>
      <x:c r="H40" s="12" t="str">
        <x:v>高</x:v>
      </x:c>
      <x:c r="I40" s="12" t="str">
        <x:v>https://wikiwiki.jp/poke-unite/%E3%83%8F%E3%83%83%E3%82%B5%E3%83%A0</x:v>
      </x:c>
    </x:row>
    <x:row r="41">
      <x:c r="A41" s="12" t="str">
        <x:v>ハッサム</x:v>
      </x:c>
      <x:c r="B41" s="12" t="str">
        <x:v>バランス型</x:v>
      </x:c>
      <x:c r="C41" s="12" t="str">
        <x:v>バレットパンチ＋つるぎのまい（ハッサム）</x:v>
      </x:c>
      <x:c r="D41" s="12" t="str">
        <x:v>Skirmisher</x:v>
      </x:c>
      <x:c r="E41" s="12" t="str">
        <x:v>Skirmisher</x:v>
      </x:c>
      <x:c r="F41" s="12" t="str">
        <x:v>Juggernaut</x:v>
      </x:c>
      <x:c r="G41" s="12" t="str">
        <x:v>回復・継戦・ハッサム進化</x:v>
      </x:c>
      <x:c r="H41" s="12" t="str">
        <x:v>高</x:v>
      </x:c>
      <x:c r="I41" s="12" t="str">
        <x:v>https://wikiwiki.jp/poke-unite/%E3%83%8F%E3%83%83%E3%82%B5%E3%83%A0</x:v>
      </x:c>
    </x:row>
    <x:row r="42">
      <x:c r="A42" s="12" t="str">
        <x:v>ミミッキュ</x:v>
      </x:c>
      <x:c r="B42" s="12" t="str">
        <x:v>バランス型</x:v>
      </x:c>
      <x:c r="C42" s="12" t="str">
        <x:v>じゃれつく＋かげうち</x:v>
      </x:c>
      <x:c r="D42" s="12" t="str">
        <x:v>Assassin</x:v>
      </x:c>
      <x:c r="E42" s="12" t="str">
        <x:v>Assassin</x:v>
      </x:c>
      <x:c r="F42" s="12" t="str"/>
      <x:c r="G42" s="12" t="str">
        <x:v>無敵を使う単体暗殺</x:v>
      </x:c>
      <x:c r="H42" s="12" t="str">
        <x:v>高</x:v>
      </x:c>
      <x:c r="I42" s="12" t="str">
        <x:v>https://wikiwiki.jp/poke-unite/%E3%83%9F%E3%83%9F%E3%83%83%E3%82%AD%E3%83%A5</x:v>
      </x:c>
    </x:row>
    <x:row r="43">
      <x:c r="A43" s="12" t="str">
        <x:v>ミミッキュ</x:v>
      </x:c>
      <x:c r="B43" s="12" t="str">
        <x:v>バランス型</x:v>
      </x:c>
      <x:c r="C43" s="12" t="str">
        <x:v>シャドークロー＋トリックルーム</x:v>
      </x:c>
      <x:c r="D43" s="12" t="str">
        <x:v>Skirmisher</x:v>
      </x:c>
      <x:c r="E43" s="12" t="str">
        <x:v>Skirmisher</x:v>
      </x:c>
      <x:c r="F43" s="12" t="str"/>
      <x:c r="G43" s="12" t="str">
        <x:v>高回転の継続戦</x:v>
      </x:c>
      <x:c r="H43" s="12" t="str">
        <x:v>高</x:v>
      </x:c>
      <x:c r="I43" s="12" t="str">
        <x:v>https://wikiwiki.jp/poke-unite/%E3%83%9F%E3%83%9F%E3%83%83%E3%82%AD%E3%83%A5</x:v>
      </x:c>
    </x:row>
    <x:row r="44">
      <x:c r="A44" s="12" t="str">
        <x:v>リザードン</x:v>
      </x:c>
      <x:c r="B44" s="12" t="str">
        <x:v>バランス型</x:v>
      </x:c>
      <x:c r="C44" s="12" t="str">
        <x:v>かえんほうしゃ＋だいもんじ</x:v>
      </x:c>
      <x:c r="D44" s="12" t="str">
        <x:v>Kiting Fighter</x:v>
      </x:c>
      <x:c r="E44" s="12" t="str">
        <x:v>BattleMage</x:v>
      </x:c>
      <x:c r="F44" s="12" t="str">
        <x:v>Marksman</x:v>
      </x:c>
      <x:c r="G44" s="12" t="str">
        <x:v>中遠距離カイト</x:v>
      </x:c>
      <x:c r="H44" s="12" t="str">
        <x:v>高</x:v>
      </x:c>
      <x:c r="I44" s="12" t="str">
        <x:v>https://wikiwiki.jp/poke-unite/%E3%83%AA%E3%82%B6%E3%83%BC%E3%83%89%E3%83%B3</x:v>
      </x:c>
    </x:row>
    <x:row r="45">
      <x:c r="A45" s="12" t="str">
        <x:v>リザードン</x:v>
      </x:c>
      <x:c r="B45" s="12" t="str">
        <x:v>バランス型</x:v>
      </x:c>
      <x:c r="C45" s="12" t="str">
        <x:v>ほのおのパンチ＋フレアドライブ</x:v>
      </x:c>
      <x:c r="D45" s="12" t="str">
        <x:v>Dive Fighter</x:v>
      </x:c>
      <x:c r="E45" s="12" t="str">
        <x:v>Diver</x:v>
      </x:c>
      <x:c r="F45" s="12" t="str">
        <x:v>Skirmisher</x:v>
      </x:c>
      <x:c r="G45" s="12" t="str">
        <x:v>近接ダイブ・張り付き</x:v>
      </x:c>
      <x:c r="H45" s="12" t="str">
        <x:v>高</x:v>
      </x:c>
      <x:c r="I45" s="12" t="str">
        <x:v>https://wikiwiki.jp/poke-unite/%E3%83%AA%E3%82%B6%E3%83%BC%E3%83%89%E3%83%B3</x:v>
      </x:c>
    </x:row>
    <x:row r="46">
      <x:c r="A46" s="12" t="str">
        <x:v>ルカリオ</x:v>
      </x:c>
      <x:c r="B46" s="12" t="str">
        <x:v>バランス型</x:v>
      </x:c>
      <x:c r="C46" s="12" t="str">
        <x:v>しんそく＋ボーンラッシュ</x:v>
      </x:c>
      <x:c r="D46" s="12" t="str">
        <x:v>Mobility Assassin</x:v>
      </x:c>
      <x:c r="E46" s="12" t="str">
        <x:v>Assassin</x:v>
      </x:c>
      <x:c r="F46" s="12" t="str">
        <x:v>Skirmisher</x:v>
      </x:c>
      <x:c r="G46" s="12" t="str">
        <x:v>多人数マーカー管理・連続ブリンク</x:v>
      </x:c>
      <x:c r="H46" s="12" t="str">
        <x:v>高</x:v>
      </x:c>
      <x:c r="I46" s="12" t="str">
        <x:v>https://wikiwiki.jp/poke-unite/%E3%83%AB%E3%82%AB%E3%83%AA%E3%82%AA</x:v>
      </x:c>
    </x:row>
    <x:row r="47">
      <x:c r="A47" s="12" t="str">
        <x:v>ルカリオ</x:v>
      </x:c>
      <x:c r="B47" s="12" t="str">
        <x:v>バランス型</x:v>
      </x:c>
      <x:c r="C47" s="12" t="str">
        <x:v>グロウパンチ＋インファイト</x:v>
      </x:c>
      <x:c r="D47" s="12" t="str">
        <x:v>Burst Fighter</x:v>
      </x:c>
      <x:c r="E47" s="12" t="str">
        <x:v>Diver</x:v>
      </x:c>
      <x:c r="F47" s="12" t="str">
        <x:v>Skirmisher</x:v>
      </x:c>
      <x:c r="G47" s="12" t="str">
        <x:v>単発火力・確保・メレー</x:v>
      </x:c>
      <x:c r="H47" s="12" t="str">
        <x:v>高</x:v>
      </x:c>
      <x:c r="I47" s="12" t="str">
        <x:v>https://wikiwiki.jp/poke-unite/%E3%83%AB%E3%82%AB%E3%83%AA%E3%82%AA</x:v>
      </x:c>
    </x:row>
    <x:row r="48">
      <x:c r="A48" s="12" t="str">
        <x:v>ゲンガー</x:v>
      </x:c>
      <x:c r="B48" s="12" t="str">
        <x:v>スピード型</x:v>
      </x:c>
      <x:c r="C48" s="12" t="str">
        <x:v>ヘドロばくだん＋たたりめ</x:v>
      </x:c>
      <x:c r="D48" s="12" t="str">
        <x:v>Reset Assassin</x:v>
      </x:c>
      <x:c r="E48" s="12" t="str">
        <x:v>Assassin</x:v>
      </x:c>
      <x:c r="F48" s="12" t="str">
        <x:v>Skirmisher</x:v>
      </x:c>
      <x:c r="G48" s="12" t="str">
        <x:v>連続ブリンク・リセット</x:v>
      </x:c>
      <x:c r="H48" s="12" t="str">
        <x:v>高</x:v>
      </x:c>
      <x:c r="I48" s="12" t="str">
        <x:v>https://wikiwiki.jp/poke-unite/%E3%82%B2%E3%83%B3%E3%82%AC%E3%83%BC</x:v>
      </x:c>
    </x:row>
    <x:row r="49">
      <x:c r="A49" s="12" t="str">
        <x:v>ゲンガー</x:v>
      </x:c>
      <x:c r="B49" s="12" t="str">
        <x:v>スピード型</x:v>
      </x:c>
      <x:c r="C49" s="12" t="str">
        <x:v>シャドーボール＋ゆめくい</x:v>
      </x:c>
      <x:c r="D49" s="12" t="str">
        <x:v>Pick Assassin</x:v>
      </x:c>
      <x:c r="E49" s="12" t="str">
        <x:v>Assassin</x:v>
      </x:c>
      <x:c r="F49" s="12" t="str"/>
      <x:c r="G49" s="12" t="str">
        <x:v>単体ピック・ワンコン</x:v>
      </x:c>
      <x:c r="H49" s="12" t="str">
        <x:v>高</x:v>
      </x:c>
      <x:c r="I49" s="12" t="str">
        <x:v>https://wikiwiki.jp/poke-unite/%E3%82%B2%E3%83%B3%E3%82%AC%E3%83%BC</x:v>
      </x:c>
    </x:row>
    <x:row r="50">
      <x:c r="A50" s="12" t="str">
        <x:v>ゼラオラ</x:v>
      </x:c>
      <x:c r="B50" s="12" t="str">
        <x:v>スピード型</x:v>
      </x:c>
      <x:c r="C50" s="12" t="str">
        <x:v>ボルトチェンジ＋ほうでん</x:v>
      </x:c>
      <x:c r="D50" s="12" t="str">
        <x:v>Skirmisher</x:v>
      </x:c>
      <x:c r="E50" s="12" t="str">
        <x:v>Skirmisher</x:v>
      </x:c>
      <x:c r="F50" s="12" t="str"/>
      <x:c r="G50" s="12" t="str">
        <x:v>シールド込みの乱戦</x:v>
      </x:c>
      <x:c r="H50" s="12" t="str">
        <x:v>高</x:v>
      </x:c>
      <x:c r="I50" s="12" t="str">
        <x:v>https://wikiwiki.jp/poke-unite/%E3%82%BC%E3%83%A9%E3%82%AA%E3%83%A9</x:v>
      </x:c>
    </x:row>
    <x:row r="51">
      <x:c r="A51" s="12" t="str">
        <x:v>ゼラオラ</x:v>
      </x:c>
      <x:c r="B51" s="12" t="str">
        <x:v>スピード型</x:v>
      </x:c>
      <x:c r="C51" s="12" t="str">
        <x:v>スパーク＋ワイルドボルト</x:v>
      </x:c>
      <x:c r="D51" s="12" t="str">
        <x:v>Burst Assassin</x:v>
      </x:c>
      <x:c r="E51" s="12" t="str">
        <x:v>Assassin</x:v>
      </x:c>
      <x:c r="F51" s="12" t="str">
        <x:v>Diver</x:v>
      </x:c>
      <x:c r="G51" s="12" t="str">
        <x:v>張り付き瞬間火力</x:v>
      </x:c>
      <x:c r="H51" s="12" t="str">
        <x:v>高</x:v>
      </x:c>
      <x:c r="I51" s="12" t="str">
        <x:v>https://wikiwiki.jp/poke-unite/%E3%82%BC%E3%83%A9%E3%82%AA%E3%83%A9</x:v>
      </x:c>
    </x:row>
    <x:row r="52">
      <x:c r="A52" s="12" t="str">
        <x:v>ファイアロー</x:v>
      </x:c>
      <x:c r="B52" s="12" t="str">
        <x:v>スピード型</x:v>
      </x:c>
      <x:c r="C52" s="12" t="str">
        <x:v>ブレイブバード＋つばめがえし</x:v>
      </x:c>
      <x:c r="D52" s="12" t="str">
        <x:v>Burst Diver</x:v>
      </x:c>
      <x:c r="E52" s="12" t="str">
        <x:v>Assassin</x:v>
      </x:c>
      <x:c r="F52" s="12" t="str">
        <x:v>Diver</x:v>
      </x:c>
      <x:c r="G52" s="12" t="str">
        <x:v>遠距離からの高火力ダイブ</x:v>
      </x:c>
      <x:c r="H52" s="12" t="str">
        <x:v>高</x:v>
      </x:c>
      <x:c r="I52" s="12" t="str">
        <x:v>https://wikiwiki.jp/poke-unite/%E3%83%95%E3%82%A1%E3%82%A4%E3%82%A2%E3%83%AD%E3%83%BC</x:v>
      </x:c>
    </x:row>
    <x:row r="53">
      <x:c r="A53" s="12" t="str">
        <x:v>ファイアロー</x:v>
      </x:c>
      <x:c r="B53" s="12" t="str">
        <x:v>スピード型</x:v>
      </x:c>
      <x:c r="C53" s="12" t="str">
        <x:v>そらをとぶ＋ニトロチャージ</x:v>
      </x:c>
      <x:c r="D53" s="12" t="str">
        <x:v>Roaming Assassin</x:v>
      </x:c>
      <x:c r="E53" s="12" t="str">
        <x:v>Assassin</x:v>
      </x:c>
      <x:c r="F53" s="12" t="str"/>
      <x:c r="G53" s="12" t="str">
        <x:v>安全な奇襲・離脱・ローム</x:v>
      </x:c>
      <x:c r="H53" s="12" t="str">
        <x:v>高</x:v>
      </x:c>
      <x:c r="I53" s="12" t="str">
        <x:v>https://wikiwiki.jp/poke-unite/%E3%83%95%E3%82%A1%E3%82%A4%E3%82%A2%E3%83%AD%E3%83%BC</x:v>
      </x:c>
    </x:row>
    <x:row r="54">
      <x:c r="A54" s="12" t="str">
        <x:v>マスカーニャ</x:v>
      </x:c>
      <x:c r="B54" s="12" t="str">
        <x:v>スピード型</x:v>
      </x:c>
      <x:c r="C54" s="12" t="str">
        <x:v>トリックフラワー＋かげぶんしん</x:v>
      </x:c>
      <x:c r="D54" s="12" t="str">
        <x:v>Trick Assassin</x:v>
      </x:c>
      <x:c r="E54" s="12" t="str">
        <x:v>Assassin</x:v>
      </x:c>
      <x:c r="F54" s="12" t="str">
        <x:v>Specialist</x:v>
      </x:c>
      <x:c r="G54" s="12" t="str">
        <x:v>撹乱・心理戦・短時間バースト</x:v>
      </x:c>
      <x:c r="H54" s="12" t="str">
        <x:v>高</x:v>
      </x:c>
      <x:c r="I54" s="12" t="str">
        <x:v>https://wikiwiki.jp/poke-unite/%E3%83%9E%E3%82%B9%E3%82%AB%E3%83%BC%E3%83%8B%E3%83%A3</x:v>
      </x:c>
    </x:row>
    <x:row r="55">
      <x:c r="A55" s="12" t="str">
        <x:v>マスカーニャ</x:v>
      </x:c>
      <x:c r="B55" s="12" t="str">
        <x:v>スピード型</x:v>
      </x:c>
      <x:c r="C55" s="12" t="str">
        <x:v>つじぎり＋くさわけ</x:v>
      </x:c>
      <x:c r="D55" s="12" t="str">
        <x:v>DPS Skirmisher</x:v>
      </x:c>
      <x:c r="E55" s="12" t="str">
        <x:v>Skirmisher</x:v>
      </x:c>
      <x:c r="F55" s="12" t="str">
        <x:v>Assassin</x:v>
      </x:c>
      <x:c r="G55" s="12" t="str">
        <x:v>AA継続火力・ローム</x:v>
      </x:c>
      <x:c r="H55" s="12" t="str">
        <x:v>高</x:v>
      </x:c>
      <x:c r="I55" s="12" t="str">
        <x:v>https://wikiwiki.jp/poke-unite/%E3%83%9E%E3%82%B9%E3%82%AB%E3%83%BC%E3%83%8B%E3%83%A3</x:v>
      </x:c>
    </x:row>
    <x:row r="56">
      <x:c r="A56" s="12" t="str">
        <x:v>イワパレス</x:v>
      </x:c>
      <x:c r="B56" s="12" t="str">
        <x:v>ディフェンス型</x:v>
      </x:c>
      <x:c r="C56" s="12" t="str">
        <x:v>がんせきふうじ＋ステルスロック</x:v>
      </x:c>
      <x:c r="D56" s="12" t="str">
        <x:v>Zone Vanguard</x:v>
      </x:c>
      <x:c r="E56" s="12" t="str">
        <x:v>Vanguard</x:v>
      </x:c>
      <x:c r="F56" s="12" t="str"/>
      <x:c r="G56" s="12" t="str">
        <x:v>壁と設置で盤面制御</x:v>
      </x:c>
      <x:c r="H56" s="12" t="str">
        <x:v>高</x:v>
      </x:c>
      <x:c r="I56" s="12" t="str">
        <x:v>https://wikiwiki.jp/poke-unite/%E3%82%A4%E3%83%AF%E3%83%91%E3%83%AC%E3%82%B9</x:v>
      </x:c>
    </x:row>
    <x:row r="57">
      <x:c r="A57" s="12" t="str">
        <x:v>イワパレス</x:v>
      </x:c>
      <x:c r="B57" s="12" t="str">
        <x:v>ディフェンス型</x:v>
      </x:c>
      <x:c r="C57" s="12" t="str">
        <x:v>からをやぶる＋シザークロス</x:v>
      </x:c>
      <x:c r="D57" s="12" t="str">
        <x:v>Roaming Bruiser</x:v>
      </x:c>
      <x:c r="E57" s="12" t="str">
        <x:v>Diver</x:v>
      </x:c>
      <x:c r="F57" s="12" t="str">
        <x:v>Juggernaut</x:v>
      </x:c>
      <x:c r="G57" s="12" t="str">
        <x:v>高速ローム・押し込み</x:v>
      </x:c>
      <x:c r="H57" s="12" t="str">
        <x:v>高</x:v>
      </x:c>
      <x:c r="I57" s="12" t="str">
        <x:v>https://wikiwiki.jp/poke-unite/%E3%82%A4%E3%83%AF%E3%83%91%E3%83%AC%E3%82%B9</x:v>
      </x:c>
    </x:row>
    <x:row r="58">
      <x:c r="A58" s="12" t="str">
        <x:v>オーロット</x:v>
      </x:c>
      <x:c r="B58" s="12" t="str">
        <x:v>ディフェンス型</x:v>
      </x:c>
      <x:c r="C58" s="12" t="str">
        <x:v>ウッドハンマー＋ウッドホーン</x:v>
      </x:c>
      <x:c r="D58" s="12" t="str">
        <x:v>Engage Tank</x:v>
      </x:c>
      <x:c r="E58" s="12" t="str">
        <x:v>Vanguard</x:v>
      </x:c>
      <x:c r="F58" s="12" t="str">
        <x:v>Warden</x:v>
      </x:c>
      <x:c r="G58" s="12" t="str">
        <x:v>CCチェイン・味方起点</x:v>
      </x:c>
      <x:c r="H58" s="12" t="str">
        <x:v>高</x:v>
      </x:c>
      <x:c r="I58" s="12" t="str">
        <x:v>https://wikiwiki.jp/poke-unite/%E3%82%AA%E3%83%BC%E3%83%AD%E3%83%83%E3%83%88</x:v>
      </x:c>
    </x:row>
    <x:row r="59">
      <x:c r="A59" s="12" t="str">
        <x:v>オーロット</x:v>
      </x:c>
      <x:c r="B59" s="12" t="str">
        <x:v>ディフェンス型</x:v>
      </x:c>
      <x:c r="C59" s="12" t="str">
        <x:v>のろい＋いたみわけ</x:v>
      </x:c>
      <x:c r="D59" s="12" t="str">
        <x:v>Drain Juggernaut</x:v>
      </x:c>
      <x:c r="E59" s="12" t="str">
        <x:v>Juggernaut</x:v>
      </x:c>
      <x:c r="F59" s="12" t="str"/>
      <x:c r="G59" s="12" t="str">
        <x:v>自己完結の耐久デュエル</x:v>
      </x:c>
      <x:c r="H59" s="12" t="str">
        <x:v>高</x:v>
      </x:c>
      <x:c r="I59" s="12" t="str">
        <x:v>https://wikiwiki.jp/poke-unite/%E3%82%AA%E3%83%BC%E3%83%AD%E3%83%83%E3%83%88</x:v>
      </x:c>
    </x:row>
    <x:row r="60">
      <x:c r="A60" s="12" t="str">
        <x:v>カビゴン</x:v>
      </x:c>
      <x:c r="B60" s="12" t="str">
        <x:v>ディフェンス型</x:v>
      </x:c>
      <x:c r="C60" s="12" t="str">
        <x:v>ヘビーボンバー＋とおせんぼう</x:v>
      </x:c>
      <x:c r="D60" s="12" t="str">
        <x:v>Engage Tank</x:v>
      </x:c>
      <x:c r="E60" s="12" t="str">
        <x:v>Vanguard</x:v>
      </x:c>
      <x:c r="F60" s="12" t="str">
        <x:v>Warden</x:v>
      </x:c>
      <x:c r="G60" s="12" t="str">
        <x:v>集団戦の起点・壁役</x:v>
      </x:c>
      <x:c r="H60" s="12" t="str">
        <x:v>高</x:v>
      </x:c>
      <x:c r="I60" s="12" t="str">
        <x:v>https://wikiwiki.jp/poke-unite/%E3%82%AB%E3%83%93%E3%82%B4%E3%83%B3</x:v>
      </x:c>
    </x:row>
    <x:row r="61">
      <x:c r="A61" s="12" t="str">
        <x:v>カビゴン</x:v>
      </x:c>
      <x:c r="B61" s="12" t="str">
        <x:v>ディフェンス型</x:v>
      </x:c>
      <x:c r="C61" s="12" t="str">
        <x:v>じたばた＋あくび</x:v>
      </x:c>
      <x:c r="D61" s="12" t="str">
        <x:v>Bruiser Tank</x:v>
      </x:c>
      <x:c r="E61" s="12" t="str">
        <x:v>Juggernaut</x:v>
      </x:c>
      <x:c r="F61" s="12" t="str">
        <x:v>Catcher</x:v>
      </x:c>
      <x:c r="G61" s="12" t="str">
        <x:v>殴り合い・単独圧力</x:v>
      </x:c>
      <x:c r="H61" s="12" t="str">
        <x:v>高</x:v>
      </x:c>
      <x:c r="I61" s="12" t="str">
        <x:v>https://wikiwiki.jp/poke-unite/%E3%82%AB%E3%83%93%E3%82%B4%E3%83%B3</x:v>
      </x:c>
    </x:row>
    <x:row r="62">
      <x:c r="A62" s="12" t="str">
        <x:v>カメックス</x:v>
      </x:c>
      <x:c r="B62" s="12" t="str">
        <x:v>ディフェンス型</x:v>
      </x:c>
      <x:c r="C62" s="12" t="str">
        <x:v>ハイドロポンプ＋なみのり</x:v>
      </x:c>
      <x:c r="D62" s="12" t="str">
        <x:v>Control Tank</x:v>
      </x:c>
      <x:c r="E62" s="12" t="str">
        <x:v>Warden</x:v>
      </x:c>
      <x:c r="F62" s="12" t="str">
        <x:v>Vanguard</x:v>
      </x:c>
      <x:c r="G62" s="12" t="str">
        <x:v>位置操作・接近拒否</x:v>
      </x:c>
      <x:c r="H62" s="12" t="str">
        <x:v>高</x:v>
      </x:c>
      <x:c r="I62" s="12" t="str">
        <x:v>https://wikiwiki.jp/poke-unite/%E3%82%AB%E3%83%A1%E3%83%83%E3%82%AF%E3%82%B9</x:v>
      </x:c>
    </x:row>
    <x:row r="63">
      <x:c r="A63" s="12" t="str">
        <x:v>カメックス</x:v>
      </x:c>
      <x:c r="B63" s="12" t="str">
        <x:v>ディフェンス型</x:v>
      </x:c>
      <x:c r="C63" s="12" t="str">
        <x:v>しおふき＋こうそくスピン</x:v>
      </x:c>
      <x:c r="D63" s="12" t="str">
        <x:v>Spin Bruiser</x:v>
      </x:c>
      <x:c r="E63" s="12" t="str">
        <x:v>Diver</x:v>
      </x:c>
      <x:c r="F63" s="12" t="str">
        <x:v>Juggernaut</x:v>
      </x:c>
      <x:c r="G63" s="12" t="str">
        <x:v>妨害耐性で回り込み継続火力</x:v>
      </x:c>
      <x:c r="H63" s="12" t="str">
        <x:v>高</x:v>
      </x:c>
      <x:c r="I63" s="12" t="str">
        <x:v>https://wikiwiki.jp/poke-unite/%E3%82%AB%E3%83%A1%E3%83%83%E3%82%AF%E3%82%B9</x:v>
      </x:c>
    </x:row>
    <x:row r="64">
      <x:c r="A64" s="12" t="str">
        <x:v>シャワーズ</x:v>
      </x:c>
      <x:c r="B64" s="12" t="str">
        <x:v>ディフェンス型</x:v>
      </x:c>
      <x:c r="C64" s="12" t="str">
        <x:v>ハイドロポンプ＋アクアリング</x:v>
      </x:c>
      <x:c r="D64" s="12" t="str">
        <x:v>Warden Enchanter</x:v>
      </x:c>
      <x:c r="E64" s="12" t="str">
        <x:v>Enchanter</x:v>
      </x:c>
      <x:c r="F64" s="12" t="str">
        <x:v>Warden</x:v>
      </x:c>
      <x:c r="G64" s="12" t="str">
        <x:v>ヒールしつつ一方向を守る</x:v>
      </x:c>
      <x:c r="H64" s="12" t="str">
        <x:v>高</x:v>
      </x:c>
      <x:c r="I64" s="12" t="str">
        <x:v>https://wikiwiki.jp/poke-unite/%E3%82%B7%E3%83%A3%E3%83%AF%E3%83%BC%E3%82%BA</x:v>
      </x:c>
    </x:row>
    <x:row r="65">
      <x:c r="A65" s="12" t="str">
        <x:v>シャワーズ</x:v>
      </x:c>
      <x:c r="B65" s="12" t="str">
        <x:v>ディフェンス型</x:v>
      </x:c>
      <x:c r="C65" s="12" t="str">
        <x:v>だくりゅう＋クイックターン</x:v>
      </x:c>
      <x:c r="D65" s="12" t="str">
        <x:v>Mobile Tank</x:v>
      </x:c>
      <x:c r="E65" s="12" t="str">
        <x:v>Warden</x:v>
      </x:c>
      <x:c r="F65" s="12" t="str">
        <x:v>Diver</x:v>
      </x:c>
      <x:c r="G65" s="12" t="str">
        <x:v>機動CC・早熟タンク</x:v>
      </x:c>
      <x:c r="H65" s="12" t="str">
        <x:v>高</x:v>
      </x:c>
      <x:c r="I65" s="12" t="str">
        <x:v>https://wikiwiki.jp/poke-unite/%E3%82%B7%E3%83%A3%E3%83%AF%E3%83%BC%E3%82%BA</x:v>
      </x:c>
    </x:row>
    <x:row r="66">
      <x:c r="A66" s="12" t="str">
        <x:v>ブラッキー</x:v>
      </x:c>
      <x:c r="B66" s="12" t="str">
        <x:v>ディフェンス型</x:v>
      </x:c>
      <x:c r="C66" s="12" t="str">
        <x:v>くろいまなざし＋ねがいごと</x:v>
      </x:c>
      <x:c r="D66" s="12" t="str">
        <x:v>Support Warden</x:v>
      </x:c>
      <x:c r="E66" s="12" t="str">
        <x:v>Enchanter</x:v>
      </x:c>
      <x:c r="F66" s="12" t="str">
        <x:v>Warden</x:v>
      </x:c>
      <x:c r="G66" s="12" t="str">
        <x:v>純サポート・単体拘束と回復</x:v>
      </x:c>
      <x:c r="H66" s="12" t="str">
        <x:v>高</x:v>
      </x:c>
      <x:c r="I66" s="12" t="str">
        <x:v>https://wikiwiki.jp/poke-unite/%E3%83%96%E3%83%A9%E3%83%83%E3%82%AD%E3%83%BC</x:v>
      </x:c>
    </x:row>
    <x:row r="67">
      <x:c r="A67" s="12" t="str">
        <x:v>ブラッキー</x:v>
      </x:c>
      <x:c r="B67" s="12" t="str">
        <x:v>ディフェンス型</x:v>
      </x:c>
      <x:c r="C67" s="12" t="str">
        <x:v>イカサマ＋バークアウト</x:v>
      </x:c>
      <x:c r="D67" s="12" t="str">
        <x:v>Vanguard Tank</x:v>
      </x:c>
      <x:c r="E67" s="12" t="str">
        <x:v>Vanguard</x:v>
      </x:c>
      <x:c r="F67" s="12" t="str">
        <x:v>Warden</x:v>
      </x:c>
      <x:c r="G67" s="12" t="str">
        <x:v>前に出る妨害タンク</x:v>
      </x:c>
      <x:c r="H67" s="12" t="str">
        <x:v>高</x:v>
      </x:c>
      <x:c r="I67" s="12" t="str">
        <x:v>https://wikiwiki.jp/poke-unite/%E3%83%96%E3%83%A9%E3%83%83%E3%82%AD%E3%83%BC</x:v>
      </x:c>
    </x:row>
    <x:row r="68">
      <x:c r="A68" s="12" t="str">
        <x:v>ホウオウ</x:v>
      </x:c>
      <x:c r="B68" s="12" t="str">
        <x:v>ディフェンス型</x:v>
      </x:c>
      <x:c r="C68" s="12" t="str">
        <x:v>せいなるほのお＋かえんほうしゃ</x:v>
      </x:c>
      <x:c r="D68" s="12" t="str">
        <x:v>Ranged Juggernaut</x:v>
      </x:c>
      <x:c r="E68" s="12" t="str">
        <x:v>BattleMage</x:v>
      </x:c>
      <x:c r="F68" s="12" t="str">
        <x:v>Juggernaut</x:v>
      </x:c>
      <x:c r="G68" s="12" t="str">
        <x:v>飛行カイト・継続火力</x:v>
      </x:c>
      <x:c r="H68" s="12" t="str">
        <x:v>高</x:v>
      </x:c>
      <x:c r="I68" s="12" t="str">
        <x:v>https://wikiwiki.jp/poke-unite/%E3%83%9B%E3%82%A6%E3%82%AA%E3%82%A6</x:v>
      </x:c>
    </x:row>
    <x:row r="69">
      <x:c r="A69" s="12" t="str">
        <x:v>ホウオウ</x:v>
      </x:c>
      <x:c r="B69" s="12" t="str">
        <x:v>ディフェンス型</x:v>
      </x:c>
      <x:c r="C69" s="12" t="str">
        <x:v>ほのおのうず＋ゴッドバード</x:v>
      </x:c>
      <x:c r="D69" s="12" t="str">
        <x:v>Tank Initiator</x:v>
      </x:c>
      <x:c r="E69" s="12" t="str">
        <x:v>Vanguard</x:v>
      </x:c>
      <x:c r="F69" s="12" t="str">
        <x:v>Juggernaut</x:v>
      </x:c>
      <x:c r="G69" s="12" t="str">
        <x:v>前衛・集団戦起点・復活支援</x:v>
      </x:c>
      <x:c r="H69" s="12" t="str">
        <x:v>高</x:v>
      </x:c>
      <x:c r="I69" s="12" t="str">
        <x:v>https://wikiwiki.jp/poke-unite/%E3%83%9B%E3%82%A6%E3%82%AA%E3%82%A6</x:v>
      </x:c>
    </x:row>
    <x:row r="70">
      <x:c r="A70" s="12" t="str">
        <x:v>ヤドラン</x:v>
      </x:c>
      <x:c r="B70" s="12" t="str">
        <x:v>ディフェンス型</x:v>
      </x:c>
      <x:c r="C70" s="12" t="str">
        <x:v>ねっとう＋ドわすれ</x:v>
      </x:c>
      <x:c r="D70" s="12" t="str">
        <x:v>Ranged Juggernaut</x:v>
      </x:c>
      <x:c r="E70" s="12" t="str">
        <x:v>Juggernaut</x:v>
      </x:c>
      <x:c r="F70" s="12" t="str">
        <x:v>BattleMage</x:v>
      </x:c>
      <x:c r="G70" s="12" t="str">
        <x:v>硬い遠距離継続火力</x:v>
      </x:c>
      <x:c r="H70" s="12" t="str">
        <x:v>高</x:v>
      </x:c>
      <x:c r="I70" s="12" t="str">
        <x:v>https://wikiwiki.jp/poke-unite/%E3%83%A4%E3%83%89%E3%83%A9%E3%83%B3</x:v>
      </x:c>
    </x:row>
    <x:row r="71">
      <x:c r="A71" s="12" t="str">
        <x:v>ヤドラン</x:v>
      </x:c>
      <x:c r="B71" s="12" t="str">
        <x:v>ディフェンス型</x:v>
      </x:c>
      <x:c r="C71" s="12" t="str">
        <x:v>なみのり＋テレキネシス</x:v>
      </x:c>
      <x:c r="D71" s="12" t="str">
        <x:v>Catcher Tank</x:v>
      </x:c>
      <x:c r="E71" s="12" t="str">
        <x:v>Warden</x:v>
      </x:c>
      <x:c r="F71" s="12" t="str">
        <x:v>Catcher</x:v>
      </x:c>
      <x:c r="G71" s="12" t="str">
        <x:v>CC特化・味方の起点</x:v>
      </x:c>
      <x:c r="H71" s="12" t="str">
        <x:v>高</x:v>
      </x:c>
      <x:c r="I71" s="12" t="str">
        <x:v>https://wikiwiki.jp/poke-unite/%E3%83%A4%E3%83%89%E3%83%A9%E3%83%B3</x:v>
      </x:c>
    </x:row>
    <x:row r="72">
      <x:c r="A72" s="12" t="str">
        <x:v>ヨクバリス</x:v>
      </x:c>
      <x:c r="B72" s="12" t="str">
        <x:v>ディフェンス型</x:v>
      </x:c>
      <x:c r="C72" s="12" t="str">
        <x:v>タネマシンガン＋ほおばる</x:v>
      </x:c>
      <x:c r="D72" s="12" t="str">
        <x:v>Sustain Bruiser</x:v>
      </x:c>
      <x:c r="E72" s="12" t="str">
        <x:v>Juggernaut</x:v>
      </x:c>
      <x:c r="F72" s="12" t="str">
        <x:v>Skirmisher</x:v>
      </x:c>
      <x:c r="G72" s="12" t="str">
        <x:v>1対1・回復・持久戦</x:v>
      </x:c>
      <x:c r="H72" s="12" t="str">
        <x:v>高</x:v>
      </x:c>
      <x:c r="I72" s="12" t="str">
        <x:v>https://wikiwiki.jp/poke-unite/%E3%83%A8%E3%82%AF%E3%83%90%E3%83%AA%E3%82%B9</x:v>
      </x:c>
    </x:row>
    <x:row r="73">
      <x:c r="A73" s="12" t="str">
        <x:v>ヨクバリス</x:v>
      </x:c>
      <x:c r="B73" s="12" t="str">
        <x:v>ディフェンス型</x:v>
      </x:c>
      <x:c r="C73" s="12" t="str">
        <x:v>ゲップ＋ほしがる</x:v>
      </x:c>
      <x:c r="D73" s="12" t="str">
        <x:v>Roaming Disruptor</x:v>
      </x:c>
      <x:c r="E73" s="12" t="str">
        <x:v>Diver</x:v>
      </x:c>
      <x:c r="F73" s="12" t="str">
        <x:v>Specialist</x:v>
      </x:c>
      <x:c r="G73" s="12" t="str">
        <x:v>カジャン・撹乱・高速移動</x:v>
      </x:c>
      <x:c r="H73" s="12" t="str">
        <x:v>高</x:v>
      </x:c>
      <x:c r="I73" s="12" t="str">
        <x:v>https://wikiwiki.jp/poke-unite/%E3%83%A8%E3%82%AF%E3%83%90%E3%83%AA%E3%82%B9</x:v>
      </x:c>
    </x:row>
    <x:row r="74">
      <x:c r="A74" s="12" t="str">
        <x:v>ハピナス</x:v>
      </x:c>
      <x:c r="B74" s="12" t="str">
        <x:v>サポート型</x:v>
      </x:c>
      <x:c r="C74" s="12" t="str">
        <x:v>タマゴうみ＋タマゴばくだん</x:v>
      </x:c>
      <x:c r="D74" s="12" t="str">
        <x:v>Healer</x:v>
      </x:c>
      <x:c r="E74" s="12" t="str">
        <x:v>Enchanter</x:v>
      </x:c>
      <x:c r="F74" s="12" t="str"/>
      <x:c r="G74" s="12" t="str">
        <x:v>回復中心の後衛支援</x:v>
      </x:c>
      <x:c r="H74" s="12" t="str">
        <x:v>高</x:v>
      </x:c>
      <x:c r="I74" s="12" t="str">
        <x:v>https://wikiwiki.jp/poke-unite/%E3%83%8F%E3%83%94%E3%83%8A%E3%82%B9</x:v>
      </x:c>
    </x:row>
    <x:row r="75">
      <x:c r="A75" s="12" t="str">
        <x:v>ハピナス</x:v>
      </x:c>
      <x:c r="B75" s="12" t="str">
        <x:v>サポート型</x:v>
      </x:c>
      <x:c r="C75" s="12" t="str">
        <x:v>てだすけ＋しんぴのまもり</x:v>
      </x:c>
      <x:c r="D75" s="12" t="str">
        <x:v>Buffer</x:v>
      </x:c>
      <x:c r="E75" s="12" t="str">
        <x:v>Enchanter</x:v>
      </x:c>
      <x:c r="F75" s="12" t="str">
        <x:v>Specialist</x:v>
      </x:c>
      <x:c r="G75" s="12" t="str">
        <x:v>火力加速・妨害対策</x:v>
      </x:c>
      <x:c r="H75" s="12" t="str">
        <x:v>高</x:v>
      </x:c>
      <x:c r="I75" s="12" t="str">
        <x:v>https://wikiwiki.jp/poke-unite/%E3%83%8F%E3%83%94%E3%83%8A%E3%82%B9</x:v>
      </x:c>
    </x:row>
    <x:row r="76">
      <x:c r="A76" s="12" t="str">
        <x:v>バリヤード</x:v>
      </x:c>
      <x:c r="B76" s="12" t="str">
        <x:v>サポート型</x:v>
      </x:c>
      <x:c r="C76" s="12" t="str">
        <x:v>ねんりき＋バリアー</x:v>
      </x:c>
      <x:c r="D76" s="12" t="str">
        <x:v>Catcher</x:v>
      </x:c>
      <x:c r="E76" s="12" t="str">
        <x:v>Catcher</x:v>
      </x:c>
      <x:c r="F76" s="12" t="str">
        <x:v>Vanguard</x:v>
      </x:c>
      <x:c r="G76" s="12" t="str">
        <x:v>壁コンボ・位置操作</x:v>
      </x:c>
      <x:c r="H76" s="12" t="str">
        <x:v>高</x:v>
      </x:c>
      <x:c r="I76" s="12" t="str">
        <x:v>https://wikiwiki.jp/poke-unite/%E3%83%90%E3%83%AA%E3%83%A4%E3%83%BC%E3%83%89</x:v>
      </x:c>
    </x:row>
    <x:row r="77">
      <x:c r="A77" s="12" t="str">
        <x:v>バリヤード</x:v>
      </x:c>
      <x:c r="B77" s="12" t="str">
        <x:v>サポート型</x:v>
      </x:c>
      <x:c r="C77" s="12" t="str">
        <x:v>サイコキネシス＋パワースワップ</x:v>
      </x:c>
      <x:c r="D77" s="12" t="str">
        <x:v>Link Support</x:v>
      </x:c>
      <x:c r="E77" s="12" t="str">
        <x:v>Enchanter</x:v>
      </x:c>
      <x:c r="F77" s="12" t="str">
        <x:v>BattleMage</x:v>
      </x:c>
      <x:c r="G77" s="12" t="str">
        <x:v>リンク支援・持久戦</x:v>
      </x:c>
      <x:c r="H77" s="12" t="str">
        <x:v>高</x:v>
      </x:c>
      <x:c r="I77" s="12" t="str">
        <x:v>https://wikiwiki.jp/poke-unite/%E3%83%90%E3%83%AA%E3%83%A4%E3%83%BC%E3%83%89</x:v>
      </x:c>
    </x:row>
    <x:row r="78">
      <x:c r="A78" s="12" t="str">
        <x:v>フーパ</x:v>
      </x:c>
      <x:c r="B78" s="12" t="str">
        <x:v>サポート型</x:v>
      </x:c>
      <x:c r="C78" s="12" t="str">
        <x:v>いじげんホール＋ゴーストダイブ</x:v>
      </x:c>
      <x:c r="D78" s="12" t="str">
        <x:v>Macro Specialist</x:v>
      </x:c>
      <x:c r="E78" s="12" t="str">
        <x:v>Specialist</x:v>
      </x:c>
      <x:c r="F78" s="12" t="str">
        <x:v>Enchanter</x:v>
      </x:c>
      <x:c r="G78" s="12" t="str">
        <x:v>ワープ・全体マクロ支援</x:v>
      </x:c>
      <x:c r="H78" s="12" t="str">
        <x:v>高</x:v>
      </x:c>
      <x:c r="I78" s="12" t="str">
        <x:v>https://wikiwiki.jp/poke-unite/%E3%83%95%E3%83%BC%E3%83%91</x:v>
      </x:c>
    </x:row>
    <x:row r="79">
      <x:c r="A79" s="12" t="str">
        <x:v>フーパ</x:v>
      </x:c>
      <x:c r="B79" s="12" t="str">
        <x:v>サポート型</x:v>
      </x:c>
      <x:c r="C79" s="12" t="str">
        <x:v>トリック＋シャドーボール</x:v>
      </x:c>
      <x:c r="D79" s="12" t="str">
        <x:v>Combat Enchanter</x:v>
      </x:c>
      <x:c r="E79" s="12" t="str">
        <x:v>Enchanter</x:v>
      </x:c>
      <x:c r="F79" s="12" t="str">
        <x:v>BattleMage</x:v>
      </x:c>
      <x:c r="G79" s="12" t="str">
        <x:v>局所戦のバフ・火力支援</x:v>
      </x:c>
      <x:c r="H79" s="12" t="str">
        <x:v>高</x:v>
      </x:c>
      <x:c r="I79" s="12" t="str">
        <x:v>https://wikiwiki.jp/poke-unite/%E3%83%95%E3%83%BC%E3%83%91</x:v>
      </x:c>
    </x:row>
    <x:row r="80">
      <x:c r="A80" s="12" t="str">
        <x:v>ワタシラガ</x:v>
      </x:c>
      <x:c r="B80" s="12" t="str">
        <x:v>サポート型</x:v>
      </x:c>
      <x:c r="C80" s="12" t="str">
        <x:v>かふんだんご＋コットンガード</x:v>
      </x:c>
      <x:c r="D80" s="12" t="str">
        <x:v>Healer</x:v>
      </x:c>
      <x:c r="E80" s="12" t="str">
        <x:v>Enchanter</x:v>
      </x:c>
      <x:c r="F80" s="12" t="str"/>
      <x:c r="G80" s="12" t="str">
        <x:v>回復・シールドに特化</x:v>
      </x:c>
      <x:c r="H80" s="12" t="str">
        <x:v>高</x:v>
      </x:c>
      <x:c r="I80" s="12" t="str">
        <x:v>https://wikiwiki.jp/poke-unite/%E3%83%AF%E3%82%BF%E3%82%B7%E3%83%A9%E3%82%AC</x:v>
      </x:c>
    </x:row>
    <x:row r="81">
      <x:c r="A81" s="12" t="str">
        <x:v>ワタシラガ</x:v>
      </x:c>
      <x:c r="B81" s="12" t="str">
        <x:v>サポート型</x:v>
      </x:c>
      <x:c r="C81" s="12" t="str">
        <x:v>グラスミキサー＋わたほうし</x:v>
      </x:c>
      <x:c r="D81" s="12" t="str">
        <x:v>Mobile Utility</x:v>
      </x:c>
      <x:c r="E81" s="12" t="str">
        <x:v>Enchanter</x:v>
      </x:c>
      <x:c r="F81" s="12" t="str">
        <x:v>BattleMage</x:v>
      </x:c>
      <x:c r="G81" s="12" t="str">
        <x:v>機動・攻撃寄りのユーティリティ</x:v>
      </x:c>
      <x:c r="H81" s="12" t="str">
        <x:v>高</x:v>
      </x:c>
      <x:c r="I81" s="12" t="str">
        <x:v>https://wikiwiki.jp/poke-unite/%E3%83%AF%E3%82%BF%E3%82%B7%E3%83%A9%E3%82%AC</x:v>
      </x:c>
    </x:row>
  </x:sheetData>
  <x:pageMargins left="0.7" right="0.7" top="0.75" bottom="0.75" header="0.3" footer="0.3"/>
  <x:tableParts count="1">
    <x:tablePart xmlns:r="http://schemas.openxmlformats.org/officeDocument/2006/relationships" r:id="R853ceeefbd1c44e5"/>
  </x:tableParts>
</x:worksheet>
</file>

<file path=xl/worksheets/sheet7.xml><?xml version="1.0" encoding="utf-8"?>
<x:worksheet xmlns:x="http://schemas.openxmlformats.org/spreadsheetml/2006/main">
  <x:sheetFormatPr defaultRowHeight="15"/>
  <x:cols>
    <x:col min="1" max="1" width="30" hidden="0" customWidth="1"/>
    <x:col min="2" max="2" width="52" hidden="0" customWidth="1"/>
    <x:col min="3" max="3" width="72" hidden="0" customWidth="1"/>
  </x:cols>
  <x:sheetData>
    <x:row r="1">
      <x:c r="A1" s="18" t="str">
        <x:v>Source</x:v>
      </x:c>
      <x:c r="B1" s="18" t="str">
        <x:v>URL</x:v>
      </x:c>
      <x:c r="C1" s="18" t="str">
        <x:v>How used</x:v>
      </x:c>
    </x:row>
    <x:row r="2">
      <x:c r="A2" s="12" t="str">
        <x:v>Pokemon Unite Wiki ポケモン一覧</x:v>
      </x:c>
      <x:c r="B2" s="12" t="str">
        <x:v>https://wikiwiki.jp/poke-unite/%E4%B8%80%E8%A6%A7</x:v>
      </x:c>
      <x:c r="C2" s="12" t="str">
        <x:v>99体（モルペコまで）のロスター、非公式LoL系ロール、長所短所。2026-09-19更新。</x:v>
      </x:c>
    </x:row>
    <x:row r="3">
      <x:c r="A3" s="12" t="str">
        <x:v>Pokémon UNITE公式 ストリンダー参戦</x:v>
      </x:c>
      <x:c r="B3" s="12" t="str">
        <x:v>https://www.pokemonunite.jp/ja/topics/news/20260924/</x:v>
      </x:c>
      <x:c r="C3" s="12" t="str">
        <x:v>2026-09-24参戦を確認。現行100体目。</x:v>
      </x:c>
    </x:row>
    <x:row r="4">
      <x:c r="A4" s="12" t="str">
        <x:v>Pokémon UNITE公式 ポケモン一覧</x:v>
      </x:c>
      <x:c r="B4" s="12" t="str">
        <x:v>https://www.pokemonunite.jp/pokemon/</x:v>
      </x:c>
      <x:c r="C4" s="12" t="str">
        <x:v>公式のプレイスタイル案内・参戦ポケモン確認。</x:v>
      </x:c>
    </x:row>
    <x:row r="5">
      <x:c r="A5" s="12" t="str">
        <x:v>UniteAPI Meta</x:v>
      </x:c>
      <x:c r="B5" s="12" t="str">
        <x:v>https://uniteapi.dev/jp/meta</x:v>
      </x:c>
      <x:c r="C5" s="12" t="str">
        <x:v>2026-09-14〜21、128,033試合。実戦で使われている代表ビルド・現行環境の照合。強さは診断点数に混ぜない。</x:v>
      </x:c>
    </x:row>
    <x:row r="6">
      <x:c r="A6" s="12" t="str">
        <x:v>Wiki 用語集</x:v>
      </x:c>
      <x:c r="B6" s="12" t="str">
        <x:v>https://wikiwiki.jp/poke-unite/%E7%94%A8%E8%AA%9E%E9%9B%86</x:v>
      </x:c>
      <x:c r="C6" s="12" t="str">
        <x:v>わざセット1/2は左右の代表組合せ。手動で混成可能であることを確認。</x:v>
      </x:c>
    </x:row>
    <x:row r="7">
      <x:c r="A7" s="12" t="str">
        <x:v>Reddit r/PokemonUnite</x:v>
      </x:c>
      <x:c r="B7" s="12" t="str">
        <x:v>https://www.reddit.com/r/PokemonUnite/</x:v>
      </x:c>
      <x:c r="C7" s="12" t="str">
        <x:v>直近の使用感・新実装の定性的チェックのみ。一次情報ではないため補助扱い。</x:v>
      </x:c>
    </x:row>
  </x:sheetData>
  <x:pageMargins left="0.7" right="0.7" top="0.75" bottom="0.75" header="0.3" footer="0.3"/>
  <x:tableParts count="1">
    <x:tablePart xmlns:r="http://schemas.openxmlformats.org/officeDocument/2006/relationships" r:id="R7f7169cdd1304212"/>
  </x:tableParts>
</x:worksheet>
</file>

<file path=xl/worksheets/sheet8.xml><?xml version="1.0" encoding="utf-8"?>
<x:worksheet xmlns:x="http://schemas.openxmlformats.org/spreadsheetml/2006/main">
  <x:sheetFormatPr defaultRowHeight="15"/>
  <x:cols>
    <x:col min="1" max="1" width="8" hidden="0" customWidth="1"/>
    <x:col min="2" max="2" width="13" hidden="0" customWidth="1"/>
    <x:col min="3" max="3" width="52" hidden="0" customWidth="1"/>
    <x:col min="4" max="4" width="20" hidden="0" customWidth="1"/>
    <x:col min="5" max="5" width="24"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1" hidden="0" customWidth="1"/>
    <x:col min="28" max="28" width="32" hidden="0" customWidth="1"/>
  </x:cols>
  <x:sheetData>
    <x:row r="1">
      <x:c r="A1" s="45" t="str">
        <x:v>診断質問30問・スコア係数マスター</x:v>
      </x:c>
      <x:c r="B1" s="45"/>
      <x:c r="C1" s="45"/>
      <x:c r="D1" s="45"/>
      <x:c r="E1" s="45"/>
      <x:c r="F1" s="45"/>
      <x:c r="G1" s="45"/>
      <x:c r="H1" s="45"/>
      <x:c r="I1" s="45"/>
      <x:c r="J1" s="45"/>
      <x:c r="K1" s="45"/>
      <x:c r="L1" s="45"/>
      <x:c r="M1" s="45"/>
      <x:c r="N1" s="45"/>
      <x:c r="O1" s="45"/>
      <x:c r="P1" s="45"/>
      <x:c r="Q1" s="45"/>
      <x:c r="R1" s="45"/>
      <x:c r="S1" s="45"/>
      <x:c r="T1" s="45"/>
      <x:c r="U1" s="45"/>
      <x:c r="V1" s="45"/>
      <x:c r="W1" s="45"/>
      <x:c r="X1" s="45"/>
      <x:c r="Y1" s="45"/>
      <x:c r="Z1" s="45"/>
      <x:c r="AA1" s="45"/>
      <x:c r="AB1" s="45"/>
    </x:row>
    <x:row r="2">
      <x:c r="A2" s="45"/>
      <x:c r="B2" s="45"/>
      <x:c r="C2" s="45"/>
      <x:c r="D2" s="45"/>
      <x:c r="E2" s="45"/>
      <x:c r="F2" s="45"/>
      <x:c r="G2" s="45"/>
      <x:c r="H2" s="45"/>
      <x:c r="I2" s="45"/>
      <x:c r="J2" s="45"/>
      <x:c r="K2" s="45"/>
      <x:c r="L2" s="45"/>
      <x:c r="M2" s="45"/>
      <x:c r="N2" s="45"/>
      <x:c r="O2" s="45"/>
      <x:c r="P2" s="45"/>
      <x:c r="Q2" s="45"/>
      <x:c r="R2" s="45"/>
      <x:c r="S2" s="45"/>
      <x:c r="T2" s="45"/>
      <x:c r="U2" s="45"/>
      <x:c r="V2" s="45"/>
      <x:c r="W2" s="45"/>
      <x:c r="X2" s="45"/>
      <x:c r="Y2" s="45"/>
      <x:c r="Z2" s="45"/>
      <x:c r="AA2" s="45"/>
      <x:c r="AB2" s="45"/>
    </x:row>
    <x:row r="3">
      <x:c r="A3" s="48" t="str">
        <x:v>回答は1〜5。正規化係数は 1=-1.0 / 2=-0.5 / 3=0 / 4=+0.5 / 5=+1.0。 各質問の獲得値 = 正規化係数 × Loading。Q01〜Q20は7性格軸、Q21〜Q30は15ゲーム軸に加算。</x:v>
      </x:c>
      <x:c r="B3" s="48"/>
      <x:c r="C3" s="48"/>
      <x:c r="D3" s="48"/>
      <x:c r="E3" s="48"/>
      <x:c r="F3" s="48"/>
      <x:c r="G3" s="48"/>
      <x:c r="H3" s="48"/>
      <x:c r="I3" s="48"/>
      <x:c r="J3" s="48"/>
      <x:c r="K3" s="48"/>
      <x:c r="L3" s="48"/>
      <x:c r="M3" s="48"/>
      <x:c r="N3" s="48"/>
      <x:c r="O3" s="48"/>
      <x:c r="P3" s="48"/>
      <x:c r="Q3" s="48"/>
      <x:c r="R3" s="48"/>
      <x:c r="S3" s="48"/>
      <x:c r="T3" s="48"/>
      <x:c r="U3" s="48"/>
      <x:c r="V3" s="48"/>
      <x:c r="W3" s="48"/>
      <x:c r="X3" s="48"/>
      <x:c r="Y3" s="48"/>
      <x:c r="Z3" s="48"/>
      <x:c r="AA3" s="48"/>
      <x:c r="AB3" s="48"/>
    </x:row>
    <x:row r="5">
      <x:c r="A5" s="54" t="str">
        <x:v>QID</x:v>
      </x:c>
      <x:c r="B5" s="54" t="str">
        <x:v>区分</x:v>
      </x:c>
      <x:c r="C5" s="54" t="str">
        <x:v>質問文</x:v>
      </x:c>
      <x:c r="D5" s="54" t="str">
        <x:v>主な測定対象</x:v>
      </x:c>
      <x:c r="E5" s="54" t="str">
        <x:v>備考</x:v>
      </x:c>
      <x:c r="F5" s="55" t="str">
        <x:v>Initiative</x:v>
      </x:c>
      <x:c r="G5" s="55" t="str">
        <x:v>RiskTolerance</x:v>
      </x:c>
      <x:c r="H5" s="55" t="str">
        <x:v>Cooperation</x:v>
      </x:c>
      <x:c r="I5" s="55" t="str">
        <x:v>SelfReliance</x:v>
      </x:c>
      <x:c r="J5" s="55" t="str">
        <x:v>Planning</x:v>
      </x:c>
      <x:c r="K5" s="55" t="str">
        <x:v>Adaptability</x:v>
      </x:c>
      <x:c r="L5" s="55" t="str">
        <x:v>Mastery</x:v>
      </x:c>
      <x:c r="M5" s="56" t="str">
        <x:v>Engage</x:v>
      </x:c>
      <x:c r="N5" s="56" t="str">
        <x:v>Dive</x:v>
      </x:c>
      <x:c r="O5" s="56" t="str">
        <x:v>Peel</x:v>
      </x:c>
      <x:c r="P5" s="56" t="str">
        <x:v>Frontline</x:v>
      </x:c>
      <x:c r="Q5" s="56" t="str">
        <x:v>Poke</x:v>
      </x:c>
      <x:c r="R5" s="56" t="str">
        <x:v>Burst</x:v>
      </x:c>
      <x:c r="S5" s="56" t="str">
        <x:v>SustainDPS</x:v>
      </x:c>
      <x:c r="T5" s="56" t="str">
        <x:v>Control</x:v>
      </x:c>
      <x:c r="U5" s="56" t="str">
        <x:v>Support</x:v>
      </x:c>
      <x:c r="V5" s="56" t="str">
        <x:v>Mobility</x:v>
      </x:c>
      <x:c r="W5" s="56" t="str">
        <x:v>FarmScaling</x:v>
      </x:c>
      <x:c r="X5" s="56" t="str">
        <x:v>ObjectiveSecure</x:v>
      </x:c>
      <x:c r="Y5" s="56" t="str">
        <x:v>ScoringSide</x:v>
      </x:c>
      <x:c r="Z5" s="56" t="str">
        <x:v>Execution</x:v>
      </x:c>
      <x:c r="AA5" s="56" t="str">
        <x:v>Decision</x:v>
      </x:c>
      <x:c r="AB5" s="54" t="str">
        <x:v>設計意図</x:v>
      </x:c>
    </x:row>
    <x:row r="6">
      <x:c r="A6" s="12" t="str">
        <x:v>Q01</x:v>
      </x:c>
      <x:c r="B6" s="12" t="str">
        <x:v>性格</x:v>
      </x:c>
      <x:c r="C6" s="12" t="str">
        <x:v>グループで結論が出ないとき、自分から最初の案を出すことが多い。</x:v>
      </x:c>
      <x:c r="D6" s="12" t="str">
        <x:v>主導性</x:v>
      </x:c>
      <x:c r="E6" s="12" t="str"/>
      <x:c r="F6" s="57" t="n">
        <x:v>1</x:v>
      </x:c>
      <x:c r="G6" s="57" t="n">
        <x:v>0</x:v>
      </x:c>
      <x:c r="H6" s="57" t="n">
        <x:v>0.2</x:v>
      </x:c>
      <x:c r="I6" s="57" t="n">
        <x:v>0</x:v>
      </x:c>
      <x:c r="J6" s="57" t="n">
        <x:v>0</x:v>
      </x:c>
      <x:c r="K6" s="57" t="n">
        <x:v>0</x:v>
      </x:c>
      <x:c r="L6" s="57" t="n">
        <x:v>0</x:v>
      </x:c>
      <x:c r="M6" s="57" t="n">
        <x:v>0</x:v>
      </x:c>
      <x:c r="N6" s="57" t="n">
        <x:v>0</x:v>
      </x:c>
      <x:c r="O6" s="57" t="n">
        <x:v>0</x:v>
      </x:c>
      <x:c r="P6" s="57" t="n">
        <x:v>0</x:v>
      </x:c>
      <x:c r="Q6" s="57" t="n">
        <x:v>0</x:v>
      </x:c>
      <x:c r="R6" s="57" t="n">
        <x:v>0</x:v>
      </x:c>
      <x:c r="S6" s="57" t="n">
        <x:v>0</x:v>
      </x:c>
      <x:c r="T6" s="57" t="n">
        <x:v>0</x:v>
      </x:c>
      <x:c r="U6" s="57" t="n">
        <x:v>0</x:v>
      </x:c>
      <x:c r="V6" s="57" t="n">
        <x:v>0</x:v>
      </x:c>
      <x:c r="W6" s="57" t="n">
        <x:v>0</x:v>
      </x:c>
      <x:c r="X6" s="57" t="n">
        <x:v>0</x:v>
      </x:c>
      <x:c r="Y6" s="57" t="n">
        <x:v>0</x:v>
      </x:c>
      <x:c r="Z6" s="57" t="n">
        <x:v>0</x:v>
      </x:c>
      <x:c r="AA6" s="57" t="n">
        <x:v>0</x:v>
      </x:c>
      <x:c r="AB6" s="12" t="str">
        <x:v>自発的に展開を作る傾向</x:v>
      </x:c>
    </x:row>
    <x:row r="7">
      <x:c r="A7" s="12" t="str">
        <x:v>Q02</x:v>
      </x:c>
      <x:c r="B7" s="12" t="str">
        <x:v>性格</x:v>
      </x:c>
      <x:c r="C7" s="12" t="str">
        <x:v>判断材料が十分に揃うまでは、決断を少し保留することが多い。</x:v>
      </x:c>
      <x:c r="D7" s="12" t="str">
        <x:v>計画性</x:v>
      </x:c>
      <x:c r="E7" s="12" t="str">
        <x:v>逆方向の主導性・リスクも少量反映</x:v>
      </x:c>
      <x:c r="F7" s="57" t="n">
        <x:v>-0.3</x:v>
      </x:c>
      <x:c r="G7" s="57" t="n">
        <x:v>-0.2</x:v>
      </x:c>
      <x:c r="H7" s="57" t="n">
        <x:v>0</x:v>
      </x:c>
      <x:c r="I7" s="57" t="n">
        <x:v>0</x:v>
      </x:c>
      <x:c r="J7" s="57" t="n">
        <x:v>1</x:v>
      </x:c>
      <x:c r="K7" s="57" t="n">
        <x:v>0</x:v>
      </x:c>
      <x:c r="L7" s="57" t="n">
        <x:v>0</x:v>
      </x:c>
      <x:c r="M7" s="57" t="n">
        <x:v>0</x:v>
      </x:c>
      <x:c r="N7" s="57" t="n">
        <x:v>0</x:v>
      </x:c>
      <x:c r="O7" s="57" t="n">
        <x:v>0</x:v>
      </x:c>
      <x:c r="P7" s="57" t="n">
        <x:v>0</x:v>
      </x:c>
      <x:c r="Q7" s="57" t="n">
        <x:v>0</x:v>
      </x:c>
      <x:c r="R7" s="57" t="n">
        <x:v>0</x:v>
      </x:c>
      <x:c r="S7" s="57" t="n">
        <x:v>0</x:v>
      </x:c>
      <x:c r="T7" s="57" t="n">
        <x:v>0</x:v>
      </x:c>
      <x:c r="U7" s="57" t="n">
        <x:v>0</x:v>
      </x:c>
      <x:c r="V7" s="57" t="n">
        <x:v>0</x:v>
      </x:c>
      <x:c r="W7" s="57" t="n">
        <x:v>0</x:v>
      </x:c>
      <x:c r="X7" s="57" t="n">
        <x:v>0</x:v>
      </x:c>
      <x:c r="Y7" s="57" t="n">
        <x:v>0</x:v>
      </x:c>
      <x:c r="Z7" s="57" t="n">
        <x:v>0</x:v>
      </x:c>
      <x:c r="AA7" s="57" t="n">
        <x:v>0</x:v>
      </x:c>
      <x:c r="AB7" s="12" t="str">
        <x:v>慎重に情報を集める傾向</x:v>
      </x:c>
    </x:row>
    <x:row r="8">
      <x:c r="A8" s="12" t="str">
        <x:v>Q03</x:v>
      </x:c>
      <x:c r="B8" s="12" t="str">
        <x:v>性格</x:v>
      </x:c>
      <x:c r="C8" s="12" t="str">
        <x:v>失敗の可能性があっても、大きな成果が狙えるなら挑戦したい。</x:v>
      </x:c>
      <x:c r="D8" s="12" t="str">
        <x:v>リスク許容</x:v>
      </x:c>
      <x:c r="E8" s="12" t="str"/>
      <x:c r="F8" s="57" t="n">
        <x:v>0.2</x:v>
      </x:c>
      <x:c r="G8" s="57" t="n">
        <x:v>1</x:v>
      </x:c>
      <x:c r="H8" s="57" t="n">
        <x:v>0</x:v>
      </x:c>
      <x:c r="I8" s="57" t="n">
        <x:v>0</x:v>
      </x:c>
      <x:c r="J8" s="57" t="n">
        <x:v>0</x:v>
      </x:c>
      <x:c r="K8" s="57" t="n">
        <x:v>0</x:v>
      </x:c>
      <x:c r="L8" s="57" t="n">
        <x:v>0</x:v>
      </x:c>
      <x:c r="M8" s="57" t="n">
        <x:v>0</x:v>
      </x:c>
      <x:c r="N8" s="57" t="n">
        <x:v>0</x:v>
      </x:c>
      <x:c r="O8" s="57" t="n">
        <x:v>0</x:v>
      </x:c>
      <x:c r="P8" s="57" t="n">
        <x:v>0</x:v>
      </x:c>
      <x:c r="Q8" s="57" t="n">
        <x:v>0</x:v>
      </x:c>
      <x:c r="R8" s="57" t="n">
        <x:v>0</x:v>
      </x:c>
      <x:c r="S8" s="57" t="n">
        <x:v>0</x:v>
      </x:c>
      <x:c r="T8" s="57" t="n">
        <x:v>0</x:v>
      </x:c>
      <x:c r="U8" s="57" t="n">
        <x:v>0</x:v>
      </x:c>
      <x:c r="V8" s="57" t="n">
        <x:v>0</x:v>
      </x:c>
      <x:c r="W8" s="57" t="n">
        <x:v>0</x:v>
      </x:c>
      <x:c r="X8" s="57" t="n">
        <x:v>0</x:v>
      </x:c>
      <x:c r="Y8" s="57" t="n">
        <x:v>0</x:v>
      </x:c>
      <x:c r="Z8" s="57" t="n">
        <x:v>0</x:v>
      </x:c>
      <x:c r="AA8" s="57" t="n">
        <x:v>0</x:v>
      </x:c>
      <x:c r="AB8" s="12" t="str">
        <x:v>高リターンを狙う姿勢</x:v>
      </x:c>
    </x:row>
    <x:row r="9">
      <x:c r="A9" s="12" t="str">
        <x:v>Q04</x:v>
      </x:c>
      <x:c r="B9" s="12" t="str">
        <x:v>性格</x:v>
      </x:c>
      <x:c r="C9" s="12" t="str">
        <x:v>自分が目立たなくても、誰かを支えて全体がうまくいくと満足できる。</x:v>
      </x:c>
      <x:c r="D9" s="12" t="str">
        <x:v>協働志向</x:v>
      </x:c>
      <x:c r="E9" s="12" t="str"/>
      <x:c r="F9" s="57" t="n">
        <x:v>0</x:v>
      </x:c>
      <x:c r="G9" s="57" t="n">
        <x:v>0</x:v>
      </x:c>
      <x:c r="H9" s="57" t="n">
        <x:v>1</x:v>
      </x:c>
      <x:c r="I9" s="57" t="n">
        <x:v>-0.2</x:v>
      </x:c>
      <x:c r="J9" s="57" t="n">
        <x:v>0</x:v>
      </x:c>
      <x:c r="K9" s="57" t="n">
        <x:v>0</x:v>
      </x:c>
      <x:c r="L9" s="57" t="n">
        <x:v>0</x:v>
      </x:c>
      <x:c r="M9" s="57" t="n">
        <x:v>0</x:v>
      </x:c>
      <x:c r="N9" s="57" t="n">
        <x:v>0</x:v>
      </x:c>
      <x:c r="O9" s="57" t="n">
        <x:v>0</x:v>
      </x:c>
      <x:c r="P9" s="57" t="n">
        <x:v>0</x:v>
      </x:c>
      <x:c r="Q9" s="57" t="n">
        <x:v>0</x:v>
      </x:c>
      <x:c r="R9" s="57" t="n">
        <x:v>0</x:v>
      </x:c>
      <x:c r="S9" s="57" t="n">
        <x:v>0</x:v>
      </x:c>
      <x:c r="T9" s="57" t="n">
        <x:v>0</x:v>
      </x:c>
      <x:c r="U9" s="57" t="n">
        <x:v>0</x:v>
      </x:c>
      <x:c r="V9" s="57" t="n">
        <x:v>0</x:v>
      </x:c>
      <x:c r="W9" s="57" t="n">
        <x:v>0</x:v>
      </x:c>
      <x:c r="X9" s="57" t="n">
        <x:v>0</x:v>
      </x:c>
      <x:c r="Y9" s="57" t="n">
        <x:v>0</x:v>
      </x:c>
      <x:c r="Z9" s="57" t="n">
        <x:v>0</x:v>
      </x:c>
      <x:c r="AA9" s="57" t="n">
        <x:v>0</x:v>
      </x:c>
      <x:c r="AB9" s="12" t="str">
        <x:v>支援・チーム成果への価値観</x:v>
      </x:c>
    </x:row>
    <x:row r="10">
      <x:c r="A10" s="12" t="str">
        <x:v>Q05</x:v>
      </x:c>
      <x:c r="B10" s="12" t="str">
        <x:v>性格</x:v>
      </x:c>
      <x:c r="C10" s="12" t="str">
        <x:v>重要な結果は、人に任せるより自分でコントロールしたい。</x:v>
      </x:c>
      <x:c r="D10" s="12" t="str">
        <x:v>自己完結</x:v>
      </x:c>
      <x:c r="E10" s="12" t="str"/>
      <x:c r="F10" s="57" t="n">
        <x:v>0</x:v>
      </x:c>
      <x:c r="G10" s="57" t="n">
        <x:v>0</x:v>
      </x:c>
      <x:c r="H10" s="57" t="n">
        <x:v>-0.2</x:v>
      </x:c>
      <x:c r="I10" s="57" t="n">
        <x:v>1</x:v>
      </x:c>
      <x:c r="J10" s="57" t="n">
        <x:v>0</x:v>
      </x:c>
      <x:c r="K10" s="57" t="n">
        <x:v>0</x:v>
      </x:c>
      <x:c r="L10" s="57" t="n">
        <x:v>0</x:v>
      </x:c>
      <x:c r="M10" s="57" t="n">
        <x:v>0</x:v>
      </x:c>
      <x:c r="N10" s="57" t="n">
        <x:v>0</x:v>
      </x:c>
      <x:c r="O10" s="57" t="n">
        <x:v>0</x:v>
      </x:c>
      <x:c r="P10" s="57" t="n">
        <x:v>0</x:v>
      </x:c>
      <x:c r="Q10" s="57" t="n">
        <x:v>0</x:v>
      </x:c>
      <x:c r="R10" s="57" t="n">
        <x:v>0</x:v>
      </x:c>
      <x:c r="S10" s="57" t="n">
        <x:v>0</x:v>
      </x:c>
      <x:c r="T10" s="57" t="n">
        <x:v>0</x:v>
      </x:c>
      <x:c r="U10" s="57" t="n">
        <x:v>0</x:v>
      </x:c>
      <x:c r="V10" s="57" t="n">
        <x:v>0</x:v>
      </x:c>
      <x:c r="W10" s="57" t="n">
        <x:v>0</x:v>
      </x:c>
      <x:c r="X10" s="57" t="n">
        <x:v>0</x:v>
      </x:c>
      <x:c r="Y10" s="57" t="n">
        <x:v>0</x:v>
      </x:c>
      <x:c r="Z10" s="57" t="n">
        <x:v>0</x:v>
      </x:c>
      <x:c r="AA10" s="57" t="n">
        <x:v>0</x:v>
      </x:c>
      <x:c r="AB10" s="12" t="str">
        <x:v>自分で結果を引き受けたい傾向</x:v>
      </x:c>
    </x:row>
    <x:row r="11">
      <x:c r="A11" s="12" t="str">
        <x:v>Q06</x:v>
      </x:c>
      <x:c r="B11" s="12" t="str">
        <x:v>性格</x:v>
      </x:c>
      <x:c r="C11" s="12" t="str">
        <x:v>新しい方法を試すより、慣れたやり方を磨き込む方が好きだ。</x:v>
      </x:c>
      <x:c r="D11" s="12" t="str">
        <x:v>適応性</x:v>
      </x:c>
      <x:c r="E11" s="12" t="str">
        <x:v>逆転項目</x:v>
      </x:c>
      <x:c r="F11" s="57" t="n">
        <x:v>0</x:v>
      </x:c>
      <x:c r="G11" s="57" t="n">
        <x:v>0</x:v>
      </x:c>
      <x:c r="H11" s="57" t="n">
        <x:v>0</x:v>
      </x:c>
      <x:c r="I11" s="57" t="n">
        <x:v>0</x:v>
      </x:c>
      <x:c r="J11" s="57" t="n">
        <x:v>0.2</x:v>
      </x:c>
      <x:c r="K11" s="57" t="n">
        <x:v>-1</x:v>
      </x:c>
      <x:c r="L11" s="57" t="n">
        <x:v>0.2</x:v>
      </x:c>
      <x:c r="M11" s="57" t="n">
        <x:v>0</x:v>
      </x:c>
      <x:c r="N11" s="57" t="n">
        <x:v>0</x:v>
      </x:c>
      <x:c r="O11" s="57" t="n">
        <x:v>0</x:v>
      </x:c>
      <x:c r="P11" s="57" t="n">
        <x:v>0</x:v>
      </x:c>
      <x:c r="Q11" s="57" t="n">
        <x:v>0</x:v>
      </x:c>
      <x:c r="R11" s="57" t="n">
        <x:v>0</x:v>
      </x:c>
      <x:c r="S11" s="57" t="n">
        <x:v>0</x:v>
      </x:c>
      <x:c r="T11" s="57" t="n">
        <x:v>0</x:v>
      </x:c>
      <x:c r="U11" s="57" t="n">
        <x:v>0</x:v>
      </x:c>
      <x:c r="V11" s="57" t="n">
        <x:v>0</x:v>
      </x:c>
      <x:c r="W11" s="57" t="n">
        <x:v>0</x:v>
      </x:c>
      <x:c r="X11" s="57" t="n">
        <x:v>0</x:v>
      </x:c>
      <x:c r="Y11" s="57" t="n">
        <x:v>0</x:v>
      </x:c>
      <x:c r="Z11" s="57" t="n">
        <x:v>0</x:v>
      </x:c>
      <x:c r="AA11" s="57" t="n">
        <x:v>0</x:v>
      </x:c>
      <x:c r="AB11" s="12" t="str">
        <x:v>変化対応より再現性を好むか</x:v>
      </x:c>
    </x:row>
    <x:row r="12">
      <x:c r="A12" s="12" t="str">
        <x:v>Q07</x:v>
      </x:c>
      <x:c r="B12" s="12" t="str">
        <x:v>性格</x:v>
      </x:c>
      <x:c r="C12" s="12" t="str">
        <x:v>難しいものほど、使いこなせるようになるまで練習したくなる。</x:v>
      </x:c>
      <x:c r="D12" s="12" t="str">
        <x:v>熟練志向</x:v>
      </x:c>
      <x:c r="E12" s="12" t="str"/>
      <x:c r="F12" s="57" t="n">
        <x:v>0</x:v>
      </x:c>
      <x:c r="G12" s="57" t="n">
        <x:v>0.2</x:v>
      </x:c>
      <x:c r="H12" s="57" t="n">
        <x:v>0</x:v>
      </x:c>
      <x:c r="I12" s="57" t="n">
        <x:v>0</x:v>
      </x:c>
      <x:c r="J12" s="57" t="n">
        <x:v>0</x:v>
      </x:c>
      <x:c r="K12" s="57" t="n">
        <x:v>0</x:v>
      </x:c>
      <x:c r="L12" s="57" t="n">
        <x:v>1</x:v>
      </x:c>
      <x:c r="M12" s="57" t="n">
        <x:v>0</x:v>
      </x:c>
      <x:c r="N12" s="57" t="n">
        <x:v>0</x:v>
      </x:c>
      <x:c r="O12" s="57" t="n">
        <x:v>0</x:v>
      </x:c>
      <x:c r="P12" s="57" t="n">
        <x:v>0</x:v>
      </x:c>
      <x:c r="Q12" s="57" t="n">
        <x:v>0</x:v>
      </x:c>
      <x:c r="R12" s="57" t="n">
        <x:v>0</x:v>
      </x:c>
      <x:c r="S12" s="57" t="n">
        <x:v>0</x:v>
      </x:c>
      <x:c r="T12" s="57" t="n">
        <x:v>0</x:v>
      </x:c>
      <x:c r="U12" s="57" t="n">
        <x:v>0</x:v>
      </x:c>
      <x:c r="V12" s="57" t="n">
        <x:v>0</x:v>
      </x:c>
      <x:c r="W12" s="57" t="n">
        <x:v>0</x:v>
      </x:c>
      <x:c r="X12" s="57" t="n">
        <x:v>0</x:v>
      </x:c>
      <x:c r="Y12" s="57" t="n">
        <x:v>0</x:v>
      </x:c>
      <x:c r="Z12" s="57" t="n">
        <x:v>0</x:v>
      </x:c>
      <x:c r="AA12" s="57" t="n">
        <x:v>0</x:v>
      </x:c>
      <x:c r="AB12" s="12" t="str">
        <x:v>習熟そのものを楽しめるか</x:v>
      </x:c>
    </x:row>
    <x:row r="13">
      <x:c r="A13" s="12" t="str">
        <x:v>Q08</x:v>
      </x:c>
      <x:c r="B13" s="12" t="str">
        <x:v>性格</x:v>
      </x:c>
      <x:c r="C13" s="12" t="str">
        <x:v>状況が急に変わっても、すぐに方針を切り替えられる方だ。</x:v>
      </x:c>
      <x:c r="D13" s="12" t="str">
        <x:v>適応性</x:v>
      </x:c>
      <x:c r="E13" s="12" t="str"/>
      <x:c r="F13" s="57" t="n">
        <x:v>0.1</x:v>
      </x:c>
      <x:c r="G13" s="57" t="n">
        <x:v>0</x:v>
      </x:c>
      <x:c r="H13" s="57" t="n">
        <x:v>0</x:v>
      </x:c>
      <x:c r="I13" s="57" t="n">
        <x:v>0</x:v>
      </x:c>
      <x:c r="J13" s="57" t="n">
        <x:v>0</x:v>
      </x:c>
      <x:c r="K13" s="57" t="n">
        <x:v>1</x:v>
      </x:c>
      <x:c r="L13" s="57" t="n">
        <x:v>0</x:v>
      </x:c>
      <x:c r="M13" s="57" t="n">
        <x:v>0</x:v>
      </x:c>
      <x:c r="N13" s="57" t="n">
        <x:v>0</x:v>
      </x:c>
      <x:c r="O13" s="57" t="n">
        <x:v>0</x:v>
      </x:c>
      <x:c r="P13" s="57" t="n">
        <x:v>0</x:v>
      </x:c>
      <x:c r="Q13" s="57" t="n">
        <x:v>0</x:v>
      </x:c>
      <x:c r="R13" s="57" t="n">
        <x:v>0</x:v>
      </x:c>
      <x:c r="S13" s="57" t="n">
        <x:v>0</x:v>
      </x:c>
      <x:c r="T13" s="57" t="n">
        <x:v>0</x:v>
      </x:c>
      <x:c r="U13" s="57" t="n">
        <x:v>0</x:v>
      </x:c>
      <x:c r="V13" s="57" t="n">
        <x:v>0</x:v>
      </x:c>
      <x:c r="W13" s="57" t="n">
        <x:v>0</x:v>
      </x:c>
      <x:c r="X13" s="57" t="n">
        <x:v>0</x:v>
      </x:c>
      <x:c r="Y13" s="57" t="n">
        <x:v>0</x:v>
      </x:c>
      <x:c r="Z13" s="57" t="n">
        <x:v>0</x:v>
      </x:c>
      <x:c r="AA13" s="57" t="n">
        <x:v>0</x:v>
      </x:c>
      <x:c r="AB13" s="12" t="str">
        <x:v>変化への即応性</x:v>
      </x:c>
    </x:row>
    <x:row r="14">
      <x:c r="A14" s="12" t="str">
        <x:v>Q09</x:v>
      </x:c>
      <x:c r="B14" s="12" t="str">
        <x:v>性格</x:v>
      </x:c>
      <x:c r="C14" s="12" t="str">
        <x:v>自分の提案をきっかけに周囲が動くことに抵抗はない。</x:v>
      </x:c>
      <x:c r="D14" s="12" t="str">
        <x:v>主導性</x:v>
      </x:c>
      <x:c r="E14" s="12" t="str"/>
      <x:c r="F14" s="57" t="n">
        <x:v>1</x:v>
      </x:c>
      <x:c r="G14" s="57" t="n">
        <x:v>0</x:v>
      </x:c>
      <x:c r="H14" s="57" t="n">
        <x:v>0</x:v>
      </x:c>
      <x:c r="I14" s="57" t="n">
        <x:v>0</x:v>
      </x:c>
      <x:c r="J14" s="57" t="n">
        <x:v>0</x:v>
      </x:c>
      <x:c r="K14" s="57" t="n">
        <x:v>0</x:v>
      </x:c>
      <x:c r="L14" s="57" t="n">
        <x:v>0</x:v>
      </x:c>
      <x:c r="M14" s="57" t="n">
        <x:v>0</x:v>
      </x:c>
      <x:c r="N14" s="57" t="n">
        <x:v>0</x:v>
      </x:c>
      <x:c r="O14" s="57" t="n">
        <x:v>0</x:v>
      </x:c>
      <x:c r="P14" s="57" t="n">
        <x:v>0</x:v>
      </x:c>
      <x:c r="Q14" s="57" t="n">
        <x:v>0</x:v>
      </x:c>
      <x:c r="R14" s="57" t="n">
        <x:v>0</x:v>
      </x:c>
      <x:c r="S14" s="57" t="n">
        <x:v>0</x:v>
      </x:c>
      <x:c r="T14" s="57" t="n">
        <x:v>0</x:v>
      </x:c>
      <x:c r="U14" s="57" t="n">
        <x:v>0</x:v>
      </x:c>
      <x:c r="V14" s="57" t="n">
        <x:v>0</x:v>
      </x:c>
      <x:c r="W14" s="57" t="n">
        <x:v>0</x:v>
      </x:c>
      <x:c r="X14" s="57" t="n">
        <x:v>0</x:v>
      </x:c>
      <x:c r="Y14" s="57" t="n">
        <x:v>0</x:v>
      </x:c>
      <x:c r="Z14" s="57" t="n">
        <x:v>0</x:v>
      </x:c>
      <x:c r="AA14" s="57" t="n">
        <x:v>0</x:v>
      </x:c>
      <x:c r="AB14" s="12" t="str">
        <x:v>周囲を動かすことへの抵抗感</x:v>
      </x:c>
    </x:row>
    <x:row r="15">
      <x:c r="A15" s="12" t="str">
        <x:v>Q10</x:v>
      </x:c>
      <x:c r="B15" s="12" t="str">
        <x:v>性格</x:v>
      </x:c>
      <x:c r="C15" s="12" t="str">
        <x:v>勝負どころでは、安全策より思い切った選択をすることがある。</x:v>
      </x:c>
      <x:c r="D15" s="12" t="str">
        <x:v>リスク許容</x:v>
      </x:c>
      <x:c r="E15" s="12" t="str"/>
      <x:c r="F15" s="57" t="n">
        <x:v>0</x:v>
      </x:c>
      <x:c r="G15" s="57" t="n">
        <x:v>1</x:v>
      </x:c>
      <x:c r="H15" s="57" t="n">
        <x:v>0</x:v>
      </x:c>
      <x:c r="I15" s="57" t="n">
        <x:v>0</x:v>
      </x:c>
      <x:c r="J15" s="57" t="n">
        <x:v>-0.2</x:v>
      </x:c>
      <x:c r="K15" s="57" t="n">
        <x:v>0</x:v>
      </x:c>
      <x:c r="L15" s="57" t="n">
        <x:v>0</x:v>
      </x:c>
      <x:c r="M15" s="57" t="n">
        <x:v>0</x:v>
      </x:c>
      <x:c r="N15" s="57" t="n">
        <x:v>0</x:v>
      </x:c>
      <x:c r="O15" s="57" t="n">
        <x:v>0</x:v>
      </x:c>
      <x:c r="P15" s="57" t="n">
        <x:v>0</x:v>
      </x:c>
      <x:c r="Q15" s="57" t="n">
        <x:v>0</x:v>
      </x:c>
      <x:c r="R15" s="57" t="n">
        <x:v>0</x:v>
      </x:c>
      <x:c r="S15" s="57" t="n">
        <x:v>0</x:v>
      </x:c>
      <x:c r="T15" s="57" t="n">
        <x:v>0</x:v>
      </x:c>
      <x:c r="U15" s="57" t="n">
        <x:v>0</x:v>
      </x:c>
      <x:c r="V15" s="57" t="n">
        <x:v>0</x:v>
      </x:c>
      <x:c r="W15" s="57" t="n">
        <x:v>0</x:v>
      </x:c>
      <x:c r="X15" s="57" t="n">
        <x:v>0</x:v>
      </x:c>
      <x:c r="Y15" s="57" t="n">
        <x:v>0</x:v>
      </x:c>
      <x:c r="Z15" s="57" t="n">
        <x:v>0</x:v>
      </x:c>
      <x:c r="AA15" s="57" t="n">
        <x:v>0</x:v>
      </x:c>
      <x:c r="AB15" s="12" t="str">
        <x:v>勝負所でのリスクテイク</x:v>
      </x:c>
    </x:row>
    <x:row r="16">
      <x:c r="A16" s="12" t="str">
        <x:v>Q11</x:v>
      </x:c>
      <x:c r="B16" s="12" t="str">
        <x:v>性格</x:v>
      </x:c>
      <x:c r="C16" s="12" t="str">
        <x:v>自分の成果が目立たなくても、チーム全体が成功すれば嬉しい。</x:v>
      </x:c>
      <x:c r="D16" s="12" t="str">
        <x:v>協働志向</x:v>
      </x:c>
      <x:c r="E16" s="12" t="str"/>
      <x:c r="F16" s="57" t="n">
        <x:v>0</x:v>
      </x:c>
      <x:c r="G16" s="57" t="n">
        <x:v>0</x:v>
      </x:c>
      <x:c r="H16" s="57" t="n">
        <x:v>1</x:v>
      </x:c>
      <x:c r="I16" s="57" t="n">
        <x:v>-0.2</x:v>
      </x:c>
      <x:c r="J16" s="57" t="n">
        <x:v>0</x:v>
      </x:c>
      <x:c r="K16" s="57" t="n">
        <x:v>0</x:v>
      </x:c>
      <x:c r="L16" s="57" t="n">
        <x:v>0</x:v>
      </x:c>
      <x:c r="M16" s="57" t="n">
        <x:v>0</x:v>
      </x:c>
      <x:c r="N16" s="57" t="n">
        <x:v>0</x:v>
      </x:c>
      <x:c r="O16" s="57" t="n">
        <x:v>0</x:v>
      </x:c>
      <x:c r="P16" s="57" t="n">
        <x:v>0</x:v>
      </x:c>
      <x:c r="Q16" s="57" t="n">
        <x:v>0</x:v>
      </x:c>
      <x:c r="R16" s="57" t="n">
        <x:v>0</x:v>
      </x:c>
      <x:c r="S16" s="57" t="n">
        <x:v>0</x:v>
      </x:c>
      <x:c r="T16" s="57" t="n">
        <x:v>0</x:v>
      </x:c>
      <x:c r="U16" s="57" t="n">
        <x:v>0</x:v>
      </x:c>
      <x:c r="V16" s="57" t="n">
        <x:v>0</x:v>
      </x:c>
      <x:c r="W16" s="57" t="n">
        <x:v>0</x:v>
      </x:c>
      <x:c r="X16" s="57" t="n">
        <x:v>0</x:v>
      </x:c>
      <x:c r="Y16" s="57" t="n">
        <x:v>0</x:v>
      </x:c>
      <x:c r="Z16" s="57" t="n">
        <x:v>0</x:v>
      </x:c>
      <x:c r="AA16" s="57" t="n">
        <x:v>0</x:v>
      </x:c>
      <x:c r="AB16" s="12" t="str">
        <x:v>個人成果より全体成果を重視するか</x:v>
      </x:c>
    </x:row>
    <x:row r="17">
      <x:c r="A17" s="12" t="str">
        <x:v>Q12</x:v>
      </x:c>
      <x:c r="B17" s="12" t="str">
        <x:v>性格</x:v>
      </x:c>
      <x:c r="C17" s="12" t="str">
        <x:v>困ったときは、まず自分の力で解決方法を探すことが多い。</x:v>
      </x:c>
      <x:c r="D17" s="12" t="str">
        <x:v>自己完結</x:v>
      </x:c>
      <x:c r="E17" s="12" t="str"/>
      <x:c r="F17" s="57" t="n">
        <x:v>0</x:v>
      </x:c>
      <x:c r="G17" s="57" t="n">
        <x:v>0</x:v>
      </x:c>
      <x:c r="H17" s="57" t="n">
        <x:v>0</x:v>
      </x:c>
      <x:c r="I17" s="57" t="n">
        <x:v>1</x:v>
      </x:c>
      <x:c r="J17" s="57" t="n">
        <x:v>0</x:v>
      </x:c>
      <x:c r="K17" s="57" t="n">
        <x:v>0</x:v>
      </x:c>
      <x:c r="L17" s="57" t="n">
        <x:v>0</x:v>
      </x:c>
      <x:c r="M17" s="57" t="n">
        <x:v>0</x:v>
      </x:c>
      <x:c r="N17" s="57" t="n">
        <x:v>0</x:v>
      </x:c>
      <x:c r="O17" s="57" t="n">
        <x:v>0</x:v>
      </x:c>
      <x:c r="P17" s="57" t="n">
        <x:v>0</x:v>
      </x:c>
      <x:c r="Q17" s="57" t="n">
        <x:v>0</x:v>
      </x:c>
      <x:c r="R17" s="57" t="n">
        <x:v>0</x:v>
      </x:c>
      <x:c r="S17" s="57" t="n">
        <x:v>0</x:v>
      </x:c>
      <x:c r="T17" s="57" t="n">
        <x:v>0</x:v>
      </x:c>
      <x:c r="U17" s="57" t="n">
        <x:v>0</x:v>
      </x:c>
      <x:c r="V17" s="57" t="n">
        <x:v>0</x:v>
      </x:c>
      <x:c r="W17" s="57" t="n">
        <x:v>0</x:v>
      </x:c>
      <x:c r="X17" s="57" t="n">
        <x:v>0</x:v>
      </x:c>
      <x:c r="Y17" s="57" t="n">
        <x:v>0</x:v>
      </x:c>
      <x:c r="Z17" s="57" t="n">
        <x:v>0</x:v>
      </x:c>
      <x:c r="AA17" s="57" t="n">
        <x:v>0</x:v>
      </x:c>
      <x:c r="AB17" s="12" t="str">
        <x:v>自己解決志向</x:v>
      </x:c>
    </x:row>
    <x:row r="18">
      <x:c r="A18" s="12" t="str">
        <x:v>Q13</x:v>
      </x:c>
      <x:c r="B18" s="12" t="str">
        <x:v>性格</x:v>
      </x:c>
      <x:c r="C18" s="12" t="str">
        <x:v>行動する前に、いくつか先の展開を想定することが多い。</x:v>
      </x:c>
      <x:c r="D18" s="12" t="str">
        <x:v>計画性</x:v>
      </x:c>
      <x:c r="E18" s="12" t="str"/>
      <x:c r="F18" s="57" t="n">
        <x:v>0</x:v>
      </x:c>
      <x:c r="G18" s="57" t="n">
        <x:v>0</x:v>
      </x:c>
      <x:c r="H18" s="57" t="n">
        <x:v>0</x:v>
      </x:c>
      <x:c r="I18" s="57" t="n">
        <x:v>0</x:v>
      </x:c>
      <x:c r="J18" s="57" t="n">
        <x:v>1</x:v>
      </x:c>
      <x:c r="K18" s="57" t="n">
        <x:v>0.2</x:v>
      </x:c>
      <x:c r="L18" s="57" t="n">
        <x:v>0</x:v>
      </x:c>
      <x:c r="M18" s="57" t="n">
        <x:v>0</x:v>
      </x:c>
      <x:c r="N18" s="57" t="n">
        <x:v>0</x:v>
      </x:c>
      <x:c r="O18" s="57" t="n">
        <x:v>0</x:v>
      </x:c>
      <x:c r="P18" s="57" t="n">
        <x:v>0</x:v>
      </x:c>
      <x:c r="Q18" s="57" t="n">
        <x:v>0</x:v>
      </x:c>
      <x:c r="R18" s="57" t="n">
        <x:v>0</x:v>
      </x:c>
      <x:c r="S18" s="57" t="n">
        <x:v>0</x:v>
      </x:c>
      <x:c r="T18" s="57" t="n">
        <x:v>0</x:v>
      </x:c>
      <x:c r="U18" s="57" t="n">
        <x:v>0</x:v>
      </x:c>
      <x:c r="V18" s="57" t="n">
        <x:v>0</x:v>
      </x:c>
      <x:c r="W18" s="57" t="n">
        <x:v>0</x:v>
      </x:c>
      <x:c r="X18" s="57" t="n">
        <x:v>0</x:v>
      </x:c>
      <x:c r="Y18" s="57" t="n">
        <x:v>0</x:v>
      </x:c>
      <x:c r="Z18" s="57" t="n">
        <x:v>0</x:v>
      </x:c>
      <x:c r="AA18" s="57" t="n">
        <x:v>0</x:v>
      </x:c>
      <x:c r="AB18" s="12" t="str">
        <x:v>先読み・準備の傾向</x:v>
      </x:c>
    </x:row>
    <x:row r="19">
      <x:c r="A19" s="12" t="str">
        <x:v>Q14</x:v>
      </x:c>
      <x:c r="B19" s="12" t="str">
        <x:v>性格</x:v>
      </x:c>
      <x:c r="C19" s="12" t="str">
        <x:v>予定どおりにいかなくても、その場で別のやり方を選べる。</x:v>
      </x:c>
      <x:c r="D19" s="12" t="str">
        <x:v>適応性</x:v>
      </x:c>
      <x:c r="E19" s="12" t="str"/>
      <x:c r="F19" s="57" t="n">
        <x:v>0</x:v>
      </x:c>
      <x:c r="G19" s="57" t="n">
        <x:v>0</x:v>
      </x:c>
      <x:c r="H19" s="57" t="n">
        <x:v>0</x:v>
      </x:c>
      <x:c r="I19" s="57" t="n">
        <x:v>0</x:v>
      </x:c>
      <x:c r="J19" s="57" t="n">
        <x:v>-0.1</x:v>
      </x:c>
      <x:c r="K19" s="57" t="n">
        <x:v>1</x:v>
      </x:c>
      <x:c r="L19" s="57" t="n">
        <x:v>0</x:v>
      </x:c>
      <x:c r="M19" s="57" t="n">
        <x:v>0</x:v>
      </x:c>
      <x:c r="N19" s="57" t="n">
        <x:v>0</x:v>
      </x:c>
      <x:c r="O19" s="57" t="n">
        <x:v>0</x:v>
      </x:c>
      <x:c r="P19" s="57" t="n">
        <x:v>0</x:v>
      </x:c>
      <x:c r="Q19" s="57" t="n">
        <x:v>0</x:v>
      </x:c>
      <x:c r="R19" s="57" t="n">
        <x:v>0</x:v>
      </x:c>
      <x:c r="S19" s="57" t="n">
        <x:v>0</x:v>
      </x:c>
      <x:c r="T19" s="57" t="n">
        <x:v>0</x:v>
      </x:c>
      <x:c r="U19" s="57" t="n">
        <x:v>0</x:v>
      </x:c>
      <x:c r="V19" s="57" t="n">
        <x:v>0</x:v>
      </x:c>
      <x:c r="W19" s="57" t="n">
        <x:v>0</x:v>
      </x:c>
      <x:c r="X19" s="57" t="n">
        <x:v>0</x:v>
      </x:c>
      <x:c r="Y19" s="57" t="n">
        <x:v>0</x:v>
      </x:c>
      <x:c r="Z19" s="57" t="n">
        <x:v>0</x:v>
      </x:c>
      <x:c r="AA19" s="57" t="n">
        <x:v>0</x:v>
      </x:c>
      <x:c r="AB19" s="12" t="str">
        <x:v>予定変更への柔軟性</x:v>
      </x:c>
    </x:row>
    <x:row r="20">
      <x:c r="A20" s="12" t="str">
        <x:v>Q15</x:v>
      </x:c>
      <x:c r="B20" s="12" t="str">
        <x:v>性格</x:v>
      </x:c>
      <x:c r="C20" s="12" t="str">
        <x:v>反復練習で細かな精度を上げていくことが好きだ。</x:v>
      </x:c>
      <x:c r="D20" s="12" t="str">
        <x:v>熟練志向</x:v>
      </x:c>
      <x:c r="E20" s="12" t="str"/>
      <x:c r="F20" s="57" t="n">
        <x:v>0</x:v>
      </x:c>
      <x:c r="G20" s="57" t="n">
        <x:v>0</x:v>
      </x:c>
      <x:c r="H20" s="57" t="n">
        <x:v>0</x:v>
      </x:c>
      <x:c r="I20" s="57" t="n">
        <x:v>0</x:v>
      </x:c>
      <x:c r="J20" s="57" t="n">
        <x:v>0.2</x:v>
      </x:c>
      <x:c r="K20" s="57" t="n">
        <x:v>0</x:v>
      </x:c>
      <x:c r="L20" s="57" t="n">
        <x:v>1</x:v>
      </x:c>
      <x:c r="M20" s="57" t="n">
        <x:v>0</x:v>
      </x:c>
      <x:c r="N20" s="57" t="n">
        <x:v>0</x:v>
      </x:c>
      <x:c r="O20" s="57" t="n">
        <x:v>0</x:v>
      </x:c>
      <x:c r="P20" s="57" t="n">
        <x:v>0</x:v>
      </x:c>
      <x:c r="Q20" s="57" t="n">
        <x:v>0</x:v>
      </x:c>
      <x:c r="R20" s="57" t="n">
        <x:v>0</x:v>
      </x:c>
      <x:c r="S20" s="57" t="n">
        <x:v>0</x:v>
      </x:c>
      <x:c r="T20" s="57" t="n">
        <x:v>0</x:v>
      </x:c>
      <x:c r="U20" s="57" t="n">
        <x:v>0</x:v>
      </x:c>
      <x:c r="V20" s="57" t="n">
        <x:v>0</x:v>
      </x:c>
      <x:c r="W20" s="57" t="n">
        <x:v>0</x:v>
      </x:c>
      <x:c r="X20" s="57" t="n">
        <x:v>0</x:v>
      </x:c>
      <x:c r="Y20" s="57" t="n">
        <x:v>0</x:v>
      </x:c>
      <x:c r="Z20" s="57" t="n">
        <x:v>0</x:v>
      </x:c>
      <x:c r="AA20" s="57" t="n">
        <x:v>0</x:v>
      </x:c>
      <x:c r="AB20" s="12" t="str">
        <x:v>精度向上・反復練習への嗜好</x:v>
      </x:c>
    </x:row>
    <x:row r="21">
      <x:c r="A21" s="12" t="str">
        <x:v>Q16</x:v>
      </x:c>
      <x:c r="B21" s="12" t="str">
        <x:v>性格</x:v>
      </x:c>
      <x:c r="C21" s="12" t="str">
        <x:v>誰も決めない場面でも、自分から決めるより誰かの判断を待つことが多い。</x:v>
      </x:c>
      <x:c r="D21" s="12" t="str">
        <x:v>主導性</x:v>
      </x:c>
      <x:c r="E21" s="12" t="str">
        <x:v>逆転項目</x:v>
      </x:c>
      <x:c r="F21" s="57" t="n">
        <x:v>-1</x:v>
      </x:c>
      <x:c r="G21" s="57" t="n">
        <x:v>0</x:v>
      </x:c>
      <x:c r="H21" s="57" t="n">
        <x:v>0</x:v>
      </x:c>
      <x:c r="I21" s="57" t="n">
        <x:v>0</x:v>
      </x:c>
      <x:c r="J21" s="57" t="n">
        <x:v>0</x:v>
      </x:c>
      <x:c r="K21" s="57" t="n">
        <x:v>0</x:v>
      </x:c>
      <x:c r="L21" s="57" t="n">
        <x:v>0</x:v>
      </x:c>
      <x:c r="M21" s="57" t="n">
        <x:v>0</x:v>
      </x:c>
      <x:c r="N21" s="57" t="n">
        <x:v>0</x:v>
      </x:c>
      <x:c r="O21" s="57" t="n">
        <x:v>0</x:v>
      </x:c>
      <x:c r="P21" s="57" t="n">
        <x:v>0</x:v>
      </x:c>
      <x:c r="Q21" s="57" t="n">
        <x:v>0</x:v>
      </x:c>
      <x:c r="R21" s="57" t="n">
        <x:v>0</x:v>
      </x:c>
      <x:c r="S21" s="57" t="n">
        <x:v>0</x:v>
      </x:c>
      <x:c r="T21" s="57" t="n">
        <x:v>0</x:v>
      </x:c>
      <x:c r="U21" s="57" t="n">
        <x:v>0</x:v>
      </x:c>
      <x:c r="V21" s="57" t="n">
        <x:v>0</x:v>
      </x:c>
      <x:c r="W21" s="57" t="n">
        <x:v>0</x:v>
      </x:c>
      <x:c r="X21" s="57" t="n">
        <x:v>0</x:v>
      </x:c>
      <x:c r="Y21" s="57" t="n">
        <x:v>0</x:v>
      </x:c>
      <x:c r="Z21" s="57" t="n">
        <x:v>0</x:v>
      </x:c>
      <x:c r="AA21" s="57" t="n">
        <x:v>0</x:v>
      </x:c>
      <x:c r="AB21" s="12" t="str">
        <x:v>主導性の逆方向確認</x:v>
      </x:c>
    </x:row>
    <x:row r="22">
      <x:c r="A22" s="12" t="str">
        <x:v>Q17</x:v>
      </x:c>
      <x:c r="B22" s="12" t="str">
        <x:v>性格</x:v>
      </x:c>
      <x:c r="C22" s="12" t="str">
        <x:v>失敗が続いたときは、リスクを取るより確実な選択に切り替える。</x:v>
      </x:c>
      <x:c r="D22" s="12" t="str">
        <x:v>リスク許容</x:v>
      </x:c>
      <x:c r="E22" s="12" t="str">
        <x:v>逆転項目</x:v>
      </x:c>
      <x:c r="F22" s="57" t="n">
        <x:v>0</x:v>
      </x:c>
      <x:c r="G22" s="57" t="n">
        <x:v>-1</x:v>
      </x:c>
      <x:c r="H22" s="57" t="n">
        <x:v>0</x:v>
      </x:c>
      <x:c r="I22" s="57" t="n">
        <x:v>0</x:v>
      </x:c>
      <x:c r="J22" s="57" t="n">
        <x:v>0.3</x:v>
      </x:c>
      <x:c r="K22" s="57" t="n">
        <x:v>0</x:v>
      </x:c>
      <x:c r="L22" s="57" t="n">
        <x:v>0</x:v>
      </x:c>
      <x:c r="M22" s="57" t="n">
        <x:v>0</x:v>
      </x:c>
      <x:c r="N22" s="57" t="n">
        <x:v>0</x:v>
      </x:c>
      <x:c r="O22" s="57" t="n">
        <x:v>0</x:v>
      </x:c>
      <x:c r="P22" s="57" t="n">
        <x:v>0</x:v>
      </x:c>
      <x:c r="Q22" s="57" t="n">
        <x:v>0</x:v>
      </x:c>
      <x:c r="R22" s="57" t="n">
        <x:v>0</x:v>
      </x:c>
      <x:c r="S22" s="57" t="n">
        <x:v>0</x:v>
      </x:c>
      <x:c r="T22" s="57" t="n">
        <x:v>0</x:v>
      </x:c>
      <x:c r="U22" s="57" t="n">
        <x:v>0</x:v>
      </x:c>
      <x:c r="V22" s="57" t="n">
        <x:v>0</x:v>
      </x:c>
      <x:c r="W22" s="57" t="n">
        <x:v>0</x:v>
      </x:c>
      <x:c r="X22" s="57" t="n">
        <x:v>0</x:v>
      </x:c>
      <x:c r="Y22" s="57" t="n">
        <x:v>0</x:v>
      </x:c>
      <x:c r="Z22" s="57" t="n">
        <x:v>0</x:v>
      </x:c>
      <x:c r="AA22" s="57" t="n">
        <x:v>0</x:v>
      </x:c>
      <x:c r="AB22" s="12" t="str">
        <x:v>不調時のリスク抑制</x:v>
      </x:c>
    </x:row>
    <x:row r="23">
      <x:c r="A23" s="12" t="str">
        <x:v>Q18</x:v>
      </x:c>
      <x:c r="B23" s="12" t="str">
        <x:v>性格</x:v>
      </x:c>
      <x:c r="C23" s="12" t="str">
        <x:v>周囲に合わせるより、自分の得意なやり方を優先したい。</x:v>
      </x:c>
      <x:c r="D23" s="12" t="str">
        <x:v>自己完結</x:v>
      </x:c>
      <x:c r="E23" s="12" t="str">
        <x:v>協働・適応には逆方向</x:v>
      </x:c>
      <x:c r="F23" s="57" t="n">
        <x:v>0</x:v>
      </x:c>
      <x:c r="G23" s="57" t="n">
        <x:v>0</x:v>
      </x:c>
      <x:c r="H23" s="57" t="n">
        <x:v>-0.7</x:v>
      </x:c>
      <x:c r="I23" s="57" t="n">
        <x:v>0.5</x:v>
      </x:c>
      <x:c r="J23" s="57" t="n">
        <x:v>0</x:v>
      </x:c>
      <x:c r="K23" s="57" t="n">
        <x:v>-0.2</x:v>
      </x:c>
      <x:c r="L23" s="57" t="n">
        <x:v>0</x:v>
      </x:c>
      <x:c r="M23" s="57" t="n">
        <x:v>0</x:v>
      </x:c>
      <x:c r="N23" s="57" t="n">
        <x:v>0</x:v>
      </x:c>
      <x:c r="O23" s="57" t="n">
        <x:v>0</x:v>
      </x:c>
      <x:c r="P23" s="57" t="n">
        <x:v>0</x:v>
      </x:c>
      <x:c r="Q23" s="57" t="n">
        <x:v>0</x:v>
      </x:c>
      <x:c r="R23" s="57" t="n">
        <x:v>0</x:v>
      </x:c>
      <x:c r="S23" s="57" t="n">
        <x:v>0</x:v>
      </x:c>
      <x:c r="T23" s="57" t="n">
        <x:v>0</x:v>
      </x:c>
      <x:c r="U23" s="57" t="n">
        <x:v>0</x:v>
      </x:c>
      <x:c r="V23" s="57" t="n">
        <x:v>0</x:v>
      </x:c>
      <x:c r="W23" s="57" t="n">
        <x:v>0</x:v>
      </x:c>
      <x:c r="X23" s="57" t="n">
        <x:v>0</x:v>
      </x:c>
      <x:c r="Y23" s="57" t="n">
        <x:v>0</x:v>
      </x:c>
      <x:c r="Z23" s="57" t="n">
        <x:v>0</x:v>
      </x:c>
      <x:c r="AA23" s="57" t="n">
        <x:v>0</x:v>
      </x:c>
      <x:c r="AB23" s="12" t="str">
        <x:v>個人最適を優先する度合い</x:v>
      </x:c>
    </x:row>
    <x:row r="24">
      <x:c r="A24" s="12" t="str">
        <x:v>Q19</x:v>
      </x:c>
      <x:c r="B24" s="12" t="str">
        <x:v>性格</x:v>
      </x:c>
      <x:c r="C24" s="12" t="str">
        <x:v>意見が違う相手とも、意図をくみ取って役割を調整できる方だ。</x:v>
      </x:c>
      <x:c r="D24" s="12" t="str">
        <x:v>協働・適応</x:v>
      </x:c>
      <x:c r="E24" s="12" t="str"/>
      <x:c r="F24" s="57" t="n">
        <x:v>0</x:v>
      </x:c>
      <x:c r="G24" s="57" t="n">
        <x:v>0</x:v>
      </x:c>
      <x:c r="H24" s="57" t="n">
        <x:v>0.6</x:v>
      </x:c>
      <x:c r="I24" s="57" t="n">
        <x:v>0</x:v>
      </x:c>
      <x:c r="J24" s="57" t="n">
        <x:v>0</x:v>
      </x:c>
      <x:c r="K24" s="57" t="n">
        <x:v>0.7</x:v>
      </x:c>
      <x:c r="L24" s="57" t="n">
        <x:v>0</x:v>
      </x:c>
      <x:c r="M24" s="57" t="n">
        <x:v>0</x:v>
      </x:c>
      <x:c r="N24" s="57" t="n">
        <x:v>0</x:v>
      </x:c>
      <x:c r="O24" s="57" t="n">
        <x:v>0</x:v>
      </x:c>
      <x:c r="P24" s="57" t="n">
        <x:v>0</x:v>
      </x:c>
      <x:c r="Q24" s="57" t="n">
        <x:v>0</x:v>
      </x:c>
      <x:c r="R24" s="57" t="n">
        <x:v>0</x:v>
      </x:c>
      <x:c r="S24" s="57" t="n">
        <x:v>0</x:v>
      </x:c>
      <x:c r="T24" s="57" t="n">
        <x:v>0</x:v>
      </x:c>
      <x:c r="U24" s="57" t="n">
        <x:v>0</x:v>
      </x:c>
      <x:c r="V24" s="57" t="n">
        <x:v>0</x:v>
      </x:c>
      <x:c r="W24" s="57" t="n">
        <x:v>0</x:v>
      </x:c>
      <x:c r="X24" s="57" t="n">
        <x:v>0</x:v>
      </x:c>
      <x:c r="Y24" s="57" t="n">
        <x:v>0</x:v>
      </x:c>
      <x:c r="Z24" s="57" t="n">
        <x:v>0</x:v>
      </x:c>
      <x:c r="AA24" s="57" t="n">
        <x:v>0</x:v>
      </x:c>
      <x:c r="AB24" s="12" t="str">
        <x:v>他者との調整と柔軟性</x:v>
      </x:c>
    </x:row>
    <x:row r="25">
      <x:c r="A25" s="12" t="str">
        <x:v>Q20</x:v>
      </x:c>
      <x:c r="B25" s="12" t="str">
        <x:v>性格</x:v>
      </x:c>
      <x:c r="C25" s="12" t="str">
        <x:v>選択肢が多く複雑な状況ほど、考える面白さを感じる。</x:v>
      </x:c>
      <x:c r="D25" s="12" t="str">
        <x:v>熟練・適応</x:v>
      </x:c>
      <x:c r="E25" s="12" t="str"/>
      <x:c r="F25" s="57" t="n">
        <x:v>0</x:v>
      </x:c>
      <x:c r="G25" s="57" t="n">
        <x:v>0</x:v>
      </x:c>
      <x:c r="H25" s="57" t="n">
        <x:v>0</x:v>
      </x:c>
      <x:c r="I25" s="57" t="n">
        <x:v>0</x:v>
      </x:c>
      <x:c r="J25" s="57" t="n">
        <x:v>0.3</x:v>
      </x:c>
      <x:c r="K25" s="57" t="n">
        <x:v>0.4</x:v>
      </x:c>
      <x:c r="L25" s="57" t="n">
        <x:v>0.6</x:v>
      </x:c>
      <x:c r="M25" s="57" t="n">
        <x:v>0</x:v>
      </x:c>
      <x:c r="N25" s="57" t="n">
        <x:v>0</x:v>
      </x:c>
      <x:c r="O25" s="57" t="n">
        <x:v>0</x:v>
      </x:c>
      <x:c r="P25" s="57" t="n">
        <x:v>0</x:v>
      </x:c>
      <x:c r="Q25" s="57" t="n">
        <x:v>0</x:v>
      </x:c>
      <x:c r="R25" s="57" t="n">
        <x:v>0</x:v>
      </x:c>
      <x:c r="S25" s="57" t="n">
        <x:v>0</x:v>
      </x:c>
      <x:c r="T25" s="57" t="n">
        <x:v>0</x:v>
      </x:c>
      <x:c r="U25" s="57" t="n">
        <x:v>0</x:v>
      </x:c>
      <x:c r="V25" s="57" t="n">
        <x:v>0</x:v>
      </x:c>
      <x:c r="W25" s="57" t="n">
        <x:v>0</x:v>
      </x:c>
      <x:c r="X25" s="57" t="n">
        <x:v>0</x:v>
      </x:c>
      <x:c r="Y25" s="57" t="n">
        <x:v>0</x:v>
      </x:c>
      <x:c r="Z25" s="57" t="n">
        <x:v>0</x:v>
      </x:c>
      <x:c r="AA25" s="57" t="n">
        <x:v>0</x:v>
      </x:c>
      <x:c r="AB25" s="12" t="str">
        <x:v>複雑さへの耐性・楽しさ</x:v>
      </x:c>
    </x:row>
    <x:row r="26">
      <x:c r="A26" s="12" t="str">
        <x:v>Q21</x:v>
      </x:c>
      <x:c r="B26" s="12" t="str">
        <x:v>ゲーム嗜好</x:v>
      </x:c>
      <x:c r="C26" s="12" t="str">
        <x:v>集団戦では、相手の出方を待つより自分から仕掛ける方が楽しい。</x:v>
      </x:c>
      <x:c r="D26" s="12" t="str">
        <x:v>開戦・突入</x:v>
      </x:c>
      <x:c r="E26" s="12" t="str"/>
      <x:c r="F26" s="57" t="n">
        <x:v>0</x:v>
      </x:c>
      <x:c r="G26" s="57" t="n">
        <x:v>0</x:v>
      </x:c>
      <x:c r="H26" s="57" t="n">
        <x:v>0</x:v>
      </x:c>
      <x:c r="I26" s="57" t="n">
        <x:v>0</x:v>
      </x:c>
      <x:c r="J26" s="57" t="n">
        <x:v>0</x:v>
      </x:c>
      <x:c r="K26" s="57" t="n">
        <x:v>0</x:v>
      </x:c>
      <x:c r="L26" s="57" t="n">
        <x:v>0</x:v>
      </x:c>
      <x:c r="M26" s="57" t="n">
        <x:v>1</x:v>
      </x:c>
      <x:c r="N26" s="57" t="n">
        <x:v>0.6</x:v>
      </x:c>
      <x:c r="O26" s="57" t="n">
        <x:v>-0.5</x:v>
      </x:c>
      <x:c r="P26" s="57" t="n">
        <x:v>0.2</x:v>
      </x:c>
      <x:c r="Q26" s="57" t="n">
        <x:v>0</x:v>
      </x:c>
      <x:c r="R26" s="57" t="n">
        <x:v>0.2</x:v>
      </x:c>
      <x:c r="S26" s="57" t="n">
        <x:v>0</x:v>
      </x:c>
      <x:c r="T26" s="57" t="n">
        <x:v>-0.1</x:v>
      </x:c>
      <x:c r="U26" s="57" t="n">
        <x:v>0</x:v>
      </x:c>
      <x:c r="V26" s="57" t="n">
        <x:v>0.1</x:v>
      </x:c>
      <x:c r="W26" s="57" t="n">
        <x:v>0</x:v>
      </x:c>
      <x:c r="X26" s="57" t="n">
        <x:v>0</x:v>
      </x:c>
      <x:c r="Y26" s="57" t="n">
        <x:v>0</x:v>
      </x:c>
      <x:c r="Z26" s="57" t="n">
        <x:v>0</x:v>
      </x:c>
      <x:c r="AA26" s="57" t="n">
        <x:v>0.1</x:v>
      </x:c>
      <x:c r="AB26" s="12" t="str">
        <x:v>Engage/Diveを直接補正</x:v>
      </x:c>
    </x:row>
    <x:row r="27">
      <x:c r="A27" s="12" t="str">
        <x:v>Q22</x:v>
      </x:c>
      <x:c r="B27" s="12" t="str">
        <x:v>ゲーム嗜好</x:v>
      </x:c>
      <x:c r="C27" s="12" t="str">
        <x:v>危険な位置に入るより、安全な距離から相手を削り続ける方が好きだ。</x:v>
      </x:c>
      <x:c r="D27" s="12" t="str">
        <x:v>Poke</x:v>
      </x:c>
      <x:c r="E27" s="12" t="str"/>
      <x:c r="F27" s="57" t="n">
        <x:v>0</x:v>
      </x:c>
      <x:c r="G27" s="57" t="n">
        <x:v>0</x:v>
      </x:c>
      <x:c r="H27" s="57" t="n">
        <x:v>0</x:v>
      </x:c>
      <x:c r="I27" s="57" t="n">
        <x:v>0</x:v>
      </x:c>
      <x:c r="J27" s="57" t="n">
        <x:v>0</x:v>
      </x:c>
      <x:c r="K27" s="57" t="n">
        <x:v>0</x:v>
      </x:c>
      <x:c r="L27" s="57" t="n">
        <x:v>0</x:v>
      </x:c>
      <x:c r="M27" s="57" t="n">
        <x:v>-0.2</x:v>
      </x:c>
      <x:c r="N27" s="57" t="n">
        <x:v>-0.7</x:v>
      </x:c>
      <x:c r="O27" s="57" t="n">
        <x:v>0</x:v>
      </x:c>
      <x:c r="P27" s="57" t="n">
        <x:v>-0.5</x:v>
      </x:c>
      <x:c r="Q27" s="57" t="n">
        <x:v>1</x:v>
      </x:c>
      <x:c r="R27" s="57" t="n">
        <x:v>-0.1</x:v>
      </x:c>
      <x:c r="S27" s="57" t="n">
        <x:v>0.2</x:v>
      </x:c>
      <x:c r="T27" s="57" t="n">
        <x:v>0.2</x:v>
      </x:c>
      <x:c r="U27" s="57" t="n">
        <x:v>0</x:v>
      </x:c>
      <x:c r="V27" s="57" t="n">
        <x:v>0</x:v>
      </x:c>
      <x:c r="W27" s="57" t="n">
        <x:v>0.1</x:v>
      </x:c>
      <x:c r="X27" s="57" t="n">
        <x:v>0</x:v>
      </x:c>
      <x:c r="Y27" s="57" t="n">
        <x:v>0</x:v>
      </x:c>
      <x:c r="Z27" s="57" t="n">
        <x:v>0.1</x:v>
      </x:c>
      <x:c r="AA27" s="57" t="n">
        <x:v>0.1</x:v>
      </x:c>
      <x:c r="AB27" s="12" t="str">
        <x:v>Poke型への直接嗜好</x:v>
      </x:c>
    </x:row>
    <x:row r="28">
      <x:c r="A28" s="12" t="str">
        <x:v>Q23</x:v>
      </x:c>
      <x:c r="B28" s="12" t="str">
        <x:v>ゲーム嗜好</x:v>
      </x:c>
      <x:c r="C28" s="12" t="str">
        <x:v>味方を守ったり助けたりすることで試合を動かすのが好きだ。</x:v>
      </x:c>
      <x:c r="D28" s="12" t="str">
        <x:v>Peel/Support</x:v>
      </x:c>
      <x:c r="E28" s="12" t="str"/>
      <x:c r="F28" s="57" t="n">
        <x:v>0</x:v>
      </x:c>
      <x:c r="G28" s="57" t="n">
        <x:v>0</x:v>
      </x:c>
      <x:c r="H28" s="57" t="n">
        <x:v>0</x:v>
      </x:c>
      <x:c r="I28" s="57" t="n">
        <x:v>0</x:v>
      </x:c>
      <x:c r="J28" s="57" t="n">
        <x:v>0</x:v>
      </x:c>
      <x:c r="K28" s="57" t="n">
        <x:v>0</x:v>
      </x:c>
      <x:c r="L28" s="57" t="n">
        <x:v>0</x:v>
      </x:c>
      <x:c r="M28" s="57" t="n">
        <x:v>0</x:v>
      </x:c>
      <x:c r="N28" s="57" t="n">
        <x:v>0</x:v>
      </x:c>
      <x:c r="O28" s="57" t="n">
        <x:v>1</x:v>
      </x:c>
      <x:c r="P28" s="57" t="n">
        <x:v>0.3</x:v>
      </x:c>
      <x:c r="Q28" s="57" t="n">
        <x:v>0</x:v>
      </x:c>
      <x:c r="R28" s="57" t="n">
        <x:v>-0.3</x:v>
      </x:c>
      <x:c r="S28" s="57" t="n">
        <x:v>0.1</x:v>
      </x:c>
      <x:c r="T28" s="57" t="n">
        <x:v>0.4</x:v>
      </x:c>
      <x:c r="U28" s="57" t="n">
        <x:v>1</x:v>
      </x:c>
      <x:c r="V28" s="57" t="n">
        <x:v>0</x:v>
      </x:c>
      <x:c r="W28" s="57" t="n">
        <x:v>0</x:v>
      </x:c>
      <x:c r="X28" s="57" t="n">
        <x:v>0.1</x:v>
      </x:c>
      <x:c r="Y28" s="57" t="n">
        <x:v>0</x:v>
      </x:c>
      <x:c r="Z28" s="57" t="n">
        <x:v>0</x:v>
      </x:c>
      <x:c r="AA28" s="57" t="n">
        <x:v>0.1</x:v>
      </x:c>
      <x:c r="AB28" s="12" t="str">
        <x:v>支援・保護への直接嗜好</x:v>
      </x:c>
    </x:row>
    <x:row r="29">
      <x:c r="A29" s="12" t="str">
        <x:v>Q24</x:v>
      </x:c>
      <x:c r="B29" s="12" t="str">
        <x:v>ゲーム嗜好</x:v>
      </x:c>
      <x:c r="C29" s="12" t="str">
        <x:v>味方と固まるより、単独で動いて相手の隙や空いた場所を突くのが好きだ。</x:v>
      </x:c>
      <x:c r="D29" s="12" t="str">
        <x:v>Roam/Side</x:v>
      </x:c>
      <x:c r="E29" s="12" t="str"/>
      <x:c r="F29" s="57" t="n">
        <x:v>0</x:v>
      </x:c>
      <x:c r="G29" s="57" t="n">
        <x:v>0</x:v>
      </x:c>
      <x:c r="H29" s="57" t="n">
        <x:v>0</x:v>
      </x:c>
      <x:c r="I29" s="57" t="n">
        <x:v>0</x:v>
      </x:c>
      <x:c r="J29" s="57" t="n">
        <x:v>0</x:v>
      </x:c>
      <x:c r="K29" s="57" t="n">
        <x:v>0</x:v>
      </x:c>
      <x:c r="L29" s="57" t="n">
        <x:v>0</x:v>
      </x:c>
      <x:c r="M29" s="57" t="n">
        <x:v>0.1</x:v>
      </x:c>
      <x:c r="N29" s="57" t="n">
        <x:v>0.5</x:v>
      </x:c>
      <x:c r="O29" s="57" t="n">
        <x:v>-0.4</x:v>
      </x:c>
      <x:c r="P29" s="57" t="n">
        <x:v>0</x:v>
      </x:c>
      <x:c r="Q29" s="57" t="n">
        <x:v>0</x:v>
      </x:c>
      <x:c r="R29" s="57" t="n">
        <x:v>0.2</x:v>
      </x:c>
      <x:c r="S29" s="57" t="n">
        <x:v>0</x:v>
      </x:c>
      <x:c r="T29" s="57" t="n">
        <x:v>0</x:v>
      </x:c>
      <x:c r="U29" s="57" t="n">
        <x:v>-0.5</x:v>
      </x:c>
      <x:c r="V29" s="57" t="n">
        <x:v>0.8</x:v>
      </x:c>
      <x:c r="W29" s="57" t="n">
        <x:v>0</x:v>
      </x:c>
      <x:c r="X29" s="57" t="n">
        <x:v>0</x:v>
      </x:c>
      <x:c r="Y29" s="57" t="n">
        <x:v>1</x:v>
      </x:c>
      <x:c r="Z29" s="57" t="n">
        <x:v>0.1</x:v>
      </x:c>
      <x:c r="AA29" s="57" t="n">
        <x:v>0.2</x:v>
      </x:c>
      <x:c r="AB29" s="12" t="str">
        <x:v>ローム・サイド圧への嗜好</x:v>
      </x:c>
    </x:row>
    <x:row r="30">
      <x:c r="A30" s="12" t="str">
        <x:v>Q25</x:v>
      </x:c>
      <x:c r="B30" s="12" t="str">
        <x:v>ゲーム嗜好</x:v>
      </x:c>
      <x:c r="C30" s="12" t="str">
        <x:v>序盤から強いキャラより、育って後半に大きく仕事をするキャラが好きだ。</x:v>
      </x:c>
      <x:c r="D30" s="12" t="str">
        <x:v>Scaling</x:v>
      </x:c>
      <x:c r="E30" s="12" t="str"/>
      <x:c r="F30" s="57" t="n">
        <x:v>0</x:v>
      </x:c>
      <x:c r="G30" s="57" t="n">
        <x:v>0</x:v>
      </x:c>
      <x:c r="H30" s="57" t="n">
        <x:v>0</x:v>
      </x:c>
      <x:c r="I30" s="57" t="n">
        <x:v>0</x:v>
      </x:c>
      <x:c r="J30" s="57" t="n">
        <x:v>0</x:v>
      </x:c>
      <x:c r="K30" s="57" t="n">
        <x:v>0</x:v>
      </x:c>
      <x:c r="L30" s="57" t="n">
        <x:v>0</x:v>
      </x:c>
      <x:c r="M30" s="57" t="n">
        <x:v>-0.3</x:v>
      </x:c>
      <x:c r="N30" s="57" t="n">
        <x:v>0</x:v>
      </x:c>
      <x:c r="O30" s="57" t="n">
        <x:v>0</x:v>
      </x:c>
      <x:c r="P30" s="57" t="n">
        <x:v>0</x:v>
      </x:c>
      <x:c r="Q30" s="57" t="n">
        <x:v>0</x:v>
      </x:c>
      <x:c r="R30" s="57" t="n">
        <x:v>0</x:v>
      </x:c>
      <x:c r="S30" s="57" t="n">
        <x:v>0.4</x:v>
      </x:c>
      <x:c r="T30" s="57" t="n">
        <x:v>0</x:v>
      </x:c>
      <x:c r="U30" s="57" t="n">
        <x:v>0</x:v>
      </x:c>
      <x:c r="V30" s="57" t="n">
        <x:v>0</x:v>
      </x:c>
      <x:c r="W30" s="57" t="n">
        <x:v>1</x:v>
      </x:c>
      <x:c r="X30" s="57" t="n">
        <x:v>0</x:v>
      </x:c>
      <x:c r="Y30" s="57" t="n">
        <x:v>0</x:v>
      </x:c>
      <x:c r="Z30" s="57" t="n">
        <x:v>0</x:v>
      </x:c>
      <x:c r="AA30" s="57" t="n">
        <x:v>0.1</x:v>
      </x:c>
      <x:c r="AB30" s="12" t="str">
        <x:v>育成・スケールへの嗜好</x:v>
      </x:c>
    </x:row>
    <x:row r="31">
      <x:c r="A31" s="12" t="str">
        <x:v>Q26</x:v>
      </x:c>
      <x:c r="B31" s="12" t="str">
        <x:v>ゲーム嗜好</x:v>
      </x:c>
      <x:c r="C31" s="12" t="str">
        <x:v>レックウザなど重要な場面の取り切りを、自分で担えるキャラに魅力を感じる。</x:v>
      </x:c>
      <x:c r="D31" s="12" t="str">
        <x:v>Objective</x:v>
      </x:c>
      <x:c r="E31" s="12" t="str"/>
      <x:c r="F31" s="57" t="n">
        <x:v>0</x:v>
      </x:c>
      <x:c r="G31" s="57" t="n">
        <x:v>0</x:v>
      </x:c>
      <x:c r="H31" s="57" t="n">
        <x:v>0</x:v>
      </x:c>
      <x:c r="I31" s="57" t="n">
        <x:v>0</x:v>
      </x:c>
      <x:c r="J31" s="57" t="n">
        <x:v>0</x:v>
      </x:c>
      <x:c r="K31" s="57" t="n">
        <x:v>0</x:v>
      </x:c>
      <x:c r="L31" s="57" t="n">
        <x:v>0</x:v>
      </x:c>
      <x:c r="M31" s="57" t="n">
        <x:v>0.1</x:v>
      </x:c>
      <x:c r="N31" s="57" t="n">
        <x:v>0.1</x:v>
      </x:c>
      <x:c r="O31" s="57" t="n">
        <x:v>0</x:v>
      </x:c>
      <x:c r="P31" s="57" t="n">
        <x:v>0</x:v>
      </x:c>
      <x:c r="Q31" s="57" t="n">
        <x:v>0</x:v>
      </x:c>
      <x:c r="R31" s="57" t="n">
        <x:v>0.4</x:v>
      </x:c>
      <x:c r="S31" s="57" t="n">
        <x:v>0</x:v>
      </x:c>
      <x:c r="T31" s="57" t="n">
        <x:v>0</x:v>
      </x:c>
      <x:c r="U31" s="57" t="n">
        <x:v>0</x:v>
      </x:c>
      <x:c r="V31" s="57" t="n">
        <x:v>0.1</x:v>
      </x:c>
      <x:c r="W31" s="57" t="n">
        <x:v>0</x:v>
      </x:c>
      <x:c r="X31" s="57" t="n">
        <x:v>1</x:v>
      </x:c>
      <x:c r="Y31" s="57" t="n">
        <x:v>0</x:v>
      </x:c>
      <x:c r="Z31" s="57" t="n">
        <x:v>0.1</x:v>
      </x:c>
      <x:c r="AA31" s="57" t="n">
        <x:v>0.3</x:v>
      </x:c>
      <x:c r="AB31" s="12" t="str">
        <x:v>オブジェクト確保への嗜好</x:v>
      </x:c>
    </x:row>
    <x:row r="32">
      <x:c r="A32" s="12" t="str">
        <x:v>Q27</x:v>
      </x:c>
      <x:c r="B32" s="12" t="str">
        <x:v>操作嗜好</x:v>
      </x:c>
      <x:c r="C32" s="12" t="str">
        <x:v>操作が難しくても、コンボやエイムを極めるほど差が出るキャラが好きだ。</x:v>
      </x:c>
      <x:c r="D32" s="12" t="str">
        <x:v>Execution</x:v>
      </x:c>
      <x:c r="E32" s="12" t="str"/>
      <x:c r="F32" s="57" t="n">
        <x:v>0</x:v>
      </x:c>
      <x:c r="G32" s="57" t="n">
        <x:v>0</x:v>
      </x:c>
      <x:c r="H32" s="57" t="n">
        <x:v>0</x:v>
      </x:c>
      <x:c r="I32" s="57" t="n">
        <x:v>0</x:v>
      </x:c>
      <x:c r="J32" s="57" t="n">
        <x:v>0</x:v>
      </x:c>
      <x:c r="K32" s="57" t="n">
        <x:v>0</x:v>
      </x:c>
      <x:c r="L32" s="57" t="n">
        <x:v>0</x:v>
      </x:c>
      <x:c r="M32" s="57" t="n">
        <x:v>0</x:v>
      </x:c>
      <x:c r="N32" s="57" t="n">
        <x:v>0</x:v>
      </x:c>
      <x:c r="O32" s="57" t="n">
        <x:v>0</x:v>
      </x:c>
      <x:c r="P32" s="57" t="n">
        <x:v>0</x:v>
      </x:c>
      <x:c r="Q32" s="57" t="n">
        <x:v>0</x:v>
      </x:c>
      <x:c r="R32" s="57" t="n">
        <x:v>0</x:v>
      </x:c>
      <x:c r="S32" s="57" t="n">
        <x:v>0</x:v>
      </x:c>
      <x:c r="T32" s="57" t="n">
        <x:v>0</x:v>
      </x:c>
      <x:c r="U32" s="57" t="n">
        <x:v>0</x:v>
      </x:c>
      <x:c r="V32" s="57" t="n">
        <x:v>0</x:v>
      </x:c>
      <x:c r="W32" s="57" t="n">
        <x:v>0</x:v>
      </x:c>
      <x:c r="X32" s="57" t="n">
        <x:v>0</x:v>
      </x:c>
      <x:c r="Y32" s="57" t="n">
        <x:v>0</x:v>
      </x:c>
      <x:c r="Z32" s="57" t="n">
        <x:v>1</x:v>
      </x:c>
      <x:c r="AA32" s="57" t="n">
        <x:v>0.2</x:v>
      </x:c>
      <x:c r="AB32" s="12" t="str">
        <x:v>操作難度への直接嗜好</x:v>
      </x:c>
    </x:row>
    <x:row r="33">
      <x:c r="A33" s="12" t="str">
        <x:v>Q28</x:v>
      </x:c>
      <x:c r="B33" s="12" t="str">
        <x:v>操作嗜好</x:v>
      </x:c>
      <x:c r="C33" s="12" t="str">
        <x:v>瞬間的な反応や素早い操作を求められるプレイの方が楽しい。</x:v>
      </x:c>
      <x:c r="D33" s="12" t="str">
        <x:v>Execution/Mobility</x:v>
      </x:c>
      <x:c r="E33" s="12" t="str"/>
      <x:c r="F33" s="57" t="n">
        <x:v>0</x:v>
      </x:c>
      <x:c r="G33" s="57" t="n">
        <x:v>0</x:v>
      </x:c>
      <x:c r="H33" s="57" t="n">
        <x:v>0</x:v>
      </x:c>
      <x:c r="I33" s="57" t="n">
        <x:v>0</x:v>
      </x:c>
      <x:c r="J33" s="57" t="n">
        <x:v>0</x:v>
      </x:c>
      <x:c r="K33" s="57" t="n">
        <x:v>0</x:v>
      </x:c>
      <x:c r="L33" s="57" t="n">
        <x:v>0</x:v>
      </x:c>
      <x:c r="M33" s="57" t="n">
        <x:v>0.1</x:v>
      </x:c>
      <x:c r="N33" s="57" t="n">
        <x:v>0.4</x:v>
      </x:c>
      <x:c r="O33" s="57" t="n">
        <x:v>0</x:v>
      </x:c>
      <x:c r="P33" s="57" t="n">
        <x:v>0</x:v>
      </x:c>
      <x:c r="Q33" s="57" t="n">
        <x:v>0</x:v>
      </x:c>
      <x:c r="R33" s="57" t="n">
        <x:v>0.2</x:v>
      </x:c>
      <x:c r="S33" s="57" t="n">
        <x:v>0</x:v>
      </x:c>
      <x:c r="T33" s="57" t="n">
        <x:v>0</x:v>
      </x:c>
      <x:c r="U33" s="57" t="n">
        <x:v>0</x:v>
      </x:c>
      <x:c r="V33" s="57" t="n">
        <x:v>0.5</x:v>
      </x:c>
      <x:c r="W33" s="57" t="n">
        <x:v>0</x:v>
      </x:c>
      <x:c r="X33" s="57" t="n">
        <x:v>0</x:v>
      </x:c>
      <x:c r="Y33" s="57" t="n">
        <x:v>0.1</x:v>
      </x:c>
      <x:c r="Z33" s="57" t="n">
        <x:v>0.6</x:v>
      </x:c>
      <x:c r="AA33" s="57" t="n">
        <x:v>0.2</x:v>
      </x:c>
      <x:c r="AB33" s="12" t="str">
        <x:v>反応速度・機動への嗜好</x:v>
      </x:c>
    </x:row>
    <x:row r="34">
      <x:c r="A34" s="12" t="str">
        <x:v>Q29</x:v>
      </x:c>
      <x:c r="B34" s="12" t="str">
        <x:v>操作嗜好</x:v>
      </x:c>
      <x:c r="C34" s="12" t="str">
        <x:v>細かな操作より、盤面を見て次の展開を読むことに面白さを感じる。</x:v>
      </x:c>
      <x:c r="D34" s="12" t="str">
        <x:v>Decision/Control</x:v>
      </x:c>
      <x:c r="E34" s="12" t="str"/>
      <x:c r="F34" s="57" t="n">
        <x:v>0</x:v>
      </x:c>
      <x:c r="G34" s="57" t="n">
        <x:v>0</x:v>
      </x:c>
      <x:c r="H34" s="57" t="n">
        <x:v>0</x:v>
      </x:c>
      <x:c r="I34" s="57" t="n">
        <x:v>0</x:v>
      </x:c>
      <x:c r="J34" s="57" t="n">
        <x:v>0</x:v>
      </x:c>
      <x:c r="K34" s="57" t="n">
        <x:v>0</x:v>
      </x:c>
      <x:c r="L34" s="57" t="n">
        <x:v>0</x:v>
      </x:c>
      <x:c r="M34" s="57" t="n">
        <x:v>0</x:v>
      </x:c>
      <x:c r="N34" s="57" t="n">
        <x:v>0</x:v>
      </x:c>
      <x:c r="O34" s="57" t="n">
        <x:v>0.2</x:v>
      </x:c>
      <x:c r="P34" s="57" t="n">
        <x:v>0</x:v>
      </x:c>
      <x:c r="Q34" s="57" t="n">
        <x:v>0.2</x:v>
      </x:c>
      <x:c r="R34" s="57" t="n">
        <x:v>0</x:v>
      </x:c>
      <x:c r="S34" s="57" t="n">
        <x:v>0</x:v>
      </x:c>
      <x:c r="T34" s="57" t="n">
        <x:v>0.5</x:v>
      </x:c>
      <x:c r="U34" s="57" t="n">
        <x:v>0.1</x:v>
      </x:c>
      <x:c r="V34" s="57" t="n">
        <x:v>0</x:v>
      </x:c>
      <x:c r="W34" s="57" t="n">
        <x:v>0</x:v>
      </x:c>
      <x:c r="X34" s="57" t="n">
        <x:v>0.4</x:v>
      </x:c>
      <x:c r="Y34" s="57" t="n">
        <x:v>0</x:v>
      </x:c>
      <x:c r="Z34" s="57" t="n">
        <x:v>0</x:v>
      </x:c>
      <x:c r="AA34" s="57" t="n">
        <x:v>1</x:v>
      </x:c>
      <x:c r="AB34" s="12" t="str">
        <x:v>マクロ判断への直接嗜好</x:v>
      </x:c>
    </x:row>
    <x:row r="35">
      <x:c r="A35" s="12" t="str">
        <x:v>Q30</x:v>
      </x:c>
      <x:c r="B35" s="12" t="str">
        <x:v>操作嗜好</x:v>
      </x:c>
      <x:c r="C35" s="12" t="str">
        <x:v>一発の爆発力より、長い時間安定して仕事を続けられる方が好きだ。</x:v>
      </x:c>
      <x:c r="D35" s="12" t="str">
        <x:v>Sustain</x:v>
      </x:c>
      <x:c r="E35" s="12" t="str"/>
      <x:c r="F35" s="57" t="n">
        <x:v>0</x:v>
      </x:c>
      <x:c r="G35" s="57" t="n">
        <x:v>0</x:v>
      </x:c>
      <x:c r="H35" s="57" t="n">
        <x:v>0</x:v>
      </x:c>
      <x:c r="I35" s="57" t="n">
        <x:v>0</x:v>
      </x:c>
      <x:c r="J35" s="57" t="n">
        <x:v>0</x:v>
      </x:c>
      <x:c r="K35" s="57" t="n">
        <x:v>0</x:v>
      </x:c>
      <x:c r="L35" s="57" t="n">
        <x:v>0</x:v>
      </x:c>
      <x:c r="M35" s="57" t="n">
        <x:v>0</x:v>
      </x:c>
      <x:c r="N35" s="57" t="n">
        <x:v>0</x:v>
      </x:c>
      <x:c r="O35" s="57" t="n">
        <x:v>0.1</x:v>
      </x:c>
      <x:c r="P35" s="57" t="n">
        <x:v>0.4</x:v>
      </x:c>
      <x:c r="Q35" s="57" t="n">
        <x:v>0</x:v>
      </x:c>
      <x:c r="R35" s="57" t="n">
        <x:v>-1</x:v>
      </x:c>
      <x:c r="S35" s="57" t="n">
        <x:v>1</x:v>
      </x:c>
      <x:c r="T35" s="57" t="n">
        <x:v>0.1</x:v>
      </x:c>
      <x:c r="U35" s="57" t="n">
        <x:v>0.3</x:v>
      </x:c>
      <x:c r="V35" s="57" t="n">
        <x:v>0</x:v>
      </x:c>
      <x:c r="W35" s="57" t="n">
        <x:v>0.1</x:v>
      </x:c>
      <x:c r="X35" s="57" t="n">
        <x:v>0</x:v>
      </x:c>
      <x:c r="Y35" s="57" t="n">
        <x:v>0</x:v>
      </x:c>
      <x:c r="Z35" s="57" t="n">
        <x:v>0</x:v>
      </x:c>
      <x:c r="AA35" s="57" t="n">
        <x:v>0.1</x:v>
      </x:c>
      <x:c r="AB35" s="12" t="str">
        <x:v>BurstとSustainの対比</x:v>
      </x:c>
    </x:row>
  </x:sheetData>
  <x:mergeCells>
    <x:mergeCell ref="A1:AB2"/>
    <x:mergeCell ref="A3:AB3"/>
  </x:mergeCells>
  <x:conditionalFormatting sqref="F6:L35">
    <x:cfRule type="colorScale" priority="1">
      <x:colorScale>
        <x:cfvo type="min"/>
        <x:cfvo type="percentile" val="50"/>
        <x:cfvo type="max"/>
        <x:color rgb="FFFECACA"/>
        <x:color rgb="FFFFFFFF"/>
        <x:color rgb="FFA7F3D0"/>
      </x:colorScale>
    </x:cfRule>
  </x:conditionalFormatting>
  <x:conditionalFormatting sqref="M6:AA35">
    <x:cfRule type="colorScale" priority="2">
      <x:colorScale>
        <x:cfvo type="min"/>
        <x:cfvo type="percentile" val="50"/>
        <x:cfvo type="max"/>
        <x:color rgb="FFFECACA"/>
        <x:color rgb="FFFFFFFF"/>
        <x:color rgb="FFC4B5FD"/>
      </x:colorScale>
    </x:cfRule>
  </x:conditionalFormatting>
  <x:pageMargins left="0.7" right="0.7" top="0.75" bottom="0.75" header="0.3" footer="0.3"/>
  <x:tableParts count="1">
    <x:tablePart xmlns:r="http://schemas.openxmlformats.org/officeDocument/2006/relationships" r:id="Rb44250af828a4a97"/>
  </x:tableParts>
</x:worksheet>
</file>

<file path=xl/worksheets/sheet9.xml><?xml version="1.0" encoding="utf-8"?>
<x:worksheet xmlns:x="http://schemas.openxmlformats.org/spreadsheetml/2006/main">
  <x:sheetFormatPr defaultRowHeight="15"/>
  <x:cols>
    <x:col min="1" max="1" width="22" hidden="0" customWidth="1"/>
    <x:col min="2" max="2" width="58" hidden="0" customWidth="1"/>
    <x:col min="3" max="3" width="65" hidden="0" customWidth="1"/>
    <x:col min="4" max="4" width="14" hidden="0" customWidth="1"/>
    <x:col min="5" max="5" width="14" hidden="0" customWidth="1"/>
    <x:col min="6" max="6" width="14" hidden="0" customWidth="1"/>
    <x:col min="7" max="7" width="14" hidden="0" customWidth="1"/>
    <x:col min="8" max="8" width="14" hidden="0" customWidth="1"/>
    <x:col min="9" max="9" width="13" hidden="0" customWidth="1"/>
    <x:col min="10" max="10" width="45" hidden="0" customWidth="1"/>
    <x:col min="12" max="12" width="20" hidden="0" customWidth="1"/>
    <x:col min="13" max="13" width="16" hidden="0" customWidth="1"/>
    <x:col min="14" max="14" width="16" hidden="0" customWidth="1"/>
    <x:col min="15" max="15" width="16" hidden="0" customWidth="1"/>
  </x:cols>
  <x:sheetData>
    <x:row r="1">
      <x:c r="A1" s="59" t="str">
        <x:v>診断モデル：回答尺度・7→15翻訳行列・補正・マッチング設定</x:v>
      </x:c>
      <x:c r="B1" s="59"/>
      <x:c r="C1" s="59"/>
      <x:c r="D1" s="59"/>
      <x:c r="E1" s="59"/>
      <x:c r="F1" s="59"/>
      <x:c r="G1" s="59"/>
      <x:c r="H1" s="59"/>
      <x:c r="I1" s="59"/>
      <x:c r="J1" s="59"/>
      <x:c r="K1" s="59"/>
      <x:c r="L1" s="59"/>
      <x:c r="M1" s="59"/>
      <x:c r="N1" s="59"/>
      <x:c r="O1" s="59"/>
    </x:row>
    <x:row r="2">
      <x:c r="A2" s="59"/>
      <x:c r="B2" s="59"/>
      <x:c r="C2" s="59"/>
      <x:c r="D2" s="59"/>
      <x:c r="E2" s="59"/>
      <x:c r="F2" s="59"/>
      <x:c r="G2" s="59"/>
      <x:c r="H2" s="59"/>
      <x:c r="I2" s="59"/>
      <x:c r="J2" s="59"/>
      <x:c r="K2" s="59"/>
      <x:c r="L2" s="59"/>
      <x:c r="M2" s="59"/>
      <x:c r="N2" s="59"/>
      <x:c r="O2" s="59"/>
    </x:row>
    <x:row r="4">
      <x:c r="A4" s="54" t="str">
        <x:v>回答値</x:v>
      </x:c>
      <x:c r="B4" s="54" t="str">
        <x:v>正規化係数</x:v>
      </x:c>
      <x:c r="C4" s="54" t="str">
        <x:v>表示ラベル</x:v>
      </x:c>
    </x:row>
    <x:row r="5">
      <x:c r="A5" t="n">
        <x:v>1</x:v>
      </x:c>
      <x:c r="B5" t="n">
        <x:v>-1</x:v>
      </x:c>
      <x:c r="C5" t="str">
        <x:v>まったく当てはまらない</x:v>
      </x:c>
    </x:row>
    <x:row r="6">
      <x:c r="A6" t="n">
        <x:v>2</x:v>
      </x:c>
      <x:c r="B6" t="n">
        <x:v>-0.5</x:v>
      </x:c>
      <x:c r="C6" t="str">
        <x:v>あまり当てはまらない</x:v>
      </x:c>
    </x:row>
    <x:row r="7">
      <x:c r="A7" t="n">
        <x:v>3</x:v>
      </x:c>
      <x:c r="B7" t="n">
        <x:v>0</x:v>
      </x:c>
      <x:c r="C7" t="str">
        <x:v>どちらともいえない</x:v>
      </x:c>
    </x:row>
    <x:row r="8">
      <x:c r="A8" t="n">
        <x:v>4</x:v>
      </x:c>
      <x:c r="B8" t="n">
        <x:v>0.5</x:v>
      </x:c>
      <x:c r="C8" t="str">
        <x:v>やや当てはまる</x:v>
      </x:c>
    </x:row>
    <x:row r="9">
      <x:c r="A9" t="n">
        <x:v>5</x:v>
      </x:c>
      <x:c r="B9" t="n">
        <x:v>1</x:v>
      </x:c>
      <x:c r="C9" t="str">
        <x:v>とても当てはまる</x:v>
      </x:c>
    </x:row>
    <x:row r="11">
      <x:c r="A11" s="54" t="str">
        <x:v>7性格軸 → 15ゲーム軸 翻訳係数</x:v>
      </x:c>
      <x:c r="B11" s="54"/>
      <x:c r="C11" s="54"/>
      <x:c r="D11" s="54"/>
      <x:c r="E11" s="54"/>
      <x:c r="F11" s="54"/>
      <x:c r="G11" s="54"/>
      <x:c r="H11" s="54"/>
      <x:c r="I11" s="54"/>
      <x:c r="J11" s="54"/>
      <x:c r="L11" s="54" t="str">
        <x:v>15軸マッチング設定</x:v>
      </x:c>
      <x:c r="M11" s="54"/>
      <x:c r="N11" s="54"/>
      <x:c r="O11" s="54"/>
    </x:row>
    <x:row r="12">
      <x:c r="A12" s="54" t="str">
        <x:v>GameAxis</x:v>
      </x:c>
      <x:c r="B12" s="54" t="str">
        <x:v>Initiative</x:v>
      </x:c>
      <x:c r="C12" s="54" t="str">
        <x:v>RiskTolerance</x:v>
      </x:c>
      <x:c r="D12" s="54" t="str">
        <x:v>Cooperation</x:v>
      </x:c>
      <x:c r="E12" s="54" t="str">
        <x:v>SelfReliance</x:v>
      </x:c>
      <x:c r="F12" s="54" t="str">
        <x:v>Planning</x:v>
      </x:c>
      <x:c r="G12" s="54" t="str">
        <x:v>Adaptability</x:v>
      </x:c>
      <x:c r="H12" s="54" t="str">
        <x:v>Mastery</x:v>
      </x:c>
      <x:c r="I12" s="54" t="str">
        <x:v>AbsCoeffSum</x:v>
      </x:c>
      <x:c r="J12" s="54" t="str">
        <x:v>式</x:v>
      </x:c>
      <x:c r="L12" s="54" t="str">
        <x:v>GameAxis</x:v>
      </x:c>
      <x:c r="M12" s="54" t="str">
        <x:v>Weight</x:v>
      </x:c>
      <x:c r="N12" s="54" t="str">
        <x:v>OverReqPenalty</x:v>
      </x:c>
      <x:c r="O12" s="54" t="str">
        <x:v>PreferenceBlend</x:v>
      </x:c>
    </x:row>
    <x:row r="13">
      <x:c r="A13" s="12" t="str">
        <x:v>Engage</x:v>
      </x:c>
      <x:c r="B13" s="57" t="n">
        <x:v>0.5</x:v>
      </x:c>
      <x:c r="C13" s="57" t="n">
        <x:v>0.2</x:v>
      </x:c>
      <x:c r="D13" s="57" t="n">
        <x:v>0.15</x:v>
      </x:c>
      <x:c r="E13" s="57" t="n">
        <x:v>0</x:v>
      </x:c>
      <x:c r="F13" s="57" t="n">
        <x:v>0</x:v>
      </x:c>
      <x:c r="G13" s="57" t="n">
        <x:v>0.15</x:v>
      </x:c>
      <x:c r="H13" s="57" t="n">
        <x:v>0</x:v>
      </x:c>
      <x:c r="I13" s="12" t="n">
        <x:f>SUMIF(B13:H13,"&gt;0",B13:H13)-SUMIF(B13:H13,"&lt;0",B13:H13)</x:f>
        <x:v>1</x:v>
      </x:c>
      <x:c r="J13" s="12" t="str">
        <x:v>50 + 50 × SUM(正規化性格×係数) / Σ|係数|</x:v>
      </x:c>
      <x:c r="L13" t="str">
        <x:v>Engage</x:v>
      </x:c>
      <x:c r="M13" s="60" t="n">
        <x:v>1</x:v>
      </x:c>
      <x:c r="N13" s="60" t="n">
        <x:v>0</x:v>
      </x:c>
      <x:c r="O13" s="60" t="n">
        <x:v>0.3</x:v>
      </x:c>
    </x:row>
    <x:row r="14">
      <x:c r="A14" s="12" t="str">
        <x:v>Dive</x:v>
      </x:c>
      <x:c r="B14" s="57" t="n">
        <x:v>0.3</x:v>
      </x:c>
      <x:c r="C14" s="57" t="n">
        <x:v>0.4</x:v>
      </x:c>
      <x:c r="D14" s="57" t="n">
        <x:v>0</x:v>
      </x:c>
      <x:c r="E14" s="57" t="n">
        <x:v>0.2</x:v>
      </x:c>
      <x:c r="F14" s="57" t="n">
        <x:v>-0.1</x:v>
      </x:c>
      <x:c r="G14" s="57" t="n">
        <x:v>0</x:v>
      </x:c>
      <x:c r="H14" s="57" t="n">
        <x:v>0</x:v>
      </x:c>
      <x:c r="I14" s="12" t="n">
        <x:f>SUMIF(B14:H14,"&gt;0",B14:H14)-SUMIF(B14:H14,"&lt;0",B14:H14)</x:f>
        <x:v>0.9999999999999999</x:v>
      </x:c>
      <x:c r="J14" s="12" t="str">
        <x:v>50 + 50 × SUM(正規化性格×係数) / Σ|係数|</x:v>
      </x:c>
      <x:c r="L14" t="str">
        <x:v>Dive</x:v>
      </x:c>
      <x:c r="M14" s="60" t="n">
        <x:v>1.2</x:v>
      </x:c>
      <x:c r="N14" s="60" t="n">
        <x:v>0.15</x:v>
      </x:c>
      <x:c r="O14" s="60" t="n">
        <x:v>0.3</x:v>
      </x:c>
    </x:row>
    <x:row r="15">
      <x:c r="A15" s="12" t="str">
        <x:v>Peel</x:v>
      </x:c>
      <x:c r="B15" s="57" t="n">
        <x:v>0</x:v>
      </x:c>
      <x:c r="C15" s="57" t="n">
        <x:v>0</x:v>
      </x:c>
      <x:c r="D15" s="57" t="n">
        <x:v>0.5</x:v>
      </x:c>
      <x:c r="E15" s="57" t="n">
        <x:v>-0.1</x:v>
      </x:c>
      <x:c r="F15" s="57" t="n">
        <x:v>0.25</x:v>
      </x:c>
      <x:c r="G15" s="57" t="n">
        <x:v>0.15</x:v>
      </x:c>
      <x:c r="H15" s="57" t="n">
        <x:v>0</x:v>
      </x:c>
      <x:c r="I15" s="12" t="n">
        <x:f>SUMIF(B15:H15,"&gt;0",B15:H15)-SUMIF(B15:H15,"&lt;0",B15:H15)</x:f>
        <x:v>1</x:v>
      </x:c>
      <x:c r="J15" s="12" t="str">
        <x:v>50 + 50 × SUM(正規化性格×係数) / Σ|係数|</x:v>
      </x:c>
      <x:c r="L15" t="str">
        <x:v>Peel</x:v>
      </x:c>
      <x:c r="M15" s="60" t="n">
        <x:v>1</x:v>
      </x:c>
      <x:c r="N15" s="60" t="n">
        <x:v>0</x:v>
      </x:c>
      <x:c r="O15" s="60" t="n">
        <x:v>0.3</x:v>
      </x:c>
    </x:row>
    <x:row r="16">
      <x:c r="A16" s="12" t="str">
        <x:v>Frontline</x:v>
      </x:c>
      <x:c r="B16" s="57" t="n">
        <x:v>0.3</x:v>
      </x:c>
      <x:c r="C16" s="57" t="n">
        <x:v>0.25</x:v>
      </x:c>
      <x:c r="D16" s="57" t="n">
        <x:v>0.25</x:v>
      </x:c>
      <x:c r="E16" s="57" t="n">
        <x:v>0.2</x:v>
      </x:c>
      <x:c r="F16" s="57" t="n">
        <x:v>0</x:v>
      </x:c>
      <x:c r="G16" s="57" t="n">
        <x:v>0</x:v>
      </x:c>
      <x:c r="H16" s="57" t="n">
        <x:v>0</x:v>
      </x:c>
      <x:c r="I16" s="12" t="n">
        <x:f>SUMIF(B16:H16,"&gt;0",B16:H16)-SUMIF(B16:H16,"&lt;0",B16:H16)</x:f>
        <x:v>1</x:v>
      </x:c>
      <x:c r="J16" s="12" t="str">
        <x:v>50 + 50 × SUM(正規化性格×係数) / Σ|係数|</x:v>
      </x:c>
      <x:c r="L16" t="str">
        <x:v>Frontline</x:v>
      </x:c>
      <x:c r="M16" s="60" t="n">
        <x:v>1</x:v>
      </x:c>
      <x:c r="N16" s="60" t="n">
        <x:v>0</x:v>
      </x:c>
      <x:c r="O16" s="60" t="n">
        <x:v>0.3</x:v>
      </x:c>
    </x:row>
    <x:row r="17">
      <x:c r="A17" s="12" t="str">
        <x:v>Poke</x:v>
      </x:c>
      <x:c r="B17" s="57" t="n">
        <x:v>0</x:v>
      </x:c>
      <x:c r="C17" s="57" t="n">
        <x:v>-0.2</x:v>
      </x:c>
      <x:c r="D17" s="57" t="n">
        <x:v>0</x:v>
      </x:c>
      <x:c r="E17" s="57" t="n">
        <x:v>0.2</x:v>
      </x:c>
      <x:c r="F17" s="57" t="n">
        <x:v>0.4</x:v>
      </x:c>
      <x:c r="G17" s="57" t="n">
        <x:v>0</x:v>
      </x:c>
      <x:c r="H17" s="57" t="n">
        <x:v>0.2</x:v>
      </x:c>
      <x:c r="I17" s="12" t="n">
        <x:f>SUMIF(B17:H17,"&gt;0",B17:H17)-SUMIF(B17:H17,"&lt;0",B17:H17)</x:f>
        <x:v>1</x:v>
      </x:c>
      <x:c r="J17" s="12" t="str">
        <x:v>50 + 50 × SUM(正規化性格×係数) / Σ|係数|</x:v>
      </x:c>
      <x:c r="L17" t="str">
        <x:v>Poke</x:v>
      </x:c>
      <x:c r="M17" s="60" t="n">
        <x:v>1</x:v>
      </x:c>
      <x:c r="N17" s="60" t="n">
        <x:v>0</x:v>
      </x:c>
      <x:c r="O17" s="60" t="n">
        <x:v>0.3</x:v>
      </x:c>
    </x:row>
    <x:row r="18">
      <x:c r="A18" s="12" t="str">
        <x:v>Burst</x:v>
      </x:c>
      <x:c r="B18" s="57" t="n">
        <x:v>0.3</x:v>
      </x:c>
      <x:c r="C18" s="57" t="n">
        <x:v>0.3</x:v>
      </x:c>
      <x:c r="D18" s="57" t="n">
        <x:v>0</x:v>
      </x:c>
      <x:c r="E18" s="57" t="n">
        <x:v>0.2</x:v>
      </x:c>
      <x:c r="F18" s="57" t="n">
        <x:v>0</x:v>
      </x:c>
      <x:c r="G18" s="57" t="n">
        <x:v>0</x:v>
      </x:c>
      <x:c r="H18" s="57" t="n">
        <x:v>0.2</x:v>
      </x:c>
      <x:c r="I18" s="12" t="n">
        <x:f>SUMIF(B18:H18,"&gt;0",B18:H18)-SUMIF(B18:H18,"&lt;0",B18:H18)</x:f>
        <x:v>1</x:v>
      </x:c>
      <x:c r="J18" s="12" t="str">
        <x:v>50 + 50 × SUM(正規化性格×係数) / Σ|係数|</x:v>
      </x:c>
      <x:c r="L18" t="str">
        <x:v>Burst</x:v>
      </x:c>
      <x:c r="M18" s="60" t="n">
        <x:v>0.9</x:v>
      </x:c>
      <x:c r="N18" s="60" t="n">
        <x:v>0</x:v>
      </x:c>
      <x:c r="O18" s="60" t="n">
        <x:v>0.3</x:v>
      </x:c>
    </x:row>
    <x:row r="19">
      <x:c r="A19" s="12" t="str">
        <x:v>SustainDPS</x:v>
      </x:c>
      <x:c r="B19" s="57" t="n">
        <x:v>0</x:v>
      </x:c>
      <x:c r="C19" s="57" t="n">
        <x:v>-0.1</x:v>
      </x:c>
      <x:c r="D19" s="57" t="n">
        <x:v>0</x:v>
      </x:c>
      <x:c r="E19" s="57" t="n">
        <x:v>0.3</x:v>
      </x:c>
      <x:c r="F19" s="57" t="n">
        <x:v>0.25</x:v>
      </x:c>
      <x:c r="G19" s="57" t="n">
        <x:v>0.15</x:v>
      </x:c>
      <x:c r="H19" s="57" t="n">
        <x:v>0.2</x:v>
      </x:c>
      <x:c r="I19" s="12" t="n">
        <x:f>SUMIF(B19:H19,"&gt;0",B19:H19)-SUMIF(B19:H19,"&lt;0",B19:H19)</x:f>
        <x:v>1.0000000000000002</x:v>
      </x:c>
      <x:c r="J19" s="12" t="str">
        <x:v>50 + 50 × SUM(正規化性格×係数) / Σ|係数|</x:v>
      </x:c>
      <x:c r="L19" t="str">
        <x:v>SustainDPS</x:v>
      </x:c>
      <x:c r="M19" s="60" t="n">
        <x:v>0.9</x:v>
      </x:c>
      <x:c r="N19" s="60" t="n">
        <x:v>0</x:v>
      </x:c>
      <x:c r="O19" s="60" t="n">
        <x:v>0.3</x:v>
      </x:c>
    </x:row>
    <x:row r="20">
      <x:c r="A20" s="12" t="str">
        <x:v>Control</x:v>
      </x:c>
      <x:c r="B20" s="57" t="n">
        <x:v>0</x:v>
      </x:c>
      <x:c r="C20" s="57" t="n">
        <x:v>0</x:v>
      </x:c>
      <x:c r="D20" s="57" t="n">
        <x:v>0.3</x:v>
      </x:c>
      <x:c r="E20" s="57" t="n">
        <x:v>0</x:v>
      </x:c>
      <x:c r="F20" s="57" t="n">
        <x:v>0.35</x:v>
      </x:c>
      <x:c r="G20" s="57" t="n">
        <x:v>0.2</x:v>
      </x:c>
      <x:c r="H20" s="57" t="n">
        <x:v>0.15</x:v>
      </x:c>
      <x:c r="I20" s="12" t="n">
        <x:f>SUMIF(B20:H20,"&gt;0",B20:H20)-SUMIF(B20:H20,"&lt;0",B20:H20)</x:f>
        <x:v>0.9999999999999999</x:v>
      </x:c>
      <x:c r="J20" s="12" t="str">
        <x:v>50 + 50 × SUM(正規化性格×係数) / Σ|係数|</x:v>
      </x:c>
      <x:c r="L20" t="str">
        <x:v>Control</x:v>
      </x:c>
      <x:c r="M20" s="60" t="n">
        <x:v>1</x:v>
      </x:c>
      <x:c r="N20" s="60" t="n">
        <x:v>0</x:v>
      </x:c>
      <x:c r="O20" s="60" t="n">
        <x:v>0.3</x:v>
      </x:c>
    </x:row>
    <x:row r="21">
      <x:c r="A21" s="12" t="str">
        <x:v>Support</x:v>
      </x:c>
      <x:c r="B21" s="57" t="n">
        <x:v>0</x:v>
      </x:c>
      <x:c r="C21" s="57" t="n">
        <x:v>0</x:v>
      </x:c>
      <x:c r="D21" s="57" t="n">
        <x:v>0.55</x:v>
      </x:c>
      <x:c r="E21" s="57" t="n">
        <x:v>-0.1</x:v>
      </x:c>
      <x:c r="F21" s="57" t="n">
        <x:v>0.15</x:v>
      </x:c>
      <x:c r="G21" s="57" t="n">
        <x:v>0.2</x:v>
      </x:c>
      <x:c r="H21" s="57" t="n">
        <x:v>0</x:v>
      </x:c>
      <x:c r="I21" s="12" t="n">
        <x:f>SUMIF(B21:H21,"&gt;0",B21:H21)-SUMIF(B21:H21,"&lt;0",B21:H21)</x:f>
        <x:v>1.0000000000000002</x:v>
      </x:c>
      <x:c r="J21" s="12" t="str">
        <x:v>50 + 50 × SUM(正規化性格×係数) / Σ|係数|</x:v>
      </x:c>
      <x:c r="L21" t="str">
        <x:v>Support</x:v>
      </x:c>
      <x:c r="M21" s="60" t="n">
        <x:v>1.2</x:v>
      </x:c>
      <x:c r="N21" s="60" t="n">
        <x:v>0</x:v>
      </x:c>
      <x:c r="O21" s="60" t="n">
        <x:v>0.3</x:v>
      </x:c>
    </x:row>
    <x:row r="22">
      <x:c r="A22" s="12" t="str">
        <x:v>Mobility</x:v>
      </x:c>
      <x:c r="B22" s="57" t="n">
        <x:v>0.3</x:v>
      </x:c>
      <x:c r="C22" s="57" t="n">
        <x:v>0.25</x:v>
      </x:c>
      <x:c r="D22" s="57" t="n">
        <x:v>0</x:v>
      </x:c>
      <x:c r="E22" s="57" t="n">
        <x:v>0</x:v>
      </x:c>
      <x:c r="F22" s="57" t="n">
        <x:v>0</x:v>
      </x:c>
      <x:c r="G22" s="57" t="n">
        <x:v>0.25</x:v>
      </x:c>
      <x:c r="H22" s="57" t="n">
        <x:v>0.2</x:v>
      </x:c>
      <x:c r="I22" s="12" t="n">
        <x:f>SUMIF(B22:H22,"&gt;0",B22:H22)-SUMIF(B22:H22,"&lt;0",B22:H22)</x:f>
        <x:v>1</x:v>
      </x:c>
      <x:c r="J22" s="12" t="str">
        <x:v>50 + 50 × SUM(正規化性格×係数) / Σ|係数|</x:v>
      </x:c>
      <x:c r="L22" t="str">
        <x:v>Mobility</x:v>
      </x:c>
      <x:c r="M22" s="60" t="n">
        <x:v>1</x:v>
      </x:c>
      <x:c r="N22" s="60" t="n">
        <x:v>0</x:v>
      </x:c>
      <x:c r="O22" s="60" t="n">
        <x:v>0.3</x:v>
      </x:c>
    </x:row>
    <x:row r="23">
      <x:c r="A23" s="12" t="str">
        <x:v>FarmScaling</x:v>
      </x:c>
      <x:c r="B23" s="57" t="n">
        <x:v>-0.2</x:v>
      </x:c>
      <x:c r="C23" s="57" t="n">
        <x:v>0</x:v>
      </x:c>
      <x:c r="D23" s="57" t="n">
        <x:v>0</x:v>
      </x:c>
      <x:c r="E23" s="57" t="n">
        <x:v>0.25</x:v>
      </x:c>
      <x:c r="F23" s="57" t="n">
        <x:v>0.35</x:v>
      </x:c>
      <x:c r="G23" s="57" t="n">
        <x:v>0</x:v>
      </x:c>
      <x:c r="H23" s="57" t="n">
        <x:v>0.2</x:v>
      </x:c>
      <x:c r="I23" s="12" t="n">
        <x:f>SUMIF(B23:H23,"&gt;0",B23:H23)-SUMIF(B23:H23,"&lt;0",B23:H23)</x:f>
        <x:v>1</x:v>
      </x:c>
      <x:c r="J23" s="12" t="str">
        <x:v>50 + 50 × SUM(正規化性格×係数) / Σ|係数|</x:v>
      </x:c>
      <x:c r="L23" t="str">
        <x:v>FarmScaling</x:v>
      </x:c>
      <x:c r="M23" s="60" t="n">
        <x:v>0.8</x:v>
      </x:c>
      <x:c r="N23" s="60" t="n">
        <x:v>0</x:v>
      </x:c>
      <x:c r="O23" s="60" t="n">
        <x:v>0.3</x:v>
      </x:c>
    </x:row>
    <x:row r="24">
      <x:c r="A24" s="12" t="str">
        <x:v>ObjectiveSecure</x:v>
      </x:c>
      <x:c r="B24" s="57" t="n">
        <x:v>0.15</x:v>
      </x:c>
      <x:c r="C24" s="57" t="n">
        <x:v>0.1</x:v>
      </x:c>
      <x:c r="D24" s="57" t="n">
        <x:v>0</x:v>
      </x:c>
      <x:c r="E24" s="57" t="n">
        <x:v>0.3</x:v>
      </x:c>
      <x:c r="F24" s="57" t="n">
        <x:v>0.2</x:v>
      </x:c>
      <x:c r="G24" s="57" t="n">
        <x:v>0</x:v>
      </x:c>
      <x:c r="H24" s="57" t="n">
        <x:v>0.25</x:v>
      </x:c>
      <x:c r="I24" s="12" t="n">
        <x:f>SUMIF(B24:H24,"&gt;0",B24:H24)-SUMIF(B24:H24,"&lt;0",B24:H24)</x:f>
        <x:v>1</x:v>
      </x:c>
      <x:c r="J24" s="12" t="str">
        <x:v>50 + 50 × SUM(正規化性格×係数) / Σ|係数|</x:v>
      </x:c>
      <x:c r="L24" t="str">
        <x:v>ObjectiveSecure</x:v>
      </x:c>
      <x:c r="M24" s="60" t="n">
        <x:v>0.7</x:v>
      </x:c>
      <x:c r="N24" s="60" t="n">
        <x:v>0</x:v>
      </x:c>
      <x:c r="O24" s="60" t="n">
        <x:v>0.3</x:v>
      </x:c>
    </x:row>
    <x:row r="25">
      <x:c r="A25" s="12" t="str">
        <x:v>ScoringSide</x:v>
      </x:c>
      <x:c r="B25" s="57" t="n">
        <x:v>0.1</x:v>
      </x:c>
      <x:c r="C25" s="57" t="n">
        <x:v>0.25</x:v>
      </x:c>
      <x:c r="D25" s="57" t="n">
        <x:v>0</x:v>
      </x:c>
      <x:c r="E25" s="57" t="n">
        <x:v>0.3</x:v>
      </x:c>
      <x:c r="F25" s="57" t="n">
        <x:v>0.15</x:v>
      </x:c>
      <x:c r="G25" s="57" t="n">
        <x:v>0.2</x:v>
      </x:c>
      <x:c r="H25" s="57" t="n">
        <x:v>0</x:v>
      </x:c>
      <x:c r="I25" s="12" t="n">
        <x:f>SUMIF(B25:H25,"&gt;0",B25:H25)-SUMIF(B25:H25,"&lt;0",B25:H25)</x:f>
        <x:v>1</x:v>
      </x:c>
      <x:c r="J25" s="12" t="str">
        <x:v>50 + 50 × SUM(正規化性格×係数) / Σ|係数|</x:v>
      </x:c>
      <x:c r="L25" t="str">
        <x:v>ScoringSide</x:v>
      </x:c>
      <x:c r="M25" s="60" t="n">
        <x:v>0.6</x:v>
      </x:c>
      <x:c r="N25" s="60" t="n">
        <x:v>0</x:v>
      </x:c>
      <x:c r="O25" s="60" t="n">
        <x:v>0.3</x:v>
      </x:c>
    </x:row>
    <x:row r="26">
      <x:c r="A26" s="12" t="str">
        <x:v>Execution</x:v>
      </x:c>
      <x:c r="B26" s="57" t="n">
        <x:v>0</x:v>
      </x:c>
      <x:c r="C26" s="57" t="n">
        <x:v>0.15</x:v>
      </x:c>
      <x:c r="D26" s="57" t="n">
        <x:v>0</x:v>
      </x:c>
      <x:c r="E26" s="57" t="n">
        <x:v>0</x:v>
      </x:c>
      <x:c r="F26" s="57" t="n">
        <x:v>0</x:v>
      </x:c>
      <x:c r="G26" s="57" t="n">
        <x:v>0.15</x:v>
      </x:c>
      <x:c r="H26" s="57" t="n">
        <x:v>0.7</x:v>
      </x:c>
      <x:c r="I26" s="12" t="n">
        <x:f>SUMIF(B26:H26,"&gt;0",B26:H26)-SUMIF(B26:H26,"&lt;0",B26:H26)</x:f>
        <x:v>1</x:v>
      </x:c>
      <x:c r="J26" s="12" t="str">
        <x:v>50 + 50 × SUM(正規化性格×係数) / Σ|係数|</x:v>
      </x:c>
      <x:c r="L26" t="str">
        <x:v>Execution</x:v>
      </x:c>
      <x:c r="M26" s="60" t="n">
        <x:v>1.3</x:v>
      </x:c>
      <x:c r="N26" s="60" t="n">
        <x:v>0.75</x:v>
      </x:c>
      <x:c r="O26" s="60" t="n">
        <x:v>0.3</x:v>
      </x:c>
    </x:row>
    <x:row r="27">
      <x:c r="A27" s="12" t="str">
        <x:v>Decision</x:v>
      </x:c>
      <x:c r="B27" s="57" t="n">
        <x:v>0.15</x:v>
      </x:c>
      <x:c r="C27" s="57" t="n">
        <x:v>0</x:v>
      </x:c>
      <x:c r="D27" s="57" t="n">
        <x:v>0</x:v>
      </x:c>
      <x:c r="E27" s="57" t="n">
        <x:v>0</x:v>
      </x:c>
      <x:c r="F27" s="57" t="n">
        <x:v>0.3</x:v>
      </x:c>
      <x:c r="G27" s="57" t="n">
        <x:v>0.35</x:v>
      </x:c>
      <x:c r="H27" s="57" t="n">
        <x:v>0.2</x:v>
      </x:c>
      <x:c r="I27" s="12" t="n">
        <x:f>SUMIF(B27:H27,"&gt;0",B27:H27)-SUMIF(B27:H27,"&lt;0",B27:H27)</x:f>
        <x:v>1</x:v>
      </x:c>
      <x:c r="J27" s="12" t="str">
        <x:v>50 + 50 × SUM(正規化性格×係数) / Σ|係数|</x:v>
      </x:c>
      <x:c r="L27" t="str">
        <x:v>Decision</x:v>
      </x:c>
      <x:c r="M27" s="60" t="n">
        <x:v>1.2</x:v>
      </x:c>
      <x:c r="N27" s="60" t="n">
        <x:v>0.35</x:v>
      </x:c>
      <x:c r="O27" s="60" t="n">
        <x:v>0.3</x:v>
      </x:c>
    </x:row>
    <x:row r="30">
      <x:c r="A30" s="54" t="str">
        <x:v>数式の意味（すべて編集可能）</x:v>
      </x:c>
      <x:c r="B30" s="54"/>
      <x:c r="C30" s="54"/>
      <x:c r="D30" s="54"/>
      <x:c r="E30" s="54"/>
      <x:c r="F30" s="54"/>
      <x:c r="G30" s="54"/>
      <x:c r="H30" s="54"/>
      <x:c r="I30" s="54"/>
      <x:c r="J30" s="54"/>
      <x:c r="K30" s="54"/>
      <x:c r="L30" s="54"/>
      <x:c r="M30" s="54"/>
      <x:c r="N30" s="54"/>
      <x:c r="O30" s="54"/>
    </x:row>
    <x:row r="31">
      <x:c r="A31" s="54" t="str">
        <x:v>項目</x:v>
      </x:c>
      <x:c r="B31" s="54" t="str">
        <x:v>式</x:v>
      </x:c>
      <x:c r="C31" s="54" t="str">
        <x:v>用途</x:v>
      </x:c>
    </x:row>
    <x:row r="32">
      <x:c r="A32" s="12" t="str">
        <x:v>性格軸スコア</x:v>
      </x:c>
      <x:c r="B32" s="12" t="str">
        <x:v>50 + 50 × [Σ(回答正規化×Question Loading) / Σ|Loading|]</x:v>
      </x:c>
      <x:c r="C32" s="12" t="str">
        <x:v>Q01〜Q20。Loadingを変えると自動的に性格軸が変わる。</x:v>
      </x:c>
    </x:row>
    <x:row r="33">
      <x:c r="A33" s="12" t="str">
        <x:v>性格の正規化</x:v>
      </x:c>
      <x:c r="B33" s="12" t="str">
        <x:v>(性格スコア - 50) / 50</x:v>
      </x:c>
      <x:c r="C33" s="12" t="str">
        <x:v>0〜100を-1〜+1へ変換。</x:v>
      </x:c>
    </x:row>
    <x:row r="34">
      <x:c r="A34" s="12" t="str">
        <x:v>7→15翻訳</x:v>
      </x:c>
      <x:c r="B34" s="12" t="str">
        <x:v>50 + 50 × [Σ(正規化性格×翻訳係数) / Σ|翻訳係数|]</x:v>
      </x:c>
      <x:c r="C34" s="12" t="str">
        <x:v>Model_Formula!B13:H27を変更して調整。</x:v>
      </x:c>
    </x:row>
    <x:row r="35">
      <x:c r="A35" s="12" t="str">
        <x:v>嗜好スコア</x:v>
      </x:c>
      <x:c r="B35" s="12" t="str">
        <x:v>50 + 50 × [Σ(回答正規化×Preference Loading) / Σ|Loading|]</x:v>
      </x:c>
      <x:c r="C35" s="12" t="str">
        <x:v>Q21〜Q30から各ゲーム軸の直接嗜好を算出。</x:v>
      </x:c>
    </x:row>
    <x:row r="36">
      <x:c r="A36" s="12" t="str">
        <x:v>最終15軸</x:v>
      </x:c>
      <x:c r="B36" s="12" t="str">
        <x:v>Translated×(1-Blend) + Preference×Blend</x:v>
      </x:c>
      <x:c r="C36" s="12" t="str">
        <x:v>Blendは軸別。初期値30%。</x:v>
      </x:c>
    </x:row>
    <x:row r="37">
      <x:c r="A37" s="12" t="str">
        <x:v>軸別誤差</x:v>
      </x:c>
      <x:c r="B37" s="12" t="str">
        <x:v>Weight × (Pokemon-Player)^2 × IF(Pokemon&gt;Player,1+OverReqPenalty,1)</x:v>
      </x:c>
      <x:c r="C37" s="12" t="str">
        <x:v>要求値がプレイヤーを上回る場合のみ非対称ペナルティ。Execution/Decisionを強め。</x:v>
      </x:c>
    </x:row>
    <x:row r="38">
      <x:c r="A38" s="12" t="str">
        <x:v>Weighted RMSE</x:v>
      </x:c>
      <x:c r="B38" s="12" t="str">
        <x:v>SQRT(Σ軸別誤差 / ΣWeight)</x:v>
      </x:c>
      <x:c r="C38" s="12" t="str">
        <x:v>0なら完全一致。</x:v>
      </x:c>
    </x:row>
    <x:row r="39">
      <x:c r="A39" s="12" t="str">
        <x:v>MatchScore</x:v>
      </x:c>
      <x:c r="B39" s="12" t="str">
        <x:v>MAX(0, 100 - Weighted RMSE)</x:v>
      </x:c>
      <x:c r="C39" s="12" t="str">
        <x:v>直感的な0〜100表示用。統計的な確率ではない。</x:v>
      </x:c>
    </x:row>
  </x:sheetData>
  <x:mergeCells>
    <x:mergeCell ref="A1:O2"/>
    <x:mergeCell ref="A11:J11"/>
    <x:mergeCell ref="L11:O11"/>
    <x:mergeCell ref="A30:O30"/>
  </x:mergeCells>
  <x:conditionalFormatting sqref="B13:H27">
    <x:cfRule type="colorScale" priority="1">
      <x:colorScale>
        <x:cfvo type="min"/>
        <x:cfvo type="percentile" val="50"/>
        <x:cfvo type="max"/>
        <x:color rgb="FFFECACA"/>
        <x:color rgb="FFFFFFFF"/>
        <x:color rgb="FFBFDBFE"/>
      </x:colorScale>
    </x:cfRule>
  </x:conditionalFormatting>
  <x:conditionalFormatting sqref="M13:M27">
    <x:cfRule type="dataBar" priority="2">
      <x:dataBar>
        <x:cfvo type="min"/>
        <x:cfvo type="max"/>
        <x:color rgb="FFA02B93"/>
      </x:dataBar>
      <x:extLst>
        <x:ext xmlns:x14="http://schemas.microsoft.com/office/spreadsheetml/2009/9/main" uri="{B025F937-C7B1-47D3-B67F-A62EFF666E3E}">
          <x14:id>{7B7B289A-090C-3430-A977-D3C97E3FCA30}</x14:id>
        </x:ext>
      </x:extLst>
    </x:cfRule>
  </x:conditionalFormatting>
  <x:conditionalFormatting sqref="N13:N27">
    <x:cfRule type="dataBar" priority="3">
      <x:dataBar>
        <x:cfvo type="min"/>
        <x:cfvo type="max"/>
        <x:color rgb="FF0F9ED5"/>
      </x:dataBar>
      <x:extLst>
        <x:ext xmlns:x14="http://schemas.microsoft.com/office/spreadsheetml/2009/9/main" uri="{B025F937-C7B1-47D3-B67F-A62EFF666E3E}">
          <x14:id>{CB475C5B-1866-34FC-44D8-5ABAFB4546CB}</x14:id>
        </x:ext>
      </x:extLst>
    </x:cfRule>
  </x:conditionalFormatting>
  <x:conditionalFormatting sqref="O13:O27">
    <x:cfRule type="dataBar" priority="4">
      <x:dataBar>
        <x:cfvo type="min"/>
        <x:cfvo type="max"/>
        <x:color rgb="FF196B24"/>
      </x:dataBar>
      <x:extLst>
        <x:ext xmlns:x14="http://schemas.microsoft.com/office/spreadsheetml/2009/9/main" uri="{B025F937-C7B1-47D3-B67F-A62EFF666E3E}">
          <x14:id>{3CA53FAF-3638-155B-A208-D9C55CA1A014}</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2" id="{7B7B289A-090C-3430-A977-D3C97E3FCA30}">
            <x14:dataBar gradient="1">
              <x14:cfvo type="min"/>
              <x14:cfvo type="max"/>
              <x14:fillColor rgb="FFA02B93"/>
            </x14:dataBar>
          </x14:cfRule>
          <xm:sqref>M13:M27</xm:sqref>
        </x14:conditionalFormatting>
        <x14:conditionalFormatting>
          <x14:cfRule type="dataBar" priority="3" id="{CB475C5B-1866-34FC-44D8-5ABAFB4546CB}">
            <x14:dataBar gradient="1">
              <x14:cfvo type="min"/>
              <x14:cfvo type="max"/>
              <x14:fillColor rgb="FF0F9ED5"/>
            </x14:dataBar>
          </x14:cfRule>
          <xm:sqref>N13:N27</xm:sqref>
        </x14:conditionalFormatting>
        <x14:conditionalFormatting>
          <x14:cfRule type="dataBar" priority="4" id="{3CA53FAF-3638-155B-A208-D9C55CA1A014}">
            <x14:dataBar gradient="1">
              <x14:cfvo type="min"/>
              <x14:cfvo type="max"/>
              <x14:fillColor rgb="FF196B24"/>
            </x14:dataBar>
          </x14:cfRule>
          <xm:sqref>O13:O27</xm:sqref>
        </x14:conditionalFormatting>
      </x14:conditionalFormattings>
    </x:ext>
  </x:extLst>
</x:worksheet>
</file>

<file path=xl/worksheets/sheet10.xml><?xml version="1.0" encoding="utf-8"?>
<x:worksheet xmlns:x="http://schemas.openxmlformats.org/spreadsheetml/2006/main">
  <x:sheetFormatPr defaultRowHeight="15"/>
  <x:cols>
    <x:col min="1" max="1" width="8" hidden="0" customWidth="1"/>
    <x:col min="2" max="2" width="12" hidden="0" customWidth="1"/>
    <x:col min="3" max="3" width="52" hidden="0" customWidth="1"/>
    <x:col min="4" max="4" width="13" hidden="0" customWidth="1"/>
    <x:col min="5" max="5" width="13" hidden="0" customWidth="1"/>
    <x:col min="7" max="7" width="9" hidden="0" customWidth="1"/>
    <x:col min="8" max="8" width="18" hidden="0" customWidth="1"/>
    <x:col min="9" max="9" width="28" hidden="0" customWidth="1"/>
    <x:col min="10" max="10" width="14" hidden="0" customWidth="1"/>
    <x:col min="11" max="11" width="14" hidden="0" customWidth="1"/>
    <x:col min="12" max="12" width="22" hidden="0" customWidth="1"/>
    <x:col min="13" max="13" width="13" hidden="0" customWidth="1"/>
    <x:col min="6" max="6" width="13" hidden="0" customWidth="1"/>
  </x:cols>
  <x:sheetData>
    <x:row r="1">
      <x:c r="A1" s="59" t="str">
        <x:v>診断シミュレーター：回答 → 7性格軸 → 15ゲーム軸 → おすすめ型</x:v>
      </x:c>
      <x:c r="B1" s="59"/>
      <x:c r="C1" s="59"/>
      <x:c r="D1" s="59"/>
      <x:c r="E1" s="59"/>
      <x:c r="F1" s="59"/>
      <x:c r="G1" s="59"/>
      <x:c r="H1" s="59"/>
      <x:c r="I1" s="59"/>
      <x:c r="J1" s="59"/>
      <x:c r="K1" s="59"/>
      <x:c r="L1" s="59"/>
      <x:c r="M1" s="59"/>
    </x:row>
    <x:row r="2">
      <x:c r="A2" s="59"/>
      <x:c r="B2" s="59"/>
      <x:c r="C2" s="59"/>
      <x:c r="D2" s="59"/>
      <x:c r="E2" s="59"/>
      <x:c r="F2" s="59"/>
      <x:c r="G2" s="59"/>
      <x:c r="H2" s="59"/>
      <x:c r="I2" s="59"/>
      <x:c r="J2" s="59"/>
      <x:c r="K2" s="59"/>
      <x:c r="L2" s="59"/>
      <x:c r="M2" s="59"/>
    </x:row>
    <x:row r="3">
      <x:c r="A3" s="48" t="str">
        <x:v>D列に1〜5を入力（デフォルト3=中立・動作確認用）。係数を変えると結果が即座に変わります。</x:v>
      </x:c>
      <x:c r="B3" s="48"/>
      <x:c r="C3" s="48"/>
      <x:c r="D3" s="48"/>
      <x:c r="E3" s="48"/>
      <x:c r="G3" s="54" t="str">
        <x:v>性格7軸</x:v>
      </x:c>
      <x:c r="H3" s="54"/>
      <x:c r="I3" s="54"/>
      <x:c r="J3" s="54"/>
      <x:c r="K3" s="54"/>
      <x:c r="L3" s="54"/>
      <x:c r="M3" s="54"/>
    </x:row>
    <x:row r="4">
      <x:c r="A4" s="54" t="str">
        <x:v>QID</x:v>
      </x:c>
      <x:c r="B4" s="54" t="str">
        <x:v>区分</x:v>
      </x:c>
      <x:c r="C4" s="54" t="str">
        <x:v>質問</x:v>
      </x:c>
      <x:c r="D4" s="54" t="str">
        <x:v>回答(1-5)</x:v>
      </x:c>
      <x:c r="E4" s="54" t="str">
        <x:v>正規化</x:v>
      </x:c>
      <x:c r="F4" s="54" t="str">
        <x:v>指標</x:v>
      </x:c>
      <x:c r="G4" s="54" t="str">
        <x:v>Initiative</x:v>
      </x:c>
      <x:c r="H4" s="54" t="str">
        <x:v>RiskTolerance</x:v>
      </x:c>
      <x:c r="I4" s="54" t="str">
        <x:v>Cooperation</x:v>
      </x:c>
      <x:c r="J4" s="54" t="str">
        <x:v>SelfReliance</x:v>
      </x:c>
      <x:c r="K4" s="54" t="str">
        <x:v>Planning</x:v>
      </x:c>
      <x:c r="L4" s="54" t="str">
        <x:v>Adaptability</x:v>
      </x:c>
      <x:c r="M4" s="54" t="str">
        <x:v>Mastery</x:v>
      </x:c>
    </x:row>
    <x:row r="5">
      <x:c r="A5" s="12" t="str">
        <x:v>Q01</x:v>
      </x:c>
      <x:c r="B5" s="12" t="str">
        <x:v>性格</x:v>
      </x:c>
      <x:c r="C5" s="12" t="str">
        <x:v>グループで結論が出ないとき、自分から最初の案を出すことが多い。</x:v>
      </x:c>
      <x:c r="D5" s="61" t="n">
        <x:v>3</x:v>
      </x:c>
      <x:c r="E5" s="12" t="n">
        <x:f>(D5-3)/2</x:f>
        <x:v>0</x:v>
      </x:c>
      <x:c r="F5" s="79" t="str">
        <x:v>Score(0-100)</x:v>
      </x:c>
      <x:c r="G5" s="62" t="n">
        <x:f>MAX(0,MIN(100,50+50*SUMPRODUCT($E$5:$E$24,Questions_30!$F$6:$F$25)/(SUMIF(Questions_30!$F$6:$F$25,"&gt;0",Questions_30!$F$6:$F$25)-SUMIF(Questions_30!$F$6:$F$25,"&lt;0",Questions_30!$F$6:$F$25))))</x:f>
        <x:v>50</x:v>
      </x:c>
      <x:c r="H5" s="62" t="n">
        <x:f>MAX(0,MIN(100,50+50*SUMPRODUCT($E$5:$E$24,Questions_30!$G$6:$G$25)/(SUMIF(Questions_30!$G$6:$G$25,"&gt;0",Questions_30!$G$6:$G$25)-SUMIF(Questions_30!$G$6:$G$25,"&lt;0",Questions_30!$G$6:$G$25))))</x:f>
        <x:v>50</x:v>
      </x:c>
      <x:c r="I5" s="62" t="n">
        <x:f>MAX(0,MIN(100,50+50*SUMPRODUCT($E$5:$E$24,Questions_30!$H$6:$H$25)/(SUMIF(Questions_30!$H$6:$H$25,"&gt;0",Questions_30!$H$6:$H$25)-SUMIF(Questions_30!$H$6:$H$25,"&lt;0",Questions_30!$H$6:$H$25))))</x:f>
        <x:v>50</x:v>
      </x:c>
      <x:c r="J5" s="62" t="n">
        <x:f>MAX(0,MIN(100,50+50*SUMPRODUCT($E$5:$E$24,Questions_30!$I$6:$I$25)/(SUMIF(Questions_30!$I$6:$I$25,"&gt;0",Questions_30!$I$6:$I$25)-SUMIF(Questions_30!$I$6:$I$25,"&lt;0",Questions_30!$I$6:$I$25))))</x:f>
        <x:v>50</x:v>
      </x:c>
      <x:c r="K5" s="62" t="n">
        <x:f>MAX(0,MIN(100,50+50*SUMPRODUCT($E$5:$E$24,Questions_30!$J$6:$J$25)/(SUMIF(Questions_30!$J$6:$J$25,"&gt;0",Questions_30!$J$6:$J$25)-SUMIF(Questions_30!$J$6:$J$25,"&lt;0",Questions_30!$J$6:$J$25))))</x:f>
        <x:v>50</x:v>
      </x:c>
      <x:c r="L5" s="62" t="n">
        <x:f>MAX(0,MIN(100,50+50*SUMPRODUCT($E$5:$E$24,Questions_30!$K$6:$K$25)/(SUMIF(Questions_30!$K$6:$K$25,"&gt;0",Questions_30!$K$6:$K$25)-SUMIF(Questions_30!$K$6:$K$25,"&lt;0",Questions_30!$K$6:$K$25))))</x:f>
        <x:v>50</x:v>
      </x:c>
      <x:c r="M5" s="62" t="n">
        <x:f>MAX(0,MIN(100,50+50*SUMPRODUCT($E$5:$E$24,Questions_30!$L$6:$L$25)/(SUMIF(Questions_30!$L$6:$L$25,"&gt;0",Questions_30!$L$6:$L$25)-SUMIF(Questions_30!$L$6:$L$25,"&lt;0",Questions_30!$L$6:$L$25))))</x:f>
        <x:v>50</x:v>
      </x:c>
    </x:row>
    <x:row r="6">
      <x:c r="A6" s="12" t="str">
        <x:v>Q02</x:v>
      </x:c>
      <x:c r="B6" s="12" t="str">
        <x:v>性格</x:v>
      </x:c>
      <x:c r="C6" s="12" t="str">
        <x:v>判断材料が十分に揃うまでは、決断を少し保留することが多い。</x:v>
      </x:c>
      <x:c r="D6" s="61" t="n">
        <x:v>3</x:v>
      </x:c>
      <x:c r="E6" s="12" t="n">
        <x:f>(D6-3)/2</x:f>
        <x:v>0</x:v>
      </x:c>
      <x:c r="F6" s="79" t="str">
        <x:v>Norm(-1〜1)</x:v>
      </x:c>
      <x:c r="G6" s="60" t="n">
        <x:f>(G5-50)/50</x:f>
        <x:v>0</x:v>
      </x:c>
      <x:c r="H6" s="60" t="n">
        <x:f>(H5-50)/50</x:f>
        <x:v>0</x:v>
      </x:c>
      <x:c r="I6" s="60" t="n">
        <x:f>(I5-50)/50</x:f>
        <x:v>0</x:v>
      </x:c>
      <x:c r="J6" s="60" t="n">
        <x:f>(J5-50)/50</x:f>
        <x:v>0</x:v>
      </x:c>
      <x:c r="K6" s="60" t="n">
        <x:f>(K5-50)/50</x:f>
        <x:v>0</x:v>
      </x:c>
      <x:c r="L6" s="60" t="n">
        <x:f>(L5-50)/50</x:f>
        <x:v>0</x:v>
      </x:c>
      <x:c r="M6" s="60" t="n">
        <x:f>(M5-50)/50</x:f>
        <x:v>0</x:v>
      </x:c>
    </x:row>
    <x:row r="7">
      <x:c r="A7" s="12" t="str">
        <x:v>Q03</x:v>
      </x:c>
      <x:c r="B7" s="12" t="str">
        <x:v>性格</x:v>
      </x:c>
      <x:c r="C7" s="12" t="str">
        <x:v>失敗の可能性があっても、大きな成果が狙えるなら挑戦したい。</x:v>
      </x:c>
      <x:c r="D7" s="61" t="n">
        <x:v>3</x:v>
      </x:c>
      <x:c r="E7" s="12" t="n">
        <x:f>(D7-3)/2</x:f>
        <x:v>0</x:v>
      </x:c>
      <x:c r="G7" s="65" t="str">
        <x:v>主導性</x:v>
      </x:c>
      <x:c r="H7" s="65" t="str">
        <x:v>リスク許容</x:v>
      </x:c>
      <x:c r="I7" s="65" t="str">
        <x:v>協働志向</x:v>
      </x:c>
      <x:c r="J7" s="65" t="str">
        <x:v>自己完結</x:v>
      </x:c>
      <x:c r="K7" s="65" t="str">
        <x:v>計画性</x:v>
      </x:c>
      <x:c r="L7" s="65" t="str">
        <x:v>適応性</x:v>
      </x:c>
      <x:c r="M7" s="65" t="str">
        <x:v>熟練志向</x:v>
      </x:c>
    </x:row>
    <x:row r="8">
      <x:c r="A8" s="12" t="str">
        <x:v>Q04</x:v>
      </x:c>
      <x:c r="B8" s="12" t="str">
        <x:v>性格</x:v>
      </x:c>
      <x:c r="C8" s="12" t="str">
        <x:v>自分が目立たなくても、誰かを支えて全体がうまくいくと満足できる。</x:v>
      </x:c>
      <x:c r="D8" s="61" t="n">
        <x:v>3</x:v>
      </x:c>
      <x:c r="E8" s="12" t="n">
        <x:f>(D8-3)/2</x:f>
        <x:v>0</x:v>
      </x:c>
    </x:row>
    <x:row r="9">
      <x:c r="A9" s="12" t="str">
        <x:v>Q05</x:v>
      </x:c>
      <x:c r="B9" s="12" t="str">
        <x:v>性格</x:v>
      </x:c>
      <x:c r="C9" s="12" t="str">
        <x:v>重要な結果は、人に任せるより自分でコントロールしたい。</x:v>
      </x:c>
      <x:c r="D9" s="61" t="n">
        <x:v>3</x:v>
      </x:c>
      <x:c r="E9" s="12" t="n">
        <x:f>(D9-3)/2</x:f>
        <x:v>0</x:v>
      </x:c>
      <x:c r="G9" s="54" t="str">
        <x:v>最終15ゲーム軸</x:v>
      </x:c>
      <x:c r="H9" s="54"/>
      <x:c r="I9" s="54"/>
      <x:c r="J9" s="54"/>
      <x:c r="K9" s="54"/>
      <x:c r="L9" s="54"/>
      <x:c r="M9" s="54"/>
    </x:row>
    <x:row r="10">
      <x:c r="A10" s="12" t="str">
        <x:v>Q06</x:v>
      </x:c>
      <x:c r="B10" s="12" t="str">
        <x:v>性格</x:v>
      </x:c>
      <x:c r="C10" s="12" t="str">
        <x:v>新しい方法を試すより、慣れたやり方を磨き込む方が好きだ。</x:v>
      </x:c>
      <x:c r="D10" s="61" t="n">
        <x:v>3</x:v>
      </x:c>
      <x:c r="E10" s="12" t="n">
        <x:f>(D10-3)/2</x:f>
        <x:v>0</x:v>
      </x:c>
      <x:c r="G10" s="54" t="str">
        <x:v>GameAxis</x:v>
      </x:c>
      <x:c r="H10" s="54" t="str">
        <x:v>日本語</x:v>
      </x:c>
      <x:c r="I10" s="54" t="str">
        <x:v>性格→15翻訳</x:v>
      </x:c>
      <x:c r="J10" s="54" t="str">
        <x:v>直接嗜好</x:v>
      </x:c>
      <x:c r="K10" s="54" t="str">
        <x:v>Blend</x:v>
      </x:c>
      <x:c r="L10" s="54" t="str">
        <x:v>Final</x:v>
      </x:c>
      <x:c r="M10" s="54" t="str">
        <x:v>メモ</x:v>
      </x:c>
    </x:row>
    <x:row r="11">
      <x:c r="A11" s="12" t="str">
        <x:v>Q07</x:v>
      </x:c>
      <x:c r="B11" s="12" t="str">
        <x:v>性格</x:v>
      </x:c>
      <x:c r="C11" s="12" t="str">
        <x:v>難しいものほど、使いこなせるようになるまで練習したくなる。</x:v>
      </x:c>
      <x:c r="D11" s="61" t="n">
        <x:v>3</x:v>
      </x:c>
      <x:c r="E11" s="12" t="n">
        <x:f>(D11-3)/2</x:f>
        <x:v>0</x:v>
      </x:c>
      <x:c r="G11" s="12" t="str">
        <x:v>Engage</x:v>
      </x:c>
      <x:c r="H11" s="12" t="str">
        <x:v>開戦力</x:v>
      </x:c>
      <x:c r="I11" s="67" t="n">
        <x:f>MAX(0,MIN(100,50+50*SUMPRODUCT($G$6:$M$6,Model_Formula!$B$13:$H$13)/Model_Formula!$I$13))</x:f>
        <x:v>50</x:v>
      </x:c>
      <x:c r="J11" s="67" t="n">
        <x:f>MAX(0,MIN(100,50+50*SUMPRODUCT($E$25:$E$34,Questions_30!$M$26:$M$35)/(SUMIF(Questions_30!$M$26:$M$35,"&gt;0",Questions_30!$M$26:$M$35)-SUMIF(Questions_30!$M$26:$M$35,"&lt;0",Questions_30!$M$26:$M$35))))</x:f>
        <x:v>50</x:v>
      </x:c>
      <x:c r="K11" s="67" t="n">
        <x:f>Model_Formula!$O$13</x:f>
        <x:v>0.3</x:v>
      </x:c>
      <x:c r="L11" s="67" t="n">
        <x:f>MAX(0,MIN(100,I11*(1-K11)+J11*K11))</x:f>
        <x:v>50</x:v>
      </x:c>
      <x:c r="M11" s="12" t="str">
        <x:v>係数は Model_Formula / Questions_30 で調整</x:v>
      </x:c>
    </x:row>
    <x:row r="12">
      <x:c r="A12" s="12" t="str">
        <x:v>Q08</x:v>
      </x:c>
      <x:c r="B12" s="12" t="str">
        <x:v>性格</x:v>
      </x:c>
      <x:c r="C12" s="12" t="str">
        <x:v>状況が急に変わっても、すぐに方針を切り替えられる方だ。</x:v>
      </x:c>
      <x:c r="D12" s="61" t="n">
        <x:v>3</x:v>
      </x:c>
      <x:c r="E12" s="12" t="n">
        <x:f>(D12-3)/2</x:f>
        <x:v>0</x:v>
      </x:c>
      <x:c r="G12" s="12" t="str">
        <x:v>Dive</x:v>
      </x:c>
      <x:c r="H12" s="12" t="str">
        <x:v>突入力</x:v>
      </x:c>
      <x:c r="I12" s="67" t="n">
        <x:f>MAX(0,MIN(100,50+50*SUMPRODUCT($G$6:$M$6,Model_Formula!$B$14:$H$14)/Model_Formula!$I$14))</x:f>
        <x:v>50</x:v>
      </x:c>
      <x:c r="J12" s="67" t="n">
        <x:f>MAX(0,MIN(100,50+50*SUMPRODUCT($E$25:$E$34,Questions_30!$N$26:$N$35)/(SUMIF(Questions_30!$N$26:$N$35,"&gt;0",Questions_30!$N$26:$N$35)-SUMIF(Questions_30!$N$26:$N$35,"&lt;0",Questions_30!$N$26:$N$35))))</x:f>
        <x:v>50</x:v>
      </x:c>
      <x:c r="K12" s="67" t="n">
        <x:f>Model_Formula!$O$14</x:f>
        <x:v>0.3</x:v>
      </x:c>
      <x:c r="L12" s="67" t="n">
        <x:f>MAX(0,MIN(100,I12*(1-K12)+J12*K12))</x:f>
        <x:v>50</x:v>
      </x:c>
      <x:c r="M12" s="12" t="str">
        <x:v>係数は Model_Formula / Questions_30 で調整</x:v>
      </x:c>
    </x:row>
    <x:row r="13">
      <x:c r="A13" s="12" t="str">
        <x:v>Q09</x:v>
      </x:c>
      <x:c r="B13" s="12" t="str">
        <x:v>性格</x:v>
      </x:c>
      <x:c r="C13" s="12" t="str">
        <x:v>自分の提案をきっかけに周囲が動くことに抵抗はない。</x:v>
      </x:c>
      <x:c r="D13" s="61" t="n">
        <x:v>3</x:v>
      </x:c>
      <x:c r="E13" s="12" t="n">
        <x:f>(D13-3)/2</x:f>
        <x:v>0</x:v>
      </x:c>
      <x:c r="G13" s="12" t="str">
        <x:v>Peel</x:v>
      </x:c>
      <x:c r="H13" s="12" t="str">
        <x:v>味方保護</x:v>
      </x:c>
      <x:c r="I13" s="67" t="n">
        <x:f>MAX(0,MIN(100,50+50*SUMPRODUCT($G$6:$M$6,Model_Formula!$B$15:$H$15)/Model_Formula!$I$15))</x:f>
        <x:v>50</x:v>
      </x:c>
      <x:c r="J13" s="67" t="n">
        <x:f>MAX(0,MIN(100,50+50*SUMPRODUCT($E$25:$E$34,Questions_30!$O$26:$O$35)/(SUMIF(Questions_30!$O$26:$O$35,"&gt;0",Questions_30!$O$26:$O$35)-SUMIF(Questions_30!$O$26:$O$35,"&lt;0",Questions_30!$O$26:$O$35))))</x:f>
        <x:v>50</x:v>
      </x:c>
      <x:c r="K13" s="67" t="n">
        <x:f>Model_Formula!$O$15</x:f>
        <x:v>0.3</x:v>
      </x:c>
      <x:c r="L13" s="67" t="n">
        <x:f>MAX(0,MIN(100,I13*(1-K13)+J13*K13))</x:f>
        <x:v>50</x:v>
      </x:c>
      <x:c r="M13" s="12" t="str">
        <x:v>係数は Model_Formula / Questions_30 で調整</x:v>
      </x:c>
    </x:row>
    <x:row r="14">
      <x:c r="A14" s="12" t="str">
        <x:v>Q10</x:v>
      </x:c>
      <x:c r="B14" s="12" t="str">
        <x:v>性格</x:v>
      </x:c>
      <x:c r="C14" s="12" t="str">
        <x:v>勝負どころでは、安全策より思い切った選択をすることがある。</x:v>
      </x:c>
      <x:c r="D14" s="61" t="n">
        <x:v>3</x:v>
      </x:c>
      <x:c r="E14" s="12" t="n">
        <x:f>(D14-3)/2</x:f>
        <x:v>0</x:v>
      </x:c>
      <x:c r="G14" s="12" t="str">
        <x:v>Frontline</x:v>
      </x:c>
      <x:c r="H14" s="12" t="str">
        <x:v>前線維持</x:v>
      </x:c>
      <x:c r="I14" s="67" t="n">
        <x:f>MAX(0,MIN(100,50+50*SUMPRODUCT($G$6:$M$6,Model_Formula!$B$16:$H$16)/Model_Formula!$I$16))</x:f>
        <x:v>50</x:v>
      </x:c>
      <x:c r="J14" s="67" t="n">
        <x:f>MAX(0,MIN(100,50+50*SUMPRODUCT($E$25:$E$34,Questions_30!$P$26:$P$35)/(SUMIF(Questions_30!$P$26:$P$35,"&gt;0",Questions_30!$P$26:$P$35)-SUMIF(Questions_30!$P$26:$P$35,"&lt;0",Questions_30!$P$26:$P$35))))</x:f>
        <x:v>50</x:v>
      </x:c>
      <x:c r="K14" s="67" t="n">
        <x:f>Model_Formula!$O$16</x:f>
        <x:v>0.3</x:v>
      </x:c>
      <x:c r="L14" s="67" t="n">
        <x:f>MAX(0,MIN(100,I14*(1-K14)+J14*K14))</x:f>
        <x:v>50</x:v>
      </x:c>
      <x:c r="M14" s="12" t="str">
        <x:v>係数は Model_Formula / Questions_30 で調整</x:v>
      </x:c>
    </x:row>
    <x:row r="15">
      <x:c r="A15" s="12" t="str">
        <x:v>Q11</x:v>
      </x:c>
      <x:c r="B15" s="12" t="str">
        <x:v>性格</x:v>
      </x:c>
      <x:c r="C15" s="12" t="str">
        <x:v>自分の成果が目立たなくても、チーム全体が成功すれば嬉しい。</x:v>
      </x:c>
      <x:c r="D15" s="61" t="n">
        <x:v>3</x:v>
      </x:c>
      <x:c r="E15" s="12" t="n">
        <x:f>(D15-3)/2</x:f>
        <x:v>0</x:v>
      </x:c>
      <x:c r="G15" s="12" t="str">
        <x:v>Poke</x:v>
      </x:c>
      <x:c r="H15" s="12" t="str">
        <x:v>遠距離圧力</x:v>
      </x:c>
      <x:c r="I15" s="67" t="n">
        <x:f>MAX(0,MIN(100,50+50*SUMPRODUCT($G$6:$M$6,Model_Formula!$B$17:$H$17)/Model_Formula!$I$17))</x:f>
        <x:v>50</x:v>
      </x:c>
      <x:c r="J15" s="67" t="n">
        <x:f>MAX(0,MIN(100,50+50*SUMPRODUCT($E$25:$E$34,Questions_30!$Q$26:$Q$35)/(SUMIF(Questions_30!$Q$26:$Q$35,"&gt;0",Questions_30!$Q$26:$Q$35)-SUMIF(Questions_30!$Q$26:$Q$35,"&lt;0",Questions_30!$Q$26:$Q$35))))</x:f>
        <x:v>50</x:v>
      </x:c>
      <x:c r="K15" s="67" t="n">
        <x:f>Model_Formula!$O$17</x:f>
        <x:v>0.3</x:v>
      </x:c>
      <x:c r="L15" s="67" t="n">
        <x:f>MAX(0,MIN(100,I15*(1-K15)+J15*K15))</x:f>
        <x:v>50</x:v>
      </x:c>
      <x:c r="M15" s="12" t="str">
        <x:v>係数は Model_Formula / Questions_30 で調整</x:v>
      </x:c>
    </x:row>
    <x:row r="16">
      <x:c r="A16" s="12" t="str">
        <x:v>Q12</x:v>
      </x:c>
      <x:c r="B16" s="12" t="str">
        <x:v>性格</x:v>
      </x:c>
      <x:c r="C16" s="12" t="str">
        <x:v>困ったときは、まず自分の力で解決方法を探すことが多い。</x:v>
      </x:c>
      <x:c r="D16" s="61" t="n">
        <x:v>3</x:v>
      </x:c>
      <x:c r="E16" s="12" t="n">
        <x:f>(D16-3)/2</x:f>
        <x:v>0</x:v>
      </x:c>
      <x:c r="G16" s="12" t="str">
        <x:v>Burst</x:v>
      </x:c>
      <x:c r="H16" s="12" t="str">
        <x:v>瞬間火力</x:v>
      </x:c>
      <x:c r="I16" s="67" t="n">
        <x:f>MAX(0,MIN(100,50+50*SUMPRODUCT($G$6:$M$6,Model_Formula!$B$18:$H$18)/Model_Formula!$I$18))</x:f>
        <x:v>50</x:v>
      </x:c>
      <x:c r="J16" s="67" t="n">
        <x:f>MAX(0,MIN(100,50+50*SUMPRODUCT($E$25:$E$34,Questions_30!$R$26:$R$35)/(SUMIF(Questions_30!$R$26:$R$35,"&gt;0",Questions_30!$R$26:$R$35)-SUMIF(Questions_30!$R$26:$R$35,"&lt;0",Questions_30!$R$26:$R$35))))</x:f>
        <x:v>50</x:v>
      </x:c>
      <x:c r="K16" s="67" t="n">
        <x:f>Model_Formula!$O$18</x:f>
        <x:v>0.3</x:v>
      </x:c>
      <x:c r="L16" s="67" t="n">
        <x:f>MAX(0,MIN(100,I16*(1-K16)+J16*K16))</x:f>
        <x:v>50</x:v>
      </x:c>
      <x:c r="M16" s="12" t="str">
        <x:v>係数は Model_Formula / Questions_30 で調整</x:v>
      </x:c>
    </x:row>
    <x:row r="17">
      <x:c r="A17" s="12" t="str">
        <x:v>Q13</x:v>
      </x:c>
      <x:c r="B17" s="12" t="str">
        <x:v>性格</x:v>
      </x:c>
      <x:c r="C17" s="12" t="str">
        <x:v>行動する前に、いくつか先の展開を想定することが多い。</x:v>
      </x:c>
      <x:c r="D17" s="61" t="n">
        <x:v>3</x:v>
      </x:c>
      <x:c r="E17" s="12" t="n">
        <x:f>(D17-3)/2</x:f>
        <x:v>0</x:v>
      </x:c>
      <x:c r="G17" s="12" t="str">
        <x:v>SustainDPS</x:v>
      </x:c>
      <x:c r="H17" s="12" t="str">
        <x:v>継続火力</x:v>
      </x:c>
      <x:c r="I17" s="67" t="n">
        <x:f>MAX(0,MIN(100,50+50*SUMPRODUCT($G$6:$M$6,Model_Formula!$B$19:$H$19)/Model_Formula!$I$19))</x:f>
        <x:v>50</x:v>
      </x:c>
      <x:c r="J17" s="67" t="n">
        <x:f>MAX(0,MIN(100,50+50*SUMPRODUCT($E$25:$E$34,Questions_30!$S$26:$S$35)/(SUMIF(Questions_30!$S$26:$S$35,"&gt;0",Questions_30!$S$26:$S$35)-SUMIF(Questions_30!$S$26:$S$35,"&lt;0",Questions_30!$S$26:$S$35))))</x:f>
        <x:v>50</x:v>
      </x:c>
      <x:c r="K17" s="67" t="n">
        <x:f>Model_Formula!$O$19</x:f>
        <x:v>0.3</x:v>
      </x:c>
      <x:c r="L17" s="67" t="n">
        <x:f>MAX(0,MIN(100,I17*(1-K17)+J17*K17))</x:f>
        <x:v>50</x:v>
      </x:c>
      <x:c r="M17" s="12" t="str">
        <x:v>係数は Model_Formula / Questions_30 で調整</x:v>
      </x:c>
    </x:row>
    <x:row r="18">
      <x:c r="A18" s="12" t="str">
        <x:v>Q14</x:v>
      </x:c>
      <x:c r="B18" s="12" t="str">
        <x:v>性格</x:v>
      </x:c>
      <x:c r="C18" s="12" t="str">
        <x:v>予定どおりにいかなくても、その場で別のやり方を選べる。</x:v>
      </x:c>
      <x:c r="D18" s="61" t="n">
        <x:v>3</x:v>
      </x:c>
      <x:c r="E18" s="12" t="n">
        <x:f>(D18-3)/2</x:f>
        <x:v>0</x:v>
      </x:c>
      <x:c r="G18" s="12" t="str">
        <x:v>Control</x:v>
      </x:c>
      <x:c r="H18" s="12" t="str">
        <x:v>盤面制御</x:v>
      </x:c>
      <x:c r="I18" s="67" t="n">
        <x:f>MAX(0,MIN(100,50+50*SUMPRODUCT($G$6:$M$6,Model_Formula!$B$20:$H$20)/Model_Formula!$I$20))</x:f>
        <x:v>50</x:v>
      </x:c>
      <x:c r="J18" s="67" t="n">
        <x:f>MAX(0,MIN(100,50+50*SUMPRODUCT($E$25:$E$34,Questions_30!$T$26:$T$35)/(SUMIF(Questions_30!$T$26:$T$35,"&gt;0",Questions_30!$T$26:$T$35)-SUMIF(Questions_30!$T$26:$T$35,"&lt;0",Questions_30!$T$26:$T$35))))</x:f>
        <x:v>50</x:v>
      </x:c>
      <x:c r="K18" s="67" t="n">
        <x:f>Model_Formula!$O$20</x:f>
        <x:v>0.3</x:v>
      </x:c>
      <x:c r="L18" s="67" t="n">
        <x:f>MAX(0,MIN(100,I18*(1-K18)+J18*K18))</x:f>
        <x:v>50</x:v>
      </x:c>
      <x:c r="M18" s="12" t="str">
        <x:v>係数は Model_Formula / Questions_30 で調整</x:v>
      </x:c>
    </x:row>
    <x:row r="19">
      <x:c r="A19" s="12" t="str">
        <x:v>Q15</x:v>
      </x:c>
      <x:c r="B19" s="12" t="str">
        <x:v>性格</x:v>
      </x:c>
      <x:c r="C19" s="12" t="str">
        <x:v>反復練習で細かな精度を上げていくことが好きだ。</x:v>
      </x:c>
      <x:c r="D19" s="61" t="n">
        <x:v>3</x:v>
      </x:c>
      <x:c r="E19" s="12" t="n">
        <x:f>(D19-3)/2</x:f>
        <x:v>0</x:v>
      </x:c>
      <x:c r="G19" s="12" t="str">
        <x:v>Support</x:v>
      </x:c>
      <x:c r="H19" s="12" t="str">
        <x:v>支援</x:v>
      </x:c>
      <x:c r="I19" s="67" t="n">
        <x:f>MAX(0,MIN(100,50+50*SUMPRODUCT($G$6:$M$6,Model_Formula!$B$21:$H$21)/Model_Formula!$I$21))</x:f>
        <x:v>50</x:v>
      </x:c>
      <x:c r="J19" s="67" t="n">
        <x:f>MAX(0,MIN(100,50+50*SUMPRODUCT($E$25:$E$34,Questions_30!$U$26:$U$35)/(SUMIF(Questions_30!$U$26:$U$35,"&gt;0",Questions_30!$U$26:$U$35)-SUMIF(Questions_30!$U$26:$U$35,"&lt;0",Questions_30!$U$26:$U$35))))</x:f>
        <x:v>50</x:v>
      </x:c>
      <x:c r="K19" s="67" t="n">
        <x:f>Model_Formula!$O$21</x:f>
        <x:v>0.3</x:v>
      </x:c>
      <x:c r="L19" s="67" t="n">
        <x:f>MAX(0,MIN(100,I19*(1-K19)+J19*K19))</x:f>
        <x:v>50</x:v>
      </x:c>
      <x:c r="M19" s="12" t="str">
        <x:v>係数は Model_Formula / Questions_30 で調整</x:v>
      </x:c>
    </x:row>
    <x:row r="20">
      <x:c r="A20" s="12" t="str">
        <x:v>Q16</x:v>
      </x:c>
      <x:c r="B20" s="12" t="str">
        <x:v>性格</x:v>
      </x:c>
      <x:c r="C20" s="12" t="str">
        <x:v>誰も決めない場面でも、自分から決めるより誰かの判断を待つことが多い。</x:v>
      </x:c>
      <x:c r="D20" s="61" t="n">
        <x:v>3</x:v>
      </x:c>
      <x:c r="E20" s="12" t="n">
        <x:f>(D20-3)/2</x:f>
        <x:v>0</x:v>
      </x:c>
      <x:c r="G20" s="12" t="str">
        <x:v>Mobility</x:v>
      </x:c>
      <x:c r="H20" s="12" t="str">
        <x:v>機動・ローム</x:v>
      </x:c>
      <x:c r="I20" s="67" t="n">
        <x:f>MAX(0,MIN(100,50+50*SUMPRODUCT($G$6:$M$6,Model_Formula!$B$22:$H$22)/Model_Formula!$I$22))</x:f>
        <x:v>50</x:v>
      </x:c>
      <x:c r="J20" s="67" t="n">
        <x:f>MAX(0,MIN(100,50+50*SUMPRODUCT($E$25:$E$34,Questions_30!$V$26:$V$35)/(SUMIF(Questions_30!$V$26:$V$35,"&gt;0",Questions_30!$V$26:$V$35)-SUMIF(Questions_30!$V$26:$V$35,"&lt;0",Questions_30!$V$26:$V$35))))</x:f>
        <x:v>50</x:v>
      </x:c>
      <x:c r="K20" s="67" t="n">
        <x:f>Model_Formula!$O$22</x:f>
        <x:v>0.3</x:v>
      </x:c>
      <x:c r="L20" s="67" t="n">
        <x:f>MAX(0,MIN(100,I20*(1-K20)+J20*K20))</x:f>
        <x:v>50</x:v>
      </x:c>
      <x:c r="M20" s="12" t="str">
        <x:v>係数は Model_Formula / Questions_30 で調整</x:v>
      </x:c>
    </x:row>
    <x:row r="21">
      <x:c r="A21" s="12" t="str">
        <x:v>Q17</x:v>
      </x:c>
      <x:c r="B21" s="12" t="str">
        <x:v>性格</x:v>
      </x:c>
      <x:c r="C21" s="12" t="str">
        <x:v>失敗が続いたときは、リスクを取るより確実な選択に切り替える。</x:v>
      </x:c>
      <x:c r="D21" s="61" t="n">
        <x:v>3</x:v>
      </x:c>
      <x:c r="E21" s="12" t="n">
        <x:f>(D21-3)/2</x:f>
        <x:v>0</x:v>
      </x:c>
      <x:c r="G21" s="12" t="str">
        <x:v>FarmScaling</x:v>
      </x:c>
      <x:c r="H21" s="12" t="str">
        <x:v>育成・スケール</x:v>
      </x:c>
      <x:c r="I21" s="67" t="n">
        <x:f>MAX(0,MIN(100,50+50*SUMPRODUCT($G$6:$M$6,Model_Formula!$B$23:$H$23)/Model_Formula!$I$23))</x:f>
        <x:v>50</x:v>
      </x:c>
      <x:c r="J21" s="67" t="n">
        <x:f>MAX(0,MIN(100,50+50*SUMPRODUCT($E$25:$E$34,Questions_30!$W$26:$W$35)/(SUMIF(Questions_30!$W$26:$W$35,"&gt;0",Questions_30!$W$26:$W$35)-SUMIF(Questions_30!$W$26:$W$35,"&lt;0",Questions_30!$W$26:$W$35))))</x:f>
        <x:v>50</x:v>
      </x:c>
      <x:c r="K21" s="67" t="n">
        <x:f>Model_Formula!$O$23</x:f>
        <x:v>0.3</x:v>
      </x:c>
      <x:c r="L21" s="67" t="n">
        <x:f>MAX(0,MIN(100,I21*(1-K21)+J21*K21))</x:f>
        <x:v>50</x:v>
      </x:c>
      <x:c r="M21" s="12" t="str">
        <x:v>係数は Model_Formula / Questions_30 で調整</x:v>
      </x:c>
    </x:row>
    <x:row r="22">
      <x:c r="A22" s="12" t="str">
        <x:v>Q18</x:v>
      </x:c>
      <x:c r="B22" s="12" t="str">
        <x:v>性格</x:v>
      </x:c>
      <x:c r="C22" s="12" t="str">
        <x:v>周囲に合わせるより、自分の得意なやり方を優先したい。</x:v>
      </x:c>
      <x:c r="D22" s="61" t="n">
        <x:v>3</x:v>
      </x:c>
      <x:c r="E22" s="12" t="n">
        <x:f>(D22-3)/2</x:f>
        <x:v>0</x:v>
      </x:c>
      <x:c r="G22" s="12" t="str">
        <x:v>ObjectiveSecure</x:v>
      </x:c>
      <x:c r="H22" s="12" t="str">
        <x:v>オブジェクト確保</x:v>
      </x:c>
      <x:c r="I22" s="67" t="n">
        <x:f>MAX(0,MIN(100,50+50*SUMPRODUCT($G$6:$M$6,Model_Formula!$B$24:$H$24)/Model_Formula!$I$24))</x:f>
        <x:v>50</x:v>
      </x:c>
      <x:c r="J22" s="67" t="n">
        <x:f>MAX(0,MIN(100,50+50*SUMPRODUCT($E$25:$E$34,Questions_30!$X$26:$X$35)/(SUMIF(Questions_30!$X$26:$X$35,"&gt;0",Questions_30!$X$26:$X$35)-SUMIF(Questions_30!$X$26:$X$35,"&lt;0",Questions_30!$X$26:$X$35))))</x:f>
        <x:v>50</x:v>
      </x:c>
      <x:c r="K22" s="67" t="n">
        <x:f>Model_Formula!$O$24</x:f>
        <x:v>0.3</x:v>
      </x:c>
      <x:c r="L22" s="67" t="n">
        <x:f>MAX(0,MIN(100,I22*(1-K22)+J22*K22))</x:f>
        <x:v>50</x:v>
      </x:c>
      <x:c r="M22" s="12" t="str">
        <x:v>係数は Model_Formula / Questions_30 で調整</x:v>
      </x:c>
    </x:row>
    <x:row r="23">
      <x:c r="A23" s="12" t="str">
        <x:v>Q19</x:v>
      </x:c>
      <x:c r="B23" s="12" t="str">
        <x:v>性格</x:v>
      </x:c>
      <x:c r="C23" s="12" t="str">
        <x:v>意見が違う相手とも、意図をくみ取って役割を調整できる方だ。</x:v>
      </x:c>
      <x:c r="D23" s="61" t="n">
        <x:v>3</x:v>
      </x:c>
      <x:c r="E23" s="12" t="n">
        <x:f>(D23-3)/2</x:f>
        <x:v>0</x:v>
      </x:c>
      <x:c r="G23" s="12" t="str">
        <x:v>ScoringSide</x:v>
      </x:c>
      <x:c r="H23" s="12" t="str">
        <x:v>ゴール・サイド圧</x:v>
      </x:c>
      <x:c r="I23" s="67" t="n">
        <x:f>MAX(0,MIN(100,50+50*SUMPRODUCT($G$6:$M$6,Model_Formula!$B$25:$H$25)/Model_Formula!$I$25))</x:f>
        <x:v>50</x:v>
      </x:c>
      <x:c r="J23" s="67" t="n">
        <x:f>MAX(0,MIN(100,50+50*SUMPRODUCT($E$25:$E$34,Questions_30!$Y$26:$Y$35)/(SUMIF(Questions_30!$Y$26:$Y$35,"&gt;0",Questions_30!$Y$26:$Y$35)-SUMIF(Questions_30!$Y$26:$Y$35,"&lt;0",Questions_30!$Y$26:$Y$35))))</x:f>
        <x:v>50</x:v>
      </x:c>
      <x:c r="K23" s="67" t="n">
        <x:f>Model_Formula!$O$25</x:f>
        <x:v>0.3</x:v>
      </x:c>
      <x:c r="L23" s="67" t="n">
        <x:f>MAX(0,MIN(100,I23*(1-K23)+J23*K23))</x:f>
        <x:v>50</x:v>
      </x:c>
      <x:c r="M23" s="12" t="str">
        <x:v>係数は Model_Formula / Questions_30 で調整</x:v>
      </x:c>
    </x:row>
    <x:row r="24">
      <x:c r="A24" s="12" t="str">
        <x:v>Q20</x:v>
      </x:c>
      <x:c r="B24" s="12" t="str">
        <x:v>性格</x:v>
      </x:c>
      <x:c r="C24" s="12" t="str">
        <x:v>選択肢が多く複雑な状況ほど、考える面白さを感じる。</x:v>
      </x:c>
      <x:c r="D24" s="61" t="n">
        <x:v>3</x:v>
      </x:c>
      <x:c r="E24" s="12" t="n">
        <x:f>(D24-3)/2</x:f>
        <x:v>0</x:v>
      </x:c>
      <x:c r="G24" s="12" t="str">
        <x:v>Execution</x:v>
      </x:c>
      <x:c r="H24" s="12" t="str">
        <x:v>操作負荷</x:v>
      </x:c>
      <x:c r="I24" s="67" t="n">
        <x:f>MAX(0,MIN(100,50+50*SUMPRODUCT($G$6:$M$6,Model_Formula!$B$26:$H$26)/Model_Formula!$I$26))</x:f>
        <x:v>50</x:v>
      </x:c>
      <x:c r="J24" s="67" t="n">
        <x:f>MAX(0,MIN(100,50+50*SUMPRODUCT($E$25:$E$34,Questions_30!$Z$26:$Z$35)/(SUMIF(Questions_30!$Z$26:$Z$35,"&gt;0",Questions_30!$Z$26:$Z$35)-SUMIF(Questions_30!$Z$26:$Z$35,"&lt;0",Questions_30!$Z$26:$Z$35))))</x:f>
        <x:v>50</x:v>
      </x:c>
      <x:c r="K24" s="67" t="n">
        <x:f>Model_Formula!$O$26</x:f>
        <x:v>0.3</x:v>
      </x:c>
      <x:c r="L24" s="67" t="n">
        <x:f>MAX(0,MIN(100,I24*(1-K24)+J24*K24))</x:f>
        <x:v>50</x:v>
      </x:c>
      <x:c r="M24" s="12" t="str">
        <x:v>係数は Model_Formula / Questions_30 で調整</x:v>
      </x:c>
    </x:row>
    <x:row r="25">
      <x:c r="A25" s="12" t="str">
        <x:v>Q21</x:v>
      </x:c>
      <x:c r="B25" s="12" t="str">
        <x:v>ゲーム嗜好</x:v>
      </x:c>
      <x:c r="C25" s="12" t="str">
        <x:v>集団戦では、相手の出方を待つより自分から仕掛ける方が楽しい。</x:v>
      </x:c>
      <x:c r="D25" s="61" t="n">
        <x:v>3</x:v>
      </x:c>
      <x:c r="E25" s="12" t="n">
        <x:f>(D25-3)/2</x:f>
        <x:v>0</x:v>
      </x:c>
      <x:c r="G25" s="12" t="str">
        <x:v>Decision</x:v>
      </x:c>
      <x:c r="H25" s="12" t="str">
        <x:v>判断負荷</x:v>
      </x:c>
      <x:c r="I25" s="67" t="n">
        <x:f>MAX(0,MIN(100,50+50*SUMPRODUCT($G$6:$M$6,Model_Formula!$B$27:$H$27)/Model_Formula!$I$27))</x:f>
        <x:v>50</x:v>
      </x:c>
      <x:c r="J25" s="67" t="n">
        <x:f>MAX(0,MIN(100,50+50*SUMPRODUCT($E$25:$E$34,Questions_30!$AA$26:$AA$35)/(SUMIF(Questions_30!$AA$26:$AA$35,"&gt;0",Questions_30!$AA$26:$AA$35)-SUMIF(Questions_30!$AA$26:$AA$35,"&lt;0",Questions_30!$AA$26:$AA$35))))</x:f>
        <x:v>50</x:v>
      </x:c>
      <x:c r="K25" s="67" t="n">
        <x:f>Model_Formula!$O$27</x:f>
        <x:v>0.3</x:v>
      </x:c>
      <x:c r="L25" s="67" t="n">
        <x:f>MAX(0,MIN(100,I25*(1-K25)+J25*K25))</x:f>
        <x:v>50</x:v>
      </x:c>
      <x:c r="M25" s="12" t="str">
        <x:v>係数は Model_Formula / Questions_30 で調整</x:v>
      </x:c>
    </x:row>
    <x:row r="26">
      <x:c r="A26" s="12" t="str">
        <x:v>Q22</x:v>
      </x:c>
      <x:c r="B26" s="12" t="str">
        <x:v>ゲーム嗜好</x:v>
      </x:c>
      <x:c r="C26" s="12" t="str">
        <x:v>危険な位置に入るより、安全な距離から相手を削り続ける方が好きだ。</x:v>
      </x:c>
      <x:c r="D26" s="61" t="n">
        <x:v>3</x:v>
      </x:c>
      <x:c r="E26" s="12" t="n">
        <x:f>(D26-3)/2</x:f>
        <x:v>0</x:v>
      </x:c>
    </x:row>
    <x:row r="27">
      <x:c r="A27" s="12" t="str">
        <x:v>Q23</x:v>
      </x:c>
      <x:c r="B27" s="12" t="str">
        <x:v>ゲーム嗜好</x:v>
      </x:c>
      <x:c r="C27" s="12" t="str">
        <x:v>味方を守ったり助けたりすることで試合を動かすのが好きだ。</x:v>
      </x:c>
      <x:c r="D27" s="61" t="n">
        <x:v>3</x:v>
      </x:c>
      <x:c r="E27" s="12" t="n">
        <x:f>(D27-3)/2</x:f>
        <x:v>0</x:v>
      </x:c>
    </x:row>
    <x:row r="28">
      <x:c r="A28" s="12" t="str">
        <x:v>Q24</x:v>
      </x:c>
      <x:c r="B28" s="12" t="str">
        <x:v>ゲーム嗜好</x:v>
      </x:c>
      <x:c r="C28" s="12" t="str">
        <x:v>味方と固まるより、単独で動いて相手の隙や空いた場所を突くのが好きだ。</x:v>
      </x:c>
      <x:c r="D28" s="61" t="n">
        <x:v>3</x:v>
      </x:c>
      <x:c r="E28" s="12" t="n">
        <x:f>(D28-3)/2</x:f>
        <x:v>0</x:v>
      </x:c>
      <x:c r="G28" s="54" t="str">
        <x:v>おすすめ上位10プロファイル</x:v>
      </x:c>
      <x:c r="H28" s="54"/>
      <x:c r="I28" s="54"/>
      <x:c r="J28" s="54"/>
      <x:c r="K28" s="54"/>
      <x:c r="L28" s="54"/>
      <x:c r="M28" s="54"/>
    </x:row>
    <x:row r="29">
      <x:c r="A29" s="12" t="str">
        <x:v>Q25</x:v>
      </x:c>
      <x:c r="B29" s="12" t="str">
        <x:v>ゲーム嗜好</x:v>
      </x:c>
      <x:c r="C29" s="12" t="str">
        <x:v>序盤から強いキャラより、育って後半に大きく仕事をするキャラが好きだ。</x:v>
      </x:c>
      <x:c r="D29" s="61" t="n">
        <x:v>3</x:v>
      </x:c>
      <x:c r="E29" s="12" t="n">
        <x:f>(D29-3)/2</x:f>
        <x:v>0</x:v>
      </x:c>
      <x:c r="G29" s="54" t="str">
        <x:v>Rank</x:v>
      </x:c>
      <x:c r="H29" s="54" t="str">
        <x:v>Pokemon</x:v>
      </x:c>
      <x:c r="I29" s="54" t="str">
        <x:v>Profile</x:v>
      </x:c>
      <x:c r="J29" s="54" t="str">
        <x:v>Role</x:v>
      </x:c>
      <x:c r="K29" s="54" t="str">
        <x:v>MatchScore</x:v>
      </x:c>
      <x:c r="L29" s="54" t="str">
        <x:v>ProfileID</x:v>
      </x:c>
      <x:c r="M29" s="54" t="str">
        <x:v>Confidence</x:v>
      </x:c>
    </x:row>
    <x:row r="30">
      <x:c r="A30" s="12" t="str">
        <x:v>Q26</x:v>
      </x:c>
      <x:c r="B30" s="12" t="str">
        <x:v>ゲーム嗜好</x:v>
      </x:c>
      <x:c r="C30" s="12" t="str">
        <x:v>レックウザなど重要な場面の取り切りを、自分で担えるキャラに魅力を感じる。</x:v>
      </x:c>
      <x:c r="D30" s="61" t="n">
        <x:v>3</x:v>
      </x:c>
      <x:c r="E30" s="12" t="n">
        <x:f>(D30-3)/2</x:f>
        <x:v>0</x:v>
      </x:c>
      <x:c r="G30" s="12" t="n">
        <x:v>1</x:v>
      </x:c>
      <x:c r="H30" s="12" t="str">
        <x:f>INDEX(Match_140!$A$6:$A$145,MATCH(G30,Match_140!$X$6:$X$145,0))</x:f>
        <x:v>ラプラス</x:v>
      </x:c>
      <x:c r="I30" s="12" t="str">
        <x:f>INDEX(Match_140!$C$6:$C$145,MATCH(G30,Match_140!$X$6:$X$145,0))</x:f>
        <x:v>共通プロファイル</x:v>
      </x:c>
      <x:c r="J30" s="12" t="str">
        <x:f>INDEX(Match_140!$D$6:$D$145,MATCH(G30,Match_140!$X$6:$X$145,0))</x:f>
        <x:v>ディフェンス型</x:v>
      </x:c>
      <x:c r="K30" s="67" t="n">
        <x:f>INDEX(Match_140!$W$6:$W$145,MATCH(G30,Match_140!$X$6:$X$145,0))</x:f>
        <x:v>80.74092000737932</x:v>
      </x:c>
      <x:c r="L30" s="12" t="str">
        <x:f>INDEX(Match_140!$B$6:$B$145,MATCH(G30,Match_140!$X$6:$X$145,0))</x:f>
        <x:v>ラプラス-1</x:v>
      </x:c>
      <x:c r="M30" s="12" t="str">
        <x:f>INDEX(Match_140!$E$6:$E$145,MATCH(G30,Match_140!$X$6:$X$145,0))</x:f>
        <x:v>高</x:v>
      </x:c>
    </x:row>
    <x:row r="31">
      <x:c r="A31" s="12" t="str">
        <x:v>Q27</x:v>
      </x:c>
      <x:c r="B31" s="12" t="str">
        <x:v>操作嗜好</x:v>
      </x:c>
      <x:c r="C31" s="12" t="str">
        <x:v>操作が難しくても、コンボやエイムを極めるほど差が出るキャラが好きだ。</x:v>
      </x:c>
      <x:c r="D31" s="61" t="n">
        <x:v>3</x:v>
      </x:c>
      <x:c r="E31" s="12" t="n">
        <x:f>(D31-3)/2</x:f>
        <x:v>0</x:v>
      </x:c>
      <x:c r="G31" s="12" t="n">
        <x:v>2</x:v>
      </x:c>
      <x:c r="H31" s="12" t="str">
        <x:f>INDEX(Match_140!$A$6:$A$145,MATCH(G31,Match_140!$X$6:$X$145,0))</x:f>
        <x:v>ホウオウ</x:v>
      </x:c>
      <x:c r="I31" s="12" t="str">
        <x:f>INDEX(Match_140!$C$6:$C$145,MATCH(G31,Match_140!$X$6:$X$145,0))</x:f>
        <x:v>せいなるほのお＋かえんほうしゃ</x:v>
      </x:c>
      <x:c r="J31" s="12" t="str">
        <x:f>INDEX(Match_140!$D$6:$D$145,MATCH(G31,Match_140!$X$6:$X$145,0))</x:f>
        <x:v>ディフェンス型</x:v>
      </x:c>
      <x:c r="K31" s="67" t="n">
        <x:f>INDEX(Match_140!$W$6:$W$145,MATCH(G31,Match_140!$X$6:$X$145,0))</x:f>
        <x:v>80.59674031286272</x:v>
      </x:c>
      <x:c r="L31" s="12" t="str">
        <x:f>INDEX(Match_140!$B$6:$B$145,MATCH(G31,Match_140!$X$6:$X$145,0))</x:f>
        <x:v>ホウオウ-1</x:v>
      </x:c>
      <x:c r="M31" s="12" t="str">
        <x:f>INDEX(Match_140!$E$6:$E$145,MATCH(G31,Match_140!$X$6:$X$145,0))</x:f>
        <x:v>高</x:v>
      </x:c>
    </x:row>
    <x:row r="32">
      <x:c r="A32" s="12" t="str">
        <x:v>Q28</x:v>
      </x:c>
      <x:c r="B32" s="12" t="str">
        <x:v>操作嗜好</x:v>
      </x:c>
      <x:c r="C32" s="12" t="str">
        <x:v>瞬間的な反応や素早い操作を求められるプレイの方が楽しい。</x:v>
      </x:c>
      <x:c r="D32" s="61" t="n">
        <x:v>3</x:v>
      </x:c>
      <x:c r="E32" s="12" t="n">
        <x:f>(D32-3)/2</x:f>
        <x:v>0</x:v>
      </x:c>
      <x:c r="G32" s="12" t="n">
        <x:v>3</x:v>
      </x:c>
      <x:c r="H32" s="12" t="str">
        <x:f>INDEX(Match_140!$A$6:$A$145,MATCH(G32,Match_140!$X$6:$X$145,0))</x:f>
        <x:v>アローラキュウコン</x:v>
      </x:c>
      <x:c r="I32" s="12" t="str">
        <x:f>INDEX(Match_140!$C$6:$C$145,MATCH(G32,Match_140!$X$6:$X$145,0))</x:f>
        <x:v>マジカルシャイン＋オーロラベール</x:v>
      </x:c>
      <x:c r="J32" s="12" t="str">
        <x:f>INDEX(Match_140!$D$6:$D$145,MATCH(G32,Match_140!$X$6:$X$145,0))</x:f>
        <x:v>アタック型</x:v>
      </x:c>
      <x:c r="K32" s="67" t="n">
        <x:f>INDEX(Match_140!$W$6:$W$145,MATCH(G32,Match_140!$X$6:$X$145,0))</x:f>
        <x:v>79.23344034270481</x:v>
      </x:c>
      <x:c r="L32" s="12" t="str">
        <x:f>INDEX(Match_140!$B$6:$B$145,MATCH(G32,Match_140!$X$6:$X$145,0))</x:f>
        <x:v>アローラキュウコン-2</x:v>
      </x:c>
      <x:c r="M32" s="12" t="str">
        <x:f>INDEX(Match_140!$E$6:$E$145,MATCH(G32,Match_140!$X$6:$X$145,0))</x:f>
        <x:v>高</x:v>
      </x:c>
    </x:row>
    <x:row r="33">
      <x:c r="A33" s="12" t="str">
        <x:v>Q29</x:v>
      </x:c>
      <x:c r="B33" s="12" t="str">
        <x:v>操作嗜好</x:v>
      </x:c>
      <x:c r="C33" s="12" t="str">
        <x:v>細かな操作より、盤面を見て次の展開を読むことに面白さを感じる。</x:v>
      </x:c>
      <x:c r="D33" s="61" t="n">
        <x:v>3</x:v>
      </x:c>
      <x:c r="E33" s="12" t="n">
        <x:f>(D33-3)/2</x:f>
        <x:v>0</x:v>
      </x:c>
      <x:c r="G33" s="12" t="n">
        <x:v>4</x:v>
      </x:c>
      <x:c r="H33" s="12" t="str">
        <x:f>INDEX(Match_140!$A$6:$A$145,MATCH(G33,Match_140!$X$6:$X$145,0))</x:f>
        <x:v>ワタシラガ</x:v>
      </x:c>
      <x:c r="I33" s="12" t="str">
        <x:f>INDEX(Match_140!$C$6:$C$145,MATCH(G33,Match_140!$X$6:$X$145,0))</x:f>
        <x:v>グラスミキサー＋わたほうし</x:v>
      </x:c>
      <x:c r="J33" s="12" t="str">
        <x:f>INDEX(Match_140!$D$6:$D$145,MATCH(G33,Match_140!$X$6:$X$145,0))</x:f>
        <x:v>サポート型</x:v>
      </x:c>
      <x:c r="K33" s="67" t="n">
        <x:f>INDEX(Match_140!$W$6:$W$145,MATCH(G33,Match_140!$X$6:$X$145,0))</x:f>
        <x:v>78.90037306593416</x:v>
      </x:c>
      <x:c r="L33" s="12" t="str">
        <x:f>INDEX(Match_140!$B$6:$B$145,MATCH(G33,Match_140!$X$6:$X$145,0))</x:f>
        <x:v>ワタシラガ-2</x:v>
      </x:c>
      <x:c r="M33" s="12" t="str">
        <x:f>INDEX(Match_140!$E$6:$E$145,MATCH(G33,Match_140!$X$6:$X$145,0))</x:f>
        <x:v>高</x:v>
      </x:c>
    </x:row>
    <x:row r="34">
      <x:c r="A34" s="12" t="str">
        <x:v>Q30</x:v>
      </x:c>
      <x:c r="B34" s="12" t="str">
        <x:v>操作嗜好</x:v>
      </x:c>
      <x:c r="C34" s="12" t="str">
        <x:v>一発の爆発力より、長い時間安定して仕事を続けられる方が好きだ。</x:v>
      </x:c>
      <x:c r="D34" s="61" t="n">
        <x:v>3</x:v>
      </x:c>
      <x:c r="E34" s="12" t="n">
        <x:f>(D34-3)/2</x:f>
        <x:v>0</x:v>
      </x:c>
      <x:c r="G34" s="12" t="n">
        <x:v>5</x:v>
      </x:c>
      <x:c r="H34" s="12" t="str">
        <x:f>INDEX(Match_140!$A$6:$A$145,MATCH(G34,Match_140!$X$6:$X$145,0))</x:f>
        <x:v>ミュウツー(X)</x:v>
      </x:c>
      <x:c r="I34" s="12" t="str">
        <x:f>INDEX(Match_140!$C$6:$C$145,MATCH(G34,Match_140!$X$6:$X$145,0))</x:f>
        <x:v>共通プロファイル</x:v>
      </x:c>
      <x:c r="J34" s="12" t="str">
        <x:f>INDEX(Match_140!$D$6:$D$145,MATCH(G34,Match_140!$X$6:$X$145,0))</x:f>
        <x:v>バランス型</x:v>
      </x:c>
      <x:c r="K34" s="67" t="n">
        <x:f>INDEX(Match_140!$W$6:$W$145,MATCH(G34,Match_140!$X$6:$X$145,0))</x:f>
        <x:v>78.85778528055201</x:v>
      </x:c>
      <x:c r="L34" s="12" t="str">
        <x:f>INDEX(Match_140!$B$6:$B$145,MATCH(G34,Match_140!$X$6:$X$145,0))</x:f>
        <x:v>ミュウツー(X)-1</x:v>
      </x:c>
      <x:c r="M34" s="12" t="str">
        <x:f>INDEX(Match_140!$E$6:$E$145,MATCH(G34,Match_140!$X$6:$X$145,0))</x:f>
        <x:v>高</x:v>
      </x:c>
    </x:row>
    <x:row r="35">
      <x:c r="G35" s="12" t="n">
        <x:v>6</x:v>
      </x:c>
      <x:c r="H35" s="12" t="str">
        <x:f>INDEX(Match_140!$A$6:$A$145,MATCH(G35,Match_140!$X$6:$X$145,0))</x:f>
        <x:v>カビゴン</x:v>
      </x:c>
      <x:c r="I35" s="12" t="str">
        <x:f>INDEX(Match_140!$C$6:$C$145,MATCH(G35,Match_140!$X$6:$X$145,0))</x:f>
        <x:v>じたばた＋あくび</x:v>
      </x:c>
      <x:c r="J35" s="12" t="str">
        <x:f>INDEX(Match_140!$D$6:$D$145,MATCH(G35,Match_140!$X$6:$X$145,0))</x:f>
        <x:v>ディフェンス型</x:v>
      </x:c>
      <x:c r="K35" s="67" t="n">
        <x:f>INDEX(Match_140!$W$6:$W$145,MATCH(G35,Match_140!$X$6:$X$145,0))</x:f>
        <x:v>78.5022392743752</x:v>
      </x:c>
      <x:c r="L35" s="12" t="str">
        <x:f>INDEX(Match_140!$B$6:$B$145,MATCH(G35,Match_140!$X$6:$X$145,0))</x:f>
        <x:v>カビゴン-2</x:v>
      </x:c>
      <x:c r="M35" s="12" t="str">
        <x:f>INDEX(Match_140!$E$6:$E$145,MATCH(G35,Match_140!$X$6:$X$145,0))</x:f>
        <x:v>高</x:v>
      </x:c>
    </x:row>
    <x:row r="36">
      <x:c r="G36" s="12" t="n">
        <x:v>7</x:v>
      </x:c>
      <x:c r="H36" s="12" t="str">
        <x:f>INDEX(Match_140!$A$6:$A$145,MATCH(G36,Match_140!$X$6:$X$145,0))</x:f>
        <x:v>エーフィ</x:v>
      </x:c>
      <x:c r="I36" s="12" t="str">
        <x:f>INDEX(Match_140!$C$6:$C$145,MATCH(G36,Match_140!$X$6:$X$145,0))</x:f>
        <x:v>アシストパワー＋みらいよち</x:v>
      </x:c>
      <x:c r="J36" s="12" t="str">
        <x:f>INDEX(Match_140!$D$6:$D$145,MATCH(G36,Match_140!$X$6:$X$145,0))</x:f>
        <x:v>アタック型</x:v>
      </x:c>
      <x:c r="K36" s="67" t="n">
        <x:f>INDEX(Match_140!$W$6:$W$145,MATCH(G36,Match_140!$X$6:$X$145,0))</x:f>
        <x:v>78.4580861097707</x:v>
      </x:c>
      <x:c r="L36" s="12" t="str">
        <x:f>INDEX(Match_140!$B$6:$B$145,MATCH(G36,Match_140!$X$6:$X$145,0))</x:f>
        <x:v>エーフィ-2</x:v>
      </x:c>
      <x:c r="M36" s="12" t="str">
        <x:f>INDEX(Match_140!$E$6:$E$145,MATCH(G36,Match_140!$X$6:$X$145,0))</x:f>
        <x:v>高</x:v>
      </x:c>
    </x:row>
    <x:row r="37">
      <x:c r="G37" s="12" t="n">
        <x:v>8</x:v>
      </x:c>
      <x:c r="H37" s="12" t="str">
        <x:f>INDEX(Match_140!$A$6:$A$145,MATCH(G37,Match_140!$X$6:$X$145,0))</x:f>
        <x:v>アローラライチュウ</x:v>
      </x:c>
      <x:c r="I37" s="12" t="str">
        <x:f>INDEX(Match_140!$C$6:$C$145,MATCH(G37,Match_140!$X$6:$X$145,0))</x:f>
        <x:v>共通プロファイル</x:v>
      </x:c>
      <x:c r="J37" s="12" t="str">
        <x:f>INDEX(Match_140!$D$6:$D$145,MATCH(G37,Match_140!$X$6:$X$145,0))</x:f>
        <x:v>アタック型</x:v>
      </x:c>
      <x:c r="K37" s="67" t="n">
        <x:f>INDEX(Match_140!$W$6:$W$145,MATCH(G37,Match_140!$X$6:$X$145,0))</x:f>
        <x:v>78.38469792522474</x:v>
      </x:c>
      <x:c r="L37" s="12" t="str">
        <x:f>INDEX(Match_140!$B$6:$B$145,MATCH(G37,Match_140!$X$6:$X$145,0))</x:f>
        <x:v>アローラライチュウ-1</x:v>
      </x:c>
      <x:c r="M37" s="12" t="str">
        <x:f>INDEX(Match_140!$E$6:$E$145,MATCH(G37,Match_140!$X$6:$X$145,0))</x:f>
        <x:v>高</x:v>
      </x:c>
    </x:row>
    <x:row r="38">
      <x:c r="G38" s="12" t="n">
        <x:v>9</x:v>
      </x:c>
      <x:c r="H38" s="12" t="str">
        <x:f>INDEX(Match_140!$A$6:$A$145,MATCH(G38,Match_140!$X$6:$X$145,0))</x:f>
        <x:v>ニンフィア</x:v>
      </x:c>
      <x:c r="I38" s="12" t="str">
        <x:f>INDEX(Match_140!$C$6:$C$145,MATCH(G38,Match_140!$X$6:$X$145,0))</x:f>
        <x:v>マジカルフレイム＋ドレインキッス</x:v>
      </x:c>
      <x:c r="J38" s="12" t="str">
        <x:f>INDEX(Match_140!$D$6:$D$145,MATCH(G38,Match_140!$X$6:$X$145,0))</x:f>
        <x:v>アタック型</x:v>
      </x:c>
      <x:c r="K38" s="67" t="n">
        <x:f>INDEX(Match_140!$W$6:$W$145,MATCH(G38,Match_140!$X$6:$X$145,0))</x:f>
        <x:v>77.97728445445476</x:v>
      </x:c>
      <x:c r="L38" s="12" t="str">
        <x:f>INDEX(Match_140!$B$6:$B$145,MATCH(G38,Match_140!$X$6:$X$145,0))</x:f>
        <x:v>ニンフィア-2</x:v>
      </x:c>
      <x:c r="M38" s="12" t="str">
        <x:f>INDEX(Match_140!$E$6:$E$145,MATCH(G38,Match_140!$X$6:$X$145,0))</x:f>
        <x:v>高</x:v>
      </x:c>
    </x:row>
    <x:row r="39">
      <x:c r="G39" s="12" t="n">
        <x:v>10</x:v>
      </x:c>
      <x:c r="H39" s="12" t="str">
        <x:f>INDEX(Match_140!$A$6:$A$145,MATCH(G39,Match_140!$X$6:$X$145,0))</x:f>
        <x:v>グレイシア</x:v>
      </x:c>
      <x:c r="I39" s="12" t="str">
        <x:f>INDEX(Match_140!$C$6:$C$145,MATCH(G39,Match_140!$X$6:$X$145,0))</x:f>
        <x:v>こごえるかぜ＋フリーズドライ</x:v>
      </x:c>
      <x:c r="J39" s="12" t="str">
        <x:f>INDEX(Match_140!$D$6:$D$145,MATCH(G39,Match_140!$X$6:$X$145,0))</x:f>
        <x:v>アタック型</x:v>
      </x:c>
      <x:c r="K39" s="67" t="n">
        <x:f>INDEX(Match_140!$W$6:$W$145,MATCH(G39,Match_140!$X$6:$X$145,0))</x:f>
        <x:v>77.27979378900204</x:v>
      </x:c>
      <x:c r="L39" s="12" t="str">
        <x:f>INDEX(Match_140!$B$6:$B$145,MATCH(G39,Match_140!$X$6:$X$145,0))</x:f>
        <x:v>グレイシア-2</x:v>
      </x:c>
      <x:c r="M39" s="12" t="str">
        <x:f>INDEX(Match_140!$E$6:$E$145,MATCH(G39,Match_140!$X$6:$X$145,0))</x:f>
        <x:v>高</x:v>
      </x:c>
    </x:row>
  </x:sheetData>
  <x:mergeCells>
    <x:mergeCell ref="A1:M2"/>
    <x:mergeCell ref="A3:E3"/>
    <x:mergeCell ref="G3:M3"/>
    <x:mergeCell ref="G9:M9"/>
    <x:mergeCell ref="G28:M28"/>
  </x:mergeCells>
  <x:conditionalFormatting sqref="D5:D34">
    <x:cfRule type="colorScale" priority="1">
      <x:colorScale>
        <x:cfvo type="min"/>
        <x:cfvo type="percentile" val="50"/>
        <x:cfvo type="max"/>
        <x:color rgb="FFFEE2E2"/>
        <x:color rgb="FFFEF3C7"/>
        <x:color rgb="FFDCFCE7"/>
      </x:colorScale>
    </x:cfRule>
  </x:conditionalFormatting>
  <x:conditionalFormatting sqref="G5:M5">
    <x:cfRule type="dataBar" priority="2">
      <x:dataBar>
        <x:cfvo type="min"/>
        <x:cfvo type="max"/>
        <x:color rgb="FFA02B93"/>
      </x:dataBar>
      <x:extLst>
        <x:ext xmlns:x14="http://schemas.microsoft.com/office/spreadsheetml/2009/9/main" uri="{B025F937-C7B1-47D3-B67F-A62EFF666E3E}">
          <x14:id>{57B5D4C0-D36D-1819-16E8-A5996F05A974}</x14:id>
        </x:ext>
      </x:extLst>
    </x:cfRule>
  </x:conditionalFormatting>
  <x:conditionalFormatting sqref="L11:L25">
    <x:cfRule type="dataBar" priority="3">
      <x:dataBar>
        <x:cfvo type="min"/>
        <x:cfvo type="max"/>
        <x:color rgb="FFA02B93"/>
      </x:dataBar>
      <x:extLst>
        <x:ext xmlns:x14="http://schemas.microsoft.com/office/spreadsheetml/2009/9/main" uri="{B025F937-C7B1-47D3-B67F-A62EFF666E3E}">
          <x14:id>{091D6CEA-86ED-9DCF-A6C0-6B6D60E6EE3D}</x14:id>
        </x:ext>
      </x:extLst>
    </x:cfRule>
  </x:conditionalFormatting>
  <x:dataValidations count="1">
    <x:dataValidation type="list" sqref="D5:D34">
      <x:formula1>"1,2,3,4,5"</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2" id="{57B5D4C0-D36D-1819-16E8-A5996F05A974}">
            <x14:dataBar gradient="1">
              <x14:cfvo type="min"/>
              <x14:cfvo type="max"/>
              <x14:fillColor rgb="FFA02B93"/>
            </x14:dataBar>
          </x14:cfRule>
          <xm:sqref>G5:M5</xm:sqref>
        </x14:conditionalFormatting>
        <x14:conditionalFormatting>
          <x14:cfRule type="dataBar" priority="3" id="{091D6CEA-86ED-9DCF-A6C0-6B6D60E6EE3D}">
            <x14:dataBar gradient="1">
              <x14:cfvo type="min"/>
              <x14:cfvo type="max"/>
              <x14:fillColor rgb="FFA02B93"/>
            </x14:dataBar>
          </x14:cfRule>
          <xm:sqref>L11:L25</xm:sqref>
        </x14:conditionalFormatting>
      </x14:conditionalFormattings>
    </x:ext>
  </x:extLst>
</x:worksheet>
</file>

<file path=xl/worksheets/sheet11.xml><?xml version="1.0" encoding="utf-8"?>
<x:worksheet xmlns:x="http://schemas.openxmlformats.org/spreadsheetml/2006/main">
  <x:sheetFormatPr defaultRowHeight="15"/>
  <x:cols>
    <x:col min="1" max="1" width="18" hidden="0" customWidth="1"/>
    <x:col min="2" max="2" width="22" hidden="0" customWidth="1"/>
    <x:col min="3" max="3" width="30"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4" hidden="0" customWidth="1"/>
    <x:col min="22" max="22" width="14" hidden="0" customWidth="1"/>
    <x:col min="23" max="23" width="14" hidden="0" customWidth="1"/>
    <x:col min="24" max="24" width="14" hidden="0" customWidth="1"/>
  </x:cols>
  <x:sheetData>
    <x:row r="1">
      <x:c r="A1" s="59" t="str">
        <x:v>140プロファイル マッチング計算</x:v>
      </x:c>
      <x:c r="B1" s="59"/>
      <x:c r="C1" s="59"/>
      <x:c r="D1" s="59"/>
      <x:c r="E1" s="59"/>
      <x:c r="F1" s="59"/>
      <x:c r="G1" s="59"/>
      <x:c r="H1" s="59"/>
      <x:c r="I1" s="59"/>
      <x:c r="J1" s="59"/>
      <x:c r="K1" s="59"/>
      <x:c r="L1" s="59"/>
      <x:c r="M1" s="59"/>
      <x:c r="N1" s="59"/>
      <x:c r="O1" s="59"/>
      <x:c r="P1" s="59"/>
      <x:c r="Q1" s="59"/>
      <x:c r="R1" s="59"/>
      <x:c r="S1" s="59"/>
      <x:c r="T1" s="59"/>
      <x:c r="U1" s="59"/>
      <x:c r="V1" s="59"/>
      <x:c r="W1" s="59"/>
      <x:c r="X1" s="59"/>
    </x:row>
    <x:row r="2">
      <x:c r="A2" s="59"/>
      <x:c r="B2" s="59"/>
      <x:c r="C2" s="59"/>
      <x:c r="D2" s="59"/>
      <x:c r="E2" s="59"/>
      <x:c r="F2" s="59"/>
      <x:c r="G2" s="59"/>
      <x:c r="H2" s="59"/>
      <x:c r="I2" s="59"/>
      <x:c r="J2" s="59"/>
      <x:c r="K2" s="59"/>
      <x:c r="L2" s="59"/>
      <x:c r="M2" s="59"/>
      <x:c r="N2" s="59"/>
      <x:c r="O2" s="59"/>
      <x:c r="P2" s="59"/>
      <x:c r="Q2" s="59"/>
      <x:c r="R2" s="59"/>
      <x:c r="S2" s="59"/>
      <x:c r="T2" s="59"/>
      <x:c r="U2" s="59"/>
      <x:c r="V2" s="59"/>
      <x:c r="W2" s="59"/>
      <x:c r="X2" s="59"/>
    </x:row>
    <x:row r="3">
      <x:c r="A3" s="48" t="str">
        <x:v>軸別誤差 = Weight×(Pokemon-Player)^2×IF(Pokemon&gt;Player,1+OverReqPenalty,1)。 Weighted RMSEを100から引いてMatchScore化。OverReqPenaltyは『必要値が本人の希望を上回る』場合のみ効きます。</x:v>
      </x:c>
      <x:c r="B3" s="48"/>
      <x:c r="C3" s="48"/>
      <x:c r="D3" s="48"/>
      <x:c r="E3" s="48"/>
      <x:c r="F3" s="48"/>
      <x:c r="G3" s="48"/>
      <x:c r="H3" s="48"/>
      <x:c r="I3" s="48"/>
      <x:c r="J3" s="48"/>
      <x:c r="K3" s="48"/>
      <x:c r="L3" s="48"/>
      <x:c r="M3" s="48"/>
      <x:c r="N3" s="48"/>
      <x:c r="O3" s="48"/>
      <x:c r="P3" s="48"/>
      <x:c r="Q3" s="48"/>
      <x:c r="R3" s="48"/>
      <x:c r="S3" s="48"/>
      <x:c r="T3" s="48"/>
      <x:c r="U3" s="48"/>
      <x:c r="V3" s="48"/>
      <x:c r="W3" s="48"/>
      <x:c r="X3" s="48"/>
    </x:row>
    <x:row r="5">
      <x:c r="A5" s="54" t="str">
        <x:v>Pokemon</x:v>
      </x:c>
      <x:c r="B5" s="54" t="str">
        <x:v>ProfileID</x:v>
      </x:c>
      <x:c r="C5" s="54" t="str">
        <x:v>ProfileName</x:v>
      </x:c>
      <x:c r="D5" s="54" t="str">
        <x:v>OfficialRole</x:v>
      </x:c>
      <x:c r="E5" s="54" t="str">
        <x:v>Confidence</x:v>
      </x:c>
      <x:c r="F5" s="54" t="str">
        <x:v>Err_Engage</x:v>
      </x:c>
      <x:c r="G5" s="54" t="str">
        <x:v>Err_Dive</x:v>
      </x:c>
      <x:c r="H5" s="54" t="str">
        <x:v>Err_Peel</x:v>
      </x:c>
      <x:c r="I5" s="54" t="str">
        <x:v>Err_Frontline</x:v>
      </x:c>
      <x:c r="J5" s="54" t="str">
        <x:v>Err_Poke</x:v>
      </x:c>
      <x:c r="K5" s="54" t="str">
        <x:v>Err_Burst</x:v>
      </x:c>
      <x:c r="L5" s="54" t="str">
        <x:v>Err_SustainDPS</x:v>
      </x:c>
      <x:c r="M5" s="54" t="str">
        <x:v>Err_Control</x:v>
      </x:c>
      <x:c r="N5" s="54" t="str">
        <x:v>Err_Support</x:v>
      </x:c>
      <x:c r="O5" s="54" t="str">
        <x:v>Err_Mobility</x:v>
      </x:c>
      <x:c r="P5" s="54" t="str">
        <x:v>Err_FarmScaling</x:v>
      </x:c>
      <x:c r="Q5" s="54" t="str">
        <x:v>Err_ObjectiveSecure</x:v>
      </x:c>
      <x:c r="R5" s="54" t="str">
        <x:v>Err_ScoringSide</x:v>
      </x:c>
      <x:c r="S5" s="54" t="str">
        <x:v>Err_Execution</x:v>
      </x:c>
      <x:c r="T5" s="54" t="str">
        <x:v>Err_Decision</x:v>
      </x:c>
      <x:c r="U5" s="54" t="str">
        <x:v>WeightedMSE</x:v>
      </x:c>
      <x:c r="V5" s="54" t="str">
        <x:v>RMSE</x:v>
      </x:c>
      <x:c r="W5" s="54" t="str">
        <x:v>MatchScore</x:v>
      </x:c>
      <x:c r="X5" s="54" t="str">
        <x:v>Rank</x:v>
      </x:c>
    </x:row>
    <x:row r="6">
      <x:c r="A6" t="str">
        <x:f>Profiles_140!A2</x:f>
        <x:v>アローラキュウコン</x:v>
      </x:c>
      <x:c r="B6" t="str">
        <x:f>Profiles_140!C2</x:f>
        <x:v>アローラキュウコン-1</x:v>
      </x:c>
      <x:c r="C6" t="str">
        <x:f>Profiles_140!D2</x:f>
        <x:v>ゆきなだれ＋ふぶき</x:v>
      </x:c>
      <x:c r="D6" t="str">
        <x:f>Profiles_140!B2</x:f>
        <x:v>アタック型</x:v>
      </x:c>
      <x:c r="E6" t="str">
        <x:f>Profiles_140!I2</x:f>
        <x:v>高</x:v>
      </x:c>
      <x:c r="F6" s="66" t="n">
        <x:f>Model_Formula!$M$13*(Profiles_140!K2-Simulator!$L$11)^2*IF(Profiles_140!K2&gt;Simulator!$L$11,1+Model_Formula!$N$13,1)</x:f>
        <x:v>400</x:v>
      </x:c>
      <x:c r="G6" s="66" t="n">
        <x:f>Model_Formula!$M$14*(Profiles_140!L2-Simulator!$L$12)^2*IF(Profiles_140!L2&gt;Simulator!$L$12,1+Model_Formula!$N$14,1)</x:f>
        <x:v>1920</x:v>
      </x:c>
      <x:c r="H6" s="66" t="n">
        <x:f>Model_Formula!$M$15*(Profiles_140!M2-Simulator!$L$13)^2*IF(Profiles_140!M2&gt;Simulator!$L$13,1+Model_Formula!$N$15,1)</x:f>
        <x:v>100</x:v>
      </x:c>
      <x:c r="I6" s="66" t="n">
        <x:f>Model_Formula!$M$16*(Profiles_140!N2-Simulator!$L$14)^2*IF(Profiles_140!N2&gt;Simulator!$L$14,1+Model_Formula!$N$16,1)</x:f>
        <x:v>1600</x:v>
      </x:c>
      <x:c r="J6" s="66" t="n">
        <x:f>Model_Formula!$M$17*(Profiles_140!O2-Simulator!$L$15)^2*IF(Profiles_140!O2&gt;Simulator!$L$15,1+Model_Formula!$N$17,1)</x:f>
        <x:v>2025</x:v>
      </x:c>
      <x:c r="K6" s="66" t="n">
        <x:f>Model_Formula!$M$18*(Profiles_140!P2-Simulator!$L$16)^2*IF(Profiles_140!P2&gt;Simulator!$L$16,1+Model_Formula!$N$18,1)</x:f>
        <x:v>2250</x:v>
      </x:c>
      <x:c r="L6" s="66" t="n">
        <x:f>Model_Formula!$M$19*(Profiles_140!Q2-Simulator!$L$17)^2*IF(Profiles_140!Q2&gt;Simulator!$L$17,1+Model_Formula!$N$19,1)</x:f>
        <x:v>0</x:v>
      </x:c>
      <x:c r="M6" s="66" t="n">
        <x:f>Model_Formula!$M$20*(Profiles_140!R2-Simulator!$L$18)^2*IF(Profiles_140!R2&gt;Simulator!$L$18,1+Model_Formula!$N$20,1)</x:f>
        <x:v>900</x:v>
      </x:c>
      <x:c r="N6" s="66" t="n">
        <x:f>Model_Formula!$M$21*(Profiles_140!S2-Simulator!$L$19)^2*IF(Profiles_140!S2&gt;Simulator!$L$19,1+Model_Formula!$N$21,1)</x:f>
        <x:v>1920</x:v>
      </x:c>
      <x:c r="O6" s="66" t="n">
        <x:f>Model_Formula!$M$22*(Profiles_140!T2-Simulator!$L$20)^2*IF(Profiles_140!T2&gt;Simulator!$L$20,1+Model_Formula!$N$22,1)</x:f>
        <x:v>400</x:v>
      </x:c>
      <x:c r="P6" s="66" t="n">
        <x:f>Model_Formula!$M$23*(Profiles_140!U2-Simulator!$L$21)^2*IF(Profiles_140!U2&gt;Simulator!$L$21,1+Model_Formula!$N$23,1)</x:f>
        <x:v>180</x:v>
      </x:c>
      <x:c r="Q6" s="66" t="n">
        <x:f>Model_Formula!$M$24*(Profiles_140!V2-Simulator!$L$22)^2*IF(Profiles_140!V2&gt;Simulator!$L$22,1+Model_Formula!$N$24,1)</x:f>
        <x:v>280</x:v>
      </x:c>
      <x:c r="R6" s="66" t="n">
        <x:f>Model_Formula!$M$25*(Profiles_140!W2-Simulator!$L$23)^2*IF(Profiles_140!W2&gt;Simulator!$L$23,1+Model_Formula!$N$25,1)</x:f>
        <x:v>135</x:v>
      </x:c>
      <x:c r="S6" s="66" t="n">
        <x:f>Model_Formula!$M$26*(Profiles_140!X2-Simulator!$L$24)^2*IF(Profiles_140!X2&gt;Simulator!$L$24,1+Model_Formula!$N$26,1)</x:f>
        <x:v>511.875</x:v>
      </x:c>
      <x:c r="T6" s="66" t="n">
        <x:f>Model_Formula!$M$27*(Profiles_140!Y2-Simulator!$L$25)^2*IF(Profiles_140!Y2&gt;Simulator!$L$25,1+Model_Formula!$N$27,1)</x:f>
        <x:v>1012.5000000000001</x:v>
      </x:c>
      <x:c r="U6" s="60" t="n">
        <x:f>SUM(F6:T6)/SUM(Model_Formula!$M$13:$M$27)</x:f>
        <x:v>921.2415540540542</x:v>
      </x:c>
      <x:c r="V6" s="60" t="n">
        <x:f>SQRT(U6)</x:f>
        <x:v>30.351961288425073</x:v>
      </x:c>
      <x:c r="W6" s="60" t="n">
        <x:f>MAX(0,100-V6)</x:f>
        <x:v>69.64803871157493</x:v>
      </x:c>
      <x:c r="X6" t="n">
        <x:f>RANK.EQ(W6,$W$6:$W$145,0)+COUNTIF($W$6:W6,W6)-1</x:f>
        <x:v>98</x:v>
      </x:c>
    </x:row>
    <x:row r="7">
      <x:c r="A7" t="str">
        <x:f>Profiles_140!A3</x:f>
        <x:v>アローラキュウコン</x:v>
      </x:c>
      <x:c r="B7" t="str">
        <x:f>Profiles_140!C3</x:f>
        <x:v>アローラキュウコン-2</x:v>
      </x:c>
      <x:c r="C7" t="str">
        <x:f>Profiles_140!D3</x:f>
        <x:v>マジカルシャイン＋オーロラベール</x:v>
      </x:c>
      <x:c r="D7" t="str">
        <x:f>Profiles_140!B3</x:f>
        <x:v>アタック型</x:v>
      </x:c>
      <x:c r="E7" t="str">
        <x:f>Profiles_140!I3</x:f>
        <x:v>高</x:v>
      </x:c>
      <x:c r="F7" s="66" t="n">
        <x:f>Model_Formula!$M$13*(Profiles_140!K3-Simulator!$L$11)^2*IF(Profiles_140!K3&gt;Simulator!$L$11,1+Model_Formula!$N$13,1)</x:f>
        <x:v>400</x:v>
      </x:c>
      <x:c r="G7" s="66" t="n">
        <x:f>Model_Formula!$M$14*(Profiles_140!L3-Simulator!$L$12)^2*IF(Profiles_140!L3&gt;Simulator!$L$12,1+Model_Formula!$N$14,1)</x:f>
        <x:v>1470</x:v>
      </x:c>
      <x:c r="H7" s="66" t="n">
        <x:f>Model_Formula!$M$15*(Profiles_140!M3-Simulator!$L$13)^2*IF(Profiles_140!M3&gt;Simulator!$L$13,1+Model_Formula!$N$15,1)</x:f>
        <x:v>25</x:v>
      </x:c>
      <x:c r="I7" s="66" t="n">
        <x:f>Model_Formula!$M$16*(Profiles_140!N3-Simulator!$L$14)^2*IF(Profiles_140!N3&gt;Simulator!$L$14,1+Model_Formula!$N$16,1)</x:f>
        <x:v>225</x:v>
      </x:c>
      <x:c r="J7" s="66" t="n">
        <x:f>Model_Formula!$M$17*(Profiles_140!O3-Simulator!$L$15)^2*IF(Profiles_140!O3&gt;Simulator!$L$15,1+Model_Formula!$N$17,1)</x:f>
        <x:v>25</x:v>
      </x:c>
      <x:c r="K7" s="66" t="n">
        <x:f>Model_Formula!$M$18*(Profiles_140!P3-Simulator!$L$16)^2*IF(Profiles_140!P3&gt;Simulator!$L$16,1+Model_Formula!$N$18,1)</x:f>
        <x:v>22.5</x:v>
      </x:c>
      <x:c r="L7" s="66" t="n">
        <x:f>Model_Formula!$M$19*(Profiles_140!Q3-Simulator!$L$17)^2*IF(Profiles_140!Q3&gt;Simulator!$L$17,1+Model_Formula!$N$19,1)</x:f>
        <x:v>1102.5</x:v>
      </x:c>
      <x:c r="M7" s="66" t="n">
        <x:f>Model_Formula!$M$20*(Profiles_140!R3-Simulator!$L$18)^2*IF(Profiles_140!R3&gt;Simulator!$L$18,1+Model_Formula!$N$20,1)</x:f>
        <x:v>100</x:v>
      </x:c>
      <x:c r="N7" s="66" t="n">
        <x:f>Model_Formula!$M$21*(Profiles_140!S3-Simulator!$L$19)^2*IF(Profiles_140!S3&gt;Simulator!$L$19,1+Model_Formula!$N$21,1)</x:f>
        <x:v>480</x:v>
      </x:c>
      <x:c r="O7" s="66" t="n">
        <x:f>Model_Formula!$M$22*(Profiles_140!T3-Simulator!$L$20)^2*IF(Profiles_140!T3&gt;Simulator!$L$20,1+Model_Formula!$N$22,1)</x:f>
        <x:v>100</x:v>
      </x:c>
      <x:c r="P7" s="66" t="n">
        <x:f>Model_Formula!$M$23*(Profiles_140!U3-Simulator!$L$21)^2*IF(Profiles_140!U3&gt;Simulator!$L$21,1+Model_Formula!$N$23,1)</x:f>
        <x:v>320</x:v>
      </x:c>
      <x:c r="Q7" s="66" t="n">
        <x:f>Model_Formula!$M$24*(Profiles_140!V3-Simulator!$L$22)^2*IF(Profiles_140!V3&gt;Simulator!$L$22,1+Model_Formula!$N$24,1)</x:f>
        <x:v>857.5</x:v>
      </x:c>
      <x:c r="R7" s="66" t="n">
        <x:f>Model_Formula!$M$25*(Profiles_140!W3-Simulator!$L$23)^2*IF(Profiles_140!W3&gt;Simulator!$L$23,1+Model_Formula!$N$25,1)</x:f>
        <x:v>15</x:v>
      </x:c>
      <x:c r="S7" s="66" t="n">
        <x:f>Model_Formula!$M$26*(Profiles_140!X3-Simulator!$L$24)^2*IF(Profiles_140!X3&gt;Simulator!$L$24,1+Model_Formula!$N$26,1)</x:f>
        <x:v>227.5</x:v>
      </x:c>
      <x:c r="T7" s="66" t="n">
        <x:f>Model_Formula!$M$27*(Profiles_140!Y3-Simulator!$L$25)^2*IF(Profiles_140!Y3&gt;Simulator!$L$25,1+Model_Formula!$N$27,1)</x:f>
        <x:v>1012.5000000000001</x:v>
      </x:c>
      <x:c r="U7" s="60" t="n">
        <x:f>SUM(F7:T7)/SUM(Model_Formula!$M$13:$M$27)</x:f>
        <x:v>431.25000000000006</x:v>
      </x:c>
      <x:c r="V7" s="60" t="n">
        <x:f>SQRT(U7)</x:f>
        <x:v>20.76655965729519</x:v>
      </x:c>
      <x:c r="W7" s="60" t="n">
        <x:f>MAX(0,100-V7)</x:f>
        <x:v>79.23344034270481</x:v>
      </x:c>
      <x:c r="X7" t="n">
        <x:f>RANK.EQ(W7,$W$6:$W$145,0)+COUNTIF($W$6:W7,W7)-1</x:f>
        <x:v>3</x:v>
      </x:c>
    </x:row>
    <x:row r="8">
      <x:c r="A8" t="str">
        <x:f>Profiles_140!A4</x:f>
        <x:v>アローラライチュウ</x:v>
      </x:c>
      <x:c r="B8" t="str">
        <x:f>Profiles_140!C4</x:f>
        <x:v>アローラライチュウ-1</x:v>
      </x:c>
      <x:c r="C8" t="str">
        <x:f>Profiles_140!D4</x:f>
        <x:v>共通プロファイル</x:v>
      </x:c>
      <x:c r="D8" t="str">
        <x:f>Profiles_140!B4</x:f>
        <x:v>アタック型</x:v>
      </x:c>
      <x:c r="E8" t="str">
        <x:f>Profiles_140!I4</x:f>
        <x:v>高</x:v>
      </x:c>
      <x:c r="F8" s="66" t="n">
        <x:f>Model_Formula!$M$13*(Profiles_140!K4-Simulator!$L$11)^2*IF(Profiles_140!K4&gt;Simulator!$L$11,1+Model_Formula!$N$13,1)</x:f>
        <x:v>100</x:v>
      </x:c>
      <x:c r="G8" s="66" t="n">
        <x:f>Model_Formula!$M$14*(Profiles_140!L4-Simulator!$L$12)^2*IF(Profiles_140!L4&gt;Simulator!$L$12,1+Model_Formula!$N$14,1)</x:f>
        <x:v>270</x:v>
      </x:c>
      <x:c r="H8" s="66" t="n">
        <x:f>Model_Formula!$M$15*(Profiles_140!M4-Simulator!$L$13)^2*IF(Profiles_140!M4&gt;Simulator!$L$13,1+Model_Formula!$N$15,1)</x:f>
        <x:v>400</x:v>
      </x:c>
      <x:c r="I8" s="66" t="n">
        <x:f>Model_Formula!$M$16*(Profiles_140!N4-Simulator!$L$14)^2*IF(Profiles_140!N4&gt;Simulator!$L$14,1+Model_Formula!$N$16,1)</x:f>
        <x:v>400</x:v>
      </x:c>
      <x:c r="J8" s="66" t="n">
        <x:f>Model_Formula!$M$17*(Profiles_140!O4-Simulator!$L$15)^2*IF(Profiles_140!O4&gt;Simulator!$L$15,1+Model_Formula!$N$17,1)</x:f>
        <x:v>225</x:v>
      </x:c>
      <x:c r="K8" s="66" t="n">
        <x:f>Model_Formula!$M$18*(Profiles_140!P4-Simulator!$L$16)^2*IF(Profiles_140!P4&gt;Simulator!$L$16,1+Model_Formula!$N$18,1)</x:f>
        <x:v>202.5</x:v>
      </x:c>
      <x:c r="L8" s="66" t="n">
        <x:f>Model_Formula!$M$19*(Profiles_140!Q4-Simulator!$L$17)^2*IF(Profiles_140!Q4&gt;Simulator!$L$17,1+Model_Formula!$N$19,1)</x:f>
        <x:v>1822.5</x:v>
      </x:c>
      <x:c r="M8" s="66" t="n">
        <x:f>Model_Formula!$M$20*(Profiles_140!R4-Simulator!$L$18)^2*IF(Profiles_140!R4&gt;Simulator!$L$18,1+Model_Formula!$N$20,1)</x:f>
        <x:v>25</x:v>
      </x:c>
      <x:c r="N8" s="66" t="n">
        <x:f>Model_Formula!$M$21*(Profiles_140!S4-Simulator!$L$19)^2*IF(Profiles_140!S4&gt;Simulator!$L$19,1+Model_Formula!$N$21,1)</x:f>
        <x:v>1470</x:v>
      </x:c>
      <x:c r="O8" s="66" t="n">
        <x:f>Model_Formula!$M$22*(Profiles_140!T4-Simulator!$L$20)^2*IF(Profiles_140!T4&gt;Simulator!$L$20,1+Model_Formula!$N$22,1)</x:f>
        <x:v>225</x:v>
      </x:c>
      <x:c r="P8" s="66" t="n">
        <x:f>Model_Formula!$M$23*(Profiles_140!U4-Simulator!$L$21)^2*IF(Profiles_140!U4&gt;Simulator!$L$21,1+Model_Formula!$N$23,1)</x:f>
        <x:v>320</x:v>
      </x:c>
      <x:c r="Q8" s="66" t="n">
        <x:f>Model_Formula!$M$24*(Profiles_140!V4-Simulator!$L$22)^2*IF(Profiles_140!V4&gt;Simulator!$L$22,1+Model_Formula!$N$24,1)</x:f>
        <x:v>280</x:v>
      </x:c>
      <x:c r="R8" s="66" t="n">
        <x:f>Model_Formula!$M$25*(Profiles_140!W4-Simulator!$L$23)^2*IF(Profiles_140!W4&gt;Simulator!$L$23,1+Model_Formula!$N$25,1)</x:f>
        <x:v>15</x:v>
      </x:c>
      <x:c r="S8" s="66" t="n">
        <x:f>Model_Formula!$M$26*(Profiles_140!X4-Simulator!$L$24)^2*IF(Profiles_140!X4&gt;Simulator!$L$24,1+Model_Formula!$N$26,1)</x:f>
        <x:v>511.875</x:v>
      </x:c>
      <x:c r="T8" s="66" t="n">
        <x:f>Model_Formula!$M$27*(Profiles_140!Y4-Simulator!$L$25)^2*IF(Profiles_140!Y4&gt;Simulator!$L$25,1+Model_Formula!$N$27,1)</x:f>
        <x:v>648</x:v>
      </x:c>
      <x:c r="U8" s="60" t="n">
        <x:f>SUM(F8:T8)/SUM(Model_Formula!$M$13:$M$27)</x:f>
        <x:v>467.2212837837838</x:v>
      </x:c>
      <x:c r="V8" s="60" t="n">
        <x:f>SQRT(U8)</x:f>
        <x:v>21.615302074775265</x:v>
      </x:c>
      <x:c r="W8" s="60" t="n">
        <x:f>MAX(0,100-V8)</x:f>
        <x:v>78.38469792522474</x:v>
      </x:c>
      <x:c r="X8" t="n">
        <x:f>RANK.EQ(W8,$W$6:$W$145,0)+COUNTIF($W$6:W8,W8)-1</x:f>
        <x:v>8</x:v>
      </x:c>
    </x:row>
    <x:row r="9">
      <x:c r="A9" t="str">
        <x:f>Profiles_140!A5</x:f>
        <x:v>イベルタル</x:v>
      </x:c>
      <x:c r="B9" t="str">
        <x:f>Profiles_140!C5</x:f>
        <x:v>イベルタル-1</x:v>
      </x:c>
      <x:c r="C9" t="str">
        <x:f>Profiles_140!D5</x:f>
        <x:v>共通プロファイル</x:v>
      </x:c>
      <x:c r="D9" t="str">
        <x:f>Profiles_140!B5</x:f>
        <x:v>アタック型</x:v>
      </x:c>
      <x:c r="E9" t="str">
        <x:f>Profiles_140!I5</x:f>
        <x:v>高</x:v>
      </x:c>
      <x:c r="F9" s="66" t="n">
        <x:f>Model_Formula!$M$13*(Profiles_140!K5-Simulator!$L$11)^2*IF(Profiles_140!K5&gt;Simulator!$L$11,1+Model_Formula!$N$13,1)</x:f>
        <x:v>400</x:v>
      </x:c>
      <x:c r="G9" s="66" t="n">
        <x:f>Model_Formula!$M$14*(Profiles_140!L5-Simulator!$L$12)^2*IF(Profiles_140!L5&gt;Simulator!$L$12,1+Model_Formula!$N$14,1)</x:f>
        <x:v>1920</x:v>
      </x:c>
      <x:c r="H9" s="66" t="n">
        <x:f>Model_Formula!$M$15*(Profiles_140!M5-Simulator!$L$13)^2*IF(Profiles_140!M5&gt;Simulator!$L$13,1+Model_Formula!$N$15,1)</x:f>
        <x:v>100</x:v>
      </x:c>
      <x:c r="I9" s="66" t="n">
        <x:f>Model_Formula!$M$16*(Profiles_140!N5-Simulator!$L$14)^2*IF(Profiles_140!N5&gt;Simulator!$L$14,1+Model_Formula!$N$16,1)</x:f>
        <x:v>900</x:v>
      </x:c>
      <x:c r="J9" s="66" t="n">
        <x:f>Model_Formula!$M$17*(Profiles_140!O5-Simulator!$L$15)^2*IF(Profiles_140!O5&gt;Simulator!$L$15,1+Model_Formula!$N$17,1)</x:f>
        <x:v>1600</x:v>
      </x:c>
      <x:c r="K9" s="66" t="n">
        <x:f>Model_Formula!$M$18*(Profiles_140!P5-Simulator!$L$16)^2*IF(Profiles_140!P5&gt;Simulator!$L$16,1+Model_Formula!$N$18,1)</x:f>
        <x:v>1822.5</x:v>
      </x:c>
      <x:c r="L9" s="66" t="n">
        <x:f>Model_Formula!$M$19*(Profiles_140!Q5-Simulator!$L$17)^2*IF(Profiles_140!Q5&gt;Simulator!$L$17,1+Model_Formula!$N$19,1)</x:f>
        <x:v>0</x:v>
      </x:c>
      <x:c r="M9" s="66" t="n">
        <x:f>Model_Formula!$M$20*(Profiles_140!R5-Simulator!$L$18)^2*IF(Profiles_140!R5&gt;Simulator!$L$18,1+Model_Formula!$N$20,1)</x:f>
        <x:v>225</x:v>
      </x:c>
      <x:c r="N9" s="66" t="n">
        <x:f>Model_Formula!$M$21*(Profiles_140!S5-Simulator!$L$19)^2*IF(Profiles_140!S5&gt;Simulator!$L$19,1+Model_Formula!$N$21,1)</x:f>
        <x:v>1470</x:v>
      </x:c>
      <x:c r="O9" s="66" t="n">
        <x:f>Model_Formula!$M$22*(Profiles_140!T5-Simulator!$L$20)^2*IF(Profiles_140!T5&gt;Simulator!$L$20,1+Model_Formula!$N$22,1)</x:f>
        <x:v>625</x:v>
      </x:c>
      <x:c r="P9" s="66" t="n">
        <x:f>Model_Formula!$M$23*(Profiles_140!U5-Simulator!$L$21)^2*IF(Profiles_140!U5&gt;Simulator!$L$21,1+Model_Formula!$N$23,1)</x:f>
        <x:v>180</x:v>
      </x:c>
      <x:c r="Q9" s="66" t="n">
        <x:f>Model_Formula!$M$24*(Profiles_140!V5-Simulator!$L$22)^2*IF(Profiles_140!V5&gt;Simulator!$L$22,1+Model_Formula!$N$24,1)</x:f>
        <x:v>857.5</x:v>
      </x:c>
      <x:c r="R9" s="66" t="n">
        <x:f>Model_Formula!$M$25*(Profiles_140!W5-Simulator!$L$23)^2*IF(Profiles_140!W5&gt;Simulator!$L$23,1+Model_Formula!$N$25,1)</x:f>
        <x:v>135</x:v>
      </x:c>
      <x:c r="S9" s="66" t="n">
        <x:f>Model_Formula!$M$26*(Profiles_140!X5-Simulator!$L$24)^2*IF(Profiles_140!X5&gt;Simulator!$L$24,1+Model_Formula!$N$26,1)</x:f>
        <x:v>511.875</x:v>
      </x:c>
      <x:c r="T9" s="66" t="n">
        <x:f>Model_Formula!$M$27*(Profiles_140!Y5-Simulator!$L$25)^2*IF(Profiles_140!Y5&gt;Simulator!$L$25,1+Model_Formula!$N$27,1)</x:f>
        <x:v>1012.5000000000001</x:v>
      </x:c>
      <x:c r="U9" s="60" t="n">
        <x:f>SUM(F9:T9)/SUM(Model_Formula!$M$13:$M$27)</x:f>
        <x:v>794.5523648648649</x:v>
      </x:c>
      <x:c r="V9" s="60" t="n">
        <x:f>SQRT(U9)</x:f>
        <x:v>28.18780525093901</x:v>
      </x:c>
      <x:c r="W9" s="60" t="n">
        <x:f>MAX(0,100-V9)</x:f>
        <x:v>71.81219474906099</x:v>
      </x:c>
      <x:c r="X9" t="n">
        <x:f>RANK.EQ(W9,$W$6:$W$145,0)+COUNTIF($W$6:W9,W9)-1</x:f>
        <x:v>65</x:v>
      </x:c>
    </x:row>
    <x:row r="10">
      <x:c r="A10" t="str">
        <x:f>Profiles_140!A6</x:f>
        <x:v>インテレオン</x:v>
      </x:c>
      <x:c r="B10" t="str">
        <x:f>Profiles_140!C6</x:f>
        <x:v>インテレオン-1</x:v>
      </x:c>
      <x:c r="C10" t="str">
        <x:f>Profiles_140!D6</x:f>
        <x:v>ねらいうち＋とどめばり</x:v>
      </x:c>
      <x:c r="D10" t="str">
        <x:f>Profiles_140!B6</x:f>
        <x:v>アタック型</x:v>
      </x:c>
      <x:c r="E10" t="str">
        <x:f>Profiles_140!I6</x:f>
        <x:v>高</x:v>
      </x:c>
      <x:c r="F10" s="66" t="n">
        <x:f>Model_Formula!$M$13*(Profiles_140!K6-Simulator!$L$11)^2*IF(Profiles_140!K6&gt;Simulator!$L$11,1+Model_Formula!$N$13,1)</x:f>
        <x:v>900</x:v>
      </x:c>
      <x:c r="G10" s="66" t="n">
        <x:f>Model_Formula!$M$14*(Profiles_140!L6-Simulator!$L$12)^2*IF(Profiles_140!L6&gt;Simulator!$L$12,1+Model_Formula!$N$14,1)</x:f>
        <x:v>2430</x:v>
      </x:c>
      <x:c r="H10" s="66" t="n">
        <x:f>Model_Formula!$M$15*(Profiles_140!M6-Simulator!$L$13)^2*IF(Profiles_140!M6&gt;Simulator!$L$13,1+Model_Formula!$N$15,1)</x:f>
        <x:v>900</x:v>
      </x:c>
      <x:c r="I10" s="66" t="n">
        <x:f>Model_Formula!$M$16*(Profiles_140!N6-Simulator!$L$14)^2*IF(Profiles_140!N6&gt;Simulator!$L$14,1+Model_Formula!$N$16,1)</x:f>
        <x:v>2025</x:v>
      </x:c>
      <x:c r="J10" s="66" t="n">
        <x:f>Model_Formula!$M$17*(Profiles_140!O6-Simulator!$L$15)^2*IF(Profiles_140!O6&gt;Simulator!$L$15,1+Model_Formula!$N$17,1)</x:f>
        <x:v>2500</x:v>
      </x:c>
      <x:c r="K10" s="66" t="n">
        <x:f>Model_Formula!$M$18*(Profiles_140!P6-Simulator!$L$16)^2*IF(Profiles_140!P6&gt;Simulator!$L$16,1+Model_Formula!$N$18,1)</x:f>
        <x:v>2250</x:v>
      </x:c>
      <x:c r="L10" s="66" t="n">
        <x:f>Model_Formula!$M$19*(Profiles_140!Q6-Simulator!$L$17)^2*IF(Profiles_140!Q6&gt;Simulator!$L$17,1+Model_Formula!$N$19,1)</x:f>
        <x:v>90</x:v>
      </x:c>
      <x:c r="M10" s="66" t="n">
        <x:f>Model_Formula!$M$20*(Profiles_140!R6-Simulator!$L$18)^2*IF(Profiles_140!R6&gt;Simulator!$L$18,1+Model_Formula!$N$20,1)</x:f>
        <x:v>25</x:v>
      </x:c>
      <x:c r="N10" s="66" t="n">
        <x:f>Model_Formula!$M$21*(Profiles_140!S6-Simulator!$L$19)^2*IF(Profiles_140!S6&gt;Simulator!$L$19,1+Model_Formula!$N$21,1)</x:f>
        <x:v>1920</x:v>
      </x:c>
      <x:c r="O10" s="66" t="n">
        <x:f>Model_Formula!$M$22*(Profiles_140!T6-Simulator!$L$20)^2*IF(Profiles_140!T6&gt;Simulator!$L$20,1+Model_Formula!$N$22,1)</x:f>
        <x:v>900</x:v>
      </x:c>
      <x:c r="P10" s="66" t="n">
        <x:f>Model_Formula!$M$23*(Profiles_140!U6-Simulator!$L$21)^2*IF(Profiles_140!U6&gt;Simulator!$L$21,1+Model_Formula!$N$23,1)</x:f>
        <x:v>320</x:v>
      </x:c>
      <x:c r="Q10" s="66" t="n">
        <x:f>Model_Formula!$M$24*(Profiles_140!V6-Simulator!$L$22)^2*IF(Profiles_140!V6&gt;Simulator!$L$22,1+Model_Formula!$N$24,1)</x:f>
        <x:v>857.5</x:v>
      </x:c>
      <x:c r="R10" s="66" t="n">
        <x:f>Model_Formula!$M$25*(Profiles_140!W6-Simulator!$L$23)^2*IF(Profiles_140!W6&gt;Simulator!$L$23,1+Model_Formula!$N$25,1)</x:f>
        <x:v>240</x:v>
      </x:c>
      <x:c r="S10" s="66" t="n">
        <x:f>Model_Formula!$M$26*(Profiles_140!X6-Simulator!$L$24)^2*IF(Profiles_140!X6&gt;Simulator!$L$24,1+Model_Formula!$N$26,1)</x:f>
        <x:v>3640</x:v>
      </x:c>
      <x:c r="T10" s="66" t="n">
        <x:f>Model_Formula!$M$27*(Profiles_140!Y6-Simulator!$L$25)^2*IF(Profiles_140!Y6&gt;Simulator!$L$25,1+Model_Formula!$N$27,1)</x:f>
        <x:v>1458</x:v>
      </x:c>
      <x:c r="U10" s="60" t="n">
        <x:f>SUM(F10:T10)/SUM(Model_Formula!$M$13:$M$27)</x:f>
        <x:v>1382.1283783783786</x:v>
      </x:c>
      <x:c r="V10" s="60" t="n">
        <x:f>SQRT(U10)</x:f>
        <x:v>37.17698721492072</x:v>
      </x:c>
      <x:c r="W10" s="60" t="n">
        <x:f>MAX(0,100-V10)</x:f>
        <x:v>62.82301278507928</x:v>
      </x:c>
      <x:c r="X10" t="n">
        <x:f>RANK.EQ(W10,$W$6:$W$145,0)+COUNTIF($W$6:W10,W10)-1</x:f>
        <x:v>137</x:v>
      </x:c>
    </x:row>
    <x:row r="11">
      <x:c r="A11" t="str">
        <x:f>Profiles_140!A7</x:f>
        <x:v>インテレオン</x:v>
      </x:c>
      <x:c r="B11" t="str">
        <x:f>Profiles_140!C7</x:f>
        <x:v>インテレオン-2</x:v>
      </x:c>
      <x:c r="C11" t="str">
        <x:f>Profiles_140!D7</x:f>
        <x:v>アクアブレイク＋アクロバット</x:v>
      </x:c>
      <x:c r="D11" t="str">
        <x:f>Profiles_140!B7</x:f>
        <x:v>アタック型</x:v>
      </x:c>
      <x:c r="E11" t="str">
        <x:f>Profiles_140!I7</x:f>
        <x:v>高</x:v>
      </x:c>
      <x:c r="F11" s="66" t="n">
        <x:f>Model_Formula!$M$13*(Profiles_140!K7-Simulator!$L$11)^2*IF(Profiles_140!K7&gt;Simulator!$L$11,1+Model_Formula!$N$13,1)</x:f>
        <x:v>225</x:v>
      </x:c>
      <x:c r="G11" s="66" t="n">
        <x:f>Model_Formula!$M$14*(Profiles_140!L7-Simulator!$L$12)^2*IF(Profiles_140!L7&gt;Simulator!$L$12,1+Model_Formula!$N$14,1)</x:f>
        <x:v>480</x:v>
      </x:c>
      <x:c r="H11" s="66" t="n">
        <x:f>Model_Formula!$M$15*(Profiles_140!M7-Simulator!$L$13)^2*IF(Profiles_140!M7&gt;Simulator!$L$13,1+Model_Formula!$N$15,1)</x:f>
        <x:v>400</x:v>
      </x:c>
      <x:c r="I11" s="66" t="n">
        <x:f>Model_Formula!$M$16*(Profiles_140!N7-Simulator!$L$14)^2*IF(Profiles_140!N7&gt;Simulator!$L$14,1+Model_Formula!$N$16,1)</x:f>
        <x:v>625</x:v>
      </x:c>
      <x:c r="J11" s="66" t="n">
        <x:f>Model_Formula!$M$17*(Profiles_140!O7-Simulator!$L$15)^2*IF(Profiles_140!O7&gt;Simulator!$L$15,1+Model_Formula!$N$17,1)</x:f>
        <x:v>0</x:v>
      </x:c>
      <x:c r="K11" s="66" t="n">
        <x:f>Model_Formula!$M$18*(Profiles_140!P7-Simulator!$L$16)^2*IF(Profiles_140!P7&gt;Simulator!$L$16,1+Model_Formula!$N$18,1)</x:f>
        <x:v>90</x:v>
      </x:c>
      <x:c r="L11" s="66" t="n">
        <x:f>Model_Formula!$M$19*(Profiles_140!Q7-Simulator!$L$17)^2*IF(Profiles_140!Q7&gt;Simulator!$L$17,1+Model_Formula!$N$19,1)</x:f>
        <x:v>2250</x:v>
      </x:c>
      <x:c r="M11" s="66" t="n">
        <x:f>Model_Formula!$M$20*(Profiles_140!R7-Simulator!$L$18)^2*IF(Profiles_140!R7&gt;Simulator!$L$18,1+Model_Formula!$N$20,1)</x:f>
        <x:v>100</x:v>
      </x:c>
      <x:c r="N11" s="66" t="n">
        <x:f>Model_Formula!$M$21*(Profiles_140!S7-Simulator!$L$19)^2*IF(Profiles_140!S7&gt;Simulator!$L$19,1+Model_Formula!$N$21,1)</x:f>
        <x:v>1920</x:v>
      </x:c>
      <x:c r="O11" s="66" t="n">
        <x:f>Model_Formula!$M$22*(Profiles_140!T7-Simulator!$L$20)^2*IF(Profiles_140!T7&gt;Simulator!$L$20,1+Model_Formula!$N$22,1)</x:f>
        <x:v>225</x:v>
      </x:c>
      <x:c r="P11" s="66" t="n">
        <x:f>Model_Formula!$M$23*(Profiles_140!U7-Simulator!$L$21)^2*IF(Profiles_140!U7&gt;Simulator!$L$21,1+Model_Formula!$N$23,1)</x:f>
        <x:v>500</x:v>
      </x:c>
      <x:c r="Q11" s="66" t="n">
        <x:f>Model_Formula!$M$24*(Profiles_140!V7-Simulator!$L$22)^2*IF(Profiles_140!V7&gt;Simulator!$L$22,1+Model_Formula!$N$24,1)</x:f>
        <x:v>857.5</x:v>
      </x:c>
      <x:c r="R11" s="66" t="n">
        <x:f>Model_Formula!$M$25*(Profiles_140!W7-Simulator!$L$23)^2*IF(Profiles_140!W7&gt;Simulator!$L$23,1+Model_Formula!$N$25,1)</x:f>
        <x:v>15</x:v>
      </x:c>
      <x:c r="S11" s="66" t="n">
        <x:f>Model_Formula!$M$26*(Profiles_140!X7-Simulator!$L$24)^2*IF(Profiles_140!X7&gt;Simulator!$L$24,1+Model_Formula!$N$26,1)</x:f>
        <x:v>910</x:v>
      </x:c>
      <x:c r="T11" s="66" t="n">
        <x:f>Model_Formula!$M$27*(Profiles_140!Y7-Simulator!$L$25)^2*IF(Profiles_140!Y7&gt;Simulator!$L$25,1+Model_Formula!$N$27,1)</x:f>
        <x:v>648</x:v>
      </x:c>
      <x:c r="U11" s="60" t="n">
        <x:f>SUM(F11:T11)/SUM(Model_Formula!$M$13:$M$27)</x:f>
        <x:v>624.6959459459459</x:v>
      </x:c>
      <x:c r="V11" s="60" t="n">
        <x:f>SQRT(U11)</x:f>
        <x:v>24.99391817914802</x:v>
      </x:c>
      <x:c r="W11" s="60" t="n">
        <x:f>MAX(0,100-V11)</x:f>
        <x:v>75.00608182085197</x:v>
      </x:c>
      <x:c r="X11" t="n">
        <x:f>RANK.EQ(W11,$W$6:$W$145,0)+COUNTIF($W$6:W11,W11)-1</x:f>
        <x:v>37</x:v>
      </x:c>
    </x:row>
    <x:row r="12">
      <x:c r="A12" t="str">
        <x:f>Profiles_140!A8</x:f>
        <x:v>ウッウ</x:v>
      </x:c>
      <x:c r="B12" t="str">
        <x:f>Profiles_140!C8</x:f>
        <x:v>ウッウ-1</x:v>
      </x:c>
      <x:c r="C12" t="str">
        <x:f>Profiles_140!D8</x:f>
        <x:v>なみのり＋ぼうふう</x:v>
      </x:c>
      <x:c r="D12" t="str">
        <x:f>Profiles_140!B8</x:f>
        <x:v>アタック型</x:v>
      </x:c>
      <x:c r="E12" t="str">
        <x:f>Profiles_140!I8</x:f>
        <x:v>高</x:v>
      </x:c>
      <x:c r="F12" s="66" t="n">
        <x:f>Model_Formula!$M$13*(Profiles_140!K8-Simulator!$L$11)^2*IF(Profiles_140!K8&gt;Simulator!$L$11,1+Model_Formula!$N$13,1)</x:f>
        <x:v>400</x:v>
      </x:c>
      <x:c r="G12" s="66" t="n">
        <x:f>Model_Formula!$M$14*(Profiles_140!L8-Simulator!$L$12)^2*IF(Profiles_140!L8&gt;Simulator!$L$12,1+Model_Formula!$N$14,1)</x:f>
        <x:v>1920</x:v>
      </x:c>
      <x:c r="H12" s="66" t="n">
        <x:f>Model_Formula!$M$15*(Profiles_140!M8-Simulator!$L$13)^2*IF(Profiles_140!M8&gt;Simulator!$L$13,1+Model_Formula!$N$15,1)</x:f>
        <x:v>100</x:v>
      </x:c>
      <x:c r="I12" s="66" t="n">
        <x:f>Model_Formula!$M$16*(Profiles_140!N8-Simulator!$L$14)^2*IF(Profiles_140!N8&gt;Simulator!$L$14,1+Model_Formula!$N$16,1)</x:f>
        <x:v>1600</x:v>
      </x:c>
      <x:c r="J12" s="66" t="n">
        <x:f>Model_Formula!$M$17*(Profiles_140!O8-Simulator!$L$15)^2*IF(Profiles_140!O8&gt;Simulator!$L$15,1+Model_Formula!$N$17,1)</x:f>
        <x:v>2025</x:v>
      </x:c>
      <x:c r="K12" s="66" t="n">
        <x:f>Model_Formula!$M$18*(Profiles_140!P8-Simulator!$L$16)^2*IF(Profiles_140!P8&gt;Simulator!$L$16,1+Model_Formula!$N$18,1)</x:f>
        <x:v>1822.5</x:v>
      </x:c>
      <x:c r="L12" s="66" t="n">
        <x:f>Model_Formula!$M$19*(Profiles_140!Q8-Simulator!$L$17)^2*IF(Profiles_140!Q8&gt;Simulator!$L$17,1+Model_Formula!$N$19,1)</x:f>
        <x:v>0</x:v>
      </x:c>
      <x:c r="M12" s="66" t="n">
        <x:f>Model_Formula!$M$20*(Profiles_140!R8-Simulator!$L$18)^2*IF(Profiles_140!R8&gt;Simulator!$L$18,1+Model_Formula!$N$20,1)</x:f>
        <x:v>900</x:v>
      </x:c>
      <x:c r="N12" s="66" t="n">
        <x:f>Model_Formula!$M$21*(Profiles_140!S8-Simulator!$L$19)^2*IF(Profiles_140!S8&gt;Simulator!$L$19,1+Model_Formula!$N$21,1)</x:f>
        <x:v>1470</x:v>
      </x:c>
      <x:c r="O12" s="66" t="n">
        <x:f>Model_Formula!$M$22*(Profiles_140!T8-Simulator!$L$20)^2*IF(Profiles_140!T8&gt;Simulator!$L$20,1+Model_Formula!$N$22,1)</x:f>
        <x:v>900</x:v>
      </x:c>
      <x:c r="P12" s="66" t="n">
        <x:f>Model_Formula!$M$23*(Profiles_140!U8-Simulator!$L$21)^2*IF(Profiles_140!U8&gt;Simulator!$L$21,1+Model_Formula!$N$23,1)</x:f>
        <x:v>180</x:v>
      </x:c>
      <x:c r="Q12" s="66" t="n">
        <x:f>Model_Formula!$M$24*(Profiles_140!V8-Simulator!$L$22)^2*IF(Profiles_140!V8&gt;Simulator!$L$22,1+Model_Formula!$N$24,1)</x:f>
        <x:v>280</x:v>
      </x:c>
      <x:c r="R12" s="66" t="n">
        <x:f>Model_Formula!$M$25*(Profiles_140!W8-Simulator!$L$23)^2*IF(Profiles_140!W8&gt;Simulator!$L$23,1+Model_Formula!$N$25,1)</x:f>
        <x:v>135</x:v>
      </x:c>
      <x:c r="S12" s="66" t="n">
        <x:f>Model_Formula!$M$26*(Profiles_140!X8-Simulator!$L$24)^2*IF(Profiles_140!X8&gt;Simulator!$L$24,1+Model_Formula!$N$26,1)</x:f>
        <x:v>511.875</x:v>
      </x:c>
      <x:c r="T12" s="66" t="n">
        <x:f>Model_Formula!$M$27*(Profiles_140!Y8-Simulator!$L$25)^2*IF(Profiles_140!Y8&gt;Simulator!$L$25,1+Model_Formula!$N$27,1)</x:f>
        <x:v>1012.5000000000001</x:v>
      </x:c>
      <x:c r="U12" s="60" t="n">
        <x:f>SUM(F12:T12)/SUM(Model_Formula!$M$13:$M$27)</x:f>
        <x:v>895.7347972972974</x:v>
      </x:c>
      <x:c r="V12" s="60" t="n">
        <x:f>SQRT(U12)</x:f>
        <x:v>29.928828866116653</x:v>
      </x:c>
      <x:c r="W12" s="60" t="n">
        <x:f>MAX(0,100-V12)</x:f>
        <x:v>70.07117113388335</x:v>
      </x:c>
      <x:c r="X12" t="n">
        <x:f>RANK.EQ(W12,$W$6:$W$145,0)+COUNTIF($W$6:W12,W12)-1</x:f>
        <x:v>87</x:v>
      </x:c>
    </x:row>
    <x:row r="13">
      <x:c r="A13" t="str">
        <x:f>Profiles_140!A9</x:f>
        <x:v>ウッウ</x:v>
      </x:c>
      <x:c r="B13" t="str">
        <x:f>Profiles_140!C9</x:f>
        <x:v>ウッウ-2</x:v>
      </x:c>
      <x:c r="C13" t="str">
        <x:f>Profiles_140!D9</x:f>
        <x:v>ダイビング＋エアスラッシュ</x:v>
      </x:c>
      <x:c r="D13" t="str">
        <x:f>Profiles_140!B9</x:f>
        <x:v>アタック型</x:v>
      </x:c>
      <x:c r="E13" t="str">
        <x:f>Profiles_140!I9</x:f>
        <x:v>高</x:v>
      </x:c>
      <x:c r="F13" s="66" t="n">
        <x:f>Model_Formula!$M$13*(Profiles_140!K9-Simulator!$L$11)^2*IF(Profiles_140!K9&gt;Simulator!$L$11,1+Model_Formula!$N$13,1)</x:f>
        <x:v>100</x:v>
      </x:c>
      <x:c r="G13" s="66" t="n">
        <x:f>Model_Formula!$M$14*(Profiles_140!L9-Simulator!$L$12)^2*IF(Profiles_140!L9&gt;Simulator!$L$12,1+Model_Formula!$N$14,1)</x:f>
        <x:v>30</x:v>
      </x:c>
      <x:c r="H13" s="66" t="n">
        <x:f>Model_Formula!$M$15*(Profiles_140!M9-Simulator!$L$13)^2*IF(Profiles_140!M9&gt;Simulator!$L$13,1+Model_Formula!$N$15,1)</x:f>
        <x:v>400</x:v>
      </x:c>
      <x:c r="I13" s="66" t="n">
        <x:f>Model_Formula!$M$16*(Profiles_140!N9-Simulator!$L$14)^2*IF(Profiles_140!N9&gt;Simulator!$L$14,1+Model_Formula!$N$16,1)</x:f>
        <x:v>400</x:v>
      </x:c>
      <x:c r="J13" s="66" t="n">
        <x:f>Model_Formula!$M$17*(Profiles_140!O9-Simulator!$L$15)^2*IF(Profiles_140!O9&gt;Simulator!$L$15,1+Model_Formula!$N$17,1)</x:f>
        <x:v>0</x:v>
      </x:c>
      <x:c r="K13" s="66" t="n">
        <x:f>Model_Formula!$M$18*(Profiles_140!P9-Simulator!$L$16)^2*IF(Profiles_140!P9&gt;Simulator!$L$16,1+Model_Formula!$N$18,1)</x:f>
        <x:v>202.5</x:v>
      </x:c>
      <x:c r="L13" s="66" t="n">
        <x:f>Model_Formula!$M$19*(Profiles_140!Q9-Simulator!$L$17)^2*IF(Profiles_140!Q9&gt;Simulator!$L$17,1+Model_Formula!$N$19,1)</x:f>
        <x:v>1822.5</x:v>
      </x:c>
      <x:c r="M13" s="66" t="n">
        <x:f>Model_Formula!$M$20*(Profiles_140!R9-Simulator!$L$18)^2*IF(Profiles_140!R9&gt;Simulator!$L$18,1+Model_Formula!$N$20,1)</x:f>
        <x:v>25</x:v>
      </x:c>
      <x:c r="N13" s="66" t="n">
        <x:f>Model_Formula!$M$21*(Profiles_140!S9-Simulator!$L$19)^2*IF(Profiles_140!S9&gt;Simulator!$L$19,1+Model_Formula!$N$21,1)</x:f>
        <x:v>1470</x:v>
      </x:c>
      <x:c r="O13" s="66" t="n">
        <x:f>Model_Formula!$M$22*(Profiles_140!T9-Simulator!$L$20)^2*IF(Profiles_140!T9&gt;Simulator!$L$20,1+Model_Formula!$N$22,1)</x:f>
        <x:v>625</x:v>
      </x:c>
      <x:c r="P13" s="66" t="n">
        <x:f>Model_Formula!$M$23*(Profiles_140!U9-Simulator!$L$21)^2*IF(Profiles_140!U9&gt;Simulator!$L$21,1+Model_Formula!$N$23,1)</x:f>
        <x:v>320</x:v>
      </x:c>
      <x:c r="Q13" s="66" t="n">
        <x:f>Model_Formula!$M$24*(Profiles_140!V9-Simulator!$L$22)^2*IF(Profiles_140!V9&gt;Simulator!$L$22,1+Model_Formula!$N$24,1)</x:f>
        <x:v>630</x:v>
      </x:c>
      <x:c r="R13" s="66" t="n">
        <x:f>Model_Formula!$M$25*(Profiles_140!W9-Simulator!$L$23)^2*IF(Profiles_140!W9&gt;Simulator!$L$23,1+Model_Formula!$N$25,1)</x:f>
        <x:v>15</x:v>
      </x:c>
      <x:c r="S13" s="66" t="n">
        <x:f>Model_Formula!$M$26*(Profiles_140!X9-Simulator!$L$24)^2*IF(Profiles_140!X9&gt;Simulator!$L$24,1+Model_Formula!$N$26,1)</x:f>
        <x:v>1421.875</x:v>
      </x:c>
      <x:c r="T13" s="66" t="n">
        <x:f>Model_Formula!$M$27*(Profiles_140!Y9-Simulator!$L$25)^2*IF(Profiles_140!Y9&gt;Simulator!$L$25,1+Model_Formula!$N$27,1)</x:f>
        <x:v>648</x:v>
      </x:c>
      <x:c r="U13" s="60" t="n">
        <x:f>SUM(F13:T13)/SUM(Model_Formula!$M$13:$M$27)</x:f>
        <x:v>547.9645270270271</x:v>
      </x:c>
      <x:c r="V13" s="60" t="n">
        <x:f>SQRT(U13)</x:f>
        <x:v>23.40864214402508</x:v>
      </x:c>
      <x:c r="W13" s="60" t="n">
        <x:f>MAX(0,100-V13)</x:f>
        <x:v>76.59135785597492</x:v>
      </x:c>
      <x:c r="X13" t="n">
        <x:f>RANK.EQ(W13,$W$6:$W$145,0)+COUNTIF($W$6:W13,W13)-1</x:f>
        <x:v>20</x:v>
      </x:c>
    </x:row>
    <x:row r="14">
      <x:c r="A14" t="str">
        <x:f>Profiles_140!A10</x:f>
        <x:v>エースバーン</x:v>
      </x:c>
      <x:c r="B14" t="str">
        <x:f>Profiles_140!C10</x:f>
        <x:v>エースバーン-1</x:v>
      </x:c>
      <x:c r="C14" t="str">
        <x:f>Profiles_140!D10</x:f>
        <x:v>共通プロファイル</x:v>
      </x:c>
      <x:c r="D14" t="str">
        <x:f>Profiles_140!B10</x:f>
        <x:v>アタック型</x:v>
      </x:c>
      <x:c r="E14" t="str">
        <x:f>Profiles_140!I10</x:f>
        <x:v>高</x:v>
      </x:c>
      <x:c r="F14" s="66" t="n">
        <x:f>Model_Formula!$M$13*(Profiles_140!K10-Simulator!$L$11)^2*IF(Profiles_140!K10&gt;Simulator!$L$11,1+Model_Formula!$N$13,1)</x:f>
        <x:v>900</x:v>
      </x:c>
      <x:c r="G14" s="66" t="n">
        <x:f>Model_Formula!$M$14*(Profiles_140!L10-Simulator!$L$12)^2*IF(Profiles_140!L10&gt;Simulator!$L$12,1+Model_Formula!$N$14,1)</x:f>
        <x:v>1920</x:v>
      </x:c>
      <x:c r="H14" s="66" t="n">
        <x:f>Model_Formula!$M$15*(Profiles_140!M10-Simulator!$L$13)^2*IF(Profiles_140!M10&gt;Simulator!$L$13,1+Model_Formula!$N$15,1)</x:f>
        <x:v>900</x:v>
      </x:c>
      <x:c r="I14" s="66" t="n">
        <x:f>Model_Formula!$M$16*(Profiles_140!N10-Simulator!$L$14)^2*IF(Profiles_140!N10&gt;Simulator!$L$14,1+Model_Formula!$N$16,1)</x:f>
        <x:v>1600</x:v>
      </x:c>
      <x:c r="J14" s="66" t="n">
        <x:f>Model_Formula!$M$17*(Profiles_140!O10-Simulator!$L$15)^2*IF(Profiles_140!O10&gt;Simulator!$L$15,1+Model_Formula!$N$17,1)</x:f>
        <x:v>400</x:v>
      </x:c>
      <x:c r="K14" s="66" t="n">
        <x:f>Model_Formula!$M$18*(Profiles_140!P10-Simulator!$L$16)^2*IF(Profiles_140!P10&gt;Simulator!$L$16,1+Model_Formula!$N$18,1)</x:f>
        <x:v>0</x:v>
      </x:c>
      <x:c r="L14" s="66" t="n">
        <x:f>Model_Formula!$M$19*(Profiles_140!Q10-Simulator!$L$17)^2*IF(Profiles_140!Q10&gt;Simulator!$L$17,1+Model_Formula!$N$19,1)</x:f>
        <x:v>2250</x:v>
      </x:c>
      <x:c r="M14" s="66" t="n">
        <x:f>Model_Formula!$M$20*(Profiles_140!R10-Simulator!$L$18)^2*IF(Profiles_140!R10&gt;Simulator!$L$18,1+Model_Formula!$N$20,1)</x:f>
        <x:v>900</x:v>
      </x:c>
      <x:c r="N14" s="66" t="n">
        <x:f>Model_Formula!$M$21*(Profiles_140!S10-Simulator!$L$19)^2*IF(Profiles_140!S10&gt;Simulator!$L$19,1+Model_Formula!$N$21,1)</x:f>
        <x:v>1920</x:v>
      </x:c>
      <x:c r="O14" s="66" t="n">
        <x:f>Model_Formula!$M$22*(Profiles_140!T10-Simulator!$L$20)^2*IF(Profiles_140!T10&gt;Simulator!$L$20,1+Model_Formula!$N$22,1)</x:f>
        <x:v>0</x:v>
      </x:c>
      <x:c r="P14" s="66" t="n">
        <x:f>Model_Formula!$M$23*(Profiles_140!U10-Simulator!$L$21)^2*IF(Profiles_140!U10&gt;Simulator!$L$21,1+Model_Formula!$N$23,1)</x:f>
        <x:v>980</x:v>
      </x:c>
      <x:c r="Q14" s="66" t="n">
        <x:f>Model_Formula!$M$24*(Profiles_140!V10-Simulator!$L$22)^2*IF(Profiles_140!V10&gt;Simulator!$L$22,1+Model_Formula!$N$24,1)</x:f>
        <x:v>1750</x:v>
      </x:c>
      <x:c r="R14" s="66" t="n">
        <x:f>Model_Formula!$M$25*(Profiles_140!W10-Simulator!$L$23)^2*IF(Profiles_140!W10&gt;Simulator!$L$23,1+Model_Formula!$N$25,1)</x:f>
        <x:v>0</x:v>
      </x:c>
      <x:c r="S14" s="66" t="n">
        <x:f>Model_Formula!$M$26*(Profiles_140!X10-Simulator!$L$24)^2*IF(Profiles_140!X10&gt;Simulator!$L$24,1+Model_Formula!$N$26,1)</x:f>
        <x:v>511.875</x:v>
      </x:c>
      <x:c r="T14" s="66" t="n">
        <x:f>Model_Formula!$M$27*(Profiles_140!Y10-Simulator!$L$25)^2*IF(Profiles_140!Y10&gt;Simulator!$L$25,1+Model_Formula!$N$27,1)</x:f>
        <x:v>648</x:v>
      </x:c>
      <x:c r="U14" s="60" t="n">
        <x:f>SUM(F14:T14)/SUM(Model_Formula!$M$13:$M$27)</x:f>
        <x:v>991.883445945946</x:v>
      </x:c>
      <x:c r="V14" s="60" t="n">
        <x:f>SQRT(U14)</x:f>
        <x:v>31.49418114423593</x:v>
      </x:c>
      <x:c r="W14" s="60" t="n">
        <x:f>MAX(0,100-V14)</x:f>
        <x:v>68.50581885576406</x:v>
      </x:c>
      <x:c r="X14" t="n">
        <x:f>RANK.EQ(W14,$W$6:$W$145,0)+COUNTIF($W$6:W14,W14)-1</x:f>
        <x:v>108</x:v>
      </x:c>
    </x:row>
    <x:row r="15">
      <x:c r="A15" t="str">
        <x:f>Profiles_140!A11</x:f>
        <x:v>エーフィ</x:v>
      </x:c>
      <x:c r="B15" t="str">
        <x:f>Profiles_140!C11</x:f>
        <x:v>エーフィ-1</x:v>
      </x:c>
      <x:c r="C15" t="str">
        <x:f>Profiles_140!D11</x:f>
        <x:v>サイコショック＋サイケこうせん</x:v>
      </x:c>
      <x:c r="D15" t="str">
        <x:f>Profiles_140!B11</x:f>
        <x:v>アタック型</x:v>
      </x:c>
      <x:c r="E15" t="str">
        <x:f>Profiles_140!I11</x:f>
        <x:v>高</x:v>
      </x:c>
      <x:c r="F15" s="66" t="n">
        <x:f>Model_Formula!$M$13*(Profiles_140!K11-Simulator!$L$11)^2*IF(Profiles_140!K11&gt;Simulator!$L$11,1+Model_Formula!$N$13,1)</x:f>
        <x:v>400</x:v>
      </x:c>
      <x:c r="G15" s="66" t="n">
        <x:f>Model_Formula!$M$14*(Profiles_140!L11-Simulator!$L$12)^2*IF(Profiles_140!L11&gt;Simulator!$L$12,1+Model_Formula!$N$14,1)</x:f>
        <x:v>1920</x:v>
      </x:c>
      <x:c r="H15" s="66" t="n">
        <x:f>Model_Formula!$M$15*(Profiles_140!M11-Simulator!$L$13)^2*IF(Profiles_140!M11&gt;Simulator!$L$13,1+Model_Formula!$N$15,1)</x:f>
        <x:v>100</x:v>
      </x:c>
      <x:c r="I15" s="66" t="n">
        <x:f>Model_Formula!$M$16*(Profiles_140!N11-Simulator!$L$14)^2*IF(Profiles_140!N11&gt;Simulator!$L$14,1+Model_Formula!$N$16,1)</x:f>
        <x:v>1600</x:v>
      </x:c>
      <x:c r="J15" s="66" t="n">
        <x:f>Model_Formula!$M$17*(Profiles_140!O11-Simulator!$L$15)^2*IF(Profiles_140!O11&gt;Simulator!$L$15,1+Model_Formula!$N$17,1)</x:f>
        <x:v>2025</x:v>
      </x:c>
      <x:c r="K15" s="66" t="n">
        <x:f>Model_Formula!$M$18*(Profiles_140!P11-Simulator!$L$16)^2*IF(Profiles_140!P11&gt;Simulator!$L$16,1+Model_Formula!$N$18,1)</x:f>
        <x:v>2250</x:v>
      </x:c>
      <x:c r="L15" s="66" t="n">
        <x:f>Model_Formula!$M$19*(Profiles_140!Q11-Simulator!$L$17)^2*IF(Profiles_140!Q11&gt;Simulator!$L$17,1+Model_Formula!$N$19,1)</x:f>
        <x:v>0</x:v>
      </x:c>
      <x:c r="M15" s="66" t="n">
        <x:f>Model_Formula!$M$20*(Profiles_140!R11-Simulator!$L$18)^2*IF(Profiles_140!R11&gt;Simulator!$L$18,1+Model_Formula!$N$20,1)</x:f>
        <x:v>625</x:v>
      </x:c>
      <x:c r="N15" s="66" t="n">
        <x:f>Model_Formula!$M$21*(Profiles_140!S11-Simulator!$L$19)^2*IF(Profiles_140!S11&gt;Simulator!$L$19,1+Model_Formula!$N$21,1)</x:f>
        <x:v>1470</x:v>
      </x:c>
      <x:c r="O15" s="66" t="n">
        <x:f>Model_Formula!$M$22*(Profiles_140!T11-Simulator!$L$20)^2*IF(Profiles_140!T11&gt;Simulator!$L$20,1+Model_Formula!$N$22,1)</x:f>
        <x:v>400</x:v>
      </x:c>
      <x:c r="P15" s="66" t="n">
        <x:f>Model_Formula!$M$23*(Profiles_140!U11-Simulator!$L$21)^2*IF(Profiles_140!U11&gt;Simulator!$L$21,1+Model_Formula!$N$23,1)</x:f>
        <x:v>180</x:v>
      </x:c>
      <x:c r="Q15" s="66" t="n">
        <x:f>Model_Formula!$M$24*(Profiles_140!V11-Simulator!$L$22)^2*IF(Profiles_140!V11&gt;Simulator!$L$22,1+Model_Formula!$N$24,1)</x:f>
        <x:v>280</x:v>
      </x:c>
      <x:c r="R15" s="66" t="n">
        <x:f>Model_Formula!$M$25*(Profiles_140!W11-Simulator!$L$23)^2*IF(Profiles_140!W11&gt;Simulator!$L$23,1+Model_Formula!$N$25,1)</x:f>
        <x:v>135</x:v>
      </x:c>
      <x:c r="S15" s="66" t="n">
        <x:f>Model_Formula!$M$26*(Profiles_140!X11-Simulator!$L$24)^2*IF(Profiles_140!X11&gt;Simulator!$L$24,1+Model_Formula!$N$26,1)</x:f>
        <x:v>511.875</x:v>
      </x:c>
      <x:c r="T15" s="66" t="n">
        <x:f>Model_Formula!$M$27*(Profiles_140!Y11-Simulator!$L$25)^2*IF(Profiles_140!Y11&gt;Simulator!$L$25,1+Model_Formula!$N$27,1)</x:f>
        <x:v>1012.5000000000001</x:v>
      </x:c>
      <x:c r="U15" s="60" t="n">
        <x:f>SUM(F15:T15)/SUM(Model_Formula!$M$13:$M$27)</x:f>
        <x:v>872.2550675675676</x:v>
      </x:c>
      <x:c r="V15" s="60" t="n">
        <x:f>SQRT(U15)</x:f>
        <x:v>29.533964643568726</x:v>
      </x:c>
      <x:c r="W15" s="60" t="n">
        <x:f>MAX(0,100-V15)</x:f>
        <x:v>70.46603535643128</x:v>
      </x:c>
      <x:c r="X15" t="n">
        <x:f>RANK.EQ(W15,$W$6:$W$145,0)+COUNTIF($W$6:W15,W15)-1</x:f>
        <x:v>79</x:v>
      </x:c>
    </x:row>
    <x:row r="16">
      <x:c r="A16" t="str">
        <x:f>Profiles_140!A12</x:f>
        <x:v>エーフィ</x:v>
      </x:c>
      <x:c r="B16" t="str">
        <x:f>Profiles_140!C12</x:f>
        <x:v>エーフィ-2</x:v>
      </x:c>
      <x:c r="C16" t="str">
        <x:f>Profiles_140!D12</x:f>
        <x:v>アシストパワー＋みらいよち</x:v>
      </x:c>
      <x:c r="D16" t="str">
        <x:f>Profiles_140!B12</x:f>
        <x:v>アタック型</x:v>
      </x:c>
      <x:c r="E16" t="str">
        <x:f>Profiles_140!I12</x:f>
        <x:v>高</x:v>
      </x:c>
      <x:c r="F16" s="66" t="n">
        <x:f>Model_Formula!$M$13*(Profiles_140!K12-Simulator!$L$11)^2*IF(Profiles_140!K12&gt;Simulator!$L$11,1+Model_Formula!$N$13,1)</x:f>
        <x:v>100</x:v>
      </x:c>
      <x:c r="G16" s="66" t="n">
        <x:f>Model_Formula!$M$14*(Profiles_140!L12-Simulator!$L$12)^2*IF(Profiles_140!L12&gt;Simulator!$L$12,1+Model_Formula!$N$14,1)</x:f>
        <x:v>270</x:v>
      </x:c>
      <x:c r="H16" s="66" t="n">
        <x:f>Model_Formula!$M$15*(Profiles_140!M12-Simulator!$L$13)^2*IF(Profiles_140!M12&gt;Simulator!$L$13,1+Model_Formula!$N$15,1)</x:f>
        <x:v>400</x:v>
      </x:c>
      <x:c r="I16" s="66" t="n">
        <x:f>Model_Formula!$M$16*(Profiles_140!N12-Simulator!$L$14)^2*IF(Profiles_140!N12&gt;Simulator!$L$14,1+Model_Formula!$N$16,1)</x:f>
        <x:v>400</x:v>
      </x:c>
      <x:c r="J16" s="66" t="n">
        <x:f>Model_Formula!$M$17*(Profiles_140!O12-Simulator!$L$15)^2*IF(Profiles_140!O12&gt;Simulator!$L$15,1+Model_Formula!$N$17,1)</x:f>
        <x:v>225</x:v>
      </x:c>
      <x:c r="K16" s="66" t="n">
        <x:f>Model_Formula!$M$18*(Profiles_140!P12-Simulator!$L$16)^2*IF(Profiles_140!P12&gt;Simulator!$L$16,1+Model_Formula!$N$18,1)</x:f>
        <x:v>90</x:v>
      </x:c>
      <x:c r="L16" s="66" t="n">
        <x:f>Model_Formula!$M$19*(Profiles_140!Q12-Simulator!$L$17)^2*IF(Profiles_140!Q12&gt;Simulator!$L$17,1+Model_Formula!$N$19,1)</x:f>
        <x:v>1822.5</x:v>
      </x:c>
      <x:c r="M16" s="66" t="n">
        <x:f>Model_Formula!$M$20*(Profiles_140!R12-Simulator!$L$18)^2*IF(Profiles_140!R12&gt;Simulator!$L$18,1+Model_Formula!$N$20,1)</x:f>
        <x:v>25</x:v>
      </x:c>
      <x:c r="N16" s="66" t="n">
        <x:f>Model_Formula!$M$21*(Profiles_140!S12-Simulator!$L$19)^2*IF(Profiles_140!S12&gt;Simulator!$L$19,1+Model_Formula!$N$21,1)</x:f>
        <x:v>1470</x:v>
      </x:c>
      <x:c r="O16" s="66" t="n">
        <x:f>Model_Formula!$M$22*(Profiles_140!T12-Simulator!$L$20)^2*IF(Profiles_140!T12&gt;Simulator!$L$20,1+Model_Formula!$N$22,1)</x:f>
        <x:v>225</x:v>
      </x:c>
      <x:c r="P16" s="66" t="n">
        <x:f>Model_Formula!$M$23*(Profiles_140!U12-Simulator!$L$21)^2*IF(Profiles_140!U12&gt;Simulator!$L$21,1+Model_Formula!$N$23,1)</x:f>
        <x:v>320</x:v>
      </x:c>
      <x:c r="Q16" s="66" t="n">
        <x:f>Model_Formula!$M$24*(Profiles_140!V12-Simulator!$L$22)^2*IF(Profiles_140!V12&gt;Simulator!$L$22,1+Model_Formula!$N$24,1)</x:f>
        <x:v>630</x:v>
      </x:c>
      <x:c r="R16" s="66" t="n">
        <x:f>Model_Formula!$M$25*(Profiles_140!W12-Simulator!$L$23)^2*IF(Profiles_140!W12&gt;Simulator!$L$23,1+Model_Formula!$N$25,1)</x:f>
        <x:v>15</x:v>
      </x:c>
      <x:c r="S16" s="66" t="n">
        <x:f>Model_Formula!$M$26*(Profiles_140!X12-Simulator!$L$24)^2*IF(Profiles_140!X12&gt;Simulator!$L$24,1+Model_Formula!$N$26,1)</x:f>
        <x:v>227.5</x:v>
      </x:c>
      <x:c r="T16" s="66" t="n">
        <x:f>Model_Formula!$M$27*(Profiles_140!Y12-Simulator!$L$25)^2*IF(Profiles_140!Y12&gt;Simulator!$L$25,1+Model_Formula!$N$27,1)</x:f>
        <x:v>648</x:v>
      </x:c>
      <x:c r="U16" s="60" t="n">
        <x:f>SUM(F16:T16)/SUM(Model_Formula!$M$13:$M$27)</x:f>
        <x:v>464.05405405405406</x:v>
      </x:c>
      <x:c r="V16" s="60" t="n">
        <x:f>SQRT(U16)</x:f>
        <x:v>21.5419138902293</x:v>
      </x:c>
      <x:c r="W16" s="60" t="n">
        <x:f>MAX(0,100-V16)</x:f>
        <x:v>78.4580861097707</x:v>
      </x:c>
      <x:c r="X16" t="n">
        <x:f>RANK.EQ(W16,$W$6:$W$145,0)+COUNTIF($W$6:W16,W16)-1</x:f>
        <x:v>7</x:v>
      </x:c>
    </x:row>
    <x:row r="17">
      <x:c r="A17" t="str">
        <x:f>Profiles_140!A13</x:f>
        <x:v>グレイシア</x:v>
      </x:c>
      <x:c r="B17" t="str">
        <x:f>Profiles_140!C13</x:f>
        <x:v>グレイシア-1</x:v>
      </x:c>
      <x:c r="C17" t="str">
        <x:f>Profiles_140!D13</x:f>
        <x:v>つららばり＋こおりのつぶて</x:v>
      </x:c>
      <x:c r="D17" t="str">
        <x:f>Profiles_140!B13</x:f>
        <x:v>アタック型</x:v>
      </x:c>
      <x:c r="E17" t="str">
        <x:f>Profiles_140!I13</x:f>
        <x:v>高</x:v>
      </x:c>
      <x:c r="F17" s="66" t="n">
        <x:f>Model_Formula!$M$13*(Profiles_140!K13-Simulator!$L$11)^2*IF(Profiles_140!K13&gt;Simulator!$L$11,1+Model_Formula!$N$13,1)</x:f>
        <x:v>900</x:v>
      </x:c>
      <x:c r="G17" s="66" t="n">
        <x:f>Model_Formula!$M$14*(Profiles_140!L13-Simulator!$L$12)^2*IF(Profiles_140!L13&gt;Simulator!$L$12,1+Model_Formula!$N$14,1)</x:f>
        <x:v>1920</x:v>
      </x:c>
      <x:c r="H17" s="66" t="n">
        <x:f>Model_Formula!$M$15*(Profiles_140!M13-Simulator!$L$13)^2*IF(Profiles_140!M13&gt;Simulator!$L$13,1+Model_Formula!$N$15,1)</x:f>
        <x:v>900</x:v>
      </x:c>
      <x:c r="I17" s="66" t="n">
        <x:f>Model_Formula!$M$16*(Profiles_140!N13-Simulator!$L$14)^2*IF(Profiles_140!N13&gt;Simulator!$L$14,1+Model_Formula!$N$16,1)</x:f>
        <x:v>1600</x:v>
      </x:c>
      <x:c r="J17" s="66" t="n">
        <x:f>Model_Formula!$M$17*(Profiles_140!O13-Simulator!$L$15)^2*IF(Profiles_140!O13&gt;Simulator!$L$15,1+Model_Formula!$N$17,1)</x:f>
        <x:v>400</x:v>
      </x:c>
      <x:c r="K17" s="66" t="n">
        <x:f>Model_Formula!$M$18*(Profiles_140!P13-Simulator!$L$16)^2*IF(Profiles_140!P13&gt;Simulator!$L$16,1+Model_Formula!$N$18,1)</x:f>
        <x:v>0</x:v>
      </x:c>
      <x:c r="L17" s="66" t="n">
        <x:f>Model_Formula!$M$19*(Profiles_140!Q13-Simulator!$L$17)^2*IF(Profiles_140!Q13&gt;Simulator!$L$17,1+Model_Formula!$N$19,1)</x:f>
        <x:v>2250</x:v>
      </x:c>
      <x:c r="M17" s="66" t="n">
        <x:f>Model_Formula!$M$20*(Profiles_140!R13-Simulator!$L$18)^2*IF(Profiles_140!R13&gt;Simulator!$L$18,1+Model_Formula!$N$20,1)</x:f>
        <x:v>900</x:v>
      </x:c>
      <x:c r="N17" s="66" t="n">
        <x:f>Model_Formula!$M$21*(Profiles_140!S13-Simulator!$L$19)^2*IF(Profiles_140!S13&gt;Simulator!$L$19,1+Model_Formula!$N$21,1)</x:f>
        <x:v>1920</x:v>
      </x:c>
      <x:c r="O17" s="66" t="n">
        <x:f>Model_Formula!$M$22*(Profiles_140!T13-Simulator!$L$20)^2*IF(Profiles_140!T13&gt;Simulator!$L$20,1+Model_Formula!$N$22,1)</x:f>
        <x:v>25</x:v>
      </x:c>
      <x:c r="P17" s="66" t="n">
        <x:f>Model_Formula!$M$23*(Profiles_140!U13-Simulator!$L$21)^2*IF(Profiles_140!U13&gt;Simulator!$L$21,1+Model_Formula!$N$23,1)</x:f>
        <x:v>980</x:v>
      </x:c>
      <x:c r="Q17" s="66" t="n">
        <x:f>Model_Formula!$M$24*(Profiles_140!V13-Simulator!$L$22)^2*IF(Profiles_140!V13&gt;Simulator!$L$22,1+Model_Formula!$N$24,1)</x:f>
        <x:v>1750</x:v>
      </x:c>
      <x:c r="R17" s="66" t="n">
        <x:f>Model_Formula!$M$25*(Profiles_140!W13-Simulator!$L$23)^2*IF(Profiles_140!W13&gt;Simulator!$L$23,1+Model_Formula!$N$25,1)</x:f>
        <x:v>0</x:v>
      </x:c>
      <x:c r="S17" s="66" t="n">
        <x:f>Model_Formula!$M$26*(Profiles_140!X13-Simulator!$L$24)^2*IF(Profiles_140!X13&gt;Simulator!$L$24,1+Model_Formula!$N$26,1)</x:f>
        <x:v>511.875</x:v>
      </x:c>
      <x:c r="T17" s="66" t="n">
        <x:f>Model_Formula!$M$27*(Profiles_140!Y13-Simulator!$L$25)^2*IF(Profiles_140!Y13&gt;Simulator!$L$25,1+Model_Formula!$N$27,1)</x:f>
        <x:v>648</x:v>
      </x:c>
      <x:c r="U17" s="60" t="n">
        <x:f>SUM(F17:T17)/SUM(Model_Formula!$M$13:$M$27)</x:f>
        <x:v>993.5726351351352</x:v>
      </x:c>
      <x:c r="V17" s="60" t="n">
        <x:f>SQRT(U17)</x:f>
        <x:v>31.52098721701361</x:v>
      </x:c>
      <x:c r="W17" s="60" t="n">
        <x:f>MAX(0,100-V17)</x:f>
        <x:v>68.47901278298639</x:v>
      </x:c>
      <x:c r="X17" t="n">
        <x:f>RANK.EQ(W17,$W$6:$W$145,0)+COUNTIF($W$6:W17,W17)-1</x:f>
        <x:v>109</x:v>
      </x:c>
    </x:row>
    <x:row r="18">
      <x:c r="A18" t="str">
        <x:f>Profiles_140!A14</x:f>
        <x:v>グレイシア</x:v>
      </x:c>
      <x:c r="B18" t="str">
        <x:f>Profiles_140!C14</x:f>
        <x:v>グレイシア-2</x:v>
      </x:c>
      <x:c r="C18" t="str">
        <x:f>Profiles_140!D14</x:f>
        <x:v>こごえるかぜ＋フリーズドライ</x:v>
      </x:c>
      <x:c r="D18" t="str">
        <x:f>Profiles_140!B14</x:f>
        <x:v>アタック型</x:v>
      </x:c>
      <x:c r="E18" t="str">
        <x:f>Profiles_140!I14</x:f>
        <x:v>高</x:v>
      </x:c>
      <x:c r="F18" s="66" t="n">
        <x:f>Model_Formula!$M$13*(Profiles_140!K14-Simulator!$L$11)^2*IF(Profiles_140!K14&gt;Simulator!$L$11,1+Model_Formula!$N$13,1)</x:f>
        <x:v>100</x:v>
      </x:c>
      <x:c r="G18" s="66" t="n">
        <x:f>Model_Formula!$M$14*(Profiles_140!L14-Simulator!$L$12)^2*IF(Profiles_140!L14&gt;Simulator!$L$12,1+Model_Formula!$N$14,1)</x:f>
        <x:v>270</x:v>
      </x:c>
      <x:c r="H18" s="66" t="n">
        <x:f>Model_Formula!$M$15*(Profiles_140!M14-Simulator!$L$13)^2*IF(Profiles_140!M14&gt;Simulator!$L$13,1+Model_Formula!$N$15,1)</x:f>
        <x:v>400</x:v>
      </x:c>
      <x:c r="I18" s="66" t="n">
        <x:f>Model_Formula!$M$16*(Profiles_140!N14-Simulator!$L$14)^2*IF(Profiles_140!N14&gt;Simulator!$L$14,1+Model_Formula!$N$16,1)</x:f>
        <x:v>400</x:v>
      </x:c>
      <x:c r="J18" s="66" t="n">
        <x:f>Model_Formula!$M$17*(Profiles_140!O14-Simulator!$L$15)^2*IF(Profiles_140!O14&gt;Simulator!$L$15,1+Model_Formula!$N$17,1)</x:f>
        <x:v>225</x:v>
      </x:c>
      <x:c r="K18" s="66" t="n">
        <x:f>Model_Formula!$M$18*(Profiles_140!P14-Simulator!$L$16)^2*IF(Profiles_140!P14&gt;Simulator!$L$16,1+Model_Formula!$N$18,1)</x:f>
        <x:v>562.5</x:v>
      </x:c>
      <x:c r="L18" s="66" t="n">
        <x:f>Model_Formula!$M$19*(Profiles_140!Q14-Simulator!$L$17)^2*IF(Profiles_140!Q14&gt;Simulator!$L$17,1+Model_Formula!$N$19,1)</x:f>
        <x:v>1102.5</x:v>
      </x:c>
      <x:c r="M18" s="66" t="n">
        <x:f>Model_Formula!$M$20*(Profiles_140!R14-Simulator!$L$18)^2*IF(Profiles_140!R14&gt;Simulator!$L$18,1+Model_Formula!$N$20,1)</x:f>
        <x:v>25</x:v>
      </x:c>
      <x:c r="N18" s="66" t="n">
        <x:f>Model_Formula!$M$21*(Profiles_140!S14-Simulator!$L$19)^2*IF(Profiles_140!S14&gt;Simulator!$L$19,1+Model_Formula!$N$21,1)</x:f>
        <x:v>1470</x:v>
      </x:c>
      <x:c r="O18" s="66" t="n">
        <x:f>Model_Formula!$M$22*(Profiles_140!T14-Simulator!$L$20)^2*IF(Profiles_140!T14&gt;Simulator!$L$20,1+Model_Formula!$N$22,1)</x:f>
        <x:v>400</x:v>
      </x:c>
      <x:c r="P18" s="66" t="n">
        <x:f>Model_Formula!$M$23*(Profiles_140!U14-Simulator!$L$21)^2*IF(Profiles_140!U14&gt;Simulator!$L$21,1+Model_Formula!$N$23,1)</x:f>
        <x:v>320</x:v>
      </x:c>
      <x:c r="Q18" s="66" t="n">
        <x:f>Model_Formula!$M$24*(Profiles_140!V14-Simulator!$L$22)^2*IF(Profiles_140!V14&gt;Simulator!$L$22,1+Model_Formula!$N$24,1)</x:f>
        <x:v>280</x:v>
      </x:c>
      <x:c r="R18" s="66" t="n">
        <x:f>Model_Formula!$M$25*(Profiles_140!W14-Simulator!$L$23)^2*IF(Profiles_140!W14&gt;Simulator!$L$23,1+Model_Formula!$N$25,1)</x:f>
        <x:v>15</x:v>
      </x:c>
      <x:c r="S18" s="66" t="n">
        <x:f>Model_Formula!$M$26*(Profiles_140!X14-Simulator!$L$24)^2*IF(Profiles_140!X14&gt;Simulator!$L$24,1+Model_Formula!$N$26,1)</x:f>
        <x:v>1421.875</x:v>
      </x:c>
      <x:c r="T18" s="66" t="n">
        <x:f>Model_Formula!$M$27*(Profiles_140!Y14-Simulator!$L$25)^2*IF(Profiles_140!Y14&gt;Simulator!$L$25,1+Model_Formula!$N$27,1)</x:f>
        <x:v>648</x:v>
      </x:c>
      <x:c r="U18" s="60" t="n">
        <x:f>SUM(F18:T18)/SUM(Model_Formula!$M$13:$M$27)</x:f>
        <x:v>516.2077702702703</x:v>
      </x:c>
      <x:c r="V18" s="60" t="n">
        <x:f>SQRT(U18)</x:f>
        <x:v>22.72020621099796</x:v>
      </x:c>
      <x:c r="W18" s="60" t="n">
        <x:f>MAX(0,100-V18)</x:f>
        <x:v>77.27979378900204</x:v>
      </x:c>
      <x:c r="X18" t="n">
        <x:f>RANK.EQ(W18,$W$6:$W$145,0)+COUNTIF($W$6:W18,W18)-1</x:f>
        <x:v>10</x:v>
      </x:c>
    </x:row>
    <x:row r="19">
      <x:c r="A19" t="str">
        <x:f>Profiles_140!A15</x:f>
        <x:v>グレンアルマ</x:v>
      </x:c>
      <x:c r="B19" t="str">
        <x:f>Profiles_140!C15</x:f>
        <x:v>グレンアルマ-1</x:v>
      </x:c>
      <x:c r="C19" t="str">
        <x:f>Profiles_140!D15</x:f>
        <x:v>ほのおのうず＋ニトロチャージ</x:v>
      </x:c>
      <x:c r="D19" t="str">
        <x:f>Profiles_140!B15</x:f>
        <x:v>アタック型</x:v>
      </x:c>
      <x:c r="E19" t="str">
        <x:f>Profiles_140!I15</x:f>
        <x:v>高</x:v>
      </x:c>
      <x:c r="F19" s="66" t="n">
        <x:f>Model_Formula!$M$13*(Profiles_140!K15-Simulator!$L$11)^2*IF(Profiles_140!K15&gt;Simulator!$L$11,1+Model_Formula!$N$13,1)</x:f>
        <x:v>0</x:v>
      </x:c>
      <x:c r="G19" s="66" t="n">
        <x:f>Model_Formula!$M$14*(Profiles_140!L15-Simulator!$L$12)^2*IF(Profiles_140!L15&gt;Simulator!$L$12,1+Model_Formula!$N$14,1)</x:f>
        <x:v>120</x:v>
      </x:c>
      <x:c r="H19" s="66" t="n">
        <x:f>Model_Formula!$M$15*(Profiles_140!M15-Simulator!$L$13)^2*IF(Profiles_140!M15&gt;Simulator!$L$13,1+Model_Formula!$N$15,1)</x:f>
        <x:v>225</x:v>
      </x:c>
      <x:c r="I19" s="66" t="n">
        <x:f>Model_Formula!$M$16*(Profiles_140!N15-Simulator!$L$14)^2*IF(Profiles_140!N15&gt;Simulator!$L$14,1+Model_Formula!$N$16,1)</x:f>
        <x:v>1225</x:v>
      </x:c>
      <x:c r="J19" s="66" t="n">
        <x:f>Model_Formula!$M$17*(Profiles_140!O15-Simulator!$L$15)^2*IF(Profiles_140!O15&gt;Simulator!$L$15,1+Model_Formula!$N$17,1)</x:f>
        <x:v>1225</x:v>
      </x:c>
      <x:c r="K19" s="66" t="n">
        <x:f>Model_Formula!$M$18*(Profiles_140!P15-Simulator!$L$16)^2*IF(Profiles_140!P15&gt;Simulator!$L$16,1+Model_Formula!$N$18,1)</x:f>
        <x:v>202.5</x:v>
      </x:c>
      <x:c r="L19" s="66" t="n">
        <x:f>Model_Formula!$M$19*(Profiles_140!Q15-Simulator!$L$17)^2*IF(Profiles_140!Q15&gt;Simulator!$L$17,1+Model_Formula!$N$19,1)</x:f>
        <x:v>2250</x:v>
      </x:c>
      <x:c r="M19" s="66" t="n">
        <x:f>Model_Formula!$M$20*(Profiles_140!R15-Simulator!$L$18)^2*IF(Profiles_140!R15&gt;Simulator!$L$18,1+Model_Formula!$N$20,1)</x:f>
        <x:v>25</x:v>
      </x:c>
      <x:c r="N19" s="66" t="n">
        <x:f>Model_Formula!$M$21*(Profiles_140!S15-Simulator!$L$19)^2*IF(Profiles_140!S15&gt;Simulator!$L$19,1+Model_Formula!$N$21,1)</x:f>
        <x:v>1470</x:v>
      </x:c>
      <x:c r="O19" s="66" t="n">
        <x:f>Model_Formula!$M$22*(Profiles_140!T15-Simulator!$L$20)^2*IF(Profiles_140!T15&gt;Simulator!$L$20,1+Model_Formula!$N$22,1)</x:f>
        <x:v>0</x:v>
      </x:c>
      <x:c r="P19" s="66" t="n">
        <x:f>Model_Formula!$M$23*(Profiles_140!U15-Simulator!$L$21)^2*IF(Profiles_140!U15&gt;Simulator!$L$21,1+Model_Formula!$N$23,1)</x:f>
        <x:v>500</x:v>
      </x:c>
      <x:c r="Q19" s="66" t="n">
        <x:f>Model_Formula!$M$24*(Profiles_140!V15-Simulator!$L$22)^2*IF(Profiles_140!V15&gt;Simulator!$L$22,1+Model_Formula!$N$24,1)</x:f>
        <x:v>857.5</x:v>
      </x:c>
      <x:c r="R19" s="66" t="n">
        <x:f>Model_Formula!$M$25*(Profiles_140!W15-Simulator!$L$23)^2*IF(Profiles_140!W15&gt;Simulator!$L$23,1+Model_Formula!$N$25,1)</x:f>
        <x:v>15</x:v>
      </x:c>
      <x:c r="S19" s="66" t="n">
        <x:f>Model_Formula!$M$26*(Profiles_140!X15-Simulator!$L$24)^2*IF(Profiles_140!X15&gt;Simulator!$L$24,1+Model_Formula!$N$26,1)</x:f>
        <x:v>56.875</x:v>
      </x:c>
      <x:c r="T19" s="66" t="n">
        <x:f>Model_Formula!$M$27*(Profiles_140!Y15-Simulator!$L$25)^2*IF(Profiles_140!Y15&gt;Simulator!$L$25,1+Model_Formula!$N$27,1)</x:f>
        <x:v>364.5</x:v>
      </x:c>
      <x:c r="U19" s="60" t="n">
        <x:f>SUM(F19:T19)/SUM(Model_Formula!$M$13:$M$27)</x:f>
        <x:v>576.7820945945946</x:v>
      </x:c>
      <x:c r="V19" s="60" t="n">
        <x:f>SQRT(U19)</x:f>
        <x:v>24.016288110251228</x:v>
      </x:c>
      <x:c r="W19" s="60" t="n">
        <x:f>MAX(0,100-V19)</x:f>
        <x:v>75.98371188974878</x:v>
      </x:c>
      <x:c r="X19" t="n">
        <x:f>RANK.EQ(W19,$W$6:$W$145,0)+COUNTIF($W$6:W19,W19)-1</x:f>
        <x:v>24</x:v>
      </x:c>
    </x:row>
    <x:row r="20">
      <x:c r="A20" t="str">
        <x:f>Profiles_140!A16</x:f>
        <x:v>グレンアルマ</x:v>
      </x:c>
      <x:c r="B20" t="str">
        <x:f>Profiles_140!C16</x:f>
        <x:v>グレンアルマ-2</x:v>
      </x:c>
      <x:c r="C20" t="str">
        <x:f>Profiles_140!D16</x:f>
        <x:v>アーマーキャノン＋サイコショック</x:v>
      </x:c>
      <x:c r="D20" t="str">
        <x:f>Profiles_140!B16</x:f>
        <x:v>アタック型</x:v>
      </x:c>
      <x:c r="E20" t="str">
        <x:f>Profiles_140!I16</x:f>
        <x:v>高</x:v>
      </x:c>
      <x:c r="F20" s="66" t="n">
        <x:f>Model_Formula!$M$13*(Profiles_140!K16-Simulator!$L$11)^2*IF(Profiles_140!K16&gt;Simulator!$L$11,1+Model_Formula!$N$13,1)</x:f>
        <x:v>400</x:v>
      </x:c>
      <x:c r="G20" s="66" t="n">
        <x:f>Model_Formula!$M$14*(Profiles_140!L16-Simulator!$L$12)^2*IF(Profiles_140!L16&gt;Simulator!$L$12,1+Model_Formula!$N$14,1)</x:f>
        <x:v>1920</x:v>
      </x:c>
      <x:c r="H20" s="66" t="n">
        <x:f>Model_Formula!$M$15*(Profiles_140!M16-Simulator!$L$13)^2*IF(Profiles_140!M16&gt;Simulator!$L$13,1+Model_Formula!$N$15,1)</x:f>
        <x:v>100</x:v>
      </x:c>
      <x:c r="I20" s="66" t="n">
        <x:f>Model_Formula!$M$16*(Profiles_140!N16-Simulator!$L$14)^2*IF(Profiles_140!N16&gt;Simulator!$L$14,1+Model_Formula!$N$16,1)</x:f>
        <x:v>2500</x:v>
      </x:c>
      <x:c r="J20" s="66" t="n">
        <x:f>Model_Formula!$M$17*(Profiles_140!O16-Simulator!$L$15)^2*IF(Profiles_140!O16&gt;Simulator!$L$15,1+Model_Formula!$N$17,1)</x:f>
        <x:v>2500</x:v>
      </x:c>
      <x:c r="K20" s="66" t="n">
        <x:f>Model_Formula!$M$18*(Profiles_140!P16-Simulator!$L$16)^2*IF(Profiles_140!P16&gt;Simulator!$L$16,1+Model_Formula!$N$18,1)</x:f>
        <x:v>1822.5</x:v>
      </x:c>
      <x:c r="L20" s="66" t="n">
        <x:f>Model_Formula!$M$19*(Profiles_140!Q16-Simulator!$L$17)^2*IF(Profiles_140!Q16&gt;Simulator!$L$17,1+Model_Formula!$N$19,1)</x:f>
        <x:v>0</x:v>
      </x:c>
      <x:c r="M20" s="66" t="n">
        <x:f>Model_Formula!$M$20*(Profiles_140!R16-Simulator!$L$18)^2*IF(Profiles_140!R16&gt;Simulator!$L$18,1+Model_Formula!$N$20,1)</x:f>
        <x:v>900</x:v>
      </x:c>
      <x:c r="N20" s="66" t="n">
        <x:f>Model_Formula!$M$21*(Profiles_140!S16-Simulator!$L$19)^2*IF(Profiles_140!S16&gt;Simulator!$L$19,1+Model_Formula!$N$21,1)</x:f>
        <x:v>1470</x:v>
      </x:c>
      <x:c r="O20" s="66" t="n">
        <x:f>Model_Formula!$M$22*(Profiles_140!T16-Simulator!$L$20)^2*IF(Profiles_140!T16&gt;Simulator!$L$20,1+Model_Formula!$N$22,1)</x:f>
        <x:v>625</x:v>
      </x:c>
      <x:c r="P20" s="66" t="n">
        <x:f>Model_Formula!$M$23*(Profiles_140!U16-Simulator!$L$21)^2*IF(Profiles_140!U16&gt;Simulator!$L$21,1+Model_Formula!$N$23,1)</x:f>
        <x:v>180</x:v>
      </x:c>
      <x:c r="Q20" s="66" t="n">
        <x:f>Model_Formula!$M$24*(Profiles_140!V16-Simulator!$L$22)^2*IF(Profiles_140!V16&gt;Simulator!$L$22,1+Model_Formula!$N$24,1)</x:f>
        <x:v>280</x:v>
      </x:c>
      <x:c r="R20" s="66" t="n">
        <x:f>Model_Formula!$M$25*(Profiles_140!W16-Simulator!$L$23)^2*IF(Profiles_140!W16&gt;Simulator!$L$23,1+Model_Formula!$N$25,1)</x:f>
        <x:v>135</x:v>
      </x:c>
      <x:c r="S20" s="66" t="n">
        <x:f>Model_Formula!$M$26*(Profiles_140!X16-Simulator!$L$24)^2*IF(Profiles_140!X16&gt;Simulator!$L$24,1+Model_Formula!$N$26,1)</x:f>
        <x:v>511.875</x:v>
      </x:c>
      <x:c r="T20" s="66" t="n">
        <x:f>Model_Formula!$M$27*(Profiles_140!Y16-Simulator!$L$25)^2*IF(Profiles_140!Y16&gt;Simulator!$L$25,1+Model_Formula!$N$27,1)</x:f>
        <x:v>1012.5000000000001</x:v>
      </x:c>
      <x:c r="U20" s="60" t="n">
        <x:f>SUM(F20:T20)/SUM(Model_Formula!$M$13:$M$27)</x:f>
        <x:v>970.0591216216217</x:v>
      </x:c>
      <x:c r="V20" s="60" t="n">
        <x:f>SQRT(U20)</x:f>
        <x:v>31.145772130766346</x:v>
      </x:c>
      <x:c r="W20" s="60" t="n">
        <x:f>MAX(0,100-V20)</x:f>
        <x:v>68.85422786923365</x:v>
      </x:c>
      <x:c r="X20" t="n">
        <x:f>RANK.EQ(W20,$W$6:$W$145,0)+COUNTIF($W$6:W20,W20)-1</x:f>
        <x:v>107</x:v>
      </x:c>
    </x:row>
    <x:row r="21">
      <x:c r="A21" t="str">
        <x:f>Profiles_140!A17</x:f>
        <x:v>ゲッコウガ</x:v>
      </x:c>
      <x:c r="B21" t="str">
        <x:f>Profiles_140!C17</x:f>
        <x:v>ゲッコウガ-1</x:v>
      </x:c>
      <x:c r="C21" t="str">
        <x:f>Profiles_140!D17</x:f>
        <x:v>みずしゅりけん＋かげぶんしん</x:v>
      </x:c>
      <x:c r="D21" t="str">
        <x:f>Profiles_140!B17</x:f>
        <x:v>アタック型</x:v>
      </x:c>
      <x:c r="E21" t="str">
        <x:f>Profiles_140!I17</x:f>
        <x:v>高</x:v>
      </x:c>
      <x:c r="F21" s="66" t="n">
        <x:f>Model_Formula!$M$13*(Profiles_140!K17-Simulator!$L$11)^2*IF(Profiles_140!K17&gt;Simulator!$L$11,1+Model_Formula!$N$13,1)</x:f>
        <x:v>900</x:v>
      </x:c>
      <x:c r="G21" s="66" t="n">
        <x:f>Model_Formula!$M$14*(Profiles_140!L17-Simulator!$L$12)^2*IF(Profiles_140!L17&gt;Simulator!$L$12,1+Model_Formula!$N$14,1)</x:f>
        <x:v>1920</x:v>
      </x:c>
      <x:c r="H21" s="66" t="n">
        <x:f>Model_Formula!$M$15*(Profiles_140!M17-Simulator!$L$13)^2*IF(Profiles_140!M17&gt;Simulator!$L$13,1+Model_Formula!$N$15,1)</x:f>
        <x:v>900</x:v>
      </x:c>
      <x:c r="I21" s="66" t="n">
        <x:f>Model_Formula!$M$16*(Profiles_140!N17-Simulator!$L$14)^2*IF(Profiles_140!N17&gt;Simulator!$L$14,1+Model_Formula!$N$16,1)</x:f>
        <x:v>1600</x:v>
      </x:c>
      <x:c r="J21" s="66" t="n">
        <x:f>Model_Formula!$M$17*(Profiles_140!O17-Simulator!$L$15)^2*IF(Profiles_140!O17&gt;Simulator!$L$15,1+Model_Formula!$N$17,1)</x:f>
        <x:v>400</x:v>
      </x:c>
      <x:c r="K21" s="66" t="n">
        <x:f>Model_Formula!$M$18*(Profiles_140!P17-Simulator!$L$16)^2*IF(Profiles_140!P17&gt;Simulator!$L$16,1+Model_Formula!$N$18,1)</x:f>
        <x:v>90</x:v>
      </x:c>
      <x:c r="L21" s="66" t="n">
        <x:f>Model_Formula!$M$19*(Profiles_140!Q17-Simulator!$L$17)^2*IF(Profiles_140!Q17&gt;Simulator!$L$17,1+Model_Formula!$N$19,1)</x:f>
        <x:v>2250</x:v>
      </x:c>
      <x:c r="M21" s="66" t="n">
        <x:f>Model_Formula!$M$20*(Profiles_140!R17-Simulator!$L$18)^2*IF(Profiles_140!R17&gt;Simulator!$L$18,1+Model_Formula!$N$20,1)</x:f>
        <x:v>900</x:v>
      </x:c>
      <x:c r="N21" s="66" t="n">
        <x:f>Model_Formula!$M$21*(Profiles_140!S17-Simulator!$L$19)^2*IF(Profiles_140!S17&gt;Simulator!$L$19,1+Model_Formula!$N$21,1)</x:f>
        <x:v>1920</x:v>
      </x:c>
      <x:c r="O21" s="66" t="n">
        <x:f>Model_Formula!$M$22*(Profiles_140!T17-Simulator!$L$20)^2*IF(Profiles_140!T17&gt;Simulator!$L$20,1+Model_Formula!$N$22,1)</x:f>
        <x:v>0</x:v>
      </x:c>
      <x:c r="P21" s="66" t="n">
        <x:f>Model_Formula!$M$23*(Profiles_140!U17-Simulator!$L$21)^2*IF(Profiles_140!U17&gt;Simulator!$L$21,1+Model_Formula!$N$23,1)</x:f>
        <x:v>980</x:v>
      </x:c>
      <x:c r="Q21" s="66" t="n">
        <x:f>Model_Formula!$M$24*(Profiles_140!V17-Simulator!$L$22)^2*IF(Profiles_140!V17&gt;Simulator!$L$22,1+Model_Formula!$N$24,1)</x:f>
        <x:v>1750</x:v>
      </x:c>
      <x:c r="R21" s="66" t="n">
        <x:f>Model_Formula!$M$25*(Profiles_140!W17-Simulator!$L$23)^2*IF(Profiles_140!W17&gt;Simulator!$L$23,1+Model_Formula!$N$25,1)</x:f>
        <x:v>0</x:v>
      </x:c>
      <x:c r="S21" s="66" t="n">
        <x:f>Model_Formula!$M$26*(Profiles_140!X17-Simulator!$L$24)^2*IF(Profiles_140!X17&gt;Simulator!$L$24,1+Model_Formula!$N$26,1)</x:f>
        <x:v>511.875</x:v>
      </x:c>
      <x:c r="T21" s="66" t="n">
        <x:f>Model_Formula!$M$27*(Profiles_140!Y17-Simulator!$L$25)^2*IF(Profiles_140!Y17&gt;Simulator!$L$25,1+Model_Formula!$N$27,1)</x:f>
        <x:v>648</x:v>
      </x:c>
      <x:c r="U21" s="60" t="n">
        <x:f>SUM(F21:T21)/SUM(Model_Formula!$M$13:$M$27)</x:f>
        <x:v>997.9645270270271</x:v>
      </x:c>
      <x:c r="V21" s="60" t="n">
        <x:f>SQRT(U21)</x:f>
        <x:v>31.590576554204056</x:v>
      </x:c>
      <x:c r="W21" s="60" t="n">
        <x:f>MAX(0,100-V21)</x:f>
        <x:v>68.40942344579594</x:v>
      </x:c>
      <x:c r="X21" t="n">
        <x:f>RANK.EQ(W21,$W$6:$W$145,0)+COUNTIF($W$6:W21,W21)-1</x:f>
        <x:v>111</x:v>
      </x:c>
    </x:row>
    <x:row r="22">
      <x:c r="A22" t="str">
        <x:f>Profiles_140!A18</x:f>
        <x:v>ゲッコウガ</x:v>
      </x:c>
      <x:c r="B22" t="str">
        <x:f>Profiles_140!C18</x:f>
        <x:v>ゲッコウガ-2</x:v>
      </x:c>
      <x:c r="C22" t="str">
        <x:f>Profiles_140!D18</x:f>
        <x:v>なみのり＋えんまく</x:v>
      </x:c>
      <x:c r="D22" t="str">
        <x:f>Profiles_140!B18</x:f>
        <x:v>アタック型</x:v>
      </x:c>
      <x:c r="E22" t="str">
        <x:f>Profiles_140!I18</x:f>
        <x:v>高</x:v>
      </x:c>
      <x:c r="F22" s="66" t="n">
        <x:f>Model_Formula!$M$13*(Profiles_140!K18-Simulator!$L$11)^2*IF(Profiles_140!K18&gt;Simulator!$L$11,1+Model_Formula!$N$13,1)</x:f>
        <x:v>0</x:v>
      </x:c>
      <x:c r="G22" s="66" t="n">
        <x:f>Model_Formula!$M$14*(Profiles_140!L18-Simulator!$L$12)^2*IF(Profiles_140!L18&gt;Simulator!$L$12,1+Model_Formula!$N$14,1)</x:f>
        <x:v>3449.9999999999995</x:v>
      </x:c>
      <x:c r="H22" s="66" t="n">
        <x:f>Model_Formula!$M$15*(Profiles_140!M18-Simulator!$L$13)^2*IF(Profiles_140!M18&gt;Simulator!$L$13,1+Model_Formula!$N$15,1)</x:f>
        <x:v>1600</x:v>
      </x:c>
      <x:c r="I22" s="66" t="n">
        <x:f>Model_Formula!$M$16*(Profiles_140!N18-Simulator!$L$14)^2*IF(Profiles_140!N18&gt;Simulator!$L$14,1+Model_Formula!$N$16,1)</x:f>
        <x:v>1225</x:v>
      </x:c>
      <x:c r="J22" s="66" t="n">
        <x:f>Model_Formula!$M$17*(Profiles_140!O18-Simulator!$L$15)^2*IF(Profiles_140!O18&gt;Simulator!$L$15,1+Model_Formula!$N$17,1)</x:f>
        <x:v>625</x:v>
      </x:c>
      <x:c r="K22" s="66" t="n">
        <x:f>Model_Formula!$M$18*(Profiles_140!P18-Simulator!$L$16)^2*IF(Profiles_140!P18&gt;Simulator!$L$16,1+Model_Formula!$N$18,1)</x:f>
        <x:v>2250</x:v>
      </x:c>
      <x:c r="L22" s="66" t="n">
        <x:f>Model_Formula!$M$19*(Profiles_140!Q18-Simulator!$L$17)^2*IF(Profiles_140!Q18&gt;Simulator!$L$17,1+Model_Formula!$N$19,1)</x:f>
        <x:v>22.5</x:v>
      </x:c>
      <x:c r="M22" s="66" t="n">
        <x:f>Model_Formula!$M$20*(Profiles_140!R18-Simulator!$L$18)^2*IF(Profiles_140!R18&gt;Simulator!$L$18,1+Model_Formula!$N$20,1)</x:f>
        <x:v>400</x:v>
      </x:c>
      <x:c r="N22" s="66" t="n">
        <x:f>Model_Formula!$M$21*(Profiles_140!S18-Simulator!$L$19)^2*IF(Profiles_140!S18&gt;Simulator!$L$19,1+Model_Formula!$N$21,1)</x:f>
        <x:v>1920</x:v>
      </x:c>
      <x:c r="O22" s="66" t="n">
        <x:f>Model_Formula!$M$22*(Profiles_140!T18-Simulator!$L$20)^2*IF(Profiles_140!T18&gt;Simulator!$L$20,1+Model_Formula!$N$22,1)</x:f>
        <x:v>2500</x:v>
      </x:c>
      <x:c r="P22" s="66" t="n">
        <x:f>Model_Formula!$M$23*(Profiles_140!U18-Simulator!$L$21)^2*IF(Profiles_140!U18&gt;Simulator!$L$21,1+Model_Formula!$N$23,1)</x:f>
        <x:v>180</x:v>
      </x:c>
      <x:c r="Q22" s="66" t="n">
        <x:f>Model_Formula!$M$24*(Profiles_140!V18-Simulator!$L$22)^2*IF(Profiles_140!V18&gt;Simulator!$L$22,1+Model_Formula!$N$24,1)</x:f>
        <x:v>630</x:v>
      </x:c>
      <x:c r="R22" s="66" t="n">
        <x:f>Model_Formula!$M$25*(Profiles_140!W18-Simulator!$L$23)^2*IF(Profiles_140!W18&gt;Simulator!$L$23,1+Model_Formula!$N$25,1)</x:f>
        <x:v>540</x:v>
      </x:c>
      <x:c r="S22" s="66" t="n">
        <x:f>Model_Formula!$M$26*(Profiles_140!X18-Simulator!$L$24)^2*IF(Profiles_140!X18&gt;Simulator!$L$24,1+Model_Formula!$N$26,1)</x:f>
        <x:v>2047.5</x:v>
      </x:c>
      <x:c r="T22" s="66" t="n">
        <x:f>Model_Formula!$M$27*(Profiles_140!Y18-Simulator!$L$25)^2*IF(Profiles_140!Y18&gt;Simulator!$L$25,1+Model_Formula!$N$27,1)</x:f>
        <x:v>1012.5000000000001</x:v>
      </x:c>
      <x:c r="U22" s="60" t="n">
        <x:f>SUM(F22:T22)/SUM(Model_Formula!$M$13:$M$27)</x:f>
        <x:v>1243.4121621621623</x:v>
      </x:c>
      <x:c r="V22" s="60" t="n">
        <x:f>SQRT(U22)</x:f>
        <x:v>35.26204988599163</x:v>
      </x:c>
      <x:c r="W22" s="60" t="n">
        <x:f>MAX(0,100-V22)</x:f>
        <x:v>64.73795011400837</x:v>
      </x:c>
      <x:c r="X22" t="n">
        <x:f>RANK.EQ(W22,$W$6:$W$145,0)+COUNTIF($W$6:W22,W22)-1</x:f>
        <x:v>127</x:v>
      </x:c>
    </x:row>
    <x:row r="23">
      <x:c r="A23" t="str">
        <x:f>Profiles_140!A19</x:f>
        <x:v>サンダー</x:v>
      </x:c>
      <x:c r="B23" t="str">
        <x:f>Profiles_140!C19</x:f>
        <x:v>サンダー-1</x:v>
      </x:c>
      <x:c r="C23" t="str">
        <x:f>Profiles_140!D19</x:f>
        <x:v>共通プロファイル</x:v>
      </x:c>
      <x:c r="D23" t="str">
        <x:f>Profiles_140!B19</x:f>
        <x:v>アタック型</x:v>
      </x:c>
      <x:c r="E23" t="str">
        <x:f>Profiles_140!I19</x:f>
        <x:v>中</x:v>
      </x:c>
      <x:c r="F23" s="66" t="n">
        <x:f>Model_Formula!$M$13*(Profiles_140!K19-Simulator!$L$11)^2*IF(Profiles_140!K19&gt;Simulator!$L$11,1+Model_Formula!$N$13,1)</x:f>
        <x:v>400</x:v>
      </x:c>
      <x:c r="G23" s="66" t="n">
        <x:f>Model_Formula!$M$14*(Profiles_140!L19-Simulator!$L$12)^2*IF(Profiles_140!L19&gt;Simulator!$L$12,1+Model_Formula!$N$14,1)</x:f>
        <x:v>1920</x:v>
      </x:c>
      <x:c r="H23" s="66" t="n">
        <x:f>Model_Formula!$M$15*(Profiles_140!M19-Simulator!$L$13)^2*IF(Profiles_140!M19&gt;Simulator!$L$13,1+Model_Formula!$N$15,1)</x:f>
        <x:v>100</x:v>
      </x:c>
      <x:c r="I23" s="66" t="n">
        <x:f>Model_Formula!$M$16*(Profiles_140!N19-Simulator!$L$14)^2*IF(Profiles_140!N19&gt;Simulator!$L$14,1+Model_Formula!$N$16,1)</x:f>
        <x:v>1600</x:v>
      </x:c>
      <x:c r="J23" s="66" t="n">
        <x:f>Model_Formula!$M$17*(Profiles_140!O19-Simulator!$L$15)^2*IF(Profiles_140!O19&gt;Simulator!$L$15,1+Model_Formula!$N$17,1)</x:f>
        <x:v>2025</x:v>
      </x:c>
      <x:c r="K23" s="66" t="n">
        <x:f>Model_Formula!$M$18*(Profiles_140!P19-Simulator!$L$16)^2*IF(Profiles_140!P19&gt;Simulator!$L$16,1+Model_Formula!$N$18,1)</x:f>
        <x:v>1822.5</x:v>
      </x:c>
      <x:c r="L23" s="66" t="n">
        <x:f>Model_Formula!$M$19*(Profiles_140!Q19-Simulator!$L$17)^2*IF(Profiles_140!Q19&gt;Simulator!$L$17,1+Model_Formula!$N$19,1)</x:f>
        <x:v>0</x:v>
      </x:c>
      <x:c r="M23" s="66" t="n">
        <x:f>Model_Formula!$M$20*(Profiles_140!R19-Simulator!$L$18)^2*IF(Profiles_140!R19&gt;Simulator!$L$18,1+Model_Formula!$N$20,1)</x:f>
        <x:v>625</x:v>
      </x:c>
      <x:c r="N23" s="66" t="n">
        <x:f>Model_Formula!$M$21*(Profiles_140!S19-Simulator!$L$19)^2*IF(Profiles_140!S19&gt;Simulator!$L$19,1+Model_Formula!$N$21,1)</x:f>
        <x:v>1470</x:v>
      </x:c>
      <x:c r="O23" s="66" t="n">
        <x:f>Model_Formula!$M$22*(Profiles_140!T19-Simulator!$L$20)^2*IF(Profiles_140!T19&gt;Simulator!$L$20,1+Model_Formula!$N$22,1)</x:f>
        <x:v>900</x:v>
      </x:c>
      <x:c r="P23" s="66" t="n">
        <x:f>Model_Formula!$M$23*(Profiles_140!U19-Simulator!$L$21)^2*IF(Profiles_140!U19&gt;Simulator!$L$21,1+Model_Formula!$N$23,1)</x:f>
        <x:v>180</x:v>
      </x:c>
      <x:c r="Q23" s="66" t="n">
        <x:f>Model_Formula!$M$24*(Profiles_140!V19-Simulator!$L$22)^2*IF(Profiles_140!V19&gt;Simulator!$L$22,1+Model_Formula!$N$24,1)</x:f>
        <x:v>280</x:v>
      </x:c>
      <x:c r="R23" s="66" t="n">
        <x:f>Model_Formula!$M$25*(Profiles_140!W19-Simulator!$L$23)^2*IF(Profiles_140!W19&gt;Simulator!$L$23,1+Model_Formula!$N$25,1)</x:f>
        <x:v>135</x:v>
      </x:c>
      <x:c r="S23" s="66" t="n">
        <x:f>Model_Formula!$M$26*(Profiles_140!X19-Simulator!$L$24)^2*IF(Profiles_140!X19&gt;Simulator!$L$24,1+Model_Formula!$N$26,1)</x:f>
        <x:v>511.875</x:v>
      </x:c>
      <x:c r="T23" s="66" t="n">
        <x:f>Model_Formula!$M$27*(Profiles_140!Y19-Simulator!$L$25)^2*IF(Profiles_140!Y19&gt;Simulator!$L$25,1+Model_Formula!$N$27,1)</x:f>
        <x:v>1012.5000000000001</x:v>
      </x:c>
      <x:c r="U23" s="60" t="n">
        <x:f>SUM(F23:T23)/SUM(Model_Formula!$M$13:$M$27)</x:f>
        <x:v>877.1537162162163</x:v>
      </x:c>
      <x:c r="V23" s="60" t="n">
        <x:f>SQRT(U23)</x:f>
        <x:v>29.61678099011127</x:v>
      </x:c>
      <x:c r="W23" s="60" t="n">
        <x:f>MAX(0,100-V23)</x:f>
        <x:v>70.38321900988873</x:v>
      </x:c>
      <x:c r="X23" t="n">
        <x:f>RANK.EQ(W23,$W$6:$W$145,0)+COUNTIF($W$6:W23,W23)-1</x:f>
        <x:v>82</x:v>
      </x:c>
    </x:row>
    <x:row r="24">
      <x:c r="A24" t="str">
        <x:f>Profiles_140!A20</x:f>
        <x:v>サーナイト</x:v>
      </x:c>
      <x:c r="B24" t="str">
        <x:f>Profiles_140!C20</x:f>
        <x:v>サーナイト-1</x:v>
      </x:c>
      <x:c r="C24" t="str">
        <x:f>Profiles_140!D20</x:f>
        <x:v>共通プロファイル</x:v>
      </x:c>
      <x:c r="D24" t="str">
        <x:f>Profiles_140!B20</x:f>
        <x:v>アタック型</x:v>
      </x:c>
      <x:c r="E24" t="str">
        <x:f>Profiles_140!I20</x:f>
        <x:v>高</x:v>
      </x:c>
      <x:c r="F24" s="66" t="n">
        <x:f>Model_Formula!$M$13*(Profiles_140!K20-Simulator!$L$11)^2*IF(Profiles_140!K20&gt;Simulator!$L$11,1+Model_Formula!$N$13,1)</x:f>
        <x:v>400</x:v>
      </x:c>
      <x:c r="G24" s="66" t="n">
        <x:f>Model_Formula!$M$14*(Profiles_140!L20-Simulator!$L$12)^2*IF(Profiles_140!L20&gt;Simulator!$L$12,1+Model_Formula!$N$14,1)</x:f>
        <x:v>1920</x:v>
      </x:c>
      <x:c r="H24" s="66" t="n">
        <x:f>Model_Formula!$M$15*(Profiles_140!M20-Simulator!$L$13)^2*IF(Profiles_140!M20&gt;Simulator!$L$13,1+Model_Formula!$N$15,1)</x:f>
        <x:v>100</x:v>
      </x:c>
      <x:c r="I24" s="66" t="n">
        <x:f>Model_Formula!$M$16*(Profiles_140!N20-Simulator!$L$14)^2*IF(Profiles_140!N20&gt;Simulator!$L$14,1+Model_Formula!$N$16,1)</x:f>
        <x:v>1600</x:v>
      </x:c>
      <x:c r="J24" s="66" t="n">
        <x:f>Model_Formula!$M$17*(Profiles_140!O20-Simulator!$L$15)^2*IF(Profiles_140!O20&gt;Simulator!$L$15,1+Model_Formula!$N$17,1)</x:f>
        <x:v>2025</x:v>
      </x:c>
      <x:c r="K24" s="66" t="n">
        <x:f>Model_Formula!$M$18*(Profiles_140!P20-Simulator!$L$16)^2*IF(Profiles_140!P20&gt;Simulator!$L$16,1+Model_Formula!$N$18,1)</x:f>
        <x:v>2250</x:v>
      </x:c>
      <x:c r="L24" s="66" t="n">
        <x:f>Model_Formula!$M$19*(Profiles_140!Q20-Simulator!$L$17)^2*IF(Profiles_140!Q20&gt;Simulator!$L$17,1+Model_Formula!$N$19,1)</x:f>
        <x:v>0</x:v>
      </x:c>
      <x:c r="M24" s="66" t="n">
        <x:f>Model_Formula!$M$20*(Profiles_140!R20-Simulator!$L$18)^2*IF(Profiles_140!R20&gt;Simulator!$L$18,1+Model_Formula!$N$20,1)</x:f>
        <x:v>625</x:v>
      </x:c>
      <x:c r="N24" s="66" t="n">
        <x:f>Model_Formula!$M$21*(Profiles_140!S20-Simulator!$L$19)^2*IF(Profiles_140!S20&gt;Simulator!$L$19,1+Model_Formula!$N$21,1)</x:f>
        <x:v>1470</x:v>
      </x:c>
      <x:c r="O24" s="66" t="n">
        <x:f>Model_Formula!$M$22*(Profiles_140!T20-Simulator!$L$20)^2*IF(Profiles_140!T20&gt;Simulator!$L$20,1+Model_Formula!$N$22,1)</x:f>
        <x:v>625</x:v>
      </x:c>
      <x:c r="P24" s="66" t="n">
        <x:f>Model_Formula!$M$23*(Profiles_140!U20-Simulator!$L$21)^2*IF(Profiles_140!U20&gt;Simulator!$L$21,1+Model_Formula!$N$23,1)</x:f>
        <x:v>180</x:v>
      </x:c>
      <x:c r="Q24" s="66" t="n">
        <x:f>Model_Formula!$M$24*(Profiles_140!V20-Simulator!$L$22)^2*IF(Profiles_140!V20&gt;Simulator!$L$22,1+Model_Formula!$N$24,1)</x:f>
        <x:v>280</x:v>
      </x:c>
      <x:c r="R24" s="66" t="n">
        <x:f>Model_Formula!$M$25*(Profiles_140!W20-Simulator!$L$23)^2*IF(Profiles_140!W20&gt;Simulator!$L$23,1+Model_Formula!$N$25,1)</x:f>
        <x:v>135</x:v>
      </x:c>
      <x:c r="S24" s="66" t="n">
        <x:f>Model_Formula!$M$26*(Profiles_140!X20-Simulator!$L$24)^2*IF(Profiles_140!X20&gt;Simulator!$L$24,1+Model_Formula!$N$26,1)</x:f>
        <x:v>511.875</x:v>
      </x:c>
      <x:c r="T24" s="66" t="n">
        <x:f>Model_Formula!$M$27*(Profiles_140!Y20-Simulator!$L$25)^2*IF(Profiles_140!Y20&gt;Simulator!$L$25,1+Model_Formula!$N$27,1)</x:f>
        <x:v>1012.5000000000001</x:v>
      </x:c>
      <x:c r="U24" s="60" t="n">
        <x:f>SUM(F24:T24)/SUM(Model_Formula!$M$13:$M$27)</x:f>
        <x:v>887.4577702702703</x:v>
      </x:c>
      <x:c r="V24" s="60" t="n">
        <x:f>SQRT(U24)</x:f>
        <x:v>29.790229443061868</x:v>
      </x:c>
      <x:c r="W24" s="60" t="n">
        <x:f>MAX(0,100-V24)</x:f>
        <x:v>70.20977055693814</x:v>
      </x:c>
      <x:c r="X24" t="n">
        <x:f>RANK.EQ(W24,$W$6:$W$145,0)+COUNTIF($W$6:W24,W24)-1</x:f>
        <x:v>85</x:v>
      </x:c>
    </x:row>
    <x:row r="25">
      <x:c r="A25" t="str">
        <x:f>Profiles_140!A21</x:f>
        <x:v>シャンデラ</x:v>
      </x:c>
      <x:c r="B25" t="str">
        <x:f>Profiles_140!C21</x:f>
        <x:v>シャンデラ-1</x:v>
      </x:c>
      <x:c r="C25" t="str">
        <x:f>Profiles_140!D21</x:f>
        <x:v>共通プロファイル</x:v>
      </x:c>
      <x:c r="D25" t="str">
        <x:f>Profiles_140!B21</x:f>
        <x:v>アタック型</x:v>
      </x:c>
      <x:c r="E25" t="str">
        <x:f>Profiles_140!I21</x:f>
        <x:v>高</x:v>
      </x:c>
      <x:c r="F25" s="66" t="n">
        <x:f>Model_Formula!$M$13*(Profiles_140!K21-Simulator!$L$11)^2*IF(Profiles_140!K21&gt;Simulator!$L$11,1+Model_Formula!$N$13,1)</x:f>
        <x:v>400</x:v>
      </x:c>
      <x:c r="G25" s="66" t="n">
        <x:f>Model_Formula!$M$14*(Profiles_140!L21-Simulator!$L$12)^2*IF(Profiles_140!L21&gt;Simulator!$L$12,1+Model_Formula!$N$14,1)</x:f>
        <x:v>1920</x:v>
      </x:c>
      <x:c r="H25" s="66" t="n">
        <x:f>Model_Formula!$M$15*(Profiles_140!M21-Simulator!$L$13)^2*IF(Profiles_140!M21&gt;Simulator!$L$13,1+Model_Formula!$N$15,1)</x:f>
        <x:v>100</x:v>
      </x:c>
      <x:c r="I25" s="66" t="n">
        <x:f>Model_Formula!$M$16*(Profiles_140!N21-Simulator!$L$14)^2*IF(Profiles_140!N21&gt;Simulator!$L$14,1+Model_Formula!$N$16,1)</x:f>
        <x:v>1600</x:v>
      </x:c>
      <x:c r="J25" s="66" t="n">
        <x:f>Model_Formula!$M$17*(Profiles_140!O21-Simulator!$L$15)^2*IF(Profiles_140!O21&gt;Simulator!$L$15,1+Model_Formula!$N$17,1)</x:f>
        <x:v>2025</x:v>
      </x:c>
      <x:c r="K25" s="66" t="n">
        <x:f>Model_Formula!$M$18*(Profiles_140!P21-Simulator!$L$16)^2*IF(Profiles_140!P21&gt;Simulator!$L$16,1+Model_Formula!$N$18,1)</x:f>
        <x:v>1822.5</x:v>
      </x:c>
      <x:c r="L25" s="66" t="n">
        <x:f>Model_Formula!$M$19*(Profiles_140!Q21-Simulator!$L$17)^2*IF(Profiles_140!Q21&gt;Simulator!$L$17,1+Model_Formula!$N$19,1)</x:f>
        <x:v>0</x:v>
      </x:c>
      <x:c r="M25" s="66" t="n">
        <x:f>Model_Formula!$M$20*(Profiles_140!R21-Simulator!$L$18)^2*IF(Profiles_140!R21&gt;Simulator!$L$18,1+Model_Formula!$N$20,1)</x:f>
        <x:v>625</x:v>
      </x:c>
      <x:c r="N25" s="66" t="n">
        <x:f>Model_Formula!$M$21*(Profiles_140!S21-Simulator!$L$19)^2*IF(Profiles_140!S21&gt;Simulator!$L$19,1+Model_Formula!$N$21,1)</x:f>
        <x:v>1470</x:v>
      </x:c>
      <x:c r="O25" s="66" t="n">
        <x:f>Model_Formula!$M$22*(Profiles_140!T21-Simulator!$L$20)^2*IF(Profiles_140!T21&gt;Simulator!$L$20,1+Model_Formula!$N$22,1)</x:f>
        <x:v>625</x:v>
      </x:c>
      <x:c r="P25" s="66" t="n">
        <x:f>Model_Formula!$M$23*(Profiles_140!U21-Simulator!$L$21)^2*IF(Profiles_140!U21&gt;Simulator!$L$21,1+Model_Formula!$N$23,1)</x:f>
        <x:v>180</x:v>
      </x:c>
      <x:c r="Q25" s="66" t="n">
        <x:f>Model_Formula!$M$24*(Profiles_140!V21-Simulator!$L$22)^2*IF(Profiles_140!V21&gt;Simulator!$L$22,1+Model_Formula!$N$24,1)</x:f>
        <x:v>280</x:v>
      </x:c>
      <x:c r="R25" s="66" t="n">
        <x:f>Model_Formula!$M$25*(Profiles_140!W21-Simulator!$L$23)^2*IF(Profiles_140!W21&gt;Simulator!$L$23,1+Model_Formula!$N$25,1)</x:f>
        <x:v>135</x:v>
      </x:c>
      <x:c r="S25" s="66" t="n">
        <x:f>Model_Formula!$M$26*(Profiles_140!X21-Simulator!$L$24)^2*IF(Profiles_140!X21&gt;Simulator!$L$24,1+Model_Formula!$N$26,1)</x:f>
        <x:v>511.875</x:v>
      </x:c>
      <x:c r="T25" s="66" t="n">
        <x:f>Model_Formula!$M$27*(Profiles_140!Y21-Simulator!$L$25)^2*IF(Profiles_140!Y21&gt;Simulator!$L$25,1+Model_Formula!$N$27,1)</x:f>
        <x:v>1012.5000000000001</x:v>
      </x:c>
      <x:c r="U25" s="60" t="n">
        <x:f>SUM(F25:T25)/SUM(Model_Formula!$M$13:$M$27)</x:f>
        <x:v>858.5726351351352</x:v>
      </x:c>
      <x:c r="V25" s="60" t="n">
        <x:f>SQRT(U25)</x:f>
        <x:v>29.30141012195719</x:v>
      </x:c>
      <x:c r="W25" s="60" t="n">
        <x:f>MAX(0,100-V25)</x:f>
        <x:v>70.69858987804281</x:v>
      </x:c>
      <x:c r="X25" t="n">
        <x:f>RANK.EQ(W25,$W$6:$W$145,0)+COUNTIF($W$6:W25,W25)-1</x:f>
        <x:v>77</x:v>
      </x:c>
    </x:row>
    <x:row r="26">
      <x:c r="A26" t="str">
        <x:f>Profiles_140!A22</x:f>
        <x:v>ジュナイパー</x:v>
      </x:c>
      <x:c r="B26" t="str">
        <x:f>Profiles_140!C22</x:f>
        <x:v>ジュナイパー-1</x:v>
      </x:c>
      <x:c r="C26" t="str">
        <x:f>Profiles_140!D22</x:f>
        <x:v>かげぬい＋かげうち</x:v>
      </x:c>
      <x:c r="D26" t="str">
        <x:f>Profiles_140!B22</x:f>
        <x:v>アタック型</x:v>
      </x:c>
      <x:c r="E26" t="str">
        <x:f>Profiles_140!I22</x:f>
        <x:v>高</x:v>
      </x:c>
      <x:c r="F26" s="66" t="n">
        <x:f>Model_Formula!$M$13*(Profiles_140!K22-Simulator!$L$11)^2*IF(Profiles_140!K22&gt;Simulator!$L$11,1+Model_Formula!$N$13,1)</x:f>
        <x:v>900</x:v>
      </x:c>
      <x:c r="G26" s="66" t="n">
        <x:f>Model_Formula!$M$14*(Profiles_140!L22-Simulator!$L$12)^2*IF(Profiles_140!L22&gt;Simulator!$L$12,1+Model_Formula!$N$14,1)</x:f>
        <x:v>2430</x:v>
      </x:c>
      <x:c r="H26" s="66" t="n">
        <x:f>Model_Formula!$M$15*(Profiles_140!M22-Simulator!$L$13)^2*IF(Profiles_140!M22&gt;Simulator!$L$13,1+Model_Formula!$N$15,1)</x:f>
        <x:v>900</x:v>
      </x:c>
      <x:c r="I26" s="66" t="n">
        <x:f>Model_Formula!$M$16*(Profiles_140!N22-Simulator!$L$14)^2*IF(Profiles_140!N22&gt;Simulator!$L$14,1+Model_Formula!$N$16,1)</x:f>
        <x:v>2025</x:v>
      </x:c>
      <x:c r="J26" s="66" t="n">
        <x:f>Model_Formula!$M$17*(Profiles_140!O22-Simulator!$L$15)^2*IF(Profiles_140!O22&gt;Simulator!$L$15,1+Model_Formula!$N$17,1)</x:f>
        <x:v>2500</x:v>
      </x:c>
      <x:c r="K26" s="66" t="n">
        <x:f>Model_Formula!$M$18*(Profiles_140!P22-Simulator!$L$16)^2*IF(Profiles_140!P22&gt;Simulator!$L$16,1+Model_Formula!$N$18,1)</x:f>
        <x:v>2250</x:v>
      </x:c>
      <x:c r="L26" s="66" t="n">
        <x:f>Model_Formula!$M$19*(Profiles_140!Q22-Simulator!$L$17)^2*IF(Profiles_140!Q22&gt;Simulator!$L$17,1+Model_Formula!$N$19,1)</x:f>
        <x:v>90</x:v>
      </x:c>
      <x:c r="M26" s="66" t="n">
        <x:f>Model_Formula!$M$20*(Profiles_140!R22-Simulator!$L$18)^2*IF(Profiles_140!R22&gt;Simulator!$L$18,1+Model_Formula!$N$20,1)</x:f>
        <x:v>25</x:v>
      </x:c>
      <x:c r="N26" s="66" t="n">
        <x:f>Model_Formula!$M$21*(Profiles_140!S22-Simulator!$L$19)^2*IF(Profiles_140!S22&gt;Simulator!$L$19,1+Model_Formula!$N$21,1)</x:f>
        <x:v>1920</x:v>
      </x:c>
      <x:c r="O26" s="66" t="n">
        <x:f>Model_Formula!$M$22*(Profiles_140!T22-Simulator!$L$20)^2*IF(Profiles_140!T22&gt;Simulator!$L$20,1+Model_Formula!$N$22,1)</x:f>
        <x:v>900</x:v>
      </x:c>
      <x:c r="P26" s="66" t="n">
        <x:f>Model_Formula!$M$23*(Profiles_140!U22-Simulator!$L$21)^2*IF(Profiles_140!U22&gt;Simulator!$L$21,1+Model_Formula!$N$23,1)</x:f>
        <x:v>320</x:v>
      </x:c>
      <x:c r="Q26" s="66" t="n">
        <x:f>Model_Formula!$M$24*(Profiles_140!V22-Simulator!$L$22)^2*IF(Profiles_140!V22&gt;Simulator!$L$22,1+Model_Formula!$N$24,1)</x:f>
        <x:v>857.5</x:v>
      </x:c>
      <x:c r="R26" s="66" t="n">
        <x:f>Model_Formula!$M$25*(Profiles_140!W22-Simulator!$L$23)^2*IF(Profiles_140!W22&gt;Simulator!$L$23,1+Model_Formula!$N$25,1)</x:f>
        <x:v>240</x:v>
      </x:c>
      <x:c r="S26" s="66" t="n">
        <x:f>Model_Formula!$M$26*(Profiles_140!X22-Simulator!$L$24)^2*IF(Profiles_140!X22&gt;Simulator!$L$24,1+Model_Formula!$N$26,1)</x:f>
        <x:v>4606.875</x:v>
      </x:c>
      <x:c r="T26" s="66" t="n">
        <x:f>Model_Formula!$M$27*(Profiles_140!Y22-Simulator!$L$25)^2*IF(Profiles_140!Y22&gt;Simulator!$L$25,1+Model_Formula!$N$27,1)</x:f>
        <x:v>1458</x:v>
      </x:c>
      <x:c r="U26" s="60" t="n">
        <x:f>SUM(F26:T26)/SUM(Model_Formula!$M$13:$M$27)</x:f>
        <x:v>1447.4577702702704</x:v>
      </x:c>
      <x:c r="V26" s="60" t="n">
        <x:f>SQRT(U26)</x:f>
        <x:v>38.045469773289305</x:v>
      </x:c>
      <x:c r="W26" s="60" t="n">
        <x:f>MAX(0,100-V26)</x:f>
        <x:v>61.954530226710695</x:v>
      </x:c>
      <x:c r="X26" t="n">
        <x:f>RANK.EQ(W26,$W$6:$W$145,0)+COUNTIF($W$6:W26,W26)-1</x:f>
        <x:v>139</x:v>
      </x:c>
    </x:row>
    <x:row r="27">
      <x:c r="A27" t="str">
        <x:f>Profiles_140!A23</x:f>
        <x:v>ジュナイパー</x:v>
      </x:c>
      <x:c r="B27" t="str">
        <x:f>Profiles_140!C23</x:f>
        <x:v>ジュナイパー-2</x:v>
      </x:c>
      <x:c r="C27" t="str">
        <x:f>Profiles_140!D23</x:f>
        <x:v>はっぱカッター＋リーフストーム</x:v>
      </x:c>
      <x:c r="D27" t="str">
        <x:f>Profiles_140!B23</x:f>
        <x:v>アタック型</x:v>
      </x:c>
      <x:c r="E27" t="str">
        <x:f>Profiles_140!I23</x:f>
        <x:v>高</x:v>
      </x:c>
      <x:c r="F27" s="66" t="n">
        <x:f>Model_Formula!$M$13*(Profiles_140!K23-Simulator!$L$11)^2*IF(Profiles_140!K23&gt;Simulator!$L$11,1+Model_Formula!$N$13,1)</x:f>
        <x:v>900</x:v>
      </x:c>
      <x:c r="G27" s="66" t="n">
        <x:f>Model_Formula!$M$14*(Profiles_140!L23-Simulator!$L$12)^2*IF(Profiles_140!L23&gt;Simulator!$L$12,1+Model_Formula!$N$14,1)</x:f>
        <x:v>1920</x:v>
      </x:c>
      <x:c r="H27" s="66" t="n">
        <x:f>Model_Formula!$M$15*(Profiles_140!M23-Simulator!$L$13)^2*IF(Profiles_140!M23&gt;Simulator!$L$13,1+Model_Formula!$N$15,1)</x:f>
        <x:v>625</x:v>
      </x:c>
      <x:c r="I27" s="66" t="n">
        <x:f>Model_Formula!$M$16*(Profiles_140!N23-Simulator!$L$14)^2*IF(Profiles_140!N23&gt;Simulator!$L$14,1+Model_Formula!$N$16,1)</x:f>
        <x:v>1600</x:v>
      </x:c>
      <x:c r="J27" s="66" t="n">
        <x:f>Model_Formula!$M$17*(Profiles_140!O23-Simulator!$L$15)^2*IF(Profiles_140!O23&gt;Simulator!$L$15,1+Model_Formula!$N$17,1)</x:f>
        <x:v>100</x:v>
      </x:c>
      <x:c r="K27" s="66" t="n">
        <x:f>Model_Formula!$M$18*(Profiles_140!P23-Simulator!$L$16)^2*IF(Profiles_140!P23&gt;Simulator!$L$16,1+Model_Formula!$N$18,1)</x:f>
        <x:v>0</x:v>
      </x:c>
      <x:c r="L27" s="66" t="n">
        <x:f>Model_Formula!$M$19*(Profiles_140!Q23-Simulator!$L$17)^2*IF(Profiles_140!Q23&gt;Simulator!$L$17,1+Model_Formula!$N$19,1)</x:f>
        <x:v>2250</x:v>
      </x:c>
      <x:c r="M27" s="66" t="n">
        <x:f>Model_Formula!$M$20*(Profiles_140!R23-Simulator!$L$18)^2*IF(Profiles_140!R23&gt;Simulator!$L$18,1+Model_Formula!$N$20,1)</x:f>
        <x:v>900</x:v>
      </x:c>
      <x:c r="N27" s="66" t="n">
        <x:f>Model_Formula!$M$21*(Profiles_140!S23-Simulator!$L$19)^2*IF(Profiles_140!S23&gt;Simulator!$L$19,1+Model_Formula!$N$21,1)</x:f>
        <x:v>1920</x:v>
      </x:c>
      <x:c r="O27" s="66" t="n">
        <x:f>Model_Formula!$M$22*(Profiles_140!T23-Simulator!$L$20)^2*IF(Profiles_140!T23&gt;Simulator!$L$20,1+Model_Formula!$N$22,1)</x:f>
        <x:v>25</x:v>
      </x:c>
      <x:c r="P27" s="66" t="n">
        <x:f>Model_Formula!$M$23*(Profiles_140!U23-Simulator!$L$21)^2*IF(Profiles_140!U23&gt;Simulator!$L$21,1+Model_Formula!$N$23,1)</x:f>
        <x:v>980</x:v>
      </x:c>
      <x:c r="Q27" s="66" t="n">
        <x:f>Model_Formula!$M$24*(Profiles_140!V23-Simulator!$L$22)^2*IF(Profiles_140!V23&gt;Simulator!$L$22,1+Model_Formula!$N$24,1)</x:f>
        <x:v>1750</x:v>
      </x:c>
      <x:c r="R27" s="66" t="n">
        <x:f>Model_Formula!$M$25*(Profiles_140!W23-Simulator!$L$23)^2*IF(Profiles_140!W23&gt;Simulator!$L$23,1+Model_Formula!$N$25,1)</x:f>
        <x:v>0</x:v>
      </x:c>
      <x:c r="S27" s="66" t="n">
        <x:f>Model_Formula!$M$26*(Profiles_140!X23-Simulator!$L$24)^2*IF(Profiles_140!X23&gt;Simulator!$L$24,1+Model_Formula!$N$26,1)</x:f>
        <x:v>511.875</x:v>
      </x:c>
      <x:c r="T27" s="66" t="n">
        <x:f>Model_Formula!$M$27*(Profiles_140!Y23-Simulator!$L$25)^2*IF(Profiles_140!Y23&gt;Simulator!$L$25,1+Model_Formula!$N$27,1)</x:f>
        <x:v>648</x:v>
      </x:c>
      <x:c r="U27" s="60" t="n">
        <x:f>SUM(F27:T27)/SUM(Model_Formula!$M$13:$M$27)</x:f>
        <x:v>954.7212837837839</x:v>
      </x:c>
      <x:c r="V27" s="60" t="n">
        <x:f>SQRT(U27)</x:f>
        <x:v>30.89856442917347</x:v>
      </x:c>
      <x:c r="W27" s="60" t="n">
        <x:f>MAX(0,100-V27)</x:f>
        <x:v>69.10143557082654</x:v>
      </x:c>
      <x:c r="X27" t="n">
        <x:f>RANK.EQ(W27,$W$6:$W$145,0)+COUNTIF($W$6:W27,W27)-1</x:f>
        <x:v>104</x:v>
      </x:c>
    </x:row>
    <x:row r="28">
      <x:c r="A28" t="str">
        <x:f>Profiles_140!A24</x:f>
        <x:v>ジュラルドン</x:v>
      </x:c>
      <x:c r="B28" t="str">
        <x:f>Profiles_140!C24</x:f>
        <x:v>ジュラルドン-1</x:v>
      </x:c>
      <x:c r="C28" t="str">
        <x:f>Profiles_140!D24</x:f>
        <x:v>ラスターカノン＋ドラゴンテール</x:v>
      </x:c>
      <x:c r="D28" t="str">
        <x:f>Profiles_140!B24</x:f>
        <x:v>アタック型</x:v>
      </x:c>
      <x:c r="E28" t="str">
        <x:f>Profiles_140!I24</x:f>
        <x:v>高</x:v>
      </x:c>
      <x:c r="F28" s="66" t="n">
        <x:f>Model_Formula!$M$13*(Profiles_140!K24-Simulator!$L$11)^2*IF(Profiles_140!K24&gt;Simulator!$L$11,1+Model_Formula!$N$13,1)</x:f>
        <x:v>900</x:v>
      </x:c>
      <x:c r="G28" s="66" t="n">
        <x:f>Model_Formula!$M$14*(Profiles_140!L24-Simulator!$L$12)^2*IF(Profiles_140!L24&gt;Simulator!$L$12,1+Model_Formula!$N$14,1)</x:f>
        <x:v>1920</x:v>
      </x:c>
      <x:c r="H28" s="66" t="n">
        <x:f>Model_Formula!$M$15*(Profiles_140!M24-Simulator!$L$13)^2*IF(Profiles_140!M24&gt;Simulator!$L$13,1+Model_Formula!$N$15,1)</x:f>
        <x:v>900</x:v>
      </x:c>
      <x:c r="I28" s="66" t="n">
        <x:f>Model_Formula!$M$16*(Profiles_140!N24-Simulator!$L$14)^2*IF(Profiles_140!N24&gt;Simulator!$L$14,1+Model_Formula!$N$16,1)</x:f>
        <x:v>2500</x:v>
      </x:c>
      <x:c r="J28" s="66" t="n">
        <x:f>Model_Formula!$M$17*(Profiles_140!O24-Simulator!$L$15)^2*IF(Profiles_140!O24&gt;Simulator!$L$15,1+Model_Formula!$N$17,1)</x:f>
        <x:v>2025</x:v>
      </x:c>
      <x:c r="K28" s="66" t="n">
        <x:f>Model_Formula!$M$18*(Profiles_140!P24-Simulator!$L$16)^2*IF(Profiles_140!P24&gt;Simulator!$L$16,1+Model_Formula!$N$18,1)</x:f>
        <x:v>90</x:v>
      </x:c>
      <x:c r="L28" s="66" t="n">
        <x:f>Model_Formula!$M$19*(Profiles_140!Q24-Simulator!$L$17)^2*IF(Profiles_140!Q24&gt;Simulator!$L$17,1+Model_Formula!$N$19,1)</x:f>
        <x:v>1440</x:v>
      </x:c>
      <x:c r="M28" s="66" t="n">
        <x:f>Model_Formula!$M$20*(Profiles_140!R24-Simulator!$L$18)^2*IF(Profiles_140!R24&gt;Simulator!$L$18,1+Model_Formula!$N$20,1)</x:f>
        <x:v>225</x:v>
      </x:c>
      <x:c r="N28" s="66" t="n">
        <x:f>Model_Formula!$M$21*(Profiles_140!S24-Simulator!$L$19)^2*IF(Profiles_140!S24&gt;Simulator!$L$19,1+Model_Formula!$N$21,1)</x:f>
        <x:v>1920</x:v>
      </x:c>
      <x:c r="O28" s="66" t="n">
        <x:f>Model_Formula!$M$22*(Profiles_140!T24-Simulator!$L$20)^2*IF(Profiles_140!T24&gt;Simulator!$L$20,1+Model_Formula!$N$22,1)</x:f>
        <x:v>625</x:v>
      </x:c>
      <x:c r="P28" s="66" t="n">
        <x:f>Model_Formula!$M$23*(Profiles_140!U24-Simulator!$L$21)^2*IF(Profiles_140!U24&gt;Simulator!$L$21,1+Model_Formula!$N$23,1)</x:f>
        <x:v>720</x:v>
      </x:c>
      <x:c r="Q28" s="66" t="n">
        <x:f>Model_Formula!$M$24*(Profiles_140!V24-Simulator!$L$22)^2*IF(Profiles_140!V24&gt;Simulator!$L$22,1+Model_Formula!$N$24,1)</x:f>
        <x:v>1417.5</x:v>
      </x:c>
      <x:c r="R28" s="66" t="n">
        <x:f>Model_Formula!$M$25*(Profiles_140!W24-Simulator!$L$23)^2*IF(Profiles_140!W24&gt;Simulator!$L$23,1+Model_Formula!$N$25,1)</x:f>
        <x:v>15</x:v>
      </x:c>
      <x:c r="S28" s="66" t="n">
        <x:f>Model_Formula!$M$26*(Profiles_140!X24-Simulator!$L$24)^2*IF(Profiles_140!X24&gt;Simulator!$L$24,1+Model_Formula!$N$26,1)</x:f>
        <x:v>910</x:v>
      </x:c>
      <x:c r="T28" s="66" t="n">
        <x:f>Model_Formula!$M$27*(Profiles_140!Y24-Simulator!$L$25)^2*IF(Profiles_140!Y24&gt;Simulator!$L$25,1+Model_Formula!$N$27,1)</x:f>
        <x:v>1012.5000000000001</x:v>
      </x:c>
      <x:c r="U28" s="60" t="n">
        <x:f>SUM(F28:T28)/SUM(Model_Formula!$M$13:$M$27)</x:f>
        <x:v>1122.9729729729731</x:v>
      </x:c>
      <x:c r="V28" s="60" t="n">
        <x:f>SQRT(U28)</x:f>
        <x:v>33.510788904067496</x:v>
      </x:c>
      <x:c r="W28" s="60" t="n">
        <x:f>MAX(0,100-V28)</x:f>
        <x:v>66.4892110959325</x:v>
      </x:c>
      <x:c r="X28" t="n">
        <x:f>RANK.EQ(W28,$W$6:$W$145,0)+COUNTIF($W$6:W28,W28)-1</x:f>
        <x:v>120</x:v>
      </x:c>
    </x:row>
    <x:row r="29">
      <x:c r="A29" t="str">
        <x:f>Profiles_140!A25</x:f>
        <x:v>ジュラルドン</x:v>
      </x:c>
      <x:c r="B29" t="str">
        <x:f>Profiles_140!C25</x:f>
        <x:v>ジュラルドン-2</x:v>
      </x:c>
      <x:c r="C29" t="str">
        <x:f>Profiles_140!D25</x:f>
        <x:v>りゅうのはどう＋ステルスロック</x:v>
      </x:c>
      <x:c r="D29" t="str">
        <x:f>Profiles_140!B25</x:f>
        <x:v>アタック型</x:v>
      </x:c>
      <x:c r="E29" t="str">
        <x:f>Profiles_140!I25</x:f>
        <x:v>高</x:v>
      </x:c>
      <x:c r="F29" s="66" t="n">
        <x:f>Model_Formula!$M$13*(Profiles_140!K25-Simulator!$L$11)^2*IF(Profiles_140!K25&gt;Simulator!$L$11,1+Model_Formula!$N$13,1)</x:f>
        <x:v>225</x:v>
      </x:c>
      <x:c r="G29" s="66" t="n">
        <x:f>Model_Formula!$M$14*(Profiles_140!L25-Simulator!$L$12)^2*IF(Profiles_140!L25&gt;Simulator!$L$12,1+Model_Formula!$N$14,1)</x:f>
        <x:v>480</x:v>
      </x:c>
      <x:c r="H29" s="66" t="n">
        <x:f>Model_Formula!$M$15*(Profiles_140!M25-Simulator!$L$13)^2*IF(Profiles_140!M25&gt;Simulator!$L$13,1+Model_Formula!$N$15,1)</x:f>
        <x:v>400</x:v>
      </x:c>
      <x:c r="I29" s="66" t="n">
        <x:f>Model_Formula!$M$16*(Profiles_140!N25-Simulator!$L$14)^2*IF(Profiles_140!N25&gt;Simulator!$L$14,1+Model_Formula!$N$16,1)</x:f>
        <x:v>625</x:v>
      </x:c>
      <x:c r="J29" s="66" t="n">
        <x:f>Model_Formula!$M$17*(Profiles_140!O25-Simulator!$L$15)^2*IF(Profiles_140!O25&gt;Simulator!$L$15,1+Model_Formula!$N$17,1)</x:f>
        <x:v>100</x:v>
      </x:c>
      <x:c r="K29" s="66" t="n">
        <x:f>Model_Formula!$M$18*(Profiles_140!P25-Simulator!$L$16)^2*IF(Profiles_140!P25&gt;Simulator!$L$16,1+Model_Formula!$N$18,1)</x:f>
        <x:v>562.5</x:v>
      </x:c>
      <x:c r="L29" s="66" t="n">
        <x:f>Model_Formula!$M$19*(Profiles_140!Q25-Simulator!$L$17)^2*IF(Profiles_140!Q25&gt;Simulator!$L$17,1+Model_Formula!$N$19,1)</x:f>
        <x:v>1440</x:v>
      </x:c>
      <x:c r="M29" s="66" t="n">
        <x:f>Model_Formula!$M$20*(Profiles_140!R25-Simulator!$L$18)^2*IF(Profiles_140!R25&gt;Simulator!$L$18,1+Model_Formula!$N$20,1)</x:f>
        <x:v>25</x:v>
      </x:c>
      <x:c r="N29" s="66" t="n">
        <x:f>Model_Formula!$M$21*(Profiles_140!S25-Simulator!$L$19)^2*IF(Profiles_140!S25&gt;Simulator!$L$19,1+Model_Formula!$N$21,1)</x:f>
        <x:v>1920</x:v>
      </x:c>
      <x:c r="O29" s="66" t="n">
        <x:f>Model_Formula!$M$22*(Profiles_140!T25-Simulator!$L$20)^2*IF(Profiles_140!T25&gt;Simulator!$L$20,1+Model_Formula!$N$22,1)</x:f>
        <x:v>25</x:v>
      </x:c>
      <x:c r="P29" s="66" t="n">
        <x:f>Model_Formula!$M$23*(Profiles_140!U25-Simulator!$L$21)^2*IF(Profiles_140!U25&gt;Simulator!$L$21,1+Model_Formula!$N$23,1)</x:f>
        <x:v>500</x:v>
      </x:c>
      <x:c r="Q29" s="66" t="n">
        <x:f>Model_Formula!$M$24*(Profiles_140!V25-Simulator!$L$22)^2*IF(Profiles_140!V25&gt;Simulator!$L$22,1+Model_Formula!$N$24,1)</x:f>
        <x:v>857.5</x:v>
      </x:c>
      <x:c r="R29" s="66" t="n">
        <x:f>Model_Formula!$M$25*(Profiles_140!W25-Simulator!$L$23)^2*IF(Profiles_140!W25&gt;Simulator!$L$23,1+Model_Formula!$N$25,1)</x:f>
        <x:v>15</x:v>
      </x:c>
      <x:c r="S29" s="66" t="n">
        <x:f>Model_Formula!$M$26*(Profiles_140!X25-Simulator!$L$24)^2*IF(Profiles_140!X25&gt;Simulator!$L$24,1+Model_Formula!$N$26,1)</x:f>
        <x:v>1421.875</x:v>
      </x:c>
      <x:c r="T29" s="66" t="n">
        <x:f>Model_Formula!$M$27*(Profiles_140!Y25-Simulator!$L$25)^2*IF(Profiles_140!Y25&gt;Simulator!$L$25,1+Model_Formula!$N$27,1)</x:f>
        <x:v>648</x:v>
      </x:c>
      <x:c r="U29" s="60" t="n">
        <x:f>SUM(F29:T29)/SUM(Model_Formula!$M$13:$M$27)</x:f>
        <x:v>624.6537162162163</x:v>
      </x:c>
      <x:c r="V29" s="60" t="n">
        <x:f>SQRT(U29)</x:f>
        <x:v>24.99307336475881</x:v>
      </x:c>
      <x:c r="W29" s="60" t="n">
        <x:f>MAX(0,100-V29)</x:f>
        <x:v>75.00692663524119</x:v>
      </x:c>
      <x:c r="X29" t="n">
        <x:f>RANK.EQ(W29,$W$6:$W$145,0)+COUNTIF($W$6:W29,W29)-1</x:f>
        <x:v>36</x:v>
      </x:c>
    </x:row>
    <x:row r="30">
      <x:c r="A30" t="str">
        <x:f>Profiles_140!A26</x:f>
        <x:v>ドラパルト</x:v>
      </x:c>
      <x:c r="B30" t="str">
        <x:f>Profiles_140!C26</x:f>
        <x:v>ドラパルト-1</x:v>
      </x:c>
      <x:c r="C30" t="str">
        <x:f>Profiles_140!D26</x:f>
        <x:v>りゅうのいぶき＋りゅうのまい</x:v>
      </x:c>
      <x:c r="D30" t="str">
        <x:f>Profiles_140!B26</x:f>
        <x:v>アタック型</x:v>
      </x:c>
      <x:c r="E30" t="str">
        <x:f>Profiles_140!I26</x:f>
        <x:v>高</x:v>
      </x:c>
      <x:c r="F30" s="66" t="n">
        <x:f>Model_Formula!$M$13*(Profiles_140!K26-Simulator!$L$11)^2*IF(Profiles_140!K26&gt;Simulator!$L$11,1+Model_Formula!$N$13,1)</x:f>
        <x:v>225</x:v>
      </x:c>
      <x:c r="G30" s="66" t="n">
        <x:f>Model_Formula!$M$14*(Profiles_140!L26-Simulator!$L$12)^2*IF(Profiles_140!L26&gt;Simulator!$L$12,1+Model_Formula!$N$14,1)</x:f>
        <x:v>120</x:v>
      </x:c>
      <x:c r="H30" s="66" t="n">
        <x:f>Model_Formula!$M$15*(Profiles_140!M26-Simulator!$L$13)^2*IF(Profiles_140!M26&gt;Simulator!$L$13,1+Model_Formula!$N$15,1)</x:f>
        <x:v>900</x:v>
      </x:c>
      <x:c r="I30" s="66" t="n">
        <x:f>Model_Formula!$M$16*(Profiles_140!N26-Simulator!$L$14)^2*IF(Profiles_140!N26&gt;Simulator!$L$14,1+Model_Formula!$N$16,1)</x:f>
        <x:v>900</x:v>
      </x:c>
      <x:c r="J30" s="66" t="n">
        <x:f>Model_Formula!$M$17*(Profiles_140!O26-Simulator!$L$15)^2*IF(Profiles_140!O26&gt;Simulator!$L$15,1+Model_Formula!$N$17,1)</x:f>
        <x:v>100</x:v>
      </x:c>
      <x:c r="K30" s="66" t="n">
        <x:f>Model_Formula!$M$18*(Profiles_140!P26-Simulator!$L$16)^2*IF(Profiles_140!P26&gt;Simulator!$L$16,1+Model_Formula!$N$18,1)</x:f>
        <x:v>22.5</x:v>
      </x:c>
      <x:c r="L30" s="66" t="n">
        <x:f>Model_Formula!$M$19*(Profiles_140!Q26-Simulator!$L$17)^2*IF(Profiles_140!Q26&gt;Simulator!$L$17,1+Model_Formula!$N$19,1)</x:f>
        <x:v>2250</x:v>
      </x:c>
      <x:c r="M30" s="66" t="n">
        <x:f>Model_Formula!$M$20*(Profiles_140!R26-Simulator!$L$18)^2*IF(Profiles_140!R26&gt;Simulator!$L$18,1+Model_Formula!$N$20,1)</x:f>
        <x:v>625</x:v>
      </x:c>
      <x:c r="N30" s="66" t="n">
        <x:f>Model_Formula!$M$21*(Profiles_140!S26-Simulator!$L$19)^2*IF(Profiles_140!S26&gt;Simulator!$L$19,1+Model_Formula!$N$21,1)</x:f>
        <x:v>1920</x:v>
      </x:c>
      <x:c r="O30" s="66" t="n">
        <x:f>Model_Formula!$M$22*(Profiles_140!T26-Simulator!$L$20)^2*IF(Profiles_140!T26&gt;Simulator!$L$20,1+Model_Formula!$N$22,1)</x:f>
        <x:v>400</x:v>
      </x:c>
      <x:c r="P30" s="66" t="n">
        <x:f>Model_Formula!$M$23*(Profiles_140!U26-Simulator!$L$21)^2*IF(Profiles_140!U26&gt;Simulator!$L$21,1+Model_Formula!$N$23,1)</x:f>
        <x:v>720</x:v>
      </x:c>
      <x:c r="Q30" s="66" t="n">
        <x:f>Model_Formula!$M$24*(Profiles_140!V26-Simulator!$L$22)^2*IF(Profiles_140!V26&gt;Simulator!$L$22,1+Model_Formula!$N$24,1)</x:f>
        <x:v>1120</x:v>
      </x:c>
      <x:c r="R30" s="66" t="n">
        <x:f>Model_Formula!$M$25*(Profiles_140!W26-Simulator!$L$23)^2*IF(Profiles_140!W26&gt;Simulator!$L$23,1+Model_Formula!$N$25,1)</x:f>
        <x:v>15</x:v>
      </x:c>
      <x:c r="S30" s="66" t="n">
        <x:f>Model_Formula!$M$26*(Profiles_140!X26-Simulator!$L$24)^2*IF(Profiles_140!X26&gt;Simulator!$L$24,1+Model_Formula!$N$26,1)</x:f>
        <x:v>1421.875</x:v>
      </x:c>
      <x:c r="T30" s="66" t="n">
        <x:f>Model_Formula!$M$27*(Profiles_140!Y26-Simulator!$L$25)^2*IF(Profiles_140!Y26&gt;Simulator!$L$25,1+Model_Formula!$N$27,1)</x:f>
        <x:v>648</x:v>
      </x:c>
      <x:c r="U30" s="60" t="n">
        <x:f>SUM(F30:T30)/SUM(Model_Formula!$M$13:$M$27)</x:f>
        <x:v>769.4172297297298</x:v>
      </x:c>
      <x:c r="V30" s="60" t="n">
        <x:f>SQRT(U30)</x:f>
        <x:v>27.738371072031786</x:v>
      </x:c>
      <x:c r="W30" s="60" t="n">
        <x:f>MAX(0,100-V30)</x:f>
        <x:v>72.26162892796822</x:v>
      </x:c>
      <x:c r="X30" t="n">
        <x:f>RANK.EQ(W30,$W$6:$W$145,0)+COUNTIF($W$6:W30,W30)-1</x:f>
        <x:v>62</x:v>
      </x:c>
    </x:row>
    <x:row r="31">
      <x:c r="A31" t="str">
        <x:f>Profiles_140!A27</x:f>
        <x:v>ドラパルト</x:v>
      </x:c>
      <x:c r="B31" t="str">
        <x:f>Profiles_140!C27</x:f>
        <x:v>ドラパルト-2</x:v>
      </x:c>
      <x:c r="C31" t="str">
        <x:f>Profiles_140!D27</x:f>
        <x:v>シャドーボール＋ゴーストダイブ</x:v>
      </x:c>
      <x:c r="D31" t="str">
        <x:f>Profiles_140!B27</x:f>
        <x:v>アタック型</x:v>
      </x:c>
      <x:c r="E31" t="str">
        <x:f>Profiles_140!I27</x:f>
        <x:v>高</x:v>
      </x:c>
      <x:c r="F31" s="66" t="n">
        <x:f>Model_Formula!$M$13*(Profiles_140!K27-Simulator!$L$11)^2*IF(Profiles_140!K27&gt;Simulator!$L$11,1+Model_Formula!$N$13,1)</x:f>
        <x:v>100</x:v>
      </x:c>
      <x:c r="G31" s="66" t="n">
        <x:f>Model_Formula!$M$14*(Profiles_140!L27-Simulator!$L$12)^2*IF(Profiles_140!L27&gt;Simulator!$L$12,1+Model_Formula!$N$14,1)</x:f>
        <x:v>552</x:v>
      </x:c>
      <x:c r="H31" s="66" t="n">
        <x:f>Model_Formula!$M$15*(Profiles_140!M27-Simulator!$L$13)^2*IF(Profiles_140!M27&gt;Simulator!$L$13,1+Model_Formula!$N$15,1)</x:f>
        <x:v>1225</x:v>
      </x:c>
      <x:c r="I31" s="66" t="n">
        <x:f>Model_Formula!$M$16*(Profiles_140!N27-Simulator!$L$14)^2*IF(Profiles_140!N27&gt;Simulator!$L$14,1+Model_Formula!$N$16,1)</x:f>
        <x:v>1600</x:v>
      </x:c>
      <x:c r="J31" s="66" t="n">
        <x:f>Model_Formula!$M$17*(Profiles_140!O27-Simulator!$L$15)^2*IF(Profiles_140!O27&gt;Simulator!$L$15,1+Model_Formula!$N$17,1)</x:f>
        <x:v>100</x:v>
      </x:c>
      <x:c r="K31" s="66" t="n">
        <x:f>Model_Formula!$M$18*(Profiles_140!P27-Simulator!$L$16)^2*IF(Profiles_140!P27&gt;Simulator!$L$16,1+Model_Formula!$N$18,1)</x:f>
        <x:v>1822.5</x:v>
      </x:c>
      <x:c r="L31" s="66" t="n">
        <x:f>Model_Formula!$M$19*(Profiles_140!Q27-Simulator!$L$17)^2*IF(Profiles_140!Q27&gt;Simulator!$L$17,1+Model_Formula!$N$19,1)</x:f>
        <x:v>360</x:v>
      </x:c>
      <x:c r="M31" s="66" t="n">
        <x:f>Model_Formula!$M$20*(Profiles_140!R27-Simulator!$L$18)^2*IF(Profiles_140!R27&gt;Simulator!$L$18,1+Model_Formula!$N$20,1)</x:f>
        <x:v>900</x:v>
      </x:c>
      <x:c r="N31" s="66" t="n">
        <x:f>Model_Formula!$M$21*(Profiles_140!S27-Simulator!$L$19)^2*IF(Profiles_140!S27&gt;Simulator!$L$19,1+Model_Formula!$N$21,1)</x:f>
        <x:v>1920</x:v>
      </x:c>
      <x:c r="O31" s="66" t="n">
        <x:f>Model_Formula!$M$22*(Profiles_140!T27-Simulator!$L$20)^2*IF(Profiles_140!T27&gt;Simulator!$L$20,1+Model_Formula!$N$22,1)</x:f>
        <x:v>1600</x:v>
      </x:c>
      <x:c r="P31" s="66" t="n">
        <x:f>Model_Formula!$M$23*(Profiles_140!U27-Simulator!$L$21)^2*IF(Profiles_140!U27&gt;Simulator!$L$21,1+Model_Formula!$N$23,1)</x:f>
        <x:v>320</x:v>
      </x:c>
      <x:c r="Q31" s="66" t="n">
        <x:f>Model_Formula!$M$24*(Profiles_140!V27-Simulator!$L$22)^2*IF(Profiles_140!V27&gt;Simulator!$L$22,1+Model_Formula!$N$24,1)</x:f>
        <x:v>630</x:v>
      </x:c>
      <x:c r="R31" s="66" t="n">
        <x:f>Model_Formula!$M$25*(Profiles_140!W27-Simulator!$L$23)^2*IF(Profiles_140!W27&gt;Simulator!$L$23,1+Model_Formula!$N$25,1)</x:f>
        <x:v>540</x:v>
      </x:c>
      <x:c r="S31" s="66" t="n">
        <x:f>Model_Formula!$M$26*(Profiles_140!X27-Simulator!$L$24)^2*IF(Profiles_140!X27&gt;Simulator!$L$24,1+Model_Formula!$N$26,1)</x:f>
        <x:v>1421.875</x:v>
      </x:c>
      <x:c r="T31" s="66" t="n">
        <x:f>Model_Formula!$M$27*(Profiles_140!Y27-Simulator!$L$25)^2*IF(Profiles_140!Y27&gt;Simulator!$L$25,1+Model_Formula!$N$27,1)</x:f>
        <x:v>1012.5000000000001</x:v>
      </x:c>
      <x:c r="U31" s="60" t="n">
        <x:f>SUM(F31:T31)/SUM(Model_Formula!$M$13:$M$27)</x:f>
        <x:v>952.9645270270271</x:v>
      </x:c>
      <x:c r="V31" s="60" t="n">
        <x:f>SQRT(U31)</x:f>
        <x:v>30.870123534366154</x:v>
      </x:c>
      <x:c r="W31" s="60" t="n">
        <x:f>MAX(0,100-V31)</x:f>
        <x:v>69.12987646563384</x:v>
      </x:c>
      <x:c r="X31" t="n">
        <x:f>RANK.EQ(W31,$W$6:$W$145,0)+COUNTIF($W$6:W31,W31)-1</x:f>
        <x:v>103</x:v>
      </x:c>
    </x:row>
    <x:row r="32">
      <x:c r="A32" t="str">
        <x:f>Profiles_140!A28</x:f>
        <x:v>ニンフィア</x:v>
      </x:c>
      <x:c r="B32" t="str">
        <x:f>Profiles_140!C28</x:f>
        <x:v>ニンフィア-1</x:v>
      </x:c>
      <x:c r="C32" t="str">
        <x:f>Profiles_140!D28</x:f>
        <x:v>ハイパーボイス＋めいそう</x:v>
      </x:c>
      <x:c r="D32" t="str">
        <x:f>Profiles_140!B28</x:f>
        <x:v>アタック型</x:v>
      </x:c>
      <x:c r="E32" t="str">
        <x:f>Profiles_140!I28</x:f>
        <x:v>高</x:v>
      </x:c>
      <x:c r="F32" s="66" t="n">
        <x:f>Model_Formula!$M$13*(Profiles_140!K28-Simulator!$L$11)^2*IF(Profiles_140!K28&gt;Simulator!$L$11,1+Model_Formula!$N$13,1)</x:f>
        <x:v>100</x:v>
      </x:c>
      <x:c r="G32" s="66" t="n">
        <x:f>Model_Formula!$M$14*(Profiles_140!L28-Simulator!$L$12)^2*IF(Profiles_140!L28&gt;Simulator!$L$12,1+Model_Formula!$N$14,1)</x:f>
        <x:v>270</x:v>
      </x:c>
      <x:c r="H32" s="66" t="n">
        <x:f>Model_Formula!$M$15*(Profiles_140!M28-Simulator!$L$13)^2*IF(Profiles_140!M28&gt;Simulator!$L$13,1+Model_Formula!$N$15,1)</x:f>
        <x:v>400</x:v>
      </x:c>
      <x:c r="I32" s="66" t="n">
        <x:f>Model_Formula!$M$16*(Profiles_140!N28-Simulator!$L$14)^2*IF(Profiles_140!N28&gt;Simulator!$L$14,1+Model_Formula!$N$16,1)</x:f>
        <x:v>625</x:v>
      </x:c>
      <x:c r="J32" s="66" t="n">
        <x:f>Model_Formula!$M$17*(Profiles_140!O28-Simulator!$L$15)^2*IF(Profiles_140!O28&gt;Simulator!$L$15,1+Model_Formula!$N$17,1)</x:f>
        <x:v>625</x:v>
      </x:c>
      <x:c r="K32" s="66" t="n">
        <x:f>Model_Formula!$M$18*(Profiles_140!P28-Simulator!$L$16)^2*IF(Profiles_140!P28&gt;Simulator!$L$16,1+Model_Formula!$N$18,1)</x:f>
        <x:v>202.5</x:v>
      </x:c>
      <x:c r="L32" s="66" t="n">
        <x:f>Model_Formula!$M$19*(Profiles_140!Q28-Simulator!$L$17)^2*IF(Profiles_140!Q28&gt;Simulator!$L$17,1+Model_Formula!$N$19,1)</x:f>
        <x:v>1822.5</x:v>
      </x:c>
      <x:c r="M32" s="66" t="n">
        <x:f>Model_Formula!$M$20*(Profiles_140!R28-Simulator!$L$18)^2*IF(Profiles_140!R28&gt;Simulator!$L$18,1+Model_Formula!$N$20,1)</x:f>
        <x:v>25</x:v>
      </x:c>
      <x:c r="N32" s="66" t="n">
        <x:f>Model_Formula!$M$21*(Profiles_140!S28-Simulator!$L$19)^2*IF(Profiles_140!S28&gt;Simulator!$L$19,1+Model_Formula!$N$21,1)</x:f>
        <x:v>1470</x:v>
      </x:c>
      <x:c r="O32" s="66" t="n">
        <x:f>Model_Formula!$M$22*(Profiles_140!T28-Simulator!$L$20)^2*IF(Profiles_140!T28&gt;Simulator!$L$20,1+Model_Formula!$N$22,1)</x:f>
        <x:v>100</x:v>
      </x:c>
      <x:c r="P32" s="66" t="n">
        <x:f>Model_Formula!$M$23*(Profiles_140!U28-Simulator!$L$21)^2*IF(Profiles_140!U28&gt;Simulator!$L$21,1+Model_Formula!$N$23,1)</x:f>
        <x:v>320</x:v>
      </x:c>
      <x:c r="Q32" s="66" t="n">
        <x:f>Model_Formula!$M$24*(Profiles_140!V28-Simulator!$L$22)^2*IF(Profiles_140!V28&gt;Simulator!$L$22,1+Model_Formula!$N$24,1)</x:f>
        <x:v>630</x:v>
      </x:c>
      <x:c r="R32" s="66" t="n">
        <x:f>Model_Formula!$M$25*(Profiles_140!W28-Simulator!$L$23)^2*IF(Profiles_140!W28&gt;Simulator!$L$23,1+Model_Formula!$N$25,1)</x:f>
        <x:v>15</x:v>
      </x:c>
      <x:c r="S32" s="66" t="n">
        <x:f>Model_Formula!$M$26*(Profiles_140!X28-Simulator!$L$24)^2*IF(Profiles_140!X28&gt;Simulator!$L$24,1+Model_Formula!$N$26,1)</x:f>
        <x:v>511.875</x:v>
      </x:c>
      <x:c r="T32" s="66" t="n">
        <x:f>Model_Formula!$M$27*(Profiles_140!Y28-Simulator!$L$25)^2*IF(Profiles_140!Y28&gt;Simulator!$L$25,1+Model_Formula!$N$27,1)</x:f>
        <x:v>648</x:v>
      </x:c>
      <x:c r="U32" s="60" t="n">
        <x:f>SUM(F32:T32)/SUM(Model_Formula!$M$13:$M$27)</x:f>
        <x:v>524.6537162162163</x:v>
      </x:c>
      <x:c r="V32" s="60" t="n">
        <x:f>SQRT(U32)</x:f>
        <x:v>22.905320696646363</x:v>
      </x:c>
      <x:c r="W32" s="60" t="n">
        <x:f>MAX(0,100-V32)</x:f>
        <x:v>77.09467930335364</x:v>
      </x:c>
      <x:c r="X32" t="n">
        <x:f>RANK.EQ(W32,$W$6:$W$145,0)+COUNTIF($W$6:W32,W32)-1</x:f>
        <x:v>13</x:v>
      </x:c>
    </x:row>
    <x:row r="33">
      <x:c r="A33" t="str">
        <x:f>Profiles_140!A29</x:f>
        <x:v>ニンフィア</x:v>
      </x:c>
      <x:c r="B33" t="str">
        <x:f>Profiles_140!C29</x:f>
        <x:v>ニンフィア-2</x:v>
      </x:c>
      <x:c r="C33" t="str">
        <x:f>Profiles_140!D29</x:f>
        <x:v>マジカルフレイム＋ドレインキッス</x:v>
      </x:c>
      <x:c r="D33" t="str">
        <x:f>Profiles_140!B29</x:f>
        <x:v>アタック型</x:v>
      </x:c>
      <x:c r="E33" t="str">
        <x:f>Profiles_140!I29</x:f>
        <x:v>高</x:v>
      </x:c>
      <x:c r="F33" s="66" t="n">
        <x:f>Model_Formula!$M$13*(Profiles_140!K29-Simulator!$L$11)^2*IF(Profiles_140!K29&gt;Simulator!$L$11,1+Model_Formula!$N$13,1)</x:f>
        <x:v>25</x:v>
      </x:c>
      <x:c r="G33" s="66" t="n">
        <x:f>Model_Formula!$M$14*(Profiles_140!L29-Simulator!$L$12)^2*IF(Profiles_140!L29&gt;Simulator!$L$12,1+Model_Formula!$N$14,1)</x:f>
        <x:v>30</x:v>
      </x:c>
      <x:c r="H33" s="66" t="n">
        <x:f>Model_Formula!$M$15*(Profiles_140!M29-Simulator!$L$13)^2*IF(Profiles_140!M29&gt;Simulator!$L$13,1+Model_Formula!$N$15,1)</x:f>
        <x:v>400</x:v>
      </x:c>
      <x:c r="I33" s="66" t="n">
        <x:f>Model_Formula!$M$16*(Profiles_140!N29-Simulator!$L$14)^2*IF(Profiles_140!N29&gt;Simulator!$L$14,1+Model_Formula!$N$16,1)</x:f>
        <x:v>0</x:v>
      </x:c>
      <x:c r="J33" s="66" t="n">
        <x:f>Model_Formula!$M$17*(Profiles_140!O29-Simulator!$L$15)^2*IF(Profiles_140!O29&gt;Simulator!$L$15,1+Model_Formula!$N$17,1)</x:f>
        <x:v>100</x:v>
      </x:c>
      <x:c r="K33" s="66" t="n">
        <x:f>Model_Formula!$M$18*(Profiles_140!P29-Simulator!$L$16)^2*IF(Profiles_140!P29&gt;Simulator!$L$16,1+Model_Formula!$N$18,1)</x:f>
        <x:v>360</x:v>
      </x:c>
      <x:c r="L33" s="66" t="n">
        <x:f>Model_Formula!$M$19*(Profiles_140!Q29-Simulator!$L$17)^2*IF(Profiles_140!Q29&gt;Simulator!$L$17,1+Model_Formula!$N$19,1)</x:f>
        <x:v>2250</x:v>
      </x:c>
      <x:c r="M33" s="66" t="n">
        <x:f>Model_Formula!$M$20*(Profiles_140!R29-Simulator!$L$18)^2*IF(Profiles_140!R29&gt;Simulator!$L$18,1+Model_Formula!$N$20,1)</x:f>
        <x:v>25</x:v>
      </x:c>
      <x:c r="N33" s="66" t="n">
        <x:f>Model_Formula!$M$21*(Profiles_140!S29-Simulator!$L$19)^2*IF(Profiles_140!S29&gt;Simulator!$L$19,1+Model_Formula!$N$21,1)</x:f>
        <x:v>1080</x:v>
      </x:c>
      <x:c r="O33" s="66" t="n">
        <x:f>Model_Formula!$M$22*(Profiles_140!T29-Simulator!$L$20)^2*IF(Profiles_140!T29&gt;Simulator!$L$20,1+Model_Formula!$N$22,1)</x:f>
        <x:v>400</x:v>
      </x:c>
      <x:c r="P33" s="66" t="n">
        <x:f>Model_Formula!$M$23*(Profiles_140!U29-Simulator!$L$21)^2*IF(Profiles_140!U29&gt;Simulator!$L$21,1+Model_Formula!$N$23,1)</x:f>
        <x:v>320</x:v>
      </x:c>
      <x:c r="Q33" s="66" t="n">
        <x:f>Model_Formula!$M$24*(Profiles_140!V29-Simulator!$L$22)^2*IF(Profiles_140!V29&gt;Simulator!$L$22,1+Model_Formula!$N$24,1)</x:f>
        <x:v>630</x:v>
      </x:c>
      <x:c r="R33" s="66" t="n">
        <x:f>Model_Formula!$M$25*(Profiles_140!W29-Simulator!$L$23)^2*IF(Profiles_140!W29&gt;Simulator!$L$23,1+Model_Formula!$N$25,1)</x:f>
        <x:v>0</x:v>
      </x:c>
      <x:c r="S33" s="66" t="n">
        <x:f>Model_Formula!$M$26*(Profiles_140!X29-Simulator!$L$24)^2*IF(Profiles_140!X29&gt;Simulator!$L$24,1+Model_Formula!$N$26,1)</x:f>
        <x:v>910</x:v>
      </x:c>
      <x:c r="T33" s="66" t="n">
        <x:f>Model_Formula!$M$27*(Profiles_140!Y29-Simulator!$L$25)^2*IF(Profiles_140!Y29&gt;Simulator!$L$25,1+Model_Formula!$N$27,1)</x:f>
        <x:v>648</x:v>
      </x:c>
      <x:c r="U33" s="60" t="n">
        <x:f>SUM(F33:T33)/SUM(Model_Formula!$M$13:$M$27)</x:f>
        <x:v>485.00000000000006</x:v>
      </x:c>
      <x:c r="V33" s="60" t="n">
        <x:f>SQRT(U33)</x:f>
        <x:v>22.022715545545243</x:v>
      </x:c>
      <x:c r="W33" s="60" t="n">
        <x:f>MAX(0,100-V33)</x:f>
        <x:v>77.97728445445476</x:v>
      </x:c>
      <x:c r="X33" t="n">
        <x:f>RANK.EQ(W33,$W$6:$W$145,0)+COUNTIF($W$6:W33,W33)-1</x:f>
        <x:v>9</x:v>
      </x:c>
    </x:row>
    <x:row r="34">
      <x:c r="A34" t="str">
        <x:f>Profiles_140!A30</x:f>
        <x:v>バクフーン</x:v>
      </x:c>
      <x:c r="B34" t="str">
        <x:f>Profiles_140!C30</x:f>
        <x:v>バクフーン-1</x:v>
      </x:c>
      <x:c r="C34" t="str">
        <x:f>Profiles_140!D30</x:f>
        <x:v>共通プロファイル</x:v>
      </x:c>
      <x:c r="D34" t="str">
        <x:f>Profiles_140!B30</x:f>
        <x:v>アタック型</x:v>
      </x:c>
      <x:c r="E34" t="str">
        <x:f>Profiles_140!I30</x:f>
        <x:v>中</x:v>
      </x:c>
      <x:c r="F34" s="66" t="n">
        <x:f>Model_Formula!$M$13*(Profiles_140!K30-Simulator!$L$11)^2*IF(Profiles_140!K30&gt;Simulator!$L$11,1+Model_Formula!$N$13,1)</x:f>
        <x:v>625</x:v>
      </x:c>
      <x:c r="G34" s="66" t="n">
        <x:f>Model_Formula!$M$14*(Profiles_140!L30-Simulator!$L$12)^2*IF(Profiles_140!L30&gt;Simulator!$L$12,1+Model_Formula!$N$14,1)</x:f>
        <x:v>2208</x:v>
      </x:c>
      <x:c r="H34" s="66" t="n">
        <x:f>Model_Formula!$M$15*(Profiles_140!M30-Simulator!$L$13)^2*IF(Profiles_140!M30&gt;Simulator!$L$13,1+Model_Formula!$N$15,1)</x:f>
        <x:v>625</x:v>
      </x:c>
      <x:c r="I34" s="66" t="n">
        <x:f>Model_Formula!$M$16*(Profiles_140!N30-Simulator!$L$14)^2*IF(Profiles_140!N30&gt;Simulator!$L$14,1+Model_Formula!$N$16,1)</x:f>
        <x:v>0</x:v>
      </x:c>
      <x:c r="J34" s="66" t="n">
        <x:f>Model_Formula!$M$17*(Profiles_140!O30-Simulator!$L$15)^2*IF(Profiles_140!O30&gt;Simulator!$L$15,1+Model_Formula!$N$17,1)</x:f>
        <x:v>400</x:v>
      </x:c>
      <x:c r="K34" s="66" t="n">
        <x:f>Model_Formula!$M$18*(Profiles_140!P30-Simulator!$L$16)^2*IF(Profiles_140!P30&gt;Simulator!$L$16,1+Model_Formula!$N$18,1)</x:f>
        <x:v>1440</x:v>
      </x:c>
      <x:c r="L34" s="66" t="n">
        <x:f>Model_Formula!$M$19*(Profiles_140!Q30-Simulator!$L$17)^2*IF(Profiles_140!Q30&gt;Simulator!$L$17,1+Model_Formula!$N$19,1)</x:f>
        <x:v>562.5</x:v>
      </x:c>
      <x:c r="M34" s="66" t="n">
        <x:f>Model_Formula!$M$20*(Profiles_140!R30-Simulator!$L$18)^2*IF(Profiles_140!R30&gt;Simulator!$L$18,1+Model_Formula!$N$20,1)</x:f>
        <x:v>25</x:v>
      </x:c>
      <x:c r="N34" s="66" t="n">
        <x:f>Model_Formula!$M$21*(Profiles_140!S30-Simulator!$L$19)^2*IF(Profiles_140!S30&gt;Simulator!$L$19,1+Model_Formula!$N$21,1)</x:f>
        <x:v>1920</x:v>
      </x:c>
      <x:c r="O34" s="66" t="n">
        <x:f>Model_Formula!$M$22*(Profiles_140!T30-Simulator!$L$20)^2*IF(Profiles_140!T30&gt;Simulator!$L$20,1+Model_Formula!$N$22,1)</x:f>
        <x:v>900</x:v>
      </x:c>
      <x:c r="P34" s="66" t="n">
        <x:f>Model_Formula!$M$23*(Profiles_140!U30-Simulator!$L$21)^2*IF(Profiles_140!U30&gt;Simulator!$L$21,1+Model_Formula!$N$23,1)</x:f>
        <x:v>180</x:v>
      </x:c>
      <x:c r="Q34" s="66" t="n">
        <x:f>Model_Formula!$M$24*(Profiles_140!V30-Simulator!$L$22)^2*IF(Profiles_140!V30&gt;Simulator!$L$22,1+Model_Formula!$N$24,1)</x:f>
        <x:v>437.5</x:v>
      </x:c>
      <x:c r="R34" s="66" t="n">
        <x:f>Model_Formula!$M$25*(Profiles_140!W30-Simulator!$L$23)^2*IF(Profiles_140!W30&gt;Simulator!$L$23,1+Model_Formula!$N$25,1)</x:f>
        <x:v>60</x:v>
      </x:c>
      <x:c r="S34" s="66" t="n">
        <x:f>Model_Formula!$M$26*(Profiles_140!X30-Simulator!$L$24)^2*IF(Profiles_140!X30&gt;Simulator!$L$24,1+Model_Formula!$N$26,1)</x:f>
        <x:v>910</x:v>
      </x:c>
      <x:c r="T34" s="66" t="n">
        <x:f>Model_Formula!$M$27*(Profiles_140!Y30-Simulator!$L$25)^2*IF(Profiles_140!Y30&gt;Simulator!$L$25,1+Model_Formula!$N$27,1)</x:f>
        <x:v>648</x:v>
      </x:c>
      <x:c r="U34" s="60" t="n">
        <x:f>SUM(F34:T34)/SUM(Model_Formula!$M$13:$M$27)</x:f>
        <x:v>739.2567567567568</x:v>
      </x:c>
      <x:c r="V34" s="60" t="n">
        <x:f>SQRT(U34)</x:f>
        <x:v>27.189276503003104</x:v>
      </x:c>
      <x:c r="W34" s="60" t="n">
        <x:f>MAX(0,100-V34)</x:f>
        <x:v>72.8107234969969</x:v>
      </x:c>
      <x:c r="X34" t="n">
        <x:f>RANK.EQ(W34,$W$6:$W$145,0)+COUNTIF($W$6:W34,W34)-1</x:f>
        <x:v>57</x:v>
      </x:c>
    </x:row>
    <x:row r="35">
      <x:c r="A35" t="str">
        <x:f>Profiles_140!A31</x:f>
        <x:v>ピカチュウ</x:v>
      </x:c>
      <x:c r="B35" t="str">
        <x:f>Profiles_140!C31</x:f>
        <x:v>ピカチュウ-1</x:v>
      </x:c>
      <x:c r="C35" t="str">
        <x:f>Profiles_140!D31</x:f>
        <x:v>エレキボール＋ボルテッカー</x:v>
      </x:c>
      <x:c r="D35" t="str">
        <x:f>Profiles_140!B31</x:f>
        <x:v>アタック型</x:v>
      </x:c>
      <x:c r="E35" t="str">
        <x:f>Profiles_140!I31</x:f>
        <x:v>高</x:v>
      </x:c>
      <x:c r="F35" s="66" t="n">
        <x:f>Model_Formula!$M$13*(Profiles_140!K31-Simulator!$L$11)^2*IF(Profiles_140!K31&gt;Simulator!$L$11,1+Model_Formula!$N$13,1)</x:f>
        <x:v>25</x:v>
      </x:c>
      <x:c r="G35" s="66" t="n">
        <x:f>Model_Formula!$M$14*(Profiles_140!L31-Simulator!$L$12)^2*IF(Profiles_140!L31&gt;Simulator!$L$12,1+Model_Formula!$N$14,1)</x:f>
        <x:v>750</x:v>
      </x:c>
      <x:c r="H35" s="66" t="n">
        <x:f>Model_Formula!$M$15*(Profiles_140!M31-Simulator!$L$13)^2*IF(Profiles_140!M31&gt;Simulator!$L$13,1+Model_Formula!$N$15,1)</x:f>
        <x:v>25</x:v>
      </x:c>
      <x:c r="I35" s="66" t="n">
        <x:f>Model_Formula!$M$16*(Profiles_140!N31-Simulator!$L$14)^2*IF(Profiles_140!N31&gt;Simulator!$L$14,1+Model_Formula!$N$16,1)</x:f>
        <x:v>900</x:v>
      </x:c>
      <x:c r="J35" s="66" t="n">
        <x:f>Model_Formula!$M$17*(Profiles_140!O31-Simulator!$L$15)^2*IF(Profiles_140!O31&gt;Simulator!$L$15,1+Model_Formula!$N$17,1)</x:f>
        <x:v>400</x:v>
      </x:c>
      <x:c r="K35" s="66" t="n">
        <x:f>Model_Formula!$M$18*(Profiles_140!P31-Simulator!$L$16)^2*IF(Profiles_140!P31&gt;Simulator!$L$16,1+Model_Formula!$N$18,1)</x:f>
        <x:v>1440</x:v>
      </x:c>
      <x:c r="L35" s="66" t="n">
        <x:f>Model_Formula!$M$19*(Profiles_140!Q31-Simulator!$L$17)^2*IF(Profiles_140!Q31&gt;Simulator!$L$17,1+Model_Formula!$N$19,1)</x:f>
        <x:v>0</x:v>
      </x:c>
      <x:c r="M35" s="66" t="n">
        <x:f>Model_Formula!$M$20*(Profiles_140!R31-Simulator!$L$18)^2*IF(Profiles_140!R31&gt;Simulator!$L$18,1+Model_Formula!$N$20,1)</x:f>
        <x:v>1225</x:v>
      </x:c>
      <x:c r="N35" s="66" t="n">
        <x:f>Model_Formula!$M$21*(Profiles_140!S31-Simulator!$L$19)^2*IF(Profiles_140!S31&gt;Simulator!$L$19,1+Model_Formula!$N$21,1)</x:f>
        <x:v>1080</x:v>
      </x:c>
      <x:c r="O35" s="66" t="n">
        <x:f>Model_Formula!$M$22*(Profiles_140!T31-Simulator!$L$20)^2*IF(Profiles_140!T31&gt;Simulator!$L$20,1+Model_Formula!$N$22,1)</x:f>
        <x:v>225</x:v>
      </x:c>
      <x:c r="P35" s="66" t="n">
        <x:f>Model_Formula!$M$23*(Profiles_140!U31-Simulator!$L$21)^2*IF(Profiles_140!U31&gt;Simulator!$L$21,1+Model_Formula!$N$23,1)</x:f>
        <x:v>20</x:v>
      </x:c>
      <x:c r="Q35" s="66" t="n">
        <x:f>Model_Formula!$M$24*(Profiles_140!V31-Simulator!$L$22)^2*IF(Profiles_140!V31&gt;Simulator!$L$22,1+Model_Formula!$N$24,1)</x:f>
        <x:v>157.5</x:v>
      </x:c>
      <x:c r="R35" s="66" t="n">
        <x:f>Model_Formula!$M$25*(Profiles_140!W31-Simulator!$L$23)^2*IF(Profiles_140!W31&gt;Simulator!$L$23,1+Model_Formula!$N$25,1)</x:f>
        <x:v>135</x:v>
      </x:c>
      <x:c r="S35" s="66" t="n">
        <x:f>Model_Formula!$M$26*(Profiles_140!X31-Simulator!$L$24)^2*IF(Profiles_140!X31&gt;Simulator!$L$24,1+Model_Formula!$N$26,1)</x:f>
        <x:v>511.875</x:v>
      </x:c>
      <x:c r="T35" s="66" t="n">
        <x:f>Model_Formula!$M$27*(Profiles_140!Y31-Simulator!$L$25)^2*IF(Profiles_140!Y31&gt;Simulator!$L$25,1+Model_Formula!$N$27,1)</x:f>
        <x:v>1012.5000000000001</x:v>
      </x:c>
      <x:c r="U35" s="60" t="n">
        <x:f>SUM(F35:T35)/SUM(Model_Formula!$M$13:$M$27)</x:f>
        <x:v>534.2483108108108</x:v>
      </x:c>
      <x:c r="V35" s="60" t="n">
        <x:f>SQRT(U35)</x:f>
        <x:v>23.11381212199344</x:v>
      </x:c>
      <x:c r="W35" s="60" t="n">
        <x:f>MAX(0,100-V35)</x:f>
        <x:v>76.88618787800655</x:v>
      </x:c>
      <x:c r="X35" t="n">
        <x:f>RANK.EQ(W35,$W$6:$W$145,0)+COUNTIF($W$6:W35,W35)-1</x:f>
        <x:v>17</x:v>
      </x:c>
    </x:row>
    <x:row r="36">
      <x:c r="A36" t="str">
        <x:f>Profiles_140!A32</x:f>
        <x:v>ピカチュウ</x:v>
      </x:c>
      <x:c r="B36" t="str">
        <x:f>Profiles_140!C32</x:f>
        <x:v>ピカチュウ-2</x:v>
      </x:c>
      <x:c r="C36" t="str">
        <x:f>Profiles_140!D32</x:f>
        <x:v>かみなり＋10まんボルト</x:v>
      </x:c>
      <x:c r="D36" t="str">
        <x:f>Profiles_140!B32</x:f>
        <x:v>アタック型</x:v>
      </x:c>
      <x:c r="E36" t="str">
        <x:f>Profiles_140!I32</x:f>
        <x:v>高</x:v>
      </x:c>
      <x:c r="F36" s="66" t="n">
        <x:f>Model_Formula!$M$13*(Profiles_140!K32-Simulator!$L$11)^2*IF(Profiles_140!K32&gt;Simulator!$L$11,1+Model_Formula!$N$13,1)</x:f>
        <x:v>900</x:v>
      </x:c>
      <x:c r="G36" s="66" t="n">
        <x:f>Model_Formula!$M$14*(Profiles_140!L32-Simulator!$L$12)^2*IF(Profiles_140!L32&gt;Simulator!$L$12,1+Model_Formula!$N$14,1)</x:f>
        <x:v>3000</x:v>
      </x:c>
      <x:c r="H36" s="66" t="n">
        <x:f>Model_Formula!$M$15*(Profiles_140!M32-Simulator!$L$13)^2*IF(Profiles_140!M32&gt;Simulator!$L$13,1+Model_Formula!$N$15,1)</x:f>
        <x:v>625</x:v>
      </x:c>
      <x:c r="I36" s="66" t="n">
        <x:f>Model_Formula!$M$16*(Profiles_140!N32-Simulator!$L$14)^2*IF(Profiles_140!N32&gt;Simulator!$L$14,1+Model_Formula!$N$16,1)</x:f>
        <x:v>2025</x:v>
      </x:c>
      <x:c r="J36" s="66" t="n">
        <x:f>Model_Formula!$M$17*(Profiles_140!O32-Simulator!$L$15)^2*IF(Profiles_140!O32&gt;Simulator!$L$15,1+Model_Formula!$N$17,1)</x:f>
        <x:v>2500</x:v>
      </x:c>
      <x:c r="K36" s="66" t="n">
        <x:f>Model_Formula!$M$18*(Profiles_140!P32-Simulator!$L$16)^2*IF(Profiles_140!P32&gt;Simulator!$L$16,1+Model_Formula!$N$18,1)</x:f>
        <x:v>1440</x:v>
      </x:c>
      <x:c r="L36" s="66" t="n">
        <x:f>Model_Formula!$M$19*(Profiles_140!Q32-Simulator!$L$17)^2*IF(Profiles_140!Q32&gt;Simulator!$L$17,1+Model_Formula!$N$19,1)</x:f>
        <x:v>90</x:v>
      </x:c>
      <x:c r="M36" s="66" t="n">
        <x:f>Model_Formula!$M$20*(Profiles_140!R32-Simulator!$L$18)^2*IF(Profiles_140!R32&gt;Simulator!$L$18,1+Model_Formula!$N$20,1)</x:f>
        <x:v>100</x:v>
      </x:c>
      <x:c r="N36" s="66" t="n">
        <x:f>Model_Formula!$M$21*(Profiles_140!S32-Simulator!$L$19)^2*IF(Profiles_140!S32&gt;Simulator!$L$19,1+Model_Formula!$N$21,1)</x:f>
        <x:v>1920</x:v>
      </x:c>
      <x:c r="O36" s="66" t="n">
        <x:f>Model_Formula!$M$22*(Profiles_140!T32-Simulator!$L$20)^2*IF(Profiles_140!T32&gt;Simulator!$L$20,1+Model_Formula!$N$22,1)</x:f>
        <x:v>900</x:v>
      </x:c>
      <x:c r="P36" s="66" t="n">
        <x:f>Model_Formula!$M$23*(Profiles_140!U32-Simulator!$L$21)^2*IF(Profiles_140!U32&gt;Simulator!$L$21,1+Model_Formula!$N$23,1)</x:f>
        <x:v>320</x:v>
      </x:c>
      <x:c r="Q36" s="66" t="n">
        <x:f>Model_Formula!$M$24*(Profiles_140!V32-Simulator!$L$22)^2*IF(Profiles_140!V32&gt;Simulator!$L$22,1+Model_Formula!$N$24,1)</x:f>
        <x:v>630</x:v>
      </x:c>
      <x:c r="R36" s="66" t="n">
        <x:f>Model_Formula!$M$25*(Profiles_140!W32-Simulator!$L$23)^2*IF(Profiles_140!W32&gt;Simulator!$L$23,1+Model_Formula!$N$25,1)</x:f>
        <x:v>240</x:v>
      </x:c>
      <x:c r="S36" s="66" t="n">
        <x:f>Model_Formula!$M$26*(Profiles_140!X32-Simulator!$L$24)^2*IF(Profiles_140!X32&gt;Simulator!$L$24,1+Model_Formula!$N$26,1)</x:f>
        <x:v>1421.875</x:v>
      </x:c>
      <x:c r="T36" s="66" t="n">
        <x:f>Model_Formula!$M$27*(Profiles_140!Y32-Simulator!$L$25)^2*IF(Profiles_140!Y32&gt;Simulator!$L$25,1+Model_Formula!$N$27,1)</x:f>
        <x:v>1458</x:v>
      </x:c>
      <x:c r="U36" s="60" t="n">
        <x:f>SUM(F36:T36)/SUM(Model_Formula!$M$13:$M$27)</x:f>
        <x:v>1187.1537162162163</x:v>
      </x:c>
      <x:c r="V36" s="60" t="n">
        <x:f>SQRT(U36)</x:f>
        <x:v>34.45509710066446</x:v>
      </x:c>
      <x:c r="W36" s="60" t="n">
        <x:f>MAX(0,100-V36)</x:f>
        <x:v>65.54490289933554</x:v>
      </x:c>
      <x:c r="X36" t="n">
        <x:f>RANK.EQ(W36,$W$6:$W$145,0)+COUNTIF($W$6:W36,W36)-1</x:f>
        <x:v>122</x:v>
      </x:c>
    </x:row>
    <x:row r="37">
      <x:c r="A37" t="str">
        <x:f>Profiles_140!A33</x:f>
        <x:v>フシギバナ</x:v>
      </x:c>
      <x:c r="B37" t="str">
        <x:f>Profiles_140!C33</x:f>
        <x:v>フシギバナ-1</x:v>
      </x:c>
      <x:c r="C37" t="str">
        <x:f>Profiles_140!D33</x:f>
        <x:v>ヘドロばくだん＋ソーラービーム</x:v>
      </x:c>
      <x:c r="D37" t="str">
        <x:f>Profiles_140!B33</x:f>
        <x:v>アタック型</x:v>
      </x:c>
      <x:c r="E37" t="str">
        <x:f>Profiles_140!I33</x:f>
        <x:v>高</x:v>
      </x:c>
      <x:c r="F37" s="66" t="n">
        <x:f>Model_Formula!$M$13*(Profiles_140!K33-Simulator!$L$11)^2*IF(Profiles_140!K33&gt;Simulator!$L$11,1+Model_Formula!$N$13,1)</x:f>
        <x:v>900</x:v>
      </x:c>
      <x:c r="G37" s="66" t="n">
        <x:f>Model_Formula!$M$14*(Profiles_140!L33-Simulator!$L$12)^2*IF(Profiles_140!L33&gt;Simulator!$L$12,1+Model_Formula!$N$14,1)</x:f>
        <x:v>2430</x:v>
      </x:c>
      <x:c r="H37" s="66" t="n">
        <x:f>Model_Formula!$M$15*(Profiles_140!M33-Simulator!$L$13)^2*IF(Profiles_140!M33&gt;Simulator!$L$13,1+Model_Formula!$N$15,1)</x:f>
        <x:v>900</x:v>
      </x:c>
      <x:c r="I37" s="66" t="n">
        <x:f>Model_Formula!$M$16*(Profiles_140!N33-Simulator!$L$14)^2*IF(Profiles_140!N33&gt;Simulator!$L$14,1+Model_Formula!$N$16,1)</x:f>
        <x:v>2500</x:v>
      </x:c>
      <x:c r="J37" s="66" t="n">
        <x:f>Model_Formula!$M$17*(Profiles_140!O33-Simulator!$L$15)^2*IF(Profiles_140!O33&gt;Simulator!$L$15,1+Model_Formula!$N$17,1)</x:f>
        <x:v>2500</x:v>
      </x:c>
      <x:c r="K37" s="66" t="n">
        <x:f>Model_Formula!$M$18*(Profiles_140!P33-Simulator!$L$16)^2*IF(Profiles_140!P33&gt;Simulator!$L$16,1+Model_Formula!$N$18,1)</x:f>
        <x:v>2250</x:v>
      </x:c>
      <x:c r="L37" s="66" t="n">
        <x:f>Model_Formula!$M$19*(Profiles_140!Q33-Simulator!$L$17)^2*IF(Profiles_140!Q33&gt;Simulator!$L$17,1+Model_Formula!$N$19,1)</x:f>
        <x:v>90</x:v>
      </x:c>
      <x:c r="M37" s="66" t="n">
        <x:f>Model_Formula!$M$20*(Profiles_140!R33-Simulator!$L$18)^2*IF(Profiles_140!R33&gt;Simulator!$L$18,1+Model_Formula!$N$20,1)</x:f>
        <x:v>25</x:v>
      </x:c>
      <x:c r="N37" s="66" t="n">
        <x:f>Model_Formula!$M$21*(Profiles_140!S33-Simulator!$L$19)^2*IF(Profiles_140!S33&gt;Simulator!$L$19,1+Model_Formula!$N$21,1)</x:f>
        <x:v>1920</x:v>
      </x:c>
      <x:c r="O37" s="66" t="n">
        <x:f>Model_Formula!$M$22*(Profiles_140!T33-Simulator!$L$20)^2*IF(Profiles_140!T33&gt;Simulator!$L$20,1+Model_Formula!$N$22,1)</x:f>
        <x:v>625</x:v>
      </x:c>
      <x:c r="P37" s="66" t="n">
        <x:f>Model_Formula!$M$23*(Profiles_140!U33-Simulator!$L$21)^2*IF(Profiles_140!U33&gt;Simulator!$L$21,1+Model_Formula!$N$23,1)</x:f>
        <x:v>320</x:v>
      </x:c>
      <x:c r="Q37" s="66" t="n">
        <x:f>Model_Formula!$M$24*(Profiles_140!V33-Simulator!$L$22)^2*IF(Profiles_140!V33&gt;Simulator!$L$22,1+Model_Formula!$N$24,1)</x:f>
        <x:v>1417.5</x:v>
      </x:c>
      <x:c r="R37" s="66" t="n">
        <x:f>Model_Formula!$M$25*(Profiles_140!W33-Simulator!$L$23)^2*IF(Profiles_140!W33&gt;Simulator!$L$23,1+Model_Formula!$N$25,1)</x:f>
        <x:v>240</x:v>
      </x:c>
      <x:c r="S37" s="66" t="n">
        <x:f>Model_Formula!$M$26*(Profiles_140!X33-Simulator!$L$24)^2*IF(Profiles_140!X33&gt;Simulator!$L$24,1+Model_Formula!$N$26,1)</x:f>
        <x:v>2047.5</x:v>
      </x:c>
      <x:c r="T37" s="66" t="n">
        <x:f>Model_Formula!$M$27*(Profiles_140!Y33-Simulator!$L$25)^2*IF(Profiles_140!Y33&gt;Simulator!$L$25,1+Model_Formula!$N$27,1)</x:f>
        <x:v>1458</x:v>
      </x:c>
      <x:c r="U37" s="60" t="n">
        <x:f>SUM(F37:T37)/SUM(Model_Formula!$M$13:$M$27)</x:f>
        <x:v>1325.8783783783786</x:v>
      </x:c>
      <x:c r="V37" s="60" t="n">
        <x:f>SQRT(U37)</x:f>
        <x:v>36.41261290237737</x:v>
      </x:c>
      <x:c r="W37" s="60" t="n">
        <x:f>MAX(0,100-V37)</x:f>
        <x:v>63.58738709762263</x:v>
      </x:c>
      <x:c r="X37" t="n">
        <x:f>RANK.EQ(W37,$W$6:$W$145,0)+COUNTIF($W$6:W37,W37)-1</x:f>
        <x:v>133</x:v>
      </x:c>
    </x:row>
    <x:row r="38">
      <x:c r="A38" t="str">
        <x:f>Profiles_140!A34</x:f>
        <x:v>フシギバナ</x:v>
      </x:c>
      <x:c r="B38" t="str">
        <x:f>Profiles_140!C34</x:f>
        <x:v>フシギバナ-2</x:v>
      </x:c>
      <x:c r="C38" t="str">
        <x:f>Profiles_140!D34</x:f>
        <x:v>ギガドレイン＋はなびらのまい</x:v>
      </x:c>
      <x:c r="D38" t="str">
        <x:f>Profiles_140!B34</x:f>
        <x:v>アタック型</x:v>
      </x:c>
      <x:c r="E38" t="str">
        <x:f>Profiles_140!I34</x:f>
        <x:v>高</x:v>
      </x:c>
      <x:c r="F38" s="66" t="n">
        <x:f>Model_Formula!$M$13*(Profiles_140!K34-Simulator!$L$11)^2*IF(Profiles_140!K34&gt;Simulator!$L$11,1+Model_Formula!$N$13,1)</x:f>
        <x:v>0</x:v>
      </x:c>
      <x:c r="G38" s="66" t="n">
        <x:f>Model_Formula!$M$14*(Profiles_140!L34-Simulator!$L$12)^2*IF(Profiles_140!L34&gt;Simulator!$L$12,1+Model_Formula!$N$14,1)</x:f>
        <x:v>120</x:v>
      </x:c>
      <x:c r="H38" s="66" t="n">
        <x:f>Model_Formula!$M$15*(Profiles_140!M34-Simulator!$L$13)^2*IF(Profiles_140!M34&gt;Simulator!$L$13,1+Model_Formula!$N$15,1)</x:f>
        <x:v>225</x:v>
      </x:c>
      <x:c r="I38" s="66" t="n">
        <x:f>Model_Formula!$M$16*(Profiles_140!N34-Simulator!$L$14)^2*IF(Profiles_140!N34&gt;Simulator!$L$14,1+Model_Formula!$N$16,1)</x:f>
        <x:v>1225</x:v>
      </x:c>
      <x:c r="J38" s="66" t="n">
        <x:f>Model_Formula!$M$17*(Profiles_140!O34-Simulator!$L$15)^2*IF(Profiles_140!O34&gt;Simulator!$L$15,1+Model_Formula!$N$17,1)</x:f>
        <x:v>1600</x:v>
      </x:c>
      <x:c r="K38" s="66" t="n">
        <x:f>Model_Formula!$M$18*(Profiles_140!P34-Simulator!$L$16)^2*IF(Profiles_140!P34&gt;Simulator!$L$16,1+Model_Formula!$N$18,1)</x:f>
        <x:v>202.5</x:v>
      </x:c>
      <x:c r="L38" s="66" t="n">
        <x:f>Model_Formula!$M$19*(Profiles_140!Q34-Simulator!$L$17)^2*IF(Profiles_140!Q34&gt;Simulator!$L$17,1+Model_Formula!$N$19,1)</x:f>
        <x:v>2250</x:v>
      </x:c>
      <x:c r="M38" s="66" t="n">
        <x:f>Model_Formula!$M$20*(Profiles_140!R34-Simulator!$L$18)^2*IF(Profiles_140!R34&gt;Simulator!$L$18,1+Model_Formula!$N$20,1)</x:f>
        <x:v>25</x:v>
      </x:c>
      <x:c r="N38" s="66" t="n">
        <x:f>Model_Formula!$M$21*(Profiles_140!S34-Simulator!$L$19)^2*IF(Profiles_140!S34&gt;Simulator!$L$19,1+Model_Formula!$N$21,1)</x:f>
        <x:v>1470</x:v>
      </x:c>
      <x:c r="O38" s="66" t="n">
        <x:f>Model_Formula!$M$22*(Profiles_140!T34-Simulator!$L$20)^2*IF(Profiles_140!T34&gt;Simulator!$L$20,1+Model_Formula!$N$22,1)</x:f>
        <x:v>25</x:v>
      </x:c>
      <x:c r="P38" s="66" t="n">
        <x:f>Model_Formula!$M$23*(Profiles_140!U34-Simulator!$L$21)^2*IF(Profiles_140!U34&gt;Simulator!$L$21,1+Model_Formula!$N$23,1)</x:f>
        <x:v>500</x:v>
      </x:c>
      <x:c r="Q38" s="66" t="n">
        <x:f>Model_Formula!$M$24*(Profiles_140!V34-Simulator!$L$22)^2*IF(Profiles_140!V34&gt;Simulator!$L$22,1+Model_Formula!$N$24,1)</x:f>
        <x:v>857.5</x:v>
      </x:c>
      <x:c r="R38" s="66" t="n">
        <x:f>Model_Formula!$M$25*(Profiles_140!W34-Simulator!$L$23)^2*IF(Profiles_140!W34&gt;Simulator!$L$23,1+Model_Formula!$N$25,1)</x:f>
        <x:v>15</x:v>
      </x:c>
      <x:c r="S38" s="66" t="n">
        <x:f>Model_Formula!$M$26*(Profiles_140!X34-Simulator!$L$24)^2*IF(Profiles_140!X34&gt;Simulator!$L$24,1+Model_Formula!$N$26,1)</x:f>
        <x:v>56.875</x:v>
      </x:c>
      <x:c r="T38" s="66" t="n">
        <x:f>Model_Formula!$M$27*(Profiles_140!Y34-Simulator!$L$25)^2*IF(Profiles_140!Y34&gt;Simulator!$L$25,1+Model_Formula!$N$27,1)</x:f>
        <x:v>364.5</x:v>
      </x:c>
      <x:c r="U38" s="60" t="n">
        <x:f>SUM(F38:T38)/SUM(Model_Formula!$M$13:$M$27)</x:f>
        <x:v>603.8091216216217</x:v>
      </x:c>
      <x:c r="V38" s="60" t="n">
        <x:f>SQRT(U38)</x:f>
        <x:v>24.57252778249771</x:v>
      </x:c>
      <x:c r="W38" s="60" t="n">
        <x:f>MAX(0,100-V38)</x:f>
        <x:v>75.4274722175023</x:v>
      </x:c>
      <x:c r="X38" t="n">
        <x:f>RANK.EQ(W38,$W$6:$W$145,0)+COUNTIF($W$6:W38,W38)-1</x:f>
        <x:v>31</x:v>
      </x:c>
    </x:row>
    <x:row r="39">
      <x:c r="A39" t="str">
        <x:f>Profiles_140!A35</x:f>
        <x:v>マフォクシー</x:v>
      </x:c>
      <x:c r="B39" t="str">
        <x:f>Profiles_140!C35</x:f>
        <x:v>マフォクシー-1</x:v>
      </x:c>
      <x:c r="C39" t="str">
        <x:f>Profiles_140!D35</x:f>
        <x:v>だいもんじ＋ほのおのうず</x:v>
      </x:c>
      <x:c r="D39" t="str">
        <x:f>Profiles_140!B35</x:f>
        <x:v>アタック型</x:v>
      </x:c>
      <x:c r="E39" t="str">
        <x:f>Profiles_140!I35</x:f>
        <x:v>高</x:v>
      </x:c>
      <x:c r="F39" s="66" t="n">
        <x:f>Model_Formula!$M$13*(Profiles_140!K35-Simulator!$L$11)^2*IF(Profiles_140!K35&gt;Simulator!$L$11,1+Model_Formula!$N$13,1)</x:f>
        <x:v>400</x:v>
      </x:c>
      <x:c r="G39" s="66" t="n">
        <x:f>Model_Formula!$M$14*(Profiles_140!L35-Simulator!$L$12)^2*IF(Profiles_140!L35&gt;Simulator!$L$12,1+Model_Formula!$N$14,1)</x:f>
        <x:v>1920</x:v>
      </x:c>
      <x:c r="H39" s="66" t="n">
        <x:f>Model_Formula!$M$15*(Profiles_140!M35-Simulator!$L$13)^2*IF(Profiles_140!M35&gt;Simulator!$L$13,1+Model_Formula!$N$15,1)</x:f>
        <x:v>100</x:v>
      </x:c>
      <x:c r="I39" s="66" t="n">
        <x:f>Model_Formula!$M$16*(Profiles_140!N35-Simulator!$L$14)^2*IF(Profiles_140!N35&gt;Simulator!$L$14,1+Model_Formula!$N$16,1)</x:f>
        <x:v>1600</x:v>
      </x:c>
      <x:c r="J39" s="66" t="n">
        <x:f>Model_Formula!$M$17*(Profiles_140!O35-Simulator!$L$15)^2*IF(Profiles_140!O35&gt;Simulator!$L$15,1+Model_Formula!$N$17,1)</x:f>
        <x:v>2025</x:v>
      </x:c>
      <x:c r="K39" s="66" t="n">
        <x:f>Model_Formula!$M$18*(Profiles_140!P35-Simulator!$L$16)^2*IF(Profiles_140!P35&gt;Simulator!$L$16,1+Model_Formula!$N$18,1)</x:f>
        <x:v>2250</x:v>
      </x:c>
      <x:c r="L39" s="66" t="n">
        <x:f>Model_Formula!$M$19*(Profiles_140!Q35-Simulator!$L$17)^2*IF(Profiles_140!Q35&gt;Simulator!$L$17,1+Model_Formula!$N$19,1)</x:f>
        <x:v>0</x:v>
      </x:c>
      <x:c r="M39" s="66" t="n">
        <x:f>Model_Formula!$M$20*(Profiles_140!R35-Simulator!$L$18)^2*IF(Profiles_140!R35&gt;Simulator!$L$18,1+Model_Formula!$N$20,1)</x:f>
        <x:v>900</x:v>
      </x:c>
      <x:c r="N39" s="66" t="n">
        <x:f>Model_Formula!$M$21*(Profiles_140!S35-Simulator!$L$19)^2*IF(Profiles_140!S35&gt;Simulator!$L$19,1+Model_Formula!$N$21,1)</x:f>
        <x:v>1470</x:v>
      </x:c>
      <x:c r="O39" s="66" t="n">
        <x:f>Model_Formula!$M$22*(Profiles_140!T35-Simulator!$L$20)^2*IF(Profiles_140!T35&gt;Simulator!$L$20,1+Model_Formula!$N$22,1)</x:f>
        <x:v>625</x:v>
      </x:c>
      <x:c r="P39" s="66" t="n">
        <x:f>Model_Formula!$M$23*(Profiles_140!U35-Simulator!$L$21)^2*IF(Profiles_140!U35&gt;Simulator!$L$21,1+Model_Formula!$N$23,1)</x:f>
        <x:v>180</x:v>
      </x:c>
      <x:c r="Q39" s="66" t="n">
        <x:f>Model_Formula!$M$24*(Profiles_140!V35-Simulator!$L$22)^2*IF(Profiles_140!V35&gt;Simulator!$L$22,1+Model_Formula!$N$24,1)</x:f>
        <x:v>280</x:v>
      </x:c>
      <x:c r="R39" s="66" t="n">
        <x:f>Model_Formula!$M$25*(Profiles_140!W35-Simulator!$L$23)^2*IF(Profiles_140!W35&gt;Simulator!$L$23,1+Model_Formula!$N$25,1)</x:f>
        <x:v>135</x:v>
      </x:c>
      <x:c r="S39" s="66" t="n">
        <x:f>Model_Formula!$M$26*(Profiles_140!X35-Simulator!$L$24)^2*IF(Profiles_140!X35&gt;Simulator!$L$24,1+Model_Formula!$N$26,1)</x:f>
        <x:v>511.875</x:v>
      </x:c>
      <x:c r="T39" s="66" t="n">
        <x:f>Model_Formula!$M$27*(Profiles_140!Y35-Simulator!$L$25)^2*IF(Profiles_140!Y35&gt;Simulator!$L$25,1+Model_Formula!$N$27,1)</x:f>
        <x:v>1012.5000000000001</x:v>
      </x:c>
      <x:c r="U39" s="60" t="n">
        <x:f>SUM(F39:T39)/SUM(Model_Formula!$M$13:$M$27)</x:f>
        <x:v>906.0388513513515</x:v>
      </x:c>
      <x:c r="V39" s="60" t="n">
        <x:f>SQRT(U39)</x:f>
        <x:v>30.100479254512734</x:v>
      </x:c>
      <x:c r="W39" s="60" t="n">
        <x:f>MAX(0,100-V39)</x:f>
        <x:v>69.89952074548727</x:v>
      </x:c>
      <x:c r="X39" t="n">
        <x:f>RANK.EQ(W39,$W$6:$W$145,0)+COUNTIF($W$6:W39,W39)-1</x:f>
        <x:v>93</x:v>
      </x:c>
    </x:row>
    <x:row r="40">
      <x:c r="A40" t="str">
        <x:f>Profiles_140!A36</x:f>
        <x:v>マフォクシー</x:v>
      </x:c>
      <x:c r="B40" t="str">
        <x:f>Profiles_140!C36</x:f>
        <x:v>マフォクシー-2</x:v>
      </x:c>
      <x:c r="C40" t="str">
        <x:f>Profiles_140!D36</x:f>
        <x:v>マジカルフレイム＋ニトロチャージ</x:v>
      </x:c>
      <x:c r="D40" t="str">
        <x:f>Profiles_140!B36</x:f>
        <x:v>アタック型</x:v>
      </x:c>
      <x:c r="E40" t="str">
        <x:f>Profiles_140!I36</x:f>
        <x:v>高</x:v>
      </x:c>
      <x:c r="F40" s="66" t="n">
        <x:f>Model_Formula!$M$13*(Profiles_140!K36-Simulator!$L$11)^2*IF(Profiles_140!K36&gt;Simulator!$L$11,1+Model_Formula!$N$13,1)</x:f>
        <x:v>100</x:v>
      </x:c>
      <x:c r="G40" s="66" t="n">
        <x:f>Model_Formula!$M$14*(Profiles_140!L36-Simulator!$L$12)^2*IF(Profiles_140!L36&gt;Simulator!$L$12,1+Model_Formula!$N$14,1)</x:f>
        <x:v>270</x:v>
      </x:c>
      <x:c r="H40" s="66" t="n">
        <x:f>Model_Formula!$M$15*(Profiles_140!M36-Simulator!$L$13)^2*IF(Profiles_140!M36&gt;Simulator!$L$13,1+Model_Formula!$N$15,1)</x:f>
        <x:v>400</x:v>
      </x:c>
      <x:c r="I40" s="66" t="n">
        <x:f>Model_Formula!$M$16*(Profiles_140!N36-Simulator!$L$14)^2*IF(Profiles_140!N36&gt;Simulator!$L$14,1+Model_Formula!$N$16,1)</x:f>
        <x:v>400</x:v>
      </x:c>
      <x:c r="J40" s="66" t="n">
        <x:f>Model_Formula!$M$17*(Profiles_140!O36-Simulator!$L$15)^2*IF(Profiles_140!O36&gt;Simulator!$L$15,1+Model_Formula!$N$17,1)</x:f>
        <x:v>225</x:v>
      </x:c>
      <x:c r="K40" s="66" t="n">
        <x:f>Model_Formula!$M$18*(Profiles_140!P36-Simulator!$L$16)^2*IF(Profiles_140!P36&gt;Simulator!$L$16,1+Model_Formula!$N$18,1)</x:f>
        <x:v>90</x:v>
      </x:c>
      <x:c r="L40" s="66" t="n">
        <x:f>Model_Formula!$M$19*(Profiles_140!Q36-Simulator!$L$17)^2*IF(Profiles_140!Q36&gt;Simulator!$L$17,1+Model_Formula!$N$19,1)</x:f>
        <x:v>2250</x:v>
      </x:c>
      <x:c r="M40" s="66" t="n">
        <x:f>Model_Formula!$M$20*(Profiles_140!R36-Simulator!$L$18)^2*IF(Profiles_140!R36&gt;Simulator!$L$18,1+Model_Formula!$N$20,1)</x:f>
        <x:v>100</x:v>
      </x:c>
      <x:c r="N40" s="66" t="n">
        <x:f>Model_Formula!$M$21*(Profiles_140!S36-Simulator!$L$19)^2*IF(Profiles_140!S36&gt;Simulator!$L$19,1+Model_Formula!$N$21,1)</x:f>
        <x:v>1470</x:v>
      </x:c>
      <x:c r="O40" s="66" t="n">
        <x:f>Model_Formula!$M$22*(Profiles_140!T36-Simulator!$L$20)^2*IF(Profiles_140!T36&gt;Simulator!$L$20,1+Model_Formula!$N$22,1)</x:f>
        <x:v>400</x:v>
      </x:c>
      <x:c r="P40" s="66" t="n">
        <x:f>Model_Formula!$M$23*(Profiles_140!U36-Simulator!$L$21)^2*IF(Profiles_140!U36&gt;Simulator!$L$21,1+Model_Formula!$N$23,1)</x:f>
        <x:v>320</x:v>
      </x:c>
      <x:c r="Q40" s="66" t="n">
        <x:f>Model_Formula!$M$24*(Profiles_140!V36-Simulator!$L$22)^2*IF(Profiles_140!V36&gt;Simulator!$L$22,1+Model_Formula!$N$24,1)</x:f>
        <x:v>630</x:v>
      </x:c>
      <x:c r="R40" s="66" t="n">
        <x:f>Model_Formula!$M$25*(Profiles_140!W36-Simulator!$L$23)^2*IF(Profiles_140!W36&gt;Simulator!$L$23,1+Model_Formula!$N$25,1)</x:f>
        <x:v>15</x:v>
      </x:c>
      <x:c r="S40" s="66" t="n">
        <x:f>Model_Formula!$M$26*(Profiles_140!X36-Simulator!$L$24)^2*IF(Profiles_140!X36&gt;Simulator!$L$24,1+Model_Formula!$N$26,1)</x:f>
        <x:v>1421.875</x:v>
      </x:c>
      <x:c r="T40" s="66" t="n">
        <x:f>Model_Formula!$M$27*(Profiles_140!Y36-Simulator!$L$25)^2*IF(Profiles_140!Y36&gt;Simulator!$L$25,1+Model_Formula!$N$27,1)</x:f>
        <x:v>648</x:v>
      </x:c>
      <x:c r="U40" s="60" t="n">
        <x:f>SUM(F40:T40)/SUM(Model_Formula!$M$13:$M$27)</x:f>
        <x:v>590.5320945945946</x:v>
      </x:c>
      <x:c r="V40" s="60" t="n">
        <x:f>SQRT(U40)</x:f>
        <x:v>24.300866128485925</x:v>
      </x:c>
      <x:c r="W40" s="60" t="n">
        <x:f>MAX(0,100-V40)</x:f>
        <x:v>75.69913387151408</x:v>
      </x:c>
      <x:c r="X40" t="n">
        <x:f>RANK.EQ(W40,$W$6:$W$145,0)+COUNTIF($W$6:W40,W40)-1</x:f>
        <x:v>27</x:v>
      </x:c>
    </x:row>
    <x:row r="41">
      <x:c r="A41" t="str">
        <x:f>Profiles_140!A37</x:f>
        <x:v>ミュウ</x:v>
      </x:c>
      <x:c r="B41" t="str">
        <x:f>Profiles_140!C37</x:f>
        <x:v>ミュウ-1</x:v>
      </x:c>
      <x:c r="C41" t="str">
        <x:f>Profiles_140!D37</x:f>
        <x:v>共通プロファイル</x:v>
      </x:c>
      <x:c r="D41" t="str">
        <x:f>Profiles_140!B37</x:f>
        <x:v>アタック型</x:v>
      </x:c>
      <x:c r="E41" t="str">
        <x:f>Profiles_140!I37</x:f>
        <x:v>高</x:v>
      </x:c>
      <x:c r="F41" s="66" t="n">
        <x:f>Model_Formula!$M$13*(Profiles_140!K37-Simulator!$L$11)^2*IF(Profiles_140!K37&gt;Simulator!$L$11,1+Model_Formula!$N$13,1)</x:f>
        <x:v>100</x:v>
      </x:c>
      <x:c r="G41" s="66" t="n">
        <x:f>Model_Formula!$M$14*(Profiles_140!L37-Simulator!$L$12)^2*IF(Profiles_140!L37&gt;Simulator!$L$12,1+Model_Formula!$N$14,1)</x:f>
        <x:v>480</x:v>
      </x:c>
      <x:c r="H41" s="66" t="n">
        <x:f>Model_Formula!$M$15*(Profiles_140!M37-Simulator!$L$13)^2*IF(Profiles_140!M37&gt;Simulator!$L$13,1+Model_Formula!$N$15,1)</x:f>
        <x:v>0</x:v>
      </x:c>
      <x:c r="I41" s="66" t="n">
        <x:f>Model_Formula!$M$16*(Profiles_140!N37-Simulator!$L$14)^2*IF(Profiles_140!N37&gt;Simulator!$L$14,1+Model_Formula!$N$16,1)</x:f>
        <x:v>400</x:v>
      </x:c>
      <x:c r="J41" s="66" t="n">
        <x:f>Model_Formula!$M$17*(Profiles_140!O37-Simulator!$L$15)^2*IF(Profiles_140!O37&gt;Simulator!$L$15,1+Model_Formula!$N$17,1)</x:f>
        <x:v>900</x:v>
      </x:c>
      <x:c r="K41" s="66" t="n">
        <x:f>Model_Formula!$M$18*(Profiles_140!P37-Simulator!$L$16)^2*IF(Profiles_140!P37&gt;Simulator!$L$16,1+Model_Formula!$N$18,1)</x:f>
        <x:v>90</x:v>
      </x:c>
      <x:c r="L41" s="66" t="n">
        <x:f>Model_Formula!$M$19*(Profiles_140!Q37-Simulator!$L$17)^2*IF(Profiles_140!Q37&gt;Simulator!$L$17,1+Model_Formula!$N$19,1)</x:f>
        <x:v>22.5</x:v>
      </x:c>
      <x:c r="M41" s="66" t="n">
        <x:f>Model_Formula!$M$20*(Profiles_140!R37-Simulator!$L$18)^2*IF(Profiles_140!R37&gt;Simulator!$L$18,1+Model_Formula!$N$20,1)</x:f>
        <x:v>225</x:v>
      </x:c>
      <x:c r="N41" s="66" t="n">
        <x:f>Model_Formula!$M$21*(Profiles_140!S37-Simulator!$L$19)^2*IF(Profiles_140!S37&gt;Simulator!$L$19,1+Model_Formula!$N$21,1)</x:f>
        <x:v>30</x:v>
      </x:c>
      <x:c r="O41" s="66" t="n">
        <x:f>Model_Formula!$M$22*(Profiles_140!T37-Simulator!$L$20)^2*IF(Profiles_140!T37&gt;Simulator!$L$20,1+Model_Formula!$N$22,1)</x:f>
        <x:v>225</x:v>
      </x:c>
      <x:c r="P41" s="66" t="n">
        <x:f>Model_Formula!$M$23*(Profiles_140!U37-Simulator!$L$21)^2*IF(Profiles_140!U37&gt;Simulator!$L$21,1+Model_Formula!$N$23,1)</x:f>
        <x:v>0</x:v>
      </x:c>
      <x:c r="Q41" s="66" t="n">
        <x:f>Model_Formula!$M$24*(Profiles_140!V37-Simulator!$L$22)^2*IF(Profiles_140!V37&gt;Simulator!$L$22,1+Model_Formula!$N$24,1)</x:f>
        <x:v>157.5</x:v>
      </x:c>
      <x:c r="R41" s="66" t="n">
        <x:f>Model_Formula!$M$25*(Profiles_140!W37-Simulator!$L$23)^2*IF(Profiles_140!W37&gt;Simulator!$L$23,1+Model_Formula!$N$25,1)</x:f>
        <x:v>60</x:v>
      </x:c>
      <x:c r="S41" s="66" t="n">
        <x:f>Model_Formula!$M$26*(Profiles_140!X37-Simulator!$L$24)^2*IF(Profiles_140!X37&gt;Simulator!$L$24,1+Model_Formula!$N$26,1)</x:f>
        <x:v>4606.875</x:v>
      </x:c>
      <x:c r="T41" s="66" t="n">
        <x:f>Model_Formula!$M$27*(Profiles_140!Y37-Simulator!$L$25)^2*IF(Profiles_140!Y37&gt;Simulator!$L$25,1+Model_Formula!$N$27,1)</x:f>
        <x:v>3280.5</x:v>
      </x:c>
      <x:c r="U41" s="60" t="n">
        <x:f>SUM(F41:T41)/SUM(Model_Formula!$M$13:$M$27)</x:f>
        <x:v>714.6875</x:v>
      </x:c>
      <x:c r="V41" s="60" t="n">
        <x:f>SQRT(U41)</x:f>
        <x:v>26.733639856929322</x:v>
      </x:c>
      <x:c r="W41" s="60" t="n">
        <x:f>MAX(0,100-V41)</x:f>
        <x:v>73.26636014307067</x:v>
      </x:c>
      <x:c r="X41" t="n">
        <x:f>RANK.EQ(W41,$W$6:$W$145,0)+COUNTIF($W$6:W41,W41)-1</x:f>
        <x:v>52</x:v>
      </x:c>
    </x:row>
    <x:row r="42">
      <x:c r="A42" t="str">
        <x:f>Profiles_140!A38</x:f>
        <x:v>ミュウツー(Y)</x:v>
      </x:c>
      <x:c r="B42" t="str">
        <x:f>Profiles_140!C38</x:f>
        <x:v>ミュウツー(Y)-1</x:v>
      </x:c>
      <x:c r="C42" t="str">
        <x:f>Profiles_140!D38</x:f>
        <x:v>共通プロファイル</x:v>
      </x:c>
      <x:c r="D42" t="str">
        <x:f>Profiles_140!B38</x:f>
        <x:v>アタック型</x:v>
      </x:c>
      <x:c r="E42" t="str">
        <x:f>Profiles_140!I38</x:f>
        <x:v>高</x:v>
      </x:c>
      <x:c r="F42" s="66" t="n">
        <x:f>Model_Formula!$M$13*(Profiles_140!K38-Simulator!$L$11)^2*IF(Profiles_140!K38&gt;Simulator!$L$11,1+Model_Formula!$N$13,1)</x:f>
        <x:v>400</x:v>
      </x:c>
      <x:c r="G42" s="66" t="n">
        <x:f>Model_Formula!$M$14*(Profiles_140!L38-Simulator!$L$12)^2*IF(Profiles_140!L38&gt;Simulator!$L$12,1+Model_Formula!$N$14,1)</x:f>
        <x:v>1080</x:v>
      </x:c>
      <x:c r="H42" s="66" t="n">
        <x:f>Model_Formula!$M$15*(Profiles_140!M38-Simulator!$L$13)^2*IF(Profiles_140!M38&gt;Simulator!$L$13,1+Model_Formula!$N$15,1)</x:f>
        <x:v>900</x:v>
      </x:c>
      <x:c r="I42" s="66" t="n">
        <x:f>Model_Formula!$M$16*(Profiles_140!N38-Simulator!$L$14)^2*IF(Profiles_140!N38&gt;Simulator!$L$14,1+Model_Formula!$N$16,1)</x:f>
        <x:v>1225</x:v>
      </x:c>
      <x:c r="J42" s="66" t="n">
        <x:f>Model_Formula!$M$17*(Profiles_140!O38-Simulator!$L$15)^2*IF(Profiles_140!O38&gt;Simulator!$L$15,1+Model_Formula!$N$17,1)</x:f>
        <x:v>400</x:v>
      </x:c>
      <x:c r="K42" s="66" t="n">
        <x:f>Model_Formula!$M$18*(Profiles_140!P38-Simulator!$L$16)^2*IF(Profiles_140!P38&gt;Simulator!$L$16,1+Model_Formula!$N$18,1)</x:f>
        <x:v>22.5</x:v>
      </x:c>
      <x:c r="L42" s="66" t="n">
        <x:f>Model_Formula!$M$19*(Profiles_140!Q38-Simulator!$L$17)^2*IF(Profiles_140!Q38&gt;Simulator!$L$17,1+Model_Formula!$N$19,1)</x:f>
        <x:v>2250</x:v>
      </x:c>
      <x:c r="M42" s="66" t="n">
        <x:f>Model_Formula!$M$20*(Profiles_140!R38-Simulator!$L$18)^2*IF(Profiles_140!R38&gt;Simulator!$L$18,1+Model_Formula!$N$20,1)</x:f>
        <x:v>225</x:v>
      </x:c>
      <x:c r="N42" s="66" t="n">
        <x:f>Model_Formula!$M$21*(Profiles_140!S38-Simulator!$L$19)^2*IF(Profiles_140!S38&gt;Simulator!$L$19,1+Model_Formula!$N$21,1)</x:f>
        <x:v>1920</x:v>
      </x:c>
      <x:c r="O42" s="66" t="n">
        <x:f>Model_Formula!$M$22*(Profiles_140!T38-Simulator!$L$20)^2*IF(Profiles_140!T38&gt;Simulator!$L$20,1+Model_Formula!$N$22,1)</x:f>
        <x:v>0</x:v>
      </x:c>
      <x:c r="P42" s="66" t="n">
        <x:f>Model_Formula!$M$23*(Profiles_140!U38-Simulator!$L$21)^2*IF(Profiles_140!U38&gt;Simulator!$L$21,1+Model_Formula!$N$23,1)</x:f>
        <x:v>720</x:v>
      </x:c>
      <x:c r="Q42" s="66" t="n">
        <x:f>Model_Formula!$M$24*(Profiles_140!V38-Simulator!$L$22)^2*IF(Profiles_140!V38&gt;Simulator!$L$22,1+Model_Formula!$N$24,1)</x:f>
        <x:v>1417.5</x:v>
      </x:c>
      <x:c r="R42" s="66" t="n">
        <x:f>Model_Formula!$M$25*(Profiles_140!W38-Simulator!$L$23)^2*IF(Profiles_140!W38&gt;Simulator!$L$23,1+Model_Formula!$N$25,1)</x:f>
        <x:v>0</x:v>
      </x:c>
      <x:c r="S42" s="66" t="n">
        <x:f>Model_Formula!$M$26*(Profiles_140!X38-Simulator!$L$24)^2*IF(Profiles_140!X38&gt;Simulator!$L$24,1+Model_Formula!$N$26,1)</x:f>
        <x:v>56.875</x:v>
      </x:c>
      <x:c r="T42" s="66" t="n">
        <x:f>Model_Formula!$M$27*(Profiles_140!Y38-Simulator!$L$25)^2*IF(Profiles_140!Y38&gt;Simulator!$L$25,1+Model_Formula!$N$27,1)</x:f>
        <x:v>648</x:v>
      </x:c>
      <x:c r="U42" s="60" t="n">
        <x:f>SUM(F42:T42)/SUM(Model_Formula!$M$13:$M$27)</x:f>
        <x:v>761.1402027027027</x:v>
      </x:c>
      <x:c r="V42" s="60" t="n">
        <x:f>SQRT(U42)</x:f>
        <x:v>27.588769503236325</x:v>
      </x:c>
      <x:c r="W42" s="60" t="n">
        <x:f>MAX(0,100-V42)</x:f>
        <x:v>72.41123049676368</x:v>
      </x:c>
      <x:c r="X42" t="n">
        <x:f>RANK.EQ(W42,$W$6:$W$145,0)+COUNTIF($W$6:W42,W42)-1</x:f>
        <x:v>60</x:v>
      </x:c>
    </x:row>
    <x:row r="43">
      <x:c r="A43" t="str">
        <x:f>Profiles_140!A39</x:f>
        <x:v>ミライドン</x:v>
      </x:c>
      <x:c r="B43" t="str">
        <x:f>Profiles_140!C39</x:f>
        <x:v>ミライドン-1</x:v>
      </x:c>
      <x:c r="C43" t="str">
        <x:f>Profiles_140!D39</x:f>
        <x:v>チャージビーム＋かみなり</x:v>
      </x:c>
      <x:c r="D43" t="str">
        <x:f>Profiles_140!B39</x:f>
        <x:v>アタック型</x:v>
      </x:c>
      <x:c r="E43" t="str">
        <x:f>Profiles_140!I39</x:f>
        <x:v>高</x:v>
      </x:c>
      <x:c r="F43" s="66" t="n">
        <x:f>Model_Formula!$M$13*(Profiles_140!K39-Simulator!$L$11)^2*IF(Profiles_140!K39&gt;Simulator!$L$11,1+Model_Formula!$N$13,1)</x:f>
        <x:v>900</x:v>
      </x:c>
      <x:c r="G43" s="66" t="n">
        <x:f>Model_Formula!$M$14*(Profiles_140!L39-Simulator!$L$12)^2*IF(Profiles_140!L39&gt;Simulator!$L$12,1+Model_Formula!$N$14,1)</x:f>
        <x:v>2430</x:v>
      </x:c>
      <x:c r="H43" s="66" t="n">
        <x:f>Model_Formula!$M$15*(Profiles_140!M39-Simulator!$L$13)^2*IF(Profiles_140!M39&gt;Simulator!$L$13,1+Model_Formula!$N$15,1)</x:f>
        <x:v>900</x:v>
      </x:c>
      <x:c r="I43" s="66" t="n">
        <x:f>Model_Formula!$M$16*(Profiles_140!N39-Simulator!$L$14)^2*IF(Profiles_140!N39&gt;Simulator!$L$14,1+Model_Formula!$N$16,1)</x:f>
        <x:v>2025</x:v>
      </x:c>
      <x:c r="J43" s="66" t="n">
        <x:f>Model_Formula!$M$17*(Profiles_140!O39-Simulator!$L$15)^2*IF(Profiles_140!O39&gt;Simulator!$L$15,1+Model_Formula!$N$17,1)</x:f>
        <x:v>2500</x:v>
      </x:c>
      <x:c r="K43" s="66" t="n">
        <x:f>Model_Formula!$M$18*(Profiles_140!P39-Simulator!$L$16)^2*IF(Profiles_140!P39&gt;Simulator!$L$16,1+Model_Formula!$N$18,1)</x:f>
        <x:v>1440</x:v>
      </x:c>
      <x:c r="L43" s="66" t="n">
        <x:f>Model_Formula!$M$19*(Profiles_140!Q39-Simulator!$L$17)^2*IF(Profiles_140!Q39&gt;Simulator!$L$17,1+Model_Formula!$N$19,1)</x:f>
        <x:v>202.5</x:v>
      </x:c>
      <x:c r="M43" s="66" t="n">
        <x:f>Model_Formula!$M$20*(Profiles_140!R39-Simulator!$L$18)^2*IF(Profiles_140!R39&gt;Simulator!$L$18,1+Model_Formula!$N$20,1)</x:f>
        <x:v>25</x:v>
      </x:c>
      <x:c r="N43" s="66" t="n">
        <x:f>Model_Formula!$M$21*(Profiles_140!S39-Simulator!$L$19)^2*IF(Profiles_140!S39&gt;Simulator!$L$19,1+Model_Formula!$N$21,1)</x:f>
        <x:v>1920</x:v>
      </x:c>
      <x:c r="O43" s="66" t="n">
        <x:f>Model_Formula!$M$22*(Profiles_140!T39-Simulator!$L$20)^2*IF(Profiles_140!T39&gt;Simulator!$L$20,1+Model_Formula!$N$22,1)</x:f>
        <x:v>1225</x:v>
      </x:c>
      <x:c r="P43" s="66" t="n">
        <x:f>Model_Formula!$M$23*(Profiles_140!U39-Simulator!$L$21)^2*IF(Profiles_140!U39&gt;Simulator!$L$21,1+Model_Formula!$N$23,1)</x:f>
        <x:v>320</x:v>
      </x:c>
      <x:c r="Q43" s="66" t="n">
        <x:f>Model_Formula!$M$24*(Profiles_140!V39-Simulator!$L$22)^2*IF(Profiles_140!V39&gt;Simulator!$L$22,1+Model_Formula!$N$24,1)</x:f>
        <x:v>857.5</x:v>
      </x:c>
      <x:c r="R43" s="66" t="n">
        <x:f>Model_Formula!$M$25*(Profiles_140!W39-Simulator!$L$23)^2*IF(Profiles_140!W39&gt;Simulator!$L$23,1+Model_Formula!$N$25,1)</x:f>
        <x:v>240</x:v>
      </x:c>
      <x:c r="S43" s="66" t="n">
        <x:f>Model_Formula!$M$26*(Profiles_140!X39-Simulator!$L$24)^2*IF(Profiles_140!X39&gt;Simulator!$L$24,1+Model_Formula!$N$26,1)</x:f>
        <x:v>2047.5</x:v>
      </x:c>
      <x:c r="T43" s="66" t="n">
        <x:f>Model_Formula!$M$27*(Profiles_140!Y39-Simulator!$L$25)^2*IF(Profiles_140!Y39&gt;Simulator!$L$25,1+Model_Formula!$N$27,1)</x:f>
        <x:v>1458</x:v>
      </x:c>
      <x:c r="U43" s="60" t="n">
        <x:f>SUM(F43:T43)/SUM(Model_Formula!$M$13:$M$27)</x:f>
        <x:v>1249.3581081081081</x:v>
      </x:c>
      <x:c r="V43" s="60" t="n">
        <x:f>SQRT(U43)</x:f>
        <x:v>35.3462601714539</x:v>
      </x:c>
      <x:c r="W43" s="60" t="n">
        <x:f>MAX(0,100-V43)</x:f>
        <x:v>64.6537398285461</x:v>
      </x:c>
      <x:c r="X43" t="n">
        <x:f>RANK.EQ(W43,$W$6:$W$145,0)+COUNTIF($W$6:W43,W43)-1</x:f>
        <x:v>128</x:v>
      </x:c>
    </x:row>
    <x:row r="44">
      <x:c r="A44" t="str">
        <x:f>Profiles_140!A40</x:f>
        <x:v>ミライドン</x:v>
      </x:c>
      <x:c r="B44" t="str">
        <x:f>Profiles_140!C40</x:f>
        <x:v>ミライドン-2</x:v>
      </x:c>
      <x:c r="C44" t="str">
        <x:f>Profiles_140!D40</x:f>
        <x:v>イナズマドライブ＋パラボラチャージ</x:v>
      </x:c>
      <x:c r="D44" t="str">
        <x:f>Profiles_140!B40</x:f>
        <x:v>アタック型</x:v>
      </x:c>
      <x:c r="E44" t="str">
        <x:f>Profiles_140!I40</x:f>
        <x:v>高</x:v>
      </x:c>
      <x:c r="F44" s="66" t="n">
        <x:f>Model_Formula!$M$13*(Profiles_140!K40-Simulator!$L$11)^2*IF(Profiles_140!K40&gt;Simulator!$L$11,1+Model_Formula!$N$13,1)</x:f>
        <x:v>25</x:v>
      </x:c>
      <x:c r="G44" s="66" t="n">
        <x:f>Model_Formula!$M$14*(Profiles_140!L40-Simulator!$L$12)^2*IF(Profiles_140!L40&gt;Simulator!$L$12,1+Model_Formula!$N$14,1)</x:f>
        <x:v>2794.5</x:v>
      </x:c>
      <x:c r="H44" s="66" t="n">
        <x:f>Model_Formula!$M$15*(Profiles_140!M40-Simulator!$L$13)^2*IF(Profiles_140!M40&gt;Simulator!$L$13,1+Model_Formula!$N$15,1)</x:f>
        <x:v>900</x:v>
      </x:c>
      <x:c r="I44" s="66" t="n">
        <x:f>Model_Formula!$M$16*(Profiles_140!N40-Simulator!$L$14)^2*IF(Profiles_140!N40&gt;Simulator!$L$14,1+Model_Formula!$N$16,1)</x:f>
        <x:v>0</x:v>
      </x:c>
      <x:c r="J44" s="66" t="n">
        <x:f>Model_Formula!$M$17*(Profiles_140!O40-Simulator!$L$15)^2*IF(Profiles_140!O40&gt;Simulator!$L$15,1+Model_Formula!$N$17,1)</x:f>
        <x:v>2500</x:v>
      </x:c>
      <x:c r="K44" s="66" t="n">
        <x:f>Model_Formula!$M$18*(Profiles_140!P40-Simulator!$L$16)^2*IF(Profiles_140!P40&gt;Simulator!$L$16,1+Model_Formula!$N$18,1)</x:f>
        <x:v>562.5</x:v>
      </x:c>
      <x:c r="L44" s="66" t="n">
        <x:f>Model_Formula!$M$19*(Profiles_140!Q40-Simulator!$L$17)^2*IF(Profiles_140!Q40&gt;Simulator!$L$17,1+Model_Formula!$N$19,1)</x:f>
        <x:v>810</x:v>
      </x:c>
      <x:c r="M44" s="66" t="n">
        <x:f>Model_Formula!$M$20*(Profiles_140!R40-Simulator!$L$18)^2*IF(Profiles_140!R40&gt;Simulator!$L$18,1+Model_Formula!$N$20,1)</x:f>
        <x:v>225</x:v>
      </x:c>
      <x:c r="N44" s="66" t="n">
        <x:f>Model_Formula!$M$21*(Profiles_140!S40-Simulator!$L$19)^2*IF(Profiles_140!S40&gt;Simulator!$L$19,1+Model_Formula!$N$21,1)</x:f>
        <x:v>1920</x:v>
      </x:c>
      <x:c r="O44" s="66" t="n">
        <x:f>Model_Formula!$M$22*(Profiles_140!T40-Simulator!$L$20)^2*IF(Profiles_140!T40&gt;Simulator!$L$20,1+Model_Formula!$N$22,1)</x:f>
        <x:v>2025</x:v>
      </x:c>
      <x:c r="P44" s="66" t="n">
        <x:f>Model_Formula!$M$23*(Profiles_140!U40-Simulator!$L$21)^2*IF(Profiles_140!U40&gt;Simulator!$L$21,1+Model_Formula!$N$23,1)</x:f>
        <x:v>320</x:v>
      </x:c>
      <x:c r="Q44" s="66" t="n">
        <x:f>Model_Formula!$M$24*(Profiles_140!V40-Simulator!$L$22)^2*IF(Profiles_140!V40&gt;Simulator!$L$22,1+Model_Formula!$N$24,1)</x:f>
        <x:v>437.5</x:v>
      </x:c>
      <x:c r="R44" s="66" t="n">
        <x:f>Model_Formula!$M$25*(Profiles_140!W40-Simulator!$L$23)^2*IF(Profiles_140!W40&gt;Simulator!$L$23,1+Model_Formula!$N$25,1)</x:f>
        <x:v>135</x:v>
      </x:c>
      <x:c r="S44" s="66" t="n">
        <x:f>Model_Formula!$M$26*(Profiles_140!X40-Simulator!$L$24)^2*IF(Profiles_140!X40&gt;Simulator!$L$24,1+Model_Formula!$N$26,1)</x:f>
        <x:v>2047.5</x:v>
      </x:c>
      <x:c r="T44" s="66" t="n">
        <x:f>Model_Formula!$M$27*(Profiles_140!Y40-Simulator!$L$25)^2*IF(Profiles_140!Y40&gt;Simulator!$L$25,1+Model_Formula!$N$27,1)</x:f>
        <x:v>648</x:v>
      </x:c>
      <x:c r="U44" s="60" t="n">
        <x:f>SUM(F44:T44)/SUM(Model_Formula!$M$13:$M$27)</x:f>
        <x:v>1037.1621621621623</x:v>
      </x:c>
      <x:c r="V44" s="60" t="n">
        <x:f>SQRT(U44)</x:f>
        <x:v>32.2050021295165</x:v>
      </x:c>
      <x:c r="W44" s="60" t="n">
        <x:f>MAX(0,100-V44)</x:f>
        <x:v>67.7949978704835</x:v>
      </x:c>
      <x:c r="X44" t="n">
        <x:f>RANK.EQ(W44,$W$6:$W$145,0)+COUNTIF($W$6:W44,W44)-1</x:f>
        <x:v>113</x:v>
      </x:c>
    </x:row>
    <x:row r="45">
      <x:c r="A45" t="str">
        <x:f>Profiles_140!A41</x:f>
        <x:v>ラウドボーン</x:v>
      </x:c>
      <x:c r="B45" t="str">
        <x:f>Profiles_140!C41</x:f>
        <x:v>ラウドボーン-1</x:v>
      </x:c>
      <x:c r="C45" t="str">
        <x:f>Profiles_140!D41</x:f>
        <x:v>共通プロファイル</x:v>
      </x:c>
      <x:c r="D45" t="str">
        <x:f>Profiles_140!B41</x:f>
        <x:v>アタック型</x:v>
      </x:c>
      <x:c r="E45" t="str">
        <x:f>Profiles_140!I41</x:f>
        <x:v>中</x:v>
      </x:c>
      <x:c r="F45" s="66" t="n">
        <x:f>Model_Formula!$M$13*(Profiles_140!K41-Simulator!$L$11)^2*IF(Profiles_140!K41&gt;Simulator!$L$11,1+Model_Formula!$N$13,1)</x:f>
        <x:v>900</x:v>
      </x:c>
      <x:c r="G45" s="66" t="n">
        <x:f>Model_Formula!$M$14*(Profiles_140!L41-Simulator!$L$12)^2*IF(Profiles_140!L41&gt;Simulator!$L$12,1+Model_Formula!$N$14,1)</x:f>
        <x:v>2430</x:v>
      </x:c>
      <x:c r="H45" s="66" t="n">
        <x:f>Model_Formula!$M$15*(Profiles_140!M41-Simulator!$L$13)^2*IF(Profiles_140!M41&gt;Simulator!$L$13,1+Model_Formula!$N$15,1)</x:f>
        <x:v>900</x:v>
      </x:c>
      <x:c r="I45" s="66" t="n">
        <x:f>Model_Formula!$M$16*(Profiles_140!N41-Simulator!$L$14)^2*IF(Profiles_140!N41&gt;Simulator!$L$14,1+Model_Formula!$N$16,1)</x:f>
        <x:v>2025</x:v>
      </x:c>
      <x:c r="J45" s="66" t="n">
        <x:f>Model_Formula!$M$17*(Profiles_140!O41-Simulator!$L$15)^2*IF(Profiles_140!O41&gt;Simulator!$L$15,1+Model_Formula!$N$17,1)</x:f>
        <x:v>2500</x:v>
      </x:c>
      <x:c r="K45" s="66" t="n">
        <x:f>Model_Formula!$M$18*(Profiles_140!P41-Simulator!$L$16)^2*IF(Profiles_140!P41&gt;Simulator!$L$16,1+Model_Formula!$N$18,1)</x:f>
        <x:v>2250</x:v>
      </x:c>
      <x:c r="L45" s="66" t="n">
        <x:f>Model_Formula!$M$19*(Profiles_140!Q41-Simulator!$L$17)^2*IF(Profiles_140!Q41&gt;Simulator!$L$17,1+Model_Formula!$N$19,1)</x:f>
        <x:v>90</x:v>
      </x:c>
      <x:c r="M45" s="66" t="n">
        <x:f>Model_Formula!$M$20*(Profiles_140!R41-Simulator!$L$18)^2*IF(Profiles_140!R41&gt;Simulator!$L$18,1+Model_Formula!$N$20,1)</x:f>
        <x:v>25</x:v>
      </x:c>
      <x:c r="N45" s="66" t="n">
        <x:f>Model_Formula!$M$21*(Profiles_140!S41-Simulator!$L$19)^2*IF(Profiles_140!S41&gt;Simulator!$L$19,1+Model_Formula!$N$21,1)</x:f>
        <x:v>1920</x:v>
      </x:c>
      <x:c r="O45" s="66" t="n">
        <x:f>Model_Formula!$M$22*(Profiles_140!T41-Simulator!$L$20)^2*IF(Profiles_140!T41&gt;Simulator!$L$20,1+Model_Formula!$N$22,1)</x:f>
        <x:v>1600</x:v>
      </x:c>
      <x:c r="P45" s="66" t="n">
        <x:f>Model_Formula!$M$23*(Profiles_140!U41-Simulator!$L$21)^2*IF(Profiles_140!U41&gt;Simulator!$L$21,1+Model_Formula!$N$23,1)</x:f>
        <x:v>320</x:v>
      </x:c>
      <x:c r="Q45" s="66" t="n">
        <x:f>Model_Formula!$M$24*(Profiles_140!V41-Simulator!$L$22)^2*IF(Profiles_140!V41&gt;Simulator!$L$22,1+Model_Formula!$N$24,1)</x:f>
        <x:v>857.5</x:v>
      </x:c>
      <x:c r="R45" s="66" t="n">
        <x:f>Model_Formula!$M$25*(Profiles_140!W41-Simulator!$L$23)^2*IF(Profiles_140!W41&gt;Simulator!$L$23,1+Model_Formula!$N$25,1)</x:f>
        <x:v>240</x:v>
      </x:c>
      <x:c r="S45" s="66" t="n">
        <x:f>Model_Formula!$M$26*(Profiles_140!X41-Simulator!$L$24)^2*IF(Profiles_140!X41&gt;Simulator!$L$24,1+Model_Formula!$N$26,1)</x:f>
        <x:v>2047.5</x:v>
      </x:c>
      <x:c r="T45" s="66" t="n">
        <x:f>Model_Formula!$M$27*(Profiles_140!Y41-Simulator!$L$25)^2*IF(Profiles_140!Y41&gt;Simulator!$L$25,1+Model_Formula!$N$27,1)</x:f>
        <x:v>1458</x:v>
      </x:c>
      <x:c r="U45" s="60" t="n">
        <x:f>SUM(F45:T45)/SUM(Model_Formula!$M$13:$M$27)</x:f>
        <x:v>1321.8243243243244</x:v>
      </x:c>
      <x:c r="V45" s="60" t="n">
        <x:f>SQRT(U45)</x:f>
        <x:v>36.35690201769568</x:v>
      </x:c>
      <x:c r="W45" s="60" t="n">
        <x:f>MAX(0,100-V45)</x:f>
        <x:v>63.64309798230432</x:v>
      </x:c>
      <x:c r="X45" t="n">
        <x:f>RANK.EQ(W45,$W$6:$W$145,0)+COUNTIF($W$6:W45,W45)-1</x:f>
        <x:v>132</x:v>
      </x:c>
    </x:row>
    <x:row r="46">
      <x:c r="A46" t="str">
        <x:f>Profiles_140!A42</x:f>
        <x:v>ラティオス</x:v>
      </x:c>
      <x:c r="B46" t="str">
        <x:f>Profiles_140!C42</x:f>
        <x:v>ラティオス-1</x:v>
      </x:c>
      <x:c r="C46" t="str">
        <x:f>Profiles_140!D42</x:f>
        <x:v>共通プロファイル</x:v>
      </x:c>
      <x:c r="D46" t="str">
        <x:f>Profiles_140!B42</x:f>
        <x:v>アタック型</x:v>
      </x:c>
      <x:c r="E46" t="str">
        <x:f>Profiles_140!I42</x:f>
        <x:v>高</x:v>
      </x:c>
      <x:c r="F46" s="66" t="n">
        <x:f>Model_Formula!$M$13*(Profiles_140!K42-Simulator!$L$11)^2*IF(Profiles_140!K42&gt;Simulator!$L$11,1+Model_Formula!$N$13,1)</x:f>
        <x:v>400</x:v>
      </x:c>
      <x:c r="G46" s="66" t="n">
        <x:f>Model_Formula!$M$14*(Profiles_140!L42-Simulator!$L$12)^2*IF(Profiles_140!L42&gt;Simulator!$L$12,1+Model_Formula!$N$14,1)</x:f>
        <x:v>1920</x:v>
      </x:c>
      <x:c r="H46" s="66" t="n">
        <x:f>Model_Formula!$M$15*(Profiles_140!M42-Simulator!$L$13)^2*IF(Profiles_140!M42&gt;Simulator!$L$13,1+Model_Formula!$N$15,1)</x:f>
        <x:v>100</x:v>
      </x:c>
      <x:c r="I46" s="66" t="n">
        <x:f>Model_Formula!$M$16*(Profiles_140!N42-Simulator!$L$14)^2*IF(Profiles_140!N42&gt;Simulator!$L$14,1+Model_Formula!$N$16,1)</x:f>
        <x:v>1600</x:v>
      </x:c>
      <x:c r="J46" s="66" t="n">
        <x:f>Model_Formula!$M$17*(Profiles_140!O42-Simulator!$L$15)^2*IF(Profiles_140!O42&gt;Simulator!$L$15,1+Model_Formula!$N$17,1)</x:f>
        <x:v>1600</x:v>
      </x:c>
      <x:c r="K46" s="66" t="n">
        <x:f>Model_Formula!$M$18*(Profiles_140!P42-Simulator!$L$16)^2*IF(Profiles_140!P42&gt;Simulator!$L$16,1+Model_Formula!$N$18,1)</x:f>
        <x:v>2250</x:v>
      </x:c>
      <x:c r="L46" s="66" t="n">
        <x:f>Model_Formula!$M$19*(Profiles_140!Q42-Simulator!$L$17)^2*IF(Profiles_140!Q42&gt;Simulator!$L$17,1+Model_Formula!$N$19,1)</x:f>
        <x:v>0</x:v>
      </x:c>
      <x:c r="M46" s="66" t="n">
        <x:f>Model_Formula!$M$20*(Profiles_140!R42-Simulator!$L$18)^2*IF(Profiles_140!R42&gt;Simulator!$L$18,1+Model_Formula!$N$20,1)</x:f>
        <x:v>225</x:v>
      </x:c>
      <x:c r="N46" s="66" t="n">
        <x:f>Model_Formula!$M$21*(Profiles_140!S42-Simulator!$L$19)^2*IF(Profiles_140!S42&gt;Simulator!$L$19,1+Model_Formula!$N$21,1)</x:f>
        <x:v>1470</x:v>
      </x:c>
      <x:c r="O46" s="66" t="n">
        <x:f>Model_Formula!$M$22*(Profiles_140!T42-Simulator!$L$20)^2*IF(Profiles_140!T42&gt;Simulator!$L$20,1+Model_Formula!$N$22,1)</x:f>
        <x:v>100</x:v>
      </x:c>
      <x:c r="P46" s="66" t="n">
        <x:f>Model_Formula!$M$23*(Profiles_140!U42-Simulator!$L$21)^2*IF(Profiles_140!U42&gt;Simulator!$L$21,1+Model_Formula!$N$23,1)</x:f>
        <x:v>500</x:v>
      </x:c>
      <x:c r="Q46" s="66" t="n">
        <x:f>Model_Formula!$M$24*(Profiles_140!V42-Simulator!$L$22)^2*IF(Profiles_140!V42&gt;Simulator!$L$22,1+Model_Formula!$N$24,1)</x:f>
        <x:v>280</x:v>
      </x:c>
      <x:c r="R46" s="66" t="n">
        <x:f>Model_Formula!$M$25*(Profiles_140!W42-Simulator!$L$23)^2*IF(Profiles_140!W42&gt;Simulator!$L$23,1+Model_Formula!$N$25,1)</x:f>
        <x:v>135</x:v>
      </x:c>
      <x:c r="S46" s="66" t="n">
        <x:f>Model_Formula!$M$26*(Profiles_140!X42-Simulator!$L$24)^2*IF(Profiles_140!X42&gt;Simulator!$L$24,1+Model_Formula!$N$26,1)</x:f>
        <x:v>511.875</x:v>
      </x:c>
      <x:c r="T46" s="66" t="n">
        <x:f>Model_Formula!$M$27*(Profiles_140!Y42-Simulator!$L$25)^2*IF(Profiles_140!Y42&gt;Simulator!$L$25,1+Model_Formula!$N$27,1)</x:f>
        <x:v>1012.5000000000001</x:v>
      </x:c>
      <x:c r="U46" s="60" t="n">
        <x:f>SUM(F46:T46)/SUM(Model_Formula!$M$13:$M$27)</x:f>
        <x:v>817.8631756756757</x:v>
      </x:c>
      <x:c r="V46" s="60" t="n">
        <x:f>SQRT(U46)</x:f>
        <x:v>28.598307216960862</x:v>
      </x:c>
      <x:c r="W46" s="60" t="n">
        <x:f>MAX(0,100-V46)</x:f>
        <x:v>71.40169278303914</x:v>
      </x:c>
      <x:c r="X46" t="n">
        <x:f>RANK.EQ(W46,$W$6:$W$145,0)+COUNTIF($W$6:W46,W46)-1</x:f>
        <x:v>68</x:v>
      </x:c>
    </x:row>
    <x:row r="47">
      <x:c r="A47" t="str">
        <x:f>Profiles_140!A43</x:f>
        <x:v>レシラム</x:v>
      </x:c>
      <x:c r="B47" t="str">
        <x:f>Profiles_140!C43</x:f>
        <x:v>レシラム-1</x:v>
      </x:c>
      <x:c r="C47" t="str">
        <x:f>Profiles_140!D43</x:f>
        <x:v>共通プロファイル</x:v>
      </x:c>
      <x:c r="D47" t="str">
        <x:f>Profiles_140!B43</x:f>
        <x:v>アタック型</x:v>
      </x:c>
      <x:c r="E47" t="str">
        <x:f>Profiles_140!I43</x:f>
        <x:v>低</x:v>
      </x:c>
      <x:c r="F47" s="66" t="n">
        <x:f>Model_Formula!$M$13*(Profiles_140!K43-Simulator!$L$11)^2*IF(Profiles_140!K43&gt;Simulator!$L$11,1+Model_Formula!$N$13,1)</x:f>
        <x:v>100</x:v>
      </x:c>
      <x:c r="G47" s="66" t="n">
        <x:f>Model_Formula!$M$14*(Profiles_140!L43-Simulator!$L$12)^2*IF(Profiles_140!L43&gt;Simulator!$L$12,1+Model_Formula!$N$14,1)</x:f>
        <x:v>270</x:v>
      </x:c>
      <x:c r="H47" s="66" t="n">
        <x:f>Model_Formula!$M$15*(Profiles_140!M43-Simulator!$L$13)^2*IF(Profiles_140!M43&gt;Simulator!$L$13,1+Model_Formula!$N$15,1)</x:f>
        <x:v>400</x:v>
      </x:c>
      <x:c r="I47" s="66" t="n">
        <x:f>Model_Formula!$M$16*(Profiles_140!N43-Simulator!$L$14)^2*IF(Profiles_140!N43&gt;Simulator!$L$14,1+Model_Formula!$N$16,1)</x:f>
        <x:v>400</x:v>
      </x:c>
      <x:c r="J47" s="66" t="n">
        <x:f>Model_Formula!$M$17*(Profiles_140!O43-Simulator!$L$15)^2*IF(Profiles_140!O43&gt;Simulator!$L$15,1+Model_Formula!$N$17,1)</x:f>
        <x:v>400</x:v>
      </x:c>
      <x:c r="K47" s="66" t="n">
        <x:f>Model_Formula!$M$18*(Profiles_140!P43-Simulator!$L$16)^2*IF(Profiles_140!P43&gt;Simulator!$L$16,1+Model_Formula!$N$18,1)</x:f>
        <x:v>202.5</x:v>
      </x:c>
      <x:c r="L47" s="66" t="n">
        <x:f>Model_Formula!$M$19*(Profiles_140!Q43-Simulator!$L$17)^2*IF(Profiles_140!Q43&gt;Simulator!$L$17,1+Model_Formula!$N$19,1)</x:f>
        <x:v>1822.5</x:v>
      </x:c>
      <x:c r="M47" s="66" t="n">
        <x:f>Model_Formula!$M$20*(Profiles_140!R43-Simulator!$L$18)^2*IF(Profiles_140!R43&gt;Simulator!$L$18,1+Model_Formula!$N$20,1)</x:f>
        <x:v>25</x:v>
      </x:c>
      <x:c r="N47" s="66" t="n">
        <x:f>Model_Formula!$M$21*(Profiles_140!S43-Simulator!$L$19)^2*IF(Profiles_140!S43&gt;Simulator!$L$19,1+Model_Formula!$N$21,1)</x:f>
        <x:v>1470</x:v>
      </x:c>
      <x:c r="O47" s="66" t="n">
        <x:f>Model_Formula!$M$22*(Profiles_140!T43-Simulator!$L$20)^2*IF(Profiles_140!T43&gt;Simulator!$L$20,1+Model_Formula!$N$22,1)</x:f>
        <x:v>25</x:v>
      </x:c>
      <x:c r="P47" s="66" t="n">
        <x:f>Model_Formula!$M$23*(Profiles_140!U43-Simulator!$L$21)^2*IF(Profiles_140!U43&gt;Simulator!$L$21,1+Model_Formula!$N$23,1)</x:f>
        <x:v>720</x:v>
      </x:c>
      <x:c r="Q47" s="66" t="n">
        <x:f>Model_Formula!$M$24*(Profiles_140!V43-Simulator!$L$22)^2*IF(Profiles_140!V43&gt;Simulator!$L$22,1+Model_Formula!$N$24,1)</x:f>
        <x:v>630</x:v>
      </x:c>
      <x:c r="R47" s="66" t="n">
        <x:f>Model_Formula!$M$25*(Profiles_140!W43-Simulator!$L$23)^2*IF(Profiles_140!W43&gt;Simulator!$L$23,1+Model_Formula!$N$25,1)</x:f>
        <x:v>15</x:v>
      </x:c>
      <x:c r="S47" s="66" t="n">
        <x:f>Model_Formula!$M$26*(Profiles_140!X43-Simulator!$L$24)^2*IF(Profiles_140!X43&gt;Simulator!$L$24,1+Model_Formula!$N$26,1)</x:f>
        <x:v>511.875</x:v>
      </x:c>
      <x:c r="T47" s="66" t="n">
        <x:f>Model_Formula!$M$27*(Profiles_140!Y43-Simulator!$L$25)^2*IF(Profiles_140!Y43&gt;Simulator!$L$25,1+Model_Formula!$N$27,1)</x:f>
        <x:v>648</x:v>
      </x:c>
      <x:c r="U47" s="60" t="n">
        <x:f>SUM(F47:T47)/SUM(Model_Formula!$M$13:$M$27)</x:f>
        <x:v>516.2077702702703</x:v>
      </x:c>
      <x:c r="V47" s="60" t="n">
        <x:f>SQRT(U47)</x:f>
        <x:v>22.72020621099796</x:v>
      </x:c>
      <x:c r="W47" s="60" t="n">
        <x:f>MAX(0,100-V47)</x:f>
        <x:v>77.27979378900204</x:v>
      </x:c>
      <x:c r="X47" t="n">
        <x:f>RANK.EQ(W47,$W$6:$W$145,0)+COUNTIF($W$6:W47,W47)-1</x:f>
        <x:v>11</x:v>
      </x:c>
    </x:row>
    <x:row r="48">
      <x:c r="A48" t="str">
        <x:f>Profiles_140!A44</x:f>
        <x:v>ストリンダー</x:v>
      </x:c>
      <x:c r="B48" t="str">
        <x:f>Profiles_140!C44</x:f>
        <x:v>ストリンダー-1</x:v>
      </x:c>
      <x:c r="C48" t="str">
        <x:f>Profiles_140!D44</x:f>
        <x:v>共通プロファイル</x:v>
      </x:c>
      <x:c r="D48" t="str">
        <x:f>Profiles_140!B44</x:f>
        <x:v>アタック型</x:v>
      </x:c>
      <x:c r="E48" t="str">
        <x:f>Profiles_140!I44</x:f>
        <x:v>低</x:v>
      </x:c>
      <x:c r="F48" s="66" t="n">
        <x:f>Model_Formula!$M$13*(Profiles_140!K44-Simulator!$L$11)^2*IF(Profiles_140!K44&gt;Simulator!$L$11,1+Model_Formula!$N$13,1)</x:f>
        <x:v>400</x:v>
      </x:c>
      <x:c r="G48" s="66" t="n">
        <x:f>Model_Formula!$M$14*(Profiles_140!L44-Simulator!$L$12)^2*IF(Profiles_140!L44&gt;Simulator!$L$12,1+Model_Formula!$N$14,1)</x:f>
        <x:v>1080</x:v>
      </x:c>
      <x:c r="H48" s="66" t="n">
        <x:f>Model_Formula!$M$15*(Profiles_140!M44-Simulator!$L$13)^2*IF(Profiles_140!M44&gt;Simulator!$L$13,1+Model_Formula!$N$15,1)</x:f>
        <x:v>900</x:v>
      </x:c>
      <x:c r="I48" s="66" t="n">
        <x:f>Model_Formula!$M$16*(Profiles_140!N44-Simulator!$L$14)^2*IF(Profiles_140!N44&gt;Simulator!$L$14,1+Model_Formula!$N$16,1)</x:f>
        <x:v>1225</x:v>
      </x:c>
      <x:c r="J48" s="66" t="n">
        <x:f>Model_Formula!$M$17*(Profiles_140!O44-Simulator!$L$15)^2*IF(Profiles_140!O44&gt;Simulator!$L$15,1+Model_Formula!$N$17,1)</x:f>
        <x:v>625</x:v>
      </x:c>
      <x:c r="K48" s="66" t="n">
        <x:f>Model_Formula!$M$18*(Profiles_140!P44-Simulator!$L$16)^2*IF(Profiles_140!P44&gt;Simulator!$L$16,1+Model_Formula!$N$18,1)</x:f>
        <x:v>22.5</x:v>
      </x:c>
      <x:c r="L48" s="66" t="n">
        <x:f>Model_Formula!$M$19*(Profiles_140!Q44-Simulator!$L$17)^2*IF(Profiles_140!Q44&gt;Simulator!$L$17,1+Model_Formula!$N$19,1)</x:f>
        <x:v>2250</x:v>
      </x:c>
      <x:c r="M48" s="66" t="n">
        <x:f>Model_Formula!$M$20*(Profiles_140!R44-Simulator!$L$18)^2*IF(Profiles_140!R44&gt;Simulator!$L$18,1+Model_Formula!$N$20,1)</x:f>
        <x:v>400</x:v>
      </x:c>
      <x:c r="N48" s="66" t="n">
        <x:f>Model_Formula!$M$21*(Profiles_140!S44-Simulator!$L$19)^2*IF(Profiles_140!S44&gt;Simulator!$L$19,1+Model_Formula!$N$21,1)</x:f>
        <x:v>1920</x:v>
      </x:c>
      <x:c r="O48" s="66" t="n">
        <x:f>Model_Formula!$M$22*(Profiles_140!T44-Simulator!$L$20)^2*IF(Profiles_140!T44&gt;Simulator!$L$20,1+Model_Formula!$N$22,1)</x:f>
        <x:v>0</x:v>
      </x:c>
      <x:c r="P48" s="66" t="n">
        <x:f>Model_Formula!$M$23*(Profiles_140!U44-Simulator!$L$21)^2*IF(Profiles_140!U44&gt;Simulator!$L$21,1+Model_Formula!$N$23,1)</x:f>
        <x:v>720</x:v>
      </x:c>
      <x:c r="Q48" s="66" t="n">
        <x:f>Model_Formula!$M$24*(Profiles_140!V44-Simulator!$L$22)^2*IF(Profiles_140!V44&gt;Simulator!$L$22,1+Model_Formula!$N$24,1)</x:f>
        <x:v>1417.5</x:v>
      </x:c>
      <x:c r="R48" s="66" t="n">
        <x:f>Model_Formula!$M$25*(Profiles_140!W44-Simulator!$L$23)^2*IF(Profiles_140!W44&gt;Simulator!$L$23,1+Model_Formula!$N$25,1)</x:f>
        <x:v>0</x:v>
      </x:c>
      <x:c r="S48" s="66" t="n">
        <x:f>Model_Formula!$M$26*(Profiles_140!X44-Simulator!$L$24)^2*IF(Profiles_140!X44&gt;Simulator!$L$24,1+Model_Formula!$N$26,1)</x:f>
        <x:v>511.875</x:v>
      </x:c>
      <x:c r="T48" s="66" t="n">
        <x:f>Model_Formula!$M$27*(Profiles_140!Y44-Simulator!$L$25)^2*IF(Profiles_140!Y44&gt;Simulator!$L$25,1+Model_Formula!$N$27,1)</x:f>
        <x:v>1012.5000000000001</x:v>
      </x:c>
      <x:c r="U48" s="60" t="n">
        <x:f>SUM(F48:T48)/SUM(Model_Formula!$M$13:$M$27)</x:f>
        <x:v>843.5388513513515</x:v>
      </x:c>
      <x:c r="V48" s="60" t="n">
        <x:f>SQRT(U48)</x:f>
        <x:v>29.043740312696496</x:v>
      </x:c>
      <x:c r="W48" s="60" t="n">
        <x:f>MAX(0,100-V48)</x:f>
        <x:v>70.9562596873035</x:v>
      </x:c>
      <x:c r="X48" t="n">
        <x:f>RANK.EQ(W48,$W$6:$W$145,0)+COUNTIF($W$6:W48,W48)-1</x:f>
        <x:v>72</x:v>
      </x:c>
    </x:row>
    <x:row r="49">
      <x:c r="A49" t="str">
        <x:f>Profiles_140!A45</x:f>
        <x:v>アマージョ</x:v>
      </x:c>
      <x:c r="B49" t="str">
        <x:f>Profiles_140!C45</x:f>
        <x:v>アマージョ-1</x:v>
      </x:c>
      <x:c r="C49" t="str">
        <x:f>Profiles_140!D45</x:f>
        <x:v>ふみつけ＋トロピカルキック</x:v>
      </x:c>
      <x:c r="D49" t="str">
        <x:f>Profiles_140!B45</x:f>
        <x:v>バランス型</x:v>
      </x:c>
      <x:c r="E49" t="str">
        <x:f>Profiles_140!I45</x:f>
        <x:v>高</x:v>
      </x:c>
      <x:c r="F49" s="66" t="n">
        <x:f>Model_Formula!$M$13*(Profiles_140!K45-Simulator!$L$11)^2*IF(Profiles_140!K45&gt;Simulator!$L$11,1+Model_Formula!$N$13,1)</x:f>
        <x:v>25</x:v>
      </x:c>
      <x:c r="G49" s="66" t="n">
        <x:f>Model_Formula!$M$14*(Profiles_140!L45-Simulator!$L$12)^2*IF(Profiles_140!L45&gt;Simulator!$L$12,1+Model_Formula!$N$14,1)</x:f>
        <x:v>862.4999999999999</x:v>
      </x:c>
      <x:c r="H49" s="66" t="n">
        <x:f>Model_Formula!$M$15*(Profiles_140!M45-Simulator!$L$13)^2*IF(Profiles_140!M45&gt;Simulator!$L$13,1+Model_Formula!$N$15,1)</x:f>
        <x:v>625</x:v>
      </x:c>
      <x:c r="I49" s="66" t="n">
        <x:f>Model_Formula!$M$16*(Profiles_140!N45-Simulator!$L$14)^2*IF(Profiles_140!N45&gt;Simulator!$L$14,1+Model_Formula!$N$16,1)</x:f>
        <x:v>225</x:v>
      </x:c>
      <x:c r="J49" s="66" t="n">
        <x:f>Model_Formula!$M$17*(Profiles_140!O45-Simulator!$L$15)^2*IF(Profiles_140!O45&gt;Simulator!$L$15,1+Model_Formula!$N$17,1)</x:f>
        <x:v>900</x:v>
      </x:c>
      <x:c r="K49" s="66" t="n">
        <x:f>Model_Formula!$M$18*(Profiles_140!P45-Simulator!$L$16)^2*IF(Profiles_140!P45&gt;Simulator!$L$16,1+Model_Formula!$N$18,1)</x:f>
        <x:v>810</x:v>
      </x:c>
      <x:c r="L49" s="66" t="n">
        <x:f>Model_Formula!$M$19*(Profiles_140!Q45-Simulator!$L$17)^2*IF(Profiles_140!Q45&gt;Simulator!$L$17,1+Model_Formula!$N$19,1)</x:f>
        <x:v>810</x:v>
      </x:c>
      <x:c r="M49" s="66" t="n">
        <x:f>Model_Formula!$M$20*(Profiles_140!R45-Simulator!$L$18)^2*IF(Profiles_140!R45&gt;Simulator!$L$18,1+Model_Formula!$N$20,1)</x:f>
        <x:v>25</x:v>
      </x:c>
      <x:c r="N49" s="66" t="n">
        <x:f>Model_Formula!$M$21*(Profiles_140!S45-Simulator!$L$19)^2*IF(Profiles_140!S45&gt;Simulator!$L$19,1+Model_Formula!$N$21,1)</x:f>
        <x:v>1920</x:v>
      </x:c>
      <x:c r="O49" s="66" t="n">
        <x:f>Model_Formula!$M$22*(Profiles_140!T45-Simulator!$L$20)^2*IF(Profiles_140!T45&gt;Simulator!$L$20,1+Model_Formula!$N$22,1)</x:f>
        <x:v>625</x:v>
      </x:c>
      <x:c r="P49" s="66" t="n">
        <x:f>Model_Formula!$M$23*(Profiles_140!U45-Simulator!$L$21)^2*IF(Profiles_140!U45&gt;Simulator!$L$21,1+Model_Formula!$N$23,1)</x:f>
        <x:v>500</x:v>
      </x:c>
      <x:c r="Q49" s="66" t="n">
        <x:f>Model_Formula!$M$24*(Profiles_140!V45-Simulator!$L$22)^2*IF(Profiles_140!V45&gt;Simulator!$L$22,1+Model_Formula!$N$24,1)</x:f>
        <x:v>437.5</x:v>
      </x:c>
      <x:c r="R49" s="66" t="n">
        <x:f>Model_Formula!$M$25*(Profiles_140!W45-Simulator!$L$23)^2*IF(Profiles_140!W45&gt;Simulator!$L$23,1+Model_Formula!$N$25,1)</x:f>
        <x:v>60</x:v>
      </x:c>
      <x:c r="S49" s="66" t="n">
        <x:f>Model_Formula!$M$26*(Profiles_140!X45-Simulator!$L$24)^2*IF(Profiles_140!X45&gt;Simulator!$L$24,1+Model_Formula!$N$26,1)</x:f>
        <x:v>910</x:v>
      </x:c>
      <x:c r="T49" s="66" t="n">
        <x:f>Model_Formula!$M$27*(Profiles_140!Y45-Simulator!$L$25)^2*IF(Profiles_140!Y45&gt;Simulator!$L$25,1+Model_Formula!$N$27,1)</x:f>
        <x:v>364.5</x:v>
      </x:c>
      <x:c r="U49" s="60" t="n">
        <x:f>SUM(F49:T49)/SUM(Model_Formula!$M$13:$M$27)</x:f>
        <x:v>614.8310810810812</x:v>
      </x:c>
      <x:c r="V49" s="60" t="n">
        <x:f>SQRT(U49)</x:f>
        <x:v>24.795787567267976</x:v>
      </x:c>
      <x:c r="W49" s="60" t="n">
        <x:f>MAX(0,100-V49)</x:f>
        <x:v>75.20421243273202</x:v>
      </x:c>
      <x:c r="X49" t="n">
        <x:f>RANK.EQ(W49,$W$6:$W$145,0)+COUNTIF($W$6:W49,W49)-1</x:f>
        <x:v>32</x:v>
      </x:c>
    </x:row>
    <x:row r="50">
      <x:c r="A50" t="str">
        <x:f>Profiles_140!A46</x:f>
        <x:v>アマージョ</x:v>
      </x:c>
      <x:c r="B50" t="str">
        <x:f>Profiles_140!C46</x:f>
        <x:v>アマージョ-2</x:v>
      </x:c>
      <x:c r="C50" t="str">
        <x:f>Profiles_140!D46</x:f>
        <x:v>トリプルアクセル＋グラススライダー</x:v>
      </x:c>
      <x:c r="D50" t="str">
        <x:f>Profiles_140!B46</x:f>
        <x:v>バランス型</x:v>
      </x:c>
      <x:c r="E50" t="str">
        <x:f>Profiles_140!I46</x:f>
        <x:v>高</x:v>
      </x:c>
      <x:c r="F50" s="66" t="n">
        <x:f>Model_Formula!$M$13*(Profiles_140!K46-Simulator!$L$11)^2*IF(Profiles_140!K46&gt;Simulator!$L$11,1+Model_Formula!$N$13,1)</x:f>
        <x:v>25</x:v>
      </x:c>
      <x:c r="G50" s="66" t="n">
        <x:f>Model_Formula!$M$14*(Profiles_140!L46-Simulator!$L$12)^2*IF(Profiles_140!L46&gt;Simulator!$L$12,1+Model_Formula!$N$14,1)</x:f>
        <x:v>862.4999999999999</x:v>
      </x:c>
      <x:c r="H50" s="66" t="n">
        <x:f>Model_Formula!$M$15*(Profiles_140!M46-Simulator!$L$13)^2*IF(Profiles_140!M46&gt;Simulator!$L$13,1+Model_Formula!$N$15,1)</x:f>
        <x:v>625</x:v>
      </x:c>
      <x:c r="I50" s="66" t="n">
        <x:f>Model_Formula!$M$16*(Profiles_140!N46-Simulator!$L$14)^2*IF(Profiles_140!N46&gt;Simulator!$L$14,1+Model_Formula!$N$16,1)</x:f>
        <x:v>400</x:v>
      </x:c>
      <x:c r="J50" s="66" t="n">
        <x:f>Model_Formula!$M$17*(Profiles_140!O46-Simulator!$L$15)^2*IF(Profiles_140!O46&gt;Simulator!$L$15,1+Model_Formula!$N$17,1)</x:f>
        <x:v>900</x:v>
      </x:c>
      <x:c r="K50" s="66" t="n">
        <x:f>Model_Formula!$M$18*(Profiles_140!P46-Simulator!$L$16)^2*IF(Profiles_140!P46&gt;Simulator!$L$16,1+Model_Formula!$N$18,1)</x:f>
        <x:v>22.5</x:v>
      </x:c>
      <x:c r="L50" s="66" t="n">
        <x:f>Model_Formula!$M$19*(Profiles_140!Q46-Simulator!$L$17)^2*IF(Profiles_140!Q46&gt;Simulator!$L$17,1+Model_Formula!$N$19,1)</x:f>
        <x:v>2250</x:v>
      </x:c>
      <x:c r="M50" s="66" t="n">
        <x:f>Model_Formula!$M$20*(Profiles_140!R46-Simulator!$L$18)^2*IF(Profiles_140!R46&gt;Simulator!$L$18,1+Model_Formula!$N$20,1)</x:f>
        <x:v>225</x:v>
      </x:c>
      <x:c r="N50" s="66" t="n">
        <x:f>Model_Formula!$M$21*(Profiles_140!S46-Simulator!$L$19)^2*IF(Profiles_140!S46&gt;Simulator!$L$19,1+Model_Formula!$N$21,1)</x:f>
        <x:v>1920</x:v>
      </x:c>
      <x:c r="O50" s="66" t="n">
        <x:f>Model_Formula!$M$22*(Profiles_140!T46-Simulator!$L$20)^2*IF(Profiles_140!T46&gt;Simulator!$L$20,1+Model_Formula!$N$22,1)</x:f>
        <x:v>900</x:v>
      </x:c>
      <x:c r="P50" s="66" t="n">
        <x:f>Model_Formula!$M$23*(Profiles_140!U46-Simulator!$L$21)^2*IF(Profiles_140!U46&gt;Simulator!$L$21,1+Model_Formula!$N$23,1)</x:f>
        <x:v>500</x:v>
      </x:c>
      <x:c r="Q50" s="66" t="n">
        <x:f>Model_Formula!$M$24*(Profiles_140!V46-Simulator!$L$22)^2*IF(Profiles_140!V46&gt;Simulator!$L$22,1+Model_Formula!$N$24,1)</x:f>
        <x:v>437.5</x:v>
      </x:c>
      <x:c r="R50" s="66" t="n">
        <x:f>Model_Formula!$M$25*(Profiles_140!W46-Simulator!$L$23)^2*IF(Profiles_140!W46&gt;Simulator!$L$23,1+Model_Formula!$N$25,1)</x:f>
        <x:v>60</x:v>
      </x:c>
      <x:c r="S50" s="66" t="n">
        <x:f>Model_Formula!$M$26*(Profiles_140!X46-Simulator!$L$24)^2*IF(Profiles_140!X46&gt;Simulator!$L$24,1+Model_Formula!$N$26,1)</x:f>
        <x:v>910</x:v>
      </x:c>
      <x:c r="T50" s="66" t="n">
        <x:f>Model_Formula!$M$27*(Profiles_140!Y46-Simulator!$L$25)^2*IF(Profiles_140!Y46&gt;Simulator!$L$25,1+Model_Formula!$N$27,1)</x:f>
        <x:v>364.5</x:v>
      </x:c>
      <x:c r="U50" s="60" t="n">
        <x:f>SUM(F50:T50)/SUM(Model_Formula!$M$13:$M$27)</x:f>
        <x:v>702.8378378378379</x:v>
      </x:c>
      <x:c r="V50" s="60" t="n">
        <x:f>SQRT(U50)</x:f>
        <x:v>26.511088959864285</x:v>
      </x:c>
      <x:c r="W50" s="60" t="n">
        <x:f>MAX(0,100-V50)</x:f>
        <x:v>73.48891104013572</x:v>
      </x:c>
      <x:c r="X50" t="n">
        <x:f>RANK.EQ(W50,$W$6:$W$145,0)+COUNTIF($W$6:W50,W50)-1</x:f>
        <x:v>50</x:v>
      </x:c>
    </x:row>
    <x:row r="51">
      <x:c r="A51" t="str">
        <x:f>Profiles_140!A47</x:f>
        <x:v>ウェーニバル</x:v>
      </x:c>
      <x:c r="B51" t="str">
        <x:f>Profiles_140!C47</x:f>
        <x:v>ウェーニバル-1</x:v>
      </x:c>
      <x:c r="C51" t="str">
        <x:f>Profiles_140!D47</x:f>
        <x:v>共通プロファイル</x:v>
      </x:c>
      <x:c r="D51" t="str">
        <x:f>Profiles_140!B47</x:f>
        <x:v>バランス型</x:v>
      </x:c>
      <x:c r="E51" t="str">
        <x:f>Profiles_140!I47</x:f>
        <x:v>中</x:v>
      </x:c>
      <x:c r="F51" s="66" t="n">
        <x:f>Model_Formula!$M$13*(Profiles_140!K47-Simulator!$L$11)^2*IF(Profiles_140!K47&gt;Simulator!$L$11,1+Model_Formula!$N$13,1)</x:f>
        <x:v>25</x:v>
      </x:c>
      <x:c r="G51" s="66" t="n">
        <x:f>Model_Formula!$M$14*(Profiles_140!L47-Simulator!$L$12)^2*IF(Profiles_140!L47&gt;Simulator!$L$12,1+Model_Formula!$N$14,1)</x:f>
        <x:v>862.4999999999999</x:v>
      </x:c>
      <x:c r="H51" s="66" t="n">
        <x:f>Model_Formula!$M$15*(Profiles_140!M47-Simulator!$L$13)^2*IF(Profiles_140!M47&gt;Simulator!$L$13,1+Model_Formula!$N$15,1)</x:f>
        <x:v>625</x:v>
      </x:c>
      <x:c r="I51" s="66" t="n">
        <x:f>Model_Formula!$M$16*(Profiles_140!N47-Simulator!$L$14)^2*IF(Profiles_140!N47&gt;Simulator!$L$14,1+Model_Formula!$N$16,1)</x:f>
        <x:v>225</x:v>
      </x:c>
      <x:c r="J51" s="66" t="n">
        <x:f>Model_Formula!$M$17*(Profiles_140!O47-Simulator!$L$15)^2*IF(Profiles_140!O47&gt;Simulator!$L$15,1+Model_Formula!$N$17,1)</x:f>
        <x:v>900</x:v>
      </x:c>
      <x:c r="K51" s="66" t="n">
        <x:f>Model_Formula!$M$18*(Profiles_140!P47-Simulator!$L$16)^2*IF(Profiles_140!P47&gt;Simulator!$L$16,1+Model_Formula!$N$18,1)</x:f>
        <x:v>22.5</x:v>
      </x:c>
      <x:c r="L51" s="66" t="n">
        <x:f>Model_Formula!$M$19*(Profiles_140!Q47-Simulator!$L$17)^2*IF(Profiles_140!Q47&gt;Simulator!$L$17,1+Model_Formula!$N$19,1)</x:f>
        <x:v>2250</x:v>
      </x:c>
      <x:c r="M51" s="66" t="n">
        <x:f>Model_Formula!$M$20*(Profiles_140!R47-Simulator!$L$18)^2*IF(Profiles_140!R47&gt;Simulator!$L$18,1+Model_Formula!$N$20,1)</x:f>
        <x:v>225</x:v>
      </x:c>
      <x:c r="N51" s="66" t="n">
        <x:f>Model_Formula!$M$21*(Profiles_140!S47-Simulator!$L$19)^2*IF(Profiles_140!S47&gt;Simulator!$L$19,1+Model_Formula!$N$21,1)</x:f>
        <x:v>1920</x:v>
      </x:c>
      <x:c r="O51" s="66" t="n">
        <x:f>Model_Formula!$M$22*(Profiles_140!T47-Simulator!$L$20)^2*IF(Profiles_140!T47&gt;Simulator!$L$20,1+Model_Formula!$N$22,1)</x:f>
        <x:v>1225</x:v>
      </x:c>
      <x:c r="P51" s="66" t="n">
        <x:f>Model_Formula!$M$23*(Profiles_140!U47-Simulator!$L$21)^2*IF(Profiles_140!U47&gt;Simulator!$L$21,1+Model_Formula!$N$23,1)</x:f>
        <x:v>500</x:v>
      </x:c>
      <x:c r="Q51" s="66" t="n">
        <x:f>Model_Formula!$M$24*(Profiles_140!V47-Simulator!$L$22)^2*IF(Profiles_140!V47&gt;Simulator!$L$22,1+Model_Formula!$N$24,1)</x:f>
        <x:v>437.5</x:v>
      </x:c>
      <x:c r="R51" s="66" t="n">
        <x:f>Model_Formula!$M$25*(Profiles_140!W47-Simulator!$L$23)^2*IF(Profiles_140!W47&gt;Simulator!$L$23,1+Model_Formula!$N$25,1)</x:f>
        <x:v>60</x:v>
      </x:c>
      <x:c r="S51" s="66" t="n">
        <x:f>Model_Formula!$M$26*(Profiles_140!X47-Simulator!$L$24)^2*IF(Profiles_140!X47&gt;Simulator!$L$24,1+Model_Formula!$N$26,1)</x:f>
        <x:v>910</x:v>
      </x:c>
      <x:c r="T51" s="66" t="n">
        <x:f>Model_Formula!$M$27*(Profiles_140!Y47-Simulator!$L$25)^2*IF(Profiles_140!Y47&gt;Simulator!$L$25,1+Model_Formula!$N$27,1)</x:f>
        <x:v>364.5</x:v>
      </x:c>
      <x:c r="U51" s="60" t="n">
        <x:f>SUM(F51:T51)/SUM(Model_Formula!$M$13:$M$27)</x:f>
        <x:v>712.972972972973</x:v>
      </x:c>
      <x:c r="V51" s="60" t="n">
        <x:f>SQRT(U51)</x:f>
        <x:v>26.70155375578307</x:v>
      </x:c>
      <x:c r="W51" s="60" t="n">
        <x:f>MAX(0,100-V51)</x:f>
        <x:v>73.29844624421693</x:v>
      </x:c>
      <x:c r="X51" t="n">
        <x:f>RANK.EQ(W51,$W$6:$W$145,0)+COUNTIF($W$6:W51,W51)-1</x:f>
        <x:v>51</x:v>
      </x:c>
    </x:row>
    <x:row r="52">
      <x:c r="A52" t="str">
        <x:f>Profiles_140!A48</x:f>
        <x:v>ウーラオス</x:v>
      </x:c>
      <x:c r="B52" t="str">
        <x:f>Profiles_140!C48</x:f>
        <x:v>ウーラオス-1</x:v>
      </x:c>
      <x:c r="C52" t="str">
        <x:f>Profiles_140!D48</x:f>
        <x:v>あんこくきょうだ＋じごくづき</x:v>
      </x:c>
      <x:c r="D52" t="str">
        <x:f>Profiles_140!B48</x:f>
        <x:v>バランス型</x:v>
      </x:c>
      <x:c r="E52" t="str">
        <x:f>Profiles_140!I48</x:f>
        <x:v>高</x:v>
      </x:c>
      <x:c r="F52" s="66" t="n">
        <x:f>Model_Formula!$M$13*(Profiles_140!K48-Simulator!$L$11)^2*IF(Profiles_140!K48&gt;Simulator!$L$11,1+Model_Formula!$N$13,1)</x:f>
        <x:v>400</x:v>
      </x:c>
      <x:c r="G52" s="66" t="n">
        <x:f>Model_Formula!$M$14*(Profiles_140!L48-Simulator!$L$12)^2*IF(Profiles_140!L48&gt;Simulator!$L$12,1+Model_Formula!$N$14,1)</x:f>
        <x:v>2794.5</x:v>
      </x:c>
      <x:c r="H52" s="66" t="n">
        <x:f>Model_Formula!$M$15*(Profiles_140!M48-Simulator!$L$13)^2*IF(Profiles_140!M48&gt;Simulator!$L$13,1+Model_Formula!$N$15,1)</x:f>
        <x:v>900</x:v>
      </x:c>
      <x:c r="I52" s="66" t="n">
        <x:f>Model_Formula!$M$16*(Profiles_140!N48-Simulator!$L$14)^2*IF(Profiles_140!N48&gt;Simulator!$L$14,1+Model_Formula!$N$16,1)</x:f>
        <x:v>25</x:v>
      </x:c>
      <x:c r="J52" s="66" t="n">
        <x:f>Model_Formula!$M$17*(Profiles_140!O48-Simulator!$L$15)^2*IF(Profiles_140!O48&gt;Simulator!$L$15,1+Model_Formula!$N$17,1)</x:f>
        <x:v>1225</x:v>
      </x:c>
      <x:c r="K52" s="66" t="n">
        <x:f>Model_Formula!$M$18*(Profiles_140!P48-Simulator!$L$16)^2*IF(Profiles_140!P48&gt;Simulator!$L$16,1+Model_Formula!$N$18,1)</x:f>
        <x:v>1822.5</x:v>
      </x:c>
      <x:c r="L52" s="66" t="n">
        <x:f>Model_Formula!$M$19*(Profiles_140!Q48-Simulator!$L$17)^2*IF(Profiles_140!Q48&gt;Simulator!$L$17,1+Model_Formula!$N$19,1)</x:f>
        <x:v>22.5</x:v>
      </x:c>
      <x:c r="M52" s="66" t="n">
        <x:f>Model_Formula!$M$20*(Profiles_140!R48-Simulator!$L$18)^2*IF(Profiles_140!R48&gt;Simulator!$L$18,1+Model_Formula!$N$20,1)</x:f>
        <x:v>100</x:v>
      </x:c>
      <x:c r="N52" s="66" t="n">
        <x:f>Model_Formula!$M$21*(Profiles_140!S48-Simulator!$L$19)^2*IF(Profiles_140!S48&gt;Simulator!$L$19,1+Model_Formula!$N$21,1)</x:f>
        <x:v>1920</x:v>
      </x:c>
      <x:c r="O52" s="66" t="n">
        <x:f>Model_Formula!$M$22*(Profiles_140!T48-Simulator!$L$20)^2*IF(Profiles_140!T48&gt;Simulator!$L$20,1+Model_Formula!$N$22,1)</x:f>
        <x:v>1225</x:v>
      </x:c>
      <x:c r="P52" s="66" t="n">
        <x:f>Model_Formula!$M$23*(Profiles_140!U48-Simulator!$L$21)^2*IF(Profiles_140!U48&gt;Simulator!$L$21,1+Model_Formula!$N$23,1)</x:f>
        <x:v>320</x:v>
      </x:c>
      <x:c r="Q52" s="66" t="n">
        <x:f>Model_Formula!$M$24*(Profiles_140!V48-Simulator!$L$22)^2*IF(Profiles_140!V48&gt;Simulator!$L$22,1+Model_Formula!$N$24,1)</x:f>
        <x:v>437.5</x:v>
      </x:c>
      <x:c r="R52" s="66" t="n">
        <x:f>Model_Formula!$M$25*(Profiles_140!W48-Simulator!$L$23)^2*IF(Profiles_140!W48&gt;Simulator!$L$23,1+Model_Formula!$N$25,1)</x:f>
        <x:v>135</x:v>
      </x:c>
      <x:c r="S52" s="66" t="n">
        <x:f>Model_Formula!$M$26*(Profiles_140!X48-Simulator!$L$24)^2*IF(Profiles_140!X48&gt;Simulator!$L$24,1+Model_Formula!$N$26,1)</x:f>
        <x:v>1421.875</x:v>
      </x:c>
      <x:c r="T52" s="66" t="n">
        <x:f>Model_Formula!$M$27*(Profiles_140!Y48-Simulator!$L$25)^2*IF(Profiles_140!Y48&gt;Simulator!$L$25,1+Model_Formula!$N$27,1)</x:f>
        <x:v>648</x:v>
      </x:c>
      <x:c r="U52" s="60" t="n">
        <x:f>SUM(F52:T52)/SUM(Model_Formula!$M$13:$M$27)</x:f>
        <x:v>905.1942567567568</x:v>
      </x:c>
      <x:c r="V52" s="60" t="n">
        <x:f>SQRT(U52)</x:f>
        <x:v>30.086446396288757</x:v>
      </x:c>
      <x:c r="W52" s="60" t="n">
        <x:f>MAX(0,100-V52)</x:f>
        <x:v>69.91355360371125</x:v>
      </x:c>
      <x:c r="X52" t="n">
        <x:f>RANK.EQ(W52,$W$6:$W$145,0)+COUNTIF($W$6:W52,W52)-1</x:f>
        <x:v>91</x:v>
      </x:c>
    </x:row>
    <x:row r="53">
      <x:c r="A53" t="str">
        <x:f>Profiles_140!A49</x:f>
        <x:v>ウーラオス</x:v>
      </x:c>
      <x:c r="B53" t="str">
        <x:f>Profiles_140!C49</x:f>
        <x:v>ウーラオス-2</x:v>
      </x:c>
      <x:c r="C53" t="str">
        <x:f>Profiles_140!D49</x:f>
        <x:v>すいりゅうれんだ＋アクアブレイク</x:v>
      </x:c>
      <x:c r="D53" t="str">
        <x:f>Profiles_140!B49</x:f>
        <x:v>バランス型</x:v>
      </x:c>
      <x:c r="E53" t="str">
        <x:f>Profiles_140!I49</x:f>
        <x:v>高</x:v>
      </x:c>
      <x:c r="F53" s="66" t="n">
        <x:f>Model_Formula!$M$13*(Profiles_140!K49-Simulator!$L$11)^2*IF(Profiles_140!K49&gt;Simulator!$L$11,1+Model_Formula!$N$13,1)</x:f>
        <x:v>100</x:v>
      </x:c>
      <x:c r="G53" s="66" t="n">
        <x:f>Model_Formula!$M$14*(Profiles_140!L49-Simulator!$L$12)^2*IF(Profiles_140!L49&gt;Simulator!$L$12,1+Model_Formula!$N$14,1)</x:f>
        <x:v>1242</x:v>
      </x:c>
      <x:c r="H53" s="66" t="n">
        <x:f>Model_Formula!$M$15*(Profiles_140!M49-Simulator!$L$13)^2*IF(Profiles_140!M49&gt;Simulator!$L$13,1+Model_Formula!$N$15,1)</x:f>
        <x:v>625</x:v>
      </x:c>
      <x:c r="I53" s="66" t="n">
        <x:f>Model_Formula!$M$16*(Profiles_140!N49-Simulator!$L$14)^2*IF(Profiles_140!N49&gt;Simulator!$L$14,1+Model_Formula!$N$16,1)</x:f>
        <x:v>400</x:v>
      </x:c>
      <x:c r="J53" s="66" t="n">
        <x:f>Model_Formula!$M$17*(Profiles_140!O49-Simulator!$L$15)^2*IF(Profiles_140!O49&gt;Simulator!$L$15,1+Model_Formula!$N$17,1)</x:f>
        <x:v>900</x:v>
      </x:c>
      <x:c r="K53" s="66" t="n">
        <x:f>Model_Formula!$M$18*(Profiles_140!P49-Simulator!$L$16)^2*IF(Profiles_140!P49&gt;Simulator!$L$16,1+Model_Formula!$N$18,1)</x:f>
        <x:v>90</x:v>
      </x:c>
      <x:c r="L53" s="66" t="n">
        <x:f>Model_Formula!$M$19*(Profiles_140!Q49-Simulator!$L$17)^2*IF(Profiles_140!Q49&gt;Simulator!$L$17,1+Model_Formula!$N$19,1)</x:f>
        <x:v>2250</x:v>
      </x:c>
      <x:c r="M53" s="66" t="n">
        <x:f>Model_Formula!$M$20*(Profiles_140!R49-Simulator!$L$18)^2*IF(Profiles_140!R49&gt;Simulator!$L$18,1+Model_Formula!$N$20,1)</x:f>
        <x:v>100</x:v>
      </x:c>
      <x:c r="N53" s="66" t="n">
        <x:f>Model_Formula!$M$21*(Profiles_140!S49-Simulator!$L$19)^2*IF(Profiles_140!S49&gt;Simulator!$L$19,1+Model_Formula!$N$21,1)</x:f>
        <x:v>1920</x:v>
      </x:c>
      <x:c r="O53" s="66" t="n">
        <x:f>Model_Formula!$M$22*(Profiles_140!T49-Simulator!$L$20)^2*IF(Profiles_140!T49&gt;Simulator!$L$20,1+Model_Formula!$N$22,1)</x:f>
        <x:v>1225</x:v>
      </x:c>
      <x:c r="P53" s="66" t="n">
        <x:f>Model_Formula!$M$23*(Profiles_140!U49-Simulator!$L$21)^2*IF(Profiles_140!U49&gt;Simulator!$L$21,1+Model_Formula!$N$23,1)</x:f>
        <x:v>320</x:v>
      </x:c>
      <x:c r="Q53" s="66" t="n">
        <x:f>Model_Formula!$M$24*(Profiles_140!V49-Simulator!$L$22)^2*IF(Profiles_140!V49&gt;Simulator!$L$22,1+Model_Formula!$N$24,1)</x:f>
        <x:v>437.5</x:v>
      </x:c>
      <x:c r="R53" s="66" t="n">
        <x:f>Model_Formula!$M$25*(Profiles_140!W49-Simulator!$L$23)^2*IF(Profiles_140!W49&gt;Simulator!$L$23,1+Model_Formula!$N$25,1)</x:f>
        <x:v>60</x:v>
      </x:c>
      <x:c r="S53" s="66" t="n">
        <x:f>Model_Formula!$M$26*(Profiles_140!X49-Simulator!$L$24)^2*IF(Profiles_140!X49&gt;Simulator!$L$24,1+Model_Formula!$N$26,1)</x:f>
        <x:v>910</x:v>
      </x:c>
      <x:c r="T53" s="66" t="n">
        <x:f>Model_Formula!$M$27*(Profiles_140!Y49-Simulator!$L$25)^2*IF(Profiles_140!Y49&gt;Simulator!$L$25,1+Model_Formula!$N$27,1)</x:f>
        <x:v>364.5</x:v>
      </x:c>
      <x:c r="U53" s="60" t="n">
        <x:f>SUM(F53:T53)/SUM(Model_Formula!$M$13:$M$27)</x:f>
        <x:v>739.4594594594595</x:v>
      </x:c>
      <x:c r="V53" s="60" t="n">
        <x:f>SQRT(U53)</x:f>
        <x:v>27.193003869735676</x:v>
      </x:c>
      <x:c r="W53" s="60" t="n">
        <x:f>MAX(0,100-V53)</x:f>
        <x:v>72.80699613026432</x:v>
      </x:c>
      <x:c r="X53" t="n">
        <x:f>RANK.EQ(W53,$W$6:$W$145,0)+COUNTIF($W$6:W53,W53)-1</x:f>
        <x:v>58</x:v>
      </x:c>
    </x:row>
    <x:row r="54">
      <x:c r="A54" t="str">
        <x:f>Profiles_140!A50</x:f>
        <x:v>エンペルト</x:v>
      </x:c>
      <x:c r="B54" t="str">
        <x:f>Profiles_140!C50</x:f>
        <x:v>エンペルト-1</x:v>
      </x:c>
      <x:c r="C54" t="str">
        <x:f>Profiles_140!D50</x:f>
        <x:v>共通プロファイル</x:v>
      </x:c>
      <x:c r="D54" t="str">
        <x:f>Profiles_140!B50</x:f>
        <x:v>バランス型</x:v>
      </x:c>
      <x:c r="E54" t="str">
        <x:f>Profiles_140!I50</x:f>
        <x:v>高</x:v>
      </x:c>
      <x:c r="F54" s="66" t="n">
        <x:f>Model_Formula!$M$13*(Profiles_140!K50-Simulator!$L$11)^2*IF(Profiles_140!K50&gt;Simulator!$L$11,1+Model_Formula!$N$13,1)</x:f>
        <x:v>25</x:v>
      </x:c>
      <x:c r="G54" s="66" t="n">
        <x:f>Model_Formula!$M$14*(Profiles_140!L50-Simulator!$L$12)^2*IF(Profiles_140!L50&gt;Simulator!$L$12,1+Model_Formula!$N$14,1)</x:f>
        <x:v>0</x:v>
      </x:c>
      <x:c r="H54" s="66" t="n">
        <x:f>Model_Formula!$M$15*(Profiles_140!M50-Simulator!$L$13)^2*IF(Profiles_140!M50&gt;Simulator!$L$13,1+Model_Formula!$N$15,1)</x:f>
        <x:v>100</x:v>
      </x:c>
      <x:c r="I54" s="66" t="n">
        <x:f>Model_Formula!$M$16*(Profiles_140!N50-Simulator!$L$14)^2*IF(Profiles_140!N50&gt;Simulator!$L$14,1+Model_Formula!$N$16,1)</x:f>
        <x:v>2500</x:v>
      </x:c>
      <x:c r="J54" s="66" t="n">
        <x:f>Model_Formula!$M$17*(Profiles_140!O50-Simulator!$L$15)^2*IF(Profiles_140!O50&gt;Simulator!$L$15,1+Model_Formula!$N$17,1)</x:f>
        <x:v>1225</x:v>
      </x:c>
      <x:c r="K54" s="66" t="n">
        <x:f>Model_Formula!$M$18*(Profiles_140!P50-Simulator!$L$16)^2*IF(Profiles_140!P50&gt;Simulator!$L$16,1+Model_Formula!$N$18,1)</x:f>
        <x:v>90</x:v>
      </x:c>
      <x:c r="L54" s="66" t="n">
        <x:f>Model_Formula!$M$19*(Profiles_140!Q50-Simulator!$L$17)^2*IF(Profiles_140!Q50&gt;Simulator!$L$17,1+Model_Formula!$N$19,1)</x:f>
        <x:v>1440</x:v>
      </x:c>
      <x:c r="M54" s="66" t="n">
        <x:f>Model_Formula!$M$20*(Profiles_140!R50-Simulator!$L$18)^2*IF(Profiles_140!R50&gt;Simulator!$L$18,1+Model_Formula!$N$20,1)</x:f>
        <x:v>25</x:v>
      </x:c>
      <x:c r="N54" s="66" t="n">
        <x:f>Model_Formula!$M$21*(Profiles_140!S50-Simulator!$L$19)^2*IF(Profiles_140!S50&gt;Simulator!$L$19,1+Model_Formula!$N$21,1)</x:f>
        <x:v>1080</x:v>
      </x:c>
      <x:c r="O54" s="66" t="n">
        <x:f>Model_Formula!$M$22*(Profiles_140!T50-Simulator!$L$20)^2*IF(Profiles_140!T50&gt;Simulator!$L$20,1+Model_Formula!$N$22,1)</x:f>
        <x:v>400</x:v>
      </x:c>
      <x:c r="P54" s="66" t="n">
        <x:f>Model_Formula!$M$23*(Profiles_140!U50-Simulator!$L$21)^2*IF(Profiles_140!U50&gt;Simulator!$L$21,1+Model_Formula!$N$23,1)</x:f>
        <x:v>720</x:v>
      </x:c>
      <x:c r="Q54" s="66" t="n">
        <x:f>Model_Formula!$M$24*(Profiles_140!V50-Simulator!$L$22)^2*IF(Profiles_140!V50&gt;Simulator!$L$22,1+Model_Formula!$N$24,1)</x:f>
        <x:v>630</x:v>
      </x:c>
      <x:c r="R54" s="66" t="n">
        <x:f>Model_Formula!$M$25*(Profiles_140!W50-Simulator!$L$23)^2*IF(Profiles_140!W50&gt;Simulator!$L$23,1+Model_Formula!$N$25,1)</x:f>
        <x:v>15</x:v>
      </x:c>
      <x:c r="S54" s="66" t="n">
        <x:f>Model_Formula!$M$26*(Profiles_140!X50-Simulator!$L$24)^2*IF(Profiles_140!X50&gt;Simulator!$L$24,1+Model_Formula!$N$26,1)</x:f>
        <x:v>0</x:v>
      </x:c>
      <x:c r="T54" s="66" t="n">
        <x:f>Model_Formula!$M$27*(Profiles_140!Y50-Simulator!$L$25)^2*IF(Profiles_140!Y50&gt;Simulator!$L$25,1+Model_Formula!$N$27,1)</x:f>
        <x:v>162</x:v>
      </x:c>
      <x:c r="U54" s="60" t="n">
        <x:f>SUM(F54:T54)/SUM(Model_Formula!$M$13:$M$27)</x:f>
        <x:v>568.3783783783784</x:v>
      </x:c>
      <x:c r="V54" s="60" t="n">
        <x:f>SQRT(U54)</x:f>
        <x:v>23.840687456077656</x:v>
      </x:c>
      <x:c r="W54" s="60" t="n">
        <x:f>MAX(0,100-V54)</x:f>
        <x:v>76.15931254392234</x:v>
      </x:c>
      <x:c r="X54" t="n">
        <x:f>RANK.EQ(W54,$W$6:$W$145,0)+COUNTIF($W$6:W54,W54)-1</x:f>
        <x:v>23</x:v>
      </x:c>
    </x:row>
    <x:row r="55">
      <x:c r="A55" t="str">
        <x:f>Profiles_140!A51</x:f>
        <x:v>オーダイル</x:v>
      </x:c>
      <x:c r="B55" t="str">
        <x:f>Profiles_140!C51</x:f>
        <x:v>オーダイル-1</x:v>
      </x:c>
      <x:c r="C55" t="str">
        <x:f>Profiles_140!D51</x:f>
        <x:v>共通プロファイル</x:v>
      </x:c>
      <x:c r="D55" t="str">
        <x:f>Profiles_140!B51</x:f>
        <x:v>バランス型</x:v>
      </x:c>
      <x:c r="E55" t="str">
        <x:f>Profiles_140!I51</x:f>
        <x:v>中</x:v>
      </x:c>
      <x:c r="F55" s="66" t="n">
        <x:f>Model_Formula!$M$13*(Profiles_140!K51-Simulator!$L$11)^2*IF(Profiles_140!K51&gt;Simulator!$L$11,1+Model_Formula!$N$13,1)</x:f>
        <x:v>625</x:v>
      </x:c>
      <x:c r="G55" s="66" t="n">
        <x:f>Model_Formula!$M$14*(Profiles_140!L51-Simulator!$L$12)^2*IF(Profiles_140!L51&gt;Simulator!$L$12,1+Model_Formula!$N$14,1)</x:f>
        <x:v>2794.5</x:v>
      </x:c>
      <x:c r="H55" s="66" t="n">
        <x:f>Model_Formula!$M$15*(Profiles_140!M51-Simulator!$L$13)^2*IF(Profiles_140!M51&gt;Simulator!$L$13,1+Model_Formula!$N$15,1)</x:f>
        <x:v>625</x:v>
      </x:c>
      <x:c r="I55" s="66" t="n">
        <x:f>Model_Formula!$M$16*(Profiles_140!N51-Simulator!$L$14)^2*IF(Profiles_140!N51&gt;Simulator!$L$14,1+Model_Formula!$N$16,1)</x:f>
        <x:v>225</x:v>
      </x:c>
      <x:c r="J55" s="66" t="n">
        <x:f>Model_Formula!$M$17*(Profiles_140!O51-Simulator!$L$15)^2*IF(Profiles_140!O51&gt;Simulator!$L$15,1+Model_Formula!$N$17,1)</x:f>
        <x:v>1225</x:v>
      </x:c>
      <x:c r="K55" s="66" t="n">
        <x:f>Model_Formula!$M$18*(Profiles_140!P51-Simulator!$L$16)^2*IF(Profiles_140!P51&gt;Simulator!$L$16,1+Model_Formula!$N$18,1)</x:f>
        <x:v>1102.5</x:v>
      </x:c>
      <x:c r="L55" s="66" t="n">
        <x:f>Model_Formula!$M$19*(Profiles_140!Q51-Simulator!$L$17)^2*IF(Profiles_140!Q51&gt;Simulator!$L$17,1+Model_Formula!$N$19,1)</x:f>
        <x:v>562.5</x:v>
      </x:c>
      <x:c r="M55" s="66" t="n">
        <x:f>Model_Formula!$M$20*(Profiles_140!R51-Simulator!$L$18)^2*IF(Profiles_140!R51&gt;Simulator!$L$18,1+Model_Formula!$N$20,1)</x:f>
        <x:v>100</x:v>
      </x:c>
      <x:c r="N55" s="66" t="n">
        <x:f>Model_Formula!$M$21*(Profiles_140!S51-Simulator!$L$19)^2*IF(Profiles_140!S51&gt;Simulator!$L$19,1+Model_Formula!$N$21,1)</x:f>
        <x:v>1920</x:v>
      </x:c>
      <x:c r="O55" s="66" t="n">
        <x:f>Model_Formula!$M$22*(Profiles_140!T51-Simulator!$L$20)^2*IF(Profiles_140!T51&gt;Simulator!$L$20,1+Model_Formula!$N$22,1)</x:f>
        <x:v>1600</x:v>
      </x:c>
      <x:c r="P55" s="66" t="n">
        <x:f>Model_Formula!$M$23*(Profiles_140!U51-Simulator!$L$21)^2*IF(Profiles_140!U51&gt;Simulator!$L$21,1+Model_Formula!$N$23,1)</x:f>
        <x:v>320</x:v>
      </x:c>
      <x:c r="Q55" s="66" t="n">
        <x:f>Model_Formula!$M$24*(Profiles_140!V51-Simulator!$L$22)^2*IF(Profiles_140!V51&gt;Simulator!$L$22,1+Model_Formula!$N$24,1)</x:f>
        <x:v>280</x:v>
      </x:c>
      <x:c r="R55" s="66" t="n">
        <x:f>Model_Formula!$M$25*(Profiles_140!W51-Simulator!$L$23)^2*IF(Profiles_140!W51&gt;Simulator!$L$23,1+Model_Formula!$N$25,1)</x:f>
        <x:v>60</x:v>
      </x:c>
      <x:c r="S55" s="66" t="n">
        <x:f>Model_Formula!$M$26*(Profiles_140!X51-Simulator!$L$24)^2*IF(Profiles_140!X51&gt;Simulator!$L$24,1+Model_Formula!$N$26,1)</x:f>
        <x:v>910</x:v>
      </x:c>
      <x:c r="T55" s="66" t="n">
        <x:f>Model_Formula!$M$27*(Profiles_140!Y51-Simulator!$L$25)^2*IF(Profiles_140!Y51&gt;Simulator!$L$25,1+Model_Formula!$N$27,1)</x:f>
        <x:v>648</x:v>
      </x:c>
      <x:c r="U55" s="60" t="n">
        <x:f>SUM(F55:T55)/SUM(Model_Formula!$M$13:$M$27)</x:f>
        <x:v>878.2094594594595</x:v>
      </x:c>
      <x:c r="V55" s="60" t="n">
        <x:f>SQRT(U55)</x:f>
        <x:v>29.634599026466674</x:v>
      </x:c>
      <x:c r="W55" s="60" t="n">
        <x:f>MAX(0,100-V55)</x:f>
        <x:v>70.36540097353333</x:v>
      </x:c>
      <x:c r="X55" t="n">
        <x:f>RANK.EQ(W55,$W$6:$W$145,0)+COUNTIF($W$6:W55,W55)-1</x:f>
        <x:v>83</x:v>
      </x:c>
    </x:row>
    <x:row r="56">
      <x:c r="A56" t="str">
        <x:f>Profiles_140!A52</x:f>
        <x:v>カイリキー</x:v>
      </x:c>
      <x:c r="B56" t="str">
        <x:f>Profiles_140!C52</x:f>
        <x:v>カイリキー-1</x:v>
      </x:c>
      <x:c r="C56" t="str">
        <x:f>Profiles_140!D52</x:f>
        <x:v>共通プロファイル</x:v>
      </x:c>
      <x:c r="D56" t="str">
        <x:f>Profiles_140!B52</x:f>
        <x:v>バランス型</x:v>
      </x:c>
      <x:c r="E56" t="str">
        <x:f>Profiles_140!I52</x:f>
        <x:v>高</x:v>
      </x:c>
      <x:c r="F56" s="66" t="n">
        <x:f>Model_Formula!$M$13*(Profiles_140!K52-Simulator!$L$11)^2*IF(Profiles_140!K52&gt;Simulator!$L$11,1+Model_Formula!$N$13,1)</x:f>
        <x:v>625</x:v>
      </x:c>
      <x:c r="G56" s="66" t="n">
        <x:f>Model_Formula!$M$14*(Profiles_140!L52-Simulator!$L$12)^2*IF(Profiles_140!L52&gt;Simulator!$L$12,1+Model_Formula!$N$14,1)</x:f>
        <x:v>2794.5</x:v>
      </x:c>
      <x:c r="H56" s="66" t="n">
        <x:f>Model_Formula!$M$15*(Profiles_140!M52-Simulator!$L$13)^2*IF(Profiles_140!M52&gt;Simulator!$L$13,1+Model_Formula!$N$15,1)</x:f>
        <x:v>625</x:v>
      </x:c>
      <x:c r="I56" s="66" t="n">
        <x:f>Model_Formula!$M$16*(Profiles_140!N52-Simulator!$L$14)^2*IF(Profiles_140!N52&gt;Simulator!$L$14,1+Model_Formula!$N$16,1)</x:f>
        <x:v>225</x:v>
      </x:c>
      <x:c r="J56" s="66" t="n">
        <x:f>Model_Formula!$M$17*(Profiles_140!O52-Simulator!$L$15)^2*IF(Profiles_140!O52&gt;Simulator!$L$15,1+Model_Formula!$N$17,1)</x:f>
        <x:v>1225</x:v>
      </x:c>
      <x:c r="K56" s="66" t="n">
        <x:f>Model_Formula!$M$18*(Profiles_140!P52-Simulator!$L$16)^2*IF(Profiles_140!P52&gt;Simulator!$L$16,1+Model_Formula!$N$18,1)</x:f>
        <x:v>1102.5</x:v>
      </x:c>
      <x:c r="L56" s="66" t="n">
        <x:f>Model_Formula!$M$19*(Profiles_140!Q52-Simulator!$L$17)^2*IF(Profiles_140!Q52&gt;Simulator!$L$17,1+Model_Formula!$N$19,1)</x:f>
        <x:v>360</x:v>
      </x:c>
      <x:c r="M56" s="66" t="n">
        <x:f>Model_Formula!$M$20*(Profiles_140!R52-Simulator!$L$18)^2*IF(Profiles_140!R52&gt;Simulator!$L$18,1+Model_Formula!$N$20,1)</x:f>
        <x:v>25</x:v>
      </x:c>
      <x:c r="N56" s="66" t="n">
        <x:f>Model_Formula!$M$21*(Profiles_140!S52-Simulator!$L$19)^2*IF(Profiles_140!S52&gt;Simulator!$L$19,1+Model_Formula!$N$21,1)</x:f>
        <x:v>1920</x:v>
      </x:c>
      <x:c r="O56" s="66" t="n">
        <x:f>Model_Formula!$M$22*(Profiles_140!T52-Simulator!$L$20)^2*IF(Profiles_140!T52&gt;Simulator!$L$20,1+Model_Formula!$N$22,1)</x:f>
        <x:v>900</x:v>
      </x:c>
      <x:c r="P56" s="66" t="n">
        <x:f>Model_Formula!$M$23*(Profiles_140!U52-Simulator!$L$21)^2*IF(Profiles_140!U52&gt;Simulator!$L$21,1+Model_Formula!$N$23,1)</x:f>
        <x:v>320</x:v>
      </x:c>
      <x:c r="Q56" s="66" t="n">
        <x:f>Model_Formula!$M$24*(Profiles_140!V52-Simulator!$L$22)^2*IF(Profiles_140!V52&gt;Simulator!$L$22,1+Model_Formula!$N$24,1)</x:f>
        <x:v>280</x:v>
      </x:c>
      <x:c r="R56" s="66" t="n">
        <x:f>Model_Formula!$M$25*(Profiles_140!W52-Simulator!$L$23)^2*IF(Profiles_140!W52&gt;Simulator!$L$23,1+Model_Formula!$N$25,1)</x:f>
        <x:v>60</x:v>
      </x:c>
      <x:c r="S56" s="66" t="n">
        <x:f>Model_Formula!$M$26*(Profiles_140!X52-Simulator!$L$24)^2*IF(Profiles_140!X52&gt;Simulator!$L$24,1+Model_Formula!$N$26,1)</x:f>
        <x:v>910</x:v>
      </x:c>
      <x:c r="T56" s="66" t="n">
        <x:f>Model_Formula!$M$27*(Profiles_140!Y52-Simulator!$L$25)^2*IF(Profiles_140!Y52&gt;Simulator!$L$25,1+Model_Formula!$N$27,1)</x:f>
        <x:v>648</x:v>
      </x:c>
      <x:c r="U56" s="60" t="n">
        <x:f>SUM(F56:T56)/SUM(Model_Formula!$M$13:$M$27)</x:f>
        <x:v>812.1621621621622</x:v>
      </x:c>
      <x:c r="V56" s="60" t="n">
        <x:f>SQRT(U56)</x:f>
        <x:v>28.498458943636972</x:v>
      </x:c>
      <x:c r="W56" s="60" t="n">
        <x:f>MAX(0,100-V56)</x:f>
        <x:v>71.50154105636302</x:v>
      </x:c>
      <x:c r="X56" t="n">
        <x:f>RANK.EQ(W56,$W$6:$W$145,0)+COUNTIF($W$6:W56,W56)-1</x:f>
        <x:v>66</x:v>
      </x:c>
    </x:row>
    <x:row r="57">
      <x:c r="A57" t="str">
        <x:f>Profiles_140!A53</x:f>
        <x:v>カイリュー</x:v>
      </x:c>
      <x:c r="B57" t="str">
        <x:f>Profiles_140!C53</x:f>
        <x:v>カイリュー-1</x:v>
      </x:c>
      <x:c r="C57" t="str">
        <x:f>Profiles_140!D53</x:f>
        <x:v>りゅうのまい＋はかいこうせん</x:v>
      </x:c>
      <x:c r="D57" t="str">
        <x:f>Profiles_140!B53</x:f>
        <x:v>バランス型</x:v>
      </x:c>
      <x:c r="E57" t="str">
        <x:f>Profiles_140!I53</x:f>
        <x:v>高</x:v>
      </x:c>
      <x:c r="F57" s="66" t="n">
        <x:f>Model_Formula!$M$13*(Profiles_140!K53-Simulator!$L$11)^2*IF(Profiles_140!K53&gt;Simulator!$L$11,1+Model_Formula!$N$13,1)</x:f>
        <x:v>900</x:v>
      </x:c>
      <x:c r="G57" s="66" t="n">
        <x:f>Model_Formula!$M$14*(Profiles_140!L53-Simulator!$L$12)^2*IF(Profiles_140!L53&gt;Simulator!$L$12,1+Model_Formula!$N$14,1)</x:f>
        <x:v>1470</x:v>
      </x:c>
      <x:c r="H57" s="66" t="n">
        <x:f>Model_Formula!$M$15*(Profiles_140!M53-Simulator!$L$13)^2*IF(Profiles_140!M53&gt;Simulator!$L$13,1+Model_Formula!$N$15,1)</x:f>
        <x:v>900</x:v>
      </x:c>
      <x:c r="I57" s="66" t="n">
        <x:f>Model_Formula!$M$16*(Profiles_140!N53-Simulator!$L$14)^2*IF(Profiles_140!N53&gt;Simulator!$L$14,1+Model_Formula!$N$16,1)</x:f>
        <x:v>1225</x:v>
      </x:c>
      <x:c r="J57" s="66" t="n">
        <x:f>Model_Formula!$M$17*(Profiles_140!O53-Simulator!$L$15)^2*IF(Profiles_140!O53&gt;Simulator!$L$15,1+Model_Formula!$N$17,1)</x:f>
        <x:v>225</x:v>
      </x:c>
      <x:c r="K57" s="66" t="n">
        <x:f>Model_Formula!$M$18*(Profiles_140!P53-Simulator!$L$16)^2*IF(Profiles_140!P53&gt;Simulator!$L$16,1+Model_Formula!$N$18,1)</x:f>
        <x:v>0</x:v>
      </x:c>
      <x:c r="L57" s="66" t="n">
        <x:f>Model_Formula!$M$19*(Profiles_140!Q53-Simulator!$L$17)^2*IF(Profiles_140!Q53&gt;Simulator!$L$17,1+Model_Formula!$N$19,1)</x:f>
        <x:v>2250</x:v>
      </x:c>
      <x:c r="M57" s="66" t="n">
        <x:f>Model_Formula!$M$20*(Profiles_140!R53-Simulator!$L$18)^2*IF(Profiles_140!R53&gt;Simulator!$L$18,1+Model_Formula!$N$20,1)</x:f>
        <x:v>900</x:v>
      </x:c>
      <x:c r="N57" s="66" t="n">
        <x:f>Model_Formula!$M$21*(Profiles_140!S53-Simulator!$L$19)^2*IF(Profiles_140!S53&gt;Simulator!$L$19,1+Model_Formula!$N$21,1)</x:f>
        <x:v>1920</x:v>
      </x:c>
      <x:c r="O57" s="66" t="n">
        <x:f>Model_Formula!$M$22*(Profiles_140!T53-Simulator!$L$20)^2*IF(Profiles_140!T53&gt;Simulator!$L$20,1+Model_Formula!$N$22,1)</x:f>
        <x:v>25</x:v>
      </x:c>
      <x:c r="P57" s="66" t="n">
        <x:f>Model_Formula!$M$23*(Profiles_140!U53-Simulator!$L$21)^2*IF(Profiles_140!U53&gt;Simulator!$L$21,1+Model_Formula!$N$23,1)</x:f>
        <x:v>980</x:v>
      </x:c>
      <x:c r="Q57" s="66" t="n">
        <x:f>Model_Formula!$M$24*(Profiles_140!V53-Simulator!$L$22)^2*IF(Profiles_140!V53&gt;Simulator!$L$22,1+Model_Formula!$N$24,1)</x:f>
        <x:v>1750</x:v>
      </x:c>
      <x:c r="R57" s="66" t="n">
        <x:f>Model_Formula!$M$25*(Profiles_140!W53-Simulator!$L$23)^2*IF(Profiles_140!W53&gt;Simulator!$L$23,1+Model_Formula!$N$25,1)</x:f>
        <x:v>0</x:v>
      </x:c>
      <x:c r="S57" s="66" t="n">
        <x:f>Model_Formula!$M$26*(Profiles_140!X53-Simulator!$L$24)^2*IF(Profiles_140!X53&gt;Simulator!$L$24,1+Model_Formula!$N$26,1)</x:f>
        <x:v>511.875</x:v>
      </x:c>
      <x:c r="T57" s="66" t="n">
        <x:f>Model_Formula!$M$27*(Profiles_140!Y53-Simulator!$L$25)^2*IF(Profiles_140!Y53&gt;Simulator!$L$25,1+Model_Formula!$N$27,1)</x:f>
        <x:v>648</x:v>
      </x:c>
      <x:c r="U57" s="60" t="n">
        <x:f>SUM(F57:T57)/SUM(Model_Formula!$M$13:$M$27)</x:f>
        <x:v>926.0050675675676</x:v>
      </x:c>
      <x:c r="V57" s="60" t="n">
        <x:f>SQRT(U57)</x:f>
        <x:v>30.430331374593468</x:v>
      </x:c>
      <x:c r="W57" s="60" t="n">
        <x:f>MAX(0,100-V57)</x:f>
        <x:v>69.56966862540654</x:v>
      </x:c>
      <x:c r="X57" t="n">
        <x:f>RANK.EQ(W57,$W$6:$W$145,0)+COUNTIF($W$6:W57,W57)-1</x:f>
        <x:v>99</x:v>
      </x:c>
    </x:row>
    <x:row r="58">
      <x:c r="A58" t="str">
        <x:f>Profiles_140!A54</x:f>
        <x:v>カイリュー</x:v>
      </x:c>
      <x:c r="B58" t="str">
        <x:f>Profiles_140!C54</x:f>
        <x:v>カイリュー-2</x:v>
      </x:c>
      <x:c r="C58" t="str">
        <x:f>Profiles_140!D54</x:f>
        <x:v>しんそく＋げきりん</x:v>
      </x:c>
      <x:c r="D58" t="str">
        <x:f>Profiles_140!B54</x:f>
        <x:v>バランス型</x:v>
      </x:c>
      <x:c r="E58" t="str">
        <x:f>Profiles_140!I54</x:f>
        <x:v>高</x:v>
      </x:c>
      <x:c r="F58" s="66" t="n">
        <x:f>Model_Formula!$M$13*(Profiles_140!K54-Simulator!$L$11)^2*IF(Profiles_140!K54&gt;Simulator!$L$11,1+Model_Formula!$N$13,1)</x:f>
        <x:v>100</x:v>
      </x:c>
      <x:c r="G58" s="66" t="n">
        <x:f>Model_Formula!$M$14*(Profiles_140!L54-Simulator!$L$12)^2*IF(Profiles_140!L54&gt;Simulator!$L$12,1+Model_Formula!$N$14,1)</x:f>
        <x:v>862.4999999999999</x:v>
      </x:c>
      <x:c r="H58" s="66" t="n">
        <x:f>Model_Formula!$M$15*(Profiles_140!M54-Simulator!$L$13)^2*IF(Profiles_140!M54&gt;Simulator!$L$13,1+Model_Formula!$N$15,1)</x:f>
        <x:v>225</x:v>
      </x:c>
      <x:c r="I58" s="66" t="n">
        <x:f>Model_Formula!$M$16*(Profiles_140!N54-Simulator!$L$14)^2*IF(Profiles_140!N54&gt;Simulator!$L$14,1+Model_Formula!$N$16,1)</x:f>
        <x:v>2500</x:v>
      </x:c>
      <x:c r="J58" s="66" t="n">
        <x:f>Model_Formula!$M$17*(Profiles_140!O54-Simulator!$L$15)^2*IF(Profiles_140!O54&gt;Simulator!$L$15,1+Model_Formula!$N$17,1)</x:f>
        <x:v>2500</x:v>
      </x:c>
      <x:c r="K58" s="66" t="n">
        <x:f>Model_Formula!$M$18*(Profiles_140!P54-Simulator!$L$16)^2*IF(Profiles_140!P54&gt;Simulator!$L$16,1+Model_Formula!$N$18,1)</x:f>
        <x:v>202.5</x:v>
      </x:c>
      <x:c r="L58" s="66" t="n">
        <x:f>Model_Formula!$M$19*(Profiles_140!Q54-Simulator!$L$17)^2*IF(Profiles_140!Q54&gt;Simulator!$L$17,1+Model_Formula!$N$19,1)</x:f>
        <x:v>1102.5</x:v>
      </x:c>
      <x:c r="M58" s="66" t="n">
        <x:f>Model_Formula!$M$20*(Profiles_140!R54-Simulator!$L$18)^2*IF(Profiles_140!R54&gt;Simulator!$L$18,1+Model_Formula!$N$20,1)</x:f>
        <x:v>0</x:v>
      </x:c>
      <x:c r="N58" s="66" t="n">
        <x:f>Model_Formula!$M$21*(Profiles_140!S54-Simulator!$L$19)^2*IF(Profiles_140!S54&gt;Simulator!$L$19,1+Model_Formula!$N$21,1)</x:f>
        <x:v>1470</x:v>
      </x:c>
      <x:c r="O58" s="66" t="n">
        <x:f>Model_Formula!$M$22*(Profiles_140!T54-Simulator!$L$20)^2*IF(Profiles_140!T54&gt;Simulator!$L$20,1+Model_Formula!$N$22,1)</x:f>
        <x:v>0</x:v>
      </x:c>
      <x:c r="P58" s="66" t="n">
        <x:f>Model_Formula!$M$23*(Profiles_140!U54-Simulator!$L$21)^2*IF(Profiles_140!U54&gt;Simulator!$L$21,1+Model_Formula!$N$23,1)</x:f>
        <x:v>500</x:v>
      </x:c>
      <x:c r="Q58" s="66" t="n">
        <x:f>Model_Formula!$M$24*(Profiles_140!V54-Simulator!$L$22)^2*IF(Profiles_140!V54&gt;Simulator!$L$22,1+Model_Formula!$N$24,1)</x:f>
        <x:v>437.5</x:v>
      </x:c>
      <x:c r="R58" s="66" t="n">
        <x:f>Model_Formula!$M$25*(Profiles_140!W54-Simulator!$L$23)^2*IF(Profiles_140!W54&gt;Simulator!$L$23,1+Model_Formula!$N$25,1)</x:f>
        <x:v>0</x:v>
      </x:c>
      <x:c r="S58" s="66" t="n">
        <x:f>Model_Formula!$M$26*(Profiles_140!X54-Simulator!$L$24)^2*IF(Profiles_140!X54&gt;Simulator!$L$24,1+Model_Formula!$N$26,1)</x:f>
        <x:v>56.875</x:v>
      </x:c>
      <x:c r="T58" s="66" t="n">
        <x:f>Model_Formula!$M$27*(Profiles_140!Y54-Simulator!$L$25)^2*IF(Profiles_140!Y54&gt;Simulator!$L$25,1+Model_Formula!$N$27,1)</x:f>
        <x:v>364.5</x:v>
      </x:c>
      <x:c r="U58" s="60" t="n">
        <x:f>SUM(F58:T58)/SUM(Model_Formula!$M$13:$M$27)</x:f>
        <x:v>697.3902027027027</x:v>
      </x:c>
      <x:c r="V58" s="60" t="n">
        <x:f>SQRT(U58)</x:f>
        <x:v>26.408146521532</x:v>
      </x:c>
      <x:c r="W58" s="60" t="n">
        <x:f>MAX(0,100-V58)</x:f>
        <x:v>73.591853478468</x:v>
      </x:c>
      <x:c r="X58" t="n">
        <x:f>RANK.EQ(W58,$W$6:$W$145,0)+COUNTIF($W$6:W58,W58)-1</x:f>
        <x:v>49</x:v>
      </x:c>
    </x:row>
    <x:row r="59">
      <x:c r="A59" t="str">
        <x:f>Profiles_140!A55</x:f>
        <x:v>ガブリアス</x:v>
      </x:c>
      <x:c r="B59" t="str">
        <x:f>Profiles_140!C55</x:f>
        <x:v>ガブリアス-1</x:v>
      </x:c>
      <x:c r="C59" t="str">
        <x:f>Profiles_140!D55</x:f>
        <x:v>共通プロファイル</x:v>
      </x:c>
      <x:c r="D59" t="str">
        <x:f>Profiles_140!B55</x:f>
        <x:v>バランス型</x:v>
      </x:c>
      <x:c r="E59" t="str">
        <x:f>Profiles_140!I55</x:f>
        <x:v>高</x:v>
      </x:c>
      <x:c r="F59" s="66" t="n">
        <x:f>Model_Formula!$M$13*(Profiles_140!K55-Simulator!$L$11)^2*IF(Profiles_140!K55&gt;Simulator!$L$11,1+Model_Formula!$N$13,1)</x:f>
        <x:v>25</x:v>
      </x:c>
      <x:c r="G59" s="66" t="n">
        <x:f>Model_Formula!$M$14*(Profiles_140!L55-Simulator!$L$12)^2*IF(Profiles_140!L55&gt;Simulator!$L$12,1+Model_Formula!$N$14,1)</x:f>
        <x:v>0</x:v>
      </x:c>
      <x:c r="H59" s="66" t="n">
        <x:f>Model_Formula!$M$15*(Profiles_140!M55-Simulator!$L$13)^2*IF(Profiles_140!M55&gt;Simulator!$L$13,1+Model_Formula!$N$15,1)</x:f>
        <x:v>100</x:v>
      </x:c>
      <x:c r="I59" s="66" t="n">
        <x:f>Model_Formula!$M$16*(Profiles_140!N55-Simulator!$L$14)^2*IF(Profiles_140!N55&gt;Simulator!$L$14,1+Model_Formula!$N$16,1)</x:f>
        <x:v>2025</x:v>
      </x:c>
      <x:c r="J59" s="66" t="n">
        <x:f>Model_Formula!$M$17*(Profiles_140!O55-Simulator!$L$15)^2*IF(Profiles_140!O55&gt;Simulator!$L$15,1+Model_Formula!$N$17,1)</x:f>
        <x:v>1225</x:v>
      </x:c>
      <x:c r="K59" s="66" t="n">
        <x:f>Model_Formula!$M$18*(Profiles_140!P55-Simulator!$L$16)^2*IF(Profiles_140!P55&gt;Simulator!$L$16,1+Model_Formula!$N$18,1)</x:f>
        <x:v>90</x:v>
      </x:c>
      <x:c r="L59" s="66" t="n">
        <x:f>Model_Formula!$M$19*(Profiles_140!Q55-Simulator!$L$17)^2*IF(Profiles_140!Q55&gt;Simulator!$L$17,1+Model_Formula!$N$19,1)</x:f>
        <x:v>1822.5</x:v>
      </x:c>
      <x:c r="M59" s="66" t="n">
        <x:f>Model_Formula!$M$20*(Profiles_140!R55-Simulator!$L$18)^2*IF(Profiles_140!R55&gt;Simulator!$L$18,1+Model_Formula!$N$20,1)</x:f>
        <x:v>25</x:v>
      </x:c>
      <x:c r="N59" s="66" t="n">
        <x:f>Model_Formula!$M$21*(Profiles_140!S55-Simulator!$L$19)^2*IF(Profiles_140!S55&gt;Simulator!$L$19,1+Model_Formula!$N$21,1)</x:f>
        <x:v>1470</x:v>
      </x:c>
      <x:c r="O59" s="66" t="n">
        <x:f>Model_Formula!$M$22*(Profiles_140!T55-Simulator!$L$20)^2*IF(Profiles_140!T55&gt;Simulator!$L$20,1+Model_Formula!$N$22,1)</x:f>
        <x:v>625</x:v>
      </x:c>
      <x:c r="P59" s="66" t="n">
        <x:f>Model_Formula!$M$23*(Profiles_140!U55-Simulator!$L$21)^2*IF(Profiles_140!U55&gt;Simulator!$L$21,1+Model_Formula!$N$23,1)</x:f>
        <x:v>720</x:v>
      </x:c>
      <x:c r="Q59" s="66" t="n">
        <x:f>Model_Formula!$M$24*(Profiles_140!V55-Simulator!$L$22)^2*IF(Profiles_140!V55&gt;Simulator!$L$22,1+Model_Formula!$N$24,1)</x:f>
        <x:v>1120</x:v>
      </x:c>
      <x:c r="R59" s="66" t="n">
        <x:f>Model_Formula!$M$25*(Profiles_140!W55-Simulator!$L$23)^2*IF(Profiles_140!W55&gt;Simulator!$L$23,1+Model_Formula!$N$25,1)</x:f>
        <x:v>15</x:v>
      </x:c>
      <x:c r="S59" s="66" t="n">
        <x:f>Model_Formula!$M$26*(Profiles_140!X55-Simulator!$L$24)^2*IF(Profiles_140!X55&gt;Simulator!$L$24,1+Model_Formula!$N$26,1)</x:f>
        <x:v>0</x:v>
      </x:c>
      <x:c r="T59" s="66" t="n">
        <x:f>Model_Formula!$M$27*(Profiles_140!Y55-Simulator!$L$25)^2*IF(Profiles_140!Y55&gt;Simulator!$L$25,1+Model_Formula!$N$27,1)</x:f>
        <x:v>162</x:v>
      </x:c>
      <x:c r="U59" s="60" t="n">
        <x:f>SUM(F59:T59)/SUM(Model_Formula!$M$13:$M$27)</x:f>
        <x:v>636.7905405405406</x:v>
      </x:c>
      <x:c r="V59" s="60" t="n">
        <x:f>SQRT(U59)</x:f>
        <x:v>25.234709044103138</x:v>
      </x:c>
      <x:c r="W59" s="60" t="n">
        <x:f>MAX(0,100-V59)</x:f>
        <x:v>74.76529095589686</x:v>
      </x:c>
      <x:c r="X59" t="n">
        <x:f>RANK.EQ(W59,$W$6:$W$145,0)+COUNTIF($W$6:W59,W59)-1</x:f>
        <x:v>40</x:v>
      </x:c>
    </x:row>
    <x:row r="60">
      <x:c r="A60" t="str">
        <x:f>Profiles_140!A56</x:f>
        <x:v>ギャラドス</x:v>
      </x:c>
      <x:c r="B60" t="str">
        <x:f>Profiles_140!C56</x:f>
        <x:v>ギャラドス-1</x:v>
      </x:c>
      <x:c r="C60" t="str">
        <x:f>Profiles_140!D56</x:f>
        <x:v>共通プロファイル</x:v>
      </x:c>
      <x:c r="D60" t="str">
        <x:f>Profiles_140!B56</x:f>
        <x:v>バランス型</x:v>
      </x:c>
      <x:c r="E60" t="str">
        <x:f>Profiles_140!I56</x:f>
        <x:v>高</x:v>
      </x:c>
      <x:c r="F60" s="66" t="n">
        <x:f>Model_Formula!$M$13*(Profiles_140!K56-Simulator!$L$11)^2*IF(Profiles_140!K56&gt;Simulator!$L$11,1+Model_Formula!$N$13,1)</x:f>
        <x:v>1225</x:v>
      </x:c>
      <x:c r="G60" s="66" t="n">
        <x:f>Model_Formula!$M$14*(Profiles_140!L56-Simulator!$L$12)^2*IF(Profiles_140!L56&gt;Simulator!$L$12,1+Model_Formula!$N$14,1)</x:f>
        <x:v>2794.5</x:v>
      </x:c>
      <x:c r="H60" s="66" t="n">
        <x:f>Model_Formula!$M$15*(Profiles_140!M56-Simulator!$L$13)^2*IF(Profiles_140!M56&gt;Simulator!$L$13,1+Model_Formula!$N$15,1)</x:f>
        <x:v>625</x:v>
      </x:c>
      <x:c r="I60" s="66" t="n">
        <x:f>Model_Formula!$M$16*(Profiles_140!N56-Simulator!$L$14)^2*IF(Profiles_140!N56&gt;Simulator!$L$14,1+Model_Formula!$N$16,1)</x:f>
        <x:v>100</x:v>
      </x:c>
      <x:c r="J60" s="66" t="n">
        <x:f>Model_Formula!$M$17*(Profiles_140!O56-Simulator!$L$15)^2*IF(Profiles_140!O56&gt;Simulator!$L$15,1+Model_Formula!$N$17,1)</x:f>
        <x:v>1225</x:v>
      </x:c>
      <x:c r="K60" s="66" t="n">
        <x:f>Model_Formula!$M$18*(Profiles_140!P56-Simulator!$L$16)^2*IF(Profiles_140!P56&gt;Simulator!$L$16,1+Model_Formula!$N$18,1)</x:f>
        <x:v>1102.5</x:v>
      </x:c>
      <x:c r="L60" s="66" t="n">
        <x:f>Model_Formula!$M$19*(Profiles_140!Q56-Simulator!$L$17)^2*IF(Profiles_140!Q56&gt;Simulator!$L$17,1+Model_Formula!$N$19,1)</x:f>
        <x:v>562.5</x:v>
      </x:c>
      <x:c r="M60" s="66" t="n">
        <x:f>Model_Formula!$M$20*(Profiles_140!R56-Simulator!$L$18)^2*IF(Profiles_140!R56&gt;Simulator!$L$18,1+Model_Formula!$N$20,1)</x:f>
        <x:v>25</x:v>
      </x:c>
      <x:c r="N60" s="66" t="n">
        <x:f>Model_Formula!$M$21*(Profiles_140!S56-Simulator!$L$19)^2*IF(Profiles_140!S56&gt;Simulator!$L$19,1+Model_Formula!$N$21,1)</x:f>
        <x:v>1920</x:v>
      </x:c>
      <x:c r="O60" s="66" t="n">
        <x:f>Model_Formula!$M$22*(Profiles_140!T56-Simulator!$L$20)^2*IF(Profiles_140!T56&gt;Simulator!$L$20,1+Model_Formula!$N$22,1)</x:f>
        <x:v>900</x:v>
      </x:c>
      <x:c r="P60" s="66" t="n">
        <x:f>Model_Formula!$M$23*(Profiles_140!U56-Simulator!$L$21)^2*IF(Profiles_140!U56&gt;Simulator!$L$21,1+Model_Formula!$N$23,1)</x:f>
        <x:v>320</x:v>
      </x:c>
      <x:c r="Q60" s="66" t="n">
        <x:f>Model_Formula!$M$24*(Profiles_140!V56-Simulator!$L$22)^2*IF(Profiles_140!V56&gt;Simulator!$L$22,1+Model_Formula!$N$24,1)</x:f>
        <x:v>280</x:v>
      </x:c>
      <x:c r="R60" s="66" t="n">
        <x:f>Model_Formula!$M$25*(Profiles_140!W56-Simulator!$L$23)^2*IF(Profiles_140!W56&gt;Simulator!$L$23,1+Model_Formula!$N$25,1)</x:f>
        <x:v>60</x:v>
      </x:c>
      <x:c r="S60" s="66" t="n">
        <x:f>Model_Formula!$M$26*(Profiles_140!X56-Simulator!$L$24)^2*IF(Profiles_140!X56&gt;Simulator!$L$24,1+Model_Formula!$N$26,1)</x:f>
        <x:v>910</x:v>
      </x:c>
      <x:c r="T60" s="66" t="n">
        <x:f>Model_Formula!$M$27*(Profiles_140!Y56-Simulator!$L$25)^2*IF(Profiles_140!Y56&gt;Simulator!$L$25,1+Model_Formula!$N$27,1)</x:f>
        <x:v>648</x:v>
      </x:c>
      <x:c r="U60" s="60" t="n">
        <x:f>SUM(F60:T60)/SUM(Model_Formula!$M$13:$M$27)</x:f>
        <x:v>857.9391891891893</x:v>
      </x:c>
      <x:c r="V60" s="60" t="n">
        <x:f>SQRT(U60)</x:f>
        <x:v>29.290598989935138</x:v>
      </x:c>
      <x:c r="W60" s="60" t="n">
        <x:f>MAX(0,100-V60)</x:f>
        <x:v>70.70940101006487</x:v>
      </x:c>
      <x:c r="X60" t="n">
        <x:f>RANK.EQ(W60,$W$6:$W$145,0)+COUNTIF($W$6:W60,W60)-1</x:f>
        <x:v>76</x:v>
      </x:c>
    </x:row>
    <x:row r="61">
      <x:c r="A61" t="str">
        <x:f>Profiles_140!A57</x:f>
        <x:v>メガギャラドス</x:v>
      </x:c>
      <x:c r="B61" t="str">
        <x:f>Profiles_140!C57</x:f>
        <x:v>メガギャラドス-1</x:v>
      </x:c>
      <x:c r="C61" t="str">
        <x:f>Profiles_140!D57</x:f>
        <x:v>共通プロファイル</x:v>
      </x:c>
      <x:c r="D61" t="str">
        <x:f>Profiles_140!B57</x:f>
        <x:v>バランス型</x:v>
      </x:c>
      <x:c r="E61" t="str">
        <x:f>Profiles_140!I57</x:f>
        <x:v>中</x:v>
      </x:c>
      <x:c r="F61" s="66" t="n">
        <x:f>Model_Formula!$M$13*(Profiles_140!K57-Simulator!$L$11)^2*IF(Profiles_140!K57&gt;Simulator!$L$11,1+Model_Formula!$N$13,1)</x:f>
        <x:v>625</x:v>
      </x:c>
      <x:c r="G61" s="66" t="n">
        <x:f>Model_Formula!$M$14*(Profiles_140!L57-Simulator!$L$12)^2*IF(Profiles_140!L57&gt;Simulator!$L$12,1+Model_Formula!$N$14,1)</x:f>
        <x:v>2794.5</x:v>
      </x:c>
      <x:c r="H61" s="66" t="n">
        <x:f>Model_Formula!$M$15*(Profiles_140!M57-Simulator!$L$13)^2*IF(Profiles_140!M57&gt;Simulator!$L$13,1+Model_Formula!$N$15,1)</x:f>
        <x:v>625</x:v>
      </x:c>
      <x:c r="I61" s="66" t="n">
        <x:f>Model_Formula!$M$16*(Profiles_140!N57-Simulator!$L$14)^2*IF(Profiles_140!N57&gt;Simulator!$L$14,1+Model_Formula!$N$16,1)</x:f>
        <x:v>625</x:v>
      </x:c>
      <x:c r="J61" s="66" t="n">
        <x:f>Model_Formula!$M$17*(Profiles_140!O57-Simulator!$L$15)^2*IF(Profiles_140!O57&gt;Simulator!$L$15,1+Model_Formula!$N$17,1)</x:f>
        <x:v>1225</x:v>
      </x:c>
      <x:c r="K61" s="66" t="n">
        <x:f>Model_Formula!$M$18*(Profiles_140!P57-Simulator!$L$16)^2*IF(Profiles_140!P57&gt;Simulator!$L$16,1+Model_Formula!$N$18,1)</x:f>
        <x:v>562.5</x:v>
      </x:c>
      <x:c r="L61" s="66" t="n">
        <x:f>Model_Formula!$M$19*(Profiles_140!Q57-Simulator!$L$17)^2*IF(Profiles_140!Q57&gt;Simulator!$L$17,1+Model_Formula!$N$19,1)</x:f>
        <x:v>1102.5</x:v>
      </x:c>
      <x:c r="M61" s="66" t="n">
        <x:f>Model_Formula!$M$20*(Profiles_140!R57-Simulator!$L$18)^2*IF(Profiles_140!R57&gt;Simulator!$L$18,1+Model_Formula!$N$20,1)</x:f>
        <x:v>25</x:v>
      </x:c>
      <x:c r="N61" s="66" t="n">
        <x:f>Model_Formula!$M$21*(Profiles_140!S57-Simulator!$L$19)^2*IF(Profiles_140!S57&gt;Simulator!$L$19,1+Model_Formula!$N$21,1)</x:f>
        <x:v>1920</x:v>
      </x:c>
      <x:c r="O61" s="66" t="n">
        <x:f>Model_Formula!$M$22*(Profiles_140!T57-Simulator!$L$20)^2*IF(Profiles_140!T57&gt;Simulator!$L$20,1+Model_Formula!$N$22,1)</x:f>
        <x:v>1600</x:v>
      </x:c>
      <x:c r="P61" s="66" t="n">
        <x:f>Model_Formula!$M$23*(Profiles_140!U57-Simulator!$L$21)^2*IF(Profiles_140!U57&gt;Simulator!$L$21,1+Model_Formula!$N$23,1)</x:f>
        <x:v>320</x:v>
      </x:c>
      <x:c r="Q61" s="66" t="n">
        <x:f>Model_Formula!$M$24*(Profiles_140!V57-Simulator!$L$22)^2*IF(Profiles_140!V57&gt;Simulator!$L$22,1+Model_Formula!$N$24,1)</x:f>
        <x:v>280</x:v>
      </x:c>
      <x:c r="R61" s="66" t="n">
        <x:f>Model_Formula!$M$25*(Profiles_140!W57-Simulator!$L$23)^2*IF(Profiles_140!W57&gt;Simulator!$L$23,1+Model_Formula!$N$25,1)</x:f>
        <x:v>60</x:v>
      </x:c>
      <x:c r="S61" s="66" t="n">
        <x:f>Model_Formula!$M$26*(Profiles_140!X57-Simulator!$L$24)^2*IF(Profiles_140!X57&gt;Simulator!$L$24,1+Model_Formula!$N$26,1)</x:f>
        <x:v>910</x:v>
      </x:c>
      <x:c r="T61" s="66" t="n">
        <x:f>Model_Formula!$M$27*(Profiles_140!Y57-Simulator!$L$25)^2*IF(Profiles_140!Y57&gt;Simulator!$L$25,1+Model_Formula!$N$27,1)</x:f>
        <x:v>648</x:v>
      </x:c>
      <x:c r="U61" s="60" t="n">
        <x:f>SUM(F61:T61)/SUM(Model_Formula!$M$13:$M$27)</x:f>
        <x:v>900.168918918919</x:v>
      </x:c>
      <x:c r="V61" s="60" t="n">
        <x:f>SQRT(U61)</x:f>
        <x:v>30.002815183227707</x:v>
      </x:c>
      <x:c r="W61" s="60" t="n">
        <x:f>MAX(0,100-V61)</x:f>
        <x:v>69.99718481677229</x:v>
      </x:c>
      <x:c r="X61" t="n">
        <x:f>RANK.EQ(W61,$W$6:$W$145,0)+COUNTIF($W$6:W61,W61)-1</x:f>
        <x:v>89</x:v>
      </x:c>
    </x:row>
    <x:row r="62">
      <x:c r="A62" t="str">
        <x:f>Profiles_140!A58</x:f>
        <x:v>ギルガルド</x:v>
      </x:c>
      <x:c r="B62" t="str">
        <x:f>Profiles_140!C58</x:f>
        <x:v>ギルガルド-1</x:v>
      </x:c>
      <x:c r="C62" t="str">
        <x:f>Profiles_140!D58</x:f>
        <x:v>共通プロファイル</x:v>
      </x:c>
      <x:c r="D62" t="str">
        <x:f>Profiles_140!B58</x:f>
        <x:v>バランス型</x:v>
      </x:c>
      <x:c r="E62" t="str">
        <x:f>Profiles_140!I58</x:f>
        <x:v>高</x:v>
      </x:c>
      <x:c r="F62" s="66" t="n">
        <x:f>Model_Formula!$M$13*(Profiles_140!K58-Simulator!$L$11)^2*IF(Profiles_140!K58&gt;Simulator!$L$11,1+Model_Formula!$N$13,1)</x:f>
        <x:v>25</x:v>
      </x:c>
      <x:c r="G62" s="66" t="n">
        <x:f>Model_Formula!$M$14*(Profiles_140!L58-Simulator!$L$12)^2*IF(Profiles_140!L58&gt;Simulator!$L$12,1+Model_Formula!$N$14,1)</x:f>
        <x:v>862.4999999999999</x:v>
      </x:c>
      <x:c r="H62" s="66" t="n">
        <x:f>Model_Formula!$M$15*(Profiles_140!M58-Simulator!$L$13)^2*IF(Profiles_140!M58&gt;Simulator!$L$13,1+Model_Formula!$N$15,1)</x:f>
        <x:v>625</x:v>
      </x:c>
      <x:c r="I62" s="66" t="n">
        <x:f>Model_Formula!$M$16*(Profiles_140!N58-Simulator!$L$14)^2*IF(Profiles_140!N58&gt;Simulator!$L$14,1+Model_Formula!$N$16,1)</x:f>
        <x:v>625</x:v>
      </x:c>
      <x:c r="J62" s="66" t="n">
        <x:f>Model_Formula!$M$17*(Profiles_140!O58-Simulator!$L$15)^2*IF(Profiles_140!O58&gt;Simulator!$L$15,1+Model_Formula!$N$17,1)</x:f>
        <x:v>900</x:v>
      </x:c>
      <x:c r="K62" s="66" t="n">
        <x:f>Model_Formula!$M$18*(Profiles_140!P58-Simulator!$L$16)^2*IF(Profiles_140!P58&gt;Simulator!$L$16,1+Model_Formula!$N$18,1)</x:f>
        <x:v>202.5</x:v>
      </x:c>
      <x:c r="L62" s="66" t="n">
        <x:f>Model_Formula!$M$19*(Profiles_140!Q58-Simulator!$L$17)^2*IF(Profiles_140!Q58&gt;Simulator!$L$17,1+Model_Formula!$N$19,1)</x:f>
        <x:v>1440</x:v>
      </x:c>
      <x:c r="M62" s="66" t="n">
        <x:f>Model_Formula!$M$20*(Profiles_140!R58-Simulator!$L$18)^2*IF(Profiles_140!R58&gt;Simulator!$L$18,1+Model_Formula!$N$20,1)</x:f>
        <x:v>100</x:v>
      </x:c>
      <x:c r="N62" s="66" t="n">
        <x:f>Model_Formula!$M$21*(Profiles_140!S58-Simulator!$L$19)^2*IF(Profiles_140!S58&gt;Simulator!$L$19,1+Model_Formula!$N$21,1)</x:f>
        <x:v>1920</x:v>
      </x:c>
      <x:c r="O62" s="66" t="n">
        <x:f>Model_Formula!$M$22*(Profiles_140!T58-Simulator!$L$20)^2*IF(Profiles_140!T58&gt;Simulator!$L$20,1+Model_Formula!$N$22,1)</x:f>
        <x:v>400</x:v>
      </x:c>
      <x:c r="P62" s="66" t="n">
        <x:f>Model_Formula!$M$23*(Profiles_140!U58-Simulator!$L$21)^2*IF(Profiles_140!U58&gt;Simulator!$L$21,1+Model_Formula!$N$23,1)</x:f>
        <x:v>500</x:v>
      </x:c>
      <x:c r="Q62" s="66" t="n">
        <x:f>Model_Formula!$M$24*(Profiles_140!V58-Simulator!$L$22)^2*IF(Profiles_140!V58&gt;Simulator!$L$22,1+Model_Formula!$N$24,1)</x:f>
        <x:v>437.5</x:v>
      </x:c>
      <x:c r="R62" s="66" t="n">
        <x:f>Model_Formula!$M$25*(Profiles_140!W58-Simulator!$L$23)^2*IF(Profiles_140!W58&gt;Simulator!$L$23,1+Model_Formula!$N$25,1)</x:f>
        <x:v>60</x:v>
      </x:c>
      <x:c r="S62" s="66" t="n">
        <x:f>Model_Formula!$M$26*(Profiles_140!X58-Simulator!$L$24)^2*IF(Profiles_140!X58&gt;Simulator!$L$24,1+Model_Formula!$N$26,1)</x:f>
        <x:v>2786.875</x:v>
      </x:c>
      <x:c r="T62" s="66" t="n">
        <x:f>Model_Formula!$M$27*(Profiles_140!Y58-Simulator!$L$25)^2*IF(Profiles_140!Y58&gt;Simulator!$L$25,1+Model_Formula!$N$27,1)</x:f>
        <x:v>364.5</x:v>
      </x:c>
      <x:c r="U62" s="60" t="n">
        <x:f>SUM(F62:T62)/SUM(Model_Formula!$M$13:$M$27)</x:f>
        <x:v>760.0591216216217</x:v>
      </x:c>
      <x:c r="V62" s="60" t="n">
        <x:f>SQRT(U62)</x:f>
        <x:v>27.569169766636456</x:v>
      </x:c>
      <x:c r="W62" s="60" t="n">
        <x:f>MAX(0,100-V62)</x:f>
        <x:v>72.43083023336354</x:v>
      </x:c>
      <x:c r="X62" t="n">
        <x:f>RANK.EQ(W62,$W$6:$W$145,0)+COUNTIF($W$6:W62,W62)-1</x:f>
        <x:v>59</x:v>
      </x:c>
    </x:row>
    <x:row r="63">
      <x:c r="A63" t="str">
        <x:f>Profiles_140!A59</x:f>
        <x:v>ザシアン</x:v>
      </x:c>
      <x:c r="B63" t="str">
        <x:f>Profiles_140!C59</x:f>
        <x:v>ザシアン-1</x:v>
      </x:c>
      <x:c r="C63" t="str">
        <x:f>Profiles_140!D59</x:f>
        <x:v>共通プロファイル</x:v>
      </x:c>
      <x:c r="D63" t="str">
        <x:f>Profiles_140!B59</x:f>
        <x:v>バランス型</x:v>
      </x:c>
      <x:c r="E63" t="str">
        <x:f>Profiles_140!I59</x:f>
        <x:v>高</x:v>
      </x:c>
      <x:c r="F63" s="66" t="n">
        <x:f>Model_Formula!$M$13*(Profiles_140!K59-Simulator!$L$11)^2*IF(Profiles_140!K59&gt;Simulator!$L$11,1+Model_Formula!$N$13,1)</x:f>
        <x:v>25</x:v>
      </x:c>
      <x:c r="G63" s="66" t="n">
        <x:f>Model_Formula!$M$14*(Profiles_140!L59-Simulator!$L$12)^2*IF(Profiles_140!L59&gt;Simulator!$L$12,1+Model_Formula!$N$14,1)</x:f>
        <x:v>862.4999999999999</x:v>
      </x:c>
      <x:c r="H63" s="66" t="n">
        <x:f>Model_Formula!$M$15*(Profiles_140!M59-Simulator!$L$13)^2*IF(Profiles_140!M59&gt;Simulator!$L$13,1+Model_Formula!$N$15,1)</x:f>
        <x:v>625</x:v>
      </x:c>
      <x:c r="I63" s="66" t="n">
        <x:f>Model_Formula!$M$16*(Profiles_140!N59-Simulator!$L$14)^2*IF(Profiles_140!N59&gt;Simulator!$L$14,1+Model_Formula!$N$16,1)</x:f>
        <x:v>225</x:v>
      </x:c>
      <x:c r="J63" s="66" t="n">
        <x:f>Model_Formula!$M$17*(Profiles_140!O59-Simulator!$L$15)^2*IF(Profiles_140!O59&gt;Simulator!$L$15,1+Model_Formula!$N$17,1)</x:f>
        <x:v>900</x:v>
      </x:c>
      <x:c r="K63" s="66" t="n">
        <x:f>Model_Formula!$M$18*(Profiles_140!P59-Simulator!$L$16)^2*IF(Profiles_140!P59&gt;Simulator!$L$16,1+Model_Formula!$N$18,1)</x:f>
        <x:v>562.5</x:v>
      </x:c>
      <x:c r="L63" s="66" t="n">
        <x:f>Model_Formula!$M$19*(Profiles_140!Q59-Simulator!$L$17)^2*IF(Profiles_140!Q59&gt;Simulator!$L$17,1+Model_Formula!$N$19,1)</x:f>
        <x:v>2250</x:v>
      </x:c>
      <x:c r="M63" s="66" t="n">
        <x:f>Model_Formula!$M$20*(Profiles_140!R59-Simulator!$L$18)^2*IF(Profiles_140!R59&gt;Simulator!$L$18,1+Model_Formula!$N$20,1)</x:f>
        <x:v>225</x:v>
      </x:c>
      <x:c r="N63" s="66" t="n">
        <x:f>Model_Formula!$M$21*(Profiles_140!S59-Simulator!$L$19)^2*IF(Profiles_140!S59&gt;Simulator!$L$19,1+Model_Formula!$N$21,1)</x:f>
        <x:v>1920</x:v>
      </x:c>
      <x:c r="O63" s="66" t="n">
        <x:f>Model_Formula!$M$22*(Profiles_140!T59-Simulator!$L$20)^2*IF(Profiles_140!T59&gt;Simulator!$L$20,1+Model_Formula!$N$22,1)</x:f>
        <x:v>900</x:v>
      </x:c>
      <x:c r="P63" s="66" t="n">
        <x:f>Model_Formula!$M$23*(Profiles_140!U59-Simulator!$L$21)^2*IF(Profiles_140!U59&gt;Simulator!$L$21,1+Model_Formula!$N$23,1)</x:f>
        <x:v>500</x:v>
      </x:c>
      <x:c r="Q63" s="66" t="n">
        <x:f>Model_Formula!$M$24*(Profiles_140!V59-Simulator!$L$22)^2*IF(Profiles_140!V59&gt;Simulator!$L$22,1+Model_Formula!$N$24,1)</x:f>
        <x:v>437.5</x:v>
      </x:c>
      <x:c r="R63" s="66" t="n">
        <x:f>Model_Formula!$M$25*(Profiles_140!W59-Simulator!$L$23)^2*IF(Profiles_140!W59&gt;Simulator!$L$23,1+Model_Formula!$N$25,1)</x:f>
        <x:v>15</x:v>
      </x:c>
      <x:c r="S63" s="66" t="n">
        <x:f>Model_Formula!$M$26*(Profiles_140!X59-Simulator!$L$24)^2*IF(Profiles_140!X59&gt;Simulator!$L$24,1+Model_Formula!$N$26,1)</x:f>
        <x:v>910</x:v>
      </x:c>
      <x:c r="T63" s="66" t="n">
        <x:f>Model_Formula!$M$27*(Profiles_140!Y59-Simulator!$L$25)^2*IF(Profiles_140!Y59&gt;Simulator!$L$25,1+Model_Formula!$N$27,1)</x:f>
        <x:v>364.5</x:v>
      </x:c>
      <x:c r="U63" s="60" t="n">
        <x:f>SUM(F63:T63)/SUM(Model_Formula!$M$13:$M$27)</x:f>
        <x:v>724.4594594594595</x:v>
      </x:c>
      <x:c r="V63" s="60" t="n">
        <x:f>SQRT(U63)</x:f>
        <x:v>26.915784578188678</x:v>
      </x:c>
      <x:c r="W63" s="60" t="n">
        <x:f>MAX(0,100-V63)</x:f>
        <x:v>73.08421542181132</x:v>
      </x:c>
      <x:c r="X63" t="n">
        <x:f>RANK.EQ(W63,$W$6:$W$145,0)+COUNTIF($W$6:W63,W63)-1</x:f>
        <x:v>54</x:v>
      </x:c>
    </x:row>
    <x:row r="64">
      <x:c r="A64" t="str">
        <x:f>Profiles_140!A60</x:f>
        <x:v>スイクン</x:v>
      </x:c>
      <x:c r="B64" t="str">
        <x:f>Profiles_140!C60</x:f>
        <x:v>スイクン-1</x:v>
      </x:c>
      <x:c r="C64" t="str">
        <x:f>Profiles_140!D60</x:f>
        <x:v>共通プロファイル</x:v>
      </x:c>
      <x:c r="D64" t="str">
        <x:f>Profiles_140!B60</x:f>
        <x:v>バランス型</x:v>
      </x:c>
      <x:c r="E64" t="str">
        <x:f>Profiles_140!I60</x:f>
        <x:v>高</x:v>
      </x:c>
      <x:c r="F64" s="66" t="n">
        <x:f>Model_Formula!$M$13*(Profiles_140!K60-Simulator!$L$11)^2*IF(Profiles_140!K60&gt;Simulator!$L$11,1+Model_Formula!$N$13,1)</x:f>
        <x:v>400</x:v>
      </x:c>
      <x:c r="G64" s="66" t="n">
        <x:f>Model_Formula!$M$14*(Profiles_140!L60-Simulator!$L$12)^2*IF(Profiles_140!L60&gt;Simulator!$L$12,1+Model_Formula!$N$14,1)</x:f>
        <x:v>1470</x:v>
      </x:c>
      <x:c r="H64" s="66" t="n">
        <x:f>Model_Formula!$M$15*(Profiles_140!M60-Simulator!$L$13)^2*IF(Profiles_140!M60&gt;Simulator!$L$13,1+Model_Formula!$N$15,1)</x:f>
        <x:v>100</x:v>
      </x:c>
      <x:c r="I64" s="66" t="n">
        <x:f>Model_Formula!$M$16*(Profiles_140!N60-Simulator!$L$14)^2*IF(Profiles_140!N60&gt;Simulator!$L$14,1+Model_Formula!$N$16,1)</x:f>
        <x:v>400</x:v>
      </x:c>
      <x:c r="J64" s="66" t="n">
        <x:f>Model_Formula!$M$17*(Profiles_140!O60-Simulator!$L$15)^2*IF(Profiles_140!O60&gt;Simulator!$L$15,1+Model_Formula!$N$17,1)</x:f>
        <x:v>900</x:v>
      </x:c>
      <x:c r="K64" s="66" t="n">
        <x:f>Model_Formula!$M$18*(Profiles_140!P60-Simulator!$L$16)^2*IF(Profiles_140!P60&gt;Simulator!$L$16,1+Model_Formula!$N$18,1)</x:f>
        <x:v>1102.5</x:v>
      </x:c>
      <x:c r="L64" s="66" t="n">
        <x:f>Model_Formula!$M$19*(Profiles_140!Q60-Simulator!$L$17)^2*IF(Profiles_140!Q60&gt;Simulator!$L$17,1+Model_Formula!$N$19,1)</x:f>
        <x:v>0</x:v>
      </x:c>
      <x:c r="M64" s="66" t="n">
        <x:f>Model_Formula!$M$20*(Profiles_140!R60-Simulator!$L$18)^2*IF(Profiles_140!R60&gt;Simulator!$L$18,1+Model_Formula!$N$20,1)</x:f>
        <x:v>900</x:v>
      </x:c>
      <x:c r="N64" s="66" t="n">
        <x:f>Model_Formula!$M$21*(Profiles_140!S60-Simulator!$L$19)^2*IF(Profiles_140!S60&gt;Simulator!$L$19,1+Model_Formula!$N$21,1)</x:f>
        <x:v>1470</x:v>
      </x:c>
      <x:c r="O64" s="66" t="n">
        <x:f>Model_Formula!$M$22*(Profiles_140!T60-Simulator!$L$20)^2*IF(Profiles_140!T60&gt;Simulator!$L$20,1+Model_Formula!$N$22,1)</x:f>
        <x:v>900</x:v>
      </x:c>
      <x:c r="P64" s="66" t="n">
        <x:f>Model_Formula!$M$23*(Profiles_140!U60-Simulator!$L$21)^2*IF(Profiles_140!U60&gt;Simulator!$L$21,1+Model_Formula!$N$23,1)</x:f>
        <x:v>320</x:v>
      </x:c>
      <x:c r="Q64" s="66" t="n">
        <x:f>Model_Formula!$M$24*(Profiles_140!V60-Simulator!$L$22)^2*IF(Profiles_140!V60&gt;Simulator!$L$22,1+Model_Formula!$N$24,1)</x:f>
        <x:v>157.5</x:v>
      </x:c>
      <x:c r="R64" s="66" t="n">
        <x:f>Model_Formula!$M$25*(Profiles_140!W60-Simulator!$L$23)^2*IF(Profiles_140!W60&gt;Simulator!$L$23,1+Model_Formula!$N$25,1)</x:f>
        <x:v>135</x:v>
      </x:c>
      <x:c r="S64" s="66" t="n">
        <x:f>Model_Formula!$M$26*(Profiles_140!X60-Simulator!$L$24)^2*IF(Profiles_140!X60&gt;Simulator!$L$24,1+Model_Formula!$N$26,1)</x:f>
        <x:v>511.875</x:v>
      </x:c>
      <x:c r="T64" s="66" t="n">
        <x:f>Model_Formula!$M$27*(Profiles_140!Y60-Simulator!$L$25)^2*IF(Profiles_140!Y60&gt;Simulator!$L$25,1+Model_Formula!$N$27,1)</x:f>
        <x:v>1012.5000000000001</x:v>
      </x:c>
      <x:c r="U64" s="60" t="n">
        <x:f>SUM(F64:T64)/SUM(Model_Formula!$M$13:$M$27)</x:f>
        <x:v>660.7685810810812</x:v>
      </x:c>
      <x:c r="V64" s="60" t="n">
        <x:f>SQRT(U64)</x:f>
        <x:v>25.70541929401427</x:v>
      </x:c>
      <x:c r="W64" s="60" t="n">
        <x:f>MAX(0,100-V64)</x:f>
        <x:v>74.29458070598574</x:v>
      </x:c>
      <x:c r="X64" t="n">
        <x:f>RANK.EQ(W64,$W$6:$W$145,0)+COUNTIF($W$6:W64,W64)-1</x:f>
        <x:v>44</x:v>
      </x:c>
    </x:row>
    <x:row r="65">
      <x:c r="A65" t="str">
        <x:f>Profiles_140!A61</x:f>
        <x:v>ソウブレイズ</x:v>
      </x:c>
      <x:c r="B65" t="str">
        <x:f>Profiles_140!C61</x:f>
        <x:v>ソウブレイズ-1</x:v>
      </x:c>
      <x:c r="C65" t="str">
        <x:f>Profiles_140!D61</x:f>
        <x:v>共通プロファイル</x:v>
      </x:c>
      <x:c r="D65" t="str">
        <x:f>Profiles_140!B61</x:f>
        <x:v>バランス型</x:v>
      </x:c>
      <x:c r="E65" t="str">
        <x:f>Profiles_140!I61</x:f>
        <x:v>高</x:v>
      </x:c>
      <x:c r="F65" s="66" t="n">
        <x:f>Model_Formula!$M$13*(Profiles_140!K61-Simulator!$L$11)^2*IF(Profiles_140!K61&gt;Simulator!$L$11,1+Model_Formula!$N$13,1)</x:f>
        <x:v>25</x:v>
      </x:c>
      <x:c r="G65" s="66" t="n">
        <x:f>Model_Formula!$M$14*(Profiles_140!L61-Simulator!$L$12)^2*IF(Profiles_140!L61&gt;Simulator!$L$12,1+Model_Formula!$N$14,1)</x:f>
        <x:v>862.4999999999999</x:v>
      </x:c>
      <x:c r="H65" s="66" t="n">
        <x:f>Model_Formula!$M$15*(Profiles_140!M61-Simulator!$L$13)^2*IF(Profiles_140!M61&gt;Simulator!$L$13,1+Model_Formula!$N$15,1)</x:f>
        <x:v>625</x:v>
      </x:c>
      <x:c r="I65" s="66" t="n">
        <x:f>Model_Formula!$M$16*(Profiles_140!N61-Simulator!$L$14)^2*IF(Profiles_140!N61&gt;Simulator!$L$14,1+Model_Formula!$N$16,1)</x:f>
        <x:v>225</x:v>
      </x:c>
      <x:c r="J65" s="66" t="n">
        <x:f>Model_Formula!$M$17*(Profiles_140!O61-Simulator!$L$15)^2*IF(Profiles_140!O61&gt;Simulator!$L$15,1+Model_Formula!$N$17,1)</x:f>
        <x:v>900</x:v>
      </x:c>
      <x:c r="K65" s="66" t="n">
        <x:f>Model_Formula!$M$18*(Profiles_140!P61-Simulator!$L$16)^2*IF(Profiles_140!P61&gt;Simulator!$L$16,1+Model_Formula!$N$18,1)</x:f>
        <x:v>202.5</x:v>
      </x:c>
      <x:c r="L65" s="66" t="n">
        <x:f>Model_Formula!$M$19*(Profiles_140!Q61-Simulator!$L$17)^2*IF(Profiles_140!Q61&gt;Simulator!$L$17,1+Model_Formula!$N$19,1)</x:f>
        <x:v>2250</x:v>
      </x:c>
      <x:c r="M65" s="66" t="n">
        <x:f>Model_Formula!$M$20*(Profiles_140!R61-Simulator!$L$18)^2*IF(Profiles_140!R61&gt;Simulator!$L$18,1+Model_Formula!$N$20,1)</x:f>
        <x:v>625</x:v>
      </x:c>
      <x:c r="N65" s="66" t="n">
        <x:f>Model_Formula!$M$21*(Profiles_140!S61-Simulator!$L$19)^2*IF(Profiles_140!S61&gt;Simulator!$L$19,1+Model_Formula!$N$21,1)</x:f>
        <x:v>1920</x:v>
      </x:c>
      <x:c r="O65" s="66" t="n">
        <x:f>Model_Formula!$M$22*(Profiles_140!T61-Simulator!$L$20)^2*IF(Profiles_140!T61&gt;Simulator!$L$20,1+Model_Formula!$N$22,1)</x:f>
        <x:v>900</x:v>
      </x:c>
      <x:c r="P65" s="66" t="n">
        <x:f>Model_Formula!$M$23*(Profiles_140!U61-Simulator!$L$21)^2*IF(Profiles_140!U61&gt;Simulator!$L$21,1+Model_Formula!$N$23,1)</x:f>
        <x:v>500</x:v>
      </x:c>
      <x:c r="Q65" s="66" t="n">
        <x:f>Model_Formula!$M$24*(Profiles_140!V61-Simulator!$L$22)^2*IF(Profiles_140!V61&gt;Simulator!$L$22,1+Model_Formula!$N$24,1)</x:f>
        <x:v>437.5</x:v>
      </x:c>
      <x:c r="R65" s="66" t="n">
        <x:f>Model_Formula!$M$25*(Profiles_140!W61-Simulator!$L$23)^2*IF(Profiles_140!W61&gt;Simulator!$L$23,1+Model_Formula!$N$25,1)</x:f>
        <x:v>60</x:v>
      </x:c>
      <x:c r="S65" s="66" t="n">
        <x:f>Model_Formula!$M$26*(Profiles_140!X61-Simulator!$L$24)^2*IF(Profiles_140!X61&gt;Simulator!$L$24,1+Model_Formula!$N$26,1)</x:f>
        <x:v>910</x:v>
      </x:c>
      <x:c r="T65" s="66" t="n">
        <x:f>Model_Formula!$M$27*(Profiles_140!Y61-Simulator!$L$25)^2*IF(Profiles_140!Y61&gt;Simulator!$L$25,1+Model_Formula!$N$27,1)</x:f>
        <x:v>364.5</x:v>
      </x:c>
      <x:c r="U65" s="60" t="n">
        <x:f>SUM(F65:T65)/SUM(Model_Formula!$M$13:$M$27)</x:f>
        <x:v>730.2027027027027</x:v>
      </x:c>
      <x:c r="V65" s="60" t="n">
        <x:f>SQRT(U65)</x:f>
        <x:v>27.02226309365488</x:v>
      </x:c>
      <x:c r="W65" s="60" t="n">
        <x:f>MAX(0,100-V65)</x:f>
        <x:v>72.97773690634511</x:v>
      </x:c>
      <x:c r="X65" t="n">
        <x:f>RANK.EQ(W65,$W$6:$W$145,0)+COUNTIF($W$6:W65,W65)-1</x:f>
        <x:v>56</x:v>
      </x:c>
    </x:row>
    <x:row r="66">
      <x:c r="A66" t="str">
        <x:f>Profiles_140!A62</x:f>
        <x:v>ソルガレオ</x:v>
      </x:c>
      <x:c r="B66" t="str">
        <x:f>Profiles_140!C62</x:f>
        <x:v>ソルガレオ-1</x:v>
      </x:c>
      <x:c r="C66" t="str">
        <x:f>Profiles_140!D62</x:f>
        <x:v>共通プロファイル</x:v>
      </x:c>
      <x:c r="D66" t="str">
        <x:f>Profiles_140!B62</x:f>
        <x:v>バランス型</x:v>
      </x:c>
      <x:c r="E66" t="str">
        <x:f>Profiles_140!I62</x:f>
        <x:v>低</x:v>
      </x:c>
      <x:c r="F66" s="66" t="n">
        <x:f>Model_Formula!$M$13*(Profiles_140!K62-Simulator!$L$11)^2*IF(Profiles_140!K62&gt;Simulator!$L$11,1+Model_Formula!$N$13,1)</x:f>
        <x:v>25</x:v>
      </x:c>
      <x:c r="G66" s="66" t="n">
        <x:f>Model_Formula!$M$14*(Profiles_140!L62-Simulator!$L$12)^2*IF(Profiles_140!L62&gt;Simulator!$L$12,1+Model_Formula!$N$14,1)</x:f>
        <x:v>0</x:v>
      </x:c>
      <x:c r="H66" s="66" t="n">
        <x:f>Model_Formula!$M$15*(Profiles_140!M62-Simulator!$L$13)^2*IF(Profiles_140!M62&gt;Simulator!$L$13,1+Model_Formula!$N$15,1)</x:f>
        <x:v>100</x:v>
      </x:c>
      <x:c r="I66" s="66" t="n">
        <x:f>Model_Formula!$M$16*(Profiles_140!N62-Simulator!$L$14)^2*IF(Profiles_140!N62&gt;Simulator!$L$14,1+Model_Formula!$N$16,1)</x:f>
        <x:v>2500</x:v>
      </x:c>
      <x:c r="J66" s="66" t="n">
        <x:f>Model_Formula!$M$17*(Profiles_140!O62-Simulator!$L$15)^2*IF(Profiles_140!O62&gt;Simulator!$L$15,1+Model_Formula!$N$17,1)</x:f>
        <x:v>1225</x:v>
      </x:c>
      <x:c r="K66" s="66" t="n">
        <x:f>Model_Formula!$M$18*(Profiles_140!P62-Simulator!$L$16)^2*IF(Profiles_140!P62&gt;Simulator!$L$16,1+Model_Formula!$N$18,1)</x:f>
        <x:v>90</x:v>
      </x:c>
      <x:c r="L66" s="66" t="n">
        <x:f>Model_Formula!$M$19*(Profiles_140!Q62-Simulator!$L$17)^2*IF(Profiles_140!Q62&gt;Simulator!$L$17,1+Model_Formula!$N$19,1)</x:f>
        <x:v>1440</x:v>
      </x:c>
      <x:c r="M66" s="66" t="n">
        <x:f>Model_Formula!$M$20*(Profiles_140!R62-Simulator!$L$18)^2*IF(Profiles_140!R62&gt;Simulator!$L$18,1+Model_Formula!$N$20,1)</x:f>
        <x:v>0</x:v>
      </x:c>
      <x:c r="N66" s="66" t="n">
        <x:f>Model_Formula!$M$21*(Profiles_140!S62-Simulator!$L$19)^2*IF(Profiles_140!S62&gt;Simulator!$L$19,1+Model_Formula!$N$21,1)</x:f>
        <x:v>1470</x:v>
      </x:c>
      <x:c r="O66" s="66" t="n">
        <x:f>Model_Formula!$M$22*(Profiles_140!T62-Simulator!$L$20)^2*IF(Profiles_140!T62&gt;Simulator!$L$20,1+Model_Formula!$N$22,1)</x:f>
        <x:v>400</x:v>
      </x:c>
      <x:c r="P66" s="66" t="n">
        <x:f>Model_Formula!$M$23*(Profiles_140!U62-Simulator!$L$21)^2*IF(Profiles_140!U62&gt;Simulator!$L$21,1+Model_Formula!$N$23,1)</x:f>
        <x:v>720</x:v>
      </x:c>
      <x:c r="Q66" s="66" t="n">
        <x:f>Model_Formula!$M$24*(Profiles_140!V62-Simulator!$L$22)^2*IF(Profiles_140!V62&gt;Simulator!$L$22,1+Model_Formula!$N$24,1)</x:f>
        <x:v>630</x:v>
      </x:c>
      <x:c r="R66" s="66" t="n">
        <x:f>Model_Formula!$M$25*(Profiles_140!W62-Simulator!$L$23)^2*IF(Profiles_140!W62&gt;Simulator!$L$23,1+Model_Formula!$N$25,1)</x:f>
        <x:v>15</x:v>
      </x:c>
      <x:c r="S66" s="66" t="n">
        <x:f>Model_Formula!$M$26*(Profiles_140!X62-Simulator!$L$24)^2*IF(Profiles_140!X62&gt;Simulator!$L$24,1+Model_Formula!$N$26,1)</x:f>
        <x:v>0</x:v>
      </x:c>
      <x:c r="T66" s="66" t="n">
        <x:f>Model_Formula!$M$27*(Profiles_140!Y62-Simulator!$L$25)^2*IF(Profiles_140!Y62&gt;Simulator!$L$25,1+Model_Formula!$N$27,1)</x:f>
        <x:v>162</x:v>
      </x:c>
      <x:c r="U66" s="60" t="n">
        <x:f>SUM(F66:T66)/SUM(Model_Formula!$M$13:$M$27)</x:f>
        <x:v>593.0405405405406</x:v>
      </x:c>
      <x:c r="V66" s="60" t="n">
        <x:f>SQRT(U66)</x:f>
        <x:v>24.35242370977765</x:v>
      </x:c>
      <x:c r="W66" s="60" t="n">
        <x:f>MAX(0,100-V66)</x:f>
        <x:v>75.64757629022235</x:v>
      </x:c>
      <x:c r="X66" t="n">
        <x:f>RANK.EQ(W66,$W$6:$W$145,0)+COUNTIF($W$6:W66,W66)-1</x:f>
        <x:v>28</x:v>
      </x:c>
    </x:row>
    <x:row r="67">
      <x:c r="A67" t="str">
        <x:f>Profiles_140!A63</x:f>
        <x:v>タイレーツ</x:v>
      </x:c>
      <x:c r="B67" t="str">
        <x:f>Profiles_140!C63</x:f>
        <x:v>タイレーツ-1</x:v>
      </x:c>
      <x:c r="C67" t="str">
        <x:f>Profiles_140!D63</x:f>
        <x:v>メガホーン＋はいすいのじん</x:v>
      </x:c>
      <x:c r="D67" t="str">
        <x:f>Profiles_140!B63</x:f>
        <x:v>バランス型</x:v>
      </x:c>
      <x:c r="E67" t="str">
        <x:f>Profiles_140!I63</x:f>
        <x:v>高</x:v>
      </x:c>
      <x:c r="F67" s="66" t="n">
        <x:f>Model_Formula!$M$13*(Profiles_140!K63-Simulator!$L$11)^2*IF(Profiles_140!K63&gt;Simulator!$L$11,1+Model_Formula!$N$13,1)</x:f>
        <x:v>25</x:v>
      </x:c>
      <x:c r="G67" s="66" t="n">
        <x:f>Model_Formula!$M$14*(Profiles_140!L63-Simulator!$L$12)^2*IF(Profiles_140!L63&gt;Simulator!$L$12,1+Model_Formula!$N$14,1)</x:f>
        <x:v>0</x:v>
      </x:c>
      <x:c r="H67" s="66" t="n">
        <x:f>Model_Formula!$M$15*(Profiles_140!M63-Simulator!$L$13)^2*IF(Profiles_140!M63&gt;Simulator!$L$13,1+Model_Formula!$N$15,1)</x:f>
        <x:v>100</x:v>
      </x:c>
      <x:c r="I67" s="66" t="n">
        <x:f>Model_Formula!$M$16*(Profiles_140!N63-Simulator!$L$14)^2*IF(Profiles_140!N63&gt;Simulator!$L$14,1+Model_Formula!$N$16,1)</x:f>
        <x:v>2500</x:v>
      </x:c>
      <x:c r="J67" s="66" t="n">
        <x:f>Model_Formula!$M$17*(Profiles_140!O63-Simulator!$L$15)^2*IF(Profiles_140!O63&gt;Simulator!$L$15,1+Model_Formula!$N$17,1)</x:f>
        <x:v>1225</x:v>
      </x:c>
      <x:c r="K67" s="66" t="n">
        <x:f>Model_Formula!$M$18*(Profiles_140!P63-Simulator!$L$16)^2*IF(Profiles_140!P63&gt;Simulator!$L$16,1+Model_Formula!$N$18,1)</x:f>
        <x:v>360</x:v>
      </x:c>
      <x:c r="L67" s="66" t="n">
        <x:f>Model_Formula!$M$19*(Profiles_140!Q63-Simulator!$L$17)^2*IF(Profiles_140!Q63&gt;Simulator!$L$17,1+Model_Formula!$N$19,1)</x:f>
        <x:v>1440</x:v>
      </x:c>
      <x:c r="M67" s="66" t="n">
        <x:f>Model_Formula!$M$20*(Profiles_140!R63-Simulator!$L$18)^2*IF(Profiles_140!R63&gt;Simulator!$L$18,1+Model_Formula!$N$20,1)</x:f>
        <x:v>0</x:v>
      </x:c>
      <x:c r="N67" s="66" t="n">
        <x:f>Model_Formula!$M$21*(Profiles_140!S63-Simulator!$L$19)^2*IF(Profiles_140!S63&gt;Simulator!$L$19,1+Model_Formula!$N$21,1)</x:f>
        <x:v>1470</x:v>
      </x:c>
      <x:c r="O67" s="66" t="n">
        <x:f>Model_Formula!$M$22*(Profiles_140!T63-Simulator!$L$20)^2*IF(Profiles_140!T63&gt;Simulator!$L$20,1+Model_Formula!$N$22,1)</x:f>
        <x:v>625</x:v>
      </x:c>
      <x:c r="P67" s="66" t="n">
        <x:f>Model_Formula!$M$23*(Profiles_140!U63-Simulator!$L$21)^2*IF(Profiles_140!U63&gt;Simulator!$L$21,1+Model_Formula!$N$23,1)</x:f>
        <x:v>720</x:v>
      </x:c>
      <x:c r="Q67" s="66" t="n">
        <x:f>Model_Formula!$M$24*(Profiles_140!V63-Simulator!$L$22)^2*IF(Profiles_140!V63&gt;Simulator!$L$22,1+Model_Formula!$N$24,1)</x:f>
        <x:v>630</x:v>
      </x:c>
      <x:c r="R67" s="66" t="n">
        <x:f>Model_Formula!$M$25*(Profiles_140!W63-Simulator!$L$23)^2*IF(Profiles_140!W63&gt;Simulator!$L$23,1+Model_Formula!$N$25,1)</x:f>
        <x:v>15</x:v>
      </x:c>
      <x:c r="S67" s="66" t="n">
        <x:f>Model_Formula!$M$26*(Profiles_140!X63-Simulator!$L$24)^2*IF(Profiles_140!X63&gt;Simulator!$L$24,1+Model_Formula!$N$26,1)</x:f>
        <x:v>0</x:v>
      </x:c>
      <x:c r="T67" s="66" t="n">
        <x:f>Model_Formula!$M$27*(Profiles_140!Y63-Simulator!$L$25)^2*IF(Profiles_140!Y63&gt;Simulator!$L$25,1+Model_Formula!$N$27,1)</x:f>
        <x:v>162</x:v>
      </x:c>
      <x:c r="U67" s="60" t="n">
        <x:f>SUM(F67:T67)/SUM(Model_Formula!$M$13:$M$27)</x:f>
        <x:v>626.4864864864866</x:v>
      </x:c>
      <x:c r="V67" s="60" t="n">
        <x:f>SQRT(U67)</x:f>
        <x:v>25.029712073583397</x:v>
      </x:c>
      <x:c r="W67" s="60" t="n">
        <x:f>MAX(0,100-V67)</x:f>
        <x:v>74.9702879264166</x:v>
      </x:c>
      <x:c r="X67" t="n">
        <x:f>RANK.EQ(W67,$W$6:$W$145,0)+COUNTIF($W$6:W67,W67)-1</x:f>
        <x:v>39</x:v>
      </x:c>
    </x:row>
    <x:row r="68">
      <x:c r="A68" t="str">
        <x:f>Profiles_140!A64</x:f>
        <x:v>タイレーツ</x:v>
      </x:c>
      <x:c r="B68" t="str">
        <x:f>Profiles_140!C64</x:f>
        <x:v>タイレーツ-2</x:v>
      </x:c>
      <x:c r="C68" t="str">
        <x:f>Profiles_140!D64</x:f>
        <x:v>アイアンヘッド＋ふくろだたき</x:v>
      </x:c>
      <x:c r="D68" t="str">
        <x:f>Profiles_140!B64</x:f>
        <x:v>バランス型</x:v>
      </x:c>
      <x:c r="E68" t="str">
        <x:f>Profiles_140!I64</x:f>
        <x:v>高</x:v>
      </x:c>
      <x:c r="F68" s="66" t="n">
        <x:f>Model_Formula!$M$13*(Profiles_140!K64-Simulator!$L$11)^2*IF(Profiles_140!K64&gt;Simulator!$L$11,1+Model_Formula!$N$13,1)</x:f>
        <x:v>400</x:v>
      </x:c>
      <x:c r="G68" s="66" t="n">
        <x:f>Model_Formula!$M$14*(Profiles_140!L64-Simulator!$L$12)^2*IF(Profiles_140!L64&gt;Simulator!$L$12,1+Model_Formula!$N$14,1)</x:f>
        <x:v>3449.9999999999995</x:v>
      </x:c>
      <x:c r="H68" s="66" t="n">
        <x:f>Model_Formula!$M$15*(Profiles_140!M64-Simulator!$L$13)^2*IF(Profiles_140!M64&gt;Simulator!$L$13,1+Model_Formula!$N$15,1)</x:f>
        <x:v>625</x:v>
      </x:c>
      <x:c r="I68" s="66" t="n">
        <x:f>Model_Formula!$M$16*(Profiles_140!N64-Simulator!$L$14)^2*IF(Profiles_140!N64&gt;Simulator!$L$14,1+Model_Formula!$N$16,1)</x:f>
        <x:v>100</x:v>
      </x:c>
      <x:c r="J68" s="66" t="n">
        <x:f>Model_Formula!$M$17*(Profiles_140!O64-Simulator!$L$15)^2*IF(Profiles_140!O64&gt;Simulator!$L$15,1+Model_Formula!$N$17,1)</x:f>
        <x:v>1225</x:v>
      </x:c>
      <x:c r="K68" s="66" t="n">
        <x:f>Model_Formula!$M$18*(Profiles_140!P64-Simulator!$L$16)^2*IF(Profiles_140!P64&gt;Simulator!$L$16,1+Model_Formula!$N$18,1)</x:f>
        <x:v>360</x:v>
      </x:c>
      <x:c r="L68" s="66" t="n">
        <x:f>Model_Formula!$M$19*(Profiles_140!Q64-Simulator!$L$17)^2*IF(Profiles_140!Q64&gt;Simulator!$L$17,1+Model_Formula!$N$19,1)</x:f>
        <x:v>810</x:v>
      </x:c>
      <x:c r="M68" s="66" t="n">
        <x:f>Model_Formula!$M$20*(Profiles_140!R64-Simulator!$L$18)^2*IF(Profiles_140!R64&gt;Simulator!$L$18,1+Model_Formula!$N$20,1)</x:f>
        <x:v>100</x:v>
      </x:c>
      <x:c r="N68" s="66" t="n">
        <x:f>Model_Formula!$M$21*(Profiles_140!S64-Simulator!$L$19)^2*IF(Profiles_140!S64&gt;Simulator!$L$19,1+Model_Formula!$N$21,1)</x:f>
        <x:v>1920</x:v>
      </x:c>
      <x:c r="O68" s="66" t="n">
        <x:f>Model_Formula!$M$22*(Profiles_140!T64-Simulator!$L$20)^2*IF(Profiles_140!T64&gt;Simulator!$L$20,1+Model_Formula!$N$22,1)</x:f>
        <x:v>2025</x:v>
      </x:c>
      <x:c r="P68" s="66" t="n">
        <x:f>Model_Formula!$M$23*(Profiles_140!U64-Simulator!$L$21)^2*IF(Profiles_140!U64&gt;Simulator!$L$21,1+Model_Formula!$N$23,1)</x:f>
        <x:v>320</x:v>
      </x:c>
      <x:c r="Q68" s="66" t="n">
        <x:f>Model_Formula!$M$24*(Profiles_140!V64-Simulator!$L$22)^2*IF(Profiles_140!V64&gt;Simulator!$L$22,1+Model_Formula!$N$24,1)</x:f>
        <x:v>280</x:v>
      </x:c>
      <x:c r="R68" s="66" t="n">
        <x:f>Model_Formula!$M$25*(Profiles_140!W64-Simulator!$L$23)^2*IF(Profiles_140!W64&gt;Simulator!$L$23,1+Model_Formula!$N$25,1)</x:f>
        <x:v>240</x:v>
      </x:c>
      <x:c r="S68" s="66" t="n">
        <x:f>Model_Formula!$M$26*(Profiles_140!X64-Simulator!$L$24)^2*IF(Profiles_140!X64&gt;Simulator!$L$24,1+Model_Formula!$N$26,1)</x:f>
        <x:v>910</x:v>
      </x:c>
      <x:c r="T68" s="66" t="n">
        <x:f>Model_Formula!$M$27*(Profiles_140!Y64-Simulator!$L$25)^2*IF(Profiles_140!Y64&gt;Simulator!$L$25,1+Model_Formula!$N$27,1)</x:f>
        <x:v>648</x:v>
      </x:c>
      <x:c r="U68" s="60" t="n">
        <x:f>SUM(F68:T68)/SUM(Model_Formula!$M$13:$M$27)</x:f>
        <x:v>906.2837837837839</x:v>
      </x:c>
      <x:c r="V68" s="60" t="n">
        <x:f>SQRT(U68)</x:f>
        <x:v>30.104547559858524</x:v>
      </x:c>
      <x:c r="W68" s="60" t="n">
        <x:f>MAX(0,100-V68)</x:f>
        <x:v>69.89545244014147</x:v>
      </x:c>
      <x:c r="X68" t="n">
        <x:f>RANK.EQ(W68,$W$6:$W$145,0)+COUNTIF($W$6:W68,W68)-1</x:f>
        <x:v>94</x:v>
      </x:c>
    </x:row>
    <x:row r="69">
      <x:c r="A69" t="str">
        <x:f>Profiles_140!A65</x:f>
        <x:v>ダダリン</x:v>
      </x:c>
      <x:c r="B69" t="str">
        <x:f>Profiles_140!C65</x:f>
        <x:v>ダダリン-1</x:v>
      </x:c>
      <x:c r="C69" t="str">
        <x:f>Profiles_140!D65</x:f>
        <x:v>共通プロファイル</x:v>
      </x:c>
      <x:c r="D69" t="str">
        <x:f>Profiles_140!B65</x:f>
        <x:v>バランス型</x:v>
      </x:c>
      <x:c r="E69" t="str">
        <x:f>Profiles_140!I65</x:f>
        <x:v>高</x:v>
      </x:c>
      <x:c r="F69" s="66" t="n">
        <x:f>Model_Formula!$M$13*(Profiles_140!K65-Simulator!$L$11)^2*IF(Profiles_140!K65&gt;Simulator!$L$11,1+Model_Formula!$N$13,1)</x:f>
        <x:v>400</x:v>
      </x:c>
      <x:c r="G69" s="66" t="n">
        <x:f>Model_Formula!$M$14*(Profiles_140!L65-Simulator!$L$12)^2*IF(Profiles_140!L65&gt;Simulator!$L$12,1+Model_Formula!$N$14,1)</x:f>
        <x:v>30</x:v>
      </x:c>
      <x:c r="H69" s="66" t="n">
        <x:f>Model_Formula!$M$15*(Profiles_140!M65-Simulator!$L$13)^2*IF(Profiles_140!M65&gt;Simulator!$L$13,1+Model_Formula!$N$15,1)</x:f>
        <x:v>100</x:v>
      </x:c>
      <x:c r="I69" s="66" t="n">
        <x:f>Model_Formula!$M$16*(Profiles_140!N65-Simulator!$L$14)^2*IF(Profiles_140!N65&gt;Simulator!$L$14,1+Model_Formula!$N$16,1)</x:f>
        <x:v>400</x:v>
      </x:c>
      <x:c r="J69" s="66" t="n">
        <x:f>Model_Formula!$M$17*(Profiles_140!O65-Simulator!$L$15)^2*IF(Profiles_140!O65&gt;Simulator!$L$15,1+Model_Formula!$N$17,1)</x:f>
        <x:v>25</x:v>
      </x:c>
      <x:c r="K69" s="66" t="n">
        <x:f>Model_Formula!$M$18*(Profiles_140!P65-Simulator!$L$16)^2*IF(Profiles_140!P65&gt;Simulator!$L$16,1+Model_Formula!$N$18,1)</x:f>
        <x:v>0</x:v>
      </x:c>
      <x:c r="L69" s="66" t="n">
        <x:f>Model_Formula!$M$19*(Profiles_140!Q65-Simulator!$L$17)^2*IF(Profiles_140!Q65&gt;Simulator!$L$17,1+Model_Formula!$N$19,1)</x:f>
        <x:v>90</x:v>
      </x:c>
      <x:c r="M69" s="66" t="n">
        <x:f>Model_Formula!$M$20*(Profiles_140!R65-Simulator!$L$18)^2*IF(Profiles_140!R65&gt;Simulator!$L$18,1+Model_Formula!$N$20,1)</x:f>
        <x:v>2500</x:v>
      </x:c>
      <x:c r="N69" s="66" t="n">
        <x:f>Model_Formula!$M$21*(Profiles_140!S65-Simulator!$L$19)^2*IF(Profiles_140!S65&gt;Simulator!$L$19,1+Model_Formula!$N$21,1)</x:f>
        <x:v>1080</x:v>
      </x:c>
      <x:c r="O69" s="66" t="n">
        <x:f>Model_Formula!$M$22*(Profiles_140!T65-Simulator!$L$20)^2*IF(Profiles_140!T65&gt;Simulator!$L$20,1+Model_Formula!$N$22,1)</x:f>
        <x:v>225</x:v>
      </x:c>
      <x:c r="P69" s="66" t="n">
        <x:f>Model_Formula!$M$23*(Profiles_140!U65-Simulator!$L$21)^2*IF(Profiles_140!U65&gt;Simulator!$L$21,1+Model_Formula!$N$23,1)</x:f>
        <x:v>180</x:v>
      </x:c>
      <x:c r="Q69" s="66" t="n">
        <x:f>Model_Formula!$M$24*(Profiles_140!V65-Simulator!$L$22)^2*IF(Profiles_140!V65&gt;Simulator!$L$22,1+Model_Formula!$N$24,1)</x:f>
        <x:v>17.5</x:v>
      </x:c>
      <x:c r="R69" s="66" t="n">
        <x:f>Model_Formula!$M$25*(Profiles_140!W65-Simulator!$L$23)^2*IF(Profiles_140!W65&gt;Simulator!$L$23,1+Model_Formula!$N$25,1)</x:f>
        <x:v>135</x:v>
      </x:c>
      <x:c r="S69" s="66" t="n">
        <x:f>Model_Formula!$M$26*(Profiles_140!X65-Simulator!$L$24)^2*IF(Profiles_140!X65&gt;Simulator!$L$24,1+Model_Formula!$N$26,1)</x:f>
        <x:v>511.875</x:v>
      </x:c>
      <x:c r="T69" s="66" t="n">
        <x:f>Model_Formula!$M$27*(Profiles_140!Y65-Simulator!$L$25)^2*IF(Profiles_140!Y65&gt;Simulator!$L$25,1+Model_Formula!$N$27,1)</x:f>
        <x:v>2592</x:v>
      </x:c>
      <x:c r="U69" s="60" t="n">
        <x:f>SUM(F69:T69)/SUM(Model_Formula!$M$13:$M$27)</x:f>
        <x:v>559.8902027027027</x:v>
      </x:c>
      <x:c r="V69" s="60" t="n">
        <x:f>SQRT(U69)</x:f>
        <x:v>23.6619991273498</x:v>
      </x:c>
      <x:c r="W69" s="60" t="n">
        <x:f>MAX(0,100-V69)</x:f>
        <x:v>76.3380008726502</x:v>
      </x:c>
      <x:c r="X69" t="n">
        <x:f>RANK.EQ(W69,$W$6:$W$145,0)+COUNTIF($W$6:W69,W69)-1</x:f>
        <x:v>21</x:v>
      </x:c>
    </x:row>
    <x:row r="70">
      <x:c r="A70" t="str">
        <x:f>Profiles_140!A66</x:f>
        <x:v>デカヌチャン</x:v>
      </x:c>
      <x:c r="B70" t="str">
        <x:f>Profiles_140!C66</x:f>
        <x:v>デカヌチャン-1</x:v>
      </x:c>
      <x:c r="C70" t="str">
        <x:f>Profiles_140!D66</x:f>
        <x:v>共通プロファイル</x:v>
      </x:c>
      <x:c r="D70" t="str">
        <x:f>Profiles_140!B66</x:f>
        <x:v>バランス型</x:v>
      </x:c>
      <x:c r="E70" t="str">
        <x:f>Profiles_140!I66</x:f>
        <x:v>高</x:v>
      </x:c>
      <x:c r="F70" s="66" t="n">
        <x:f>Model_Formula!$M$13*(Profiles_140!K66-Simulator!$L$11)^2*IF(Profiles_140!K66&gt;Simulator!$L$11,1+Model_Formula!$N$13,1)</x:f>
        <x:v>25</x:v>
      </x:c>
      <x:c r="G70" s="66" t="n">
        <x:f>Model_Formula!$M$14*(Profiles_140!L66-Simulator!$L$12)^2*IF(Profiles_140!L66&gt;Simulator!$L$12,1+Model_Formula!$N$14,1)</x:f>
        <x:v>0</x:v>
      </x:c>
      <x:c r="H70" s="66" t="n">
        <x:f>Model_Formula!$M$15*(Profiles_140!M66-Simulator!$L$13)^2*IF(Profiles_140!M66&gt;Simulator!$L$13,1+Model_Formula!$N$15,1)</x:f>
        <x:v>100</x:v>
      </x:c>
      <x:c r="I70" s="66" t="n">
        <x:f>Model_Formula!$M$16*(Profiles_140!N66-Simulator!$L$14)^2*IF(Profiles_140!N66&gt;Simulator!$L$14,1+Model_Formula!$N$16,1)</x:f>
        <x:v>2025</x:v>
      </x:c>
      <x:c r="J70" s="66" t="n">
        <x:f>Model_Formula!$M$17*(Profiles_140!O66-Simulator!$L$15)^2*IF(Profiles_140!O66&gt;Simulator!$L$15,1+Model_Formula!$N$17,1)</x:f>
        <x:v>1225</x:v>
      </x:c>
      <x:c r="K70" s="66" t="n">
        <x:f>Model_Formula!$M$18*(Profiles_140!P66-Simulator!$L$16)^2*IF(Profiles_140!P66&gt;Simulator!$L$16,1+Model_Formula!$N$18,1)</x:f>
        <x:v>202.5</x:v>
      </x:c>
      <x:c r="L70" s="66" t="n">
        <x:f>Model_Formula!$M$19*(Profiles_140!Q66-Simulator!$L$17)^2*IF(Profiles_140!Q66&gt;Simulator!$L$17,1+Model_Formula!$N$19,1)</x:f>
        <x:v>1440</x:v>
      </x:c>
      <x:c r="M70" s="66" t="n">
        <x:f>Model_Formula!$M$20*(Profiles_140!R66-Simulator!$L$18)^2*IF(Profiles_140!R66&gt;Simulator!$L$18,1+Model_Formula!$N$20,1)</x:f>
        <x:v>25</x:v>
      </x:c>
      <x:c r="N70" s="66" t="n">
        <x:f>Model_Formula!$M$21*(Profiles_140!S66-Simulator!$L$19)^2*IF(Profiles_140!S66&gt;Simulator!$L$19,1+Model_Formula!$N$21,1)</x:f>
        <x:v>1470</x:v>
      </x:c>
      <x:c r="O70" s="66" t="n">
        <x:f>Model_Formula!$M$22*(Profiles_140!T66-Simulator!$L$20)^2*IF(Profiles_140!T66&gt;Simulator!$L$20,1+Model_Formula!$N$22,1)</x:f>
        <x:v>625</x:v>
      </x:c>
      <x:c r="P70" s="66" t="n">
        <x:f>Model_Formula!$M$23*(Profiles_140!U66-Simulator!$L$21)^2*IF(Profiles_140!U66&gt;Simulator!$L$21,1+Model_Formula!$N$23,1)</x:f>
        <x:v>1280</x:v>
      </x:c>
      <x:c r="Q70" s="66" t="n">
        <x:f>Model_Formula!$M$24*(Profiles_140!V66-Simulator!$L$22)^2*IF(Profiles_140!V66&gt;Simulator!$L$22,1+Model_Formula!$N$24,1)</x:f>
        <x:v>630</x:v>
      </x:c>
      <x:c r="R70" s="66" t="n">
        <x:f>Model_Formula!$M$25*(Profiles_140!W66-Simulator!$L$23)^2*IF(Profiles_140!W66&gt;Simulator!$L$23,1+Model_Formula!$N$25,1)</x:f>
        <x:v>15</x:v>
      </x:c>
      <x:c r="S70" s="66" t="n">
        <x:f>Model_Formula!$M$26*(Profiles_140!X66-Simulator!$L$24)^2*IF(Profiles_140!X66&gt;Simulator!$L$24,1+Model_Formula!$N$26,1)</x:f>
        <x:v>0</x:v>
      </x:c>
      <x:c r="T70" s="66" t="n">
        <x:f>Model_Formula!$M$27*(Profiles_140!Y66-Simulator!$L$25)^2*IF(Profiles_140!Y66&gt;Simulator!$L$25,1+Model_Formula!$N$27,1)</x:f>
        <x:v>162</x:v>
      </x:c>
      <x:c r="U70" s="60" t="n">
        <x:f>SUM(F70:T70)/SUM(Model_Formula!$M$13:$M$27)</x:f>
        <x:v>623.2770270270271</x:v>
      </x:c>
      <x:c r="V70" s="60" t="n">
        <x:f>SQRT(U70)</x:f>
        <x:v>24.965516758661877</x:v>
      </x:c>
      <x:c r="W70" s="60" t="n">
        <x:f>MAX(0,100-V70)</x:f>
        <x:v>75.03448324133812</x:v>
      </x:c>
      <x:c r="X70" t="n">
        <x:f>RANK.EQ(W70,$W$6:$W$145,0)+COUNTIF($W$6:W70,W70)-1</x:f>
        <x:v>35</x:v>
      </x:c>
    </x:row>
    <x:row r="71">
      <x:c r="A71" t="str">
        <x:f>Profiles_140!A67</x:f>
        <x:v>ネギガナイト</x:v>
      </x:c>
      <x:c r="B71" t="str">
        <x:f>Profiles_140!C67</x:f>
        <x:v>ネギガナイト-1</x:v>
      </x:c>
      <x:c r="C71" t="str">
        <x:f>Profiles_140!D67</x:f>
        <x:v>共通プロファイル</x:v>
      </x:c>
      <x:c r="D71" t="str">
        <x:f>Profiles_140!B67</x:f>
        <x:v>バランス型</x:v>
      </x:c>
      <x:c r="E71" t="str">
        <x:f>Profiles_140!I67</x:f>
        <x:v>高</x:v>
      </x:c>
      <x:c r="F71" s="66" t="n">
        <x:f>Model_Formula!$M$13*(Profiles_140!K67-Simulator!$L$11)^2*IF(Profiles_140!K67&gt;Simulator!$L$11,1+Model_Formula!$N$13,1)</x:f>
        <x:v>625</x:v>
      </x:c>
      <x:c r="G71" s="66" t="n">
        <x:f>Model_Formula!$M$14*(Profiles_140!L67-Simulator!$L$12)^2*IF(Profiles_140!L67&gt;Simulator!$L$12,1+Model_Formula!$N$14,1)</x:f>
        <x:v>2794.5</x:v>
      </x:c>
      <x:c r="H71" s="66" t="n">
        <x:f>Model_Formula!$M$15*(Profiles_140!M67-Simulator!$L$13)^2*IF(Profiles_140!M67&gt;Simulator!$L$13,1+Model_Formula!$N$15,1)</x:f>
        <x:v>625</x:v>
      </x:c>
      <x:c r="I71" s="66" t="n">
        <x:f>Model_Formula!$M$16*(Profiles_140!N67-Simulator!$L$14)^2*IF(Profiles_140!N67&gt;Simulator!$L$14,1+Model_Formula!$N$16,1)</x:f>
        <x:v>400</x:v>
      </x:c>
      <x:c r="J71" s="66" t="n">
        <x:f>Model_Formula!$M$17*(Profiles_140!O67-Simulator!$L$15)^2*IF(Profiles_140!O67&gt;Simulator!$L$15,1+Model_Formula!$N$17,1)</x:f>
        <x:v>1225</x:v>
      </x:c>
      <x:c r="K71" s="66" t="n">
        <x:f>Model_Formula!$M$18*(Profiles_140!P67-Simulator!$L$16)^2*IF(Profiles_140!P67&gt;Simulator!$L$16,1+Model_Formula!$N$18,1)</x:f>
        <x:v>1102.5</x:v>
      </x:c>
      <x:c r="L71" s="66" t="n">
        <x:f>Model_Formula!$M$19*(Profiles_140!Q67-Simulator!$L$17)^2*IF(Profiles_140!Q67&gt;Simulator!$L$17,1+Model_Formula!$N$19,1)</x:f>
        <x:v>562.5</x:v>
      </x:c>
      <x:c r="M71" s="66" t="n">
        <x:f>Model_Formula!$M$20*(Profiles_140!R67-Simulator!$L$18)^2*IF(Profiles_140!R67&gt;Simulator!$L$18,1+Model_Formula!$N$20,1)</x:f>
        <x:v>25</x:v>
      </x:c>
      <x:c r="N71" s="66" t="n">
        <x:f>Model_Formula!$M$21*(Profiles_140!S67-Simulator!$L$19)^2*IF(Profiles_140!S67&gt;Simulator!$L$19,1+Model_Formula!$N$21,1)</x:f>
        <x:v>1920</x:v>
      </x:c>
      <x:c r="O71" s="66" t="n">
        <x:f>Model_Formula!$M$22*(Profiles_140!T67-Simulator!$L$20)^2*IF(Profiles_140!T67&gt;Simulator!$L$20,1+Model_Formula!$N$22,1)</x:f>
        <x:v>900</x:v>
      </x:c>
      <x:c r="P71" s="66" t="n">
        <x:f>Model_Formula!$M$23*(Profiles_140!U67-Simulator!$L$21)^2*IF(Profiles_140!U67&gt;Simulator!$L$21,1+Model_Formula!$N$23,1)</x:f>
        <x:v>320</x:v>
      </x:c>
      <x:c r="Q71" s="66" t="n">
        <x:f>Model_Formula!$M$24*(Profiles_140!V67-Simulator!$L$22)^2*IF(Profiles_140!V67&gt;Simulator!$L$22,1+Model_Formula!$N$24,1)</x:f>
        <x:v>280</x:v>
      </x:c>
      <x:c r="R71" s="66" t="n">
        <x:f>Model_Formula!$M$25*(Profiles_140!W67-Simulator!$L$23)^2*IF(Profiles_140!W67&gt;Simulator!$L$23,1+Model_Formula!$N$25,1)</x:f>
        <x:v>60</x:v>
      </x:c>
      <x:c r="S71" s="66" t="n">
        <x:f>Model_Formula!$M$26*(Profiles_140!X67-Simulator!$L$24)^2*IF(Profiles_140!X67&gt;Simulator!$L$24,1+Model_Formula!$N$26,1)</x:f>
        <x:v>2786.875</x:v>
      </x:c>
      <x:c r="T71" s="66" t="n">
        <x:f>Model_Formula!$M$27*(Profiles_140!Y67-Simulator!$L$25)^2*IF(Profiles_140!Y67&gt;Simulator!$L$25,1+Model_Formula!$N$27,1)</x:f>
        <x:v>648</x:v>
      </x:c>
      <x:c r="U71" s="60" t="n">
        <x:f>SUM(F71:T71)/SUM(Model_Formula!$M$13:$M$27)</x:f>
        <x:v>964.4847972972974</x:v>
      </x:c>
      <x:c r="V71" s="60" t="n">
        <x:f>SQRT(U71)</x:f>
        <x:v>31.056155545999207</x:v>
      </x:c>
      <x:c r="W71" s="60" t="n">
        <x:f>MAX(0,100-V71)</x:f>
        <x:v>68.9438444540008</x:v>
      </x:c>
      <x:c r="X71" t="n">
        <x:f>RANK.EQ(W71,$W$6:$W$145,0)+COUNTIF($W$6:W71,W71)-1</x:f>
        <x:v>105</x:v>
      </x:c>
    </x:row>
    <x:row r="72">
      <x:c r="A72" t="str">
        <x:f>Profiles_140!A68</x:f>
        <x:v>ハッサム</x:v>
      </x:c>
      <x:c r="B72" t="str">
        <x:f>Profiles_140!C68</x:f>
        <x:v>ハッサム-1</x:v>
      </x:c>
      <x:c r="C72" t="str">
        <x:f>Profiles_140!D68</x:f>
        <x:v>ダブルウイング＋ダブルアタック（ストライク）</x:v>
      </x:c>
      <x:c r="D72" t="str">
        <x:f>Profiles_140!B68</x:f>
        <x:v>バランス型</x:v>
      </x:c>
      <x:c r="E72" t="str">
        <x:f>Profiles_140!I68</x:f>
        <x:v>高</x:v>
      </x:c>
      <x:c r="F72" s="66" t="n">
        <x:f>Model_Formula!$M$13*(Profiles_140!K68-Simulator!$L$11)^2*IF(Profiles_140!K68&gt;Simulator!$L$11,1+Model_Formula!$N$13,1)</x:f>
        <x:v>0</x:v>
      </x:c>
      <x:c r="G72" s="66" t="n">
        <x:f>Model_Formula!$M$14*(Profiles_140!L68-Simulator!$L$12)^2*IF(Profiles_140!L68&gt;Simulator!$L$12,1+Model_Formula!$N$14,1)</x:f>
        <x:v>3449.9999999999995</x:v>
      </x:c>
      <x:c r="H72" s="66" t="n">
        <x:f>Model_Formula!$M$15*(Profiles_140!M68-Simulator!$L$13)^2*IF(Profiles_140!M68&gt;Simulator!$L$13,1+Model_Formula!$N$15,1)</x:f>
        <x:v>1600</x:v>
      </x:c>
      <x:c r="I72" s="66" t="n">
        <x:f>Model_Formula!$M$16*(Profiles_140!N68-Simulator!$L$14)^2*IF(Profiles_140!N68&gt;Simulator!$L$14,1+Model_Formula!$N$16,1)</x:f>
        <x:v>1600</x:v>
      </x:c>
      <x:c r="J72" s="66" t="n">
        <x:f>Model_Formula!$M$17*(Profiles_140!O68-Simulator!$L$15)^2*IF(Profiles_140!O68&gt;Simulator!$L$15,1+Model_Formula!$N$17,1)</x:f>
        <x:v>900</x:v>
      </x:c>
      <x:c r="K72" s="66" t="n">
        <x:f>Model_Formula!$M$18*(Profiles_140!P68-Simulator!$L$16)^2*IF(Profiles_140!P68&gt;Simulator!$L$16,1+Model_Formula!$N$18,1)</x:f>
        <x:v>2250</x:v>
      </x:c>
      <x:c r="L72" s="66" t="n">
        <x:f>Model_Formula!$M$19*(Profiles_140!Q68-Simulator!$L$17)^2*IF(Profiles_140!Q68&gt;Simulator!$L$17,1+Model_Formula!$N$19,1)</x:f>
        <x:v>22.5</x:v>
      </x:c>
      <x:c r="M72" s="66" t="n">
        <x:f>Model_Formula!$M$20*(Profiles_140!R68-Simulator!$L$18)^2*IF(Profiles_140!R68&gt;Simulator!$L$18,1+Model_Formula!$N$20,1)</x:f>
        <x:v>400</x:v>
      </x:c>
      <x:c r="N72" s="66" t="n">
        <x:f>Model_Formula!$M$21*(Profiles_140!S68-Simulator!$L$19)^2*IF(Profiles_140!S68&gt;Simulator!$L$19,1+Model_Formula!$N$21,1)</x:f>
        <x:v>1920</x:v>
      </x:c>
      <x:c r="O72" s="66" t="n">
        <x:f>Model_Formula!$M$22*(Profiles_140!T68-Simulator!$L$20)^2*IF(Profiles_140!T68&gt;Simulator!$L$20,1+Model_Formula!$N$22,1)</x:f>
        <x:v>2500</x:v>
      </x:c>
      <x:c r="P72" s="66" t="n">
        <x:f>Model_Formula!$M$23*(Profiles_140!U68-Simulator!$L$21)^2*IF(Profiles_140!U68&gt;Simulator!$L$21,1+Model_Formula!$N$23,1)</x:f>
        <x:v>320</x:v>
      </x:c>
      <x:c r="Q72" s="66" t="n">
        <x:f>Model_Formula!$M$24*(Profiles_140!V68-Simulator!$L$22)^2*IF(Profiles_140!V68&gt;Simulator!$L$22,1+Model_Formula!$N$24,1)</x:f>
        <x:v>157.5</x:v>
      </x:c>
      <x:c r="R72" s="66" t="n">
        <x:f>Model_Formula!$M$25*(Profiles_140!W68-Simulator!$L$23)^2*IF(Profiles_140!W68&gt;Simulator!$L$23,1+Model_Formula!$N$25,1)</x:f>
        <x:v>540</x:v>
      </x:c>
      <x:c r="S72" s="66" t="n">
        <x:f>Model_Formula!$M$26*(Profiles_140!X68-Simulator!$L$24)^2*IF(Profiles_140!X68&gt;Simulator!$L$24,1+Model_Formula!$N$26,1)</x:f>
        <x:v>2047.5</x:v>
      </x:c>
      <x:c r="T72" s="66" t="n">
        <x:f>Model_Formula!$M$27*(Profiles_140!Y68-Simulator!$L$25)^2*IF(Profiles_140!Y68&gt;Simulator!$L$25,1+Model_Formula!$N$27,1)</x:f>
        <x:v>1012.5000000000001</x:v>
      </x:c>
      <x:c r="U72" s="60" t="n">
        <x:f>SUM(F72:T72)/SUM(Model_Formula!$M$13:$M$27)</x:f>
        <x:v>1264.864864864865</x:v>
      </x:c>
      <x:c r="V72" s="60" t="n">
        <x:f>SQRT(U72)</x:f>
        <x:v>35.56493870182915</x:v>
      </x:c>
      <x:c r="W72" s="60" t="n">
        <x:f>MAX(0,100-V72)</x:f>
        <x:v>64.43506129817085</x:v>
      </x:c>
      <x:c r="X72" t="n">
        <x:f>RANK.EQ(W72,$W$6:$W$145,0)+COUNTIF($W$6:W72,W72)-1</x:f>
        <x:v>129</x:v>
      </x:c>
    </x:row>
    <x:row r="73">
      <x:c r="A73" t="str">
        <x:f>Profiles_140!A69</x:f>
        <x:v>ハッサム</x:v>
      </x:c>
      <x:c r="B73" t="str">
        <x:f>Profiles_140!C69</x:f>
        <x:v>ハッサム-2</x:v>
      </x:c>
      <x:c r="C73" t="str">
        <x:f>Profiles_140!D69</x:f>
        <x:v>バレットパンチ＋つるぎのまい（ハッサム）</x:v>
      </x:c>
      <x:c r="D73" t="str">
        <x:f>Profiles_140!B69</x:f>
        <x:v>バランス型</x:v>
      </x:c>
      <x:c r="E73" t="str">
        <x:f>Profiles_140!I69</x:f>
        <x:v>高</x:v>
      </x:c>
      <x:c r="F73" s="66" t="n">
        <x:f>Model_Formula!$M$13*(Profiles_140!K69-Simulator!$L$11)^2*IF(Profiles_140!K69&gt;Simulator!$L$11,1+Model_Formula!$N$13,1)</x:f>
        <x:v>25</x:v>
      </x:c>
      <x:c r="G73" s="66" t="n">
        <x:f>Model_Formula!$M$14*(Profiles_140!L69-Simulator!$L$12)^2*IF(Profiles_140!L69&gt;Simulator!$L$12,1+Model_Formula!$N$14,1)</x:f>
        <x:v>552</x:v>
      </x:c>
      <x:c r="H73" s="66" t="n">
        <x:f>Model_Formula!$M$15*(Profiles_140!M69-Simulator!$L$13)^2*IF(Profiles_140!M69&gt;Simulator!$L$13,1+Model_Formula!$N$15,1)</x:f>
        <x:v>400</x:v>
      </x:c>
      <x:c r="I73" s="66" t="n">
        <x:f>Model_Formula!$M$16*(Profiles_140!N69-Simulator!$L$14)^2*IF(Profiles_140!N69&gt;Simulator!$L$14,1+Model_Formula!$N$16,1)</x:f>
        <x:v>1225</x:v>
      </x:c>
      <x:c r="J73" s="66" t="n">
        <x:f>Model_Formula!$M$17*(Profiles_140!O69-Simulator!$L$15)^2*IF(Profiles_140!O69&gt;Simulator!$L$15,1+Model_Formula!$N$17,1)</x:f>
        <x:v>900</x:v>
      </x:c>
      <x:c r="K73" s="66" t="n">
        <x:f>Model_Formula!$M$18*(Profiles_140!P69-Simulator!$L$16)^2*IF(Profiles_140!P69&gt;Simulator!$L$16,1+Model_Formula!$N$18,1)</x:f>
        <x:v>90</x:v>
      </x:c>
      <x:c r="L73" s="66" t="n">
        <x:f>Model_Formula!$M$19*(Profiles_140!Q69-Simulator!$L$17)^2*IF(Profiles_140!Q69&gt;Simulator!$L$17,1+Model_Formula!$N$19,1)</x:f>
        <x:v>2250</x:v>
      </x:c>
      <x:c r="M73" s="66" t="n">
        <x:f>Model_Formula!$M$20*(Profiles_140!R69-Simulator!$L$18)^2*IF(Profiles_140!R69&gt;Simulator!$L$18,1+Model_Formula!$N$20,1)</x:f>
        <x:v>100</x:v>
      </x:c>
      <x:c r="N73" s="66" t="n">
        <x:f>Model_Formula!$M$21*(Profiles_140!S69-Simulator!$L$19)^2*IF(Profiles_140!S69&gt;Simulator!$L$19,1+Model_Formula!$N$21,1)</x:f>
        <x:v>1470</x:v>
      </x:c>
      <x:c r="O73" s="66" t="n">
        <x:f>Model_Formula!$M$22*(Profiles_140!T69-Simulator!$L$20)^2*IF(Profiles_140!T69&gt;Simulator!$L$20,1+Model_Formula!$N$22,1)</x:f>
        <x:v>25</x:v>
      </x:c>
      <x:c r="P73" s="66" t="n">
        <x:f>Model_Formula!$M$23*(Profiles_140!U69-Simulator!$L$21)^2*IF(Profiles_140!U69&gt;Simulator!$L$21,1+Model_Formula!$N$23,1)</x:f>
        <x:v>500</x:v>
      </x:c>
      <x:c r="Q73" s="66" t="n">
        <x:f>Model_Formula!$M$24*(Profiles_140!V69-Simulator!$L$22)^2*IF(Profiles_140!V69&gt;Simulator!$L$22,1+Model_Formula!$N$24,1)</x:f>
        <x:v>437.5</x:v>
      </x:c>
      <x:c r="R73" s="66" t="n">
        <x:f>Model_Formula!$M$25*(Profiles_140!W69-Simulator!$L$23)^2*IF(Profiles_140!W69&gt;Simulator!$L$23,1+Model_Formula!$N$25,1)</x:f>
        <x:v>15</x:v>
      </x:c>
      <x:c r="S73" s="66" t="n">
        <x:f>Model_Formula!$M$26*(Profiles_140!X69-Simulator!$L$24)^2*IF(Profiles_140!X69&gt;Simulator!$L$24,1+Model_Formula!$N$26,1)</x:f>
        <x:v>511.875</x:v>
      </x:c>
      <x:c r="T73" s="66" t="n">
        <x:f>Model_Formula!$M$27*(Profiles_140!Y69-Simulator!$L$25)^2*IF(Profiles_140!Y69&gt;Simulator!$L$25,1+Model_Formula!$N$27,1)</x:f>
        <x:v>364.5</x:v>
      </x:c>
      <x:c r="U73" s="60" t="n">
        <x:f>SUM(F73:T73)/SUM(Model_Formula!$M$13:$M$27)</x:f>
        <x:v>599.0456081081081</x:v>
      </x:c>
      <x:c r="V73" s="60" t="n">
        <x:f>SQRT(U73)</x:f>
        <x:v>24.47540823169469</x:v>
      </x:c>
      <x:c r="W73" s="60" t="n">
        <x:f>MAX(0,100-V73)</x:f>
        <x:v>75.52459176830531</x:v>
      </x:c>
      <x:c r="X73" t="n">
        <x:f>RANK.EQ(W73,$W$6:$W$145,0)+COUNTIF($W$6:W73,W73)-1</x:f>
        <x:v>30</x:v>
      </x:c>
    </x:row>
    <x:row r="74">
      <x:c r="A74" t="str">
        <x:f>Profiles_140!A70</x:f>
        <x:v>バシャーモ</x:v>
      </x:c>
      <x:c r="B74" t="str">
        <x:f>Profiles_140!C70</x:f>
        <x:v>バシャーモ-1</x:v>
      </x:c>
      <x:c r="C74" t="str">
        <x:f>Profiles_140!D70</x:f>
        <x:v>共通プロファイル</x:v>
      </x:c>
      <x:c r="D74" t="str">
        <x:f>Profiles_140!B70</x:f>
        <x:v>バランス型</x:v>
      </x:c>
      <x:c r="E74" t="str">
        <x:f>Profiles_140!I70</x:f>
        <x:v>高</x:v>
      </x:c>
      <x:c r="F74" s="66" t="n">
        <x:f>Model_Formula!$M$13*(Profiles_140!K70-Simulator!$L$11)^2*IF(Profiles_140!K70&gt;Simulator!$L$11,1+Model_Formula!$N$13,1)</x:f>
        <x:v>625</x:v>
      </x:c>
      <x:c r="G74" s="66" t="n">
        <x:f>Model_Formula!$M$14*(Profiles_140!L70-Simulator!$L$12)^2*IF(Profiles_140!L70&gt;Simulator!$L$12,1+Model_Formula!$N$14,1)</x:f>
        <x:v>2794.5</x:v>
      </x:c>
      <x:c r="H74" s="66" t="n">
        <x:f>Model_Formula!$M$15*(Profiles_140!M70-Simulator!$L$13)^2*IF(Profiles_140!M70&gt;Simulator!$L$13,1+Model_Formula!$N$15,1)</x:f>
        <x:v>625</x:v>
      </x:c>
      <x:c r="I74" s="66" t="n">
        <x:f>Model_Formula!$M$16*(Profiles_140!N70-Simulator!$L$14)^2*IF(Profiles_140!N70&gt;Simulator!$L$14,1+Model_Formula!$N$16,1)</x:f>
        <x:v>225</x:v>
      </x:c>
      <x:c r="J74" s="66" t="n">
        <x:f>Model_Formula!$M$17*(Profiles_140!O70-Simulator!$L$15)^2*IF(Profiles_140!O70&gt;Simulator!$L$15,1+Model_Formula!$N$17,1)</x:f>
        <x:v>1225</x:v>
      </x:c>
      <x:c r="K74" s="66" t="n">
        <x:f>Model_Formula!$M$18*(Profiles_140!P70-Simulator!$L$16)^2*IF(Profiles_140!P70&gt;Simulator!$L$16,1+Model_Formula!$N$18,1)</x:f>
        <x:v>562.5</x:v>
      </x:c>
      <x:c r="L74" s="66" t="n">
        <x:f>Model_Formula!$M$19*(Profiles_140!Q70-Simulator!$L$17)^2*IF(Profiles_140!Q70&gt;Simulator!$L$17,1+Model_Formula!$N$19,1)</x:f>
        <x:v>1102.5</x:v>
      </x:c>
      <x:c r="M74" s="66" t="n">
        <x:f>Model_Formula!$M$20*(Profiles_140!R70-Simulator!$L$18)^2*IF(Profiles_140!R70&gt;Simulator!$L$18,1+Model_Formula!$N$20,1)</x:f>
        <x:v>25</x:v>
      </x:c>
      <x:c r="N74" s="66" t="n">
        <x:f>Model_Formula!$M$21*(Profiles_140!S70-Simulator!$L$19)^2*IF(Profiles_140!S70&gt;Simulator!$L$19,1+Model_Formula!$N$21,1)</x:f>
        <x:v>1920</x:v>
      </x:c>
      <x:c r="O74" s="66" t="n">
        <x:f>Model_Formula!$M$22*(Profiles_140!T70-Simulator!$L$20)^2*IF(Profiles_140!T70&gt;Simulator!$L$20,1+Model_Formula!$N$22,1)</x:f>
        <x:v>900</x:v>
      </x:c>
      <x:c r="P74" s="66" t="n">
        <x:f>Model_Formula!$M$23*(Profiles_140!U70-Simulator!$L$21)^2*IF(Profiles_140!U70&gt;Simulator!$L$21,1+Model_Formula!$N$23,1)</x:f>
        <x:v>320</x:v>
      </x:c>
      <x:c r="Q74" s="66" t="n">
        <x:f>Model_Formula!$M$24*(Profiles_140!V70-Simulator!$L$22)^2*IF(Profiles_140!V70&gt;Simulator!$L$22,1+Model_Formula!$N$24,1)</x:f>
        <x:v>280</x:v>
      </x:c>
      <x:c r="R74" s="66" t="n">
        <x:f>Model_Formula!$M$25*(Profiles_140!W70-Simulator!$L$23)^2*IF(Profiles_140!W70&gt;Simulator!$L$23,1+Model_Formula!$N$25,1)</x:f>
        <x:v>60</x:v>
      </x:c>
      <x:c r="S74" s="66" t="n">
        <x:f>Model_Formula!$M$26*(Profiles_140!X70-Simulator!$L$24)^2*IF(Profiles_140!X70&gt;Simulator!$L$24,1+Model_Formula!$N$26,1)</x:f>
        <x:v>2786.875</x:v>
      </x:c>
      <x:c r="T74" s="66" t="n">
        <x:f>Model_Formula!$M$27*(Profiles_140!Y70-Simulator!$L$25)^2*IF(Profiles_140!Y70&gt;Simulator!$L$25,1+Model_Formula!$N$27,1)</x:f>
        <x:v>1458</x:v>
      </x:c>
      <x:c r="U74" s="60" t="n">
        <x:f>SUM(F74:T74)/SUM(Model_Formula!$M$13:$M$27)</x:f>
        <x:v>1007.3902027027028</x:v>
      </x:c>
      <x:c r="V74" s="60" t="n">
        <x:f>SQRT(U74)</x:f>
        <x:v>31.73941087516753</x:v>
      </x:c>
      <x:c r="W74" s="60" t="n">
        <x:f>MAX(0,100-V74)</x:f>
        <x:v>68.26058912483248</x:v>
      </x:c>
      <x:c r="X74" t="n">
        <x:f>RANK.EQ(W74,$W$6:$W$145,0)+COUNTIF($W$6:W74,W74)-1</x:f>
        <x:v>112</x:v>
      </x:c>
    </x:row>
    <x:row r="75">
      <x:c r="A75" t="str">
        <x:f>Profiles_140!A71</x:f>
        <x:v>バンギラス</x:v>
      </x:c>
      <x:c r="B75" t="str">
        <x:f>Profiles_140!C71</x:f>
        <x:v>バンギラス-1</x:v>
      </x:c>
      <x:c r="C75" t="str">
        <x:f>Profiles_140!D71</x:f>
        <x:v>共通プロファイル</x:v>
      </x:c>
      <x:c r="D75" t="str">
        <x:f>Profiles_140!B71</x:f>
        <x:v>バランス型</x:v>
      </x:c>
      <x:c r="E75" t="str">
        <x:f>Profiles_140!I71</x:f>
        <x:v>高</x:v>
      </x:c>
      <x:c r="F75" s="66" t="n">
        <x:f>Model_Formula!$M$13*(Profiles_140!K71-Simulator!$L$11)^2*IF(Profiles_140!K71&gt;Simulator!$L$11,1+Model_Formula!$N$13,1)</x:f>
        <x:v>25</x:v>
      </x:c>
      <x:c r="G75" s="66" t="n">
        <x:f>Model_Formula!$M$14*(Profiles_140!L71-Simulator!$L$12)^2*IF(Profiles_140!L71&gt;Simulator!$L$12,1+Model_Formula!$N$14,1)</x:f>
        <x:v>0</x:v>
      </x:c>
      <x:c r="H75" s="66" t="n">
        <x:f>Model_Formula!$M$15*(Profiles_140!M71-Simulator!$L$13)^2*IF(Profiles_140!M71&gt;Simulator!$L$13,1+Model_Formula!$N$15,1)</x:f>
        <x:v>100</x:v>
      </x:c>
      <x:c r="I75" s="66" t="n">
        <x:f>Model_Formula!$M$16*(Profiles_140!N71-Simulator!$L$14)^2*IF(Profiles_140!N71&gt;Simulator!$L$14,1+Model_Formula!$N$16,1)</x:f>
        <x:v>2500</x:v>
      </x:c>
      <x:c r="J75" s="66" t="n">
        <x:f>Model_Formula!$M$17*(Profiles_140!O71-Simulator!$L$15)^2*IF(Profiles_140!O71&gt;Simulator!$L$15,1+Model_Formula!$N$17,1)</x:f>
        <x:v>1225</x:v>
      </x:c>
      <x:c r="K75" s="66" t="n">
        <x:f>Model_Formula!$M$18*(Profiles_140!P71-Simulator!$L$16)^2*IF(Profiles_140!P71&gt;Simulator!$L$16,1+Model_Formula!$N$18,1)</x:f>
        <x:v>90</x:v>
      </x:c>
      <x:c r="L75" s="66" t="n">
        <x:f>Model_Formula!$M$19*(Profiles_140!Q71-Simulator!$L$17)^2*IF(Profiles_140!Q71&gt;Simulator!$L$17,1+Model_Formula!$N$19,1)</x:f>
        <x:v>1440</x:v>
      </x:c>
      <x:c r="M75" s="66" t="n">
        <x:f>Model_Formula!$M$20*(Profiles_140!R71-Simulator!$L$18)^2*IF(Profiles_140!R71&gt;Simulator!$L$18,1+Model_Formula!$N$20,1)</x:f>
        <x:v>25</x:v>
      </x:c>
      <x:c r="N75" s="66" t="n">
        <x:f>Model_Formula!$M$21*(Profiles_140!S71-Simulator!$L$19)^2*IF(Profiles_140!S71&gt;Simulator!$L$19,1+Model_Formula!$N$21,1)</x:f>
        <x:v>1470</x:v>
      </x:c>
      <x:c r="O75" s="66" t="n">
        <x:f>Model_Formula!$M$22*(Profiles_140!T71-Simulator!$L$20)^2*IF(Profiles_140!T71&gt;Simulator!$L$20,1+Model_Formula!$N$22,1)</x:f>
        <x:v>625</x:v>
      </x:c>
      <x:c r="P75" s="66" t="n">
        <x:f>Model_Formula!$M$23*(Profiles_140!U71-Simulator!$L$21)^2*IF(Profiles_140!U71&gt;Simulator!$L$21,1+Model_Formula!$N$23,1)</x:f>
        <x:v>1620</x:v>
      </x:c>
      <x:c r="Q75" s="66" t="n">
        <x:f>Model_Formula!$M$24*(Profiles_140!V71-Simulator!$L$22)^2*IF(Profiles_140!V71&gt;Simulator!$L$22,1+Model_Formula!$N$24,1)</x:f>
        <x:v>280</x:v>
      </x:c>
      <x:c r="R75" s="66" t="n">
        <x:f>Model_Formula!$M$25*(Profiles_140!W71-Simulator!$L$23)^2*IF(Profiles_140!W71&gt;Simulator!$L$23,1+Model_Formula!$N$25,1)</x:f>
        <x:v>15</x:v>
      </x:c>
      <x:c r="S75" s="66" t="n">
        <x:f>Model_Formula!$M$26*(Profiles_140!X71-Simulator!$L$24)^2*IF(Profiles_140!X71&gt;Simulator!$L$24,1+Model_Formula!$N$26,1)</x:f>
        <x:v>0</x:v>
      </x:c>
      <x:c r="T75" s="66" t="n">
        <x:f>Model_Formula!$M$27*(Profiles_140!Y71-Simulator!$L$25)^2*IF(Profiles_140!Y71&gt;Simulator!$L$25,1+Model_Formula!$N$27,1)</x:f>
        <x:v>162</x:v>
      </x:c>
      <x:c r="U75" s="60" t="n">
        <x:f>SUM(F75:T75)/SUM(Model_Formula!$M$13:$M$27)</x:f>
        <x:v>647.0945945945947</x:v>
      </x:c>
      <x:c r="V75" s="60" t="n">
        <x:f>SQRT(U75)</x:f>
        <x:v>25.43805406462127</x:v>
      </x:c>
      <x:c r="W75" s="60" t="n">
        <x:f>MAX(0,100-V75)</x:f>
        <x:v>74.56194593537873</x:v>
      </x:c>
      <x:c r="X75" t="n">
        <x:f>RANK.EQ(W75,$W$6:$W$145,0)+COUNTIF($W$6:W75,W75)-1</x:f>
        <x:v>42</x:v>
      </x:c>
    </x:row>
    <x:row r="76">
      <x:c r="A76" t="str">
        <x:f>Profiles_140!A72</x:f>
        <x:v>パルキア</x:v>
      </x:c>
      <x:c r="B76" t="str">
        <x:f>Profiles_140!C72</x:f>
        <x:v>パルキア-1</x:v>
      </x:c>
      <x:c r="C76" t="str">
        <x:f>Profiles_140!D72</x:f>
        <x:v>共通プロファイル</x:v>
      </x:c>
      <x:c r="D76" t="str">
        <x:f>Profiles_140!B72</x:f>
        <x:v>バランス型</x:v>
      </x:c>
      <x:c r="E76" t="str">
        <x:f>Profiles_140!I72</x:f>
        <x:v>中</x:v>
      </x:c>
      <x:c r="F76" s="66" t="n">
        <x:f>Model_Formula!$M$13*(Profiles_140!K72-Simulator!$L$11)^2*IF(Profiles_140!K72&gt;Simulator!$L$11,1+Model_Formula!$N$13,1)</x:f>
        <x:v>625</x:v>
      </x:c>
      <x:c r="G76" s="66" t="n">
        <x:f>Model_Formula!$M$14*(Profiles_140!L72-Simulator!$L$12)^2*IF(Profiles_140!L72&gt;Simulator!$L$12,1+Model_Formula!$N$14,1)</x:f>
        <x:v>2794.5</x:v>
      </x:c>
      <x:c r="H76" s="66" t="n">
        <x:f>Model_Formula!$M$15*(Profiles_140!M72-Simulator!$L$13)^2*IF(Profiles_140!M72&gt;Simulator!$L$13,1+Model_Formula!$N$15,1)</x:f>
        <x:v>625</x:v>
      </x:c>
      <x:c r="I76" s="66" t="n">
        <x:f>Model_Formula!$M$16*(Profiles_140!N72-Simulator!$L$14)^2*IF(Profiles_140!N72&gt;Simulator!$L$14,1+Model_Formula!$N$16,1)</x:f>
        <x:v>625</x:v>
      </x:c>
      <x:c r="J76" s="66" t="n">
        <x:f>Model_Formula!$M$17*(Profiles_140!O72-Simulator!$L$15)^2*IF(Profiles_140!O72&gt;Simulator!$L$15,1+Model_Formula!$N$17,1)</x:f>
        <x:v>1225</x:v>
      </x:c>
      <x:c r="K76" s="66" t="n">
        <x:f>Model_Formula!$M$18*(Profiles_140!P72-Simulator!$L$16)^2*IF(Profiles_140!P72&gt;Simulator!$L$16,1+Model_Formula!$N$18,1)</x:f>
        <x:v>360</x:v>
      </x:c>
      <x:c r="L76" s="66" t="n">
        <x:f>Model_Formula!$M$19*(Profiles_140!Q72-Simulator!$L$17)^2*IF(Profiles_140!Q72&gt;Simulator!$L$17,1+Model_Formula!$N$19,1)</x:f>
        <x:v>562.5</x:v>
      </x:c>
      <x:c r="M76" s="66" t="n">
        <x:f>Model_Formula!$M$20*(Profiles_140!R72-Simulator!$L$18)^2*IF(Profiles_140!R72&gt;Simulator!$L$18,1+Model_Formula!$N$20,1)</x:f>
        <x:v>25</x:v>
      </x:c>
      <x:c r="N76" s="66" t="n">
        <x:f>Model_Formula!$M$21*(Profiles_140!S72-Simulator!$L$19)^2*IF(Profiles_140!S72&gt;Simulator!$L$19,1+Model_Formula!$N$21,1)</x:f>
        <x:v>1920</x:v>
      </x:c>
      <x:c r="O76" s="66" t="n">
        <x:f>Model_Formula!$M$22*(Profiles_140!T72-Simulator!$L$20)^2*IF(Profiles_140!T72&gt;Simulator!$L$20,1+Model_Formula!$N$22,1)</x:f>
        <x:v>1600</x:v>
      </x:c>
      <x:c r="P76" s="66" t="n">
        <x:f>Model_Formula!$M$23*(Profiles_140!U72-Simulator!$L$21)^2*IF(Profiles_140!U72&gt;Simulator!$L$21,1+Model_Formula!$N$23,1)</x:f>
        <x:v>320</x:v>
      </x:c>
      <x:c r="Q76" s="66" t="n">
        <x:f>Model_Formula!$M$24*(Profiles_140!V72-Simulator!$L$22)^2*IF(Profiles_140!V72&gt;Simulator!$L$22,1+Model_Formula!$N$24,1)</x:f>
        <x:v>280</x:v>
      </x:c>
      <x:c r="R76" s="66" t="n">
        <x:f>Model_Formula!$M$25*(Profiles_140!W72-Simulator!$L$23)^2*IF(Profiles_140!W72&gt;Simulator!$L$23,1+Model_Formula!$N$25,1)</x:f>
        <x:v>60</x:v>
      </x:c>
      <x:c r="S76" s="66" t="n">
        <x:f>Model_Formula!$M$26*(Profiles_140!X72-Simulator!$L$24)^2*IF(Profiles_140!X72&gt;Simulator!$L$24,1+Model_Formula!$N$26,1)</x:f>
        <x:v>910</x:v>
      </x:c>
      <x:c r="T76" s="66" t="n">
        <x:f>Model_Formula!$M$27*(Profiles_140!Y72-Simulator!$L$25)^2*IF(Profiles_140!Y72&gt;Simulator!$L$25,1+Model_Formula!$N$27,1)</x:f>
        <x:v>648</x:v>
      </x:c>
      <x:c r="U76" s="60" t="n">
        <x:f>SUM(F76:T76)/SUM(Model_Formula!$M$13:$M$27)</x:f>
        <x:v>850.0000000000001</x:v>
      </x:c>
      <x:c r="V76" s="60" t="n">
        <x:f>SQRT(U76)</x:f>
        <x:v>29.154759474226505</x:v>
      </x:c>
      <x:c r="W76" s="60" t="n">
        <x:f>MAX(0,100-V76)</x:f>
        <x:v>70.84524052577349</x:v>
      </x:c>
      <x:c r="X76" t="n">
        <x:f>RANK.EQ(W76,$W$6:$W$145,0)+COUNTIF($W$6:W76,W76)-1</x:f>
        <x:v>75</x:v>
      </x:c>
    </x:row>
    <x:row r="77">
      <x:c r="A77" t="str">
        <x:f>Profiles_140!A73</x:f>
        <x:v>パーモット</x:v>
      </x:c>
      <x:c r="B77" t="str">
        <x:f>Profiles_140!C73</x:f>
        <x:v>パーモット-1</x:v>
      </x:c>
      <x:c r="C77" t="str">
        <x:f>Profiles_140!D73</x:f>
        <x:v>共通プロファイル</x:v>
      </x:c>
      <x:c r="D77" t="str">
        <x:f>Profiles_140!B73</x:f>
        <x:v>バランス型</x:v>
      </x:c>
      <x:c r="E77" t="str">
        <x:f>Profiles_140!I73</x:f>
        <x:v>高</x:v>
      </x:c>
      <x:c r="F77" s="66" t="n">
        <x:f>Model_Formula!$M$13*(Profiles_140!K73-Simulator!$L$11)^2*IF(Profiles_140!K73&gt;Simulator!$L$11,1+Model_Formula!$N$13,1)</x:f>
        <x:v>625</x:v>
      </x:c>
      <x:c r="G77" s="66" t="n">
        <x:f>Model_Formula!$M$14*(Profiles_140!L73-Simulator!$L$12)^2*IF(Profiles_140!L73&gt;Simulator!$L$12,1+Model_Formula!$N$14,1)</x:f>
        <x:v>2794.5</x:v>
      </x:c>
      <x:c r="H77" s="66" t="n">
        <x:f>Model_Formula!$M$15*(Profiles_140!M73-Simulator!$L$13)^2*IF(Profiles_140!M73&gt;Simulator!$L$13,1+Model_Formula!$N$15,1)</x:f>
        <x:v>625</x:v>
      </x:c>
      <x:c r="I77" s="66" t="n">
        <x:f>Model_Formula!$M$16*(Profiles_140!N73-Simulator!$L$14)^2*IF(Profiles_140!N73&gt;Simulator!$L$14,1+Model_Formula!$N$16,1)</x:f>
        <x:v>225</x:v>
      </x:c>
      <x:c r="J77" s="66" t="n">
        <x:f>Model_Formula!$M$17*(Profiles_140!O73-Simulator!$L$15)^2*IF(Profiles_140!O73&gt;Simulator!$L$15,1+Model_Formula!$N$17,1)</x:f>
        <x:v>1225</x:v>
      </x:c>
      <x:c r="K77" s="66" t="n">
        <x:f>Model_Formula!$M$18*(Profiles_140!P73-Simulator!$L$16)^2*IF(Profiles_140!P73&gt;Simulator!$L$16,1+Model_Formula!$N$18,1)</x:f>
        <x:v>1102.5</x:v>
      </x:c>
      <x:c r="L77" s="66" t="n">
        <x:f>Model_Formula!$M$19*(Profiles_140!Q73-Simulator!$L$17)^2*IF(Profiles_140!Q73&gt;Simulator!$L$17,1+Model_Formula!$N$19,1)</x:f>
        <x:v>1102.5</x:v>
      </x:c>
      <x:c r="M77" s="66" t="n">
        <x:f>Model_Formula!$M$20*(Profiles_140!R73-Simulator!$L$18)^2*IF(Profiles_140!R73&gt;Simulator!$L$18,1+Model_Formula!$N$20,1)</x:f>
        <x:v>25</x:v>
      </x:c>
      <x:c r="N77" s="66" t="n">
        <x:f>Model_Formula!$M$21*(Profiles_140!S73-Simulator!$L$19)^2*IF(Profiles_140!S73&gt;Simulator!$L$19,1+Model_Formula!$N$21,1)</x:f>
        <x:v>1920</x:v>
      </x:c>
      <x:c r="O77" s="66" t="n">
        <x:f>Model_Formula!$M$22*(Profiles_140!T73-Simulator!$L$20)^2*IF(Profiles_140!T73&gt;Simulator!$L$20,1+Model_Formula!$N$22,1)</x:f>
        <x:v>900</x:v>
      </x:c>
      <x:c r="P77" s="66" t="n">
        <x:f>Model_Formula!$M$23*(Profiles_140!U73-Simulator!$L$21)^2*IF(Profiles_140!U73&gt;Simulator!$L$21,1+Model_Formula!$N$23,1)</x:f>
        <x:v>500</x:v>
      </x:c>
      <x:c r="Q77" s="66" t="n">
        <x:f>Model_Formula!$M$24*(Profiles_140!V73-Simulator!$L$22)^2*IF(Profiles_140!V73&gt;Simulator!$L$22,1+Model_Formula!$N$24,1)</x:f>
        <x:v>280</x:v>
      </x:c>
      <x:c r="R77" s="66" t="n">
        <x:f>Model_Formula!$M$25*(Profiles_140!W73-Simulator!$L$23)^2*IF(Profiles_140!W73&gt;Simulator!$L$23,1+Model_Formula!$N$25,1)</x:f>
        <x:v>60</x:v>
      </x:c>
      <x:c r="S77" s="66" t="n">
        <x:f>Model_Formula!$M$26*(Profiles_140!X73-Simulator!$L$24)^2*IF(Profiles_140!X73&gt;Simulator!$L$24,1+Model_Formula!$N$26,1)</x:f>
        <x:v>910</x:v>
      </x:c>
      <x:c r="T77" s="66" t="n">
        <x:f>Model_Formula!$M$27*(Profiles_140!Y73-Simulator!$L$25)^2*IF(Profiles_140!Y73&gt;Simulator!$L$25,1+Model_Formula!$N$27,1)</x:f>
        <x:v>648</x:v>
      </x:c>
      <x:c r="U77" s="60" t="n">
        <x:f>SUM(F77:T77)/SUM(Model_Formula!$M$13:$M$27)</x:f>
        <x:v>874.4932432432433</x:v>
      </x:c>
      <x:c r="V77" s="60" t="n">
        <x:f>SQRT(U77)</x:f>
        <x:v>29.571831922341968</x:v>
      </x:c>
      <x:c r="W77" s="60" t="n">
        <x:f>MAX(0,100-V77)</x:f>
        <x:v>70.42816807765803</x:v>
      </x:c>
      <x:c r="X77" t="n">
        <x:f>RANK.EQ(W77,$W$6:$W$145,0)+COUNTIF($W$6:W77,W77)-1</x:f>
        <x:v>80</x:v>
      </x:c>
    </x:row>
    <x:row r="78">
      <x:c r="A78" t="str">
        <x:f>Profiles_140!A74</x:f>
        <x:v>ファイヤー</x:v>
      </x:c>
      <x:c r="B78" t="str">
        <x:f>Profiles_140!C74</x:f>
        <x:v>ファイヤー-1</x:v>
      </x:c>
      <x:c r="C78" t="str">
        <x:f>Profiles_140!D74</x:f>
        <x:v>共通プロファイル</x:v>
      </x:c>
      <x:c r="D78" t="str">
        <x:f>Profiles_140!B74</x:f>
        <x:v>バランス型</x:v>
      </x:c>
      <x:c r="E78" t="str">
        <x:f>Profiles_140!I74</x:f>
        <x:v>中</x:v>
      </x:c>
      <x:c r="F78" s="66" t="n">
        <x:f>Model_Formula!$M$13*(Profiles_140!K74-Simulator!$L$11)^2*IF(Profiles_140!K74&gt;Simulator!$L$11,1+Model_Formula!$N$13,1)</x:f>
        <x:v>25</x:v>
      </x:c>
      <x:c r="G78" s="66" t="n">
        <x:f>Model_Formula!$M$14*(Profiles_140!L74-Simulator!$L$12)^2*IF(Profiles_140!L74&gt;Simulator!$L$12,1+Model_Formula!$N$14,1)</x:f>
        <x:v>0</x:v>
      </x:c>
      <x:c r="H78" s="66" t="n">
        <x:f>Model_Formula!$M$15*(Profiles_140!M74-Simulator!$L$13)^2*IF(Profiles_140!M74&gt;Simulator!$L$13,1+Model_Formula!$N$15,1)</x:f>
        <x:v>100</x:v>
      </x:c>
      <x:c r="I78" s="66" t="n">
        <x:f>Model_Formula!$M$16*(Profiles_140!N74-Simulator!$L$14)^2*IF(Profiles_140!N74&gt;Simulator!$L$14,1+Model_Formula!$N$16,1)</x:f>
        <x:v>2500</x:v>
      </x:c>
      <x:c r="J78" s="66" t="n">
        <x:f>Model_Formula!$M$17*(Profiles_140!O74-Simulator!$L$15)^2*IF(Profiles_140!O74&gt;Simulator!$L$15,1+Model_Formula!$N$17,1)</x:f>
        <x:v>1225</x:v>
      </x:c>
      <x:c r="K78" s="66" t="n">
        <x:f>Model_Formula!$M$18*(Profiles_140!P74-Simulator!$L$16)^2*IF(Profiles_140!P74&gt;Simulator!$L$16,1+Model_Formula!$N$18,1)</x:f>
        <x:v>90</x:v>
      </x:c>
      <x:c r="L78" s="66" t="n">
        <x:f>Model_Formula!$M$19*(Profiles_140!Q74-Simulator!$L$17)^2*IF(Profiles_140!Q74&gt;Simulator!$L$17,1+Model_Formula!$N$19,1)</x:f>
        <x:v>2250</x:v>
      </x:c>
      <x:c r="M78" s="66" t="n">
        <x:f>Model_Formula!$M$20*(Profiles_140!R74-Simulator!$L$18)^2*IF(Profiles_140!R74&gt;Simulator!$L$18,1+Model_Formula!$N$20,1)</x:f>
        <x:v>225</x:v>
      </x:c>
      <x:c r="N78" s="66" t="n">
        <x:f>Model_Formula!$M$21*(Profiles_140!S74-Simulator!$L$19)^2*IF(Profiles_140!S74&gt;Simulator!$L$19,1+Model_Formula!$N$21,1)</x:f>
        <x:v>1470</x:v>
      </x:c>
      <x:c r="O78" s="66" t="n">
        <x:f>Model_Formula!$M$22*(Profiles_140!T74-Simulator!$L$20)^2*IF(Profiles_140!T74&gt;Simulator!$L$20,1+Model_Formula!$N$22,1)</x:f>
        <x:v>225</x:v>
      </x:c>
      <x:c r="P78" s="66" t="n">
        <x:f>Model_Formula!$M$23*(Profiles_140!U74-Simulator!$L$21)^2*IF(Profiles_140!U74&gt;Simulator!$L$21,1+Model_Formula!$N$23,1)</x:f>
        <x:v>720</x:v>
      </x:c>
      <x:c r="Q78" s="66" t="n">
        <x:f>Model_Formula!$M$24*(Profiles_140!V74-Simulator!$L$22)^2*IF(Profiles_140!V74&gt;Simulator!$L$22,1+Model_Formula!$N$24,1)</x:f>
        <x:v>630</x:v>
      </x:c>
      <x:c r="R78" s="66" t="n">
        <x:f>Model_Formula!$M$25*(Profiles_140!W74-Simulator!$L$23)^2*IF(Profiles_140!W74&gt;Simulator!$L$23,1+Model_Formula!$N$25,1)</x:f>
        <x:v>15</x:v>
      </x:c>
      <x:c r="S78" s="66" t="n">
        <x:f>Model_Formula!$M$26*(Profiles_140!X74-Simulator!$L$24)^2*IF(Profiles_140!X74&gt;Simulator!$L$24,1+Model_Formula!$N$26,1)</x:f>
        <x:v>0</x:v>
      </x:c>
      <x:c r="T78" s="66" t="n">
        <x:f>Model_Formula!$M$27*(Profiles_140!Y74-Simulator!$L$25)^2*IF(Profiles_140!Y74&gt;Simulator!$L$25,1+Model_Formula!$N$27,1)</x:f>
        <x:v>162</x:v>
      </x:c>
      <x:c r="U78" s="60" t="n">
        <x:f>SUM(F78:T78)/SUM(Model_Formula!$M$13:$M$27)</x:f>
        <x:v>651.1486486486486</x:v>
      </x:c>
      <x:c r="V78" s="60" t="n">
        <x:f>SQRT(U78)</x:f>
        <x:v>25.51761447801594</x:v>
      </x:c>
      <x:c r="W78" s="60" t="n">
        <x:f>MAX(0,100-V78)</x:f>
        <x:v>74.48238552198406</x:v>
      </x:c>
      <x:c r="X78" t="n">
        <x:f>RANK.EQ(W78,$W$6:$W$145,0)+COUNTIF($W$6:W78,W78)-1</x:f>
        <x:v>43</x:v>
      </x:c>
    </x:row>
    <x:row r="79">
      <x:c r="A79" t="str">
        <x:f>Profiles_140!A75</x:f>
        <x:v>マッシブーン</x:v>
      </x:c>
      <x:c r="B79" t="str">
        <x:f>Profiles_140!C75</x:f>
        <x:v>マッシブーン-1</x:v>
      </x:c>
      <x:c r="C79" t="str">
        <x:f>Profiles_140!D75</x:f>
        <x:v>共通プロファイル</x:v>
      </x:c>
      <x:c r="D79" t="str">
        <x:f>Profiles_140!B75</x:f>
        <x:v>バランス型</x:v>
      </x:c>
      <x:c r="E79" t="str">
        <x:f>Profiles_140!I75</x:f>
        <x:v>高</x:v>
      </x:c>
      <x:c r="F79" s="66" t="n">
        <x:f>Model_Formula!$M$13*(Profiles_140!K75-Simulator!$L$11)^2*IF(Profiles_140!K75&gt;Simulator!$L$11,1+Model_Formula!$N$13,1)</x:f>
        <x:v>400</x:v>
      </x:c>
      <x:c r="G79" s="66" t="n">
        <x:f>Model_Formula!$M$14*(Profiles_140!L75-Simulator!$L$12)^2*IF(Profiles_140!L75&gt;Simulator!$L$12,1+Model_Formula!$N$14,1)</x:f>
        <x:v>30</x:v>
      </x:c>
      <x:c r="H79" s="66" t="n">
        <x:f>Model_Formula!$M$15*(Profiles_140!M75-Simulator!$L$13)^2*IF(Profiles_140!M75&gt;Simulator!$L$13,1+Model_Formula!$N$15,1)</x:f>
        <x:v>100</x:v>
      </x:c>
      <x:c r="I79" s="66" t="n">
        <x:f>Model_Formula!$M$16*(Profiles_140!N75-Simulator!$L$14)^2*IF(Profiles_140!N75&gt;Simulator!$L$14,1+Model_Formula!$N$16,1)</x:f>
        <x:v>225</x:v>
      </x:c>
      <x:c r="J79" s="66" t="n">
        <x:f>Model_Formula!$M$17*(Profiles_140!O75-Simulator!$L$15)^2*IF(Profiles_140!O75&gt;Simulator!$L$15,1+Model_Formula!$N$17,1)</x:f>
        <x:v>25</x:v>
      </x:c>
      <x:c r="K79" s="66" t="n">
        <x:f>Model_Formula!$M$18*(Profiles_140!P75-Simulator!$L$16)^2*IF(Profiles_140!P75&gt;Simulator!$L$16,1+Model_Formula!$N$18,1)</x:f>
        <x:v>90</x:v>
      </x:c>
      <x:c r="L79" s="66" t="n">
        <x:f>Model_Formula!$M$19*(Profiles_140!Q75-Simulator!$L$17)^2*IF(Profiles_140!Q75&gt;Simulator!$L$17,1+Model_Formula!$N$19,1)</x:f>
        <x:v>90</x:v>
      </x:c>
      <x:c r="M79" s="66" t="n">
        <x:f>Model_Formula!$M$20*(Profiles_140!R75-Simulator!$L$18)^2*IF(Profiles_140!R75&gt;Simulator!$L$18,1+Model_Formula!$N$20,1)</x:f>
        <x:v>2500</x:v>
      </x:c>
      <x:c r="N79" s="66" t="n">
        <x:f>Model_Formula!$M$21*(Profiles_140!S75-Simulator!$L$19)^2*IF(Profiles_140!S75&gt;Simulator!$L$19,1+Model_Formula!$N$21,1)</x:f>
        <x:v>750</x:v>
      </x:c>
      <x:c r="O79" s="66" t="n">
        <x:f>Model_Formula!$M$22*(Profiles_140!T75-Simulator!$L$20)^2*IF(Profiles_140!T75&gt;Simulator!$L$20,1+Model_Formula!$N$22,1)</x:f>
        <x:v>100</x:v>
      </x:c>
      <x:c r="P79" s="66" t="n">
        <x:f>Model_Formula!$M$23*(Profiles_140!U75-Simulator!$L$21)^2*IF(Profiles_140!U75&gt;Simulator!$L$21,1+Model_Formula!$N$23,1)</x:f>
        <x:v>180</x:v>
      </x:c>
      <x:c r="Q79" s="66" t="n">
        <x:f>Model_Formula!$M$24*(Profiles_140!V75-Simulator!$L$22)^2*IF(Profiles_140!V75&gt;Simulator!$L$22,1+Model_Formula!$N$24,1)</x:f>
        <x:v>17.5</x:v>
      </x:c>
      <x:c r="R79" s="66" t="n">
        <x:f>Model_Formula!$M$25*(Profiles_140!W75-Simulator!$L$23)^2*IF(Profiles_140!W75&gt;Simulator!$L$23,1+Model_Formula!$N$25,1)</x:f>
        <x:v>135</x:v>
      </x:c>
      <x:c r="S79" s="66" t="n">
        <x:f>Model_Formula!$M$26*(Profiles_140!X75-Simulator!$L$24)^2*IF(Profiles_140!X75&gt;Simulator!$L$24,1+Model_Formula!$N$26,1)</x:f>
        <x:v>511.875</x:v>
      </x:c>
      <x:c r="T79" s="66" t="n">
        <x:f>Model_Formula!$M$27*(Profiles_140!Y75-Simulator!$L$25)^2*IF(Profiles_140!Y75&gt;Simulator!$L$25,1+Model_Formula!$N$27,1)</x:f>
        <x:v>2592</x:v>
      </x:c>
      <x:c r="U79" s="60" t="n">
        <x:f>SUM(F79:T79)/SUM(Model_Formula!$M$13:$M$27)</x:f>
        <x:v>523.4037162162163</x:v>
      </x:c>
      <x:c r="V79" s="60" t="n">
        <x:f>SQRT(U79)</x:f>
        <x:v>22.87801818812583</x:v>
      </x:c>
      <x:c r="W79" s="60" t="n">
        <x:f>MAX(0,100-V79)</x:f>
        <x:v>77.12198181187418</x:v>
      </x:c>
      <x:c r="X79" t="n">
        <x:f>RANK.EQ(W79,$W$6:$W$145,0)+COUNTIF($W$6:W79,W79)-1</x:f>
        <x:v>12</x:v>
      </x:c>
    </x:row>
    <x:row r="80">
      <x:c r="A80" t="str">
        <x:f>Profiles_140!A76</x:f>
        <x:v>マリルリ</x:v>
      </x:c>
      <x:c r="B80" t="str">
        <x:f>Profiles_140!C76</x:f>
        <x:v>マリルリ-1</x:v>
      </x:c>
      <x:c r="C80" t="str">
        <x:f>Profiles_140!D76</x:f>
        <x:v>共通プロファイル</x:v>
      </x:c>
      <x:c r="D80" t="str">
        <x:f>Profiles_140!B76</x:f>
        <x:v>バランス型</x:v>
      </x:c>
      <x:c r="E80" t="str">
        <x:f>Profiles_140!I76</x:f>
        <x:v>高</x:v>
      </x:c>
      <x:c r="F80" s="66" t="n">
        <x:f>Model_Formula!$M$13*(Profiles_140!K76-Simulator!$L$11)^2*IF(Profiles_140!K76&gt;Simulator!$L$11,1+Model_Formula!$N$13,1)</x:f>
        <x:v>625</x:v>
      </x:c>
      <x:c r="G80" s="66" t="n">
        <x:f>Model_Formula!$M$14*(Profiles_140!L76-Simulator!$L$12)^2*IF(Profiles_140!L76&gt;Simulator!$L$12,1+Model_Formula!$N$14,1)</x:f>
        <x:v>2794.5</x:v>
      </x:c>
      <x:c r="H80" s="66" t="n">
        <x:f>Model_Formula!$M$15*(Profiles_140!M76-Simulator!$L$13)^2*IF(Profiles_140!M76&gt;Simulator!$L$13,1+Model_Formula!$N$15,1)</x:f>
        <x:v>625</x:v>
      </x:c>
      <x:c r="I80" s="66" t="n">
        <x:f>Model_Formula!$M$16*(Profiles_140!N76-Simulator!$L$14)^2*IF(Profiles_140!N76&gt;Simulator!$L$14,1+Model_Formula!$N$16,1)</x:f>
        <x:v>225</x:v>
      </x:c>
      <x:c r="J80" s="66" t="n">
        <x:f>Model_Formula!$M$17*(Profiles_140!O76-Simulator!$L$15)^2*IF(Profiles_140!O76&gt;Simulator!$L$15,1+Model_Formula!$N$17,1)</x:f>
        <x:v>1225</x:v>
      </x:c>
      <x:c r="K80" s="66" t="n">
        <x:f>Model_Formula!$M$18*(Profiles_140!P76-Simulator!$L$16)^2*IF(Profiles_140!P76&gt;Simulator!$L$16,1+Model_Formula!$N$18,1)</x:f>
        <x:v>1102.5</x:v>
      </x:c>
      <x:c r="L80" s="66" t="n">
        <x:f>Model_Formula!$M$19*(Profiles_140!Q76-Simulator!$L$17)^2*IF(Profiles_140!Q76&gt;Simulator!$L$17,1+Model_Formula!$N$19,1)</x:f>
        <x:v>1102.5</x:v>
      </x:c>
      <x:c r="M80" s="66" t="n">
        <x:f>Model_Formula!$M$20*(Profiles_140!R76-Simulator!$L$18)^2*IF(Profiles_140!R76&gt;Simulator!$L$18,1+Model_Formula!$N$20,1)</x:f>
        <x:v>25</x:v>
      </x:c>
      <x:c r="N80" s="66" t="n">
        <x:f>Model_Formula!$M$21*(Profiles_140!S76-Simulator!$L$19)^2*IF(Profiles_140!S76&gt;Simulator!$L$19,1+Model_Formula!$N$21,1)</x:f>
        <x:v>1920</x:v>
      </x:c>
      <x:c r="O80" s="66" t="n">
        <x:f>Model_Formula!$M$22*(Profiles_140!T76-Simulator!$L$20)^2*IF(Profiles_140!T76&gt;Simulator!$L$20,1+Model_Formula!$N$22,1)</x:f>
        <x:v>625</x:v>
      </x:c>
      <x:c r="P80" s="66" t="n">
        <x:f>Model_Formula!$M$23*(Profiles_140!U76-Simulator!$L$21)^2*IF(Profiles_140!U76&gt;Simulator!$L$21,1+Model_Formula!$N$23,1)</x:f>
        <x:v>320</x:v>
      </x:c>
      <x:c r="Q80" s="66" t="n">
        <x:f>Model_Formula!$M$24*(Profiles_140!V76-Simulator!$L$22)^2*IF(Profiles_140!V76&gt;Simulator!$L$22,1+Model_Formula!$N$24,1)</x:f>
        <x:v>280</x:v>
      </x:c>
      <x:c r="R80" s="66" t="n">
        <x:f>Model_Formula!$M$25*(Profiles_140!W76-Simulator!$L$23)^2*IF(Profiles_140!W76&gt;Simulator!$L$23,1+Model_Formula!$N$25,1)</x:f>
        <x:v>60</x:v>
      </x:c>
      <x:c r="S80" s="66" t="n">
        <x:f>Model_Formula!$M$26*(Profiles_140!X76-Simulator!$L$24)^2*IF(Profiles_140!X76&gt;Simulator!$L$24,1+Model_Formula!$N$26,1)</x:f>
        <x:v>910</x:v>
      </x:c>
      <x:c r="T80" s="66" t="n">
        <x:f>Model_Formula!$M$27*(Profiles_140!Y76-Simulator!$L$25)^2*IF(Profiles_140!Y76&gt;Simulator!$L$25,1+Model_Formula!$N$27,1)</x:f>
        <x:v>648</x:v>
      </x:c>
      <x:c r="U80" s="60" t="n">
        <x:f>SUM(F80:T80)/SUM(Model_Formula!$M$13:$M$27)</x:f>
        <x:v>843.7500000000001</x:v>
      </x:c>
      <x:c r="V80" s="60" t="n">
        <x:f>SQRT(U80)</x:f>
        <x:v>29.04737509655563</x:v>
      </x:c>
      <x:c r="W80" s="60" t="n">
        <x:f>MAX(0,100-V80)</x:f>
        <x:v>70.95262490344437</x:v>
      </x:c>
      <x:c r="X80" t="n">
        <x:f>RANK.EQ(W80,$W$6:$W$145,0)+COUNTIF($W$6:W80,W80)-1</x:f>
        <x:v>73</x:v>
      </x:c>
    </x:row>
    <x:row r="81">
      <x:c r="A81" t="str">
        <x:f>Profiles_140!A77</x:f>
        <x:v>ミミッキュ</x:v>
      </x:c>
      <x:c r="B81" t="str">
        <x:f>Profiles_140!C77</x:f>
        <x:v>ミミッキュ-1</x:v>
      </x:c>
      <x:c r="C81" t="str">
        <x:f>Profiles_140!D77</x:f>
        <x:v>じゃれつく＋かげうち</x:v>
      </x:c>
      <x:c r="D81" t="str">
        <x:f>Profiles_140!B77</x:f>
        <x:v>バランス型</x:v>
      </x:c>
      <x:c r="E81" t="str">
        <x:f>Profiles_140!I77</x:f>
        <x:v>高</x:v>
      </x:c>
      <x:c r="F81" s="66" t="n">
        <x:f>Model_Formula!$M$13*(Profiles_140!K77-Simulator!$L$11)^2*IF(Profiles_140!K77&gt;Simulator!$L$11,1+Model_Formula!$N$13,1)</x:f>
        <x:v>0</x:v>
      </x:c>
      <x:c r="G81" s="66" t="n">
        <x:f>Model_Formula!$M$14*(Profiles_140!L77-Simulator!$L$12)^2*IF(Profiles_140!L77&gt;Simulator!$L$12,1+Model_Formula!$N$14,1)</x:f>
        <x:v>3449.9999999999995</x:v>
      </x:c>
      <x:c r="H81" s="66" t="n">
        <x:f>Model_Formula!$M$15*(Profiles_140!M77-Simulator!$L$13)^2*IF(Profiles_140!M77&gt;Simulator!$L$13,1+Model_Formula!$N$15,1)</x:f>
        <x:v>1600</x:v>
      </x:c>
      <x:c r="I81" s="66" t="n">
        <x:f>Model_Formula!$M$16*(Profiles_140!N77-Simulator!$L$14)^2*IF(Profiles_140!N77&gt;Simulator!$L$14,1+Model_Formula!$N$16,1)</x:f>
        <x:v>625</x:v>
      </x:c>
      <x:c r="J81" s="66" t="n">
        <x:f>Model_Formula!$M$17*(Profiles_140!O77-Simulator!$L$15)^2*IF(Profiles_140!O77&gt;Simulator!$L$15,1+Model_Formula!$N$17,1)</x:f>
        <x:v>900</x:v>
      </x:c>
      <x:c r="K81" s="66" t="n">
        <x:f>Model_Formula!$M$18*(Profiles_140!P77-Simulator!$L$16)^2*IF(Profiles_140!P77&gt;Simulator!$L$16,1+Model_Formula!$N$18,1)</x:f>
        <x:v>2250</x:v>
      </x:c>
      <x:c r="L81" s="66" t="n">
        <x:f>Model_Formula!$M$19*(Profiles_140!Q77-Simulator!$L$17)^2*IF(Profiles_140!Q77&gt;Simulator!$L$17,1+Model_Formula!$N$19,1)</x:f>
        <x:v>22.5</x:v>
      </x:c>
      <x:c r="M81" s="66" t="n">
        <x:f>Model_Formula!$M$20*(Profiles_140!R77-Simulator!$L$18)^2*IF(Profiles_140!R77&gt;Simulator!$L$18,1+Model_Formula!$N$20,1)</x:f>
        <x:v>400</x:v>
      </x:c>
      <x:c r="N81" s="66" t="n">
        <x:f>Model_Formula!$M$21*(Profiles_140!S77-Simulator!$L$19)^2*IF(Profiles_140!S77&gt;Simulator!$L$19,1+Model_Formula!$N$21,1)</x:f>
        <x:v>1920</x:v>
      </x:c>
      <x:c r="O81" s="66" t="n">
        <x:f>Model_Formula!$M$22*(Profiles_140!T77-Simulator!$L$20)^2*IF(Profiles_140!T77&gt;Simulator!$L$20,1+Model_Formula!$N$22,1)</x:f>
        <x:v>2500</x:v>
      </x:c>
      <x:c r="P81" s="66" t="n">
        <x:f>Model_Formula!$M$23*(Profiles_140!U77-Simulator!$L$21)^2*IF(Profiles_140!U77&gt;Simulator!$L$21,1+Model_Formula!$N$23,1)</x:f>
        <x:v>320</x:v>
      </x:c>
      <x:c r="Q81" s="66" t="n">
        <x:f>Model_Formula!$M$24*(Profiles_140!V77-Simulator!$L$22)^2*IF(Profiles_140!V77&gt;Simulator!$L$22,1+Model_Formula!$N$24,1)</x:f>
        <x:v>157.5</x:v>
      </x:c>
      <x:c r="R81" s="66" t="n">
        <x:f>Model_Formula!$M$25*(Profiles_140!W77-Simulator!$L$23)^2*IF(Profiles_140!W77&gt;Simulator!$L$23,1+Model_Formula!$N$25,1)</x:f>
        <x:v>540</x:v>
      </x:c>
      <x:c r="S81" s="66" t="n">
        <x:f>Model_Formula!$M$26*(Profiles_140!X77-Simulator!$L$24)^2*IF(Profiles_140!X77&gt;Simulator!$L$24,1+Model_Formula!$N$26,1)</x:f>
        <x:v>2047.5</x:v>
      </x:c>
      <x:c r="T81" s="66" t="n">
        <x:f>Model_Formula!$M$27*(Profiles_140!Y77-Simulator!$L$25)^2*IF(Profiles_140!Y77&gt;Simulator!$L$25,1+Model_Formula!$N$27,1)</x:f>
        <x:v>1012.5000000000001</x:v>
      </x:c>
      <x:c r="U81" s="60" t="n">
        <x:f>SUM(F81:T81)/SUM(Model_Formula!$M$13:$M$27)</x:f>
        <x:v>1198.9864864864867</x:v>
      </x:c>
      <x:c r="V81" s="60" t="n">
        <x:f>SQRT(U81)</x:f>
        <x:v>34.62638425372315</x:v>
      </x:c>
      <x:c r="W81" s="60" t="n">
        <x:f>MAX(0,100-V81)</x:f>
        <x:v>65.37361574627684</x:v>
      </x:c>
      <x:c r="X81" t="n">
        <x:f>RANK.EQ(W81,$W$6:$W$145,0)+COUNTIF($W$6:W81,W81)-1</x:f>
        <x:v>123</x:v>
      </x:c>
    </x:row>
    <x:row r="82">
      <x:c r="A82" t="str">
        <x:f>Profiles_140!A78</x:f>
        <x:v>ミミッキュ</x:v>
      </x:c>
      <x:c r="B82" t="str">
        <x:f>Profiles_140!C78</x:f>
        <x:v>ミミッキュ-2</x:v>
      </x:c>
      <x:c r="C82" t="str">
        <x:f>Profiles_140!D78</x:f>
        <x:v>シャドークロー＋トリックルーム</x:v>
      </x:c>
      <x:c r="D82" t="str">
        <x:f>Profiles_140!B78</x:f>
        <x:v>バランス型</x:v>
      </x:c>
      <x:c r="E82" t="str">
        <x:f>Profiles_140!I78</x:f>
        <x:v>高</x:v>
      </x:c>
      <x:c r="F82" s="66" t="n">
        <x:f>Model_Formula!$M$13*(Profiles_140!K78-Simulator!$L$11)^2*IF(Profiles_140!K78&gt;Simulator!$L$11,1+Model_Formula!$N$13,1)</x:f>
        <x:v>25</x:v>
      </x:c>
      <x:c r="G82" s="66" t="n">
        <x:f>Model_Formula!$M$14*(Profiles_140!L78-Simulator!$L$12)^2*IF(Profiles_140!L78&gt;Simulator!$L$12,1+Model_Formula!$N$14,1)</x:f>
        <x:v>862.4999999999999</x:v>
      </x:c>
      <x:c r="H82" s="66" t="n">
        <x:f>Model_Formula!$M$15*(Profiles_140!M78-Simulator!$L$13)^2*IF(Profiles_140!M78&gt;Simulator!$L$13,1+Model_Formula!$N$15,1)</x:f>
        <x:v>625</x:v>
      </x:c>
      <x:c r="I82" s="66" t="n">
        <x:f>Model_Formula!$M$16*(Profiles_140!N78-Simulator!$L$14)^2*IF(Profiles_140!N78&gt;Simulator!$L$14,1+Model_Formula!$N$16,1)</x:f>
        <x:v>625</x:v>
      </x:c>
      <x:c r="J82" s="66" t="n">
        <x:f>Model_Formula!$M$17*(Profiles_140!O78-Simulator!$L$15)^2*IF(Profiles_140!O78&gt;Simulator!$L$15,1+Model_Formula!$N$17,1)</x:f>
        <x:v>900</x:v>
      </x:c>
      <x:c r="K82" s="66" t="n">
        <x:f>Model_Formula!$M$18*(Profiles_140!P78-Simulator!$L$16)^2*IF(Profiles_140!P78&gt;Simulator!$L$16,1+Model_Formula!$N$18,1)</x:f>
        <x:v>22.5</x:v>
      </x:c>
      <x:c r="L82" s="66" t="n">
        <x:f>Model_Formula!$M$19*(Profiles_140!Q78-Simulator!$L$17)^2*IF(Profiles_140!Q78&gt;Simulator!$L$17,1+Model_Formula!$N$19,1)</x:f>
        <x:v>2250</x:v>
      </x:c>
      <x:c r="M82" s="66" t="n">
        <x:f>Model_Formula!$M$20*(Profiles_140!R78-Simulator!$L$18)^2*IF(Profiles_140!R78&gt;Simulator!$L$18,1+Model_Formula!$N$20,1)</x:f>
        <x:v>225</x:v>
      </x:c>
      <x:c r="N82" s="66" t="n">
        <x:f>Model_Formula!$M$21*(Profiles_140!S78-Simulator!$L$19)^2*IF(Profiles_140!S78&gt;Simulator!$L$19,1+Model_Formula!$N$21,1)</x:f>
        <x:v>1920</x:v>
      </x:c>
      <x:c r="O82" s="66" t="n">
        <x:f>Model_Formula!$M$22*(Profiles_140!T78-Simulator!$L$20)^2*IF(Profiles_140!T78&gt;Simulator!$L$20,1+Model_Formula!$N$22,1)</x:f>
        <x:v>900</x:v>
      </x:c>
      <x:c r="P82" s="66" t="n">
        <x:f>Model_Formula!$M$23*(Profiles_140!U78-Simulator!$L$21)^2*IF(Profiles_140!U78&gt;Simulator!$L$21,1+Model_Formula!$N$23,1)</x:f>
        <x:v>500</x:v>
      </x:c>
      <x:c r="Q82" s="66" t="n">
        <x:f>Model_Formula!$M$24*(Profiles_140!V78-Simulator!$L$22)^2*IF(Profiles_140!V78&gt;Simulator!$L$22,1+Model_Formula!$N$24,1)</x:f>
        <x:v>437.5</x:v>
      </x:c>
      <x:c r="R82" s="66" t="n">
        <x:f>Model_Formula!$M$25*(Profiles_140!W78-Simulator!$L$23)^2*IF(Profiles_140!W78&gt;Simulator!$L$23,1+Model_Formula!$N$25,1)</x:f>
        <x:v>60</x:v>
      </x:c>
      <x:c r="S82" s="66" t="n">
        <x:f>Model_Formula!$M$26*(Profiles_140!X78-Simulator!$L$24)^2*IF(Profiles_140!X78&gt;Simulator!$L$24,1+Model_Formula!$N$26,1)</x:f>
        <x:v>910</x:v>
      </x:c>
      <x:c r="T82" s="66" t="n">
        <x:f>Model_Formula!$M$27*(Profiles_140!Y78-Simulator!$L$25)^2*IF(Profiles_140!Y78&gt;Simulator!$L$25,1+Model_Formula!$N$27,1)</x:f>
        <x:v>364.5</x:v>
      </x:c>
      <x:c r="U82" s="60" t="n">
        <x:f>SUM(F82:T82)/SUM(Model_Formula!$M$13:$M$27)</x:f>
        <x:v>718.0405405405406</x:v>
      </x:c>
      <x:c r="V82" s="60" t="n">
        <x:f>SQRT(U82)</x:f>
        <x:v>26.796278483038286</x:v>
      </x:c>
      <x:c r="W82" s="60" t="n">
        <x:f>MAX(0,100-V82)</x:f>
        <x:v>73.2037215169617</x:v>
      </x:c>
      <x:c r="X82" t="n">
        <x:f>RANK.EQ(W82,$W$6:$W$145,0)+COUNTIF($W$6:W82,W82)-1</x:f>
        <x:v>53</x:v>
      </x:c>
    </x:row>
    <x:row r="83">
      <x:c r="A83" t="str">
        <x:f>Profiles_140!A79</x:f>
        <x:v>ミュウツー(X)</x:v>
      </x:c>
      <x:c r="B83" t="str">
        <x:f>Profiles_140!C79</x:f>
        <x:v>ミュウツー(X)-1</x:v>
      </x:c>
      <x:c r="C83" t="str">
        <x:f>Profiles_140!D79</x:f>
        <x:v>共通プロファイル</x:v>
      </x:c>
      <x:c r="D83" t="str">
        <x:f>Profiles_140!B79</x:f>
        <x:v>バランス型</x:v>
      </x:c>
      <x:c r="E83" t="str">
        <x:f>Profiles_140!I79</x:f>
        <x:v>高</x:v>
      </x:c>
      <x:c r="F83" s="66" t="n">
        <x:f>Model_Formula!$M$13*(Profiles_140!K79-Simulator!$L$11)^2*IF(Profiles_140!K79&gt;Simulator!$L$11,1+Model_Formula!$N$13,1)</x:f>
        <x:v>100</x:v>
      </x:c>
      <x:c r="G83" s="66" t="n">
        <x:f>Model_Formula!$M$14*(Profiles_140!L79-Simulator!$L$12)^2*IF(Profiles_140!L79&gt;Simulator!$L$12,1+Model_Formula!$N$14,1)</x:f>
        <x:v>0</x:v>
      </x:c>
      <x:c r="H83" s="66" t="n">
        <x:f>Model_Formula!$M$15*(Profiles_140!M79-Simulator!$L$13)^2*IF(Profiles_140!M79&gt;Simulator!$L$13,1+Model_Formula!$N$15,1)</x:f>
        <x:v>25</x:v>
      </x:c>
      <x:c r="I83" s="66" t="n">
        <x:f>Model_Formula!$M$16*(Profiles_140!N79-Simulator!$L$14)^2*IF(Profiles_140!N79&gt;Simulator!$L$14,1+Model_Formula!$N$16,1)</x:f>
        <x:v>2500</x:v>
      </x:c>
      <x:c r="J83" s="66" t="n">
        <x:f>Model_Formula!$M$17*(Profiles_140!O79-Simulator!$L$15)^2*IF(Profiles_140!O79&gt;Simulator!$L$15,1+Model_Formula!$N$17,1)</x:f>
        <x:v>625</x:v>
      </x:c>
      <x:c r="K83" s="66" t="n">
        <x:f>Model_Formula!$M$18*(Profiles_140!P79-Simulator!$L$16)^2*IF(Profiles_140!P79&gt;Simulator!$L$16,1+Model_Formula!$N$18,1)</x:f>
        <x:v>22.5</x:v>
      </x:c>
      <x:c r="L83" s="66" t="n">
        <x:f>Model_Formula!$M$19*(Profiles_140!Q79-Simulator!$L$17)^2*IF(Profiles_140!Q79&gt;Simulator!$L$17,1+Model_Formula!$N$19,1)</x:f>
        <x:v>562.5</x:v>
      </x:c>
      <x:c r="M83" s="66" t="n">
        <x:f>Model_Formula!$M$20*(Profiles_140!R79-Simulator!$L$18)^2*IF(Profiles_140!R79&gt;Simulator!$L$18,1+Model_Formula!$N$20,1)</x:f>
        <x:v>400</x:v>
      </x:c>
      <x:c r="N83" s="66" t="n">
        <x:f>Model_Formula!$M$21*(Profiles_140!S79-Simulator!$L$19)^2*IF(Profiles_140!S79&gt;Simulator!$L$19,1+Model_Formula!$N$21,1)</x:f>
        <x:v>1080</x:v>
      </x:c>
      <x:c r="O83" s="66" t="n">
        <x:f>Model_Formula!$M$22*(Profiles_140!T79-Simulator!$L$20)^2*IF(Profiles_140!T79&gt;Simulator!$L$20,1+Model_Formula!$N$22,1)</x:f>
        <x:v>100</x:v>
      </x:c>
      <x:c r="P83" s="66" t="n">
        <x:f>Model_Formula!$M$23*(Profiles_140!U79-Simulator!$L$21)^2*IF(Profiles_140!U79&gt;Simulator!$L$21,1+Model_Formula!$N$23,1)</x:f>
        <x:v>180</x:v>
      </x:c>
      <x:c r="Q83" s="66" t="n">
        <x:f>Model_Formula!$M$24*(Profiles_140!V79-Simulator!$L$22)^2*IF(Profiles_140!V79&gt;Simulator!$L$22,1+Model_Formula!$N$24,1)</x:f>
        <x:v>280</x:v>
      </x:c>
      <x:c r="R83" s="66" t="n">
        <x:f>Model_Formula!$M$25*(Profiles_140!W79-Simulator!$L$23)^2*IF(Profiles_140!W79&gt;Simulator!$L$23,1+Model_Formula!$N$25,1)</x:f>
        <x:v>60</x:v>
      </x:c>
      <x:c r="S83" s="66" t="n">
        <x:f>Model_Formula!$M$26*(Profiles_140!X79-Simulator!$L$24)^2*IF(Profiles_140!X79&gt;Simulator!$L$24,1+Model_Formula!$N$26,1)</x:f>
        <x:v>32.5</x:v>
      </x:c>
      <x:c r="T83" s="66" t="n">
        <x:f>Model_Formula!$M$27*(Profiles_140!Y79-Simulator!$L$25)^2*IF(Profiles_140!Y79&gt;Simulator!$L$25,1+Model_Formula!$N$27,1)</x:f>
        <x:v>648</x:v>
      </x:c>
      <x:c r="U83" s="60" t="n">
        <x:f>SUM(F83:T83)/SUM(Model_Formula!$M$13:$M$27)</x:f>
        <x:v>446.9932432432433</x:v>
      </x:c>
      <x:c r="V83" s="60" t="n">
        <x:f>SQRT(U83)</x:f>
        <x:v>21.142214719447992</x:v>
      </x:c>
      <x:c r="W83" s="60" t="n">
        <x:f>MAX(0,100-V83)</x:f>
        <x:v>78.85778528055201</x:v>
      </x:c>
      <x:c r="X83" t="n">
        <x:f>RANK.EQ(W83,$W$6:$W$145,0)+COUNTIF($W$6:W83,W83)-1</x:f>
        <x:v>5</x:v>
      </x:c>
    </x:row>
    <x:row r="84">
      <x:c r="A84" t="str">
        <x:f>Profiles_140!A80</x:f>
        <x:v>メタグロス</x:v>
      </x:c>
      <x:c r="B84" t="str">
        <x:f>Profiles_140!C80</x:f>
        <x:v>メタグロス-1</x:v>
      </x:c>
      <x:c r="C84" t="str">
        <x:f>Profiles_140!D80</x:f>
        <x:v>共通プロファイル</x:v>
      </x:c>
      <x:c r="D84" t="str">
        <x:f>Profiles_140!B80</x:f>
        <x:v>バランス型</x:v>
      </x:c>
      <x:c r="E84" t="str">
        <x:f>Profiles_140!I80</x:f>
        <x:v>高</x:v>
      </x:c>
      <x:c r="F84" s="66" t="n">
        <x:f>Model_Formula!$M$13*(Profiles_140!K80-Simulator!$L$11)^2*IF(Profiles_140!K80&gt;Simulator!$L$11,1+Model_Formula!$N$13,1)</x:f>
        <x:v>400</x:v>
      </x:c>
      <x:c r="G84" s="66" t="n">
        <x:f>Model_Formula!$M$14*(Profiles_140!L80-Simulator!$L$12)^2*IF(Profiles_140!L80&gt;Simulator!$L$12,1+Model_Formula!$N$14,1)</x:f>
        <x:v>2208</x:v>
      </x:c>
      <x:c r="H84" s="66" t="n">
        <x:f>Model_Formula!$M$15*(Profiles_140!M80-Simulator!$L$13)^2*IF(Profiles_140!M80&gt;Simulator!$L$13,1+Model_Formula!$N$15,1)</x:f>
        <x:v>400</x:v>
      </x:c>
      <x:c r="I84" s="66" t="n">
        <x:f>Model_Formula!$M$16*(Profiles_140!N80-Simulator!$L$14)^2*IF(Profiles_140!N80&gt;Simulator!$L$14,1+Model_Formula!$N$16,1)</x:f>
        <x:v>1225</x:v>
      </x:c>
      <x:c r="J84" s="66" t="n">
        <x:f>Model_Formula!$M$17*(Profiles_140!O80-Simulator!$L$15)^2*IF(Profiles_140!O80&gt;Simulator!$L$15,1+Model_Formula!$N$17,1)</x:f>
        <x:v>1225</x:v>
      </x:c>
      <x:c r="K84" s="66" t="n">
        <x:f>Model_Formula!$M$18*(Profiles_140!P80-Simulator!$L$16)^2*IF(Profiles_140!P80&gt;Simulator!$L$16,1+Model_Formula!$N$18,1)</x:f>
        <x:v>360</x:v>
      </x:c>
      <x:c r="L84" s="66" t="n">
        <x:f>Model_Formula!$M$19*(Profiles_140!Q80-Simulator!$L$17)^2*IF(Profiles_140!Q80&gt;Simulator!$L$17,1+Model_Formula!$N$19,1)</x:f>
        <x:v>810</x:v>
      </x:c>
      <x:c r="M84" s="66" t="n">
        <x:f>Model_Formula!$M$20*(Profiles_140!R80-Simulator!$L$18)^2*IF(Profiles_140!R80&gt;Simulator!$L$18,1+Model_Formula!$N$20,1)</x:f>
        <x:v>25</x:v>
      </x:c>
      <x:c r="N84" s="66" t="n">
        <x:f>Model_Formula!$M$21*(Profiles_140!S80-Simulator!$L$19)^2*IF(Profiles_140!S80&gt;Simulator!$L$19,1+Model_Formula!$N$21,1)</x:f>
        <x:v>1920</x:v>
      </x:c>
      <x:c r="O84" s="66" t="n">
        <x:f>Model_Formula!$M$22*(Profiles_140!T80-Simulator!$L$20)^2*IF(Profiles_140!T80&gt;Simulator!$L$20,1+Model_Formula!$N$22,1)</x:f>
        <x:v>225</x:v>
      </x:c>
      <x:c r="P84" s="66" t="n">
        <x:f>Model_Formula!$M$23*(Profiles_140!U80-Simulator!$L$21)^2*IF(Profiles_140!U80&gt;Simulator!$L$21,1+Model_Formula!$N$23,1)</x:f>
        <x:v>320</x:v>
      </x:c>
      <x:c r="Q84" s="66" t="n">
        <x:f>Model_Formula!$M$24*(Profiles_140!V80-Simulator!$L$22)^2*IF(Profiles_140!V80&gt;Simulator!$L$22,1+Model_Formula!$N$24,1)</x:f>
        <x:v>280</x:v>
      </x:c>
      <x:c r="R84" s="66" t="n">
        <x:f>Model_Formula!$M$25*(Profiles_140!W80-Simulator!$L$23)^2*IF(Profiles_140!W80&gt;Simulator!$L$23,1+Model_Formula!$N$25,1)</x:f>
        <x:v>15</x:v>
      </x:c>
      <x:c r="S84" s="66" t="n">
        <x:f>Model_Formula!$M$26*(Profiles_140!X80-Simulator!$L$24)^2*IF(Profiles_140!X80&gt;Simulator!$L$24,1+Model_Formula!$N$26,1)</x:f>
        <x:v>511.875</x:v>
      </x:c>
      <x:c r="T84" s="66" t="n">
        <x:f>Model_Formula!$M$27*(Profiles_140!Y80-Simulator!$L$25)^2*IF(Profiles_140!Y80&gt;Simulator!$L$25,1+Model_Formula!$N$27,1)</x:f>
        <x:v>364.5</x:v>
      </x:c>
      <x:c r="U84" s="60" t="n">
        <x:f>SUM(F84:T84)/SUM(Model_Formula!$M$13:$M$27)</x:f>
        <x:v>695.2280405405406</x:v>
      </x:c>
      <x:c r="V84" s="60" t="n">
        <x:f>SQRT(U84)</x:f>
        <x:v>26.367177333581626</x:v>
      </x:c>
      <x:c r="W84" s="60" t="n">
        <x:f>MAX(0,100-V84)</x:f>
        <x:v>73.63282266641838</x:v>
      </x:c>
      <x:c r="X84" t="n">
        <x:f>RANK.EQ(W84,$W$6:$W$145,0)+COUNTIF($W$6:W84,W84)-1</x:f>
        <x:v>48</x:v>
      </x:c>
    </x:row>
    <x:row r="85">
      <x:c r="A85" t="str">
        <x:f>Profiles_140!A81</x:f>
        <x:v>リザードン</x:v>
      </x:c>
      <x:c r="B85" t="str">
        <x:f>Profiles_140!C81</x:f>
        <x:v>リザードン-1</x:v>
      </x:c>
      <x:c r="C85" t="str">
        <x:f>Profiles_140!D81</x:f>
        <x:v>かえんほうしゃ＋だいもんじ</x:v>
      </x:c>
      <x:c r="D85" t="str">
        <x:f>Profiles_140!B81</x:f>
        <x:v>バランス型</x:v>
      </x:c>
      <x:c r="E85" t="str">
        <x:f>Profiles_140!I81</x:f>
        <x:v>高</x:v>
      </x:c>
      <x:c r="F85" s="66" t="n">
        <x:f>Model_Formula!$M$13*(Profiles_140!K81-Simulator!$L$11)^2*IF(Profiles_140!K81&gt;Simulator!$L$11,1+Model_Formula!$N$13,1)</x:f>
        <x:v>225</x:v>
      </x:c>
      <x:c r="G85" s="66" t="n">
        <x:f>Model_Formula!$M$14*(Profiles_140!L81-Simulator!$L$12)^2*IF(Profiles_140!L81&gt;Simulator!$L$12,1+Model_Formula!$N$14,1)</x:f>
        <x:v>1470</x:v>
      </x:c>
      <x:c r="H85" s="66" t="n">
        <x:f>Model_Formula!$M$15*(Profiles_140!M81-Simulator!$L$13)^2*IF(Profiles_140!M81&gt;Simulator!$L$13,1+Model_Formula!$N$15,1)</x:f>
        <x:v>400</x:v>
      </x:c>
      <x:c r="I85" s="66" t="n">
        <x:f>Model_Formula!$M$16*(Profiles_140!N81-Simulator!$L$14)^2*IF(Profiles_140!N81&gt;Simulator!$L$14,1+Model_Formula!$N$16,1)</x:f>
        <x:v>400</x:v>
      </x:c>
      <x:c r="J85" s="66" t="n">
        <x:f>Model_Formula!$M$17*(Profiles_140!O81-Simulator!$L$15)^2*IF(Profiles_140!O81&gt;Simulator!$L$15,1+Model_Formula!$N$17,1)</x:f>
        <x:v>400</x:v>
      </x:c>
      <x:c r="K85" s="66" t="n">
        <x:f>Model_Formula!$M$18*(Profiles_140!P81-Simulator!$L$16)^2*IF(Profiles_140!P81&gt;Simulator!$L$16,1+Model_Formula!$N$18,1)</x:f>
        <x:v>90</x:v>
      </x:c>
      <x:c r="L85" s="66" t="n">
        <x:f>Model_Formula!$M$19*(Profiles_140!Q81-Simulator!$L$17)^2*IF(Profiles_140!Q81&gt;Simulator!$L$17,1+Model_Formula!$N$19,1)</x:f>
        <x:v>1440</x:v>
      </x:c>
      <x:c r="M85" s="66" t="n">
        <x:f>Model_Formula!$M$20*(Profiles_140!R81-Simulator!$L$18)^2*IF(Profiles_140!R81&gt;Simulator!$L$18,1+Model_Formula!$N$20,1)</x:f>
        <x:v>100</x:v>
      </x:c>
      <x:c r="N85" s="66" t="n">
        <x:f>Model_Formula!$M$21*(Profiles_140!S81-Simulator!$L$19)^2*IF(Profiles_140!S81&gt;Simulator!$L$19,1+Model_Formula!$N$21,1)</x:f>
        <x:v>1920</x:v>
      </x:c>
      <x:c r="O85" s="66" t="n">
        <x:f>Model_Formula!$M$22*(Profiles_140!T81-Simulator!$L$20)^2*IF(Profiles_140!T81&gt;Simulator!$L$20,1+Model_Formula!$N$22,1)</x:f>
        <x:v>100</x:v>
      </x:c>
      <x:c r="P85" s="66" t="n">
        <x:f>Model_Formula!$M$23*(Profiles_140!U81-Simulator!$L$21)^2*IF(Profiles_140!U81&gt;Simulator!$L$21,1+Model_Formula!$N$23,1)</x:f>
        <x:v>500</x:v>
      </x:c>
      <x:c r="Q85" s="66" t="n">
        <x:f>Model_Formula!$M$24*(Profiles_140!V81-Simulator!$L$22)^2*IF(Profiles_140!V81&gt;Simulator!$L$22,1+Model_Formula!$N$24,1)</x:f>
        <x:v>630</x:v>
      </x:c>
      <x:c r="R85" s="66" t="n">
        <x:f>Model_Formula!$M$25*(Profiles_140!W81-Simulator!$L$23)^2*IF(Profiles_140!W81&gt;Simulator!$L$23,1+Model_Formula!$N$25,1)</x:f>
        <x:v>15</x:v>
      </x:c>
      <x:c r="S85" s="66" t="n">
        <x:f>Model_Formula!$M$26*(Profiles_140!X81-Simulator!$L$24)^2*IF(Profiles_140!X81&gt;Simulator!$L$24,1+Model_Formula!$N$26,1)</x:f>
        <x:v>511.875</x:v>
      </x:c>
      <x:c r="T85" s="66" t="n">
        <x:f>Model_Formula!$M$27*(Profiles_140!Y81-Simulator!$L$25)^2*IF(Profiles_140!Y81&gt;Simulator!$L$25,1+Model_Formula!$N$27,1)</x:f>
        <x:v>648</x:v>
      </x:c>
      <x:c r="U85" s="60" t="n">
        <x:f>SUM(F85:T85)/SUM(Model_Formula!$M$13:$M$27)</x:f>
        <x:v>597.9645270270271</x:v>
      </x:c>
      <x:c r="V85" s="60" t="n">
        <x:f>SQRT(U85)</x:f>
        <x:v>24.4533132116494</x:v>
      </x:c>
      <x:c r="W85" s="60" t="n">
        <x:f>MAX(0,100-V85)</x:f>
        <x:v>75.5466867883506</x:v>
      </x:c>
      <x:c r="X85" t="n">
        <x:f>RANK.EQ(W85,$W$6:$W$145,0)+COUNTIF($W$6:W85,W85)-1</x:f>
        <x:v>29</x:v>
      </x:c>
    </x:row>
    <x:row r="86">
      <x:c r="A86" t="str">
        <x:f>Profiles_140!A82</x:f>
        <x:v>リザードン</x:v>
      </x:c>
      <x:c r="B86" t="str">
        <x:f>Profiles_140!C82</x:f>
        <x:v>リザードン-2</x:v>
      </x:c>
      <x:c r="C86" t="str">
        <x:f>Profiles_140!D82</x:f>
        <x:v>ほのおのパンチ＋フレアドライブ</x:v>
      </x:c>
      <x:c r="D86" t="str">
        <x:f>Profiles_140!B82</x:f>
        <x:v>バランス型</x:v>
      </x:c>
      <x:c r="E86" t="str">
        <x:f>Profiles_140!I82</x:f>
        <x:v>高</x:v>
      </x:c>
      <x:c r="F86" s="66" t="n">
        <x:f>Model_Formula!$M$13*(Profiles_140!K82-Simulator!$L$11)^2*IF(Profiles_140!K82&gt;Simulator!$L$11,1+Model_Formula!$N$13,1)</x:f>
        <x:v>900</x:v>
      </x:c>
      <x:c r="G86" s="66" t="n">
        <x:f>Model_Formula!$M$14*(Profiles_140!L82-Simulator!$L$12)^2*IF(Profiles_140!L82&gt;Simulator!$L$12,1+Model_Formula!$N$14,1)</x:f>
        <x:v>3449.9999999999995</x:v>
      </x:c>
      <x:c r="H86" s="66" t="n">
        <x:f>Model_Formula!$M$15*(Profiles_140!M82-Simulator!$L$13)^2*IF(Profiles_140!M82&gt;Simulator!$L$13,1+Model_Formula!$N$15,1)</x:f>
        <x:v>625</x:v>
      </x:c>
      <x:c r="I86" s="66" t="n">
        <x:f>Model_Formula!$M$16*(Profiles_140!N82-Simulator!$L$14)^2*IF(Profiles_140!N82&gt;Simulator!$L$14,1+Model_Formula!$N$16,1)</x:f>
        <x:v>625</x:v>
      </x:c>
      <x:c r="J86" s="66" t="n">
        <x:f>Model_Formula!$M$17*(Profiles_140!O82-Simulator!$L$15)^2*IF(Profiles_140!O82&gt;Simulator!$L$15,1+Model_Formula!$N$17,1)</x:f>
        <x:v>2500</x:v>
      </x:c>
      <x:c r="K86" s="66" t="n">
        <x:f>Model_Formula!$M$18*(Profiles_140!P82-Simulator!$L$16)^2*IF(Profiles_140!P82&gt;Simulator!$L$16,1+Model_Formula!$N$18,1)</x:f>
        <x:v>360</x:v>
      </x:c>
      <x:c r="L86" s="66" t="n">
        <x:f>Model_Formula!$M$19*(Profiles_140!Q82-Simulator!$L$17)^2*IF(Profiles_140!Q82&gt;Simulator!$L$17,1+Model_Formula!$N$19,1)</x:f>
        <x:v>810</x:v>
      </x:c>
      <x:c r="M86" s="66" t="n">
        <x:f>Model_Formula!$M$20*(Profiles_140!R82-Simulator!$L$18)^2*IF(Profiles_140!R82&gt;Simulator!$L$18,1+Model_Formula!$N$20,1)</x:f>
        <x:v>0</x:v>
      </x:c>
      <x:c r="N86" s="66" t="n">
        <x:f>Model_Formula!$M$21*(Profiles_140!S82-Simulator!$L$19)^2*IF(Profiles_140!S82&gt;Simulator!$L$19,1+Model_Formula!$N$21,1)</x:f>
        <x:v>1920</x:v>
      </x:c>
      <x:c r="O86" s="66" t="n">
        <x:f>Model_Formula!$M$22*(Profiles_140!T82-Simulator!$L$20)^2*IF(Profiles_140!T82&gt;Simulator!$L$20,1+Model_Formula!$N$22,1)</x:f>
        <x:v>900</x:v>
      </x:c>
      <x:c r="P86" s="66" t="n">
        <x:f>Model_Formula!$M$23*(Profiles_140!U82-Simulator!$L$21)^2*IF(Profiles_140!U82&gt;Simulator!$L$21,1+Model_Formula!$N$23,1)</x:f>
        <x:v>320</x:v>
      </x:c>
      <x:c r="Q86" s="66" t="n">
        <x:f>Model_Formula!$M$24*(Profiles_140!V82-Simulator!$L$22)^2*IF(Profiles_140!V82&gt;Simulator!$L$22,1+Model_Formula!$N$24,1)</x:f>
        <x:v>280</x:v>
      </x:c>
      <x:c r="R86" s="66" t="n">
        <x:f>Model_Formula!$M$25*(Profiles_140!W82-Simulator!$L$23)^2*IF(Profiles_140!W82&gt;Simulator!$L$23,1+Model_Formula!$N$25,1)</x:f>
        <x:v>60</x:v>
      </x:c>
      <x:c r="S86" s="66" t="n">
        <x:f>Model_Formula!$M$26*(Profiles_140!X82-Simulator!$L$24)^2*IF(Profiles_140!X82&gt;Simulator!$L$24,1+Model_Formula!$N$26,1)</x:f>
        <x:v>910</x:v>
      </x:c>
      <x:c r="T86" s="66" t="n">
        <x:f>Model_Formula!$M$27*(Profiles_140!Y82-Simulator!$L$25)^2*IF(Profiles_140!Y82&gt;Simulator!$L$25,1+Model_Formula!$N$27,1)</x:f>
        <x:v>648</x:v>
      </x:c>
      <x:c r="U86" s="60" t="n">
        <x:f>SUM(F86:T86)/SUM(Model_Formula!$M$13:$M$27)</x:f>
        <x:v>966.7567567567568</x:v>
      </x:c>
      <x:c r="V86" s="60" t="n">
        <x:f>SQRT(U86)</x:f>
        <x:v>31.092712277264535</x:v>
      </x:c>
      <x:c r="W86" s="60" t="n">
        <x:f>MAX(0,100-V86)</x:f>
        <x:v>68.90728772273546</x:v>
      </x:c>
      <x:c r="X86" t="n">
        <x:f>RANK.EQ(W86,$W$6:$W$145,0)+COUNTIF($W$6:W86,W86)-1</x:f>
        <x:v>106</x:v>
      </x:c>
    </x:row>
    <x:row r="87">
      <x:c r="A87" t="str">
        <x:f>Profiles_140!A83</x:f>
        <x:v>メガリザードンX</x:v>
      </x:c>
      <x:c r="B87" t="str">
        <x:f>Profiles_140!C83</x:f>
        <x:v>メガリザードンX-1</x:v>
      </x:c>
      <x:c r="C87" t="str">
        <x:f>Profiles_140!D83</x:f>
        <x:v>共通プロファイル</x:v>
      </x:c>
      <x:c r="D87" t="str">
        <x:f>Profiles_140!B83</x:f>
        <x:v>バランス型</x:v>
      </x:c>
      <x:c r="E87" t="str">
        <x:f>Profiles_140!I83</x:f>
        <x:v>中</x:v>
      </x:c>
      <x:c r="F87" s="66" t="n">
        <x:f>Model_Formula!$M$13*(Profiles_140!K83-Simulator!$L$11)^2*IF(Profiles_140!K83&gt;Simulator!$L$11,1+Model_Formula!$N$13,1)</x:f>
        <x:v>625</x:v>
      </x:c>
      <x:c r="G87" s="66" t="n">
        <x:f>Model_Formula!$M$14*(Profiles_140!L83-Simulator!$L$12)^2*IF(Profiles_140!L83&gt;Simulator!$L$12,1+Model_Formula!$N$14,1)</x:f>
        <x:v>3449.9999999999995</x:v>
      </x:c>
      <x:c r="H87" s="66" t="n">
        <x:f>Model_Formula!$M$15*(Profiles_140!M83-Simulator!$L$13)^2*IF(Profiles_140!M83&gt;Simulator!$L$13,1+Model_Formula!$N$15,1)</x:f>
        <x:v>625</x:v>
      </x:c>
      <x:c r="I87" s="66" t="n">
        <x:f>Model_Formula!$M$16*(Profiles_140!N83-Simulator!$L$14)^2*IF(Profiles_140!N83&gt;Simulator!$L$14,1+Model_Formula!$N$16,1)</x:f>
        <x:v>625</x:v>
      </x:c>
      <x:c r="J87" s="66" t="n">
        <x:f>Model_Formula!$M$17*(Profiles_140!O83-Simulator!$L$15)^2*IF(Profiles_140!O83&gt;Simulator!$L$15,1+Model_Formula!$N$17,1)</x:f>
        <x:v>1225</x:v>
      </x:c>
      <x:c r="K87" s="66" t="n">
        <x:f>Model_Formula!$M$18*(Profiles_140!P83-Simulator!$L$16)^2*IF(Profiles_140!P83&gt;Simulator!$L$16,1+Model_Formula!$N$18,1)</x:f>
        <x:v>1102.5</x:v>
      </x:c>
      <x:c r="L87" s="66" t="n">
        <x:f>Model_Formula!$M$19*(Profiles_140!Q83-Simulator!$L$17)^2*IF(Profiles_140!Q83&gt;Simulator!$L$17,1+Model_Formula!$N$19,1)</x:f>
        <x:v>562.5</x:v>
      </x:c>
      <x:c r="M87" s="66" t="n">
        <x:f>Model_Formula!$M$20*(Profiles_140!R83-Simulator!$L$18)^2*IF(Profiles_140!R83&gt;Simulator!$L$18,1+Model_Formula!$N$20,1)</x:f>
        <x:v>25</x:v>
      </x:c>
      <x:c r="N87" s="66" t="n">
        <x:f>Model_Formula!$M$21*(Profiles_140!S83-Simulator!$L$19)^2*IF(Profiles_140!S83&gt;Simulator!$L$19,1+Model_Formula!$N$21,1)</x:f>
        <x:v>1920</x:v>
      </x:c>
      <x:c r="O87" s="66" t="n">
        <x:f>Model_Formula!$M$22*(Profiles_140!T83-Simulator!$L$20)^2*IF(Profiles_140!T83&gt;Simulator!$L$20,1+Model_Formula!$N$22,1)</x:f>
        <x:v>900</x:v>
      </x:c>
      <x:c r="P87" s="66" t="n">
        <x:f>Model_Formula!$M$23*(Profiles_140!U83-Simulator!$L$21)^2*IF(Profiles_140!U83&gt;Simulator!$L$21,1+Model_Formula!$N$23,1)</x:f>
        <x:v>320</x:v>
      </x:c>
      <x:c r="Q87" s="66" t="n">
        <x:f>Model_Formula!$M$24*(Profiles_140!V83-Simulator!$L$22)^2*IF(Profiles_140!V83&gt;Simulator!$L$22,1+Model_Formula!$N$24,1)</x:f>
        <x:v>280</x:v>
      </x:c>
      <x:c r="R87" s="66" t="n">
        <x:f>Model_Formula!$M$25*(Profiles_140!W83-Simulator!$L$23)^2*IF(Profiles_140!W83&gt;Simulator!$L$23,1+Model_Formula!$N$25,1)</x:f>
        <x:v>60</x:v>
      </x:c>
      <x:c r="S87" s="66" t="n">
        <x:f>Model_Formula!$M$26*(Profiles_140!X83-Simulator!$L$24)^2*IF(Profiles_140!X83&gt;Simulator!$L$24,1+Model_Formula!$N$26,1)</x:f>
        <x:v>910</x:v>
      </x:c>
      <x:c r="T87" s="66" t="n">
        <x:f>Model_Formula!$M$27*(Profiles_140!Y83-Simulator!$L$25)^2*IF(Profiles_140!Y83&gt;Simulator!$L$25,1+Model_Formula!$N$27,1)</x:f>
        <x:v>648</x:v>
      </x:c>
      <x:c r="U87" s="60" t="n">
        <x:f>SUM(F87:T87)/SUM(Model_Formula!$M$13:$M$27)</x:f>
        <x:v>897.1621621621622</x:v>
      </x:c>
      <x:c r="V87" s="60" t="n">
        <x:f>SQRT(U87)</x:f>
        <x:v>29.95266535990015</x:v>
      </x:c>
      <x:c r="W87" s="60" t="n">
        <x:f>MAX(0,100-V87)</x:f>
        <x:v>70.04733464009985</x:v>
      </x:c>
      <x:c r="X87" t="n">
        <x:f>RANK.EQ(W87,$W$6:$W$145,0)+COUNTIF($W$6:W87,W87)-1</x:f>
        <x:v>88</x:v>
      </x:c>
    </x:row>
    <x:row r="88">
      <x:c r="A88" t="str">
        <x:f>Profiles_140!A84</x:f>
        <x:v>メガリザードンY</x:v>
      </x:c>
      <x:c r="B88" t="str">
        <x:f>Profiles_140!C84</x:f>
        <x:v>メガリザードンY-1</x:v>
      </x:c>
      <x:c r="C88" t="str">
        <x:f>Profiles_140!D84</x:f>
        <x:v>共通プロファイル</x:v>
      </x:c>
      <x:c r="D88" t="str">
        <x:f>Profiles_140!B84</x:f>
        <x:v>バランス型</x:v>
      </x:c>
      <x:c r="E88" t="str">
        <x:f>Profiles_140!I84</x:f>
        <x:v>中</x:v>
      </x:c>
      <x:c r="F88" s="66" t="n">
        <x:f>Model_Formula!$M$13*(Profiles_140!K84-Simulator!$L$11)^2*IF(Profiles_140!K84&gt;Simulator!$L$11,1+Model_Formula!$N$13,1)</x:f>
        <x:v>225</x:v>
      </x:c>
      <x:c r="G88" s="66" t="n">
        <x:f>Model_Formula!$M$14*(Profiles_140!L84-Simulator!$L$12)^2*IF(Profiles_140!L84&gt;Simulator!$L$12,1+Model_Formula!$N$14,1)</x:f>
        <x:v>1242</x:v>
      </x:c>
      <x:c r="H88" s="66" t="n">
        <x:f>Model_Formula!$M$15*(Profiles_140!M84-Simulator!$L$13)^2*IF(Profiles_140!M84&gt;Simulator!$L$13,1+Model_Formula!$N$15,1)</x:f>
        <x:v>625</x:v>
      </x:c>
      <x:c r="I88" s="66" t="n">
        <x:f>Model_Formula!$M$16*(Profiles_140!N84-Simulator!$L$14)^2*IF(Profiles_140!N84&gt;Simulator!$L$14,1+Model_Formula!$N$16,1)</x:f>
        <x:v>25</x:v>
      </x:c>
      <x:c r="J88" s="66" t="n">
        <x:f>Model_Formula!$M$17*(Profiles_140!O84-Simulator!$L$15)^2*IF(Profiles_140!O84&gt;Simulator!$L$15,1+Model_Formula!$N$17,1)</x:f>
        <x:v>225</x:v>
      </x:c>
      <x:c r="K88" s="66" t="n">
        <x:f>Model_Formula!$M$18*(Profiles_140!P84-Simulator!$L$16)^2*IF(Profiles_140!P84&gt;Simulator!$L$16,1+Model_Formula!$N$18,1)</x:f>
        <x:v>360</x:v>
      </x:c>
      <x:c r="L88" s="66" t="n">
        <x:f>Model_Formula!$M$19*(Profiles_140!Q84-Simulator!$L$17)^2*IF(Profiles_140!Q84&gt;Simulator!$L$17,1+Model_Formula!$N$19,1)</x:f>
        <x:v>1102.5</x:v>
      </x:c>
      <x:c r="M88" s="66" t="n">
        <x:f>Model_Formula!$M$20*(Profiles_140!R84-Simulator!$L$18)^2*IF(Profiles_140!R84&gt;Simulator!$L$18,1+Model_Formula!$N$20,1)</x:f>
        <x:v>25</x:v>
      </x:c>
      <x:c r="N88" s="66" t="n">
        <x:f>Model_Formula!$M$21*(Profiles_140!S84-Simulator!$L$19)^2*IF(Profiles_140!S84&gt;Simulator!$L$19,1+Model_Formula!$N$21,1)</x:f>
        <x:v>1920</x:v>
      </x:c>
      <x:c r="O88" s="66" t="n">
        <x:f>Model_Formula!$M$22*(Profiles_140!T84-Simulator!$L$20)^2*IF(Profiles_140!T84&gt;Simulator!$L$20,1+Model_Formula!$N$22,1)</x:f>
        <x:v>1225</x:v>
      </x:c>
      <x:c r="P88" s="66" t="n">
        <x:f>Model_Formula!$M$23*(Profiles_140!U84-Simulator!$L$21)^2*IF(Profiles_140!U84&gt;Simulator!$L$21,1+Model_Formula!$N$23,1)</x:f>
        <x:v>320</x:v>
      </x:c>
      <x:c r="Q88" s="66" t="n">
        <x:f>Model_Formula!$M$24*(Profiles_140!V84-Simulator!$L$22)^2*IF(Profiles_140!V84&gt;Simulator!$L$22,1+Model_Formula!$N$24,1)</x:f>
        <x:v>280</x:v>
      </x:c>
      <x:c r="R88" s="66" t="n">
        <x:f>Model_Formula!$M$25*(Profiles_140!W84-Simulator!$L$23)^2*IF(Profiles_140!W84&gt;Simulator!$L$23,1+Model_Formula!$N$25,1)</x:f>
        <x:v>15</x:v>
      </x:c>
      <x:c r="S88" s="66" t="n">
        <x:f>Model_Formula!$M$26*(Profiles_140!X84-Simulator!$L$24)^2*IF(Profiles_140!X84&gt;Simulator!$L$24,1+Model_Formula!$N$26,1)</x:f>
        <x:v>910</x:v>
      </x:c>
      <x:c r="T88" s="66" t="n">
        <x:f>Model_Formula!$M$27*(Profiles_140!Y84-Simulator!$L$25)^2*IF(Profiles_140!Y84&gt;Simulator!$L$25,1+Model_Formula!$N$27,1)</x:f>
        <x:v>648</x:v>
      </x:c>
      <x:c r="U88" s="60" t="n">
        <x:f>SUM(F88:T88)/SUM(Model_Formula!$M$13:$M$27)</x:f>
        <x:v>618.0743243243244</x:v>
      </x:c>
      <x:c r="V88" s="60" t="n">
        <x:f>SQRT(U88)</x:f>
        <x:v>24.86110062576322</x:v>
      </x:c>
      <x:c r="W88" s="60" t="n">
        <x:f>MAX(0,100-V88)</x:f>
        <x:v>75.13889937423679</x:v>
      </x:c>
      <x:c r="X88" t="n">
        <x:f>RANK.EQ(W88,$W$6:$W$145,0)+COUNTIF($W$6:W88,W88)-1</x:f>
        <x:v>34</x:v>
      </x:c>
    </x:row>
    <x:row r="89">
      <x:c r="A89" t="str">
        <x:f>Profiles_140!A85</x:f>
        <x:v>ルカリオ</x:v>
      </x:c>
      <x:c r="B89" t="str">
        <x:f>Profiles_140!C85</x:f>
        <x:v>ルカリオ-1</x:v>
      </x:c>
      <x:c r="C89" t="str">
        <x:f>Profiles_140!D85</x:f>
        <x:v>しんそく＋ボーンラッシュ</x:v>
      </x:c>
      <x:c r="D89" t="str">
        <x:f>Profiles_140!B85</x:f>
        <x:v>バランス型</x:v>
      </x:c>
      <x:c r="E89" t="str">
        <x:f>Profiles_140!I85</x:f>
        <x:v>高</x:v>
      </x:c>
      <x:c r="F89" s="66" t="n">
        <x:f>Model_Formula!$M$13*(Profiles_140!K85-Simulator!$L$11)^2*IF(Profiles_140!K85&gt;Simulator!$L$11,1+Model_Formula!$N$13,1)</x:f>
        <x:v>0</x:v>
      </x:c>
      <x:c r="G89" s="66" t="n">
        <x:f>Model_Formula!$M$14*(Profiles_140!L85-Simulator!$L$12)^2*IF(Profiles_140!L85&gt;Simulator!$L$12,1+Model_Formula!$N$14,1)</x:f>
        <x:v>3449.9999999999995</x:v>
      </x:c>
      <x:c r="H89" s="66" t="n">
        <x:f>Model_Formula!$M$15*(Profiles_140!M85-Simulator!$L$13)^2*IF(Profiles_140!M85&gt;Simulator!$L$13,1+Model_Formula!$N$15,1)</x:f>
        <x:v>1225</x:v>
      </x:c>
      <x:c r="I89" s="66" t="n">
        <x:f>Model_Formula!$M$16*(Profiles_140!N85-Simulator!$L$14)^2*IF(Profiles_140!N85&gt;Simulator!$L$14,1+Model_Formula!$N$16,1)</x:f>
        <x:v>225</x:v>
      </x:c>
      <x:c r="J89" s="66" t="n">
        <x:f>Model_Formula!$M$17*(Profiles_140!O85-Simulator!$L$15)^2*IF(Profiles_140!O85&gt;Simulator!$L$15,1+Model_Formula!$N$17,1)</x:f>
        <x:v>900</x:v>
      </x:c>
      <x:c r="K89" s="66" t="n">
        <x:f>Model_Formula!$M$18*(Profiles_140!P85-Simulator!$L$16)^2*IF(Profiles_140!P85&gt;Simulator!$L$16,1+Model_Formula!$N$18,1)</x:f>
        <x:v>1102.5</x:v>
      </x:c>
      <x:c r="L89" s="66" t="n">
        <x:f>Model_Formula!$M$19*(Profiles_140!Q85-Simulator!$L$17)^2*IF(Profiles_140!Q85&gt;Simulator!$L$17,1+Model_Formula!$N$19,1)</x:f>
        <x:v>202.5</x:v>
      </x:c>
      <x:c r="M89" s="66" t="n">
        <x:f>Model_Formula!$M$20*(Profiles_140!R85-Simulator!$L$18)^2*IF(Profiles_140!R85&gt;Simulator!$L$18,1+Model_Formula!$N$20,1)</x:f>
        <x:v>400</x:v>
      </x:c>
      <x:c r="N89" s="66" t="n">
        <x:f>Model_Formula!$M$21*(Profiles_140!S85-Simulator!$L$19)^2*IF(Profiles_140!S85&gt;Simulator!$L$19,1+Model_Formula!$N$21,1)</x:f>
        <x:v>1920</x:v>
      </x:c>
      <x:c r="O89" s="66" t="n">
        <x:f>Model_Formula!$M$22*(Profiles_140!T85-Simulator!$L$20)^2*IF(Profiles_140!T85&gt;Simulator!$L$20,1+Model_Formula!$N$22,1)</x:f>
        <x:v>2500</x:v>
      </x:c>
      <x:c r="P89" s="66" t="n">
        <x:f>Model_Formula!$M$23*(Profiles_140!U85-Simulator!$L$21)^2*IF(Profiles_140!U85&gt;Simulator!$L$21,1+Model_Formula!$N$23,1)</x:f>
        <x:v>320</x:v>
      </x:c>
      <x:c r="Q89" s="66" t="n">
        <x:f>Model_Formula!$M$24*(Profiles_140!V85-Simulator!$L$22)^2*IF(Profiles_140!V85&gt;Simulator!$L$22,1+Model_Formula!$N$24,1)</x:f>
        <x:v>280</x:v>
      </x:c>
      <x:c r="R89" s="66" t="n">
        <x:f>Model_Formula!$M$25*(Profiles_140!W85-Simulator!$L$23)^2*IF(Profiles_140!W85&gt;Simulator!$L$23,1+Model_Formula!$N$25,1)</x:f>
        <x:v>375</x:v>
      </x:c>
      <x:c r="S89" s="66" t="n">
        <x:f>Model_Formula!$M$26*(Profiles_140!X85-Simulator!$L$24)^2*IF(Profiles_140!X85&gt;Simulator!$L$24,1+Model_Formula!$N$26,1)</x:f>
        <x:v>4606.875</x:v>
      </x:c>
      <x:c r="T89" s="66" t="n">
        <x:f>Model_Formula!$M$27*(Profiles_140!Y85-Simulator!$L$25)^2*IF(Profiles_140!Y85&gt;Simulator!$L$25,1+Model_Formula!$N$27,1)</x:f>
        <x:v>648</x:v>
      </x:c>
      <x:c r="U89" s="60" t="n">
        <x:f>SUM(F89:T89)/SUM(Model_Formula!$M$13:$M$27)</x:f>
        <x:v>1226.6807432432433</x:v>
      </x:c>
      <x:c r="V89" s="60" t="n">
        <x:f>SQRT(U89)</x:f>
        <x:v>35.02400238755193</x:v>
      </x:c>
      <x:c r="W89" s="60" t="n">
        <x:f>MAX(0,100-V89)</x:f>
        <x:v>64.97599761244807</x:v>
      </x:c>
      <x:c r="X89" t="n">
        <x:f>RANK.EQ(W89,$W$6:$W$145,0)+COUNTIF($W$6:W89,W89)-1</x:f>
        <x:v>125</x:v>
      </x:c>
    </x:row>
    <x:row r="90">
      <x:c r="A90" t="str">
        <x:f>Profiles_140!A86</x:f>
        <x:v>ルカリオ</x:v>
      </x:c>
      <x:c r="B90" t="str">
        <x:f>Profiles_140!C86</x:f>
        <x:v>ルカリオ-2</x:v>
      </x:c>
      <x:c r="C90" t="str">
        <x:f>Profiles_140!D86</x:f>
        <x:v>グロウパンチ＋インファイト</x:v>
      </x:c>
      <x:c r="D90" t="str">
        <x:f>Profiles_140!B86</x:f>
        <x:v>バランス型</x:v>
      </x:c>
      <x:c r="E90" t="str">
        <x:f>Profiles_140!I86</x:f>
        <x:v>高</x:v>
      </x:c>
      <x:c r="F90" s="66" t="n">
        <x:f>Model_Formula!$M$13*(Profiles_140!K86-Simulator!$L$11)^2*IF(Profiles_140!K86&gt;Simulator!$L$11,1+Model_Formula!$N$13,1)</x:f>
        <x:v>400</x:v>
      </x:c>
      <x:c r="G90" s="66" t="n">
        <x:f>Model_Formula!$M$14*(Profiles_140!L86-Simulator!$L$12)^2*IF(Profiles_140!L86&gt;Simulator!$L$12,1+Model_Formula!$N$14,1)</x:f>
        <x:v>2208</x:v>
      </x:c>
      <x:c r="H90" s="66" t="n">
        <x:f>Model_Formula!$M$15*(Profiles_140!M86-Simulator!$L$13)^2*IF(Profiles_140!M86&gt;Simulator!$L$13,1+Model_Formula!$N$15,1)</x:f>
        <x:v>625</x:v>
      </x:c>
      <x:c r="I90" s="66" t="n">
        <x:f>Model_Formula!$M$16*(Profiles_140!N86-Simulator!$L$14)^2*IF(Profiles_140!N86&gt;Simulator!$L$14,1+Model_Formula!$N$16,1)</x:f>
        <x:v>225</x:v>
      </x:c>
      <x:c r="J90" s="66" t="n">
        <x:f>Model_Formula!$M$17*(Profiles_140!O86-Simulator!$L$15)^2*IF(Profiles_140!O86&gt;Simulator!$L$15,1+Model_Formula!$N$17,1)</x:f>
        <x:v>1225</x:v>
      </x:c>
      <x:c r="K90" s="66" t="n">
        <x:f>Model_Formula!$M$18*(Profiles_140!P86-Simulator!$L$16)^2*IF(Profiles_140!P86&gt;Simulator!$L$16,1+Model_Formula!$N$18,1)</x:f>
        <x:v>1102.5</x:v>
      </x:c>
      <x:c r="L90" s="66" t="n">
        <x:f>Model_Formula!$M$19*(Profiles_140!Q86-Simulator!$L$17)^2*IF(Profiles_140!Q86&gt;Simulator!$L$17,1+Model_Formula!$N$19,1)</x:f>
        <x:v>1102.5</x:v>
      </x:c>
      <x:c r="M90" s="66" t="n">
        <x:f>Model_Formula!$M$20*(Profiles_140!R86-Simulator!$L$18)^2*IF(Profiles_140!R86&gt;Simulator!$L$18,1+Model_Formula!$N$20,1)</x:f>
        <x:v>100</x:v>
      </x:c>
      <x:c r="N90" s="66" t="n">
        <x:f>Model_Formula!$M$21*(Profiles_140!S86-Simulator!$L$19)^2*IF(Profiles_140!S86&gt;Simulator!$L$19,1+Model_Formula!$N$21,1)</x:f>
        <x:v>1920</x:v>
      </x:c>
      <x:c r="O90" s="66" t="n">
        <x:f>Model_Formula!$M$22*(Profiles_140!T86-Simulator!$L$20)^2*IF(Profiles_140!T86&gt;Simulator!$L$20,1+Model_Formula!$N$22,1)</x:f>
        <x:v>625</x:v>
      </x:c>
      <x:c r="P90" s="66" t="n">
        <x:f>Model_Formula!$M$23*(Profiles_140!U86-Simulator!$L$21)^2*IF(Profiles_140!U86&gt;Simulator!$L$21,1+Model_Formula!$N$23,1)</x:f>
        <x:v>320</x:v>
      </x:c>
      <x:c r="Q90" s="66" t="n">
        <x:f>Model_Formula!$M$24*(Profiles_140!V86-Simulator!$L$22)^2*IF(Profiles_140!V86&gt;Simulator!$L$22,1+Model_Formula!$N$24,1)</x:f>
        <x:v>630</x:v>
      </x:c>
      <x:c r="R90" s="66" t="n">
        <x:f>Model_Formula!$M$25*(Profiles_140!W86-Simulator!$L$23)^2*IF(Profiles_140!W86&gt;Simulator!$L$23,1+Model_Formula!$N$25,1)</x:f>
        <x:v>60</x:v>
      </x:c>
      <x:c r="S90" s="66" t="n">
        <x:f>Model_Formula!$M$26*(Profiles_140!X86-Simulator!$L$24)^2*IF(Profiles_140!X86&gt;Simulator!$L$24,1+Model_Formula!$N$26,1)</x:f>
        <x:v>910</x:v>
      </x:c>
      <x:c r="T90" s="66" t="n">
        <x:f>Model_Formula!$M$27*(Profiles_140!Y86-Simulator!$L$25)^2*IF(Profiles_140!Y86&gt;Simulator!$L$25,1+Model_Formula!$N$27,1)</x:f>
        <x:v>648</x:v>
      </x:c>
      <x:c r="U90" s="60" t="n">
        <x:f>SUM(F90:T90)/SUM(Model_Formula!$M$13:$M$27)</x:f>
        <x:v>817.6351351351352</x:v>
      </x:c>
      <x:c r="V90" s="60" t="n">
        <x:f>SQRT(U90)</x:f>
        <x:v>28.59431998028866</x:v>
      </x:c>
      <x:c r="W90" s="60" t="n">
        <x:f>MAX(0,100-V90)</x:f>
        <x:v>71.40568001971134</x:v>
      </x:c>
      <x:c r="X90" t="n">
        <x:f>RANK.EQ(W90,$W$6:$W$145,0)+COUNTIF($W$6:W90,W90)-1</x:f>
        <x:v>67</x:v>
      </x:c>
    </x:row>
    <x:row r="91">
      <x:c r="A91" t="str">
        <x:f>Profiles_140!A87</x:f>
        <x:v>メガルカリオ</x:v>
      </x:c>
      <x:c r="B91" t="str">
        <x:f>Profiles_140!C87</x:f>
        <x:v>メガルカリオ-1</x:v>
      </x:c>
      <x:c r="C91" t="str">
        <x:f>Profiles_140!D87</x:f>
        <x:v>共通プロファイル</x:v>
      </x:c>
      <x:c r="D91" t="str">
        <x:f>Profiles_140!B87</x:f>
        <x:v>バランス型</x:v>
      </x:c>
      <x:c r="E91" t="str">
        <x:f>Profiles_140!I87</x:f>
        <x:v>中</x:v>
      </x:c>
      <x:c r="F91" s="66" t="n">
        <x:f>Model_Formula!$M$13*(Profiles_140!K87-Simulator!$L$11)^2*IF(Profiles_140!K87&gt;Simulator!$L$11,1+Model_Formula!$N$13,1)</x:f>
        <x:v>625</x:v>
      </x:c>
      <x:c r="G91" s="66" t="n">
        <x:f>Model_Formula!$M$14*(Profiles_140!L87-Simulator!$L$12)^2*IF(Profiles_140!L87&gt;Simulator!$L$12,1+Model_Formula!$N$14,1)</x:f>
        <x:v>2794.5</x:v>
      </x:c>
      <x:c r="H91" s="66" t="n">
        <x:f>Model_Formula!$M$15*(Profiles_140!M87-Simulator!$L$13)^2*IF(Profiles_140!M87&gt;Simulator!$L$13,1+Model_Formula!$N$15,1)</x:f>
        <x:v>625</x:v>
      </x:c>
      <x:c r="I91" s="66" t="n">
        <x:f>Model_Formula!$M$16*(Profiles_140!N87-Simulator!$L$14)^2*IF(Profiles_140!N87&gt;Simulator!$L$14,1+Model_Formula!$N$16,1)</x:f>
        <x:v>625</x:v>
      </x:c>
      <x:c r="J91" s="66" t="n">
        <x:f>Model_Formula!$M$17*(Profiles_140!O87-Simulator!$L$15)^2*IF(Profiles_140!O87&gt;Simulator!$L$15,1+Model_Formula!$N$17,1)</x:f>
        <x:v>1225</x:v>
      </x:c>
      <x:c r="K91" s="66" t="n">
        <x:f>Model_Formula!$M$18*(Profiles_140!P87-Simulator!$L$16)^2*IF(Profiles_140!P87&gt;Simulator!$L$16,1+Model_Formula!$N$18,1)</x:f>
        <x:v>1102.5</x:v>
      </x:c>
      <x:c r="L91" s="66" t="n">
        <x:f>Model_Formula!$M$19*(Profiles_140!Q87-Simulator!$L$17)^2*IF(Profiles_140!Q87&gt;Simulator!$L$17,1+Model_Formula!$N$19,1)</x:f>
        <x:v>562.5</x:v>
      </x:c>
      <x:c r="M91" s="66" t="n">
        <x:f>Model_Formula!$M$20*(Profiles_140!R87-Simulator!$L$18)^2*IF(Profiles_140!R87&gt;Simulator!$L$18,1+Model_Formula!$N$20,1)</x:f>
        <x:v>25</x:v>
      </x:c>
      <x:c r="N91" s="66" t="n">
        <x:f>Model_Formula!$M$21*(Profiles_140!S87-Simulator!$L$19)^2*IF(Profiles_140!S87&gt;Simulator!$L$19,1+Model_Formula!$N$21,1)</x:f>
        <x:v>1920</x:v>
      </x:c>
      <x:c r="O91" s="66" t="n">
        <x:f>Model_Formula!$M$22*(Profiles_140!T87-Simulator!$L$20)^2*IF(Profiles_140!T87&gt;Simulator!$L$20,1+Model_Formula!$N$22,1)</x:f>
        <x:v>900</x:v>
      </x:c>
      <x:c r="P91" s="66" t="n">
        <x:f>Model_Formula!$M$23*(Profiles_140!U87-Simulator!$L$21)^2*IF(Profiles_140!U87&gt;Simulator!$L$21,1+Model_Formula!$N$23,1)</x:f>
        <x:v>320</x:v>
      </x:c>
      <x:c r="Q91" s="66" t="n">
        <x:f>Model_Formula!$M$24*(Profiles_140!V87-Simulator!$L$22)^2*IF(Profiles_140!V87&gt;Simulator!$L$22,1+Model_Formula!$N$24,1)</x:f>
        <x:v>280</x:v>
      </x:c>
      <x:c r="R91" s="66" t="n">
        <x:f>Model_Formula!$M$25*(Profiles_140!W87-Simulator!$L$23)^2*IF(Profiles_140!W87&gt;Simulator!$L$23,1+Model_Formula!$N$25,1)</x:f>
        <x:v>60</x:v>
      </x:c>
      <x:c r="S91" s="66" t="n">
        <x:f>Model_Formula!$M$26*(Profiles_140!X87-Simulator!$L$24)^2*IF(Profiles_140!X87&gt;Simulator!$L$24,1+Model_Formula!$N$26,1)</x:f>
        <x:v>2047.5</x:v>
      </x:c>
      <x:c r="T91" s="66" t="n">
        <x:f>Model_Formula!$M$27*(Profiles_140!Y87-Simulator!$L$25)^2*IF(Profiles_140!Y87&gt;Simulator!$L$25,1+Model_Formula!$N$27,1)</x:f>
        <x:v>648</x:v>
      </x:c>
      <x:c r="U91" s="60" t="n">
        <x:f>SUM(F91:T91)/SUM(Model_Formula!$M$13:$M$27)</x:f>
        <x:v>929.7297297297298</x:v>
      </x:c>
      <x:c r="V91" s="60" t="n">
        <x:f>SQRT(U91)</x:f>
        <x:v>30.491469786314497</x:v>
      </x:c>
      <x:c r="W91" s="60" t="n">
        <x:f>MAX(0,100-V91)</x:f>
        <x:v>69.5085302136855</x:v>
      </x:c>
      <x:c r="X91" t="n">
        <x:f>RANK.EQ(W91,$W$6:$W$145,0)+COUNTIF($W$6:W91,W91)-1</x:f>
        <x:v>100</x:v>
      </x:c>
    </x:row>
    <x:row r="92">
      <x:c r="A92" t="str">
        <x:f>Profiles_140!A88</x:f>
        <x:v>アブソル</x:v>
      </x:c>
      <x:c r="B92" t="str">
        <x:f>Profiles_140!C88</x:f>
        <x:v>アブソル-1</x:v>
      </x:c>
      <x:c r="C92" t="str">
        <x:f>Profiles_140!D88</x:f>
        <x:v>共通プロファイル</x:v>
      </x:c>
      <x:c r="D92" t="str">
        <x:f>Profiles_140!B88</x:f>
        <x:v>スピード型</x:v>
      </x:c>
      <x:c r="E92" t="str">
        <x:f>Profiles_140!I88</x:f>
        <x:v>高</x:v>
      </x:c>
      <x:c r="F92" s="66" t="n">
        <x:f>Model_Formula!$M$13*(Profiles_140!K88-Simulator!$L$11)^2*IF(Profiles_140!K88&gt;Simulator!$L$11,1+Model_Formula!$N$13,1)</x:f>
        <x:v>0</x:v>
      </x:c>
      <x:c r="G92" s="66" t="n">
        <x:f>Model_Formula!$M$14*(Profiles_140!L88-Simulator!$L$12)^2*IF(Profiles_140!L88&gt;Simulator!$L$12,1+Model_Formula!$N$14,1)</x:f>
        <x:v>3449.9999999999995</x:v>
      </x:c>
      <x:c r="H92" s="66" t="n">
        <x:f>Model_Formula!$M$15*(Profiles_140!M88-Simulator!$L$13)^2*IF(Profiles_140!M88&gt;Simulator!$L$13,1+Model_Formula!$N$15,1)</x:f>
        <x:v>1600</x:v>
      </x:c>
      <x:c r="I92" s="66" t="n">
        <x:f>Model_Formula!$M$16*(Profiles_140!N88-Simulator!$L$14)^2*IF(Profiles_140!N88&gt;Simulator!$L$14,1+Model_Formula!$N$16,1)</x:f>
        <x:v>1600</x:v>
      </x:c>
      <x:c r="J92" s="66" t="n">
        <x:f>Model_Formula!$M$17*(Profiles_140!O88-Simulator!$L$15)^2*IF(Profiles_140!O88&gt;Simulator!$L$15,1+Model_Formula!$N$17,1)</x:f>
        <x:v>900</x:v>
      </x:c>
      <x:c r="K92" s="66" t="n">
        <x:f>Model_Formula!$M$18*(Profiles_140!P88-Simulator!$L$16)^2*IF(Profiles_140!P88&gt;Simulator!$L$16,1+Model_Formula!$N$18,1)</x:f>
        <x:v>2250</x:v>
      </x:c>
      <x:c r="L92" s="66" t="n">
        <x:f>Model_Formula!$M$19*(Profiles_140!Q88-Simulator!$L$17)^2*IF(Profiles_140!Q88&gt;Simulator!$L$17,1+Model_Formula!$N$19,1)</x:f>
        <x:v>0</x:v>
      </x:c>
      <x:c r="M92" s="66" t="n">
        <x:f>Model_Formula!$M$20*(Profiles_140!R88-Simulator!$L$18)^2*IF(Profiles_140!R88&gt;Simulator!$L$18,1+Model_Formula!$N$20,1)</x:f>
        <x:v>400</x:v>
      </x:c>
      <x:c r="N92" s="66" t="n">
        <x:f>Model_Formula!$M$21*(Profiles_140!S88-Simulator!$L$19)^2*IF(Profiles_140!S88&gt;Simulator!$L$19,1+Model_Formula!$N$21,1)</x:f>
        <x:v>2430</x:v>
      </x:c>
      <x:c r="O92" s="66" t="n">
        <x:f>Model_Formula!$M$22*(Profiles_140!T88-Simulator!$L$20)^2*IF(Profiles_140!T88&gt;Simulator!$L$20,1+Model_Formula!$N$22,1)</x:f>
        <x:v>2500</x:v>
      </x:c>
      <x:c r="P92" s="66" t="n">
        <x:f>Model_Formula!$M$23*(Profiles_140!U88-Simulator!$L$21)^2*IF(Profiles_140!U88&gt;Simulator!$L$21,1+Model_Formula!$N$23,1)</x:f>
        <x:v>180</x:v>
      </x:c>
      <x:c r="Q92" s="66" t="n">
        <x:f>Model_Formula!$M$24*(Profiles_140!V88-Simulator!$L$22)^2*IF(Profiles_140!V88&gt;Simulator!$L$22,1+Model_Formula!$N$24,1)</x:f>
        <x:v>280</x:v>
      </x:c>
      <x:c r="R92" s="66" t="n">
        <x:f>Model_Formula!$M$25*(Profiles_140!W88-Simulator!$L$23)^2*IF(Profiles_140!W88&gt;Simulator!$L$23,1+Model_Formula!$N$25,1)</x:f>
        <x:v>735</x:v>
      </x:c>
      <x:c r="S92" s="66" t="n">
        <x:f>Model_Formula!$M$26*(Profiles_140!X88-Simulator!$L$24)^2*IF(Profiles_140!X88&gt;Simulator!$L$24,1+Model_Formula!$N$26,1)</x:f>
        <x:v>2047.5</x:v>
      </x:c>
      <x:c r="T92" s="66" t="n">
        <x:f>Model_Formula!$M$27*(Profiles_140!Y88-Simulator!$L$25)^2*IF(Profiles_140!Y88&gt;Simulator!$L$25,1+Model_Formula!$N$27,1)</x:f>
        <x:v>1458</x:v>
      </x:c>
      <x:c r="U92" s="60" t="n">
        <x:f>SUM(F92:T92)/SUM(Model_Formula!$M$13:$M$27)</x:f>
        <x:v>1339.8986486486488</x:v>
      </x:c>
      <x:c r="V92" s="60" t="n">
        <x:f>SQRT(U92)</x:f>
        <x:v>36.60462605530412</x:v>
      </x:c>
      <x:c r="W92" s="60" t="n">
        <x:f>MAX(0,100-V92)</x:f>
        <x:v>63.39537394469588</x:v>
      </x:c>
      <x:c r="X92" t="n">
        <x:f>RANK.EQ(W92,$W$6:$W$145,0)+COUNTIF($W$6:W92,W92)-1</x:f>
        <x:v>134</x:v>
      </x:c>
    </x:row>
    <x:row r="93">
      <x:c r="A93" t="str">
        <x:f>Profiles_140!A89</x:f>
        <x:v>ガラルギャロップ</x:v>
      </x:c>
      <x:c r="B93" t="str">
        <x:f>Profiles_140!C89</x:f>
        <x:v>ガラルギャロップ-1</x:v>
      </x:c>
      <x:c r="C93" t="str">
        <x:f>Profiles_140!D89</x:f>
        <x:v>共通プロファイル</x:v>
      </x:c>
      <x:c r="D93" t="str">
        <x:f>Profiles_140!B89</x:f>
        <x:v>スピード型</x:v>
      </x:c>
      <x:c r="E93" t="str">
        <x:f>Profiles_140!I89</x:f>
        <x:v>高</x:v>
      </x:c>
      <x:c r="F93" s="66" t="n">
        <x:f>Model_Formula!$M$13*(Profiles_140!K89-Simulator!$L$11)^2*IF(Profiles_140!K89&gt;Simulator!$L$11,1+Model_Formula!$N$13,1)</x:f>
        <x:v>625</x:v>
      </x:c>
      <x:c r="G93" s="66" t="n">
        <x:f>Model_Formula!$M$14*(Profiles_140!L89-Simulator!$L$12)^2*IF(Profiles_140!L89&gt;Simulator!$L$12,1+Model_Formula!$N$14,1)</x:f>
        <x:v>2794.5</x:v>
      </x:c>
      <x:c r="H93" s="66" t="n">
        <x:f>Model_Formula!$M$15*(Profiles_140!M89-Simulator!$L$13)^2*IF(Profiles_140!M89&gt;Simulator!$L$13,1+Model_Formula!$N$15,1)</x:f>
        <x:v>625</x:v>
      </x:c>
      <x:c r="I93" s="66" t="n">
        <x:f>Model_Formula!$M$16*(Profiles_140!N89-Simulator!$L$14)^2*IF(Profiles_140!N89&gt;Simulator!$L$14,1+Model_Formula!$N$16,1)</x:f>
        <x:v>25</x:v>
      </x:c>
      <x:c r="J93" s="66" t="n">
        <x:f>Model_Formula!$M$17*(Profiles_140!O89-Simulator!$L$15)^2*IF(Profiles_140!O89&gt;Simulator!$L$15,1+Model_Formula!$N$17,1)</x:f>
        <x:v>1225</x:v>
      </x:c>
      <x:c r="K93" s="66" t="n">
        <x:f>Model_Formula!$M$18*(Profiles_140!P89-Simulator!$L$16)^2*IF(Profiles_140!P89&gt;Simulator!$L$16,1+Model_Formula!$N$18,1)</x:f>
        <x:v>562.5</x:v>
      </x:c>
      <x:c r="L93" s="66" t="n">
        <x:f>Model_Formula!$M$19*(Profiles_140!Q89-Simulator!$L$17)^2*IF(Profiles_140!Q89&gt;Simulator!$L$17,1+Model_Formula!$N$19,1)</x:f>
        <x:v>360</x:v>
      </x:c>
      <x:c r="M93" s="66" t="n">
        <x:f>Model_Formula!$M$20*(Profiles_140!R89-Simulator!$L$18)^2*IF(Profiles_140!R89&gt;Simulator!$L$18,1+Model_Formula!$N$20,1)</x:f>
        <x:v>0</x:v>
      </x:c>
      <x:c r="N93" s="66" t="n">
        <x:f>Model_Formula!$M$21*(Profiles_140!S89-Simulator!$L$19)^2*IF(Profiles_140!S89&gt;Simulator!$L$19,1+Model_Formula!$N$21,1)</x:f>
        <x:v>2430</x:v>
      </x:c>
      <x:c r="O93" s="66" t="n">
        <x:f>Model_Formula!$M$22*(Profiles_140!T89-Simulator!$L$20)^2*IF(Profiles_140!T89&gt;Simulator!$L$20,1+Model_Formula!$N$22,1)</x:f>
        <x:v>2500</x:v>
      </x:c>
      <x:c r="P93" s="66" t="n">
        <x:f>Model_Formula!$M$23*(Profiles_140!U89-Simulator!$L$21)^2*IF(Profiles_140!U89&gt;Simulator!$L$21,1+Model_Formula!$N$23,1)</x:f>
        <x:v>180</x:v>
      </x:c>
      <x:c r="Q93" s="66" t="n">
        <x:f>Model_Formula!$M$24*(Profiles_140!V89-Simulator!$L$22)^2*IF(Profiles_140!V89&gt;Simulator!$L$22,1+Model_Formula!$N$24,1)</x:f>
        <x:v>280</x:v>
      </x:c>
      <x:c r="R93" s="66" t="n">
        <x:f>Model_Formula!$M$25*(Profiles_140!W89-Simulator!$L$23)^2*IF(Profiles_140!W89&gt;Simulator!$L$23,1+Model_Formula!$N$25,1)</x:f>
        <x:v>240</x:v>
      </x:c>
      <x:c r="S93" s="66" t="n">
        <x:f>Model_Formula!$M$26*(Profiles_140!X89-Simulator!$L$24)^2*IF(Profiles_140!X89&gt;Simulator!$L$24,1+Model_Formula!$N$26,1)</x:f>
        <x:v>910</x:v>
      </x:c>
      <x:c r="T93" s="66" t="n">
        <x:f>Model_Formula!$M$27*(Profiles_140!Y89-Simulator!$L$25)^2*IF(Profiles_140!Y89&gt;Simulator!$L$25,1+Model_Formula!$N$27,1)</x:f>
        <x:v>648</x:v>
      </x:c>
      <x:c r="U93" s="60" t="n">
        <x:f>SUM(F93:T93)/SUM(Model_Formula!$M$13:$M$27)</x:f>
        <x:v>905.7432432432433</x:v>
      </x:c>
      <x:c r="V93" s="60" t="n">
        <x:f>SQRT(U93)</x:f>
        <x:v>30.095568498422544</x:v>
      </x:c>
      <x:c r="W93" s="60" t="n">
        <x:f>MAX(0,100-V93)</x:f>
        <x:v>69.90443150157745</x:v>
      </x:c>
      <x:c r="X93" t="n">
        <x:f>RANK.EQ(W93,$W$6:$W$145,0)+COUNTIF($W$6:W93,W93)-1</x:f>
        <x:v>92</x:v>
      </x:c>
    </x:row>
    <x:row r="94">
      <x:c r="A94" t="str">
        <x:f>Profiles_140!A90</x:f>
        <x:v>ゲンガー</x:v>
      </x:c>
      <x:c r="B94" t="str">
        <x:f>Profiles_140!C90</x:f>
        <x:v>ゲンガー-1</x:v>
      </x:c>
      <x:c r="C94" t="str">
        <x:f>Profiles_140!D90</x:f>
        <x:v>ヘドロばくだん＋たたりめ</x:v>
      </x:c>
      <x:c r="D94" t="str">
        <x:f>Profiles_140!B90</x:f>
        <x:v>スピード型</x:v>
      </x:c>
      <x:c r="E94" t="str">
        <x:f>Profiles_140!I90</x:f>
        <x:v>高</x:v>
      </x:c>
      <x:c r="F94" s="66" t="n">
        <x:f>Model_Formula!$M$13*(Profiles_140!K90-Simulator!$L$11)^2*IF(Profiles_140!K90&gt;Simulator!$L$11,1+Model_Formula!$N$13,1)</x:f>
        <x:v>0</x:v>
      </x:c>
      <x:c r="G94" s="66" t="n">
        <x:f>Model_Formula!$M$14*(Profiles_140!L90-Simulator!$L$12)^2*IF(Profiles_140!L90&gt;Simulator!$L$12,1+Model_Formula!$N$14,1)</x:f>
        <x:v>3449.9999999999995</x:v>
      </x:c>
      <x:c r="H94" s="66" t="n">
        <x:f>Model_Formula!$M$15*(Profiles_140!M90-Simulator!$L$13)^2*IF(Profiles_140!M90&gt;Simulator!$L$13,1+Model_Formula!$N$15,1)</x:f>
        <x:v>1225</x:v>
      </x:c>
      <x:c r="I94" s="66" t="n">
        <x:f>Model_Formula!$M$16*(Profiles_140!N90-Simulator!$L$14)^2*IF(Profiles_140!N90&gt;Simulator!$L$14,1+Model_Formula!$N$16,1)</x:f>
        <x:v>625</x:v>
      </x:c>
      <x:c r="J94" s="66" t="n">
        <x:f>Model_Formula!$M$17*(Profiles_140!O90-Simulator!$L$15)^2*IF(Profiles_140!O90&gt;Simulator!$L$15,1+Model_Formula!$N$17,1)</x:f>
        <x:v>900</x:v>
      </x:c>
      <x:c r="K94" s="66" t="n">
        <x:f>Model_Formula!$M$18*(Profiles_140!P90-Simulator!$L$16)^2*IF(Profiles_140!P90&gt;Simulator!$L$16,1+Model_Formula!$N$18,1)</x:f>
        <x:v>1440</x:v>
      </x:c>
      <x:c r="L94" s="66" t="n">
        <x:f>Model_Formula!$M$19*(Profiles_140!Q90-Simulator!$L$17)^2*IF(Profiles_140!Q90&gt;Simulator!$L$17,1+Model_Formula!$N$19,1)</x:f>
        <x:v>360</x:v>
      </x:c>
      <x:c r="M94" s="66" t="n">
        <x:f>Model_Formula!$M$20*(Profiles_140!R90-Simulator!$L$18)^2*IF(Profiles_140!R90&gt;Simulator!$L$18,1+Model_Formula!$N$20,1)</x:f>
        <x:v>400</x:v>
      </x:c>
      <x:c r="N94" s="66" t="n">
        <x:f>Model_Formula!$M$21*(Profiles_140!S90-Simulator!$L$19)^2*IF(Profiles_140!S90&gt;Simulator!$L$19,1+Model_Formula!$N$21,1)</x:f>
        <x:v>2430</x:v>
      </x:c>
      <x:c r="O94" s="66" t="n">
        <x:f>Model_Formula!$M$22*(Profiles_140!T90-Simulator!$L$20)^2*IF(Profiles_140!T90&gt;Simulator!$L$20,1+Model_Formula!$N$22,1)</x:f>
        <x:v>2025</x:v>
      </x:c>
      <x:c r="P94" s="66" t="n">
        <x:f>Model_Formula!$M$23*(Profiles_140!U90-Simulator!$L$21)^2*IF(Profiles_140!U90&gt;Simulator!$L$21,1+Model_Formula!$N$23,1)</x:f>
        <x:v>180</x:v>
      </x:c>
      <x:c r="Q94" s="66" t="n">
        <x:f>Model_Formula!$M$24*(Profiles_140!V90-Simulator!$L$22)^2*IF(Profiles_140!V90&gt;Simulator!$L$22,1+Model_Formula!$N$24,1)</x:f>
        <x:v>280</x:v>
      </x:c>
      <x:c r="R94" s="66" t="n">
        <x:f>Model_Formula!$M$25*(Profiles_140!W90-Simulator!$L$23)^2*IF(Profiles_140!W90&gt;Simulator!$L$23,1+Model_Formula!$N$25,1)</x:f>
        <x:v>540</x:v>
      </x:c>
      <x:c r="S94" s="66" t="n">
        <x:f>Model_Formula!$M$26*(Profiles_140!X90-Simulator!$L$24)^2*IF(Profiles_140!X90&gt;Simulator!$L$24,1+Model_Formula!$N$26,1)</x:f>
        <x:v>3640</x:v>
      </x:c>
      <x:c r="T94" s="66" t="n">
        <x:f>Model_Formula!$M$27*(Profiles_140!Y90-Simulator!$L$25)^2*IF(Profiles_140!Y90&gt;Simulator!$L$25,1+Model_Formula!$N$27,1)</x:f>
        <x:v>648</x:v>
      </x:c>
      <x:c r="U94" s="60" t="n">
        <x:f>SUM(F94:T94)/SUM(Model_Formula!$M$13:$M$27)</x:f>
        <x:v>1225.8783783783786</x:v>
      </x:c>
      <x:c r="V94" s="60" t="n">
        <x:f>SQRT(U94)</x:f>
        <x:v>35.01254601394161</x:v>
      </x:c>
      <x:c r="W94" s="60" t="n">
        <x:f>MAX(0,100-V94)</x:f>
        <x:v>64.9874539860584</x:v>
      </x:c>
      <x:c r="X94" t="n">
        <x:f>RANK.EQ(W94,$W$6:$W$145,0)+COUNTIF($W$6:W94,W94)-1</x:f>
        <x:v>124</x:v>
      </x:c>
    </x:row>
    <x:row r="95">
      <x:c r="A95" t="str">
        <x:f>Profiles_140!A91</x:f>
        <x:v>ゲンガー</x:v>
      </x:c>
      <x:c r="B95" t="str">
        <x:f>Profiles_140!C91</x:f>
        <x:v>ゲンガー-2</x:v>
      </x:c>
      <x:c r="C95" t="str">
        <x:f>Profiles_140!D91</x:f>
        <x:v>シャドーボール＋ゆめくい</x:v>
      </x:c>
      <x:c r="D95" t="str">
        <x:f>Profiles_140!B91</x:f>
        <x:v>スピード型</x:v>
      </x:c>
      <x:c r="E95" t="str">
        <x:f>Profiles_140!I91</x:f>
        <x:v>高</x:v>
      </x:c>
      <x:c r="F95" s="66" t="n">
        <x:f>Model_Formula!$M$13*(Profiles_140!K91-Simulator!$L$11)^2*IF(Profiles_140!K91&gt;Simulator!$L$11,1+Model_Formula!$N$13,1)</x:f>
        <x:v>0</x:v>
      </x:c>
      <x:c r="G95" s="66" t="n">
        <x:f>Model_Formula!$M$14*(Profiles_140!L91-Simulator!$L$12)^2*IF(Profiles_140!L91&gt;Simulator!$L$12,1+Model_Formula!$N$14,1)</x:f>
        <x:v>3449.9999999999995</x:v>
      </x:c>
      <x:c r="H95" s="66" t="n">
        <x:f>Model_Formula!$M$15*(Profiles_140!M91-Simulator!$L$13)^2*IF(Profiles_140!M91&gt;Simulator!$L$13,1+Model_Formula!$N$15,1)</x:f>
        <x:v>1600</x:v>
      </x:c>
      <x:c r="I95" s="66" t="n">
        <x:f>Model_Formula!$M$16*(Profiles_140!N91-Simulator!$L$14)^2*IF(Profiles_140!N91&gt;Simulator!$L$14,1+Model_Formula!$N$16,1)</x:f>
        <x:v>1600</x:v>
      </x:c>
      <x:c r="J95" s="66" t="n">
        <x:f>Model_Formula!$M$17*(Profiles_140!O91-Simulator!$L$15)^2*IF(Profiles_140!O91&gt;Simulator!$L$15,1+Model_Formula!$N$17,1)</x:f>
        <x:v>400</x:v>
      </x:c>
      <x:c r="K95" s="66" t="n">
        <x:f>Model_Formula!$M$18*(Profiles_140!P91-Simulator!$L$16)^2*IF(Profiles_140!P91&gt;Simulator!$L$16,1+Model_Formula!$N$18,1)</x:f>
        <x:v>2250</x:v>
      </x:c>
      <x:c r="L95" s="66" t="n">
        <x:f>Model_Formula!$M$19*(Profiles_140!Q91-Simulator!$L$17)^2*IF(Profiles_140!Q91&gt;Simulator!$L$17,1+Model_Formula!$N$19,1)</x:f>
        <x:v>0</x:v>
      </x:c>
      <x:c r="M95" s="66" t="n">
        <x:f>Model_Formula!$M$20*(Profiles_140!R91-Simulator!$L$18)^2*IF(Profiles_140!R91&gt;Simulator!$L$18,1+Model_Formula!$N$20,1)</x:f>
        <x:v>225</x:v>
      </x:c>
      <x:c r="N95" s="66" t="n">
        <x:f>Model_Formula!$M$21*(Profiles_140!S91-Simulator!$L$19)^2*IF(Profiles_140!S91&gt;Simulator!$L$19,1+Model_Formula!$N$21,1)</x:f>
        <x:v>2430</x:v>
      </x:c>
      <x:c r="O95" s="66" t="n">
        <x:f>Model_Formula!$M$22*(Profiles_140!T91-Simulator!$L$20)^2*IF(Profiles_140!T91&gt;Simulator!$L$20,1+Model_Formula!$N$22,1)</x:f>
        <x:v>2500</x:v>
      </x:c>
      <x:c r="P95" s="66" t="n">
        <x:f>Model_Formula!$M$23*(Profiles_140!U91-Simulator!$L$21)^2*IF(Profiles_140!U91&gt;Simulator!$L$21,1+Model_Formula!$N$23,1)</x:f>
        <x:v>180</x:v>
      </x:c>
      <x:c r="Q95" s="66" t="n">
        <x:f>Model_Formula!$M$24*(Profiles_140!V91-Simulator!$L$22)^2*IF(Profiles_140!V91&gt;Simulator!$L$22,1+Model_Formula!$N$24,1)</x:f>
        <x:v>157.5</x:v>
      </x:c>
      <x:c r="R95" s="66" t="n">
        <x:f>Model_Formula!$M$25*(Profiles_140!W91-Simulator!$L$23)^2*IF(Profiles_140!W91&gt;Simulator!$L$23,1+Model_Formula!$N$25,1)</x:f>
        <x:v>735</x:v>
      </x:c>
      <x:c r="S95" s="66" t="n">
        <x:f>Model_Formula!$M$26*(Profiles_140!X91-Simulator!$L$24)^2*IF(Profiles_140!X91&gt;Simulator!$L$24,1+Model_Formula!$N$26,1)</x:f>
        <x:v>2786.875</x:v>
      </x:c>
      <x:c r="T95" s="66" t="n">
        <x:f>Model_Formula!$M$27*(Profiles_140!Y91-Simulator!$L$25)^2*IF(Profiles_140!Y91&gt;Simulator!$L$25,1+Model_Formula!$N$27,1)</x:f>
        <x:v>1012.5000000000001</x:v>
      </x:c>
      <x:c r="U95" s="60" t="n">
        <x:f>SUM(F95:T95)/SUM(Model_Formula!$M$13:$M$27)</x:f>
        <x:v>1305.8699324324325</x:v>
      </x:c>
      <x:c r="V95" s="60" t="n">
        <x:f>SQRT(U95)</x:f>
        <x:v>36.13682238980667</x:v>
      </x:c>
      <x:c r="W95" s="60" t="n">
        <x:f>MAX(0,100-V95)</x:f>
        <x:v>63.86317761019333</x:v>
      </x:c>
      <x:c r="X95" t="n">
        <x:f>RANK.EQ(W95,$W$6:$W$145,0)+COUNTIF($W$6:W95,W95)-1</x:f>
        <x:v>131</x:v>
      </x:c>
    </x:row>
    <x:row r="96">
      <x:c r="A96" t="str">
        <x:f>Profiles_140!A92</x:f>
        <x:v>ゼラオラ</x:v>
      </x:c>
      <x:c r="B96" t="str">
        <x:f>Profiles_140!C92</x:f>
        <x:v>ゼラオラ-1</x:v>
      </x:c>
      <x:c r="C96" t="str">
        <x:f>Profiles_140!D92</x:f>
        <x:v>ボルトチェンジ＋ほうでん</x:v>
      </x:c>
      <x:c r="D96" t="str">
        <x:f>Profiles_140!B92</x:f>
        <x:v>スピード型</x:v>
      </x:c>
      <x:c r="E96" t="str">
        <x:f>Profiles_140!I92</x:f>
        <x:v>高</x:v>
      </x:c>
      <x:c r="F96" s="66" t="n">
        <x:f>Model_Formula!$M$13*(Profiles_140!K92-Simulator!$L$11)^2*IF(Profiles_140!K92&gt;Simulator!$L$11,1+Model_Formula!$N$13,1)</x:f>
        <x:v>25</x:v>
      </x:c>
      <x:c r="G96" s="66" t="n">
        <x:f>Model_Formula!$M$14*(Profiles_140!L92-Simulator!$L$12)^2*IF(Profiles_140!L92&gt;Simulator!$L$12,1+Model_Formula!$N$14,1)</x:f>
        <x:v>1242</x:v>
      </x:c>
      <x:c r="H96" s="66" t="n">
        <x:f>Model_Formula!$M$15*(Profiles_140!M92-Simulator!$L$13)^2*IF(Profiles_140!M92&gt;Simulator!$L$13,1+Model_Formula!$N$15,1)</x:f>
        <x:v>625</x:v>
      </x:c>
      <x:c r="I96" s="66" t="n">
        <x:f>Model_Formula!$M$16*(Profiles_140!N92-Simulator!$L$14)^2*IF(Profiles_140!N92&gt;Simulator!$L$14,1+Model_Formula!$N$16,1)</x:f>
        <x:v>100</x:v>
      </x:c>
      <x:c r="J96" s="66" t="n">
        <x:f>Model_Formula!$M$17*(Profiles_140!O92-Simulator!$L$15)^2*IF(Profiles_140!O92&gt;Simulator!$L$15,1+Model_Formula!$N$17,1)</x:f>
        <x:v>900</x:v>
      </x:c>
      <x:c r="K96" s="66" t="n">
        <x:f>Model_Formula!$M$18*(Profiles_140!P92-Simulator!$L$16)^2*IF(Profiles_140!P92&gt;Simulator!$L$16,1+Model_Formula!$N$18,1)</x:f>
        <x:v>202.5</x:v>
      </x:c>
      <x:c r="L96" s="66" t="n">
        <x:f>Model_Formula!$M$19*(Profiles_140!Q92-Simulator!$L$17)^2*IF(Profiles_140!Q92&gt;Simulator!$L$17,1+Model_Formula!$N$19,1)</x:f>
        <x:v>1822.5</x:v>
      </x:c>
      <x:c r="M96" s="66" t="n">
        <x:f>Model_Formula!$M$20*(Profiles_140!R92-Simulator!$L$18)^2*IF(Profiles_140!R92&gt;Simulator!$L$18,1+Model_Formula!$N$20,1)</x:f>
        <x:v>25</x:v>
      </x:c>
      <x:c r="N96" s="66" t="n">
        <x:f>Model_Formula!$M$21*(Profiles_140!S92-Simulator!$L$19)^2*IF(Profiles_140!S92&gt;Simulator!$L$19,1+Model_Formula!$N$21,1)</x:f>
        <x:v>1920</x:v>
      </x:c>
      <x:c r="O96" s="66" t="n">
        <x:f>Model_Formula!$M$22*(Profiles_140!T92-Simulator!$L$20)^2*IF(Profiles_140!T92&gt;Simulator!$L$20,1+Model_Formula!$N$22,1)</x:f>
        <x:v>900</x:v>
      </x:c>
      <x:c r="P96" s="66" t="n">
        <x:f>Model_Formula!$M$23*(Profiles_140!U92-Simulator!$L$21)^2*IF(Profiles_140!U92&gt;Simulator!$L$21,1+Model_Formula!$N$23,1)</x:f>
        <x:v>320</x:v>
      </x:c>
      <x:c r="Q96" s="66" t="n">
        <x:f>Model_Formula!$M$24*(Profiles_140!V92-Simulator!$L$22)^2*IF(Profiles_140!V92&gt;Simulator!$L$22,1+Model_Formula!$N$24,1)</x:f>
        <x:v>437.5</x:v>
      </x:c>
      <x:c r="R96" s="66" t="n">
        <x:f>Model_Formula!$M$25*(Profiles_140!W92-Simulator!$L$23)^2*IF(Profiles_140!W92&gt;Simulator!$L$23,1+Model_Formula!$N$25,1)</x:f>
        <x:v>240</x:v>
      </x:c>
      <x:c r="S96" s="66" t="n">
        <x:f>Model_Formula!$M$26*(Profiles_140!X92-Simulator!$L$24)^2*IF(Profiles_140!X92&gt;Simulator!$L$24,1+Model_Formula!$N$26,1)</x:f>
        <x:v>910</x:v>
      </x:c>
      <x:c r="T96" s="66" t="n">
        <x:f>Model_Formula!$M$27*(Profiles_140!Y92-Simulator!$L$25)^2*IF(Profiles_140!Y92&gt;Simulator!$L$25,1+Model_Formula!$N$27,1)</x:f>
        <x:v>364.5</x:v>
      </x:c>
      <x:c r="U96" s="60" t="n">
        <x:f>SUM(F96:T96)/SUM(Model_Formula!$M$13:$M$27)</x:f>
        <x:v>677.972972972973</x:v>
      </x:c>
      <x:c r="V96" s="60" t="n">
        <x:f>SQRT(U96)</x:f>
        <x:v>26.037914144051037</x:v>
      </x:c>
      <x:c r="W96" s="60" t="n">
        <x:f>MAX(0,100-V96)</x:f>
        <x:v>73.96208585594897</x:v>
      </x:c>
      <x:c r="X96" t="n">
        <x:f>RANK.EQ(W96,$W$6:$W$145,0)+COUNTIF($W$6:W96,W96)-1</x:f>
        <x:v>46</x:v>
      </x:c>
    </x:row>
    <x:row r="97">
      <x:c r="A97" t="str">
        <x:f>Profiles_140!A93</x:f>
        <x:v>ゼラオラ</x:v>
      </x:c>
      <x:c r="B97" t="str">
        <x:f>Profiles_140!C93</x:f>
        <x:v>ゼラオラ-2</x:v>
      </x:c>
      <x:c r="C97" t="str">
        <x:f>Profiles_140!D93</x:f>
        <x:v>スパーク＋ワイルドボルト</x:v>
      </x:c>
      <x:c r="D97" t="str">
        <x:f>Profiles_140!B93</x:f>
        <x:v>スピード型</x:v>
      </x:c>
      <x:c r="E97" t="str">
        <x:f>Profiles_140!I93</x:f>
        <x:v>高</x:v>
      </x:c>
      <x:c r="F97" s="66" t="n">
        <x:f>Model_Formula!$M$13*(Profiles_140!K93-Simulator!$L$11)^2*IF(Profiles_140!K93&gt;Simulator!$L$11,1+Model_Formula!$N$13,1)</x:f>
        <x:v>25</x:v>
      </x:c>
      <x:c r="G97" s="66" t="n">
        <x:f>Model_Formula!$M$14*(Profiles_140!L93-Simulator!$L$12)^2*IF(Profiles_140!L93&gt;Simulator!$L$12,1+Model_Formula!$N$14,1)</x:f>
        <x:v>3449.9999999999995</x:v>
      </x:c>
      <x:c r="H97" s="66" t="n">
        <x:f>Model_Formula!$M$15*(Profiles_140!M93-Simulator!$L$13)^2*IF(Profiles_140!M93&gt;Simulator!$L$13,1+Model_Formula!$N$15,1)</x:f>
        <x:v>1225</x:v>
      </x:c>
      <x:c r="I97" s="66" t="n">
        <x:f>Model_Formula!$M$16*(Profiles_140!N93-Simulator!$L$14)^2*IF(Profiles_140!N93&gt;Simulator!$L$14,1+Model_Formula!$N$16,1)</x:f>
        <x:v>625</x:v>
      </x:c>
      <x:c r="J97" s="66" t="n">
        <x:f>Model_Formula!$M$17*(Profiles_140!O93-Simulator!$L$15)^2*IF(Profiles_140!O93&gt;Simulator!$L$15,1+Model_Formula!$N$17,1)</x:f>
        <x:v>900</x:v>
      </x:c>
      <x:c r="K97" s="66" t="n">
        <x:f>Model_Formula!$M$18*(Profiles_140!P93-Simulator!$L$16)^2*IF(Profiles_140!P93&gt;Simulator!$L$16,1+Model_Formula!$N$18,1)</x:f>
        <x:v>2250</x:v>
      </x:c>
      <x:c r="L97" s="66" t="n">
        <x:f>Model_Formula!$M$19*(Profiles_140!Q93-Simulator!$L$17)^2*IF(Profiles_140!Q93&gt;Simulator!$L$17,1+Model_Formula!$N$19,1)</x:f>
        <x:v>22.5</x:v>
      </x:c>
      <x:c r="M97" s="66" t="n">
        <x:f>Model_Formula!$M$20*(Profiles_140!R93-Simulator!$L$18)^2*IF(Profiles_140!R93&gt;Simulator!$L$18,1+Model_Formula!$N$20,1)</x:f>
        <x:v>225</x:v>
      </x:c>
      <x:c r="N97" s="66" t="n">
        <x:f>Model_Formula!$M$21*(Profiles_140!S93-Simulator!$L$19)^2*IF(Profiles_140!S93&gt;Simulator!$L$19,1+Model_Formula!$N$21,1)</x:f>
        <x:v>2430</x:v>
      </x:c>
      <x:c r="O97" s="66" t="n">
        <x:f>Model_Formula!$M$22*(Profiles_140!T93-Simulator!$L$20)^2*IF(Profiles_140!T93&gt;Simulator!$L$20,1+Model_Formula!$N$22,1)</x:f>
        <x:v>2500</x:v>
      </x:c>
      <x:c r="P97" s="66" t="n">
        <x:f>Model_Formula!$M$23*(Profiles_140!U93-Simulator!$L$21)^2*IF(Profiles_140!U93&gt;Simulator!$L$21,1+Model_Formula!$N$23,1)</x:f>
        <x:v>180</x:v>
      </x:c>
      <x:c r="Q97" s="66" t="n">
        <x:f>Model_Formula!$M$24*(Profiles_140!V93-Simulator!$L$22)^2*IF(Profiles_140!V93&gt;Simulator!$L$22,1+Model_Formula!$N$24,1)</x:f>
        <x:v>157.5</x:v>
      </x:c>
      <x:c r="R97" s="66" t="n">
        <x:f>Model_Formula!$M$25*(Profiles_140!W93-Simulator!$L$23)^2*IF(Profiles_140!W93&gt;Simulator!$L$23,1+Model_Formula!$N$25,1)</x:f>
        <x:v>540</x:v>
      </x:c>
      <x:c r="S97" s="66" t="n">
        <x:f>Model_Formula!$M$26*(Profiles_140!X93-Simulator!$L$24)^2*IF(Profiles_140!X93&gt;Simulator!$L$24,1+Model_Formula!$N$26,1)</x:f>
        <x:v>1421.875</x:v>
      </x:c>
      <x:c r="T97" s="66" t="n">
        <x:f>Model_Formula!$M$27*(Profiles_140!Y93-Simulator!$L$25)^2*IF(Profiles_140!Y93&gt;Simulator!$L$25,1+Model_Formula!$N$27,1)</x:f>
        <x:v>1012.5000000000001</x:v>
      </x:c>
      <x:c r="U97" s="60" t="n">
        <x:f>SUM(F97:T97)/SUM(Model_Formula!$M$13:$M$27)</x:f>
        <x:v>1146.2415540540542</x:v>
      </x:c>
      <x:c r="V97" s="60" t="n">
        <x:f>SQRT(U97)</x:f>
        <x:v>33.85618930201765</x:v>
      </x:c>
      <x:c r="W97" s="60" t="n">
        <x:f>MAX(0,100-V97)</x:f>
        <x:v>66.14381069798236</x:v>
      </x:c>
      <x:c r="X97" t="n">
        <x:f>RANK.EQ(W97,$W$6:$W$145,0)+COUNTIF($W$6:W97,W97)-1</x:f>
        <x:v>121</x:v>
      </x:c>
    </x:row>
    <x:row r="98">
      <x:c r="A98" t="str">
        <x:f>Profiles_140!A94</x:f>
        <x:v>ゾロアーク</x:v>
      </x:c>
      <x:c r="B98" t="str">
        <x:f>Profiles_140!C94</x:f>
        <x:v>ゾロアーク-1</x:v>
      </x:c>
      <x:c r="C98" t="str">
        <x:f>Profiles_140!D94</x:f>
        <x:v>共通プロファイル</x:v>
      </x:c>
      <x:c r="D98" t="str">
        <x:f>Profiles_140!B94</x:f>
        <x:v>スピード型</x:v>
      </x:c>
      <x:c r="E98" t="str">
        <x:f>Profiles_140!I94</x:f>
        <x:v>高</x:v>
      </x:c>
      <x:c r="F98" s="66" t="n">
        <x:f>Model_Formula!$M$13*(Profiles_140!K94-Simulator!$L$11)^2*IF(Profiles_140!K94&gt;Simulator!$L$11,1+Model_Formula!$N$13,1)</x:f>
        <x:v>0</x:v>
      </x:c>
      <x:c r="G98" s="66" t="n">
        <x:f>Model_Formula!$M$14*(Profiles_140!L94-Simulator!$L$12)^2*IF(Profiles_140!L94&gt;Simulator!$L$12,1+Model_Formula!$N$14,1)</x:f>
        <x:v>3449.9999999999995</x:v>
      </x:c>
      <x:c r="H98" s="66" t="n">
        <x:f>Model_Formula!$M$15*(Profiles_140!M94-Simulator!$L$13)^2*IF(Profiles_140!M94&gt;Simulator!$L$13,1+Model_Formula!$N$15,1)</x:f>
        <x:v>1600</x:v>
      </x:c>
      <x:c r="I98" s="66" t="n">
        <x:f>Model_Formula!$M$16*(Profiles_140!N94-Simulator!$L$14)^2*IF(Profiles_140!N94&gt;Simulator!$L$14,1+Model_Formula!$N$16,1)</x:f>
        <x:v>1600</x:v>
      </x:c>
      <x:c r="J98" s="66" t="n">
        <x:f>Model_Formula!$M$17*(Profiles_140!O94-Simulator!$L$15)^2*IF(Profiles_140!O94&gt;Simulator!$L$15,1+Model_Formula!$N$17,1)</x:f>
        <x:v>900</x:v>
      </x:c>
      <x:c r="K98" s="66" t="n">
        <x:f>Model_Formula!$M$18*(Profiles_140!P94-Simulator!$L$16)^2*IF(Profiles_140!P94&gt;Simulator!$L$16,1+Model_Formula!$N$18,1)</x:f>
        <x:v>2250</x:v>
      </x:c>
      <x:c r="L98" s="66" t="n">
        <x:f>Model_Formula!$M$19*(Profiles_140!Q94-Simulator!$L$17)^2*IF(Profiles_140!Q94&gt;Simulator!$L$17,1+Model_Formula!$N$19,1)</x:f>
        <x:v>0</x:v>
      </x:c>
      <x:c r="M98" s="66" t="n">
        <x:f>Model_Formula!$M$20*(Profiles_140!R94-Simulator!$L$18)^2*IF(Profiles_140!R94&gt;Simulator!$L$18,1+Model_Formula!$N$20,1)</x:f>
        <x:v>400</x:v>
      </x:c>
      <x:c r="N98" s="66" t="n">
        <x:f>Model_Formula!$M$21*(Profiles_140!S94-Simulator!$L$19)^2*IF(Profiles_140!S94&gt;Simulator!$L$19,1+Model_Formula!$N$21,1)</x:f>
        <x:v>2430</x:v>
      </x:c>
      <x:c r="O98" s="66" t="n">
        <x:f>Model_Formula!$M$22*(Profiles_140!T94-Simulator!$L$20)^2*IF(Profiles_140!T94&gt;Simulator!$L$20,1+Model_Formula!$N$22,1)</x:f>
        <x:v>2500</x:v>
      </x:c>
      <x:c r="P98" s="66" t="n">
        <x:f>Model_Formula!$M$23*(Profiles_140!U94-Simulator!$L$21)^2*IF(Profiles_140!U94&gt;Simulator!$L$21,1+Model_Formula!$N$23,1)</x:f>
        <x:v>180</x:v>
      </x:c>
      <x:c r="Q98" s="66" t="n">
        <x:f>Model_Formula!$M$24*(Profiles_140!V94-Simulator!$L$22)^2*IF(Profiles_140!V94&gt;Simulator!$L$22,1+Model_Formula!$N$24,1)</x:f>
        <x:v>157.5</x:v>
      </x:c>
      <x:c r="R98" s="66" t="n">
        <x:f>Model_Formula!$M$25*(Profiles_140!W94-Simulator!$L$23)^2*IF(Profiles_140!W94&gt;Simulator!$L$23,1+Model_Formula!$N$25,1)</x:f>
        <x:v>735</x:v>
      </x:c>
      <x:c r="S98" s="66" t="n">
        <x:f>Model_Formula!$M$26*(Profiles_140!X94-Simulator!$L$24)^2*IF(Profiles_140!X94&gt;Simulator!$L$24,1+Model_Formula!$N$26,1)</x:f>
        <x:v>4606.875</x:v>
      </x:c>
      <x:c r="T98" s="66" t="n">
        <x:f>Model_Formula!$M$27*(Profiles_140!Y94-Simulator!$L$25)^2*IF(Profiles_140!Y94&gt;Simulator!$L$25,1+Model_Formula!$N$27,1)</x:f>
        <x:v>1458</x:v>
      </x:c>
      <x:c r="U98" s="60" t="n">
        <x:f>SUM(F98:T98)/SUM(Model_Formula!$M$13:$M$27)</x:f>
        <x:v>1504.552364864865</x:v>
      </x:c>
      <x:c r="V98" s="60" t="n">
        <x:f>SQRT(U98)</x:f>
        <x:v>38.78855971629863</x:v>
      </x:c>
      <x:c r="W98" s="60" t="n">
        <x:f>MAX(0,100-V98)</x:f>
        <x:v>61.21144028370137</x:v>
      </x:c>
      <x:c r="X98" t="n">
        <x:f>RANK.EQ(W98,$W$6:$W$145,0)+COUNTIF($W$6:W98,W98)-1</x:f>
        <x:v>140</x:v>
      </x:c>
    </x:row>
    <x:row r="99">
      <x:c r="A99" t="str">
        <x:f>Profiles_140!A95</x:f>
        <x:v>ダークライ</x:v>
      </x:c>
      <x:c r="B99" t="str">
        <x:f>Profiles_140!C95</x:f>
        <x:v>ダークライ-1</x:v>
      </x:c>
      <x:c r="C99" t="str">
        <x:f>Profiles_140!D95</x:f>
        <x:v>共通プロファイル</x:v>
      </x:c>
      <x:c r="D99" t="str">
        <x:f>Profiles_140!B95</x:f>
        <x:v>スピード型</x:v>
      </x:c>
      <x:c r="E99" t="str">
        <x:f>Profiles_140!I95</x:f>
        <x:v>高</x:v>
      </x:c>
      <x:c r="F99" s="66" t="n">
        <x:f>Model_Formula!$M$13*(Profiles_140!K95-Simulator!$L$11)^2*IF(Profiles_140!K95&gt;Simulator!$L$11,1+Model_Formula!$N$13,1)</x:f>
        <x:v>0</x:v>
      </x:c>
      <x:c r="G99" s="66" t="n">
        <x:f>Model_Formula!$M$14*(Profiles_140!L95-Simulator!$L$12)^2*IF(Profiles_140!L95&gt;Simulator!$L$12,1+Model_Formula!$N$14,1)</x:f>
        <x:v>3449.9999999999995</x:v>
      </x:c>
      <x:c r="H99" s="66" t="n">
        <x:f>Model_Formula!$M$15*(Profiles_140!M95-Simulator!$L$13)^2*IF(Profiles_140!M95&gt;Simulator!$L$13,1+Model_Formula!$N$15,1)</x:f>
        <x:v>1600</x:v>
      </x:c>
      <x:c r="I99" s="66" t="n">
        <x:f>Model_Formula!$M$16*(Profiles_140!N95-Simulator!$L$14)^2*IF(Profiles_140!N95&gt;Simulator!$L$14,1+Model_Formula!$N$16,1)</x:f>
        <x:v>1600</x:v>
      </x:c>
      <x:c r="J99" s="66" t="n">
        <x:f>Model_Formula!$M$17*(Profiles_140!O95-Simulator!$L$15)^2*IF(Profiles_140!O95&gt;Simulator!$L$15,1+Model_Formula!$N$17,1)</x:f>
        <x:v>900</x:v>
      </x:c>
      <x:c r="K99" s="66" t="n">
        <x:f>Model_Formula!$M$18*(Profiles_140!P95-Simulator!$L$16)^2*IF(Profiles_140!P95&gt;Simulator!$L$16,1+Model_Formula!$N$18,1)</x:f>
        <x:v>2250</x:v>
      </x:c>
      <x:c r="L99" s="66" t="n">
        <x:f>Model_Formula!$M$19*(Profiles_140!Q95-Simulator!$L$17)^2*IF(Profiles_140!Q95&gt;Simulator!$L$17,1+Model_Formula!$N$19,1)</x:f>
        <x:v>0</x:v>
      </x:c>
      <x:c r="M99" s="66" t="n">
        <x:f>Model_Formula!$M$20*(Profiles_140!R95-Simulator!$L$18)^2*IF(Profiles_140!R95&gt;Simulator!$L$18,1+Model_Formula!$N$20,1)</x:f>
        <x:v>100</x:v>
      </x:c>
      <x:c r="N99" s="66" t="n">
        <x:f>Model_Formula!$M$21*(Profiles_140!S95-Simulator!$L$19)^2*IF(Profiles_140!S95&gt;Simulator!$L$19,1+Model_Formula!$N$21,1)</x:f>
        <x:v>2430</x:v>
      </x:c>
      <x:c r="O99" s="66" t="n">
        <x:f>Model_Formula!$M$22*(Profiles_140!T95-Simulator!$L$20)^2*IF(Profiles_140!T95&gt;Simulator!$L$20,1+Model_Formula!$N$22,1)</x:f>
        <x:v>2500</x:v>
      </x:c>
      <x:c r="P99" s="66" t="n">
        <x:f>Model_Formula!$M$23*(Profiles_140!U95-Simulator!$L$21)^2*IF(Profiles_140!U95&gt;Simulator!$L$21,1+Model_Formula!$N$23,1)</x:f>
        <x:v>180</x:v>
      </x:c>
      <x:c r="Q99" s="66" t="n">
        <x:f>Model_Formula!$M$24*(Profiles_140!V95-Simulator!$L$22)^2*IF(Profiles_140!V95&gt;Simulator!$L$22,1+Model_Formula!$N$24,1)</x:f>
        <x:v>0</x:v>
      </x:c>
      <x:c r="R99" s="66" t="n">
        <x:f>Model_Formula!$M$25*(Profiles_140!W95-Simulator!$L$23)^2*IF(Profiles_140!W95&gt;Simulator!$L$23,1+Model_Formula!$N$25,1)</x:f>
        <x:v>735</x:v>
      </x:c>
      <x:c r="S99" s="66" t="n">
        <x:f>Model_Formula!$M$26*(Profiles_140!X95-Simulator!$L$24)^2*IF(Profiles_140!X95&gt;Simulator!$L$24,1+Model_Formula!$N$26,1)</x:f>
        <x:v>3640</x:v>
      </x:c>
      <x:c r="T99" s="66" t="n">
        <x:f>Model_Formula!$M$27*(Profiles_140!Y95-Simulator!$L$25)^2*IF(Profiles_140!Y95&gt;Simulator!$L$25,1+Model_Formula!$N$27,1)</x:f>
        <x:v>1012.5000000000001</x:v>
      </x:c>
      <x:c r="U99" s="60" t="n">
        <x:f>SUM(F99:T99)/SUM(Model_Formula!$M$13:$M$27)</x:f>
        <x:v>1378.2094594594596</x:v>
      </x:c>
      <x:c r="V99" s="60" t="n">
        <x:f>SQRT(U99)</x:f>
        <x:v>37.12424355403702</x:v>
      </x:c>
      <x:c r="W99" s="60" t="n">
        <x:f>MAX(0,100-V99)</x:f>
        <x:v>62.87575644596298</x:v>
      </x:c>
      <x:c r="X99" t="n">
        <x:f>RANK.EQ(W99,$W$6:$W$145,0)+COUNTIF($W$6:W99,W99)-1</x:f>
        <x:v>136</x:v>
      </x:c>
    </x:row>
    <x:row r="100">
      <x:c r="A100" t="str">
        <x:f>Profiles_140!A96</x:f>
        <x:v>ドードリオ</x:v>
      </x:c>
      <x:c r="B100" t="str">
        <x:f>Profiles_140!C96</x:f>
        <x:v>ドードリオ-1</x:v>
      </x:c>
      <x:c r="C100" t="str">
        <x:f>Profiles_140!D96</x:f>
        <x:v>共通プロファイル</x:v>
      </x:c>
      <x:c r="D100" t="str">
        <x:f>Profiles_140!B96</x:f>
        <x:v>スピード型</x:v>
      </x:c>
      <x:c r="E100" t="str">
        <x:f>Profiles_140!I96</x:f>
        <x:v>高</x:v>
      </x:c>
      <x:c r="F100" s="66" t="n">
        <x:f>Model_Formula!$M$13*(Profiles_140!K96-Simulator!$L$11)^2*IF(Profiles_140!K96&gt;Simulator!$L$11,1+Model_Formula!$N$13,1)</x:f>
        <x:v>625</x:v>
      </x:c>
      <x:c r="G100" s="66" t="n">
        <x:f>Model_Formula!$M$14*(Profiles_140!L96-Simulator!$L$12)^2*IF(Profiles_140!L96&gt;Simulator!$L$12,1+Model_Formula!$N$14,1)</x:f>
        <x:v>2794.5</x:v>
      </x:c>
      <x:c r="H100" s="66" t="n">
        <x:f>Model_Formula!$M$15*(Profiles_140!M96-Simulator!$L$13)^2*IF(Profiles_140!M96&gt;Simulator!$L$13,1+Model_Formula!$N$15,1)</x:f>
        <x:v>625</x:v>
      </x:c>
      <x:c r="I100" s="66" t="n">
        <x:f>Model_Formula!$M$16*(Profiles_140!N96-Simulator!$L$14)^2*IF(Profiles_140!N96&gt;Simulator!$L$14,1+Model_Formula!$N$16,1)</x:f>
        <x:v>25</x:v>
      </x:c>
      <x:c r="J100" s="66" t="n">
        <x:f>Model_Formula!$M$17*(Profiles_140!O96-Simulator!$L$15)^2*IF(Profiles_140!O96&gt;Simulator!$L$15,1+Model_Formula!$N$17,1)</x:f>
        <x:v>1225</x:v>
      </x:c>
      <x:c r="K100" s="66" t="n">
        <x:f>Model_Formula!$M$18*(Profiles_140!P96-Simulator!$L$16)^2*IF(Profiles_140!P96&gt;Simulator!$L$16,1+Model_Formula!$N$18,1)</x:f>
        <x:v>810</x:v>
      </x:c>
      <x:c r="L100" s="66" t="n">
        <x:f>Model_Formula!$M$19*(Profiles_140!Q96-Simulator!$L$17)^2*IF(Profiles_140!Q96&gt;Simulator!$L$17,1+Model_Formula!$N$19,1)</x:f>
        <x:v>360</x:v>
      </x:c>
      <x:c r="M100" s="66" t="n">
        <x:f>Model_Formula!$M$20*(Profiles_140!R96-Simulator!$L$18)^2*IF(Profiles_140!R96&gt;Simulator!$L$18,1+Model_Formula!$N$20,1)</x:f>
        <x:v>25</x:v>
      </x:c>
      <x:c r="N100" s="66" t="n">
        <x:f>Model_Formula!$M$21*(Profiles_140!S96-Simulator!$L$19)^2*IF(Profiles_140!S96&gt;Simulator!$L$19,1+Model_Formula!$N$21,1)</x:f>
        <x:v>2430</x:v>
      </x:c>
      <x:c r="O100" s="66" t="n">
        <x:f>Model_Formula!$M$22*(Profiles_140!T96-Simulator!$L$20)^2*IF(Profiles_140!T96&gt;Simulator!$L$20,1+Model_Formula!$N$22,1)</x:f>
        <x:v>2025</x:v>
      </x:c>
      <x:c r="P100" s="66" t="n">
        <x:f>Model_Formula!$M$23*(Profiles_140!U96-Simulator!$L$21)^2*IF(Profiles_140!U96&gt;Simulator!$L$21,1+Model_Formula!$N$23,1)</x:f>
        <x:v>180</x:v>
      </x:c>
      <x:c r="Q100" s="66" t="n">
        <x:f>Model_Formula!$M$24*(Profiles_140!V96-Simulator!$L$22)^2*IF(Profiles_140!V96&gt;Simulator!$L$22,1+Model_Formula!$N$24,1)</x:f>
        <x:v>280</x:v>
      </x:c>
      <x:c r="R100" s="66" t="n">
        <x:f>Model_Formula!$M$25*(Profiles_140!W96-Simulator!$L$23)^2*IF(Profiles_140!W96&gt;Simulator!$L$23,1+Model_Formula!$N$25,1)</x:f>
        <x:v>960</x:v>
      </x:c>
      <x:c r="S100" s="66" t="n">
        <x:f>Model_Formula!$M$26*(Profiles_140!X96-Simulator!$L$24)^2*IF(Profiles_140!X96&gt;Simulator!$L$24,1+Model_Formula!$N$26,1)</x:f>
        <x:v>2786.875</x:v>
      </x:c>
      <x:c r="T100" s="66" t="n">
        <x:f>Model_Formula!$M$27*(Profiles_140!Y96-Simulator!$L$25)^2*IF(Profiles_140!Y96&gt;Simulator!$L$25,1+Model_Formula!$N$27,1)</x:f>
        <x:v>1458</x:v>
      </x:c>
      <x:c r="U100" s="60" t="n">
        <x:f>SUM(F100:T100)/SUM(Model_Formula!$M$13:$M$27)</x:f>
        <x:v>1122.2550675675677</x:v>
      </x:c>
      <x:c r="V100" s="60" t="n">
        <x:f>SQRT(U100)</x:f>
        <x:v>33.50007563525145</x:v>
      </x:c>
      <x:c r="W100" s="60" t="n">
        <x:f>MAX(0,100-V100)</x:f>
        <x:v>66.49992436474855</x:v>
      </x:c>
      <x:c r="X100" t="n">
        <x:f>RANK.EQ(W100,$W$6:$W$145,0)+COUNTIF($W$6:W100,W100)-1</x:f>
        <x:v>119</x:v>
      </x:c>
    </x:row>
    <x:row r="101">
      <x:c r="A101" t="str">
        <x:f>Profiles_140!A97</x:f>
        <x:v>ニャース</x:v>
      </x:c>
      <x:c r="B101" t="str">
        <x:f>Profiles_140!C97</x:f>
        <x:v>ニャース-1</x:v>
      </x:c>
      <x:c r="C101" t="str">
        <x:f>Profiles_140!D97</x:f>
        <x:v>共通プロファイル</x:v>
      </x:c>
      <x:c r="D101" t="str">
        <x:f>Profiles_140!B97</x:f>
        <x:v>スピード型</x:v>
      </x:c>
      <x:c r="E101" t="str">
        <x:f>Profiles_140!I97</x:f>
        <x:v>高</x:v>
      </x:c>
      <x:c r="F101" s="66" t="n">
        <x:f>Model_Formula!$M$13*(Profiles_140!K97-Simulator!$L$11)^2*IF(Profiles_140!K97&gt;Simulator!$L$11,1+Model_Formula!$N$13,1)</x:f>
        <x:v>25</x:v>
      </x:c>
      <x:c r="G101" s="66" t="n">
        <x:f>Model_Formula!$M$14*(Profiles_140!L97-Simulator!$L$12)^2*IF(Profiles_140!L97&gt;Simulator!$L$12,1+Model_Formula!$N$14,1)</x:f>
        <x:v>1242</x:v>
      </x:c>
      <x:c r="H101" s="66" t="n">
        <x:f>Model_Formula!$M$15*(Profiles_140!M97-Simulator!$L$13)^2*IF(Profiles_140!M97&gt;Simulator!$L$13,1+Model_Formula!$N$15,1)</x:f>
        <x:v>625</x:v>
      </x:c>
      <x:c r="I101" s="66" t="n">
        <x:f>Model_Formula!$M$16*(Profiles_140!N97-Simulator!$L$14)^2*IF(Profiles_140!N97&gt;Simulator!$L$14,1+Model_Formula!$N$16,1)</x:f>
        <x:v>0</x:v>
      </x:c>
      <x:c r="J101" s="66" t="n">
        <x:f>Model_Formula!$M$17*(Profiles_140!O97-Simulator!$L$15)^2*IF(Profiles_140!O97&gt;Simulator!$L$15,1+Model_Formula!$N$17,1)</x:f>
        <x:v>400</x:v>
      </x:c>
      <x:c r="K101" s="66" t="n">
        <x:f>Model_Formula!$M$18*(Profiles_140!P97-Simulator!$L$16)^2*IF(Profiles_140!P97&gt;Simulator!$L$16,1+Model_Formula!$N$18,1)</x:f>
        <x:v>360</x:v>
      </x:c>
      <x:c r="L101" s="66" t="n">
        <x:f>Model_Formula!$M$19*(Profiles_140!Q97-Simulator!$L$17)^2*IF(Profiles_140!Q97&gt;Simulator!$L$17,1+Model_Formula!$N$19,1)</x:f>
        <x:v>1102.5</x:v>
      </x:c>
      <x:c r="M101" s="66" t="n">
        <x:f>Model_Formula!$M$20*(Profiles_140!R97-Simulator!$L$18)^2*IF(Profiles_140!R97&gt;Simulator!$L$18,1+Model_Formula!$N$20,1)</x:f>
        <x:v>225</x:v>
      </x:c>
      <x:c r="N101" s="66" t="n">
        <x:f>Model_Formula!$M$21*(Profiles_140!S97-Simulator!$L$19)^2*IF(Profiles_140!S97&gt;Simulator!$L$19,1+Model_Formula!$N$21,1)</x:f>
        <x:v>1920</x:v>
      </x:c>
      <x:c r="O101" s="66" t="n">
        <x:f>Model_Formula!$M$22*(Profiles_140!T97-Simulator!$L$20)^2*IF(Profiles_140!T97&gt;Simulator!$L$20,1+Model_Formula!$N$22,1)</x:f>
        <x:v>1225</x:v>
      </x:c>
      <x:c r="P101" s="66" t="n">
        <x:f>Model_Formula!$M$23*(Profiles_140!U97-Simulator!$L$21)^2*IF(Profiles_140!U97&gt;Simulator!$L$21,1+Model_Formula!$N$23,1)</x:f>
        <x:v>320</x:v>
      </x:c>
      <x:c r="Q101" s="66" t="n">
        <x:f>Model_Formula!$M$24*(Profiles_140!V97-Simulator!$L$22)^2*IF(Profiles_140!V97&gt;Simulator!$L$22,1+Model_Formula!$N$24,1)</x:f>
        <x:v>437.5</x:v>
      </x:c>
      <x:c r="R101" s="66" t="n">
        <x:f>Model_Formula!$M$25*(Profiles_140!W97-Simulator!$L$23)^2*IF(Profiles_140!W97&gt;Simulator!$L$23,1+Model_Formula!$N$25,1)</x:f>
        <x:v>240</x:v>
      </x:c>
      <x:c r="S101" s="66" t="n">
        <x:f>Model_Formula!$M$26*(Profiles_140!X97-Simulator!$L$24)^2*IF(Profiles_140!X97&gt;Simulator!$L$24,1+Model_Formula!$N$26,1)</x:f>
        <x:v>910</x:v>
      </x:c>
      <x:c r="T101" s="66" t="n">
        <x:f>Model_Formula!$M$27*(Profiles_140!Y97-Simulator!$L$25)^2*IF(Profiles_140!Y97&gt;Simulator!$L$25,1+Model_Formula!$N$27,1)</x:f>
        <x:v>1012.5000000000001</x:v>
      </x:c>
      <x:c r="U101" s="60" t="n">
        <x:f>SUM(F101:T101)/SUM(Model_Formula!$M$13:$M$27)</x:f>
        <x:v>678.6824324324325</x:v>
      </x:c>
      <x:c r="V101" s="60" t="n">
        <x:f>SQRT(U101)</x:f>
        <x:v>26.05153416657899</x:v>
      </x:c>
      <x:c r="W101" s="60" t="n">
        <x:f>MAX(0,100-V101)</x:f>
        <x:v>73.94846583342101</x:v>
      </x:c>
      <x:c r="X101" t="n">
        <x:f>RANK.EQ(W101,$W$6:$W$145,0)+COUNTIF($W$6:W101,W101)-1</x:f>
        <x:v>47</x:v>
      </x:c>
    </x:row>
    <x:row r="102">
      <x:c r="A102" t="str">
        <x:f>Profiles_140!A98</x:f>
        <x:v>ファイアロー</x:v>
      </x:c>
      <x:c r="B102" t="str">
        <x:f>Profiles_140!C98</x:f>
        <x:v>ファイアロー-1</x:v>
      </x:c>
      <x:c r="C102" t="str">
        <x:f>Profiles_140!D98</x:f>
        <x:v>ブレイブバード＋つばめがえし</x:v>
      </x:c>
      <x:c r="D102" t="str">
        <x:f>Profiles_140!B98</x:f>
        <x:v>スピード型</x:v>
      </x:c>
      <x:c r="E102" t="str">
        <x:f>Profiles_140!I98</x:f>
        <x:v>高</x:v>
      </x:c>
      <x:c r="F102" s="66" t="n">
        <x:f>Model_Formula!$M$13*(Profiles_140!K98-Simulator!$L$11)^2*IF(Profiles_140!K98&gt;Simulator!$L$11,1+Model_Formula!$N$13,1)</x:f>
        <x:v>25</x:v>
      </x:c>
      <x:c r="G102" s="66" t="n">
        <x:f>Model_Formula!$M$14*(Profiles_140!L98-Simulator!$L$12)^2*IF(Profiles_140!L98&gt;Simulator!$L$12,1+Model_Formula!$N$14,1)</x:f>
        <x:v>3449.9999999999995</x:v>
      </x:c>
      <x:c r="H102" s="66" t="n">
        <x:f>Model_Formula!$M$15*(Profiles_140!M98-Simulator!$L$13)^2*IF(Profiles_140!M98&gt;Simulator!$L$13,1+Model_Formula!$N$15,1)</x:f>
        <x:v>1225</x:v>
      </x:c>
      <x:c r="I102" s="66" t="n">
        <x:f>Model_Formula!$M$16*(Profiles_140!N98-Simulator!$L$14)^2*IF(Profiles_140!N98&gt;Simulator!$L$14,1+Model_Formula!$N$16,1)</x:f>
        <x:v>625</x:v>
      </x:c>
      <x:c r="J102" s="66" t="n">
        <x:f>Model_Formula!$M$17*(Profiles_140!O98-Simulator!$L$15)^2*IF(Profiles_140!O98&gt;Simulator!$L$15,1+Model_Formula!$N$17,1)</x:f>
        <x:v>900</x:v>
      </x:c>
      <x:c r="K102" s="66" t="n">
        <x:f>Model_Formula!$M$18*(Profiles_140!P98-Simulator!$L$16)^2*IF(Profiles_140!P98&gt;Simulator!$L$16,1+Model_Formula!$N$18,1)</x:f>
        <x:v>2250</x:v>
      </x:c>
      <x:c r="L102" s="66" t="n">
        <x:f>Model_Formula!$M$19*(Profiles_140!Q98-Simulator!$L$17)^2*IF(Profiles_140!Q98&gt;Simulator!$L$17,1+Model_Formula!$N$19,1)</x:f>
        <x:v>22.5</x:v>
      </x:c>
      <x:c r="M102" s="66" t="n">
        <x:f>Model_Formula!$M$20*(Profiles_140!R98-Simulator!$L$18)^2*IF(Profiles_140!R98&gt;Simulator!$L$18,1+Model_Formula!$N$20,1)</x:f>
        <x:v>225</x:v>
      </x:c>
      <x:c r="N102" s="66" t="n">
        <x:f>Model_Formula!$M$21*(Profiles_140!S98-Simulator!$L$19)^2*IF(Profiles_140!S98&gt;Simulator!$L$19,1+Model_Formula!$N$21,1)</x:f>
        <x:v>2430</x:v>
      </x:c>
      <x:c r="O102" s="66" t="n">
        <x:f>Model_Formula!$M$22*(Profiles_140!T98-Simulator!$L$20)^2*IF(Profiles_140!T98&gt;Simulator!$L$20,1+Model_Formula!$N$22,1)</x:f>
        <x:v>2500</x:v>
      </x:c>
      <x:c r="P102" s="66" t="n">
        <x:f>Model_Formula!$M$23*(Profiles_140!U98-Simulator!$L$21)^2*IF(Profiles_140!U98&gt;Simulator!$L$21,1+Model_Formula!$N$23,1)</x:f>
        <x:v>180</x:v>
      </x:c>
      <x:c r="Q102" s="66" t="n">
        <x:f>Model_Formula!$M$24*(Profiles_140!V98-Simulator!$L$22)^2*IF(Profiles_140!V98&gt;Simulator!$L$22,1+Model_Formula!$N$24,1)</x:f>
        <x:v>157.5</x:v>
      </x:c>
      <x:c r="R102" s="66" t="n">
        <x:f>Model_Formula!$M$25*(Profiles_140!W98-Simulator!$L$23)^2*IF(Profiles_140!W98&gt;Simulator!$L$23,1+Model_Formula!$N$25,1)</x:f>
        <x:v>540</x:v>
      </x:c>
      <x:c r="S102" s="66" t="n">
        <x:f>Model_Formula!$M$26*(Profiles_140!X98-Simulator!$L$24)^2*IF(Profiles_140!X98&gt;Simulator!$L$24,1+Model_Formula!$N$26,1)</x:f>
        <x:v>2786.875</x:v>
      </x:c>
      <x:c r="T102" s="66" t="n">
        <x:f>Model_Formula!$M$27*(Profiles_140!Y98-Simulator!$L$25)^2*IF(Profiles_140!Y98&gt;Simulator!$L$25,1+Model_Formula!$N$27,1)</x:f>
        <x:v>1012.5000000000001</x:v>
      </x:c>
      <x:c r="U102" s="60" t="n">
        <x:f>SUM(F102:T102)/SUM(Model_Formula!$M$13:$M$27)</x:f>
        <x:v>1238.471283783784</x:v>
      </x:c>
      <x:c r="V102" s="60" t="n">
        <x:f>SQRT(U102)</x:f>
        <x:v>35.191920717457066</x:v>
      </x:c>
      <x:c r="W102" s="60" t="n">
        <x:f>MAX(0,100-V102)</x:f>
        <x:v>64.80807928254293</x:v>
      </x:c>
      <x:c r="X102" t="n">
        <x:f>RANK.EQ(W102,$W$6:$W$145,0)+COUNTIF($W$6:W102,W102)-1</x:f>
        <x:v>126</x:v>
      </x:c>
    </x:row>
    <x:row r="103">
      <x:c r="A103" t="str">
        <x:f>Profiles_140!A99</x:f>
        <x:v>ファイアロー</x:v>
      </x:c>
      <x:c r="B103" t="str">
        <x:f>Profiles_140!C99</x:f>
        <x:v>ファイアロー-2</x:v>
      </x:c>
      <x:c r="C103" t="str">
        <x:f>Profiles_140!D99</x:f>
        <x:v>そらをとぶ＋ニトロチャージ</x:v>
      </x:c>
      <x:c r="D103" t="str">
        <x:f>Profiles_140!B99</x:f>
        <x:v>スピード型</x:v>
      </x:c>
      <x:c r="E103" t="str">
        <x:f>Profiles_140!I99</x:f>
        <x:v>高</x:v>
      </x:c>
      <x:c r="F103" s="66" t="n">
        <x:f>Model_Formula!$M$13*(Profiles_140!K99-Simulator!$L$11)^2*IF(Profiles_140!K99&gt;Simulator!$L$11,1+Model_Formula!$N$13,1)</x:f>
        <x:v>0</x:v>
      </x:c>
      <x:c r="G103" s="66" t="n">
        <x:f>Model_Formula!$M$14*(Profiles_140!L99-Simulator!$L$12)^2*IF(Profiles_140!L99&gt;Simulator!$L$12,1+Model_Formula!$N$14,1)</x:f>
        <x:v>3449.9999999999995</x:v>
      </x:c>
      <x:c r="H103" s="66" t="n">
        <x:f>Model_Formula!$M$15*(Profiles_140!M99-Simulator!$L$13)^2*IF(Profiles_140!M99&gt;Simulator!$L$13,1+Model_Formula!$N$15,1)</x:f>
        <x:v>1600</x:v>
      </x:c>
      <x:c r="I103" s="66" t="n">
        <x:f>Model_Formula!$M$16*(Profiles_140!N99-Simulator!$L$14)^2*IF(Profiles_140!N99&gt;Simulator!$L$14,1+Model_Formula!$N$16,1)</x:f>
        <x:v>1600</x:v>
      </x:c>
      <x:c r="J103" s="66" t="n">
        <x:f>Model_Formula!$M$17*(Profiles_140!O99-Simulator!$L$15)^2*IF(Profiles_140!O99&gt;Simulator!$L$15,1+Model_Formula!$N$17,1)</x:f>
        <x:v>900</x:v>
      </x:c>
      <x:c r="K103" s="66" t="n">
        <x:f>Model_Formula!$M$18*(Profiles_140!P99-Simulator!$L$16)^2*IF(Profiles_140!P99&gt;Simulator!$L$16,1+Model_Formula!$N$18,1)</x:f>
        <x:v>2250</x:v>
      </x:c>
      <x:c r="L103" s="66" t="n">
        <x:f>Model_Formula!$M$19*(Profiles_140!Q99-Simulator!$L$17)^2*IF(Profiles_140!Q99&gt;Simulator!$L$17,1+Model_Formula!$N$19,1)</x:f>
        <x:v>0</x:v>
      </x:c>
      <x:c r="M103" s="66" t="n">
        <x:f>Model_Formula!$M$20*(Profiles_140!R99-Simulator!$L$18)^2*IF(Profiles_140!R99&gt;Simulator!$L$18,1+Model_Formula!$N$20,1)</x:f>
        <x:v>400</x:v>
      </x:c>
      <x:c r="N103" s="66" t="n">
        <x:f>Model_Formula!$M$21*(Profiles_140!S99-Simulator!$L$19)^2*IF(Profiles_140!S99&gt;Simulator!$L$19,1+Model_Formula!$N$21,1)</x:f>
        <x:v>2430</x:v>
      </x:c>
      <x:c r="O103" s="66" t="n">
        <x:f>Model_Formula!$M$22*(Profiles_140!T99-Simulator!$L$20)^2*IF(Profiles_140!T99&gt;Simulator!$L$20,1+Model_Formula!$N$22,1)</x:f>
        <x:v>2500</x:v>
      </x:c>
      <x:c r="P103" s="66" t="n">
        <x:f>Model_Formula!$M$23*(Profiles_140!U99-Simulator!$L$21)^2*IF(Profiles_140!U99&gt;Simulator!$L$21,1+Model_Formula!$N$23,1)</x:f>
        <x:v>180</x:v>
      </x:c>
      <x:c r="Q103" s="66" t="n">
        <x:f>Model_Formula!$M$24*(Profiles_140!V99-Simulator!$L$22)^2*IF(Profiles_140!V99&gt;Simulator!$L$22,1+Model_Formula!$N$24,1)</x:f>
        <x:v>157.5</x:v>
      </x:c>
      <x:c r="R103" s="66" t="n">
        <x:f>Model_Formula!$M$25*(Profiles_140!W99-Simulator!$L$23)^2*IF(Profiles_140!W99&gt;Simulator!$L$23,1+Model_Formula!$N$25,1)</x:f>
        <x:v>1215</x:v>
      </x:c>
      <x:c r="S103" s="66" t="n">
        <x:f>Model_Formula!$M$26*(Profiles_140!X99-Simulator!$L$24)^2*IF(Profiles_140!X99&gt;Simulator!$L$24,1+Model_Formula!$N$26,1)</x:f>
        <x:v>2047.5</x:v>
      </x:c>
      <x:c r="T103" s="66" t="n">
        <x:f>Model_Formula!$M$27*(Profiles_140!Y99-Simulator!$L$25)^2*IF(Profiles_140!Y99&gt;Simulator!$L$25,1+Model_Formula!$N$27,1)</x:f>
        <x:v>1458</x:v>
      </x:c>
      <x:c r="U103" s="60" t="n">
        <x:f>SUM(F103:T103)/SUM(Model_Formula!$M$13:$M$27)</x:f>
        <x:v>1364.0540540540542</x:v>
      </x:c>
      <x:c r="V103" s="60" t="n">
        <x:f>SQRT(U103)</x:f>
        <x:v>36.93310241577404</x:v>
      </x:c>
      <x:c r="W103" s="60" t="n">
        <x:f>MAX(0,100-V103)</x:f>
        <x:v>63.06689758422596</x:v>
      </x:c>
      <x:c r="X103" t="n">
        <x:f>RANK.EQ(W103,$W$6:$W$145,0)+COUNTIF($W$6:W103,W103)-1</x:f>
        <x:v>135</x:v>
      </x:c>
    </x:row>
    <x:row r="104">
      <x:c r="A104" t="str">
        <x:f>Profiles_140!A100</x:f>
        <x:v>マスカーニャ</x:v>
      </x:c>
      <x:c r="B104" t="str">
        <x:f>Profiles_140!C100</x:f>
        <x:v>マスカーニャ-1</x:v>
      </x:c>
      <x:c r="C104" t="str">
        <x:f>Profiles_140!D100</x:f>
        <x:v>トリックフラワー＋かげぶんしん</x:v>
      </x:c>
      <x:c r="D104" t="str">
        <x:f>Profiles_140!B100</x:f>
        <x:v>スピード型</x:v>
      </x:c>
      <x:c r="E104" t="str">
        <x:f>Profiles_140!I100</x:f>
        <x:v>高</x:v>
      </x:c>
      <x:c r="F104" s="66" t="n">
        <x:f>Model_Formula!$M$13*(Profiles_140!K100-Simulator!$L$11)^2*IF(Profiles_140!K100&gt;Simulator!$L$11,1+Model_Formula!$N$13,1)</x:f>
        <x:v>0</x:v>
      </x:c>
      <x:c r="G104" s="66" t="n">
        <x:f>Model_Formula!$M$14*(Profiles_140!L100-Simulator!$L$12)^2*IF(Profiles_140!L100&gt;Simulator!$L$12,1+Model_Formula!$N$14,1)</x:f>
        <x:v>1242</x:v>
      </x:c>
      <x:c r="H104" s="66" t="n">
        <x:f>Model_Formula!$M$15*(Profiles_140!M100-Simulator!$L$13)^2*IF(Profiles_140!M100&gt;Simulator!$L$13,1+Model_Formula!$N$15,1)</x:f>
        <x:v>625</x:v>
      </x:c>
      <x:c r="I104" s="66" t="n">
        <x:f>Model_Formula!$M$16*(Profiles_140!N100-Simulator!$L$14)^2*IF(Profiles_140!N100&gt;Simulator!$L$14,1+Model_Formula!$N$16,1)</x:f>
        <x:v>900</x:v>
      </x:c>
      <x:c r="J104" s="66" t="n">
        <x:f>Model_Formula!$M$17*(Profiles_140!O100-Simulator!$L$15)^2*IF(Profiles_140!O100&gt;Simulator!$L$15,1+Model_Formula!$N$17,1)</x:f>
        <x:v>400</x:v>
      </x:c>
      <x:c r="K104" s="66" t="n">
        <x:f>Model_Formula!$M$18*(Profiles_140!P100-Simulator!$L$16)^2*IF(Profiles_140!P100&gt;Simulator!$L$16,1+Model_Formula!$N$18,1)</x:f>
        <x:v>1822.5</x:v>
      </x:c>
      <x:c r="L104" s="66" t="n">
        <x:f>Model_Formula!$M$19*(Profiles_140!Q100-Simulator!$L$17)^2*IF(Profiles_140!Q100&gt;Simulator!$L$17,1+Model_Formula!$N$19,1)</x:f>
        <x:v>0</x:v>
      </x:c>
      <x:c r="M104" s="66" t="n">
        <x:f>Model_Formula!$M$20*(Profiles_140!R100-Simulator!$L$18)^2*IF(Profiles_140!R100&gt;Simulator!$L$18,1+Model_Formula!$N$20,1)</x:f>
        <x:v>0</x:v>
      </x:c>
      <x:c r="N104" s="66" t="n">
        <x:f>Model_Formula!$M$21*(Profiles_140!S100-Simulator!$L$19)^2*IF(Profiles_140!S100&gt;Simulator!$L$19,1+Model_Formula!$N$21,1)</x:f>
        <x:v>1080</x:v>
      </x:c>
      <x:c r="O104" s="66" t="n">
        <x:f>Model_Formula!$M$22*(Profiles_140!T100-Simulator!$L$20)^2*IF(Profiles_140!T100&gt;Simulator!$L$20,1+Model_Formula!$N$22,1)</x:f>
        <x:v>2025</x:v>
      </x:c>
      <x:c r="P104" s="66" t="n">
        <x:f>Model_Formula!$M$23*(Profiles_140!U100-Simulator!$L$21)^2*IF(Profiles_140!U100&gt;Simulator!$L$21,1+Model_Formula!$N$23,1)</x:f>
        <x:v>80</x:v>
      </x:c>
      <x:c r="Q104" s="66" t="n">
        <x:f>Model_Formula!$M$24*(Profiles_140!V100-Simulator!$L$22)^2*IF(Profiles_140!V100&gt;Simulator!$L$22,1+Model_Formula!$N$24,1)</x:f>
        <x:v>70</x:v>
      </x:c>
      <x:c r="R104" s="66" t="n">
        <x:f>Model_Formula!$M$25*(Profiles_140!W100-Simulator!$L$23)^2*IF(Profiles_140!W100&gt;Simulator!$L$23,1+Model_Formula!$N$25,1)</x:f>
        <x:v>735</x:v>
      </x:c>
      <x:c r="S104" s="66" t="n">
        <x:f>Model_Formula!$M$26*(Profiles_140!X100-Simulator!$L$24)^2*IF(Profiles_140!X100&gt;Simulator!$L$24,1+Model_Formula!$N$26,1)</x:f>
        <x:v>2047.5</x:v>
      </x:c>
      <x:c r="T104" s="66" t="n">
        <x:f>Model_Formula!$M$27*(Profiles_140!Y100-Simulator!$L$25)^2*IF(Profiles_140!Y100&gt;Simulator!$L$25,1+Model_Formula!$N$27,1)</x:f>
        <x:v>2592</x:v>
      </x:c>
      <x:c r="U104" s="60" t="n">
        <x:f>SUM(F104:T104)/SUM(Model_Formula!$M$13:$M$27)</x:f>
        <x:v>920.2027027027028</x:v>
      </x:c>
      <x:c r="V104" s="60" t="n">
        <x:f>SQRT(U104)</x:f>
        <x:v>30.33484304727326</x:v>
      </x:c>
      <x:c r="W104" s="60" t="n">
        <x:f>MAX(0,100-V104)</x:f>
        <x:v>69.66515695272673</x:v>
      </x:c>
      <x:c r="X104" t="n">
        <x:f>RANK.EQ(W104,$W$6:$W$145,0)+COUNTIF($W$6:W104,W104)-1</x:f>
        <x:v>97</x:v>
      </x:c>
    </x:row>
    <x:row r="105">
      <x:c r="A105" t="str">
        <x:f>Profiles_140!A101</x:f>
        <x:v>マスカーニャ</x:v>
      </x:c>
      <x:c r="B105" t="str">
        <x:f>Profiles_140!C101</x:f>
        <x:v>マスカーニャ-2</x:v>
      </x:c>
      <x:c r="C105" t="str">
        <x:f>Profiles_140!D101</x:f>
        <x:v>つじぎり＋くさわけ</x:v>
      </x:c>
      <x:c r="D105" t="str">
        <x:f>Profiles_140!B101</x:f>
        <x:v>スピード型</x:v>
      </x:c>
      <x:c r="E105" t="str">
        <x:f>Profiles_140!I101</x:f>
        <x:v>高</x:v>
      </x:c>
      <x:c r="F105" s="66" t="n">
        <x:f>Model_Formula!$M$13*(Profiles_140!K101-Simulator!$L$11)^2*IF(Profiles_140!K101&gt;Simulator!$L$11,1+Model_Formula!$N$13,1)</x:f>
        <x:v>25</x:v>
      </x:c>
      <x:c r="G105" s="66" t="n">
        <x:f>Model_Formula!$M$14*(Profiles_140!L101-Simulator!$L$12)^2*IF(Profiles_140!L101&gt;Simulator!$L$12,1+Model_Formula!$N$14,1)</x:f>
        <x:v>1690.4999999999998</x:v>
      </x:c>
      <x:c r="H105" s="66" t="n">
        <x:f>Model_Formula!$M$15*(Profiles_140!M101-Simulator!$L$13)^2*IF(Profiles_140!M101&gt;Simulator!$L$13,1+Model_Formula!$N$15,1)</x:f>
        <x:v>900</x:v>
      </x:c>
      <x:c r="I105" s="66" t="n">
        <x:f>Model_Formula!$M$16*(Profiles_140!N101-Simulator!$L$14)^2*IF(Profiles_140!N101&gt;Simulator!$L$14,1+Model_Formula!$N$16,1)</x:f>
        <x:v>100</x:v>
      </x:c>
      <x:c r="J105" s="66" t="n">
        <x:f>Model_Formula!$M$17*(Profiles_140!O101-Simulator!$L$15)^2*IF(Profiles_140!O101&gt;Simulator!$L$15,1+Model_Formula!$N$17,1)</x:f>
        <x:v>900</x:v>
      </x:c>
      <x:c r="K105" s="66" t="n">
        <x:f>Model_Formula!$M$18*(Profiles_140!P101-Simulator!$L$16)^2*IF(Profiles_140!P101&gt;Simulator!$L$16,1+Model_Formula!$N$18,1)</x:f>
        <x:v>360</x:v>
      </x:c>
      <x:c r="L105" s="66" t="n">
        <x:f>Model_Formula!$M$19*(Profiles_140!Q101-Simulator!$L$17)^2*IF(Profiles_140!Q101&gt;Simulator!$L$17,1+Model_Formula!$N$19,1)</x:f>
        <x:v>1440</x:v>
      </x:c>
      <x:c r="M105" s="66" t="n">
        <x:f>Model_Formula!$M$20*(Profiles_140!R101-Simulator!$L$18)^2*IF(Profiles_140!R101&gt;Simulator!$L$18,1+Model_Formula!$N$20,1)</x:f>
        <x:v>225</x:v>
      </x:c>
      <x:c r="N105" s="66" t="n">
        <x:f>Model_Formula!$M$21*(Profiles_140!S101-Simulator!$L$19)^2*IF(Profiles_140!S101&gt;Simulator!$L$19,1+Model_Formula!$N$21,1)</x:f>
        <x:v>2430</x:v>
      </x:c>
      <x:c r="O105" s="66" t="n">
        <x:f>Model_Formula!$M$22*(Profiles_140!T101-Simulator!$L$20)^2*IF(Profiles_140!T101&gt;Simulator!$L$20,1+Model_Formula!$N$22,1)</x:f>
        <x:v>2025</x:v>
      </x:c>
      <x:c r="P105" s="66" t="n">
        <x:f>Model_Formula!$M$23*(Profiles_140!U101-Simulator!$L$21)^2*IF(Profiles_140!U101&gt;Simulator!$L$21,1+Model_Formula!$N$23,1)</x:f>
        <x:v>320</x:v>
      </x:c>
      <x:c r="Q105" s="66" t="n">
        <x:f>Model_Formula!$M$24*(Profiles_140!V101-Simulator!$L$22)^2*IF(Profiles_140!V101&gt;Simulator!$L$22,1+Model_Formula!$N$24,1)</x:f>
        <x:v>630</x:v>
      </x:c>
      <x:c r="R105" s="66" t="n">
        <x:f>Model_Formula!$M$25*(Profiles_140!W101-Simulator!$L$23)^2*IF(Profiles_140!W101&gt;Simulator!$L$23,1+Model_Formula!$N$25,1)</x:f>
        <x:v>375</x:v>
      </x:c>
      <x:c r="S105" s="66" t="n">
        <x:f>Model_Formula!$M$26*(Profiles_140!X101-Simulator!$L$24)^2*IF(Profiles_140!X101&gt;Simulator!$L$24,1+Model_Formula!$N$26,1)</x:f>
        <x:v>1421.875</x:v>
      </x:c>
      <x:c r="T105" s="66" t="n">
        <x:f>Model_Formula!$M$27*(Profiles_140!Y101-Simulator!$L$25)^2*IF(Profiles_140!Y101&gt;Simulator!$L$25,1+Model_Formula!$N$27,1)</x:f>
        <x:v>648</x:v>
      </x:c>
      <x:c r="U105" s="60" t="n">
        <x:f>SUM(F105:T105)/SUM(Model_Formula!$M$13:$M$27)</x:f>
        <x:v>911.5118243243244</x:v>
      </x:c>
      <x:c r="V105" s="60" t="n">
        <x:f>SQRT(U105)</x:f>
        <x:v>30.191254103205523</x:v>
      </x:c>
      <x:c r="W105" s="60" t="n">
        <x:f>MAX(0,100-V105)</x:f>
        <x:v>69.80874589679448</x:v>
      </x:c>
      <x:c r="X105" t="n">
        <x:f>RANK.EQ(W105,$W$6:$W$145,0)+COUNTIF($W$6:W105,W105)-1</x:f>
        <x:v>95</x:v>
      </x:c>
    </x:row>
    <x:row r="106">
      <x:c r="A106" t="str">
        <x:f>Profiles_140!A102</x:f>
        <x:v>モルペコ</x:v>
      </x:c>
      <x:c r="B106" t="str">
        <x:f>Profiles_140!C102</x:f>
        <x:v>モルペコ-1</x:v>
      </x:c>
      <x:c r="C106" t="str">
        <x:f>Profiles_140!D102</x:f>
        <x:v>共通プロファイル</x:v>
      </x:c>
      <x:c r="D106" t="str">
        <x:f>Profiles_140!B102</x:f>
        <x:v>スピード型</x:v>
      </x:c>
      <x:c r="E106" t="str">
        <x:f>Profiles_140!I102</x:f>
        <x:v>低</x:v>
      </x:c>
      <x:c r="F106" s="66" t="n">
        <x:f>Model_Formula!$M$13*(Profiles_140!K102-Simulator!$L$11)^2*IF(Profiles_140!K102&gt;Simulator!$L$11,1+Model_Formula!$N$13,1)</x:f>
        <x:v>0</x:v>
      </x:c>
      <x:c r="G106" s="66" t="n">
        <x:f>Model_Formula!$M$14*(Profiles_140!L102-Simulator!$L$12)^2*IF(Profiles_140!L102&gt;Simulator!$L$12,1+Model_Formula!$N$14,1)</x:f>
        <x:v>3449.9999999999995</x:v>
      </x:c>
      <x:c r="H106" s="66" t="n">
        <x:f>Model_Formula!$M$15*(Profiles_140!M102-Simulator!$L$13)^2*IF(Profiles_140!M102&gt;Simulator!$L$13,1+Model_Formula!$N$15,1)</x:f>
        <x:v>1600</x:v>
      </x:c>
      <x:c r="I106" s="66" t="n">
        <x:f>Model_Formula!$M$16*(Profiles_140!N102-Simulator!$L$14)^2*IF(Profiles_140!N102&gt;Simulator!$L$14,1+Model_Formula!$N$16,1)</x:f>
        <x:v>1600</x:v>
      </x:c>
      <x:c r="J106" s="66" t="n">
        <x:f>Model_Formula!$M$17*(Profiles_140!O102-Simulator!$L$15)^2*IF(Profiles_140!O102&gt;Simulator!$L$15,1+Model_Formula!$N$17,1)</x:f>
        <x:v>900</x:v>
      </x:c>
      <x:c r="K106" s="66" t="n">
        <x:f>Model_Formula!$M$18*(Profiles_140!P102-Simulator!$L$16)^2*IF(Profiles_140!P102&gt;Simulator!$L$16,1+Model_Formula!$N$18,1)</x:f>
        <x:v>2250</x:v>
      </x:c>
      <x:c r="L106" s="66" t="n">
        <x:f>Model_Formula!$M$19*(Profiles_140!Q102-Simulator!$L$17)^2*IF(Profiles_140!Q102&gt;Simulator!$L$17,1+Model_Formula!$N$19,1)</x:f>
        <x:v>0</x:v>
      </x:c>
      <x:c r="M106" s="66" t="n">
        <x:f>Model_Formula!$M$20*(Profiles_140!R102-Simulator!$L$18)^2*IF(Profiles_140!R102&gt;Simulator!$L$18,1+Model_Formula!$N$20,1)</x:f>
        <x:v>400</x:v>
      </x:c>
      <x:c r="N106" s="66" t="n">
        <x:f>Model_Formula!$M$21*(Profiles_140!S102-Simulator!$L$19)^2*IF(Profiles_140!S102&gt;Simulator!$L$19,1+Model_Formula!$N$21,1)</x:f>
        <x:v>2430</x:v>
      </x:c>
      <x:c r="O106" s="66" t="n">
        <x:f>Model_Formula!$M$22*(Profiles_140!T102-Simulator!$L$20)^2*IF(Profiles_140!T102&gt;Simulator!$L$20,1+Model_Formula!$N$22,1)</x:f>
        <x:v>2500</x:v>
      </x:c>
      <x:c r="P106" s="66" t="n">
        <x:f>Model_Formula!$M$23*(Profiles_140!U102-Simulator!$L$21)^2*IF(Profiles_140!U102&gt;Simulator!$L$21,1+Model_Formula!$N$23,1)</x:f>
        <x:v>180</x:v>
      </x:c>
      <x:c r="Q106" s="66" t="n">
        <x:f>Model_Formula!$M$24*(Profiles_140!V102-Simulator!$L$22)^2*IF(Profiles_140!V102&gt;Simulator!$L$22,1+Model_Formula!$N$24,1)</x:f>
        <x:v>157.5</x:v>
      </x:c>
      <x:c r="R106" s="66" t="n">
        <x:f>Model_Formula!$M$25*(Profiles_140!W102-Simulator!$L$23)^2*IF(Profiles_140!W102&gt;Simulator!$L$23,1+Model_Formula!$N$25,1)</x:f>
        <x:v>735</x:v>
      </x:c>
      <x:c r="S106" s="66" t="n">
        <x:f>Model_Formula!$M$26*(Profiles_140!X102-Simulator!$L$24)^2*IF(Profiles_140!X102&gt;Simulator!$L$24,1+Model_Formula!$N$26,1)</x:f>
        <x:v>3640</x:v>
      </x:c>
      <x:c r="T106" s="66" t="n">
        <x:f>Model_Formula!$M$27*(Profiles_140!Y102-Simulator!$L$25)^2*IF(Profiles_140!Y102&gt;Simulator!$L$25,1+Model_Formula!$N$27,1)</x:f>
        <x:v>1012.5000000000001</x:v>
      </x:c>
      <x:c r="U106" s="60" t="n">
        <x:f>SUM(F106:T106)/SUM(Model_Formula!$M$13:$M$27)</x:f>
        <x:v>1409.1216216216217</x:v>
      </x:c>
      <x:c r="V106" s="60" t="n">
        <x:f>SQRT(U106)</x:f>
        <x:v>37.53826876164672</x:v>
      </x:c>
      <x:c r="W106" s="60" t="n">
        <x:f>MAX(0,100-V106)</x:f>
        <x:v>62.46173123835328</x:v>
      </x:c>
      <x:c r="X106" t="n">
        <x:f>RANK.EQ(W106,$W$6:$W$145,0)+COUNTIF($W$6:W106,W106)-1</x:f>
        <x:v>138</x:v>
      </x:c>
    </x:row>
    <x:row r="107">
      <x:c r="A107" t="str">
        <x:f>Profiles_140!A103</x:f>
        <x:v>リーフィア</x:v>
      </x:c>
      <x:c r="B107" t="str">
        <x:f>Profiles_140!C103</x:f>
        <x:v>リーフィア-1</x:v>
      </x:c>
      <x:c r="C107" t="str">
        <x:f>Profiles_140!D103</x:f>
        <x:v>共通プロファイル</x:v>
      </x:c>
      <x:c r="D107" t="str">
        <x:f>Profiles_140!B103</x:f>
        <x:v>スピード型</x:v>
      </x:c>
      <x:c r="E107" t="str">
        <x:f>Profiles_140!I103</x:f>
        <x:v>高</x:v>
      </x:c>
      <x:c r="F107" s="66" t="n">
        <x:f>Model_Formula!$M$13*(Profiles_140!K103-Simulator!$L$11)^2*IF(Profiles_140!K103&gt;Simulator!$L$11,1+Model_Formula!$N$13,1)</x:f>
        <x:v>0</x:v>
      </x:c>
      <x:c r="G107" s="66" t="n">
        <x:f>Model_Formula!$M$14*(Profiles_140!L103-Simulator!$L$12)^2*IF(Profiles_140!L103&gt;Simulator!$L$12,1+Model_Formula!$N$14,1)</x:f>
        <x:v>3449.9999999999995</x:v>
      </x:c>
      <x:c r="H107" s="66" t="n">
        <x:f>Model_Formula!$M$15*(Profiles_140!M103-Simulator!$L$13)^2*IF(Profiles_140!M103&gt;Simulator!$L$13,1+Model_Formula!$N$15,1)</x:f>
        <x:v>1600</x:v>
      </x:c>
      <x:c r="I107" s="66" t="n">
        <x:f>Model_Formula!$M$16*(Profiles_140!N103-Simulator!$L$14)^2*IF(Profiles_140!N103&gt;Simulator!$L$14,1+Model_Formula!$N$16,1)</x:f>
        <x:v>1600</x:v>
      </x:c>
      <x:c r="J107" s="66" t="n">
        <x:f>Model_Formula!$M$17*(Profiles_140!O103-Simulator!$L$15)^2*IF(Profiles_140!O103&gt;Simulator!$L$15,1+Model_Formula!$N$17,1)</x:f>
        <x:v>900</x:v>
      </x:c>
      <x:c r="K107" s="66" t="n">
        <x:f>Model_Formula!$M$18*(Profiles_140!P103-Simulator!$L$16)^2*IF(Profiles_140!P103&gt;Simulator!$L$16,1+Model_Formula!$N$18,1)</x:f>
        <x:v>2250</x:v>
      </x:c>
      <x:c r="L107" s="66" t="n">
        <x:f>Model_Formula!$M$19*(Profiles_140!Q103-Simulator!$L$17)^2*IF(Profiles_140!Q103&gt;Simulator!$L$17,1+Model_Formula!$N$19,1)</x:f>
        <x:v>0</x:v>
      </x:c>
      <x:c r="M107" s="66" t="n">
        <x:f>Model_Formula!$M$20*(Profiles_140!R103-Simulator!$L$18)^2*IF(Profiles_140!R103&gt;Simulator!$L$18,1+Model_Formula!$N$20,1)</x:f>
        <x:v>400</x:v>
      </x:c>
      <x:c r="N107" s="66" t="n">
        <x:f>Model_Formula!$M$21*(Profiles_140!S103-Simulator!$L$19)^2*IF(Profiles_140!S103&gt;Simulator!$L$19,1+Model_Formula!$N$21,1)</x:f>
        <x:v>2430</x:v>
      </x:c>
      <x:c r="O107" s="66" t="n">
        <x:f>Model_Formula!$M$22*(Profiles_140!T103-Simulator!$L$20)^2*IF(Profiles_140!T103&gt;Simulator!$L$20,1+Model_Formula!$N$22,1)</x:f>
        <x:v>2500</x:v>
      </x:c>
      <x:c r="P107" s="66" t="n">
        <x:f>Model_Formula!$M$23*(Profiles_140!U103-Simulator!$L$21)^2*IF(Profiles_140!U103&gt;Simulator!$L$21,1+Model_Formula!$N$23,1)</x:f>
        <x:v>20</x:v>
      </x:c>
      <x:c r="Q107" s="66" t="n">
        <x:f>Model_Formula!$M$24*(Profiles_140!V103-Simulator!$L$22)^2*IF(Profiles_140!V103&gt;Simulator!$L$22,1+Model_Formula!$N$24,1)</x:f>
        <x:v>157.5</x:v>
      </x:c>
      <x:c r="R107" s="66" t="n">
        <x:f>Model_Formula!$M$25*(Profiles_140!W103-Simulator!$L$23)^2*IF(Profiles_140!W103&gt;Simulator!$L$23,1+Model_Formula!$N$25,1)</x:f>
        <x:v>735</x:v>
      </x:c>
      <x:c r="S107" s="66" t="n">
        <x:f>Model_Formula!$M$26*(Profiles_140!X103-Simulator!$L$24)^2*IF(Profiles_140!X103&gt;Simulator!$L$24,1+Model_Formula!$N$26,1)</x:f>
        <x:v>2047.5</x:v>
      </x:c>
      <x:c r="T107" s="66" t="n">
        <x:f>Model_Formula!$M$27*(Profiles_140!Y103-Simulator!$L$25)^2*IF(Profiles_140!Y103&gt;Simulator!$L$25,1+Model_Formula!$N$27,1)</x:f>
        <x:v>1012.5000000000001</x:v>
      </x:c>
      <x:c r="U107" s="60" t="n">
        <x:f>SUM(F107:T107)/SUM(Model_Formula!$M$13:$M$27)</x:f>
        <x:v>1290.7094594594596</x:v>
      </x:c>
      <x:c r="V107" s="60" t="n">
        <x:f>SQRT(U107)</x:f>
        <x:v>35.926445126945964</x:v>
      </x:c>
      <x:c r="W107" s="60" t="n">
        <x:f>MAX(0,100-V107)</x:f>
        <x:v>64.07355487305404</x:v>
      </x:c>
      <x:c r="X107" t="n">
        <x:f>RANK.EQ(W107,$W$6:$W$145,0)+COUNTIF($W$6:W107,W107)-1</x:f>
        <x:v>130</x:v>
      </x:c>
    </x:row>
    <x:row r="108">
      <x:c r="A108" t="str">
        <x:f>Profiles_140!A104</x:f>
        <x:v>イワパレス</x:v>
      </x:c>
      <x:c r="B108" t="str">
        <x:f>Profiles_140!C104</x:f>
        <x:v>イワパレス-1</x:v>
      </x:c>
      <x:c r="C108" t="str">
        <x:f>Profiles_140!D104</x:f>
        <x:v>がんせきふうじ＋ステルスロック</x:v>
      </x:c>
      <x:c r="D108" t="str">
        <x:f>Profiles_140!B104</x:f>
        <x:v>ディフェンス型</x:v>
      </x:c>
      <x:c r="E108" t="str">
        <x:f>Profiles_140!I104</x:f>
        <x:v>高</x:v>
      </x:c>
      <x:c r="F108" s="66" t="n">
        <x:f>Model_Formula!$M$13*(Profiles_140!K104-Simulator!$L$11)^2*IF(Profiles_140!K104&gt;Simulator!$L$11,1+Model_Formula!$N$13,1)</x:f>
        <x:v>2025</x:v>
      </x:c>
      <x:c r="G108" s="66" t="n">
        <x:f>Model_Formula!$M$14*(Profiles_140!L104-Simulator!$L$12)^2*IF(Profiles_140!L104&gt;Simulator!$L$12,1+Model_Formula!$N$14,1)</x:f>
        <x:v>552</x:v>
      </x:c>
      <x:c r="H108" s="66" t="n">
        <x:f>Model_Formula!$M$15*(Profiles_140!M104-Simulator!$L$13)^2*IF(Profiles_140!M104&gt;Simulator!$L$13,1+Model_Formula!$N$15,1)</x:f>
        <x:v>900</x:v>
      </x:c>
      <x:c r="I108" s="66" t="n">
        <x:f>Model_Formula!$M$16*(Profiles_140!N104-Simulator!$L$14)^2*IF(Profiles_140!N104&gt;Simulator!$L$14,1+Model_Formula!$N$16,1)</x:f>
        <x:v>2500</x:v>
      </x:c>
      <x:c r="J108" s="66" t="n">
        <x:f>Model_Formula!$M$17*(Profiles_140!O104-Simulator!$L$15)^2*IF(Profiles_140!O104&gt;Simulator!$L$15,1+Model_Formula!$N$17,1)</x:f>
        <x:v>400</x:v>
      </x:c>
      <x:c r="K108" s="66" t="n">
        <x:f>Model_Formula!$M$18*(Profiles_140!P104-Simulator!$L$16)^2*IF(Profiles_140!P104&gt;Simulator!$L$16,1+Model_Formula!$N$18,1)</x:f>
        <x:v>90</x:v>
      </x:c>
      <x:c r="L108" s="66" t="n">
        <x:f>Model_Formula!$M$19*(Profiles_140!Q104-Simulator!$L$17)^2*IF(Profiles_140!Q104&gt;Simulator!$L$17,1+Model_Formula!$N$19,1)</x:f>
        <x:v>90</x:v>
      </x:c>
      <x:c r="M108" s="66" t="n">
        <x:f>Model_Formula!$M$20*(Profiles_140!R104-Simulator!$L$18)^2*IF(Profiles_140!R104&gt;Simulator!$L$18,1+Model_Formula!$N$20,1)</x:f>
        <x:v>2500</x:v>
      </x:c>
      <x:c r="N108" s="66" t="n">
        <x:f>Model_Formula!$M$21*(Profiles_140!S104-Simulator!$L$19)^2*IF(Profiles_140!S104&gt;Simulator!$L$19,1+Model_Formula!$N$21,1)</x:f>
        <x:v>480</x:v>
      </x:c>
      <x:c r="O108" s="66" t="n">
        <x:f>Model_Formula!$M$22*(Profiles_140!T104-Simulator!$L$20)^2*IF(Profiles_140!T104&gt;Simulator!$L$20,1+Model_Formula!$N$22,1)</x:f>
        <x:v>100</x:v>
      </x:c>
      <x:c r="P108" s="66" t="n">
        <x:f>Model_Formula!$M$23*(Profiles_140!U104-Simulator!$L$21)^2*IF(Profiles_140!U104&gt;Simulator!$L$21,1+Model_Formula!$N$23,1)</x:f>
        <x:v>320</x:v>
      </x:c>
      <x:c r="Q108" s="66" t="n">
        <x:f>Model_Formula!$M$24*(Profiles_140!V104-Simulator!$L$22)^2*IF(Profiles_140!V104&gt;Simulator!$L$22,1+Model_Formula!$N$24,1)</x:f>
        <x:v>17.5</x:v>
      </x:c>
      <x:c r="R108" s="66" t="n">
        <x:f>Model_Formula!$M$25*(Profiles_140!W104-Simulator!$L$23)^2*IF(Profiles_140!W104&gt;Simulator!$L$23,1+Model_Formula!$N$25,1)</x:f>
        <x:v>135</x:v>
      </x:c>
      <x:c r="S108" s="66" t="n">
        <x:f>Model_Formula!$M$26*(Profiles_140!X104-Simulator!$L$24)^2*IF(Profiles_140!X104&gt;Simulator!$L$24,1+Model_Formula!$N$26,1)</x:f>
        <x:v>56.875</x:v>
      </x:c>
      <x:c r="T108" s="66" t="n">
        <x:f>Model_Formula!$M$27*(Profiles_140!Y104-Simulator!$L$25)^2*IF(Profiles_140!Y104&gt;Simulator!$L$25,1+Model_Formula!$N$27,1)</x:f>
        <x:v>1984.5000000000002</x:v>
      </x:c>
      <x:c r="U108" s="60" t="n">
        <x:f>SUM(F108:T108)/SUM(Model_Formula!$M$13:$M$27)</x:f>
        <x:v>821.0050675675676</x:v>
      </x:c>
      <x:c r="V108" s="60" t="n">
        <x:f>SQRT(U108)</x:f>
        <x:v>28.65318599331613</x:v>
      </x:c>
      <x:c r="W108" s="60" t="n">
        <x:f>MAX(0,100-V108)</x:f>
        <x:v>71.34681400668387</x:v>
      </x:c>
      <x:c r="X108" t="n">
        <x:f>RANK.EQ(W108,$W$6:$W$145,0)+COUNTIF($W$6:W108,W108)-1</x:f>
        <x:v>69</x:v>
      </x:c>
    </x:row>
    <x:row r="109">
      <x:c r="A109" t="str">
        <x:f>Profiles_140!A105</x:f>
        <x:v>イワパレス</x:v>
      </x:c>
      <x:c r="B109" t="str">
        <x:f>Profiles_140!C105</x:f>
        <x:v>イワパレス-2</x:v>
      </x:c>
      <x:c r="C109" t="str">
        <x:f>Profiles_140!D105</x:f>
        <x:v>からをやぶる＋シザークロス</x:v>
      </x:c>
      <x:c r="D109" t="str">
        <x:f>Profiles_140!B105</x:f>
        <x:v>ディフェンス型</x:v>
      </x:c>
      <x:c r="E109" t="str">
        <x:f>Profiles_140!I105</x:f>
        <x:v>高</x:v>
      </x:c>
      <x:c r="F109" s="66" t="n">
        <x:f>Model_Formula!$M$13*(Profiles_140!K105-Simulator!$L$11)^2*IF(Profiles_140!K105&gt;Simulator!$L$11,1+Model_Formula!$N$13,1)</x:f>
        <x:v>400</x:v>
      </x:c>
      <x:c r="G109" s="66" t="n">
        <x:f>Model_Formula!$M$14*(Profiles_140!L105-Simulator!$L$12)^2*IF(Profiles_140!L105&gt;Simulator!$L$12,1+Model_Formula!$N$14,1)</x:f>
        <x:v>862.4999999999999</x:v>
      </x:c>
      <x:c r="H109" s="66" t="n">
        <x:f>Model_Formula!$M$15*(Profiles_140!M105-Simulator!$L$13)^2*IF(Profiles_140!M105&gt;Simulator!$L$13,1+Model_Formula!$N$15,1)</x:f>
        <x:v>900</x:v>
      </x:c>
      <x:c r="I109" s="66" t="n">
        <x:f>Model_Formula!$M$16*(Profiles_140!N105-Simulator!$L$14)^2*IF(Profiles_140!N105&gt;Simulator!$L$14,1+Model_Formula!$N$16,1)</x:f>
        <x:v>900</x:v>
      </x:c>
      <x:c r="J109" s="66" t="n">
        <x:f>Model_Formula!$M$17*(Profiles_140!O105-Simulator!$L$15)^2*IF(Profiles_140!O105&gt;Simulator!$L$15,1+Model_Formula!$N$17,1)</x:f>
        <x:v>1225</x:v>
      </x:c>
      <x:c r="K109" s="66" t="n">
        <x:f>Model_Formula!$M$18*(Profiles_140!P105-Simulator!$L$16)^2*IF(Profiles_140!P105&gt;Simulator!$L$16,1+Model_Formula!$N$18,1)</x:f>
        <x:v>810</x:v>
      </x:c>
      <x:c r="L109" s="66" t="n">
        <x:f>Model_Formula!$M$19*(Profiles_140!Q105-Simulator!$L$17)^2*IF(Profiles_140!Q105&gt;Simulator!$L$17,1+Model_Formula!$N$19,1)</x:f>
        <x:v>562.5</x:v>
      </x:c>
      <x:c r="M109" s="66" t="n">
        <x:f>Model_Formula!$M$20*(Profiles_140!R105-Simulator!$L$18)^2*IF(Profiles_140!R105&gt;Simulator!$L$18,1+Model_Formula!$N$20,1)</x:f>
        <x:v>0</x:v>
      </x:c>
      <x:c r="N109" s="66" t="n">
        <x:f>Model_Formula!$M$21*(Profiles_140!S105-Simulator!$L$19)^2*IF(Profiles_140!S105&gt;Simulator!$L$19,1+Model_Formula!$N$21,1)</x:f>
        <x:v>1470</x:v>
      </x:c>
      <x:c r="O109" s="66" t="n">
        <x:f>Model_Formula!$M$22*(Profiles_140!T105-Simulator!$L$20)^2*IF(Profiles_140!T105&gt;Simulator!$L$20,1+Model_Formula!$N$22,1)</x:f>
        <x:v>1225</x:v>
      </x:c>
      <x:c r="P109" s="66" t="n">
        <x:f>Model_Formula!$M$23*(Profiles_140!U105-Simulator!$L$21)^2*IF(Profiles_140!U105&gt;Simulator!$L$21,1+Model_Formula!$N$23,1)</x:f>
        <x:v>180</x:v>
      </x:c>
      <x:c r="Q109" s="66" t="n">
        <x:f>Model_Formula!$M$24*(Profiles_140!V105-Simulator!$L$22)^2*IF(Profiles_140!V105&gt;Simulator!$L$22,1+Model_Formula!$N$24,1)</x:f>
        <x:v>280</x:v>
      </x:c>
      <x:c r="R109" s="66" t="n">
        <x:f>Model_Formula!$M$25*(Profiles_140!W105-Simulator!$L$23)^2*IF(Profiles_140!W105&gt;Simulator!$L$23,1+Model_Formula!$N$25,1)</x:f>
        <x:v>240</x:v>
      </x:c>
      <x:c r="S109" s="66" t="n">
        <x:f>Model_Formula!$M$26*(Profiles_140!X105-Simulator!$L$24)^2*IF(Profiles_140!X105&gt;Simulator!$L$24,1+Model_Formula!$N$26,1)</x:f>
        <x:v>511.875</x:v>
      </x:c>
      <x:c r="T109" s="66" t="n">
        <x:f>Model_Formula!$M$27*(Profiles_140!Y105-Simulator!$L$25)^2*IF(Profiles_140!Y105&gt;Simulator!$L$25,1+Model_Formula!$N$27,1)</x:f>
        <x:v>364.5</x:v>
      </x:c>
      <x:c r="U109" s="60" t="n">
        <x:f>SUM(F109:T109)/SUM(Model_Formula!$M$13:$M$27)</x:f>
        <x:v>671.0388513513514</x:v>
      </x:c>
      <x:c r="V109" s="60" t="n">
        <x:f>SQRT(U109)</x:f>
        <x:v>25.90441760301419</x:v>
      </x:c>
      <x:c r="W109" s="60" t="n">
        <x:f>MAX(0,100-V109)</x:f>
        <x:v>74.0955823969858</x:v>
      </x:c>
      <x:c r="X109" t="n">
        <x:f>RANK.EQ(W109,$W$6:$W$145,0)+COUNTIF($W$6:W109,W109)-1</x:f>
        <x:v>45</x:v>
      </x:c>
    </x:row>
    <x:row r="110">
      <x:c r="A110" t="str">
        <x:f>Profiles_140!A106</x:f>
        <x:v>オーロット</x:v>
      </x:c>
      <x:c r="B110" t="str">
        <x:f>Profiles_140!C106</x:f>
        <x:v>オーロット-1</x:v>
      </x:c>
      <x:c r="C110" t="str">
        <x:f>Profiles_140!D106</x:f>
        <x:v>ウッドハンマー＋ウッドホーン</x:v>
      </x:c>
      <x:c r="D110" t="str">
        <x:f>Profiles_140!B106</x:f>
        <x:v>ディフェンス型</x:v>
      </x:c>
      <x:c r="E110" t="str">
        <x:f>Profiles_140!I106</x:f>
        <x:v>高</x:v>
      </x:c>
      <x:c r="F110" s="66" t="n">
        <x:f>Model_Formula!$M$13*(Profiles_140!K106-Simulator!$L$11)^2*IF(Profiles_140!K106&gt;Simulator!$L$11,1+Model_Formula!$N$13,1)</x:f>
        <x:v>1600</x:v>
      </x:c>
      <x:c r="G110" s="66" t="n">
        <x:f>Model_Formula!$M$14*(Profiles_140!L106-Simulator!$L$12)^2*IF(Profiles_140!L106&gt;Simulator!$L$12,1+Model_Formula!$N$14,1)</x:f>
        <x:v>138</x:v>
      </x:c>
      <x:c r="H110" s="66" t="n">
        <x:f>Model_Formula!$M$15*(Profiles_140!M106-Simulator!$L$13)^2*IF(Profiles_140!M106&gt;Simulator!$L$13,1+Model_Formula!$N$15,1)</x:f>
        <x:v>1600</x:v>
      </x:c>
      <x:c r="I110" s="66" t="n">
        <x:f>Model_Formula!$M$16*(Profiles_140!N106-Simulator!$L$14)^2*IF(Profiles_140!N106&gt;Simulator!$L$14,1+Model_Formula!$N$16,1)</x:f>
        <x:v>2500</x:v>
      </x:c>
      <x:c r="J110" s="66" t="n">
        <x:f>Model_Formula!$M$17*(Profiles_140!O106-Simulator!$L$15)^2*IF(Profiles_140!O106&gt;Simulator!$L$15,1+Model_Formula!$N$17,1)</x:f>
        <x:v>1225</x:v>
      </x:c>
      <x:c r="K110" s="66" t="n">
        <x:f>Model_Formula!$M$18*(Profiles_140!P106-Simulator!$L$16)^2*IF(Profiles_140!P106&gt;Simulator!$L$16,1+Model_Formula!$N$18,1)</x:f>
        <x:v>202.5</x:v>
      </x:c>
      <x:c r="L110" s="66" t="n">
        <x:f>Model_Formula!$M$19*(Profiles_140!Q106-Simulator!$L$17)^2*IF(Profiles_140!Q106&gt;Simulator!$L$17,1+Model_Formula!$N$19,1)</x:f>
        <x:v>360</x:v>
      </x:c>
      <x:c r="M110" s="66" t="n">
        <x:f>Model_Formula!$M$20*(Profiles_140!R106-Simulator!$L$18)^2*IF(Profiles_140!R106&gt;Simulator!$L$18,1+Model_Formula!$N$20,1)</x:f>
        <x:v>2500</x:v>
      </x:c>
      <x:c r="N110" s="66" t="n">
        <x:f>Model_Formula!$M$21*(Profiles_140!S106-Simulator!$L$19)^2*IF(Profiles_140!S106&gt;Simulator!$L$19,1+Model_Formula!$N$21,1)</x:f>
        <x:v>270</x:v>
      </x:c>
      <x:c r="O110" s="66" t="n">
        <x:f>Model_Formula!$M$22*(Profiles_140!T106-Simulator!$L$20)^2*IF(Profiles_140!T106&gt;Simulator!$L$20,1+Model_Formula!$N$22,1)</x:f>
        <x:v>0</x:v>
      </x:c>
      <x:c r="P110" s="66" t="n">
        <x:f>Model_Formula!$M$23*(Profiles_140!U106-Simulator!$L$21)^2*IF(Profiles_140!U106&gt;Simulator!$L$21,1+Model_Formula!$N$23,1)</x:f>
        <x:v>320</x:v>
      </x:c>
      <x:c r="Q110" s="66" t="n">
        <x:f>Model_Formula!$M$24*(Profiles_140!V106-Simulator!$L$22)^2*IF(Profiles_140!V106&gt;Simulator!$L$22,1+Model_Formula!$N$24,1)</x:f>
        <x:v>70</x:v>
      </x:c>
      <x:c r="R110" s="66" t="n">
        <x:f>Model_Formula!$M$25*(Profiles_140!W106-Simulator!$L$23)^2*IF(Profiles_140!W106&gt;Simulator!$L$23,1+Model_Formula!$N$25,1)</x:f>
        <x:v>135</x:v>
      </x:c>
      <x:c r="S110" s="66" t="n">
        <x:f>Model_Formula!$M$26*(Profiles_140!X106-Simulator!$L$24)^2*IF(Profiles_140!X106&gt;Simulator!$L$24,1+Model_Formula!$N$26,1)</x:f>
        <x:v>56.875</x:v>
      </x:c>
      <x:c r="T110" s="66" t="n">
        <x:f>Model_Formula!$M$27*(Profiles_140!Y106-Simulator!$L$25)^2*IF(Profiles_140!Y106&gt;Simulator!$L$25,1+Model_Formula!$N$27,1)</x:f>
        <x:v>1984.5000000000002</x:v>
      </x:c>
      <x:c r="U110" s="60" t="n">
        <x:f>SUM(F110:T110)/SUM(Model_Formula!$M$13:$M$27)</x:f>
        <x:v>875.8023648648649</x:v>
      </x:c>
      <x:c r="V110" s="60" t="n">
        <x:f>SQRT(U110)</x:f>
        <x:v>29.593958249360035</x:v>
      </x:c>
      <x:c r="W110" s="60" t="n">
        <x:f>MAX(0,100-V110)</x:f>
        <x:v>70.40604175063996</x:v>
      </x:c>
      <x:c r="X110" t="n">
        <x:f>RANK.EQ(W110,$W$6:$W$145,0)+COUNTIF($W$6:W110,W110)-1</x:f>
        <x:v>81</x:v>
      </x:c>
    </x:row>
    <x:row r="111">
      <x:c r="A111" t="str">
        <x:f>Profiles_140!A107</x:f>
        <x:v>オーロット</x:v>
      </x:c>
      <x:c r="B111" t="str">
        <x:f>Profiles_140!C107</x:f>
        <x:v>オーロット-2</x:v>
      </x:c>
      <x:c r="C111" t="str">
        <x:f>Profiles_140!D107</x:f>
        <x:v>のろい＋いたみわけ</x:v>
      </x:c>
      <x:c r="D111" t="str">
        <x:f>Profiles_140!B107</x:f>
        <x:v>ディフェンス型</x:v>
      </x:c>
      <x:c r="E111" t="str">
        <x:f>Profiles_140!I107</x:f>
        <x:v>高</x:v>
      </x:c>
      <x:c r="F111" s="66" t="n">
        <x:f>Model_Formula!$M$13*(Profiles_140!K107-Simulator!$L$11)^2*IF(Profiles_140!K107&gt;Simulator!$L$11,1+Model_Formula!$N$13,1)</x:f>
        <x:v>25</x:v>
      </x:c>
      <x:c r="G111" s="66" t="n">
        <x:f>Model_Formula!$M$14*(Profiles_140!L107-Simulator!$L$12)^2*IF(Profiles_140!L107&gt;Simulator!$L$12,1+Model_Formula!$N$14,1)</x:f>
        <x:v>30</x:v>
      </x:c>
      <x:c r="H111" s="66" t="n">
        <x:f>Model_Formula!$M$15*(Profiles_140!M107-Simulator!$L$13)^2*IF(Profiles_140!M107&gt;Simulator!$L$13,1+Model_Formula!$N$15,1)</x:f>
        <x:v>25</x:v>
      </x:c>
      <x:c r="I111" s="66" t="n">
        <x:f>Model_Formula!$M$16*(Profiles_140!N107-Simulator!$L$14)^2*IF(Profiles_140!N107&gt;Simulator!$L$14,1+Model_Formula!$N$16,1)</x:f>
        <x:v>2500</x:v>
      </x:c>
      <x:c r="J111" s="66" t="n">
        <x:f>Model_Formula!$M$17*(Profiles_140!O107-Simulator!$L$15)^2*IF(Profiles_140!O107&gt;Simulator!$L$15,1+Model_Formula!$N$17,1)</x:f>
        <x:v>1225</x:v>
      </x:c>
      <x:c r="K111" s="66" t="n">
        <x:f>Model_Formula!$M$18*(Profiles_140!P107-Simulator!$L$16)^2*IF(Profiles_140!P107&gt;Simulator!$L$16,1+Model_Formula!$N$18,1)</x:f>
        <x:v>90</x:v>
      </x:c>
      <x:c r="L111" s="66" t="n">
        <x:f>Model_Formula!$M$19*(Profiles_140!Q107-Simulator!$L$17)^2*IF(Profiles_140!Q107&gt;Simulator!$L$17,1+Model_Formula!$N$19,1)</x:f>
        <x:v>1822.5</x:v>
      </x:c>
      <x:c r="M111" s="66" t="n">
        <x:f>Model_Formula!$M$20*(Profiles_140!R107-Simulator!$L$18)^2*IF(Profiles_140!R107&gt;Simulator!$L$18,1+Model_Formula!$N$20,1)</x:f>
        <x:v>225</x:v>
      </x:c>
      <x:c r="N111" s="66" t="n">
        <x:f>Model_Formula!$M$21*(Profiles_140!S107-Simulator!$L$19)^2*IF(Profiles_140!S107&gt;Simulator!$L$19,1+Model_Formula!$N$21,1)</x:f>
        <x:v>1920</x:v>
      </x:c>
      <x:c r="O111" s="66" t="n">
        <x:f>Model_Formula!$M$22*(Profiles_140!T107-Simulator!$L$20)^2*IF(Profiles_140!T107&gt;Simulator!$L$20,1+Model_Formula!$N$22,1)</x:f>
        <x:v>225</x:v>
      </x:c>
      <x:c r="P111" s="66" t="n">
        <x:f>Model_Formula!$M$23*(Profiles_140!U107-Simulator!$L$21)^2*IF(Profiles_140!U107&gt;Simulator!$L$21,1+Model_Formula!$N$23,1)</x:f>
        <x:v>320</x:v>
      </x:c>
      <x:c r="Q111" s="66" t="n">
        <x:f>Model_Formula!$M$24*(Profiles_140!V107-Simulator!$L$22)^2*IF(Profiles_140!V107&gt;Simulator!$L$22,1+Model_Formula!$N$24,1)</x:f>
        <x:v>630</x:v>
      </x:c>
      <x:c r="R111" s="66" t="n">
        <x:f>Model_Formula!$M$25*(Profiles_140!W107-Simulator!$L$23)^2*IF(Profiles_140!W107&gt;Simulator!$L$23,1+Model_Formula!$N$25,1)</x:f>
        <x:v>60</x:v>
      </x:c>
      <x:c r="S111" s="66" t="n">
        <x:f>Model_Formula!$M$26*(Profiles_140!X107-Simulator!$L$24)^2*IF(Profiles_140!X107&gt;Simulator!$L$24,1+Model_Formula!$N$26,1)</x:f>
        <x:v>0</x:v>
      </x:c>
      <x:c r="T111" s="66" t="n">
        <x:f>Model_Formula!$M$27*(Profiles_140!Y107-Simulator!$L$25)^2*IF(Profiles_140!Y107&gt;Simulator!$L$25,1+Model_Formula!$N$27,1)</x:f>
        <x:v>162</x:v>
      </x:c>
      <x:c r="U111" s="60" t="n">
        <x:f>SUM(F111:T111)/SUM(Model_Formula!$M$13:$M$27)</x:f>
        <x:v>625.641891891892</x:v>
      </x:c>
      <x:c r="V111" s="60" t="n">
        <x:f>SQRT(U111)</x:f>
        <x:v>25.01283454332779</x:v>
      </x:c>
      <x:c r="W111" s="60" t="n">
        <x:f>MAX(0,100-V111)</x:f>
        <x:v>74.98716545667222</x:v>
      </x:c>
      <x:c r="X111" t="n">
        <x:f>RANK.EQ(W111,$W$6:$W$145,0)+COUNTIF($W$6:W111,W111)-1</x:f>
        <x:v>38</x:v>
      </x:c>
    </x:row>
    <x:row r="112">
      <x:c r="A112" t="str">
        <x:f>Profiles_140!A108</x:f>
        <x:v>カビゴン</x:v>
      </x:c>
      <x:c r="B112" t="str">
        <x:f>Profiles_140!C108</x:f>
        <x:v>カビゴン-1</x:v>
      </x:c>
      <x:c r="C112" t="str">
        <x:f>Profiles_140!D108</x:f>
        <x:v>ヘビーボンバー＋とおせんぼう</x:v>
      </x:c>
      <x:c r="D112" t="str">
        <x:f>Profiles_140!B108</x:f>
        <x:v>ディフェンス型</x:v>
      </x:c>
      <x:c r="E112" t="str">
        <x:f>Profiles_140!I108</x:f>
        <x:v>高</x:v>
      </x:c>
      <x:c r="F112" s="66" t="n">
        <x:f>Model_Formula!$M$13*(Profiles_140!K108-Simulator!$L$11)^2*IF(Profiles_140!K108&gt;Simulator!$L$11,1+Model_Formula!$N$13,1)</x:f>
        <x:v>2025</x:v>
      </x:c>
      <x:c r="G112" s="66" t="n">
        <x:f>Model_Formula!$M$14*(Profiles_140!L108-Simulator!$L$12)^2*IF(Profiles_140!L108&gt;Simulator!$L$12,1+Model_Formula!$N$14,1)</x:f>
        <x:v>138</x:v>
      </x:c>
      <x:c r="H112" s="66" t="n">
        <x:f>Model_Formula!$M$15*(Profiles_140!M108-Simulator!$L$13)^2*IF(Profiles_140!M108&gt;Simulator!$L$13,1+Model_Formula!$N$15,1)</x:f>
        <x:v>2025</x:v>
      </x:c>
      <x:c r="I112" s="66" t="n">
        <x:f>Model_Formula!$M$16*(Profiles_140!N108-Simulator!$L$14)^2*IF(Profiles_140!N108&gt;Simulator!$L$14,1+Model_Formula!$N$16,1)</x:f>
        <x:v>2500</x:v>
      </x:c>
      <x:c r="J112" s="66" t="n">
        <x:f>Model_Formula!$M$17*(Profiles_140!O108-Simulator!$L$15)^2*IF(Profiles_140!O108&gt;Simulator!$L$15,1+Model_Formula!$N$17,1)</x:f>
        <x:v>1225</x:v>
      </x:c>
      <x:c r="K112" s="66" t="n">
        <x:f>Model_Formula!$M$18*(Profiles_140!P108-Simulator!$L$16)^2*IF(Profiles_140!P108&gt;Simulator!$L$16,1+Model_Formula!$N$18,1)</x:f>
        <x:v>562.5</x:v>
      </x:c>
      <x:c r="L112" s="66" t="n">
        <x:f>Model_Formula!$M$19*(Profiles_140!Q108-Simulator!$L$17)^2*IF(Profiles_140!Q108&gt;Simulator!$L$17,1+Model_Formula!$N$19,1)</x:f>
        <x:v>202.5</x:v>
      </x:c>
      <x:c r="M112" s="66" t="n">
        <x:f>Model_Formula!$M$20*(Profiles_140!R108-Simulator!$L$18)^2*IF(Profiles_140!R108&gt;Simulator!$L$18,1+Model_Formula!$N$20,1)</x:f>
        <x:v>2500</x:v>
      </x:c>
      <x:c r="N112" s="66" t="n">
        <x:f>Model_Formula!$M$21*(Profiles_140!S108-Simulator!$L$19)^2*IF(Profiles_140!S108&gt;Simulator!$L$19,1+Model_Formula!$N$21,1)</x:f>
        <x:v>120</x:v>
      </x:c>
      <x:c r="O112" s="66" t="n">
        <x:f>Model_Formula!$M$22*(Profiles_140!T108-Simulator!$L$20)^2*IF(Profiles_140!T108&gt;Simulator!$L$20,1+Model_Formula!$N$22,1)</x:f>
        <x:v>0</x:v>
      </x:c>
      <x:c r="P112" s="66" t="n">
        <x:f>Model_Formula!$M$23*(Profiles_140!U108-Simulator!$L$21)^2*IF(Profiles_140!U108&gt;Simulator!$L$21,1+Model_Formula!$N$23,1)</x:f>
        <x:v>320</x:v>
      </x:c>
      <x:c r="Q112" s="66" t="n">
        <x:f>Model_Formula!$M$24*(Profiles_140!V108-Simulator!$L$22)^2*IF(Profiles_140!V108&gt;Simulator!$L$22,1+Model_Formula!$N$24,1)</x:f>
        <x:v>70</x:v>
      </x:c>
      <x:c r="R112" s="66" t="n">
        <x:f>Model_Formula!$M$25*(Profiles_140!W108-Simulator!$L$23)^2*IF(Profiles_140!W108&gt;Simulator!$L$23,1+Model_Formula!$N$25,1)</x:f>
        <x:v>135</x:v>
      </x:c>
      <x:c r="S112" s="66" t="n">
        <x:f>Model_Formula!$M$26*(Profiles_140!X108-Simulator!$L$24)^2*IF(Profiles_140!X108&gt;Simulator!$L$24,1+Model_Formula!$N$26,1)</x:f>
        <x:v>56.875</x:v>
      </x:c>
      <x:c r="T112" s="66" t="n">
        <x:f>Model_Formula!$M$27*(Profiles_140!Y108-Simulator!$L$25)^2*IF(Profiles_140!Y108&gt;Simulator!$L$25,1+Model_Formula!$N$27,1)</x:f>
        <x:v>1984.5000000000002</x:v>
      </x:c>
      <x:c r="U112" s="60" t="n">
        <x:f>SUM(F112:T112)/SUM(Model_Formula!$M$13:$M$27)</x:f>
        <x:v>936.7820945945947</x:v>
      </x:c>
      <x:c r="V112" s="60" t="n">
        <x:f>SQRT(U112)</x:f>
        <x:v>30.606896193416848</x:v>
      </x:c>
      <x:c r="W112" s="60" t="n">
        <x:f>MAX(0,100-V112)</x:f>
        <x:v>69.39310380658316</x:v>
      </x:c>
      <x:c r="X112" t="n">
        <x:f>RANK.EQ(W112,$W$6:$W$145,0)+COUNTIF($W$6:W112,W112)-1</x:f>
        <x:v>101</x:v>
      </x:c>
    </x:row>
    <x:row r="113">
      <x:c r="A113" t="str">
        <x:f>Profiles_140!A109</x:f>
        <x:v>カビゴン</x:v>
      </x:c>
      <x:c r="B113" t="str">
        <x:f>Profiles_140!C109</x:f>
        <x:v>カビゴン-2</x:v>
      </x:c>
      <x:c r="C113" t="str">
        <x:f>Profiles_140!D109</x:f>
        <x:v>じたばた＋あくび</x:v>
      </x:c>
      <x:c r="D113" t="str">
        <x:f>Profiles_140!B109</x:f>
        <x:v>ディフェンス型</x:v>
      </x:c>
      <x:c r="E113" t="str">
        <x:f>Profiles_140!I109</x:f>
        <x:v>高</x:v>
      </x:c>
      <x:c r="F113" s="66" t="n">
        <x:f>Model_Formula!$M$13*(Profiles_140!K109-Simulator!$L$11)^2*IF(Profiles_140!K109&gt;Simulator!$L$11,1+Model_Formula!$N$13,1)</x:f>
        <x:v>100</x:v>
      </x:c>
      <x:c r="G113" s="66" t="n">
        <x:f>Model_Formula!$M$14*(Profiles_140!L109-Simulator!$L$12)^2*IF(Profiles_140!L109&gt;Simulator!$L$12,1+Model_Formula!$N$14,1)</x:f>
        <x:v>30</x:v>
      </x:c>
      <x:c r="H113" s="66" t="n">
        <x:f>Model_Formula!$M$15*(Profiles_140!M109-Simulator!$L$13)^2*IF(Profiles_140!M109&gt;Simulator!$L$13,1+Model_Formula!$N$15,1)</x:f>
        <x:v>225</x:v>
      </x:c>
      <x:c r="I113" s="66" t="n">
        <x:f>Model_Formula!$M$16*(Profiles_140!N109-Simulator!$L$14)^2*IF(Profiles_140!N109&gt;Simulator!$L$14,1+Model_Formula!$N$16,1)</x:f>
        <x:v>2025</x:v>
      </x:c>
      <x:c r="J113" s="66" t="n">
        <x:f>Model_Formula!$M$17*(Profiles_140!O109-Simulator!$L$15)^2*IF(Profiles_140!O109&gt;Simulator!$L$15,1+Model_Formula!$N$17,1)</x:f>
        <x:v>625</x:v>
      </x:c>
      <x:c r="K113" s="66" t="n">
        <x:f>Model_Formula!$M$18*(Profiles_140!P109-Simulator!$L$16)^2*IF(Profiles_140!P109&gt;Simulator!$L$16,1+Model_Formula!$N$18,1)</x:f>
        <x:v>202.5</x:v>
      </x:c>
      <x:c r="L113" s="66" t="n">
        <x:f>Model_Formula!$M$19*(Profiles_140!Q109-Simulator!$L$17)^2*IF(Profiles_140!Q109&gt;Simulator!$L$17,1+Model_Formula!$N$19,1)</x:f>
        <x:v>1102.5</x:v>
      </x:c>
      <x:c r="M113" s="66" t="n">
        <x:f>Model_Formula!$M$20*(Profiles_140!R109-Simulator!$L$18)^2*IF(Profiles_140!R109&gt;Simulator!$L$18,1+Model_Formula!$N$20,1)</x:f>
        <x:v>225</x:v>
      </x:c>
      <x:c r="N113" s="66" t="n">
        <x:f>Model_Formula!$M$21*(Profiles_140!S109-Simulator!$L$19)^2*IF(Profiles_140!S109&gt;Simulator!$L$19,1+Model_Formula!$N$21,1)</x:f>
        <x:v>1080</x:v>
      </x:c>
      <x:c r="O113" s="66" t="n">
        <x:f>Model_Formula!$M$22*(Profiles_140!T109-Simulator!$L$20)^2*IF(Profiles_140!T109&gt;Simulator!$L$20,1+Model_Formula!$N$22,1)</x:f>
        <x:v>100</x:v>
      </x:c>
      <x:c r="P113" s="66" t="n">
        <x:f>Model_Formula!$M$23*(Profiles_140!U109-Simulator!$L$21)^2*IF(Profiles_140!U109&gt;Simulator!$L$21,1+Model_Formula!$N$23,1)</x:f>
        <x:v>80</x:v>
      </x:c>
      <x:c r="Q113" s="66" t="n">
        <x:f>Model_Formula!$M$24*(Profiles_140!V109-Simulator!$L$22)^2*IF(Profiles_140!V109&gt;Simulator!$L$22,1+Model_Formula!$N$24,1)</x:f>
        <x:v>280</x:v>
      </x:c>
      <x:c r="R113" s="66" t="n">
        <x:f>Model_Formula!$M$25*(Profiles_140!W109-Simulator!$L$23)^2*IF(Profiles_140!W109&gt;Simulator!$L$23,1+Model_Formula!$N$25,1)</x:f>
        <x:v>60</x:v>
      </x:c>
      <x:c r="S113" s="66" t="n">
        <x:f>Model_Formula!$M$26*(Profiles_140!X109-Simulator!$L$24)^2*IF(Profiles_140!X109&gt;Simulator!$L$24,1+Model_Formula!$N$26,1)</x:f>
        <x:v>56.875</x:v>
      </x:c>
      <x:c r="T113" s="66" t="n">
        <x:f>Model_Formula!$M$27*(Profiles_140!Y109-Simulator!$L$25)^2*IF(Profiles_140!Y109&gt;Simulator!$L$25,1+Model_Formula!$N$27,1)</x:f>
        <x:v>648</x:v>
      </x:c>
      <x:c r="U113" s="60" t="n">
        <x:f>SUM(F113:T113)/SUM(Model_Formula!$M$13:$M$27)</x:f>
        <x:v>462.15371621621625</x:v>
      </x:c>
      <x:c r="V113" s="60" t="n">
        <x:f>SQRT(U113)</x:f>
        <x:v>21.497760725624804</x:v>
      </x:c>
      <x:c r="W113" s="60" t="n">
        <x:f>MAX(0,100-V113)</x:f>
        <x:v>78.5022392743752</x:v>
      </x:c>
      <x:c r="X113" t="n">
        <x:f>RANK.EQ(W113,$W$6:$W$145,0)+COUNTIF($W$6:W113,W113)-1</x:f>
        <x:v>6</x:v>
      </x:c>
    </x:row>
    <x:row r="114">
      <x:c r="A114" t="str">
        <x:f>Profiles_140!A110</x:f>
        <x:v>カメックス</x:v>
      </x:c>
      <x:c r="B114" t="str">
        <x:f>Profiles_140!C110</x:f>
        <x:v>カメックス-1</x:v>
      </x:c>
      <x:c r="C114" t="str">
        <x:f>Profiles_140!D110</x:f>
        <x:v>ハイドロポンプ＋なみのり</x:v>
      </x:c>
      <x:c r="D114" t="str">
        <x:f>Profiles_140!B110</x:f>
        <x:v>ディフェンス型</x:v>
      </x:c>
      <x:c r="E114" t="str">
        <x:f>Profiles_140!I110</x:f>
        <x:v>高</x:v>
      </x:c>
      <x:c r="F114" s="66" t="n">
        <x:f>Model_Formula!$M$13*(Profiles_140!K110-Simulator!$L$11)^2*IF(Profiles_140!K110&gt;Simulator!$L$11,1+Model_Formula!$N$13,1)</x:f>
        <x:v>400</x:v>
      </x:c>
      <x:c r="G114" s="66" t="n">
        <x:f>Model_Formula!$M$14*(Profiles_140!L110-Simulator!$L$12)^2*IF(Profiles_140!L110&gt;Simulator!$L$12,1+Model_Formula!$N$14,1)</x:f>
        <x:v>270</x:v>
      </x:c>
      <x:c r="H114" s="66" t="n">
        <x:f>Model_Formula!$M$15*(Profiles_140!M110-Simulator!$L$13)^2*IF(Profiles_140!M110&gt;Simulator!$L$13,1+Model_Formula!$N$15,1)</x:f>
        <x:v>2500</x:v>
      </x:c>
      <x:c r="I114" s="66" t="n">
        <x:f>Model_Formula!$M$16*(Profiles_140!N110-Simulator!$L$14)^2*IF(Profiles_140!N110&gt;Simulator!$L$14,1+Model_Formula!$N$16,1)</x:f>
        <x:v>2500</x:v>
      </x:c>
      <x:c r="J114" s="66" t="n">
        <x:f>Model_Formula!$M$17*(Profiles_140!O110-Simulator!$L$15)^2*IF(Profiles_140!O110&gt;Simulator!$L$15,1+Model_Formula!$N$17,1)</x:f>
        <x:v>625</x:v>
      </x:c>
      <x:c r="K114" s="66" t="n">
        <x:f>Model_Formula!$M$18*(Profiles_140!P110-Simulator!$L$16)^2*IF(Profiles_140!P110&gt;Simulator!$L$16,1+Model_Formula!$N$18,1)</x:f>
        <x:v>360</x:v>
      </x:c>
      <x:c r="L114" s="66" t="n">
        <x:f>Model_Formula!$M$19*(Profiles_140!Q110-Simulator!$L$17)^2*IF(Profiles_140!Q110&gt;Simulator!$L$17,1+Model_Formula!$N$19,1)</x:f>
        <x:v>810</x:v>
      </x:c>
      <x:c r="M114" s="66" t="n">
        <x:f>Model_Formula!$M$20*(Profiles_140!R110-Simulator!$L$18)^2*IF(Profiles_140!R110&gt;Simulator!$L$18,1+Model_Formula!$N$20,1)</x:f>
        <x:v>2500</x:v>
      </x:c>
      <x:c r="N114" s="66" t="n">
        <x:f>Model_Formula!$M$21*(Profiles_140!S110-Simulator!$L$19)^2*IF(Profiles_140!S110&gt;Simulator!$L$19,1+Model_Formula!$N$21,1)</x:f>
        <x:v>30</x:v>
      </x:c>
      <x:c r="O114" s="66" t="n">
        <x:f>Model_Formula!$M$22*(Profiles_140!T110-Simulator!$L$20)^2*IF(Profiles_140!T110&gt;Simulator!$L$20,1+Model_Formula!$N$22,1)</x:f>
        <x:v>100</x:v>
      </x:c>
      <x:c r="P114" s="66" t="n">
        <x:f>Model_Formula!$M$23*(Profiles_140!U110-Simulator!$L$21)^2*IF(Profiles_140!U110&gt;Simulator!$L$21,1+Model_Formula!$N$23,1)</x:f>
        <x:v>500</x:v>
      </x:c>
      <x:c r="Q114" s="66" t="n">
        <x:f>Model_Formula!$M$24*(Profiles_140!V110-Simulator!$L$22)^2*IF(Profiles_140!V110&gt;Simulator!$L$22,1+Model_Formula!$N$24,1)</x:f>
        <x:v>70</x:v>
      </x:c>
      <x:c r="R114" s="66" t="n">
        <x:f>Model_Formula!$M$25*(Profiles_140!W110-Simulator!$L$23)^2*IF(Profiles_140!W110&gt;Simulator!$L$23,1+Model_Formula!$N$25,1)</x:f>
        <x:v>240</x:v>
      </x:c>
      <x:c r="S114" s="66" t="n">
        <x:f>Model_Formula!$M$26*(Profiles_140!X110-Simulator!$L$24)^2*IF(Profiles_140!X110&gt;Simulator!$L$24,1+Model_Formula!$N$26,1)</x:f>
        <x:v>0</x:v>
      </x:c>
      <x:c r="T114" s="66" t="n">
        <x:f>Model_Formula!$M$27*(Profiles_140!Y110-Simulator!$L$25)^2*IF(Profiles_140!Y110&gt;Simulator!$L$25,1+Model_Formula!$N$27,1)</x:f>
        <x:v>1984.5000000000002</x:v>
      </x:c>
      <x:c r="U114" s="60" t="n">
        <x:f>SUM(F114:T114)/SUM(Model_Formula!$M$13:$M$27)</x:f>
        <x:v>870.9121621621622</x:v>
      </x:c>
      <x:c r="V114" s="60" t="n">
        <x:f>SQRT(U114)</x:f>
        <x:v>29.511220953429937</x:v>
      </x:c>
      <x:c r="W114" s="60" t="n">
        <x:f>MAX(0,100-V114)</x:f>
        <x:v>70.48877904657006</x:v>
      </x:c>
      <x:c r="X114" t="n">
        <x:f>RANK.EQ(W114,$W$6:$W$145,0)+COUNTIF($W$6:W114,W114)-1</x:f>
        <x:v>78</x:v>
      </x:c>
    </x:row>
    <x:row r="115">
      <x:c r="A115" t="str">
        <x:f>Profiles_140!A111</x:f>
        <x:v>カメックス</x:v>
      </x:c>
      <x:c r="B115" t="str">
        <x:f>Profiles_140!C111</x:f>
        <x:v>カメックス-2</x:v>
      </x:c>
      <x:c r="C115" t="str">
        <x:f>Profiles_140!D111</x:f>
        <x:v>しおふき＋こうそくスピン</x:v>
      </x:c>
      <x:c r="D115" t="str">
        <x:f>Profiles_140!B111</x:f>
        <x:v>ディフェンス型</x:v>
      </x:c>
      <x:c r="E115" t="str">
        <x:f>Profiles_140!I111</x:f>
        <x:v>高</x:v>
      </x:c>
      <x:c r="F115" s="66" t="n">
        <x:f>Model_Formula!$M$13*(Profiles_140!K111-Simulator!$L$11)^2*IF(Profiles_140!K111&gt;Simulator!$L$11,1+Model_Formula!$N$13,1)</x:f>
        <x:v>400</x:v>
      </x:c>
      <x:c r="G115" s="66" t="n">
        <x:f>Model_Formula!$M$14*(Profiles_140!L111-Simulator!$L$12)^2*IF(Profiles_140!L111&gt;Simulator!$L$12,1+Model_Formula!$N$14,1)</x:f>
        <x:v>2208</x:v>
      </x:c>
      <x:c r="H115" s="66" t="n">
        <x:f>Model_Formula!$M$15*(Profiles_140!M111-Simulator!$L$13)^2*IF(Profiles_140!M111&gt;Simulator!$L$13,1+Model_Formula!$N$15,1)</x:f>
        <x:v>1225</x:v>
      </x:c>
      <x:c r="I115" s="66" t="n">
        <x:f>Model_Formula!$M$16*(Profiles_140!N111-Simulator!$L$14)^2*IF(Profiles_140!N111&gt;Simulator!$L$14,1+Model_Formula!$N$16,1)</x:f>
        <x:v>900</x:v>
      </x:c>
      <x:c r="J115" s="66" t="n">
        <x:f>Model_Formula!$M$17*(Profiles_140!O111-Simulator!$L$15)^2*IF(Profiles_140!O111&gt;Simulator!$L$15,1+Model_Formula!$N$17,1)</x:f>
        <x:v>2025</x:v>
      </x:c>
      <x:c r="K115" s="66" t="n">
        <x:f>Model_Formula!$M$18*(Profiles_140!P111-Simulator!$L$16)^2*IF(Profiles_140!P111&gt;Simulator!$L$16,1+Model_Formula!$N$18,1)</x:f>
        <x:v>360</x:v>
      </x:c>
      <x:c r="L115" s="66" t="n">
        <x:f>Model_Formula!$M$19*(Profiles_140!Q111-Simulator!$L$17)^2*IF(Profiles_140!Q111&gt;Simulator!$L$17,1+Model_Formula!$N$19,1)</x:f>
        <x:v>1440</x:v>
      </x:c>
      <x:c r="M115" s="66" t="n">
        <x:f>Model_Formula!$M$20*(Profiles_140!R111-Simulator!$L$18)^2*IF(Profiles_140!R111&gt;Simulator!$L$18,1+Model_Formula!$N$20,1)</x:f>
        <x:v>0</x:v>
      </x:c>
      <x:c r="N115" s="66" t="n">
        <x:f>Model_Formula!$M$21*(Profiles_140!S111-Simulator!$L$19)^2*IF(Profiles_140!S111&gt;Simulator!$L$19,1+Model_Formula!$N$21,1)</x:f>
        <x:v>1470</x:v>
      </x:c>
      <x:c r="O115" s="66" t="n">
        <x:f>Model_Formula!$M$22*(Profiles_140!T111-Simulator!$L$20)^2*IF(Profiles_140!T111&gt;Simulator!$L$20,1+Model_Formula!$N$22,1)</x:f>
        <x:v>900</x:v>
      </x:c>
      <x:c r="P115" s="66" t="n">
        <x:f>Model_Formula!$M$23*(Profiles_140!U111-Simulator!$L$21)^2*IF(Profiles_140!U111&gt;Simulator!$L$21,1+Model_Formula!$N$23,1)</x:f>
        <x:v>180</x:v>
      </x:c>
      <x:c r="Q115" s="66" t="n">
        <x:f>Model_Formula!$M$24*(Profiles_140!V111-Simulator!$L$22)^2*IF(Profiles_140!V111&gt;Simulator!$L$22,1+Model_Formula!$N$24,1)</x:f>
        <x:v>280</x:v>
      </x:c>
      <x:c r="R115" s="66" t="n">
        <x:f>Model_Formula!$M$25*(Profiles_140!W111-Simulator!$L$23)^2*IF(Profiles_140!W111&gt;Simulator!$L$23,1+Model_Formula!$N$25,1)</x:f>
        <x:v>15</x:v>
      </x:c>
      <x:c r="S115" s="66" t="n">
        <x:f>Model_Formula!$M$26*(Profiles_140!X111-Simulator!$L$24)^2*IF(Profiles_140!X111&gt;Simulator!$L$24,1+Model_Formula!$N$26,1)</x:f>
        <x:v>511.875</x:v>
      </x:c>
      <x:c r="T115" s="66" t="n">
        <x:f>Model_Formula!$M$27*(Profiles_140!Y111-Simulator!$L$25)^2*IF(Profiles_140!Y111&gt;Simulator!$L$25,1+Model_Formula!$N$27,1)</x:f>
        <x:v>364.5</x:v>
      </x:c>
      <x:c r="U115" s="60" t="n">
        <x:f>SUM(F115:T115)/SUM(Model_Formula!$M$13:$M$27)</x:f>
        <x:v>829.6875000000001</x:v>
      </x:c>
      <x:c r="V115" s="60" t="n">
        <x:f>SQRT(U115)</x:f>
        <x:v>28.80429655450728</x:v>
      </x:c>
      <x:c r="W115" s="60" t="n">
        <x:f>MAX(0,100-V115)</x:f>
        <x:v>71.19570344549271</x:v>
      </x:c>
      <x:c r="X115" t="n">
        <x:f>RANK.EQ(W115,$W$6:$W$145,0)+COUNTIF($W$6:W115,W115)-1</x:f>
        <x:v>70</x:v>
      </x:c>
    </x:row>
    <x:row r="116">
      <x:c r="A116" t="str">
        <x:f>Profiles_140!A112</x:f>
        <x:v>シャワーズ</x:v>
      </x:c>
      <x:c r="B116" t="str">
        <x:f>Profiles_140!C112</x:f>
        <x:v>シャワーズ-1</x:v>
      </x:c>
      <x:c r="C116" t="str">
        <x:f>Profiles_140!D112</x:f>
        <x:v>ハイドロポンプ＋アクアリング</x:v>
      </x:c>
      <x:c r="D116" t="str">
        <x:f>Profiles_140!B112</x:f>
        <x:v>ディフェンス型</x:v>
      </x:c>
      <x:c r="E116" t="str">
        <x:f>Profiles_140!I112</x:f>
        <x:v>高</x:v>
      </x:c>
      <x:c r="F116" s="66" t="n">
        <x:f>Model_Formula!$M$13*(Profiles_140!K112-Simulator!$L$11)^2*IF(Profiles_140!K112&gt;Simulator!$L$11,1+Model_Formula!$N$13,1)</x:f>
        <x:v>400</x:v>
      </x:c>
      <x:c r="G116" s="66" t="n">
        <x:f>Model_Formula!$M$14*(Profiles_140!L112-Simulator!$L$12)^2*IF(Profiles_140!L112&gt;Simulator!$L$12,1+Model_Formula!$N$14,1)</x:f>
        <x:v>1920</x:v>
      </x:c>
      <x:c r="H116" s="66" t="n">
        <x:f>Model_Formula!$M$15*(Profiles_140!M112-Simulator!$L$13)^2*IF(Profiles_140!M112&gt;Simulator!$L$13,1+Model_Formula!$N$15,1)</x:f>
        <x:v>2500</x:v>
      </x:c>
      <x:c r="I116" s="66" t="n">
        <x:f>Model_Formula!$M$16*(Profiles_140!N112-Simulator!$L$14)^2*IF(Profiles_140!N112&gt;Simulator!$L$14,1+Model_Formula!$N$16,1)</x:f>
        <x:v>100</x:v>
      </x:c>
      <x:c r="J116" s="66" t="n">
        <x:f>Model_Formula!$M$17*(Profiles_140!O112-Simulator!$L$15)^2*IF(Profiles_140!O112&gt;Simulator!$L$15,1+Model_Formula!$N$17,1)</x:f>
        <x:v>225</x:v>
      </x:c>
      <x:c r="K116" s="66" t="n">
        <x:f>Model_Formula!$M$18*(Profiles_140!P112-Simulator!$L$16)^2*IF(Profiles_140!P112&gt;Simulator!$L$16,1+Model_Formula!$N$18,1)</x:f>
        <x:v>810</x:v>
      </x:c>
      <x:c r="L116" s="66" t="n">
        <x:f>Model_Formula!$M$19*(Profiles_140!Q112-Simulator!$L$17)^2*IF(Profiles_140!Q112&gt;Simulator!$L$17,1+Model_Formula!$N$19,1)</x:f>
        <x:v>562.5</x:v>
      </x:c>
      <x:c r="M116" s="66" t="n">
        <x:f>Model_Formula!$M$20*(Profiles_140!R112-Simulator!$L$18)^2*IF(Profiles_140!R112&gt;Simulator!$L$18,1+Model_Formula!$N$20,1)</x:f>
        <x:v>400</x:v>
      </x:c>
      <x:c r="N116" s="66" t="n">
        <x:f>Model_Formula!$M$21*(Profiles_140!S112-Simulator!$L$19)^2*IF(Profiles_140!S112&gt;Simulator!$L$19,1+Model_Formula!$N$21,1)</x:f>
        <x:v>2430</x:v>
      </x:c>
      <x:c r="O116" s="66" t="n">
        <x:f>Model_Formula!$M$22*(Profiles_140!T112-Simulator!$L$20)^2*IF(Profiles_140!T112&gt;Simulator!$L$20,1+Model_Formula!$N$22,1)</x:f>
        <x:v>400</x:v>
      </x:c>
      <x:c r="P116" s="66" t="n">
        <x:f>Model_Formula!$M$23*(Profiles_140!U112-Simulator!$L$21)^2*IF(Profiles_140!U112&gt;Simulator!$L$21,1+Model_Formula!$N$23,1)</x:f>
        <x:v>720</x:v>
      </x:c>
      <x:c r="Q116" s="66" t="n">
        <x:f>Model_Formula!$M$24*(Profiles_140!V112-Simulator!$L$22)^2*IF(Profiles_140!V112&gt;Simulator!$L$22,1+Model_Formula!$N$24,1)</x:f>
        <x:v>280</x:v>
      </x:c>
      <x:c r="R116" s="66" t="n">
        <x:f>Model_Formula!$M$25*(Profiles_140!W112-Simulator!$L$23)^2*IF(Profiles_140!W112&gt;Simulator!$L$23,1+Model_Formula!$N$25,1)</x:f>
        <x:v>240</x:v>
      </x:c>
      <x:c r="S116" s="66" t="n">
        <x:f>Model_Formula!$M$26*(Profiles_140!X112-Simulator!$L$24)^2*IF(Profiles_140!X112&gt;Simulator!$L$24,1+Model_Formula!$N$26,1)</x:f>
        <x:v>0</x:v>
      </x:c>
      <x:c r="T116" s="66" t="n">
        <x:f>Model_Formula!$M$27*(Profiles_140!Y112-Simulator!$L$25)^2*IF(Profiles_140!Y112&gt;Simulator!$L$25,1+Model_Formula!$N$27,1)</x:f>
        <x:v>2592</x:v>
      </x:c>
      <x:c r="U116" s="60" t="n">
        <x:f>SUM(F116:T116)/SUM(Model_Formula!$M$13:$M$27)</x:f>
        <x:v>917.5337837837839</x:v>
      </x:c>
      <x:c r="V116" s="60" t="n">
        <x:f>SQRT(U116)</x:f>
        <x:v>30.290820123987793</x:v>
      </x:c>
      <x:c r="W116" s="60" t="n">
        <x:f>MAX(0,100-V116)</x:f>
        <x:v>69.7091798760122</x:v>
      </x:c>
      <x:c r="X116" t="n">
        <x:f>RANK.EQ(W116,$W$6:$W$145,0)+COUNTIF($W$6:W116,W116)-1</x:f>
        <x:v>96</x:v>
      </x:c>
    </x:row>
    <x:row r="117">
      <x:c r="A117" t="str">
        <x:f>Profiles_140!A113</x:f>
        <x:v>シャワーズ</x:v>
      </x:c>
      <x:c r="B117" t="str">
        <x:f>Profiles_140!C113</x:f>
        <x:v>シャワーズ-2</x:v>
      </x:c>
      <x:c r="C117" t="str">
        <x:f>Profiles_140!D113</x:f>
        <x:v>だくりゅう＋クイックターン</x:v>
      </x:c>
      <x:c r="D117" t="str">
        <x:f>Profiles_140!B113</x:f>
        <x:v>ディフェンス型</x:v>
      </x:c>
      <x:c r="E117" t="str">
        <x:f>Profiles_140!I113</x:f>
        <x:v>高</x:v>
      </x:c>
      <x:c r="F117" s="66" t="n">
        <x:f>Model_Formula!$M$13*(Profiles_140!K113-Simulator!$L$11)^2*IF(Profiles_140!K113&gt;Simulator!$L$11,1+Model_Formula!$N$13,1)</x:f>
        <x:v>225</x:v>
      </x:c>
      <x:c r="G117" s="66" t="n">
        <x:f>Model_Formula!$M$14*(Profiles_140!L113-Simulator!$L$12)^2*IF(Profiles_140!L113&gt;Simulator!$L$12,1+Model_Formula!$N$14,1)</x:f>
        <x:v>120</x:v>
      </x:c>
      <x:c r="H117" s="66" t="n">
        <x:f>Model_Formula!$M$15*(Profiles_140!M113-Simulator!$L$13)^2*IF(Profiles_140!M113&gt;Simulator!$L$13,1+Model_Formula!$N$15,1)</x:f>
        <x:v>900</x:v>
      </x:c>
      <x:c r="I117" s="66" t="n">
        <x:f>Model_Formula!$M$16*(Profiles_140!N113-Simulator!$L$14)^2*IF(Profiles_140!N113&gt;Simulator!$L$14,1+Model_Formula!$N$16,1)</x:f>
        <x:v>1600</x:v>
      </x:c>
      <x:c r="J117" s="66" t="n">
        <x:f>Model_Formula!$M$17*(Profiles_140!O113-Simulator!$L$15)^2*IF(Profiles_140!O113&gt;Simulator!$L$15,1+Model_Formula!$N$17,1)</x:f>
        <x:v>625</x:v>
      </x:c>
      <x:c r="K117" s="66" t="n">
        <x:f>Model_Formula!$M$18*(Profiles_140!P113-Simulator!$L$16)^2*IF(Profiles_140!P113&gt;Simulator!$L$16,1+Model_Formula!$N$18,1)</x:f>
        <x:v>90</x:v>
      </x:c>
      <x:c r="L117" s="66" t="n">
        <x:f>Model_Formula!$M$19*(Profiles_140!Q113-Simulator!$L$17)^2*IF(Profiles_140!Q113&gt;Simulator!$L$17,1+Model_Formula!$N$19,1)</x:f>
        <x:v>90</x:v>
      </x:c>
      <x:c r="M117" s="66" t="n">
        <x:f>Model_Formula!$M$20*(Profiles_140!R113-Simulator!$L$18)^2*IF(Profiles_140!R113&gt;Simulator!$L$18,1+Model_Formula!$N$20,1)</x:f>
        <x:v>2025</x:v>
      </x:c>
      <x:c r="N117" s="66" t="n">
        <x:f>Model_Formula!$M$21*(Profiles_140!S113-Simulator!$L$19)^2*IF(Profiles_140!S113&gt;Simulator!$L$19,1+Model_Formula!$N$21,1)</x:f>
        <x:v>1080</x:v>
      </x:c>
      <x:c r="O117" s="66" t="n">
        <x:f>Model_Formula!$M$22*(Profiles_140!T113-Simulator!$L$20)^2*IF(Profiles_140!T113&gt;Simulator!$L$20,1+Model_Formula!$N$22,1)</x:f>
        <x:v>100</x:v>
      </x:c>
      <x:c r="P117" s="66" t="n">
        <x:f>Model_Formula!$M$23*(Profiles_140!U113-Simulator!$L$21)^2*IF(Profiles_140!U113&gt;Simulator!$L$21,1+Model_Formula!$N$23,1)</x:f>
        <x:v>180</x:v>
      </x:c>
      <x:c r="Q117" s="66" t="n">
        <x:f>Model_Formula!$M$24*(Profiles_140!V113-Simulator!$L$22)^2*IF(Profiles_140!V113&gt;Simulator!$L$22,1+Model_Formula!$N$24,1)</x:f>
        <x:v>17.5</x:v>
      </x:c>
      <x:c r="R117" s="66" t="n">
        <x:f>Model_Formula!$M$25*(Profiles_140!W113-Simulator!$L$23)^2*IF(Profiles_140!W113&gt;Simulator!$L$23,1+Model_Formula!$N$25,1)</x:f>
        <x:v>135</x:v>
      </x:c>
      <x:c r="S117" s="66" t="n">
        <x:f>Model_Formula!$M$26*(Profiles_140!X113-Simulator!$L$24)^2*IF(Profiles_140!X113&gt;Simulator!$L$24,1+Model_Formula!$N$26,1)</x:f>
        <x:v>56.875</x:v>
      </x:c>
      <x:c r="T117" s="66" t="n">
        <x:f>Model_Formula!$M$27*(Profiles_140!Y113-Simulator!$L$25)^2*IF(Profiles_140!Y113&gt;Simulator!$L$25,1+Model_Formula!$N$27,1)</x:f>
        <x:v>1458</x:v>
      </x:c>
      <x:c r="U117" s="60" t="n">
        <x:f>SUM(F117:T117)/SUM(Model_Formula!$M$13:$M$27)</x:f>
        <x:v>587.9983108108108</x:v>
      </x:c>
      <x:c r="V117" s="60" t="n">
        <x:f>SQRT(U117)</x:f>
        <x:v>24.24867647544523</x:v>
      </x:c>
      <x:c r="W117" s="60" t="n">
        <x:f>MAX(0,100-V117)</x:f>
        <x:v>75.75132352455478</x:v>
      </x:c>
      <x:c r="X117" t="n">
        <x:f>RANK.EQ(W117,$W$6:$W$145,0)+COUNTIF($W$6:W117,W117)-1</x:f>
        <x:v>26</x:v>
      </x:c>
    </x:row>
    <x:row r="118">
      <x:c r="A118" t="str">
        <x:f>Profiles_140!A114</x:f>
        <x:v>ヌメルゴン</x:v>
      </x:c>
      <x:c r="B118" t="str">
        <x:f>Profiles_140!C114</x:f>
        <x:v>ヌメルゴン-1</x:v>
      </x:c>
      <x:c r="C118" t="str">
        <x:f>Profiles_140!D114</x:f>
        <x:v>共通プロファイル</x:v>
      </x:c>
      <x:c r="D118" t="str">
        <x:f>Profiles_140!B114</x:f>
        <x:v>ディフェンス型</x:v>
      </x:c>
      <x:c r="E118" t="str">
        <x:f>Profiles_140!I114</x:f>
        <x:v>高</x:v>
      </x:c>
      <x:c r="F118" s="66" t="n">
        <x:f>Model_Formula!$M$13*(Profiles_140!K114-Simulator!$L$11)^2*IF(Profiles_140!K114&gt;Simulator!$L$11,1+Model_Formula!$N$13,1)</x:f>
        <x:v>25</x:v>
      </x:c>
      <x:c r="G118" s="66" t="n">
        <x:f>Model_Formula!$M$14*(Profiles_140!L114-Simulator!$L$12)^2*IF(Profiles_140!L114&gt;Simulator!$L$12,1+Model_Formula!$N$14,1)</x:f>
        <x:v>30</x:v>
      </x:c>
      <x:c r="H118" s="66" t="n">
        <x:f>Model_Formula!$M$15*(Profiles_140!M114-Simulator!$L$13)^2*IF(Profiles_140!M114&gt;Simulator!$L$13,1+Model_Formula!$N$15,1)</x:f>
        <x:v>25</x:v>
      </x:c>
      <x:c r="I118" s="66" t="n">
        <x:f>Model_Formula!$M$16*(Profiles_140!N114-Simulator!$L$14)^2*IF(Profiles_140!N114&gt;Simulator!$L$14,1+Model_Formula!$N$16,1)</x:f>
        <x:v>2500</x:v>
      </x:c>
      <x:c r="J118" s="66" t="n">
        <x:f>Model_Formula!$M$17*(Profiles_140!O114-Simulator!$L$15)^2*IF(Profiles_140!O114&gt;Simulator!$L$15,1+Model_Formula!$N$17,1)</x:f>
        <x:v>1225</x:v>
      </x:c>
      <x:c r="K118" s="66" t="n">
        <x:f>Model_Formula!$M$18*(Profiles_140!P114-Simulator!$L$16)^2*IF(Profiles_140!P114&gt;Simulator!$L$16,1+Model_Formula!$N$18,1)</x:f>
        <x:v>90</x:v>
      </x:c>
      <x:c r="L118" s="66" t="n">
        <x:f>Model_Formula!$M$19*(Profiles_140!Q114-Simulator!$L$17)^2*IF(Profiles_140!Q114&gt;Simulator!$L$17,1+Model_Formula!$N$19,1)</x:f>
        <x:v>1440</x:v>
      </x:c>
      <x:c r="M118" s="66" t="n">
        <x:f>Model_Formula!$M$20*(Profiles_140!R114-Simulator!$L$18)^2*IF(Profiles_140!R114&gt;Simulator!$L$18,1+Model_Formula!$N$20,1)</x:f>
        <x:v>100</x:v>
      </x:c>
      <x:c r="N118" s="66" t="n">
        <x:f>Model_Formula!$M$21*(Profiles_140!S114-Simulator!$L$19)^2*IF(Profiles_140!S114&gt;Simulator!$L$19,1+Model_Formula!$N$21,1)</x:f>
        <x:v>1080</x:v>
      </x:c>
      <x:c r="O118" s="66" t="n">
        <x:f>Model_Formula!$M$22*(Profiles_140!T114-Simulator!$L$20)^2*IF(Profiles_140!T114&gt;Simulator!$L$20,1+Model_Formula!$N$22,1)</x:f>
        <x:v>225</x:v>
      </x:c>
      <x:c r="P118" s="66" t="n">
        <x:f>Model_Formula!$M$23*(Profiles_140!U114-Simulator!$L$21)^2*IF(Profiles_140!U114&gt;Simulator!$L$21,1+Model_Formula!$N$23,1)</x:f>
        <x:v>320</x:v>
      </x:c>
      <x:c r="Q118" s="66" t="n">
        <x:f>Model_Formula!$M$24*(Profiles_140!V114-Simulator!$L$22)^2*IF(Profiles_140!V114&gt;Simulator!$L$22,1+Model_Formula!$N$24,1)</x:f>
        <x:v>630</x:v>
      </x:c>
      <x:c r="R118" s="66" t="n">
        <x:f>Model_Formula!$M$25*(Profiles_140!W114-Simulator!$L$23)^2*IF(Profiles_140!W114&gt;Simulator!$L$23,1+Model_Formula!$N$25,1)</x:f>
        <x:v>60</x:v>
      </x:c>
      <x:c r="S118" s="66" t="n">
        <x:f>Model_Formula!$M$26*(Profiles_140!X114-Simulator!$L$24)^2*IF(Profiles_140!X114&gt;Simulator!$L$24,1+Model_Formula!$N$26,1)</x:f>
        <x:v>0</x:v>
      </x:c>
      <x:c r="T118" s="66" t="n">
        <x:f>Model_Formula!$M$27*(Profiles_140!Y114-Simulator!$L$25)^2*IF(Profiles_140!Y114&gt;Simulator!$L$25,1+Model_Formula!$N$27,1)</x:f>
        <x:v>162</x:v>
      </x:c>
      <x:c r="U118" s="60" t="n">
        <x:f>SUM(F118:T118)/SUM(Model_Formula!$M$13:$M$27)</x:f>
        <x:v>534.5945945945946</x:v>
      </x:c>
      <x:c r="V118" s="60" t="n">
        <x:f>SQRT(U118)</x:f>
        <x:v>23.121301749568396</x:v>
      </x:c>
      <x:c r="W118" s="60" t="n">
        <x:f>MAX(0,100-V118)</x:f>
        <x:v>76.8786982504316</x:v>
      </x:c>
      <x:c r="X118" t="n">
        <x:f>RANK.EQ(W118,$W$6:$W$145,0)+COUNTIF($W$6:W118,W118)-1</x:f>
        <x:v>18</x:v>
      </x:c>
    </x:row>
    <x:row r="119">
      <x:c r="A119" t="str">
        <x:f>Profiles_140!A115</x:f>
        <x:v>フリーザー</x:v>
      </x:c>
      <x:c r="B119" t="str">
        <x:f>Profiles_140!C115</x:f>
        <x:v>フリーザー-1</x:v>
      </x:c>
      <x:c r="C119" t="str">
        <x:f>Profiles_140!D115</x:f>
        <x:v>共通プロファイル</x:v>
      </x:c>
      <x:c r="D119" t="str">
        <x:f>Profiles_140!B115</x:f>
        <x:v>ディフェンス型</x:v>
      </x:c>
      <x:c r="E119" t="str">
        <x:f>Profiles_140!I115</x:f>
        <x:v>中</x:v>
      </x:c>
      <x:c r="F119" s="66" t="n">
        <x:f>Model_Formula!$M$13*(Profiles_140!K115-Simulator!$L$11)^2*IF(Profiles_140!K115&gt;Simulator!$L$11,1+Model_Formula!$N$13,1)</x:f>
        <x:v>0</x:v>
      </x:c>
      <x:c r="G119" s="66" t="n">
        <x:f>Model_Formula!$M$14*(Profiles_140!L115-Simulator!$L$12)^2*IF(Profiles_140!L115&gt;Simulator!$L$12,1+Model_Formula!$N$14,1)</x:f>
        <x:v>1080</x:v>
      </x:c>
      <x:c r="H119" s="66" t="n">
        <x:f>Model_Formula!$M$15*(Profiles_140!M115-Simulator!$L$13)^2*IF(Profiles_140!M115&gt;Simulator!$L$13,1+Model_Formula!$N$15,1)</x:f>
        <x:v>2500</x:v>
      </x:c>
      <x:c r="I119" s="66" t="n">
        <x:f>Model_Formula!$M$16*(Profiles_140!N115-Simulator!$L$14)^2*IF(Profiles_140!N115&gt;Simulator!$L$14,1+Model_Formula!$N$16,1)</x:f>
        <x:v>2500</x:v>
      </x:c>
      <x:c r="J119" s="66" t="n">
        <x:f>Model_Formula!$M$17*(Profiles_140!O115-Simulator!$L$15)^2*IF(Profiles_140!O115&gt;Simulator!$L$15,1+Model_Formula!$N$17,1)</x:f>
        <x:v>225</x:v>
      </x:c>
      <x:c r="K119" s="66" t="n">
        <x:f>Model_Formula!$M$18*(Profiles_140!P115-Simulator!$L$16)^2*IF(Profiles_140!P115&gt;Simulator!$L$16,1+Model_Formula!$N$18,1)</x:f>
        <x:v>360</x:v>
      </x:c>
      <x:c r="L119" s="66" t="n">
        <x:f>Model_Formula!$M$19*(Profiles_140!Q115-Simulator!$L$17)^2*IF(Profiles_140!Q115&gt;Simulator!$L$17,1+Model_Formula!$N$19,1)</x:f>
        <x:v>360</x:v>
      </x:c>
      <x:c r="M119" s="66" t="n">
        <x:f>Model_Formula!$M$20*(Profiles_140!R115-Simulator!$L$18)^2*IF(Profiles_140!R115&gt;Simulator!$L$18,1+Model_Formula!$N$20,1)</x:f>
        <x:v>2500</x:v>
      </x:c>
      <x:c r="N119" s="66" t="n">
        <x:f>Model_Formula!$M$21*(Profiles_140!S115-Simulator!$L$19)^2*IF(Profiles_140!S115&gt;Simulator!$L$19,1+Model_Formula!$N$21,1)</x:f>
        <x:v>0</x:v>
      </x:c>
      <x:c r="O119" s="66" t="n">
        <x:f>Model_Formula!$M$22*(Profiles_140!T115-Simulator!$L$20)^2*IF(Profiles_140!T115&gt;Simulator!$L$20,1+Model_Formula!$N$22,1)</x:f>
        <x:v>625</x:v>
      </x:c>
      <x:c r="P119" s="66" t="n">
        <x:f>Model_Formula!$M$23*(Profiles_140!U115-Simulator!$L$21)^2*IF(Profiles_140!U115&gt;Simulator!$L$21,1+Model_Formula!$N$23,1)</x:f>
        <x:v>500</x:v>
      </x:c>
      <x:c r="Q119" s="66" t="n">
        <x:f>Model_Formula!$M$24*(Profiles_140!V115-Simulator!$L$22)^2*IF(Profiles_140!V115&gt;Simulator!$L$22,1+Model_Formula!$N$24,1)</x:f>
        <x:v>70</x:v>
      </x:c>
      <x:c r="R119" s="66" t="n">
        <x:f>Model_Formula!$M$25*(Profiles_140!W115-Simulator!$L$23)^2*IF(Profiles_140!W115&gt;Simulator!$L$23,1+Model_Formula!$N$25,1)</x:f>
        <x:v>375</x:v>
      </x:c>
      <x:c r="S119" s="66" t="n">
        <x:f>Model_Formula!$M$26*(Profiles_140!X115-Simulator!$L$24)^2*IF(Profiles_140!X115&gt;Simulator!$L$24,1+Model_Formula!$N$26,1)</x:f>
        <x:v>0</x:v>
      </x:c>
      <x:c r="T119" s="66" t="n">
        <x:f>Model_Formula!$M$27*(Profiles_140!Y115-Simulator!$L$25)^2*IF(Profiles_140!Y115&gt;Simulator!$L$25,1+Model_Formula!$N$27,1)</x:f>
        <x:v>1984.5000000000002</x:v>
      </x:c>
      <x:c r="U119" s="60" t="n">
        <x:f>SUM(F119:T119)/SUM(Model_Formula!$M$13:$M$27)</x:f>
        <x:v>883.7500000000001</x:v>
      </x:c>
      <x:c r="V119" s="60" t="n">
        <x:f>SQRT(U119)</x:f>
        <x:v>29.7279329923895</x:v>
      </x:c>
      <x:c r="W119" s="60" t="n">
        <x:f>MAX(0,100-V119)</x:f>
        <x:v>70.2720670076105</x:v>
      </x:c>
      <x:c r="X119" t="n">
        <x:f>RANK.EQ(W119,$W$6:$W$145,0)+COUNTIF($W$6:W119,W119)-1</x:f>
        <x:v>84</x:v>
      </x:c>
    </x:row>
    <x:row r="120">
      <x:c r="A120" t="str">
        <x:f>Profiles_140!A116</x:f>
        <x:v>ブラッキー</x:v>
      </x:c>
      <x:c r="B120" t="str">
        <x:f>Profiles_140!C116</x:f>
        <x:v>ブラッキー-1</x:v>
      </x:c>
      <x:c r="C120" t="str">
        <x:f>Profiles_140!D116</x:f>
        <x:v>くろいまなざし＋ねがいごと</x:v>
      </x:c>
      <x:c r="D120" t="str">
        <x:f>Profiles_140!B116</x:f>
        <x:v>ディフェンス型</x:v>
      </x:c>
      <x:c r="E120" t="str">
        <x:f>Profiles_140!I116</x:f>
        <x:v>高</x:v>
      </x:c>
      <x:c r="F120" s="66" t="n">
        <x:f>Model_Formula!$M$13*(Profiles_140!K116-Simulator!$L$11)^2*IF(Profiles_140!K116&gt;Simulator!$L$11,1+Model_Formula!$N$13,1)</x:f>
        <x:v>900</x:v>
      </x:c>
      <x:c r="G120" s="66" t="n">
        <x:f>Model_Formula!$M$14*(Profiles_140!L116-Simulator!$L$12)^2*IF(Profiles_140!L116&gt;Simulator!$L$12,1+Model_Formula!$N$14,1)</x:f>
        <x:v>1920</x:v>
      </x:c>
      <x:c r="H120" s="66" t="n">
        <x:f>Model_Formula!$M$15*(Profiles_140!M116-Simulator!$L$13)^2*IF(Profiles_140!M116&gt;Simulator!$L$13,1+Model_Formula!$N$15,1)</x:f>
        <x:v>2500</x:v>
      </x:c>
      <x:c r="I120" s="66" t="n">
        <x:f>Model_Formula!$M$16*(Profiles_140!N116-Simulator!$L$14)^2*IF(Profiles_140!N116&gt;Simulator!$L$14,1+Model_Formula!$N$16,1)</x:f>
        <x:v>0</x:v>
      </x:c>
      <x:c r="J120" s="66" t="n">
        <x:f>Model_Formula!$M$17*(Profiles_140!O116-Simulator!$L$15)^2*IF(Profiles_140!O116&gt;Simulator!$L$15,1+Model_Formula!$N$17,1)</x:f>
        <x:v>225</x:v>
      </x:c>
      <x:c r="K120" s="66" t="n">
        <x:f>Model_Formula!$M$18*(Profiles_140!P116-Simulator!$L$16)^2*IF(Profiles_140!P116&gt;Simulator!$L$16,1+Model_Formula!$N$18,1)</x:f>
        <x:v>810</x:v>
      </x:c>
      <x:c r="L120" s="66" t="n">
        <x:f>Model_Formula!$M$19*(Profiles_140!Q116-Simulator!$L$17)^2*IF(Profiles_140!Q116&gt;Simulator!$L$17,1+Model_Formula!$N$19,1)</x:f>
        <x:v>562.5</x:v>
      </x:c>
      <x:c r="M120" s="66" t="n">
        <x:f>Model_Formula!$M$20*(Profiles_140!R116-Simulator!$L$18)^2*IF(Profiles_140!R116&gt;Simulator!$L$18,1+Model_Formula!$N$20,1)</x:f>
        <x:v>900</x:v>
      </x:c>
      <x:c r="N120" s="66" t="n">
        <x:f>Model_Formula!$M$21*(Profiles_140!S116-Simulator!$L$19)^2*IF(Profiles_140!S116&gt;Simulator!$L$19,1+Model_Formula!$N$21,1)</x:f>
        <x:v>3000</x:v>
      </x:c>
      <x:c r="O120" s="66" t="n">
        <x:f>Model_Formula!$M$22*(Profiles_140!T116-Simulator!$L$20)^2*IF(Profiles_140!T116&gt;Simulator!$L$20,1+Model_Formula!$N$22,1)</x:f>
        <x:v>100</x:v>
      </x:c>
      <x:c r="P120" s="66" t="n">
        <x:f>Model_Formula!$M$23*(Profiles_140!U116-Simulator!$L$21)^2*IF(Profiles_140!U116&gt;Simulator!$L$21,1+Model_Formula!$N$23,1)</x:f>
        <x:v>720</x:v>
      </x:c>
      <x:c r="Q120" s="66" t="n">
        <x:f>Model_Formula!$M$24*(Profiles_140!V116-Simulator!$L$22)^2*IF(Profiles_140!V116&gt;Simulator!$L$22,1+Model_Formula!$N$24,1)</x:f>
        <x:v>280</x:v>
      </x:c>
      <x:c r="R120" s="66" t="n">
        <x:f>Model_Formula!$M$25*(Profiles_140!W116-Simulator!$L$23)^2*IF(Profiles_140!W116&gt;Simulator!$L$23,1+Model_Formula!$N$25,1)</x:f>
        <x:v>240</x:v>
      </x:c>
      <x:c r="S120" s="66" t="n">
        <x:f>Model_Formula!$M$26*(Profiles_140!X116-Simulator!$L$24)^2*IF(Profiles_140!X116&gt;Simulator!$L$24,1+Model_Formula!$N$26,1)</x:f>
        <x:v>0</x:v>
      </x:c>
      <x:c r="T120" s="66" t="n">
        <x:f>Model_Formula!$M$27*(Profiles_140!Y116-Simulator!$L$25)^2*IF(Profiles_140!Y116&gt;Simulator!$L$25,1+Model_Formula!$N$27,1)</x:f>
        <x:v>2592</x:v>
      </x:c>
      <x:c r="U120" s="60" t="n">
        <x:f>SUM(F120:T120)/SUM(Model_Formula!$M$13:$M$27)</x:f>
        <x:v>996.5878378378379</x:v>
      </x:c>
      <x:c r="V120" s="60" t="n">
        <x:f>SQRT(U120)</x:f>
        <x:v>31.568779479698577</x:v>
      </x:c>
      <x:c r="W120" s="60" t="n">
        <x:f>MAX(0,100-V120)</x:f>
        <x:v>68.43122052030142</x:v>
      </x:c>
      <x:c r="X120" t="n">
        <x:f>RANK.EQ(W120,$W$6:$W$145,0)+COUNTIF($W$6:W120,W120)-1</x:f>
        <x:v>110</x:v>
      </x:c>
    </x:row>
    <x:row r="121">
      <x:c r="A121" t="str">
        <x:f>Profiles_140!A117</x:f>
        <x:v>ブラッキー</x:v>
      </x:c>
      <x:c r="B121" t="str">
        <x:f>Profiles_140!C117</x:f>
        <x:v>ブラッキー-2</x:v>
      </x:c>
      <x:c r="C121" t="str">
        <x:f>Profiles_140!D117</x:f>
        <x:v>イカサマ＋バークアウト</x:v>
      </x:c>
      <x:c r="D121" t="str">
        <x:f>Profiles_140!B117</x:f>
        <x:v>ディフェンス型</x:v>
      </x:c>
      <x:c r="E121" t="str">
        <x:f>Profiles_140!I117</x:f>
        <x:v>高</x:v>
      </x:c>
      <x:c r="F121" s="66" t="n">
        <x:f>Model_Formula!$M$13*(Profiles_140!K117-Simulator!$L$11)^2*IF(Profiles_140!K117&gt;Simulator!$L$11,1+Model_Formula!$N$13,1)</x:f>
        <x:v>2025</x:v>
      </x:c>
      <x:c r="G121" s="66" t="n">
        <x:f>Model_Formula!$M$14*(Profiles_140!L117-Simulator!$L$12)^2*IF(Profiles_140!L117&gt;Simulator!$L$12,1+Model_Formula!$N$14,1)</x:f>
        <x:v>138</x:v>
      </x:c>
      <x:c r="H121" s="66" t="n">
        <x:f>Model_Formula!$M$15*(Profiles_140!M117-Simulator!$L$13)^2*IF(Profiles_140!M117&gt;Simulator!$L$13,1+Model_Formula!$N$15,1)</x:f>
        <x:v>900</x:v>
      </x:c>
      <x:c r="I121" s="66" t="n">
        <x:f>Model_Formula!$M$16*(Profiles_140!N117-Simulator!$L$14)^2*IF(Profiles_140!N117&gt;Simulator!$L$14,1+Model_Formula!$N$16,1)</x:f>
        <x:v>2500</x:v>
      </x:c>
      <x:c r="J121" s="66" t="n">
        <x:f>Model_Formula!$M$17*(Profiles_140!O117-Simulator!$L$15)^2*IF(Profiles_140!O117&gt;Simulator!$L$15,1+Model_Formula!$N$17,1)</x:f>
        <x:v>1225</x:v>
      </x:c>
      <x:c r="K121" s="66" t="n">
        <x:f>Model_Formula!$M$18*(Profiles_140!P117-Simulator!$L$16)^2*IF(Profiles_140!P117&gt;Simulator!$L$16,1+Model_Formula!$N$18,1)</x:f>
        <x:v>202.5</x:v>
      </x:c>
      <x:c r="L121" s="66" t="n">
        <x:f>Model_Formula!$M$19*(Profiles_140!Q117-Simulator!$L$17)^2*IF(Profiles_140!Q117&gt;Simulator!$L$17,1+Model_Formula!$N$19,1)</x:f>
        <x:v>202.5</x:v>
      </x:c>
      <x:c r="M121" s="66" t="n">
        <x:f>Model_Formula!$M$20*(Profiles_140!R117-Simulator!$L$18)^2*IF(Profiles_140!R117&gt;Simulator!$L$18,1+Model_Formula!$N$20,1)</x:f>
        <x:v>2500</x:v>
      </x:c>
      <x:c r="N121" s="66" t="n">
        <x:f>Model_Formula!$M$21*(Profiles_140!S117-Simulator!$L$19)^2*IF(Profiles_140!S117&gt;Simulator!$L$19,1+Model_Formula!$N$21,1)</x:f>
        <x:v>1080</x:v>
      </x:c>
      <x:c r="O121" s="66" t="n">
        <x:f>Model_Formula!$M$22*(Profiles_140!T117-Simulator!$L$20)^2*IF(Profiles_140!T117&gt;Simulator!$L$20,1+Model_Formula!$N$22,1)</x:f>
        <x:v>0</x:v>
      </x:c>
      <x:c r="P121" s="66" t="n">
        <x:f>Model_Formula!$M$23*(Profiles_140!U117-Simulator!$L$21)^2*IF(Profiles_140!U117&gt;Simulator!$L$21,1+Model_Formula!$N$23,1)</x:f>
        <x:v>320</x:v>
      </x:c>
      <x:c r="Q121" s="66" t="n">
        <x:f>Model_Formula!$M$24*(Profiles_140!V117-Simulator!$L$22)^2*IF(Profiles_140!V117&gt;Simulator!$L$22,1+Model_Formula!$N$24,1)</x:f>
        <x:v>70</x:v>
      </x:c>
      <x:c r="R121" s="66" t="n">
        <x:f>Model_Formula!$M$25*(Profiles_140!W117-Simulator!$L$23)^2*IF(Profiles_140!W117&gt;Simulator!$L$23,1+Model_Formula!$N$25,1)</x:f>
        <x:v>135</x:v>
      </x:c>
      <x:c r="S121" s="66" t="n">
        <x:f>Model_Formula!$M$26*(Profiles_140!X117-Simulator!$L$24)^2*IF(Profiles_140!X117&gt;Simulator!$L$24,1+Model_Formula!$N$26,1)</x:f>
        <x:v>56.875</x:v>
      </x:c>
      <x:c r="T121" s="66" t="n">
        <x:f>Model_Formula!$M$27*(Profiles_140!Y117-Simulator!$L$25)^2*IF(Profiles_140!Y117&gt;Simulator!$L$25,1+Model_Formula!$N$27,1)</x:f>
        <x:v>1984.5000000000002</x:v>
      </x:c>
      <x:c r="U121" s="60" t="n">
        <x:f>SUM(F121:T121)/SUM(Model_Formula!$M$13:$M$27)</x:f>
        <x:v>901.3091216216217</x:v>
      </x:c>
      <x:c r="V121" s="60" t="n">
        <x:f>SQRT(U121)</x:f>
        <x:v>30.021810765202382</x:v>
      </x:c>
      <x:c r="W121" s="60" t="n">
        <x:f>MAX(0,100-V121)</x:f>
        <x:v>69.97818923479761</x:v>
      </x:c>
      <x:c r="X121" t="n">
        <x:f>RANK.EQ(W121,$W$6:$W$145,0)+COUNTIF($W$6:W121,W121)-1</x:f>
        <x:v>90</x:v>
      </x:c>
    </x:row>
    <x:row r="122">
      <x:c r="A122" t="str">
        <x:f>Profiles_140!A118</x:f>
        <x:v>ホウオウ</x:v>
      </x:c>
      <x:c r="B122" t="str">
        <x:f>Profiles_140!C118</x:f>
        <x:v>ホウオウ-1</x:v>
      </x:c>
      <x:c r="C122" t="str">
        <x:f>Profiles_140!D118</x:f>
        <x:v>せいなるほのお＋かえんほうしゃ</x:v>
      </x:c>
      <x:c r="D122" t="str">
        <x:f>Profiles_140!B118</x:f>
        <x:v>ディフェンス型</x:v>
      </x:c>
      <x:c r="E122" t="str">
        <x:f>Profiles_140!I118</x:f>
        <x:v>高</x:v>
      </x:c>
      <x:c r="F122" s="66" t="n">
        <x:f>Model_Formula!$M$13*(Profiles_140!K118-Simulator!$L$11)^2*IF(Profiles_140!K118&gt;Simulator!$L$11,1+Model_Formula!$N$13,1)</x:f>
        <x:v>25</x:v>
      </x:c>
      <x:c r="G122" s="66" t="n">
        <x:f>Model_Formula!$M$14*(Profiles_140!L118-Simulator!$L$12)^2*IF(Profiles_140!L118&gt;Simulator!$L$12,1+Model_Formula!$N$14,1)</x:f>
        <x:v>270</x:v>
      </x:c>
      <x:c r="H122" s="66" t="n">
        <x:f>Model_Formula!$M$15*(Profiles_140!M118-Simulator!$L$13)^2*IF(Profiles_140!M118&gt;Simulator!$L$13,1+Model_Formula!$N$15,1)</x:f>
        <x:v>400</x:v>
      </x:c>
      <x:c r="I122" s="66" t="n">
        <x:f>Model_Formula!$M$16*(Profiles_140!N118-Simulator!$L$14)^2*IF(Profiles_140!N118&gt;Simulator!$L$14,1+Model_Formula!$N$16,1)</x:f>
        <x:v>100</x:v>
      </x:c>
      <x:c r="J122" s="66" t="n">
        <x:f>Model_Formula!$M$17*(Profiles_140!O118-Simulator!$L$15)^2*IF(Profiles_140!O118&gt;Simulator!$L$15,1+Model_Formula!$N$17,1)</x:f>
        <x:v>25</x:v>
      </x:c>
      <x:c r="K122" s="66" t="n">
        <x:f>Model_Formula!$M$18*(Profiles_140!P118-Simulator!$L$16)^2*IF(Profiles_140!P118&gt;Simulator!$L$16,1+Model_Formula!$N$18,1)</x:f>
        <x:v>90</x:v>
      </x:c>
      <x:c r="L122" s="66" t="n">
        <x:f>Model_Formula!$M$19*(Profiles_140!Q118-Simulator!$L$17)^2*IF(Profiles_140!Q118&gt;Simulator!$L$17,1+Model_Formula!$N$19,1)</x:f>
        <x:v>1822.5</x:v>
      </x:c>
      <x:c r="M122" s="66" t="n">
        <x:f>Model_Formula!$M$20*(Profiles_140!R118-Simulator!$L$18)^2*IF(Profiles_140!R118&gt;Simulator!$L$18,1+Model_Formula!$N$20,1)</x:f>
        <x:v>0</x:v>
      </x:c>
      <x:c r="N122" s="66" t="n">
        <x:f>Model_Formula!$M$21*(Profiles_140!S118-Simulator!$L$19)^2*IF(Profiles_140!S118&gt;Simulator!$L$19,1+Model_Formula!$N$21,1)</x:f>
        <x:v>1470</x:v>
      </x:c>
      <x:c r="O122" s="66" t="n">
        <x:f>Model_Formula!$M$22*(Profiles_140!T118-Simulator!$L$20)^2*IF(Profiles_140!T118&gt;Simulator!$L$20,1+Model_Formula!$N$22,1)</x:f>
        <x:v>100</x:v>
      </x:c>
      <x:c r="P122" s="66" t="n">
        <x:f>Model_Formula!$M$23*(Profiles_140!U118-Simulator!$L$21)^2*IF(Profiles_140!U118&gt;Simulator!$L$21,1+Model_Formula!$N$23,1)</x:f>
        <x:v>180</x:v>
      </x:c>
      <x:c r="Q122" s="66" t="n">
        <x:f>Model_Formula!$M$24*(Profiles_140!V118-Simulator!$L$22)^2*IF(Profiles_140!V118&gt;Simulator!$L$22,1+Model_Formula!$N$24,1)</x:f>
        <x:v>437.5</x:v>
      </x:c>
      <x:c r="R122" s="66" t="n">
        <x:f>Model_Formula!$M$25*(Profiles_140!W118-Simulator!$L$23)^2*IF(Profiles_140!W118&gt;Simulator!$L$23,1+Model_Formula!$N$25,1)</x:f>
        <x:v>60</x:v>
      </x:c>
      <x:c r="S122" s="66" t="n">
        <x:f>Model_Formula!$M$26*(Profiles_140!X118-Simulator!$L$24)^2*IF(Profiles_140!X118&gt;Simulator!$L$24,1+Model_Formula!$N$26,1)</x:f>
        <x:v>227.5</x:v>
      </x:c>
      <x:c r="T122" s="66" t="n">
        <x:f>Model_Formula!$M$27*(Profiles_140!Y118-Simulator!$L$25)^2*IF(Profiles_140!Y118&gt;Simulator!$L$25,1+Model_Formula!$N$27,1)</x:f>
        <x:v>364.5</x:v>
      </x:c>
      <x:c r="U122" s="60" t="n">
        <x:f>SUM(F122:T122)/SUM(Model_Formula!$M$13:$M$27)</x:f>
        <x:v>376.4864864864865</x:v>
      </x:c>
      <x:c r="V122" s="60" t="n">
        <x:f>SQRT(U122)</x:f>
        <x:v>19.403259687137275</x:v>
      </x:c>
      <x:c r="W122" s="60" t="n">
        <x:f>MAX(0,100-V122)</x:f>
        <x:v>80.59674031286272</x:v>
      </x:c>
      <x:c r="X122" t="n">
        <x:f>RANK.EQ(W122,$W$6:$W$145,0)+COUNTIF($W$6:W122,W122)-1</x:f>
        <x:v>2</x:v>
      </x:c>
    </x:row>
    <x:row r="123">
      <x:c r="A123" t="str">
        <x:f>Profiles_140!A119</x:f>
        <x:v>ホウオウ</x:v>
      </x:c>
      <x:c r="B123" t="str">
        <x:f>Profiles_140!C119</x:f>
        <x:v>ホウオウ-2</x:v>
      </x:c>
      <x:c r="C123" t="str">
        <x:f>Profiles_140!D119</x:f>
        <x:v>ほのおのうず＋ゴッドバード</x:v>
      </x:c>
      <x:c r="D123" t="str">
        <x:f>Profiles_140!B119</x:f>
        <x:v>ディフェンス型</x:v>
      </x:c>
      <x:c r="E123" t="str">
        <x:f>Profiles_140!I119</x:f>
        <x:v>高</x:v>
      </x:c>
      <x:c r="F123" s="66" t="n">
        <x:f>Model_Formula!$M$13*(Profiles_140!K119-Simulator!$L$11)^2*IF(Profiles_140!K119&gt;Simulator!$L$11,1+Model_Formula!$N$13,1)</x:f>
        <x:v>2500</x:v>
      </x:c>
      <x:c r="G123" s="66" t="n">
        <x:f>Model_Formula!$M$14*(Profiles_140!L119-Simulator!$L$12)^2*IF(Profiles_140!L119&gt;Simulator!$L$12,1+Model_Formula!$N$14,1)</x:f>
        <x:v>310.5</x:v>
      </x:c>
      <x:c r="H123" s="66" t="n">
        <x:f>Model_Formula!$M$15*(Profiles_140!M119-Simulator!$L$13)^2*IF(Profiles_140!M119&gt;Simulator!$L$13,1+Model_Formula!$N$15,1)</x:f>
        <x:v>225</x:v>
      </x:c>
      <x:c r="I123" s="66" t="n">
        <x:f>Model_Formula!$M$16*(Profiles_140!N119-Simulator!$L$14)^2*IF(Profiles_140!N119&gt;Simulator!$L$14,1+Model_Formula!$N$16,1)</x:f>
        <x:v>2500</x:v>
      </x:c>
      <x:c r="J123" s="66" t="n">
        <x:f>Model_Formula!$M$17*(Profiles_140!O119-Simulator!$L$15)^2*IF(Profiles_140!O119&gt;Simulator!$L$15,1+Model_Formula!$N$17,1)</x:f>
        <x:v>2500</x:v>
      </x:c>
      <x:c r="K123" s="66" t="n">
        <x:f>Model_Formula!$M$18*(Profiles_140!P119-Simulator!$L$16)^2*IF(Profiles_140!P119&gt;Simulator!$L$16,1+Model_Formula!$N$18,1)</x:f>
        <x:v>22.5</x:v>
      </x:c>
      <x:c r="L123" s="66" t="n">
        <x:f>Model_Formula!$M$19*(Profiles_140!Q119-Simulator!$L$17)^2*IF(Profiles_140!Q119&gt;Simulator!$L$17,1+Model_Formula!$N$19,1)</x:f>
        <x:v>0</x:v>
      </x:c>
      <x:c r="M123" s="66" t="n">
        <x:f>Model_Formula!$M$20*(Profiles_140!R119-Simulator!$L$18)^2*IF(Profiles_140!R119&gt;Simulator!$L$18,1+Model_Formula!$N$20,1)</x:f>
        <x:v>2025</x:v>
      </x:c>
      <x:c r="N123" s="66" t="n">
        <x:f>Model_Formula!$M$21*(Profiles_140!S119-Simulator!$L$19)^2*IF(Profiles_140!S119&gt;Simulator!$L$19,1+Model_Formula!$N$21,1)</x:f>
        <x:v>270</x:v>
      </x:c>
      <x:c r="O123" s="66" t="n">
        <x:f>Model_Formula!$M$22*(Profiles_140!T119-Simulator!$L$20)^2*IF(Profiles_140!T119&gt;Simulator!$L$20,1+Model_Formula!$N$22,1)</x:f>
        <x:v>0</x:v>
      </x:c>
      <x:c r="P123" s="66" t="n">
        <x:f>Model_Formula!$M$23*(Profiles_140!U119-Simulator!$L$21)^2*IF(Profiles_140!U119&gt;Simulator!$L$21,1+Model_Formula!$N$23,1)</x:f>
        <x:v>80</x:v>
      </x:c>
      <x:c r="Q123" s="66" t="n">
        <x:f>Model_Formula!$M$24*(Profiles_140!V119-Simulator!$L$22)^2*IF(Profiles_140!V119&gt;Simulator!$L$22,1+Model_Formula!$N$24,1)</x:f>
        <x:v>17.5</x:v>
      </x:c>
      <x:c r="R123" s="66" t="n">
        <x:f>Model_Formula!$M$25*(Profiles_140!W119-Simulator!$L$23)^2*IF(Profiles_140!W119&gt;Simulator!$L$23,1+Model_Formula!$N$25,1)</x:f>
        <x:v>135</x:v>
      </x:c>
      <x:c r="S123" s="66" t="n">
        <x:f>Model_Formula!$M$26*(Profiles_140!X119-Simulator!$L$24)^2*IF(Profiles_140!X119&gt;Simulator!$L$24,1+Model_Formula!$N$26,1)</x:f>
        <x:v>56.875</x:v>
      </x:c>
      <x:c r="T123" s="66" t="n">
        <x:f>Model_Formula!$M$27*(Profiles_140!Y119-Simulator!$L$25)^2*IF(Profiles_140!Y119&gt;Simulator!$L$25,1+Model_Formula!$N$27,1)</x:f>
        <x:v>1012.5000000000001</x:v>
      </x:c>
      <x:c r="U123" s="60" t="n">
        <x:f>SUM(F123:T123)/SUM(Model_Formula!$M$13:$M$27)</x:f>
        <x:v>787.4915540540541</x:v>
      </x:c>
      <x:c r="V123" s="60" t="n">
        <x:f>SQRT(U123)</x:f>
        <x:v>28.06227991546756</x:v>
      </x:c>
      <x:c r="W123" s="60" t="n">
        <x:f>MAX(0,100-V123)</x:f>
        <x:v>71.93772008453244</x:v>
      </x:c>
      <x:c r="X123" t="n">
        <x:f>RANK.EQ(W123,$W$6:$W$145,0)+COUNTIF($W$6:W123,W123)-1</x:f>
        <x:v>64</x:v>
      </x:c>
    </x:row>
    <x:row r="124">
      <x:c r="A124" t="str">
        <x:f>Profiles_140!A120</x:f>
        <x:v>マンムー</x:v>
      </x:c>
      <x:c r="B124" t="str">
        <x:f>Profiles_140!C120</x:f>
        <x:v>マンムー-1</x:v>
      </x:c>
      <x:c r="C124" t="str">
        <x:f>Profiles_140!D120</x:f>
        <x:v>共通プロファイル</x:v>
      </x:c>
      <x:c r="D124" t="str">
        <x:f>Profiles_140!B120</x:f>
        <x:v>ディフェンス型</x:v>
      </x:c>
      <x:c r="E124" t="str">
        <x:f>Profiles_140!I120</x:f>
        <x:v>高</x:v>
      </x:c>
      <x:c r="F124" s="66" t="n">
        <x:f>Model_Formula!$M$13*(Profiles_140!K120-Simulator!$L$11)^2*IF(Profiles_140!K120&gt;Simulator!$L$11,1+Model_Formula!$N$13,1)</x:f>
        <x:v>2025</x:v>
      </x:c>
      <x:c r="G124" s="66" t="n">
        <x:f>Model_Formula!$M$14*(Profiles_140!L120-Simulator!$L$12)^2*IF(Profiles_140!L120&gt;Simulator!$L$12,1+Model_Formula!$N$14,1)</x:f>
        <x:v>552</x:v>
      </x:c>
      <x:c r="H124" s="66" t="n">
        <x:f>Model_Formula!$M$15*(Profiles_140!M120-Simulator!$L$13)^2*IF(Profiles_140!M120&gt;Simulator!$L$13,1+Model_Formula!$N$15,1)</x:f>
        <x:v>625</x:v>
      </x:c>
      <x:c r="I124" s="66" t="n">
        <x:f>Model_Formula!$M$16*(Profiles_140!N120-Simulator!$L$14)^2*IF(Profiles_140!N120&gt;Simulator!$L$14,1+Model_Formula!$N$16,1)</x:f>
        <x:v>2500</x:v>
      </x:c>
      <x:c r="J124" s="66" t="n">
        <x:f>Model_Formula!$M$17*(Profiles_140!O120-Simulator!$L$15)^2*IF(Profiles_140!O120&gt;Simulator!$L$15,1+Model_Formula!$N$17,1)</x:f>
        <x:v>1600</x:v>
      </x:c>
      <x:c r="K124" s="66" t="n">
        <x:f>Model_Formula!$M$18*(Profiles_140!P120-Simulator!$L$16)^2*IF(Profiles_140!P120&gt;Simulator!$L$16,1+Model_Formula!$N$18,1)</x:f>
        <x:v>22.5</x:v>
      </x:c>
      <x:c r="L124" s="66" t="n">
        <x:f>Model_Formula!$M$19*(Profiles_140!Q120-Simulator!$L$17)^2*IF(Profiles_140!Q120&gt;Simulator!$L$17,1+Model_Formula!$N$19,1)</x:f>
        <x:v>360</x:v>
      </x:c>
      <x:c r="M124" s="66" t="n">
        <x:f>Model_Formula!$M$20*(Profiles_140!R120-Simulator!$L$18)^2*IF(Profiles_140!R120&gt;Simulator!$L$18,1+Model_Formula!$N$20,1)</x:f>
        <x:v>2500</x:v>
      </x:c>
      <x:c r="N124" s="66" t="n">
        <x:f>Model_Formula!$M$21*(Profiles_140!S120-Simulator!$L$19)^2*IF(Profiles_140!S120&gt;Simulator!$L$19,1+Model_Formula!$N$21,1)</x:f>
        <x:v>480</x:v>
      </x:c>
      <x:c r="O124" s="66" t="n">
        <x:f>Model_Formula!$M$22*(Profiles_140!T120-Simulator!$L$20)^2*IF(Profiles_140!T120&gt;Simulator!$L$20,1+Model_Formula!$N$22,1)</x:f>
        <x:v>25</x:v>
      </x:c>
      <x:c r="P124" s="66" t="n">
        <x:f>Model_Formula!$M$23*(Profiles_140!U120-Simulator!$L$21)^2*IF(Profiles_140!U120&gt;Simulator!$L$21,1+Model_Formula!$N$23,1)</x:f>
        <x:v>320</x:v>
      </x:c>
      <x:c r="Q124" s="66" t="n">
        <x:f>Model_Formula!$M$24*(Profiles_140!V120-Simulator!$L$22)^2*IF(Profiles_140!V120&gt;Simulator!$L$22,1+Model_Formula!$N$24,1)</x:f>
        <x:v>17.5</x:v>
      </x:c>
      <x:c r="R124" s="66" t="n">
        <x:f>Model_Formula!$M$25*(Profiles_140!W120-Simulator!$L$23)^2*IF(Profiles_140!W120&gt;Simulator!$L$23,1+Model_Formula!$N$25,1)</x:f>
        <x:v>135</x:v>
      </x:c>
      <x:c r="S124" s="66" t="n">
        <x:f>Model_Formula!$M$26*(Profiles_140!X120-Simulator!$L$24)^2*IF(Profiles_140!X120&gt;Simulator!$L$24,1+Model_Formula!$N$26,1)</x:f>
        <x:v>56.875</x:v>
      </x:c>
      <x:c r="T124" s="66" t="n">
        <x:f>Model_Formula!$M$27*(Profiles_140!Y120-Simulator!$L$25)^2*IF(Profiles_140!Y120&gt;Simulator!$L$25,1+Model_Formula!$N$27,1)</x:f>
        <x:v>1984.5000000000002</x:v>
      </x:c>
      <x:c r="U124" s="60" t="n">
        <x:f>SUM(F124:T124)/SUM(Model_Formula!$M$13:$M$27)</x:f>
        <x:v>892.1199324324325</x:v>
      </x:c>
      <x:c r="V124" s="60" t="n">
        <x:f>SQRT(U124)</x:f>
        <x:v>29.868376796077026</x:v>
      </x:c>
      <x:c r="W124" s="60" t="n">
        <x:f>MAX(0,100-V124)</x:f>
        <x:v>70.13162320392297</x:v>
      </x:c>
      <x:c r="X124" t="n">
        <x:f>RANK.EQ(W124,$W$6:$W$145,0)+COUNTIF($W$6:W124,W124)-1</x:f>
        <x:v>86</x:v>
      </x:c>
    </x:row>
    <x:row r="125">
      <x:c r="A125" t="str">
        <x:f>Profiles_140!A121</x:f>
        <x:v>ヤドラン</x:v>
      </x:c>
      <x:c r="B125" t="str">
        <x:f>Profiles_140!C121</x:f>
        <x:v>ヤドラン-1</x:v>
      </x:c>
      <x:c r="C125" t="str">
        <x:f>Profiles_140!D121</x:f>
        <x:v>ねっとう＋ドわすれ</x:v>
      </x:c>
      <x:c r="D125" t="str">
        <x:f>Profiles_140!B121</x:f>
        <x:v>ディフェンス型</x:v>
      </x:c>
      <x:c r="E125" t="str">
        <x:f>Profiles_140!I121</x:f>
        <x:v>高</x:v>
      </x:c>
      <x:c r="F125" s="66" t="n">
        <x:f>Model_Formula!$M$13*(Profiles_140!K121-Simulator!$L$11)^2*IF(Profiles_140!K121&gt;Simulator!$L$11,1+Model_Formula!$N$13,1)</x:f>
        <x:v>0</x:v>
      </x:c>
      <x:c r="G125" s="66" t="n">
        <x:f>Model_Formula!$M$14*(Profiles_140!L121-Simulator!$L$12)^2*IF(Profiles_140!L121&gt;Simulator!$L$12,1+Model_Formula!$N$14,1)</x:f>
        <x:v>120</x:v>
      </x:c>
      <x:c r="H125" s="66" t="n">
        <x:f>Model_Formula!$M$15*(Profiles_140!M121-Simulator!$L$13)^2*IF(Profiles_140!M121&gt;Simulator!$L$13,1+Model_Formula!$N$15,1)</x:f>
        <x:v>625</x:v>
      </x:c>
      <x:c r="I125" s="66" t="n">
        <x:f>Model_Formula!$M$16*(Profiles_140!N121-Simulator!$L$14)^2*IF(Profiles_140!N121&gt;Simulator!$L$14,1+Model_Formula!$N$16,1)</x:f>
        <x:v>2025</x:v>
      </x:c>
      <x:c r="J125" s="66" t="n">
        <x:f>Model_Formula!$M$17*(Profiles_140!O121-Simulator!$L$15)^2*IF(Profiles_140!O121&gt;Simulator!$L$15,1+Model_Formula!$N$17,1)</x:f>
        <x:v>100</x:v>
      </x:c>
      <x:c r="K125" s="66" t="n">
        <x:f>Model_Formula!$M$18*(Profiles_140!P121-Simulator!$L$16)^2*IF(Profiles_140!P121&gt;Simulator!$L$16,1+Model_Formula!$N$18,1)</x:f>
        <x:v>90</x:v>
      </x:c>
      <x:c r="L125" s="66" t="n">
        <x:f>Model_Formula!$M$19*(Profiles_140!Q121-Simulator!$L$17)^2*IF(Profiles_140!Q121&gt;Simulator!$L$17,1+Model_Formula!$N$19,1)</x:f>
        <x:v>1822.5</x:v>
      </x:c>
      <x:c r="M125" s="66" t="n">
        <x:f>Model_Formula!$M$20*(Profiles_140!R121-Simulator!$L$18)^2*IF(Profiles_140!R121&gt;Simulator!$L$18,1+Model_Formula!$N$20,1)</x:f>
        <x:v>400</x:v>
      </x:c>
      <x:c r="N125" s="66" t="n">
        <x:f>Model_Formula!$M$21*(Profiles_140!S121-Simulator!$L$19)^2*IF(Profiles_140!S121&gt;Simulator!$L$19,1+Model_Formula!$N$21,1)</x:f>
        <x:v>1080</x:v>
      </x:c>
      <x:c r="O125" s="66" t="n">
        <x:f>Model_Formula!$M$22*(Profiles_140!T121-Simulator!$L$20)^2*IF(Profiles_140!T121&gt;Simulator!$L$20,1+Model_Formula!$N$22,1)</x:f>
        <x:v>100</x:v>
      </x:c>
      <x:c r="P125" s="66" t="n">
        <x:f>Model_Formula!$M$23*(Profiles_140!U121-Simulator!$L$21)^2*IF(Profiles_140!U121&gt;Simulator!$L$21,1+Model_Formula!$N$23,1)</x:f>
        <x:v>320</x:v>
      </x:c>
      <x:c r="Q125" s="66" t="n">
        <x:f>Model_Formula!$M$24*(Profiles_140!V121-Simulator!$L$22)^2*IF(Profiles_140!V121&gt;Simulator!$L$22,1+Model_Formula!$N$24,1)</x:f>
        <x:v>630</x:v>
      </x:c>
      <x:c r="R125" s="66" t="n">
        <x:f>Model_Formula!$M$25*(Profiles_140!W121-Simulator!$L$23)^2*IF(Profiles_140!W121&gt;Simulator!$L$23,1+Model_Formula!$N$25,1)</x:f>
        <x:v>60</x:v>
      </x:c>
      <x:c r="S125" s="66" t="n">
        <x:f>Model_Formula!$M$26*(Profiles_140!X121-Simulator!$L$24)^2*IF(Profiles_140!X121&gt;Simulator!$L$24,1+Model_Formula!$N$26,1)</x:f>
        <x:v>56.875</x:v>
      </x:c>
      <x:c r="T125" s="66" t="n">
        <x:f>Model_Formula!$M$27*(Profiles_140!Y121-Simulator!$L$25)^2*IF(Profiles_140!Y121&gt;Simulator!$L$25,1+Model_Formula!$N$27,1)</x:f>
        <x:v>364.5</x:v>
      </x:c>
      <x:c r="U125" s="60" t="n">
        <x:f>SUM(F125:T125)/SUM(Model_Formula!$M$13:$M$27)</x:f>
        <x:v>526.6131756756757</x:v>
      </x:c>
      <x:c r="V125" s="60" t="n">
        <x:f>SQRT(U125)</x:f>
        <x:v>22.948053853773217</x:v>
      </x:c>
      <x:c r="W125" s="60" t="n">
        <x:f>MAX(0,100-V125)</x:f>
        <x:v>77.05194614622678</x:v>
      </x:c>
      <x:c r="X125" t="n">
        <x:f>RANK.EQ(W125,$W$6:$W$145,0)+COUNTIF($W$6:W125,W125)-1</x:f>
        <x:v>14</x:v>
      </x:c>
    </x:row>
    <x:row r="126">
      <x:c r="A126" t="str">
        <x:f>Profiles_140!A122</x:f>
        <x:v>ヤドラン</x:v>
      </x:c>
      <x:c r="B126" t="str">
        <x:f>Profiles_140!C122</x:f>
        <x:v>ヤドラン-2</x:v>
      </x:c>
      <x:c r="C126" t="str">
        <x:f>Profiles_140!D122</x:f>
        <x:v>なみのり＋テレキネシス</x:v>
      </x:c>
      <x:c r="D126" t="str">
        <x:f>Profiles_140!B122</x:f>
        <x:v>ディフェンス型</x:v>
      </x:c>
      <x:c r="E126" t="str">
        <x:f>Profiles_140!I122</x:f>
        <x:v>高</x:v>
      </x:c>
      <x:c r="F126" s="66" t="n">
        <x:f>Model_Formula!$M$13*(Profiles_140!K122-Simulator!$L$11)^2*IF(Profiles_140!K122&gt;Simulator!$L$11,1+Model_Formula!$N$13,1)</x:f>
        <x:v>100</x:v>
      </x:c>
      <x:c r="G126" s="66" t="n">
        <x:f>Model_Formula!$M$14*(Profiles_140!L122-Simulator!$L$12)^2*IF(Profiles_140!L122&gt;Simulator!$L$12,1+Model_Formula!$N$14,1)</x:f>
        <x:v>480</x:v>
      </x:c>
      <x:c r="H126" s="66" t="n">
        <x:f>Model_Formula!$M$15*(Profiles_140!M122-Simulator!$L$13)^2*IF(Profiles_140!M122&gt;Simulator!$L$13,1+Model_Formula!$N$15,1)</x:f>
        <x:v>2500</x:v>
      </x:c>
      <x:c r="I126" s="66" t="n">
        <x:f>Model_Formula!$M$16*(Profiles_140!N122-Simulator!$L$14)^2*IF(Profiles_140!N122&gt;Simulator!$L$14,1+Model_Formula!$N$16,1)</x:f>
        <x:v>1600</x:v>
      </x:c>
      <x:c r="J126" s="66" t="n">
        <x:f>Model_Formula!$M$17*(Profiles_140!O122-Simulator!$L$15)^2*IF(Profiles_140!O122&gt;Simulator!$L$15,1+Model_Formula!$N$17,1)</x:f>
        <x:v>225</x:v>
      </x:c>
      <x:c r="K126" s="66" t="n">
        <x:f>Model_Formula!$M$18*(Profiles_140!P122-Simulator!$L$16)^2*IF(Profiles_140!P122&gt;Simulator!$L$16,1+Model_Formula!$N$18,1)</x:f>
        <x:v>562.5</x:v>
      </x:c>
      <x:c r="L126" s="66" t="n">
        <x:f>Model_Formula!$M$19*(Profiles_140!Q122-Simulator!$L$17)^2*IF(Profiles_140!Q122&gt;Simulator!$L$17,1+Model_Formula!$N$19,1)</x:f>
        <x:v>360</x:v>
      </x:c>
      <x:c r="M126" s="66" t="n">
        <x:f>Model_Formula!$M$20*(Profiles_140!R122-Simulator!$L$18)^2*IF(Profiles_140!R122&gt;Simulator!$L$18,1+Model_Formula!$N$20,1)</x:f>
        <x:v>2500</x:v>
      </x:c>
      <x:c r="N126" s="66" t="n">
        <x:f>Model_Formula!$M$21*(Profiles_140!S122-Simulator!$L$19)^2*IF(Profiles_140!S122&gt;Simulator!$L$19,1+Model_Formula!$N$21,1)</x:f>
        <x:v>30</x:v>
      </x:c>
      <x:c r="O126" s="66" t="n">
        <x:f>Model_Formula!$M$22*(Profiles_140!T122-Simulator!$L$20)^2*IF(Profiles_140!T122&gt;Simulator!$L$20,1+Model_Formula!$N$22,1)</x:f>
        <x:v>100</x:v>
      </x:c>
      <x:c r="P126" s="66" t="n">
        <x:f>Model_Formula!$M$23*(Profiles_140!U122-Simulator!$L$21)^2*IF(Profiles_140!U122&gt;Simulator!$L$21,1+Model_Formula!$N$23,1)</x:f>
        <x:v>500</x:v>
      </x:c>
      <x:c r="Q126" s="66" t="n">
        <x:f>Model_Formula!$M$24*(Profiles_140!V122-Simulator!$L$22)^2*IF(Profiles_140!V122&gt;Simulator!$L$22,1+Model_Formula!$N$24,1)</x:f>
        <x:v>70</x:v>
      </x:c>
      <x:c r="R126" s="66" t="n">
        <x:f>Model_Formula!$M$25*(Profiles_140!W122-Simulator!$L$23)^2*IF(Profiles_140!W122&gt;Simulator!$L$23,1+Model_Formula!$N$25,1)</x:f>
        <x:v>240</x:v>
      </x:c>
      <x:c r="S126" s="66" t="n">
        <x:f>Model_Formula!$M$26*(Profiles_140!X122-Simulator!$L$24)^2*IF(Profiles_140!X122&gt;Simulator!$L$24,1+Model_Formula!$N$26,1)</x:f>
        <x:v>56.875</x:v>
      </x:c>
      <x:c r="T126" s="66" t="n">
        <x:f>Model_Formula!$M$27*(Profiles_140!Y122-Simulator!$L$25)^2*IF(Profiles_140!Y122&gt;Simulator!$L$25,1+Model_Formula!$N$27,1)</x:f>
        <x:v>1984.5000000000002</x:v>
      </x:c>
      <x:c r="U126" s="60" t="n">
        <x:f>SUM(F126:T126)/SUM(Model_Formula!$M$13:$M$27)</x:f>
        <x:v>764.1131756756757</x:v>
      </x:c>
      <x:c r="V126" s="60" t="n">
        <x:f>SQRT(U126)</x:f>
        <x:v>27.642597122478847</x:v>
      </x:c>
      <x:c r="W126" s="60" t="n">
        <x:f>MAX(0,100-V126)</x:f>
        <x:v>72.35740287752115</x:v>
      </x:c>
      <x:c r="X126" t="n">
        <x:f>RANK.EQ(W126,$W$6:$W$145,0)+COUNTIF($W$6:W126,W126)-1</x:f>
        <x:v>61</x:v>
      </x:c>
    </x:row>
    <x:row r="127">
      <x:c r="A127" t="str">
        <x:f>Profiles_140!A123</x:f>
        <x:v>ヨクバリス</x:v>
      </x:c>
      <x:c r="B127" t="str">
        <x:f>Profiles_140!C123</x:f>
        <x:v>ヨクバリス-1</x:v>
      </x:c>
      <x:c r="C127" t="str">
        <x:f>Profiles_140!D123</x:f>
        <x:v>タネマシンガン＋ほおばる</x:v>
      </x:c>
      <x:c r="D127" t="str">
        <x:f>Profiles_140!B123</x:f>
        <x:v>ディフェンス型</x:v>
      </x:c>
      <x:c r="E127" t="str">
        <x:f>Profiles_140!I123</x:f>
        <x:v>高</x:v>
      </x:c>
      <x:c r="F127" s="66" t="n">
        <x:f>Model_Formula!$M$13*(Profiles_140!K123-Simulator!$L$11)^2*IF(Profiles_140!K123&gt;Simulator!$L$11,1+Model_Formula!$N$13,1)</x:f>
        <x:v>25</x:v>
      </x:c>
      <x:c r="G127" s="66" t="n">
        <x:f>Model_Formula!$M$14*(Profiles_140!L123-Simulator!$L$12)^2*IF(Profiles_140!L123&gt;Simulator!$L$12,1+Model_Formula!$N$14,1)</x:f>
        <x:v>34.5</x:v>
      </x:c>
      <x:c r="H127" s="66" t="n">
        <x:f>Model_Formula!$M$15*(Profiles_140!M123-Simulator!$L$13)^2*IF(Profiles_140!M123&gt;Simulator!$L$13,1+Model_Formula!$N$15,1)</x:f>
        <x:v>100</x:v>
      </x:c>
      <x:c r="I127" s="66" t="n">
        <x:f>Model_Formula!$M$16*(Profiles_140!N123-Simulator!$L$14)^2*IF(Profiles_140!N123&gt;Simulator!$L$14,1+Model_Formula!$N$16,1)</x:f>
        <x:v>2500</x:v>
      </x:c>
      <x:c r="J127" s="66" t="n">
        <x:f>Model_Formula!$M$17*(Profiles_140!O123-Simulator!$L$15)^2*IF(Profiles_140!O123&gt;Simulator!$L$15,1+Model_Formula!$N$17,1)</x:f>
        <x:v>1225</x:v>
      </x:c>
      <x:c r="K127" s="66" t="n">
        <x:f>Model_Formula!$M$18*(Profiles_140!P123-Simulator!$L$16)^2*IF(Profiles_140!P123&gt;Simulator!$L$16,1+Model_Formula!$N$18,1)</x:f>
        <x:v>90</x:v>
      </x:c>
      <x:c r="L127" s="66" t="n">
        <x:f>Model_Formula!$M$19*(Profiles_140!Q123-Simulator!$L$17)^2*IF(Profiles_140!Q123&gt;Simulator!$L$17,1+Model_Formula!$N$19,1)</x:f>
        <x:v>2250</x:v>
      </x:c>
      <x:c r="M127" s="66" t="n">
        <x:f>Model_Formula!$M$20*(Profiles_140!R123-Simulator!$L$18)^2*IF(Profiles_140!R123&gt;Simulator!$L$18,1+Model_Formula!$N$20,1)</x:f>
        <x:v>225</x:v>
      </x:c>
      <x:c r="N127" s="66" t="n">
        <x:f>Model_Formula!$M$21*(Profiles_140!S123-Simulator!$L$19)^2*IF(Profiles_140!S123&gt;Simulator!$L$19,1+Model_Formula!$N$21,1)</x:f>
        <x:v>1470</x:v>
      </x:c>
      <x:c r="O127" s="66" t="n">
        <x:f>Model_Formula!$M$22*(Profiles_140!T123-Simulator!$L$20)^2*IF(Profiles_140!T123&gt;Simulator!$L$20,1+Model_Formula!$N$22,1)</x:f>
        <x:v>0</x:v>
      </x:c>
      <x:c r="P127" s="66" t="n">
        <x:f>Model_Formula!$M$23*(Profiles_140!U123-Simulator!$L$21)^2*IF(Profiles_140!U123&gt;Simulator!$L$21,1+Model_Formula!$N$23,1)</x:f>
        <x:v>320</x:v>
      </x:c>
      <x:c r="Q127" s="66" t="n">
        <x:f>Model_Formula!$M$24*(Profiles_140!V123-Simulator!$L$22)^2*IF(Profiles_140!V123&gt;Simulator!$L$22,1+Model_Formula!$N$24,1)</x:f>
        <x:v>630</x:v>
      </x:c>
      <x:c r="R127" s="66" t="n">
        <x:f>Model_Formula!$M$25*(Profiles_140!W123-Simulator!$L$23)^2*IF(Profiles_140!W123&gt;Simulator!$L$23,1+Model_Formula!$N$25,1)</x:f>
        <x:v>15</x:v>
      </x:c>
      <x:c r="S127" s="66" t="n">
        <x:f>Model_Formula!$M$26*(Profiles_140!X123-Simulator!$L$24)^2*IF(Profiles_140!X123&gt;Simulator!$L$24,1+Model_Formula!$N$26,1)</x:f>
        <x:v>56.875</x:v>
      </x:c>
      <x:c r="T127" s="66" t="n">
        <x:f>Model_Formula!$M$27*(Profiles_140!Y123-Simulator!$L$25)^2*IF(Profiles_140!Y123&gt;Simulator!$L$25,1+Model_Formula!$N$27,1)</x:f>
        <x:v>162</x:v>
      </x:c>
      <x:c r="U127" s="60" t="n">
        <x:f>SUM(F127:T127)/SUM(Model_Formula!$M$13:$M$27)</x:f>
        <x:v>615.0929054054054</x:v>
      </x:c>
      <x:c r="V127" s="60" t="n">
        <x:f>SQRT(U127)</x:f>
        <x:v>24.801066618301025</x:v>
      </x:c>
      <x:c r="W127" s="60" t="n">
        <x:f>MAX(0,100-V127)</x:f>
        <x:v>75.19893338169898</x:v>
      </x:c>
      <x:c r="X127" t="n">
        <x:f>RANK.EQ(W127,$W$6:$W$145,0)+COUNTIF($W$6:W127,W127)-1</x:f>
        <x:v>33</x:v>
      </x:c>
    </x:row>
    <x:row r="128">
      <x:c r="A128" t="str">
        <x:f>Profiles_140!A124</x:f>
        <x:v>ヨクバリス</x:v>
      </x:c>
      <x:c r="B128" t="str">
        <x:f>Profiles_140!C124</x:f>
        <x:v>ヨクバリス-2</x:v>
      </x:c>
      <x:c r="C128" t="str">
        <x:f>Profiles_140!D124</x:f>
        <x:v>ゲップ＋ほしがる</x:v>
      </x:c>
      <x:c r="D128" t="str">
        <x:f>Profiles_140!B124</x:f>
        <x:v>ディフェンス型</x:v>
      </x:c>
      <x:c r="E128" t="str">
        <x:f>Profiles_140!I124</x:f>
        <x:v>高</x:v>
      </x:c>
      <x:c r="F128" s="66" t="n">
        <x:f>Model_Formula!$M$13*(Profiles_140!K124-Simulator!$L$11)^2*IF(Profiles_140!K124&gt;Simulator!$L$11,1+Model_Formula!$N$13,1)</x:f>
        <x:v>400</x:v>
      </x:c>
      <x:c r="G128" s="66" t="n">
        <x:f>Model_Formula!$M$14*(Profiles_140!L124-Simulator!$L$12)^2*IF(Profiles_140!L124&gt;Simulator!$L$12,1+Model_Formula!$N$14,1)</x:f>
        <x:v>862.4999999999999</x:v>
      </x:c>
      <x:c r="H128" s="66" t="n">
        <x:f>Model_Formula!$M$15*(Profiles_140!M124-Simulator!$L$13)^2*IF(Profiles_140!M124&gt;Simulator!$L$13,1+Model_Formula!$N$15,1)</x:f>
        <x:v>100</x:v>
      </x:c>
      <x:c r="I128" s="66" t="n">
        <x:f>Model_Formula!$M$16*(Profiles_140!N124-Simulator!$L$14)^2*IF(Profiles_140!N124&gt;Simulator!$L$14,1+Model_Formula!$N$16,1)</x:f>
        <x:v>25</x:v>
      </x:c>
      <x:c r="J128" s="66" t="n">
        <x:f>Model_Formula!$M$17*(Profiles_140!O124-Simulator!$L$15)^2*IF(Profiles_140!O124&gt;Simulator!$L$15,1+Model_Formula!$N$17,1)</x:f>
        <x:v>625</x:v>
      </x:c>
      <x:c r="K128" s="66" t="n">
        <x:f>Model_Formula!$M$18*(Profiles_140!P124-Simulator!$L$16)^2*IF(Profiles_140!P124&gt;Simulator!$L$16,1+Model_Formula!$N$18,1)</x:f>
        <x:v>562.5</x:v>
      </x:c>
      <x:c r="L128" s="66" t="n">
        <x:f>Model_Formula!$M$19*(Profiles_140!Q124-Simulator!$L$17)^2*IF(Profiles_140!Q124&gt;Simulator!$L$17,1+Model_Formula!$N$19,1)</x:f>
        <x:v>202.5</x:v>
      </x:c>
      <x:c r="M128" s="66" t="n">
        <x:f>Model_Formula!$M$20*(Profiles_140!R124-Simulator!$L$18)^2*IF(Profiles_140!R124&gt;Simulator!$L$18,1+Model_Formula!$N$20,1)</x:f>
        <x:v>225</x:v>
      </x:c>
      <x:c r="N128" s="66" t="n">
        <x:f>Model_Formula!$M$21*(Profiles_140!S124-Simulator!$L$19)^2*IF(Profiles_140!S124&gt;Simulator!$L$19,1+Model_Formula!$N$21,1)</x:f>
        <x:v>480</x:v>
      </x:c>
      <x:c r="O128" s="66" t="n">
        <x:f>Model_Formula!$M$22*(Profiles_140!T124-Simulator!$L$20)^2*IF(Profiles_140!T124&gt;Simulator!$L$20,1+Model_Formula!$N$22,1)</x:f>
        <x:v>2025</x:v>
      </x:c>
      <x:c r="P128" s="66" t="n">
        <x:f>Model_Formula!$M$23*(Profiles_140!U124-Simulator!$L$21)^2*IF(Profiles_140!U124&gt;Simulator!$L$21,1+Model_Formula!$N$23,1)</x:f>
        <x:v>20</x:v>
      </x:c>
      <x:c r="Q128" s="66" t="n">
        <x:f>Model_Formula!$M$24*(Profiles_140!V124-Simulator!$L$22)^2*IF(Profiles_140!V124&gt;Simulator!$L$22,1+Model_Formula!$N$24,1)</x:f>
        <x:v>70</x:v>
      </x:c>
      <x:c r="R128" s="66" t="n">
        <x:f>Model_Formula!$M$25*(Profiles_140!W124-Simulator!$L$23)^2*IF(Profiles_140!W124&gt;Simulator!$L$23,1+Model_Formula!$N$25,1)</x:f>
        <x:v>375</x:v>
      </x:c>
      <x:c r="S128" s="66" t="n">
        <x:f>Model_Formula!$M$26*(Profiles_140!X124-Simulator!$L$24)^2*IF(Profiles_140!X124&gt;Simulator!$L$24,1+Model_Formula!$N$26,1)</x:f>
        <x:v>910</x:v>
      </x:c>
      <x:c r="T128" s="66" t="n">
        <x:f>Model_Formula!$M$27*(Profiles_140!Y124-Simulator!$L$25)^2*IF(Profiles_140!Y124&gt;Simulator!$L$25,1+Model_Formula!$N$27,1)</x:f>
        <x:v>1012.5000000000001</x:v>
      </x:c>
      <x:c r="U128" s="60" t="n">
        <x:f>SUM(F128:T128)/SUM(Model_Formula!$M$13:$M$27)</x:f>
        <x:v>533.4459459459459</x:v>
      </x:c>
      <x:c r="V128" s="60" t="n">
        <x:f>SQRT(U128)</x:f>
        <x:v>23.096448773479135</x:v>
      </x:c>
      <x:c r="W128" s="60" t="n">
        <x:f>MAX(0,100-V128)</x:f>
        <x:v>76.90355122652086</x:v>
      </x:c>
      <x:c r="X128" t="n">
        <x:f>RANK.EQ(W128,$W$6:$W$145,0)+COUNTIF($W$6:W128,W128)-1</x:f>
        <x:v>16</x:v>
      </x:c>
    </x:row>
    <x:row r="129">
      <x:c r="A129" t="str">
        <x:f>Profiles_140!A125</x:f>
        <x:v>ラプラス</x:v>
      </x:c>
      <x:c r="B129" t="str">
        <x:f>Profiles_140!C125</x:f>
        <x:v>ラプラス-1</x:v>
      </x:c>
      <x:c r="C129" t="str">
        <x:f>Profiles_140!D125</x:f>
        <x:v>共通プロファイル</x:v>
      </x:c>
      <x:c r="D129" t="str">
        <x:f>Profiles_140!B125</x:f>
        <x:v>ディフェンス型</x:v>
      </x:c>
      <x:c r="E129" t="str">
        <x:f>Profiles_140!I125</x:f>
        <x:v>高</x:v>
      </x:c>
      <x:c r="F129" s="66" t="n">
        <x:f>Model_Formula!$M$13*(Profiles_140!K125-Simulator!$L$11)^2*IF(Profiles_140!K125&gt;Simulator!$L$11,1+Model_Formula!$N$13,1)</x:f>
        <x:v>25</x:v>
      </x:c>
      <x:c r="G129" s="66" t="n">
        <x:f>Model_Formula!$M$14*(Profiles_140!L125-Simulator!$L$12)^2*IF(Profiles_140!L125&gt;Simulator!$L$12,1+Model_Formula!$N$14,1)</x:f>
        <x:v>120</x:v>
      </x:c>
      <x:c r="H129" s="66" t="n">
        <x:f>Model_Formula!$M$15*(Profiles_140!M125-Simulator!$L$13)^2*IF(Profiles_140!M125&gt;Simulator!$L$13,1+Model_Formula!$N$15,1)</x:f>
        <x:v>100</x:v>
      </x:c>
      <x:c r="I129" s="66" t="n">
        <x:f>Model_Formula!$M$16*(Profiles_140!N125-Simulator!$L$14)^2*IF(Profiles_140!N125&gt;Simulator!$L$14,1+Model_Formula!$N$16,1)</x:f>
        <x:v>2500</x:v>
      </x:c>
      <x:c r="J129" s="66" t="n">
        <x:f>Model_Formula!$M$17*(Profiles_140!O125-Simulator!$L$15)^2*IF(Profiles_140!O125&gt;Simulator!$L$15,1+Model_Formula!$N$17,1)</x:f>
        <x:v>900</x:v>
      </x:c>
      <x:c r="K129" s="66" t="n">
        <x:f>Model_Formula!$M$18*(Profiles_140!P125-Simulator!$L$16)^2*IF(Profiles_140!P125&gt;Simulator!$L$16,1+Model_Formula!$N$18,1)</x:f>
        <x:v>90</x:v>
      </x:c>
      <x:c r="L129" s="66" t="n">
        <x:f>Model_Formula!$M$19*(Profiles_140!Q125-Simulator!$L$17)^2*IF(Profiles_140!Q125&gt;Simulator!$L$17,1+Model_Formula!$N$19,1)</x:f>
        <x:v>360</x:v>
      </x:c>
      <x:c r="M129" s="66" t="n">
        <x:f>Model_Formula!$M$20*(Profiles_140!R125-Simulator!$L$18)^2*IF(Profiles_140!R125&gt;Simulator!$L$18,1+Model_Formula!$N$20,1)</x:f>
        <x:v>225</x:v>
      </x:c>
      <x:c r="N129" s="66" t="n">
        <x:f>Model_Formula!$M$21*(Profiles_140!S125-Simulator!$L$19)^2*IF(Profiles_140!S125&gt;Simulator!$L$19,1+Model_Formula!$N$21,1)</x:f>
        <x:v>270</x:v>
      </x:c>
      <x:c r="O129" s="66" t="n">
        <x:f>Model_Formula!$M$22*(Profiles_140!T125-Simulator!$L$20)^2*IF(Profiles_140!T125&gt;Simulator!$L$20,1+Model_Formula!$N$22,1)</x:f>
        <x:v>100</x:v>
      </x:c>
      <x:c r="P129" s="66" t="n">
        <x:f>Model_Formula!$M$23*(Profiles_140!U125-Simulator!$L$21)^2*IF(Profiles_140!U125&gt;Simulator!$L$21,1+Model_Formula!$N$23,1)</x:f>
        <x:v>20</x:v>
      </x:c>
      <x:c r="Q129" s="66" t="n">
        <x:f>Model_Formula!$M$24*(Profiles_140!V125-Simulator!$L$22)^2*IF(Profiles_140!V125&gt;Simulator!$L$22,1+Model_Formula!$N$24,1)</x:f>
        <x:v>280</x:v>
      </x:c>
      <x:c r="R129" s="66" t="n">
        <x:f>Model_Formula!$M$25*(Profiles_140!W125-Simulator!$L$23)^2*IF(Profiles_140!W125&gt;Simulator!$L$23,1+Model_Formula!$N$25,1)</x:f>
        <x:v>135</x:v>
      </x:c>
      <x:c r="S129" s="66" t="n">
        <x:f>Model_Formula!$M$26*(Profiles_140!X125-Simulator!$L$24)^2*IF(Profiles_140!X125&gt;Simulator!$L$24,1+Model_Formula!$N$26,1)</x:f>
        <x:v>0</x:v>
      </x:c>
      <x:c r="T129" s="66" t="n">
        <x:f>Model_Formula!$M$27*(Profiles_140!Y125-Simulator!$L$25)^2*IF(Profiles_140!Y125&gt;Simulator!$L$25,1+Model_Formula!$N$27,1)</x:f>
        <x:v>364.5</x:v>
      </x:c>
      <x:c r="U129" s="60" t="n">
        <x:f>SUM(F129:T129)/SUM(Model_Formula!$M$13:$M$27)</x:f>
        <x:v>370.9121621621622</x:v>
      </x:c>
      <x:c r="V129" s="60" t="n">
        <x:f>SQRT(U129)</x:f>
        <x:v>19.25907999262068</x:v>
      </x:c>
      <x:c r="W129" s="60" t="n">
        <x:f>MAX(0,100-V129)</x:f>
        <x:v>80.74092000737932</x:v>
      </x:c>
      <x:c r="X129" t="n">
        <x:f>RANK.EQ(W129,$W$6:$W$145,0)+COUNTIF($W$6:W129,W129)-1</x:f>
        <x:v>1</x:v>
      </x:c>
    </x:row>
    <x:row r="130">
      <x:c r="A130" t="str">
        <x:f>Profiles_140!A126</x:f>
        <x:v>キュワワー</x:v>
      </x:c>
      <x:c r="B130" t="str">
        <x:f>Profiles_140!C126</x:f>
        <x:v>キュワワー-1</x:v>
      </x:c>
      <x:c r="C130" t="str">
        <x:f>Profiles_140!D126</x:f>
        <x:v>共通プロファイル</x:v>
      </x:c>
      <x:c r="D130" t="str">
        <x:f>Profiles_140!B126</x:f>
        <x:v>サポート型</x:v>
      </x:c>
      <x:c r="E130" t="str">
        <x:f>Profiles_140!I126</x:f>
        <x:v>高</x:v>
      </x:c>
      <x:c r="F130" s="66" t="n">
        <x:f>Model_Formula!$M$13*(Profiles_140!K126-Simulator!$L$11)^2*IF(Profiles_140!K126&gt;Simulator!$L$11,1+Model_Formula!$N$13,1)</x:f>
        <x:v>625</x:v>
      </x:c>
      <x:c r="G130" s="66" t="n">
        <x:f>Model_Formula!$M$14*(Profiles_140!L126-Simulator!$L$12)^2*IF(Profiles_140!L126&gt;Simulator!$L$12,1+Model_Formula!$N$14,1)</x:f>
        <x:v>2430</x:v>
      </x:c>
      <x:c r="H130" s="66" t="n">
        <x:f>Model_Formula!$M$15*(Profiles_140!M126-Simulator!$L$13)^2*IF(Profiles_140!M126&gt;Simulator!$L$13,1+Model_Formula!$N$15,1)</x:f>
        <x:v>2025</x:v>
      </x:c>
      <x:c r="I130" s="66" t="n">
        <x:f>Model_Formula!$M$16*(Profiles_140!N126-Simulator!$L$14)^2*IF(Profiles_140!N126&gt;Simulator!$L$14,1+Model_Formula!$N$16,1)</x:f>
        <x:v>1600</x:v>
      </x:c>
      <x:c r="J130" s="66" t="n">
        <x:f>Model_Formula!$M$17*(Profiles_140!O126-Simulator!$L$15)^2*IF(Profiles_140!O126&gt;Simulator!$L$15,1+Model_Formula!$N$17,1)</x:f>
        <x:v>100</x:v>
      </x:c>
      <x:c r="K130" s="66" t="n">
        <x:f>Model_Formula!$M$18*(Profiles_140!P126-Simulator!$L$16)^2*IF(Profiles_140!P126&gt;Simulator!$L$16,1+Model_Formula!$N$18,1)</x:f>
        <x:v>1102.5</x:v>
      </x:c>
      <x:c r="L130" s="66" t="n">
        <x:f>Model_Formula!$M$19*(Profiles_140!Q126-Simulator!$L$17)^2*IF(Profiles_140!Q126&gt;Simulator!$L$17,1+Model_Formula!$N$19,1)</x:f>
        <x:v>562.5</x:v>
      </x:c>
      <x:c r="M130" s="66" t="n">
        <x:f>Model_Formula!$M$20*(Profiles_140!R126-Simulator!$L$18)^2*IF(Profiles_140!R126&gt;Simulator!$L$18,1+Model_Formula!$N$20,1)</x:f>
        <x:v>100</x:v>
      </x:c>
      <x:c r="N130" s="66" t="n">
        <x:f>Model_Formula!$M$21*(Profiles_140!S126-Simulator!$L$19)^2*IF(Profiles_140!S126&gt;Simulator!$L$19,1+Model_Formula!$N$21,1)</x:f>
        <x:v>3000</x:v>
      </x:c>
      <x:c r="O130" s="66" t="n">
        <x:f>Model_Formula!$M$22*(Profiles_140!T126-Simulator!$L$20)^2*IF(Profiles_140!T126&gt;Simulator!$L$20,1+Model_Formula!$N$22,1)</x:f>
        <x:v>225</x:v>
      </x:c>
      <x:c r="P130" s="66" t="n">
        <x:f>Model_Formula!$M$23*(Profiles_140!U126-Simulator!$L$21)^2*IF(Profiles_140!U126&gt;Simulator!$L$21,1+Model_Formula!$N$23,1)</x:f>
        <x:v>1280</x:v>
      </x:c>
      <x:c r="Q130" s="66" t="n">
        <x:f>Model_Formula!$M$24*(Profiles_140!V126-Simulator!$L$22)^2*IF(Profiles_140!V126&gt;Simulator!$L$22,1+Model_Formula!$N$24,1)</x:f>
        <x:v>437.5</x:v>
      </x:c>
      <x:c r="R130" s="66" t="n">
        <x:f>Model_Formula!$M$25*(Profiles_140!W126-Simulator!$L$23)^2*IF(Profiles_140!W126&gt;Simulator!$L$23,1+Model_Formula!$N$25,1)</x:f>
        <x:v>135</x:v>
      </x:c>
      <x:c r="S130" s="66" t="n">
        <x:f>Model_Formula!$M$26*(Profiles_140!X126-Simulator!$L$24)^2*IF(Profiles_140!X126&gt;Simulator!$L$24,1+Model_Formula!$N$26,1)</x:f>
        <x:v>32.5</x:v>
      </x:c>
      <x:c r="T130" s="66" t="n">
        <x:f>Model_Formula!$M$27*(Profiles_140!Y126-Simulator!$L$25)^2*IF(Profiles_140!Y126&gt;Simulator!$L$25,1+Model_Formula!$N$27,1)</x:f>
        <x:v>2592</x:v>
      </x:c>
      <x:c r="U130" s="60" t="n">
        <x:f>SUM(F130:T130)/SUM(Model_Formula!$M$13:$M$27)</x:f>
        <x:v>1097.7702702702704</x:v>
      </x:c>
      <x:c r="V130" s="60" t="n">
        <x:f>SQRT(U130)</x:f>
        <x:v>33.13261641147995</x:v>
      </x:c>
      <x:c r="W130" s="60" t="n">
        <x:f>MAX(0,100-V130)</x:f>
        <x:v>66.86738358852006</x:v>
      </x:c>
      <x:c r="X130" t="n">
        <x:f>RANK.EQ(W130,$W$6:$W$145,0)+COUNTIF($W$6:W130,W130)-1</x:f>
        <x:v>117</x:v>
      </x:c>
    </x:row>
    <x:row r="131">
      <x:c r="A131" t="str">
        <x:f>Profiles_140!A127</x:f>
        <x:v>コダック</x:v>
      </x:c>
      <x:c r="B131" t="str">
        <x:f>Profiles_140!C127</x:f>
        <x:v>コダック-1</x:v>
      </x:c>
      <x:c r="C131" t="str">
        <x:f>Profiles_140!D127</x:f>
        <x:v>共通プロファイル</x:v>
      </x:c>
      <x:c r="D131" t="str">
        <x:f>Profiles_140!B127</x:f>
        <x:v>サポート型</x:v>
      </x:c>
      <x:c r="E131" t="str">
        <x:f>Profiles_140!I127</x:f>
        <x:v>高</x:v>
      </x:c>
      <x:c r="F131" s="66" t="n">
        <x:f>Model_Formula!$M$13*(Profiles_140!K127-Simulator!$L$11)^2*IF(Profiles_140!K127&gt;Simulator!$L$11,1+Model_Formula!$N$13,1)</x:f>
        <x:v>225</x:v>
      </x:c>
      <x:c r="G131" s="66" t="n">
        <x:f>Model_Formula!$M$14*(Profiles_140!L127-Simulator!$L$12)^2*IF(Profiles_140!L127&gt;Simulator!$L$12,1+Model_Formula!$N$14,1)</x:f>
        <x:v>270</x:v>
      </x:c>
      <x:c r="H131" s="66" t="n">
        <x:f>Model_Formula!$M$15*(Profiles_140!M127-Simulator!$L$13)^2*IF(Profiles_140!M127&gt;Simulator!$L$13,1+Model_Formula!$N$15,1)</x:f>
        <x:v>625</x:v>
      </x:c>
      <x:c r="I131" s="66" t="n">
        <x:f>Model_Formula!$M$16*(Profiles_140!N127-Simulator!$L$14)^2*IF(Profiles_140!N127&gt;Simulator!$L$14,1+Model_Formula!$N$16,1)</x:f>
        <x:v>400</x:v>
      </x:c>
      <x:c r="J131" s="66" t="n">
        <x:f>Model_Formula!$M$17*(Profiles_140!O127-Simulator!$L$15)^2*IF(Profiles_140!O127&gt;Simulator!$L$15,1+Model_Formula!$N$17,1)</x:f>
        <x:v>100</x:v>
      </x:c>
      <x:c r="K131" s="66" t="n">
        <x:f>Model_Formula!$M$18*(Profiles_140!P127-Simulator!$L$16)^2*IF(Profiles_140!P127&gt;Simulator!$L$16,1+Model_Formula!$N$18,1)</x:f>
        <x:v>90</x:v>
      </x:c>
      <x:c r="L131" s="66" t="n">
        <x:f>Model_Formula!$M$19*(Profiles_140!Q127-Simulator!$L$17)^2*IF(Profiles_140!Q127&gt;Simulator!$L$17,1+Model_Formula!$N$19,1)</x:f>
        <x:v>202.5</x:v>
      </x:c>
      <x:c r="M131" s="66" t="n">
        <x:f>Model_Formula!$M$20*(Profiles_140!R127-Simulator!$L$18)^2*IF(Profiles_140!R127&gt;Simulator!$L$18,1+Model_Formula!$N$20,1)</x:f>
        <x:v>2500</x:v>
      </x:c>
      <x:c r="N131" s="66" t="n">
        <x:f>Model_Formula!$M$21*(Profiles_140!S127-Simulator!$L$19)^2*IF(Profiles_140!S127&gt;Simulator!$L$19,1+Model_Formula!$N$21,1)</x:f>
        <x:v>480</x:v>
      </x:c>
      <x:c r="O131" s="66" t="n">
        <x:f>Model_Formula!$M$22*(Profiles_140!T127-Simulator!$L$20)^2*IF(Profiles_140!T127&gt;Simulator!$L$20,1+Model_Formula!$N$22,1)</x:f>
        <x:v>0</x:v>
      </x:c>
      <x:c r="P131" s="66" t="n">
        <x:f>Model_Formula!$M$23*(Profiles_140!U127-Simulator!$L$21)^2*IF(Profiles_140!U127&gt;Simulator!$L$21,1+Model_Formula!$N$23,1)</x:f>
        <x:v>500</x:v>
      </x:c>
      <x:c r="Q131" s="66" t="n">
        <x:f>Model_Formula!$M$24*(Profiles_140!V127-Simulator!$L$22)^2*IF(Profiles_140!V127&gt;Simulator!$L$22,1+Model_Formula!$N$24,1)</x:f>
        <x:v>70</x:v>
      </x:c>
      <x:c r="R131" s="66" t="n">
        <x:f>Model_Formula!$M$25*(Profiles_140!W127-Simulator!$L$23)^2*IF(Profiles_140!W127&gt;Simulator!$L$23,1+Model_Formula!$N$25,1)</x:f>
        <x:v>135</x:v>
      </x:c>
      <x:c r="S131" s="66" t="n">
        <x:f>Model_Formula!$M$26*(Profiles_140!X127-Simulator!$L$24)^2*IF(Profiles_140!X127&gt;Simulator!$L$24,1+Model_Formula!$N$26,1)</x:f>
        <x:v>227.5</x:v>
      </x:c>
      <x:c r="T131" s="66" t="n">
        <x:f>Model_Formula!$M$27*(Profiles_140!Y127-Simulator!$L$25)^2*IF(Profiles_140!Y127&gt;Simulator!$L$25,1+Model_Formula!$N$27,1)</x:f>
        <x:v>1984.5000000000002</x:v>
      </x:c>
      <x:c r="U131" s="60" t="n">
        <x:f>SUM(F131:T131)/SUM(Model_Formula!$M$13:$M$27)</x:f>
        <x:v>527.668918918919</x:v>
      </x:c>
      <x:c r="V131" s="60" t="n">
        <x:f>SQRT(U131)</x:f>
        <x:v>22.97104522913398</x:v>
      </x:c>
      <x:c r="W131" s="60" t="n">
        <x:f>MAX(0,100-V131)</x:f>
        <x:v>77.02895477086602</x:v>
      </x:c>
      <x:c r="X131" t="n">
        <x:f>RANK.EQ(W131,$W$6:$W$145,0)+COUNTIF($W$6:W131,W131)-1</x:f>
        <x:v>15</x:v>
      </x:c>
    </x:row>
    <x:row r="132">
      <x:c r="A132" t="str">
        <x:f>Profiles_140!A128</x:f>
        <x:v>ハピナス</x:v>
      </x:c>
      <x:c r="B132" t="str">
        <x:f>Profiles_140!C128</x:f>
        <x:v>ハピナス-1</x:v>
      </x:c>
      <x:c r="C132" t="str">
        <x:f>Profiles_140!D128</x:f>
        <x:v>タマゴうみ＋タマゴばくだん</x:v>
      </x:c>
      <x:c r="D132" t="str">
        <x:f>Profiles_140!B128</x:f>
        <x:v>サポート型</x:v>
      </x:c>
      <x:c r="E132" t="str">
        <x:f>Profiles_140!I128</x:f>
        <x:v>高</x:v>
      </x:c>
      <x:c r="F132" s="66" t="n">
        <x:f>Model_Formula!$M$13*(Profiles_140!K128-Simulator!$L$11)^2*IF(Profiles_140!K128&gt;Simulator!$L$11,1+Model_Formula!$N$13,1)</x:f>
        <x:v>625</x:v>
      </x:c>
      <x:c r="G132" s="66" t="n">
        <x:f>Model_Formula!$M$14*(Profiles_140!L128-Simulator!$L$12)^2*IF(Profiles_140!L128&gt;Simulator!$L$12,1+Model_Formula!$N$14,1)</x:f>
        <x:v>2430</x:v>
      </x:c>
      <x:c r="H132" s="66" t="n">
        <x:f>Model_Formula!$M$15*(Profiles_140!M128-Simulator!$L$13)^2*IF(Profiles_140!M128&gt;Simulator!$L$13,1+Model_Formula!$N$15,1)</x:f>
        <x:v>2025</x:v>
      </x:c>
      <x:c r="I132" s="66" t="n">
        <x:f>Model_Formula!$M$16*(Profiles_140!N128-Simulator!$L$14)^2*IF(Profiles_140!N128&gt;Simulator!$L$14,1+Model_Formula!$N$16,1)</x:f>
        <x:v>625</x:v>
      </x:c>
      <x:c r="J132" s="66" t="n">
        <x:f>Model_Formula!$M$17*(Profiles_140!O128-Simulator!$L$15)^2*IF(Profiles_140!O128&gt;Simulator!$L$15,1+Model_Formula!$N$17,1)</x:f>
        <x:v>100</x:v>
      </x:c>
      <x:c r="K132" s="66" t="n">
        <x:f>Model_Formula!$M$18*(Profiles_140!P128-Simulator!$L$16)^2*IF(Profiles_140!P128&gt;Simulator!$L$16,1+Model_Formula!$N$18,1)</x:f>
        <x:v>1440</x:v>
      </x:c>
      <x:c r="L132" s="66" t="n">
        <x:f>Model_Formula!$M$19*(Profiles_140!Q128-Simulator!$L$17)^2*IF(Profiles_140!Q128&gt;Simulator!$L$17,1+Model_Formula!$N$19,1)</x:f>
        <x:v>562.5</x:v>
      </x:c>
      <x:c r="M132" s="66" t="n">
        <x:f>Model_Formula!$M$20*(Profiles_140!R128-Simulator!$L$18)^2*IF(Profiles_140!R128&gt;Simulator!$L$18,1+Model_Formula!$N$20,1)</x:f>
        <x:v>225</x:v>
      </x:c>
      <x:c r="N132" s="66" t="n">
        <x:f>Model_Formula!$M$21*(Profiles_140!S128-Simulator!$L$19)^2*IF(Profiles_140!S128&gt;Simulator!$L$19,1+Model_Formula!$N$21,1)</x:f>
        <x:v>3000</x:v>
      </x:c>
      <x:c r="O132" s="66" t="n">
        <x:f>Model_Formula!$M$22*(Profiles_140!T128-Simulator!$L$20)^2*IF(Profiles_140!T128&gt;Simulator!$L$20,1+Model_Formula!$N$22,1)</x:f>
        <x:v>100</x:v>
      </x:c>
      <x:c r="P132" s="66" t="n">
        <x:f>Model_Formula!$M$23*(Profiles_140!U128-Simulator!$L$21)^2*IF(Profiles_140!U128&gt;Simulator!$L$21,1+Model_Formula!$N$23,1)</x:f>
        <x:v>1280</x:v>
      </x:c>
      <x:c r="Q132" s="66" t="n">
        <x:f>Model_Formula!$M$24*(Profiles_140!V128-Simulator!$L$22)^2*IF(Profiles_140!V128&gt;Simulator!$L$22,1+Model_Formula!$N$24,1)</x:f>
        <x:v>437.5</x:v>
      </x:c>
      <x:c r="R132" s="66" t="n">
        <x:f>Model_Formula!$M$25*(Profiles_140!W128-Simulator!$L$23)^2*IF(Profiles_140!W128&gt;Simulator!$L$23,1+Model_Formula!$N$25,1)</x:f>
        <x:v>135</x:v>
      </x:c>
      <x:c r="S132" s="66" t="n">
        <x:f>Model_Formula!$M$26*(Profiles_140!X128-Simulator!$L$24)^2*IF(Profiles_140!X128&gt;Simulator!$L$24,1+Model_Formula!$N$26,1)</x:f>
        <x:v>0</x:v>
      </x:c>
      <x:c r="T132" s="66" t="n">
        <x:f>Model_Formula!$M$27*(Profiles_140!Y128-Simulator!$L$25)^2*IF(Profiles_140!Y128&gt;Simulator!$L$25,1+Model_Formula!$N$27,1)</x:f>
        <x:v>2592</x:v>
      </x:c>
      <x:c r="U132" s="60" t="n">
        <x:f>SUM(F132:T132)/SUM(Model_Formula!$M$13:$M$27)</x:f>
        <x:v>1052.5</x:v>
      </x:c>
      <x:c r="V132" s="60" t="n">
        <x:f>SQRT(U132)</x:f>
        <x:v>32.44225639501667</x:v>
      </x:c>
      <x:c r="W132" s="60" t="n">
        <x:f>MAX(0,100-V132)</x:f>
        <x:v>67.55774360498333</x:v>
      </x:c>
      <x:c r="X132" t="n">
        <x:f>RANK.EQ(W132,$W$6:$W$145,0)+COUNTIF($W$6:W132,W132)-1</x:f>
        <x:v>114</x:v>
      </x:c>
    </x:row>
    <x:row r="133">
      <x:c r="A133" t="str">
        <x:f>Profiles_140!A129</x:f>
        <x:v>ハピナス</x:v>
      </x:c>
      <x:c r="B133" t="str">
        <x:f>Profiles_140!C129</x:f>
        <x:v>ハピナス-2</x:v>
      </x:c>
      <x:c r="C133" t="str">
        <x:f>Profiles_140!D129</x:f>
        <x:v>てだすけ＋しんぴのまもり</x:v>
      </x:c>
      <x:c r="D133" t="str">
        <x:f>Profiles_140!B129</x:f>
        <x:v>サポート型</x:v>
      </x:c>
      <x:c r="E133" t="str">
        <x:f>Profiles_140!I129</x:f>
        <x:v>高</x:v>
      </x:c>
      <x:c r="F133" s="66" t="n">
        <x:f>Model_Formula!$M$13*(Profiles_140!K129-Simulator!$L$11)^2*IF(Profiles_140!K129&gt;Simulator!$L$11,1+Model_Formula!$N$13,1)</x:f>
        <x:v>225</x:v>
      </x:c>
      <x:c r="G133" s="66" t="n">
        <x:f>Model_Formula!$M$14*(Profiles_140!L129-Simulator!$L$12)^2*IF(Profiles_140!L129&gt;Simulator!$L$12,1+Model_Formula!$N$14,1)</x:f>
        <x:v>1470</x:v>
      </x:c>
      <x:c r="H133" s="66" t="n">
        <x:f>Model_Formula!$M$15*(Profiles_140!M129-Simulator!$L$13)^2*IF(Profiles_140!M129&gt;Simulator!$L$13,1+Model_Formula!$N$15,1)</x:f>
        <x:v>1600</x:v>
      </x:c>
      <x:c r="I133" s="66" t="n">
        <x:f>Model_Formula!$M$16*(Profiles_140!N129-Simulator!$L$14)^2*IF(Profiles_140!N129&gt;Simulator!$L$14,1+Model_Formula!$N$16,1)</x:f>
        <x:v>400</x:v>
      </x:c>
      <x:c r="J133" s="66" t="n">
        <x:f>Model_Formula!$M$17*(Profiles_140!O129-Simulator!$L$15)^2*IF(Profiles_140!O129&gt;Simulator!$L$15,1+Model_Formula!$N$17,1)</x:f>
        <x:v>100</x:v>
      </x:c>
      <x:c r="K133" s="66" t="n">
        <x:f>Model_Formula!$M$18*(Profiles_140!P129-Simulator!$L$16)^2*IF(Profiles_140!P129&gt;Simulator!$L$16,1+Model_Formula!$N$18,1)</x:f>
        <x:v>810</x:v>
      </x:c>
      <x:c r="L133" s="66" t="n">
        <x:f>Model_Formula!$M$19*(Profiles_140!Q129-Simulator!$L$17)^2*IF(Profiles_140!Q129&gt;Simulator!$L$17,1+Model_Formula!$N$19,1)</x:f>
        <x:v>360</x:v>
      </x:c>
      <x:c r="M133" s="66" t="n">
        <x:f>Model_Formula!$M$20*(Profiles_140!R129-Simulator!$L$18)^2*IF(Profiles_140!R129&gt;Simulator!$L$18,1+Model_Formula!$N$20,1)</x:f>
        <x:v>25</x:v>
      </x:c>
      <x:c r="N133" s="66" t="n">
        <x:f>Model_Formula!$M$21*(Profiles_140!S129-Simulator!$L$19)^2*IF(Profiles_140!S129&gt;Simulator!$L$19,1+Model_Formula!$N$21,1)</x:f>
        <x:v>3000</x:v>
      </x:c>
      <x:c r="O133" s="66" t="n">
        <x:f>Model_Formula!$M$22*(Profiles_140!T129-Simulator!$L$20)^2*IF(Profiles_140!T129&gt;Simulator!$L$20,1+Model_Formula!$N$22,1)</x:f>
        <x:v>25</x:v>
      </x:c>
      <x:c r="P133" s="66" t="n">
        <x:f>Model_Formula!$M$23*(Profiles_140!U129-Simulator!$L$21)^2*IF(Profiles_140!U129&gt;Simulator!$L$21,1+Model_Formula!$N$23,1)</x:f>
        <x:v>720</x:v>
      </x:c>
      <x:c r="Q133" s="66" t="n">
        <x:f>Model_Formula!$M$24*(Profiles_140!V129-Simulator!$L$22)^2*IF(Profiles_140!V129&gt;Simulator!$L$22,1+Model_Formula!$N$24,1)</x:f>
        <x:v>280</x:v>
      </x:c>
      <x:c r="R133" s="66" t="n">
        <x:f>Model_Formula!$M$25*(Profiles_140!W129-Simulator!$L$23)^2*IF(Profiles_140!W129&gt;Simulator!$L$23,1+Model_Formula!$N$25,1)</x:f>
        <x:v>15</x:v>
      </x:c>
      <x:c r="S133" s="66" t="n">
        <x:f>Model_Formula!$M$26*(Profiles_140!X129-Simulator!$L$24)^2*IF(Profiles_140!X129&gt;Simulator!$L$24,1+Model_Formula!$N$26,1)</x:f>
        <x:v>227.5</x:v>
      </x:c>
      <x:c r="T133" s="66" t="n">
        <x:f>Model_Formula!$M$27*(Profiles_140!Y129-Simulator!$L$25)^2*IF(Profiles_140!Y129&gt;Simulator!$L$25,1+Model_Formula!$N$27,1)</x:f>
        <x:v>3280.5</x:v>
      </x:c>
      <x:c r="U133" s="60" t="n">
        <x:f>SUM(F133:T133)/SUM(Model_Formula!$M$13:$M$27)</x:f>
        <x:v>847.1621621621622</x:v>
      </x:c>
      <x:c r="V133" s="60" t="n">
        <x:f>SQRT(U133)</x:f>
        <x:v>29.106050267292574</x:v>
      </x:c>
      <x:c r="W133" s="60" t="n">
        <x:f>MAX(0,100-V133)</x:f>
        <x:v>70.89394973270743</x:v>
      </x:c>
      <x:c r="X133" t="n">
        <x:f>RANK.EQ(W133,$W$6:$W$145,0)+COUNTIF($W$6:W133,W133)-1</x:f>
        <x:v>74</x:v>
      </x:c>
    </x:row>
    <x:row r="134">
      <x:c r="A134" t="str">
        <x:f>Profiles_140!A130</x:f>
        <x:v>バリヤード</x:v>
      </x:c>
      <x:c r="B134" t="str">
        <x:f>Profiles_140!C130</x:f>
        <x:v>バリヤード-1</x:v>
      </x:c>
      <x:c r="C134" t="str">
        <x:f>Profiles_140!D130</x:f>
        <x:v>ねんりき＋バリアー</x:v>
      </x:c>
      <x:c r="D134" t="str">
        <x:f>Profiles_140!B130</x:f>
        <x:v>サポート型</x:v>
      </x:c>
      <x:c r="E134" t="str">
        <x:f>Profiles_140!I130</x:f>
        <x:v>高</x:v>
      </x:c>
      <x:c r="F134" s="66" t="n">
        <x:f>Model_Formula!$M$13*(Profiles_140!K130-Simulator!$L$11)^2*IF(Profiles_140!K130&gt;Simulator!$L$11,1+Model_Formula!$N$13,1)</x:f>
        <x:v>625</x:v>
      </x:c>
      <x:c r="G134" s="66" t="n">
        <x:f>Model_Formula!$M$14*(Profiles_140!L130-Simulator!$L$12)^2*IF(Profiles_140!L130&gt;Simulator!$L$12,1+Model_Formula!$N$14,1)</x:f>
        <x:v>0</x:v>
      </x:c>
      <x:c r="H134" s="66" t="n">
        <x:f>Model_Formula!$M$15*(Profiles_140!M130-Simulator!$L$13)^2*IF(Profiles_140!M130&gt;Simulator!$L$13,1+Model_Formula!$N$15,1)</x:f>
        <x:v>400</x:v>
      </x:c>
      <x:c r="I134" s="66" t="n">
        <x:f>Model_Formula!$M$16*(Profiles_140!N130-Simulator!$L$14)^2*IF(Profiles_140!N130&gt;Simulator!$L$14,1+Model_Formula!$N$16,1)</x:f>
        <x:v>400</x:v>
      </x:c>
      <x:c r="J134" s="66" t="n">
        <x:f>Model_Formula!$M$17*(Profiles_140!O130-Simulator!$L$15)^2*IF(Profiles_140!O130&gt;Simulator!$L$15,1+Model_Formula!$N$17,1)</x:f>
        <x:v>100</x:v>
      </x:c>
      <x:c r="K134" s="66" t="n">
        <x:f>Model_Formula!$M$18*(Profiles_140!P130-Simulator!$L$16)^2*IF(Profiles_140!P130&gt;Simulator!$L$16,1+Model_Formula!$N$18,1)</x:f>
        <x:v>0</x:v>
      </x:c>
      <x:c r="L134" s="66" t="n">
        <x:f>Model_Formula!$M$19*(Profiles_140!Q130-Simulator!$L$17)^2*IF(Profiles_140!Q130&gt;Simulator!$L$17,1+Model_Formula!$N$19,1)</x:f>
        <x:v>90</x:v>
      </x:c>
      <x:c r="M134" s="66" t="n">
        <x:f>Model_Formula!$M$20*(Profiles_140!R130-Simulator!$L$18)^2*IF(Profiles_140!R130&gt;Simulator!$L$18,1+Model_Formula!$N$20,1)</x:f>
        <x:v>2500</x:v>
      </x:c>
      <x:c r="N134" s="66" t="n">
        <x:f>Model_Formula!$M$21*(Profiles_140!S130-Simulator!$L$19)^2*IF(Profiles_140!S130&gt;Simulator!$L$19,1+Model_Formula!$N$21,1)</x:f>
        <x:v>750</x:v>
      </x:c>
      <x:c r="O134" s="66" t="n">
        <x:f>Model_Formula!$M$22*(Profiles_140!T130-Simulator!$L$20)^2*IF(Profiles_140!T130&gt;Simulator!$L$20,1+Model_Formula!$N$22,1)</x:f>
        <x:v>0</x:v>
      </x:c>
      <x:c r="P134" s="66" t="n">
        <x:f>Model_Formula!$M$23*(Profiles_140!U130-Simulator!$L$21)^2*IF(Profiles_140!U130&gt;Simulator!$L$21,1+Model_Formula!$N$23,1)</x:f>
        <x:v>500</x:v>
      </x:c>
      <x:c r="Q134" s="66" t="n">
        <x:f>Model_Formula!$M$24*(Profiles_140!V130-Simulator!$L$22)^2*IF(Profiles_140!V130&gt;Simulator!$L$22,1+Model_Formula!$N$24,1)</x:f>
        <x:v>70</x:v>
      </x:c>
      <x:c r="R134" s="66" t="n">
        <x:f>Model_Formula!$M$25*(Profiles_140!W130-Simulator!$L$23)^2*IF(Profiles_140!W130&gt;Simulator!$L$23,1+Model_Formula!$N$25,1)</x:f>
        <x:v>135</x:v>
      </x:c>
      <x:c r="S134" s="66" t="n">
        <x:f>Model_Formula!$M$26*(Profiles_140!X130-Simulator!$L$24)^2*IF(Profiles_140!X130&gt;Simulator!$L$24,1+Model_Formula!$N$26,1)</x:f>
        <x:v>511.875</x:v>
      </x:c>
      <x:c r="T134" s="66" t="n">
        <x:f>Model_Formula!$M$27*(Profiles_140!Y130-Simulator!$L$25)^2*IF(Profiles_140!Y130&gt;Simulator!$L$25,1+Model_Formula!$N$27,1)</x:f>
        <x:v>1984.5000000000002</x:v>
      </x:c>
      <x:c r="U134" s="60" t="n">
        <x:f>SUM(F134:T134)/SUM(Model_Formula!$M$13:$M$27)</x:f>
        <x:v>545.0253378378379</x:v>
      </x:c>
      <x:c r="V134" s="60" t="n">
        <x:f>SQRT(U134)</x:f>
        <x:v>23.345777730412795</x:v>
      </x:c>
      <x:c r="W134" s="60" t="n">
        <x:f>MAX(0,100-V134)</x:f>
        <x:v>76.65422226958721</x:v>
      </x:c>
      <x:c r="X134" t="n">
        <x:f>RANK.EQ(W134,$W$6:$W$145,0)+COUNTIF($W$6:W134,W134)-1</x:f>
        <x:v>19</x:v>
      </x:c>
    </x:row>
    <x:row r="135">
      <x:c r="A135" t="str">
        <x:f>Profiles_140!A131</x:f>
        <x:v>バリヤード</x:v>
      </x:c>
      <x:c r="B135" t="str">
        <x:f>Profiles_140!C131</x:f>
        <x:v>バリヤード-2</x:v>
      </x:c>
      <x:c r="C135" t="str">
        <x:f>Profiles_140!D131</x:f>
        <x:v>サイコキネシス＋パワースワップ</x:v>
      </x:c>
      <x:c r="D135" t="str">
        <x:f>Profiles_140!B131</x:f>
        <x:v>サポート型</x:v>
      </x:c>
      <x:c r="E135" t="str">
        <x:f>Profiles_140!I131</x:f>
        <x:v>高</x:v>
      </x:c>
      <x:c r="F135" s="66" t="n">
        <x:f>Model_Formula!$M$13*(Profiles_140!K131-Simulator!$L$11)^2*IF(Profiles_140!K131&gt;Simulator!$L$11,1+Model_Formula!$N$13,1)</x:f>
        <x:v>400</x:v>
      </x:c>
      <x:c r="G135" s="66" t="n">
        <x:f>Model_Formula!$M$14*(Profiles_140!L131-Simulator!$L$12)^2*IF(Profiles_140!L131&gt;Simulator!$L$12,1+Model_Formula!$N$14,1)</x:f>
        <x:v>1470</x:v>
      </x:c>
      <x:c r="H135" s="66" t="n">
        <x:f>Model_Formula!$M$15*(Profiles_140!M131-Simulator!$L$13)^2*IF(Profiles_140!M131&gt;Simulator!$L$13,1+Model_Formula!$N$15,1)</x:f>
        <x:v>625</x:v>
      </x:c>
      <x:c r="I135" s="66" t="n">
        <x:f>Model_Formula!$M$16*(Profiles_140!N131-Simulator!$L$14)^2*IF(Profiles_140!N131&gt;Simulator!$L$14,1+Model_Formula!$N$16,1)</x:f>
        <x:v>400</x:v>
      </x:c>
      <x:c r="J135" s="66" t="n">
        <x:f>Model_Formula!$M$17*(Profiles_140!O131-Simulator!$L$15)^2*IF(Profiles_140!O131&gt;Simulator!$L$15,1+Model_Formula!$N$17,1)</x:f>
        <x:v>225</x:v>
      </x:c>
      <x:c r="K135" s="66" t="n">
        <x:f>Model_Formula!$M$18*(Profiles_140!P131-Simulator!$L$16)^2*IF(Profiles_140!P131&gt;Simulator!$L$16,1+Model_Formula!$N$18,1)</x:f>
        <x:v>562.5</x:v>
      </x:c>
      <x:c r="L135" s="66" t="n">
        <x:f>Model_Formula!$M$19*(Profiles_140!Q131-Simulator!$L$17)^2*IF(Profiles_140!Q131&gt;Simulator!$L$17,1+Model_Formula!$N$19,1)</x:f>
        <x:v>0</x:v>
      </x:c>
      <x:c r="M135" s="66" t="n">
        <x:f>Model_Formula!$M$20*(Profiles_140!R131-Simulator!$L$18)^2*IF(Profiles_140!R131&gt;Simulator!$L$18,1+Model_Formula!$N$20,1)</x:f>
        <x:v>100</x:v>
      </x:c>
      <x:c r="N135" s="66" t="n">
        <x:f>Model_Formula!$M$21*(Profiles_140!S131-Simulator!$L$19)^2*IF(Profiles_140!S131&gt;Simulator!$L$19,1+Model_Formula!$N$21,1)</x:f>
        <x:v>3000</x:v>
      </x:c>
      <x:c r="O135" s="66" t="n">
        <x:f>Model_Formula!$M$22*(Profiles_140!T131-Simulator!$L$20)^2*IF(Profiles_140!T131&gt;Simulator!$L$20,1+Model_Formula!$N$22,1)</x:f>
        <x:v>25</x:v>
      </x:c>
      <x:c r="P135" s="66" t="n">
        <x:f>Model_Formula!$M$23*(Profiles_140!U131-Simulator!$L$21)^2*IF(Profiles_140!U131&gt;Simulator!$L$21,1+Model_Formula!$N$23,1)</x:f>
        <x:v>500</x:v>
      </x:c>
      <x:c r="Q135" s="66" t="n">
        <x:f>Model_Formula!$M$24*(Profiles_140!V131-Simulator!$L$22)^2*IF(Profiles_140!V131&gt;Simulator!$L$22,1+Model_Formula!$N$24,1)</x:f>
        <x:v>70</x:v>
      </x:c>
      <x:c r="R135" s="66" t="n">
        <x:f>Model_Formula!$M$25*(Profiles_140!W131-Simulator!$L$23)^2*IF(Profiles_140!W131&gt;Simulator!$L$23,1+Model_Formula!$N$25,1)</x:f>
        <x:v>60</x:v>
      </x:c>
      <x:c r="S135" s="66" t="n">
        <x:f>Model_Formula!$M$26*(Profiles_140!X131-Simulator!$L$24)^2*IF(Profiles_140!X131&gt;Simulator!$L$24,1+Model_Formula!$N$26,1)</x:f>
        <x:v>56.875</x:v>
      </x:c>
      <x:c r="T135" s="66" t="n">
        <x:f>Model_Formula!$M$27*(Profiles_140!Y131-Simulator!$L$25)^2*IF(Profiles_140!Y131&gt;Simulator!$L$25,1+Model_Formula!$N$27,1)</x:f>
        <x:v>1984.5000000000002</x:v>
      </x:c>
      <x:c r="U135" s="60" t="n">
        <x:f>SUM(F135:T135)/SUM(Model_Formula!$M$13:$M$27)</x:f>
        <x:v>640.4645270270271</x:v>
      </x:c>
      <x:c r="V135" s="60" t="n">
        <x:f>SQRT(U135)</x:f>
        <x:v>25.30740063750181</x:v>
      </x:c>
      <x:c r="W135" s="60" t="n">
        <x:f>MAX(0,100-V135)</x:f>
        <x:v>74.69259936249819</x:v>
      </x:c>
      <x:c r="X135" t="n">
        <x:f>RANK.EQ(W135,$W$6:$W$145,0)+COUNTIF($W$6:W135,W135)-1</x:f>
        <x:v>41</x:v>
      </x:c>
    </x:row>
    <x:row r="136">
      <x:c r="A136" t="str">
        <x:f>Profiles_140!A132</x:f>
        <x:v>ピクシー</x:v>
      </x:c>
      <x:c r="B136" t="str">
        <x:f>Profiles_140!C132</x:f>
        <x:v>ピクシー-1</x:v>
      </x:c>
      <x:c r="C136" t="str">
        <x:f>Profiles_140!D132</x:f>
        <x:v>共通プロファイル</x:v>
      </x:c>
      <x:c r="D136" t="str">
        <x:f>Profiles_140!B132</x:f>
        <x:v>サポート型</x:v>
      </x:c>
      <x:c r="E136" t="str">
        <x:f>Profiles_140!I132</x:f>
        <x:v>高</x:v>
      </x:c>
      <x:c r="F136" s="66" t="n">
        <x:f>Model_Formula!$M$13*(Profiles_140!K132-Simulator!$L$11)^2*IF(Profiles_140!K132&gt;Simulator!$L$11,1+Model_Formula!$N$13,1)</x:f>
        <x:v>625</x:v>
      </x:c>
      <x:c r="G136" s="66" t="n">
        <x:f>Model_Formula!$M$14*(Profiles_140!L132-Simulator!$L$12)^2*IF(Profiles_140!L132&gt;Simulator!$L$12,1+Model_Formula!$N$14,1)</x:f>
        <x:v>2430</x:v>
      </x:c>
      <x:c r="H136" s="66" t="n">
        <x:f>Model_Formula!$M$15*(Profiles_140!M132-Simulator!$L$13)^2*IF(Profiles_140!M132&gt;Simulator!$L$13,1+Model_Formula!$N$15,1)</x:f>
        <x:v>2500</x:v>
      </x:c>
      <x:c r="I136" s="66" t="n">
        <x:f>Model_Formula!$M$16*(Profiles_140!N132-Simulator!$L$14)^2*IF(Profiles_140!N132&gt;Simulator!$L$14,1+Model_Formula!$N$16,1)</x:f>
        <x:v>625</x:v>
      </x:c>
      <x:c r="J136" s="66" t="n">
        <x:f>Model_Formula!$M$17*(Profiles_140!O132-Simulator!$L$15)^2*IF(Profiles_140!O132&gt;Simulator!$L$15,1+Model_Formula!$N$17,1)</x:f>
        <x:v>100</x:v>
      </x:c>
      <x:c r="K136" s="66" t="n">
        <x:f>Model_Formula!$M$18*(Profiles_140!P132-Simulator!$L$16)^2*IF(Profiles_140!P132&gt;Simulator!$L$16,1+Model_Formula!$N$18,1)</x:f>
        <x:v>1102.5</x:v>
      </x:c>
      <x:c r="L136" s="66" t="n">
        <x:f>Model_Formula!$M$19*(Profiles_140!Q132-Simulator!$L$17)^2*IF(Profiles_140!Q132&gt;Simulator!$L$17,1+Model_Formula!$N$19,1)</x:f>
        <x:v>562.5</x:v>
      </x:c>
      <x:c r="M136" s="66" t="n">
        <x:f>Model_Formula!$M$20*(Profiles_140!R132-Simulator!$L$18)^2*IF(Profiles_140!R132&gt;Simulator!$L$18,1+Model_Formula!$N$20,1)</x:f>
        <x:v>225</x:v>
      </x:c>
      <x:c r="N136" s="66" t="n">
        <x:f>Model_Formula!$M$21*(Profiles_140!S132-Simulator!$L$19)^2*IF(Profiles_140!S132&gt;Simulator!$L$19,1+Model_Formula!$N$21,1)</x:f>
        <x:v>3000</x:v>
      </x:c>
      <x:c r="O136" s="66" t="n">
        <x:f>Model_Formula!$M$22*(Profiles_140!T132-Simulator!$L$20)^2*IF(Profiles_140!T132&gt;Simulator!$L$20,1+Model_Formula!$N$22,1)</x:f>
        <x:v>100</x:v>
      </x:c>
      <x:c r="P136" s="66" t="n">
        <x:f>Model_Formula!$M$23*(Profiles_140!U132-Simulator!$L$21)^2*IF(Profiles_140!U132&gt;Simulator!$L$21,1+Model_Formula!$N$23,1)</x:f>
        <x:v>1280</x:v>
      </x:c>
      <x:c r="Q136" s="66" t="n">
        <x:f>Model_Formula!$M$24*(Profiles_140!V132-Simulator!$L$22)^2*IF(Profiles_140!V132&gt;Simulator!$L$22,1+Model_Formula!$N$24,1)</x:f>
        <x:v>437.5</x:v>
      </x:c>
      <x:c r="R136" s="66" t="n">
        <x:f>Model_Formula!$M$25*(Profiles_140!W132-Simulator!$L$23)^2*IF(Profiles_140!W132&gt;Simulator!$L$23,1+Model_Formula!$N$25,1)</x:f>
        <x:v>135</x:v>
      </x:c>
      <x:c r="S136" s="66" t="n">
        <x:f>Model_Formula!$M$26*(Profiles_140!X132-Simulator!$L$24)^2*IF(Profiles_140!X132&gt;Simulator!$L$24,1+Model_Formula!$N$26,1)</x:f>
        <x:v>0</x:v>
      </x:c>
      <x:c r="T136" s="66" t="n">
        <x:f>Model_Formula!$M$27*(Profiles_140!Y132-Simulator!$L$25)^2*IF(Profiles_140!Y132&gt;Simulator!$L$25,1+Model_Formula!$N$27,1)</x:f>
        <x:v>3280.5</x:v>
      </x:c>
      <x:c r="U136" s="60" t="n">
        <x:f>SUM(F136:T136)/SUM(Model_Formula!$M$13:$M$27)</x:f>
        <x:v>1108.3108108108108</x:v>
      </x:c>
      <x:c r="V136" s="60" t="n">
        <x:f>SQRT(U136)</x:f>
        <x:v>33.2913023297499</x:v>
      </x:c>
      <x:c r="W136" s="60" t="n">
        <x:f>MAX(0,100-V136)</x:f>
        <x:v>66.7086976702501</x:v>
      </x:c>
      <x:c r="X136" t="n">
        <x:f>RANK.EQ(W136,$W$6:$W$145,0)+COUNTIF($W$6:W136,W136)-1</x:f>
        <x:v>118</x:v>
      </x:c>
    </x:row>
    <x:row r="137">
      <x:c r="A137" t="str">
        <x:f>Profiles_140!A133</x:f>
        <x:v>フーパ</x:v>
      </x:c>
      <x:c r="B137" t="str">
        <x:f>Profiles_140!C133</x:f>
        <x:v>フーパ-1</x:v>
      </x:c>
      <x:c r="C137" t="str">
        <x:f>Profiles_140!D133</x:f>
        <x:v>いじげんホール＋ゴーストダイブ</x:v>
      </x:c>
      <x:c r="D137" t="str">
        <x:f>Profiles_140!B133</x:f>
        <x:v>サポート型</x:v>
      </x:c>
      <x:c r="E137" t="str">
        <x:f>Profiles_140!I133</x:f>
        <x:v>高</x:v>
      </x:c>
      <x:c r="F137" s="66" t="n">
        <x:f>Model_Formula!$M$13*(Profiles_140!K133-Simulator!$L$11)^2*IF(Profiles_140!K133&gt;Simulator!$L$11,1+Model_Formula!$N$13,1)</x:f>
        <x:v>25</x:v>
      </x:c>
      <x:c r="G137" s="66" t="n">
        <x:f>Model_Formula!$M$14*(Profiles_140!L133-Simulator!$L$12)^2*IF(Profiles_140!L133&gt;Simulator!$L$12,1+Model_Formula!$N$14,1)</x:f>
        <x:v>480</x:v>
      </x:c>
      <x:c r="H137" s="66" t="n">
        <x:f>Model_Formula!$M$15*(Profiles_140!M133-Simulator!$L$13)^2*IF(Profiles_140!M133&gt;Simulator!$L$13,1+Model_Formula!$N$15,1)</x:f>
        <x:v>400</x:v>
      </x:c>
      <x:c r="I137" s="66" t="n">
        <x:f>Model_Formula!$M$16*(Profiles_140!N133-Simulator!$L$14)^2*IF(Profiles_140!N133&gt;Simulator!$L$14,1+Model_Formula!$N$16,1)</x:f>
        <x:v>100</x:v>
      </x:c>
      <x:c r="J137" s="66" t="n">
        <x:f>Model_Formula!$M$17*(Profiles_140!O133-Simulator!$L$15)^2*IF(Profiles_140!O133&gt;Simulator!$L$15,1+Model_Formula!$N$17,1)</x:f>
        <x:v>0</x:v>
      </x:c>
      <x:c r="K137" s="66" t="n">
        <x:f>Model_Formula!$M$18*(Profiles_140!P133-Simulator!$L$16)^2*IF(Profiles_140!P133&gt;Simulator!$L$16,1+Model_Formula!$N$18,1)</x:f>
        <x:v>562.5</x:v>
      </x:c>
      <x:c r="L137" s="66" t="n">
        <x:f>Model_Formula!$M$19*(Profiles_140!Q133-Simulator!$L$17)^2*IF(Profiles_140!Q133&gt;Simulator!$L$17,1+Model_Formula!$N$19,1)</x:f>
        <x:v>90</x:v>
      </x:c>
      <x:c r="M137" s="66" t="n">
        <x:f>Model_Formula!$M$20*(Profiles_140!R133-Simulator!$L$18)^2*IF(Profiles_140!R133&gt;Simulator!$L$18,1+Model_Formula!$N$20,1)</x:f>
        <x:v>625</x:v>
      </x:c>
      <x:c r="N137" s="66" t="n">
        <x:f>Model_Formula!$M$21*(Profiles_140!S133-Simulator!$L$19)^2*IF(Profiles_140!S133&gt;Simulator!$L$19,1+Model_Formula!$N$21,1)</x:f>
        <x:v>2430</x:v>
      </x:c>
      <x:c r="O137" s="66" t="n">
        <x:f>Model_Formula!$M$22*(Profiles_140!T133-Simulator!$L$20)^2*IF(Profiles_140!T133&gt;Simulator!$L$20,1+Model_Formula!$N$22,1)</x:f>
        <x:v>625</x:v>
      </x:c>
      <x:c r="P137" s="66" t="n">
        <x:f>Model_Formula!$M$23*(Profiles_140!U133-Simulator!$L$21)^2*IF(Profiles_140!U133&gt;Simulator!$L$21,1+Model_Formula!$N$23,1)</x:f>
        <x:v>320</x:v>
      </x:c>
      <x:c r="Q137" s="66" t="n">
        <x:f>Model_Formula!$M$24*(Profiles_140!V133-Simulator!$L$22)^2*IF(Profiles_140!V133&gt;Simulator!$L$22,1+Model_Formula!$N$24,1)</x:f>
        <x:v>70</x:v>
      </x:c>
      <x:c r="R137" s="66" t="n">
        <x:f>Model_Formula!$M$25*(Profiles_140!W133-Simulator!$L$23)^2*IF(Profiles_140!W133&gt;Simulator!$L$23,1+Model_Formula!$N$25,1)</x:f>
        <x:v>60</x:v>
      </x:c>
      <x:c r="S137" s="66" t="n">
        <x:f>Model_Formula!$M$26*(Profiles_140!X133-Simulator!$L$24)^2*IF(Profiles_140!X133&gt;Simulator!$L$24,1+Model_Formula!$N$26,1)</x:f>
        <x:v>910</x:v>
      </x:c>
      <x:c r="T137" s="66" t="n">
        <x:f>Model_Formula!$M$27*(Profiles_140!Y133-Simulator!$L$25)^2*IF(Profiles_140!Y133&gt;Simulator!$L$25,1+Model_Formula!$N$27,1)</x:f>
        <x:v>4050.0000000000005</x:v>
      </x:c>
      <x:c r="U137" s="60" t="n">
        <x:f>SUM(F137:T137)/SUM(Model_Formula!$M$13:$M$27)</x:f>
        <x:v>726.1824324324325</x:v>
      </x:c>
      <x:c r="V137" s="60" t="n">
        <x:f>SQRT(U137)</x:f>
        <x:v>26.94777230927322</x:v>
      </x:c>
      <x:c r="W137" s="60" t="n">
        <x:f>MAX(0,100-V137)</x:f>
        <x:v>73.05222769072678</x:v>
      </x:c>
      <x:c r="X137" t="n">
        <x:f>RANK.EQ(W137,$W$6:$W$145,0)+COUNTIF($W$6:W137,W137)-1</x:f>
        <x:v>55</x:v>
      </x:c>
    </x:row>
    <x:row r="138">
      <x:c r="A138" t="str">
        <x:f>Profiles_140!A134</x:f>
        <x:v>フーパ</x:v>
      </x:c>
      <x:c r="B138" t="str">
        <x:f>Profiles_140!C134</x:f>
        <x:v>フーパ-2</x:v>
      </x:c>
      <x:c r="C138" t="str">
        <x:f>Profiles_140!D134</x:f>
        <x:v>トリック＋シャドーボール</x:v>
      </x:c>
      <x:c r="D138" t="str">
        <x:f>Profiles_140!B134</x:f>
        <x:v>サポート型</x:v>
      </x:c>
      <x:c r="E138" t="str">
        <x:f>Profiles_140!I134</x:f>
        <x:v>高</x:v>
      </x:c>
      <x:c r="F138" s="66" t="n">
        <x:f>Model_Formula!$M$13*(Profiles_140!K134-Simulator!$L$11)^2*IF(Profiles_140!K134&gt;Simulator!$L$11,1+Model_Formula!$N$13,1)</x:f>
        <x:v>400</x:v>
      </x:c>
      <x:c r="G138" s="66" t="n">
        <x:f>Model_Formula!$M$14*(Profiles_140!L134-Simulator!$L$12)^2*IF(Profiles_140!L134&gt;Simulator!$L$12,1+Model_Formula!$N$14,1)</x:f>
        <x:v>1470</x:v>
      </x:c>
      <x:c r="H138" s="66" t="n">
        <x:f>Model_Formula!$M$15*(Profiles_140!M134-Simulator!$L$13)^2*IF(Profiles_140!M134&gt;Simulator!$L$13,1+Model_Formula!$N$15,1)</x:f>
        <x:v>625</x:v>
      </x:c>
      <x:c r="I138" s="66" t="n">
        <x:f>Model_Formula!$M$16*(Profiles_140!N134-Simulator!$L$14)^2*IF(Profiles_140!N134&gt;Simulator!$L$14,1+Model_Formula!$N$16,1)</x:f>
        <x:v>400</x:v>
      </x:c>
      <x:c r="J138" s="66" t="n">
        <x:f>Model_Formula!$M$17*(Profiles_140!O134-Simulator!$L$15)^2*IF(Profiles_140!O134&gt;Simulator!$L$15,1+Model_Formula!$N$17,1)</x:f>
        <x:v>25</x:v>
      </x:c>
      <x:c r="K138" s="66" t="n">
        <x:f>Model_Formula!$M$18*(Profiles_140!P134-Simulator!$L$16)^2*IF(Profiles_140!P134&gt;Simulator!$L$16,1+Model_Formula!$N$18,1)</x:f>
        <x:v>562.5</x:v>
      </x:c>
      <x:c r="L138" s="66" t="n">
        <x:f>Model_Formula!$M$19*(Profiles_140!Q134-Simulator!$L$17)^2*IF(Profiles_140!Q134&gt;Simulator!$L$17,1+Model_Formula!$N$19,1)</x:f>
        <x:v>0</x:v>
      </x:c>
      <x:c r="M138" s="66" t="n">
        <x:f>Model_Formula!$M$20*(Profiles_140!R134-Simulator!$L$18)^2*IF(Profiles_140!R134&gt;Simulator!$L$18,1+Model_Formula!$N$20,1)</x:f>
        <x:v>225</x:v>
      </x:c>
      <x:c r="N138" s="66" t="n">
        <x:f>Model_Formula!$M$21*(Profiles_140!S134-Simulator!$L$19)^2*IF(Profiles_140!S134&gt;Simulator!$L$19,1+Model_Formula!$N$21,1)</x:f>
        <x:v>1920</x:v>
      </x:c>
      <x:c r="O138" s="66" t="n">
        <x:f>Model_Formula!$M$22*(Profiles_140!T134-Simulator!$L$20)^2*IF(Profiles_140!T134&gt;Simulator!$L$20,1+Model_Formula!$N$22,1)</x:f>
        <x:v>100</x:v>
      </x:c>
      <x:c r="P138" s="66" t="n">
        <x:f>Model_Formula!$M$23*(Profiles_140!U134-Simulator!$L$21)^2*IF(Profiles_140!U134&gt;Simulator!$L$21,1+Model_Formula!$N$23,1)</x:f>
        <x:v>500</x:v>
      </x:c>
      <x:c r="Q138" s="66" t="n">
        <x:f>Model_Formula!$M$24*(Profiles_140!V134-Simulator!$L$22)^2*IF(Profiles_140!V134&gt;Simulator!$L$22,1+Model_Formula!$N$24,1)</x:f>
        <x:v>70</x:v>
      </x:c>
      <x:c r="R138" s="66" t="n">
        <x:f>Model_Formula!$M$25*(Profiles_140!W134-Simulator!$L$23)^2*IF(Profiles_140!W134&gt;Simulator!$L$23,1+Model_Formula!$N$25,1)</x:f>
        <x:v>60</x:v>
      </x:c>
      <x:c r="S138" s="66" t="n">
        <x:f>Model_Formula!$M$26*(Profiles_140!X134-Simulator!$L$24)^2*IF(Profiles_140!X134&gt;Simulator!$L$24,1+Model_Formula!$N$26,1)</x:f>
        <x:v>56.875</x:v>
      </x:c>
      <x:c r="T138" s="66" t="n">
        <x:f>Model_Formula!$M$27*(Profiles_140!Y134-Simulator!$L$25)^2*IF(Profiles_140!Y134&gt;Simulator!$L$25,1+Model_Formula!$N$27,1)</x:f>
        <x:v>1984.5000000000002</x:v>
      </x:c>
      <x:c r="U138" s="60" t="n">
        <x:f>SUM(F138:T138)/SUM(Model_Formula!$M$13:$M$27)</x:f>
        <x:v>567.4915540540541</x:v>
      </x:c>
      <x:c r="V138" s="60" t="n">
        <x:f>SQRT(U138)</x:f>
        <x:v>23.82208122843288</x:v>
      </x:c>
      <x:c r="W138" s="60" t="n">
        <x:f>MAX(0,100-V138)</x:f>
        <x:v>76.17791877156712</x:v>
      </x:c>
      <x:c r="X138" t="n">
        <x:f>RANK.EQ(W138,$W$6:$W$145,0)+COUNTIF($W$6:W138,W138)-1</x:f>
        <x:v>22</x:v>
      </x:c>
    </x:row>
    <x:row r="139">
      <x:c r="A139" t="str">
        <x:f>Profiles_140!A135</x:f>
        <x:v>プクリン</x:v>
      </x:c>
      <x:c r="B139" t="str">
        <x:f>Profiles_140!C135</x:f>
        <x:v>プクリン-1</x:v>
      </x:c>
      <x:c r="C139" t="str">
        <x:f>Profiles_140!D135</x:f>
        <x:v>共通プロファイル</x:v>
      </x:c>
      <x:c r="D139" t="str">
        <x:f>Profiles_140!B135</x:f>
        <x:v>サポート型</x:v>
      </x:c>
      <x:c r="E139" t="str">
        <x:f>Profiles_140!I135</x:f>
        <x:v>高</x:v>
      </x:c>
      <x:c r="F139" s="66" t="n">
        <x:f>Model_Formula!$M$13*(Profiles_140!K135-Simulator!$L$11)^2*IF(Profiles_140!K135&gt;Simulator!$L$11,1+Model_Formula!$N$13,1)</x:f>
        <x:v>25</x:v>
      </x:c>
      <x:c r="G139" s="66" t="n">
        <x:f>Model_Formula!$M$14*(Profiles_140!L135-Simulator!$L$12)^2*IF(Profiles_140!L135&gt;Simulator!$L$12,1+Model_Formula!$N$14,1)</x:f>
        <x:v>1080</x:v>
      </x:c>
      <x:c r="H139" s="66" t="n">
        <x:f>Model_Formula!$M$15*(Profiles_140!M135-Simulator!$L$13)^2*IF(Profiles_140!M135&gt;Simulator!$L$13,1+Model_Formula!$N$15,1)</x:f>
        <x:v>2500</x:v>
      </x:c>
      <x:c r="I139" s="66" t="n">
        <x:f>Model_Formula!$M$16*(Profiles_140!N135-Simulator!$L$14)^2*IF(Profiles_140!N135&gt;Simulator!$L$14,1+Model_Formula!$N$16,1)</x:f>
        <x:v>1600</x:v>
      </x:c>
      <x:c r="J139" s="66" t="n">
        <x:f>Model_Formula!$M$17*(Profiles_140!O135-Simulator!$L$15)^2*IF(Profiles_140!O135&gt;Simulator!$L$15,1+Model_Formula!$N$17,1)</x:f>
        <x:v>400</x:v>
      </x:c>
      <x:c r="K139" s="66" t="n">
        <x:f>Model_Formula!$M$18*(Profiles_140!P135-Simulator!$L$16)^2*IF(Profiles_140!P135&gt;Simulator!$L$16,1+Model_Formula!$N$18,1)</x:f>
        <x:v>562.5</x:v>
      </x:c>
      <x:c r="L139" s="66" t="n">
        <x:f>Model_Formula!$M$19*(Profiles_140!Q135-Simulator!$L$17)^2*IF(Profiles_140!Q135&gt;Simulator!$L$17,1+Model_Formula!$N$19,1)</x:f>
        <x:v>360</x:v>
      </x:c>
      <x:c r="M139" s="66" t="n">
        <x:f>Model_Formula!$M$20*(Profiles_140!R135-Simulator!$L$18)^2*IF(Profiles_140!R135&gt;Simulator!$L$18,1+Model_Formula!$N$20,1)</x:f>
        <x:v>2500</x:v>
      </x:c>
      <x:c r="N139" s="66" t="n">
        <x:f>Model_Formula!$M$21*(Profiles_140!S135-Simulator!$L$19)^2*IF(Profiles_140!S135&gt;Simulator!$L$19,1+Model_Formula!$N$21,1)</x:f>
        <x:v>30</x:v>
      </x:c>
      <x:c r="O139" s="66" t="n">
        <x:f>Model_Formula!$M$22*(Profiles_140!T135-Simulator!$L$20)^2*IF(Profiles_140!T135&gt;Simulator!$L$20,1+Model_Formula!$N$22,1)</x:f>
        <x:v>225</x:v>
      </x:c>
      <x:c r="P139" s="66" t="n">
        <x:f>Model_Formula!$M$23*(Profiles_140!U135-Simulator!$L$21)^2*IF(Profiles_140!U135&gt;Simulator!$L$21,1+Model_Formula!$N$23,1)</x:f>
        <x:v>720</x:v>
      </x:c>
      <x:c r="Q139" s="66" t="n">
        <x:f>Model_Formula!$M$24*(Profiles_140!V135-Simulator!$L$22)^2*IF(Profiles_140!V135&gt;Simulator!$L$22,1+Model_Formula!$N$24,1)</x:f>
        <x:v>157.5</x:v>
      </x:c>
      <x:c r="R139" s="66" t="n">
        <x:f>Model_Formula!$M$25*(Profiles_140!W135-Simulator!$L$23)^2*IF(Profiles_140!W135&gt;Simulator!$L$23,1+Model_Formula!$N$25,1)</x:f>
        <x:v>240</x:v>
      </x:c>
      <x:c r="S139" s="66" t="n">
        <x:f>Model_Formula!$M$26*(Profiles_140!X135-Simulator!$L$24)^2*IF(Profiles_140!X135&gt;Simulator!$L$24,1+Model_Formula!$N$26,1)</x:f>
        <x:v>0</x:v>
      </x:c>
      <x:c r="T139" s="66" t="n">
        <x:f>Model_Formula!$M$27*(Profiles_140!Y135-Simulator!$L$25)^2*IF(Profiles_140!Y135&gt;Simulator!$L$25,1+Model_Formula!$N$27,1)</x:f>
        <x:v>1984.5000000000002</x:v>
      </x:c>
      <x:c r="U139" s="60" t="n">
        <x:f>SUM(F139:T139)/SUM(Model_Formula!$M$13:$M$27)</x:f>
        <x:v>836.7905405405406</x:v>
      </x:c>
      <x:c r="V139" s="60" t="n">
        <x:f>SQRT(U139)</x:f>
        <x:v>28.927332067450337</x:v>
      </x:c>
      <x:c r="W139" s="60" t="n">
        <x:f>MAX(0,100-V139)</x:f>
        <x:v>71.07266793254966</x:v>
      </x:c>
      <x:c r="X139" t="n">
        <x:f>RANK.EQ(W139,$W$6:$W$145,0)+COUNTIF($W$6:W139,W139)-1</x:f>
        <x:v>71</x:v>
      </x:c>
    </x:row>
    <x:row r="140">
      <x:c r="A140" t="str">
        <x:f>Profiles_140!A136</x:f>
        <x:v>マホイップ</x:v>
      </x:c>
      <x:c r="B140" t="str">
        <x:f>Profiles_140!C136</x:f>
        <x:v>マホイップ-1</x:v>
      </x:c>
      <x:c r="C140" t="str">
        <x:f>Profiles_140!D136</x:f>
        <x:v>共通プロファイル</x:v>
      </x:c>
      <x:c r="D140" t="str">
        <x:f>Profiles_140!B136</x:f>
        <x:v>サポート型</x:v>
      </x:c>
      <x:c r="E140" t="str">
        <x:f>Profiles_140!I136</x:f>
        <x:v>高</x:v>
      </x:c>
      <x:c r="F140" s="66" t="n">
        <x:f>Model_Formula!$M$13*(Profiles_140!K136-Simulator!$L$11)^2*IF(Profiles_140!K136&gt;Simulator!$L$11,1+Model_Formula!$N$13,1)</x:f>
        <x:v>625</x:v>
      </x:c>
      <x:c r="G140" s="66" t="n">
        <x:f>Model_Formula!$M$14*(Profiles_140!L136-Simulator!$L$12)^2*IF(Profiles_140!L136&gt;Simulator!$L$12,1+Model_Formula!$N$14,1)</x:f>
        <x:v>2430</x:v>
      </x:c>
      <x:c r="H140" s="66" t="n">
        <x:f>Model_Formula!$M$15*(Profiles_140!M136-Simulator!$L$13)^2*IF(Profiles_140!M136&gt;Simulator!$L$13,1+Model_Formula!$N$15,1)</x:f>
        <x:v>1600</x:v>
      </x:c>
      <x:c r="I140" s="66" t="n">
        <x:f>Model_Formula!$M$16*(Profiles_140!N136-Simulator!$L$14)^2*IF(Profiles_140!N136&gt;Simulator!$L$14,1+Model_Formula!$N$16,1)</x:f>
        <x:v>625</x:v>
      </x:c>
      <x:c r="J140" s="66" t="n">
        <x:f>Model_Formula!$M$17*(Profiles_140!O136-Simulator!$L$15)^2*IF(Profiles_140!O136&gt;Simulator!$L$15,1+Model_Formula!$N$17,1)</x:f>
        <x:v>100</x:v>
      </x:c>
      <x:c r="K140" s="66" t="n">
        <x:f>Model_Formula!$M$18*(Profiles_140!P136-Simulator!$L$16)^2*IF(Profiles_140!P136&gt;Simulator!$L$16,1+Model_Formula!$N$18,1)</x:f>
        <x:v>1102.5</x:v>
      </x:c>
      <x:c r="L140" s="66" t="n">
        <x:f>Model_Formula!$M$19*(Profiles_140!Q136-Simulator!$L$17)^2*IF(Profiles_140!Q136&gt;Simulator!$L$17,1+Model_Formula!$N$19,1)</x:f>
        <x:v>562.5</x:v>
      </x:c>
      <x:c r="M140" s="66" t="n">
        <x:f>Model_Formula!$M$20*(Profiles_140!R136-Simulator!$L$18)^2*IF(Profiles_140!R136&gt;Simulator!$L$18,1+Model_Formula!$N$20,1)</x:f>
        <x:v>100</x:v>
      </x:c>
      <x:c r="N140" s="66" t="n">
        <x:f>Model_Formula!$M$21*(Profiles_140!S136-Simulator!$L$19)^2*IF(Profiles_140!S136&gt;Simulator!$L$19,1+Model_Formula!$N$21,1)</x:f>
        <x:v>3000</x:v>
      </x:c>
      <x:c r="O140" s="66" t="n">
        <x:f>Model_Formula!$M$22*(Profiles_140!T136-Simulator!$L$20)^2*IF(Profiles_140!T136&gt;Simulator!$L$20,1+Model_Formula!$N$22,1)</x:f>
        <x:v>400</x:v>
      </x:c>
      <x:c r="P140" s="66" t="n">
        <x:f>Model_Formula!$M$23*(Profiles_140!U136-Simulator!$L$21)^2*IF(Profiles_140!U136&gt;Simulator!$L$21,1+Model_Formula!$N$23,1)</x:f>
        <x:v>1280</x:v>
      </x:c>
      <x:c r="Q140" s="66" t="n">
        <x:f>Model_Formula!$M$24*(Profiles_140!V136-Simulator!$L$22)^2*IF(Profiles_140!V136&gt;Simulator!$L$22,1+Model_Formula!$N$24,1)</x:f>
        <x:v>437.5</x:v>
      </x:c>
      <x:c r="R140" s="66" t="n">
        <x:f>Model_Formula!$M$25*(Profiles_140!W136-Simulator!$L$23)^2*IF(Profiles_140!W136&gt;Simulator!$L$23,1+Model_Formula!$N$25,1)</x:f>
        <x:v>135</x:v>
      </x:c>
      <x:c r="S140" s="66" t="n">
        <x:f>Model_Formula!$M$26*(Profiles_140!X136-Simulator!$L$24)^2*IF(Profiles_140!X136&gt;Simulator!$L$24,1+Model_Formula!$N$26,1)</x:f>
        <x:v>0</x:v>
      </x:c>
      <x:c r="T140" s="66" t="n">
        <x:f>Model_Formula!$M$27*(Profiles_140!Y136-Simulator!$L$25)^2*IF(Profiles_140!Y136&gt;Simulator!$L$25,1+Model_Formula!$N$27,1)</x:f>
        <x:v>3280.5</x:v>
      </x:c>
      <x:c r="U140" s="60" t="n">
        <x:f>SUM(F140:T140)/SUM(Model_Formula!$M$13:$M$27)</x:f>
        <x:v>1059.3243243243244</x:v>
      </x:c>
      <x:c r="V140" s="60" t="n">
        <x:f>SQRT(U140)</x:f>
        <x:v>32.5472629313791</x:v>
      </x:c>
      <x:c r="W140" s="60" t="n">
        <x:f>MAX(0,100-V140)</x:f>
        <x:v>67.4527370686209</x:v>
      </x:c>
      <x:c r="X140" t="n">
        <x:f>RANK.EQ(W140,$W$6:$W$145,0)+COUNTIF($W$6:W140,W140)-1</x:f>
        <x:v>115</x:v>
      </x:c>
    </x:row>
    <x:row r="141">
      <x:c r="A141" t="str">
        <x:f>Profiles_140!A137</x:f>
        <x:v>メガニウム</x:v>
      </x:c>
      <x:c r="B141" t="str">
        <x:f>Profiles_140!C137</x:f>
        <x:v>メガニウム-1</x:v>
      </x:c>
      <x:c r="C141" t="str">
        <x:f>Profiles_140!D137</x:f>
        <x:v>共通プロファイル</x:v>
      </x:c>
      <x:c r="D141" t="str">
        <x:f>Profiles_140!B137</x:f>
        <x:v>サポート型</x:v>
      </x:c>
      <x:c r="E141" t="str">
        <x:f>Profiles_140!I137</x:f>
        <x:v>中</x:v>
      </x:c>
      <x:c r="F141" s="66" t="n">
        <x:f>Model_Formula!$M$13*(Profiles_140!K137-Simulator!$L$11)^2*IF(Profiles_140!K137&gt;Simulator!$L$11,1+Model_Formula!$N$13,1)</x:f>
        <x:v>625</x:v>
      </x:c>
      <x:c r="G141" s="66" t="n">
        <x:f>Model_Formula!$M$14*(Profiles_140!L137-Simulator!$L$12)^2*IF(Profiles_140!L137&gt;Simulator!$L$12,1+Model_Formula!$N$14,1)</x:f>
        <x:v>2430</x:v>
      </x:c>
      <x:c r="H141" s="66" t="n">
        <x:f>Model_Formula!$M$15*(Profiles_140!M137-Simulator!$L$13)^2*IF(Profiles_140!M137&gt;Simulator!$L$13,1+Model_Formula!$N$15,1)</x:f>
        <x:v>1600</x:v>
      </x:c>
      <x:c r="I141" s="66" t="n">
        <x:f>Model_Formula!$M$16*(Profiles_140!N137-Simulator!$L$14)^2*IF(Profiles_140!N137&gt;Simulator!$L$14,1+Model_Formula!$N$16,1)</x:f>
        <x:v>625</x:v>
      </x:c>
      <x:c r="J141" s="66" t="n">
        <x:f>Model_Formula!$M$17*(Profiles_140!O137-Simulator!$L$15)^2*IF(Profiles_140!O137&gt;Simulator!$L$15,1+Model_Formula!$N$17,1)</x:f>
        <x:v>100</x:v>
      </x:c>
      <x:c r="K141" s="66" t="n">
        <x:f>Model_Formula!$M$18*(Profiles_140!P137-Simulator!$L$16)^2*IF(Profiles_140!P137&gt;Simulator!$L$16,1+Model_Formula!$N$18,1)</x:f>
        <x:v>1102.5</x:v>
      </x:c>
      <x:c r="L141" s="66" t="n">
        <x:f>Model_Formula!$M$19*(Profiles_140!Q137-Simulator!$L$17)^2*IF(Profiles_140!Q137&gt;Simulator!$L$17,1+Model_Formula!$N$19,1)</x:f>
        <x:v>360</x:v>
      </x:c>
      <x:c r="M141" s="66" t="n">
        <x:f>Model_Formula!$M$20*(Profiles_140!R137-Simulator!$L$18)^2*IF(Profiles_140!R137&gt;Simulator!$L$18,1+Model_Formula!$N$20,1)</x:f>
        <x:v>100</x:v>
      </x:c>
      <x:c r="N141" s="66" t="n">
        <x:f>Model_Formula!$M$21*(Profiles_140!S137-Simulator!$L$19)^2*IF(Profiles_140!S137&gt;Simulator!$L$19,1+Model_Formula!$N$21,1)</x:f>
        <x:v>3000</x:v>
      </x:c>
      <x:c r="O141" s="66" t="n">
        <x:f>Model_Formula!$M$22*(Profiles_140!T137-Simulator!$L$20)^2*IF(Profiles_140!T137&gt;Simulator!$L$20,1+Model_Formula!$N$22,1)</x:f>
        <x:v>100</x:v>
      </x:c>
      <x:c r="P141" s="66" t="n">
        <x:f>Model_Formula!$M$23*(Profiles_140!U137-Simulator!$L$21)^2*IF(Profiles_140!U137&gt;Simulator!$L$21,1+Model_Formula!$N$23,1)</x:f>
        <x:v>1280</x:v>
      </x:c>
      <x:c r="Q141" s="66" t="n">
        <x:f>Model_Formula!$M$24*(Profiles_140!V137-Simulator!$L$22)^2*IF(Profiles_140!V137&gt;Simulator!$L$22,1+Model_Formula!$N$24,1)</x:f>
        <x:v>437.5</x:v>
      </x:c>
      <x:c r="R141" s="66" t="n">
        <x:f>Model_Formula!$M$25*(Profiles_140!W137-Simulator!$L$23)^2*IF(Profiles_140!W137&gt;Simulator!$L$23,1+Model_Formula!$N$25,1)</x:f>
        <x:v>135</x:v>
      </x:c>
      <x:c r="S141" s="66" t="n">
        <x:f>Model_Formula!$M$26*(Profiles_140!X137-Simulator!$L$24)^2*IF(Profiles_140!X137&gt;Simulator!$L$24,1+Model_Formula!$N$26,1)</x:f>
        <x:v>0</x:v>
      </x:c>
      <x:c r="T141" s="66" t="n">
        <x:f>Model_Formula!$M$27*(Profiles_140!Y137-Simulator!$L$25)^2*IF(Profiles_140!Y137&gt;Simulator!$L$25,1+Model_Formula!$N$27,1)</x:f>
        <x:v>1984.5000000000002</x:v>
      </x:c>
      <x:c r="U141" s="60" t="n">
        <x:f>SUM(F141:T141)/SUM(Model_Formula!$M$13:$M$27)</x:f>
        <x:v>937.8040540540542</x:v>
      </x:c>
      <x:c r="V141" s="60" t="n">
        <x:f>SQRT(U141)</x:f>
        <x:v>30.62358656418373</x:v>
      </x:c>
      <x:c r="W141" s="60" t="n">
        <x:f>MAX(0,100-V141)</x:f>
        <x:v>69.37641343581627</x:v>
      </x:c>
      <x:c r="X141" t="n">
        <x:f>RANK.EQ(W141,$W$6:$W$145,0)+COUNTIF($W$6:W141,W141)-1</x:f>
        <x:v>102</x:v>
      </x:c>
    </x:row>
    <x:row r="142">
      <x:c r="A142" t="str">
        <x:f>Profiles_140!A138</x:f>
        <x:v>ヤミラミ</x:v>
      </x:c>
      <x:c r="B142" t="str">
        <x:f>Profiles_140!C138</x:f>
        <x:v>ヤミラミ-1</x:v>
      </x:c>
      <x:c r="C142" t="str">
        <x:f>Profiles_140!D138</x:f>
        <x:v>共通プロファイル</x:v>
      </x:c>
      <x:c r="D142" t="str">
        <x:f>Profiles_140!B138</x:f>
        <x:v>サポート型</x:v>
      </x:c>
      <x:c r="E142" t="str">
        <x:f>Profiles_140!I138</x:f>
        <x:v>高</x:v>
      </x:c>
      <x:c r="F142" s="66" t="n">
        <x:f>Model_Formula!$M$13*(Profiles_140!K138-Simulator!$L$11)^2*IF(Profiles_140!K138&gt;Simulator!$L$11,1+Model_Formula!$N$13,1)</x:f>
        <x:v>0</x:v>
      </x:c>
      <x:c r="G142" s="66" t="n">
        <x:f>Model_Formula!$M$14*(Profiles_140!L138-Simulator!$L$12)^2*IF(Profiles_140!L138&gt;Simulator!$L$12,1+Model_Formula!$N$14,1)</x:f>
        <x:v>120</x:v>
      </x:c>
      <x:c r="H142" s="66" t="n">
        <x:f>Model_Formula!$M$15*(Profiles_140!M138-Simulator!$L$13)^2*IF(Profiles_140!M138&gt;Simulator!$L$13,1+Model_Formula!$N$15,1)</x:f>
        <x:v>225</x:v>
      </x:c>
      <x:c r="I142" s="66" t="n">
        <x:f>Model_Formula!$M$16*(Profiles_140!N138-Simulator!$L$14)^2*IF(Profiles_140!N138&gt;Simulator!$L$14,1+Model_Formula!$N$16,1)</x:f>
        <x:v>25</x:v>
      </x:c>
      <x:c r="J142" s="66" t="n">
        <x:f>Model_Formula!$M$17*(Profiles_140!O138-Simulator!$L$15)^2*IF(Profiles_140!O138&gt;Simulator!$L$15,1+Model_Formula!$N$17,1)</x:f>
        <x:v>0</x:v>
      </x:c>
      <x:c r="K142" s="66" t="n">
        <x:f>Model_Formula!$M$18*(Profiles_140!P138-Simulator!$L$16)^2*IF(Profiles_140!P138&gt;Simulator!$L$16,1+Model_Formula!$N$18,1)</x:f>
        <x:v>810</x:v>
      </x:c>
      <x:c r="L142" s="66" t="n">
        <x:f>Model_Formula!$M$19*(Profiles_140!Q138-Simulator!$L$17)^2*IF(Profiles_140!Q138&gt;Simulator!$L$17,1+Model_Formula!$N$19,1)</x:f>
        <x:v>0</x:v>
      </x:c>
      <x:c r="M142" s="66" t="n">
        <x:f>Model_Formula!$M$20*(Profiles_140!R138-Simulator!$L$18)^2*IF(Profiles_140!R138&gt;Simulator!$L$18,1+Model_Formula!$N$20,1)</x:f>
        <x:v>1600</x:v>
      </x:c>
      <x:c r="N142" s="66" t="n">
        <x:f>Model_Formula!$M$21*(Profiles_140!S138-Simulator!$L$19)^2*IF(Profiles_140!S138&gt;Simulator!$L$19,1+Model_Formula!$N$21,1)</x:f>
        <x:v>480</x:v>
      </x:c>
      <x:c r="O142" s="66" t="n">
        <x:f>Model_Formula!$M$22*(Profiles_140!T138-Simulator!$L$20)^2*IF(Profiles_140!T138&gt;Simulator!$L$20,1+Model_Formula!$N$22,1)</x:f>
        <x:v>900</x:v>
      </x:c>
      <x:c r="P142" s="66" t="n">
        <x:f>Model_Formula!$M$23*(Profiles_140!U138-Simulator!$L$21)^2*IF(Profiles_140!U138&gt;Simulator!$L$21,1+Model_Formula!$N$23,1)</x:f>
        <x:v>180</x:v>
      </x:c>
      <x:c r="Q142" s="66" t="n">
        <x:f>Model_Formula!$M$24*(Profiles_140!V138-Simulator!$L$22)^2*IF(Profiles_140!V138&gt;Simulator!$L$22,1+Model_Formula!$N$24,1)</x:f>
        <x:v>17.5</x:v>
      </x:c>
      <x:c r="R142" s="66" t="n">
        <x:f>Model_Formula!$M$25*(Profiles_140!W138-Simulator!$L$23)^2*IF(Profiles_140!W138&gt;Simulator!$L$23,1+Model_Formula!$N$25,1)</x:f>
        <x:v>960</x:v>
      </x:c>
      <x:c r="S142" s="66" t="n">
        <x:f>Model_Formula!$M$26*(Profiles_140!X138-Simulator!$L$24)^2*IF(Profiles_140!X138&gt;Simulator!$L$24,1+Model_Formula!$N$26,1)</x:f>
        <x:v>2047.5</x:v>
      </x:c>
      <x:c r="T142" s="66" t="n">
        <x:f>Model_Formula!$M$27*(Profiles_140!Y138-Simulator!$L$25)^2*IF(Profiles_140!Y138&gt;Simulator!$L$25,1+Model_Formula!$N$27,1)</x:f>
        <x:v>4050.0000000000005</x:v>
      </x:c>
      <x:c r="U142" s="60" t="n">
        <x:f>SUM(F142:T142)/SUM(Model_Formula!$M$13:$M$27)</x:f>
        <x:v>771.2837837837839</x:v>
      </x:c>
      <x:c r="V142" s="60" t="n">
        <x:f>SQRT(U142)</x:f>
        <x:v>27.77199639535811</x:v>
      </x:c>
      <x:c r="W142" s="60" t="n">
        <x:f>MAX(0,100-V142)</x:f>
        <x:v>72.22800360464188</x:v>
      </x:c>
      <x:c r="X142" t="n">
        <x:f>RANK.EQ(W142,$W$6:$W$145,0)+COUNTIF($W$6:W142,W142)-1</x:f>
        <x:v>63</x:v>
      </x:c>
    </x:row>
    <x:row r="143">
      <x:c r="A143" t="str">
        <x:f>Profiles_140!A139</x:f>
        <x:v>ラティアス</x:v>
      </x:c>
      <x:c r="B143" t="str">
        <x:f>Profiles_140!C139</x:f>
        <x:v>ラティアス-1</x:v>
      </x:c>
      <x:c r="C143" t="str">
        <x:f>Profiles_140!D139</x:f>
        <x:v>共通プロファイル</x:v>
      </x:c>
      <x:c r="D143" t="str">
        <x:f>Profiles_140!B139</x:f>
        <x:v>サポート型</x:v>
      </x:c>
      <x:c r="E143" t="str">
        <x:f>Profiles_140!I139</x:f>
        <x:v>高</x:v>
      </x:c>
      <x:c r="F143" s="66" t="n">
        <x:f>Model_Formula!$M$13*(Profiles_140!K139-Simulator!$L$11)^2*IF(Profiles_140!K139&gt;Simulator!$L$11,1+Model_Formula!$N$13,1)</x:f>
        <x:v>400</x:v>
      </x:c>
      <x:c r="G143" s="66" t="n">
        <x:f>Model_Formula!$M$14*(Profiles_140!L139-Simulator!$L$12)^2*IF(Profiles_140!L139&gt;Simulator!$L$12,1+Model_Formula!$N$14,1)</x:f>
        <x:v>1470</x:v>
      </x:c>
      <x:c r="H143" s="66" t="n">
        <x:f>Model_Formula!$M$15*(Profiles_140!M139-Simulator!$L$13)^2*IF(Profiles_140!M139&gt;Simulator!$L$13,1+Model_Formula!$N$15,1)</x:f>
        <x:v>625</x:v>
      </x:c>
      <x:c r="I143" s="66" t="n">
        <x:f>Model_Formula!$M$16*(Profiles_140!N139-Simulator!$L$14)^2*IF(Profiles_140!N139&gt;Simulator!$L$14,1+Model_Formula!$N$16,1)</x:f>
        <x:v>400</x:v>
      </x:c>
      <x:c r="J143" s="66" t="n">
        <x:f>Model_Formula!$M$17*(Profiles_140!O139-Simulator!$L$15)^2*IF(Profiles_140!O139&gt;Simulator!$L$15,1+Model_Formula!$N$17,1)</x:f>
        <x:v>25</x:v>
      </x:c>
      <x:c r="K143" s="66" t="n">
        <x:f>Model_Formula!$M$18*(Profiles_140!P139-Simulator!$L$16)^2*IF(Profiles_140!P139&gt;Simulator!$L$16,1+Model_Formula!$N$18,1)</x:f>
        <x:v>562.5</x:v>
      </x:c>
      <x:c r="L143" s="66" t="n">
        <x:f>Model_Formula!$M$19*(Profiles_140!Q139-Simulator!$L$17)^2*IF(Profiles_140!Q139&gt;Simulator!$L$17,1+Model_Formula!$N$19,1)</x:f>
        <x:v>0</x:v>
      </x:c>
      <x:c r="M143" s="66" t="n">
        <x:f>Model_Formula!$M$20*(Profiles_140!R139-Simulator!$L$18)^2*IF(Profiles_140!R139&gt;Simulator!$L$18,1+Model_Formula!$N$20,1)</x:f>
        <x:v>25</x:v>
      </x:c>
      <x:c r="N143" s="66" t="n">
        <x:f>Model_Formula!$M$21*(Profiles_140!S139-Simulator!$L$19)^2*IF(Profiles_140!S139&gt;Simulator!$L$19,1+Model_Formula!$N$21,1)</x:f>
        <x:v>2430</x:v>
      </x:c>
      <x:c r="O143" s="66" t="n">
        <x:f>Model_Formula!$M$22*(Profiles_140!T139-Simulator!$L$20)^2*IF(Profiles_140!T139&gt;Simulator!$L$20,1+Model_Formula!$N$22,1)</x:f>
        <x:v>25</x:v>
      </x:c>
      <x:c r="P143" s="66" t="n">
        <x:f>Model_Formula!$M$23*(Profiles_140!U139-Simulator!$L$21)^2*IF(Profiles_140!U139&gt;Simulator!$L$21,1+Model_Formula!$N$23,1)</x:f>
        <x:v>500</x:v>
      </x:c>
      <x:c r="Q143" s="66" t="n">
        <x:f>Model_Formula!$M$24*(Profiles_140!V139-Simulator!$L$22)^2*IF(Profiles_140!V139&gt;Simulator!$L$22,1+Model_Formula!$N$24,1)</x:f>
        <x:v>70</x:v>
      </x:c>
      <x:c r="R143" s="66" t="n">
        <x:f>Model_Formula!$M$25*(Profiles_140!W139-Simulator!$L$23)^2*IF(Profiles_140!W139&gt;Simulator!$L$23,1+Model_Formula!$N$25,1)</x:f>
        <x:v>60</x:v>
      </x:c>
      <x:c r="S143" s="66" t="n">
        <x:f>Model_Formula!$M$26*(Profiles_140!X139-Simulator!$L$24)^2*IF(Profiles_140!X139&gt;Simulator!$L$24,1+Model_Formula!$N$26,1)</x:f>
        <x:v>56.875</x:v>
      </x:c>
      <x:c r="T143" s="66" t="n">
        <x:f>Model_Formula!$M$27*(Profiles_140!Y139-Simulator!$L$25)^2*IF(Profiles_140!Y139&gt;Simulator!$L$25,1+Model_Formula!$N$27,1)</x:f>
        <x:v>1984.5000000000002</x:v>
      </x:c>
      <x:c r="U143" s="60" t="n">
        <x:f>SUM(F143:T143)/SUM(Model_Formula!$M$13:$M$27)</x:f>
        <x:v>583.3699324324325</x:v>
      </x:c>
      <x:c r="V143" s="60" t="n">
        <x:f>SQRT(U143)</x:f>
        <x:v>24.153052238432153</x:v>
      </x:c>
      <x:c r="W143" s="60" t="n">
        <x:f>MAX(0,100-V143)</x:f>
        <x:v>75.84694776156785</x:v>
      </x:c>
      <x:c r="X143" t="n">
        <x:f>RANK.EQ(W143,$W$6:$W$145,0)+COUNTIF($W$6:W143,W143)-1</x:f>
        <x:v>25</x:v>
      </x:c>
    </x:row>
    <x:row r="144">
      <x:c r="A144" t="str">
        <x:f>Profiles_140!A140</x:f>
        <x:v>ワタシラガ</x:v>
      </x:c>
      <x:c r="B144" t="str">
        <x:f>Profiles_140!C140</x:f>
        <x:v>ワタシラガ-1</x:v>
      </x:c>
      <x:c r="C144" t="str">
        <x:f>Profiles_140!D140</x:f>
        <x:v>かふんだんご＋コットンガード</x:v>
      </x:c>
      <x:c r="D144" t="str">
        <x:f>Profiles_140!B140</x:f>
        <x:v>サポート型</x:v>
      </x:c>
      <x:c r="E144" t="str">
        <x:f>Profiles_140!I140</x:f>
        <x:v>高</x:v>
      </x:c>
      <x:c r="F144" s="66" t="n">
        <x:f>Model_Formula!$M$13*(Profiles_140!K140-Simulator!$L$11)^2*IF(Profiles_140!K140&gt;Simulator!$L$11,1+Model_Formula!$N$13,1)</x:f>
        <x:v>625</x:v>
      </x:c>
      <x:c r="G144" s="66" t="n">
        <x:f>Model_Formula!$M$14*(Profiles_140!L140-Simulator!$L$12)^2*IF(Profiles_140!L140&gt;Simulator!$L$12,1+Model_Formula!$N$14,1)</x:f>
        <x:v>2430</x:v>
      </x:c>
      <x:c r="H144" s="66" t="n">
        <x:f>Model_Formula!$M$15*(Profiles_140!M140-Simulator!$L$13)^2*IF(Profiles_140!M140&gt;Simulator!$L$13,1+Model_Formula!$N$15,1)</x:f>
        <x:v>2500</x:v>
      </x:c>
      <x:c r="I144" s="66" t="n">
        <x:f>Model_Formula!$M$16*(Profiles_140!N140-Simulator!$L$14)^2*IF(Profiles_140!N140&gt;Simulator!$L$14,1+Model_Formula!$N$16,1)</x:f>
        <x:v>625</x:v>
      </x:c>
      <x:c r="J144" s="66" t="n">
        <x:f>Model_Formula!$M$17*(Profiles_140!O140-Simulator!$L$15)^2*IF(Profiles_140!O140&gt;Simulator!$L$15,1+Model_Formula!$N$17,1)</x:f>
        <x:v>100</x:v>
      </x:c>
      <x:c r="K144" s="66" t="n">
        <x:f>Model_Formula!$M$18*(Profiles_140!P140-Simulator!$L$16)^2*IF(Profiles_140!P140&gt;Simulator!$L$16,1+Model_Formula!$N$18,1)</x:f>
        <x:v>1102.5</x:v>
      </x:c>
      <x:c r="L144" s="66" t="n">
        <x:f>Model_Formula!$M$19*(Profiles_140!Q140-Simulator!$L$17)^2*IF(Profiles_140!Q140&gt;Simulator!$L$17,1+Model_Formula!$N$19,1)</x:f>
        <x:v>562.5</x:v>
      </x:c>
      <x:c r="M144" s="66" t="n">
        <x:f>Model_Formula!$M$20*(Profiles_140!R140-Simulator!$L$18)^2*IF(Profiles_140!R140&gt;Simulator!$L$18,1+Model_Formula!$N$20,1)</x:f>
        <x:v>100</x:v>
      </x:c>
      <x:c r="N144" s="66" t="n">
        <x:f>Model_Formula!$M$21*(Profiles_140!S140-Simulator!$L$19)^2*IF(Profiles_140!S140&gt;Simulator!$L$19,1+Model_Formula!$N$21,1)</x:f>
        <x:v>3000</x:v>
      </x:c>
      <x:c r="O144" s="66" t="n">
        <x:f>Model_Formula!$M$22*(Profiles_140!T140-Simulator!$L$20)^2*IF(Profiles_140!T140&gt;Simulator!$L$20,1+Model_Formula!$N$22,1)</x:f>
        <x:v>225</x:v>
      </x:c>
      <x:c r="P144" s="66" t="n">
        <x:f>Model_Formula!$M$23*(Profiles_140!U140-Simulator!$L$21)^2*IF(Profiles_140!U140&gt;Simulator!$L$21,1+Model_Formula!$N$23,1)</x:f>
        <x:v>1280</x:v>
      </x:c>
      <x:c r="Q144" s="66" t="n">
        <x:f>Model_Formula!$M$24*(Profiles_140!V140-Simulator!$L$22)^2*IF(Profiles_140!V140&gt;Simulator!$L$22,1+Model_Formula!$N$24,1)</x:f>
        <x:v>437.5</x:v>
      </x:c>
      <x:c r="R144" s="66" t="n">
        <x:f>Model_Formula!$M$25*(Profiles_140!W140-Simulator!$L$23)^2*IF(Profiles_140!W140&gt;Simulator!$L$23,1+Model_Formula!$N$25,1)</x:f>
        <x:v>135</x:v>
      </x:c>
      <x:c r="S144" s="66" t="n">
        <x:f>Model_Formula!$M$26*(Profiles_140!X140-Simulator!$L$24)^2*IF(Profiles_140!X140&gt;Simulator!$L$24,1+Model_Formula!$N$26,1)</x:f>
        <x:v>0</x:v>
      </x:c>
      <x:c r="T144" s="66" t="n">
        <x:f>Model_Formula!$M$27*(Profiles_140!Y140-Simulator!$L$25)^2*IF(Profiles_140!Y140&gt;Simulator!$L$25,1+Model_Formula!$N$27,1)</x:f>
        <x:v>2592</x:v>
      </x:c>
      <x:c r="U144" s="60" t="n">
        <x:f>SUM(F144:T144)/SUM(Model_Formula!$M$13:$M$27)</x:f>
        <x:v>1061.7905405405406</x:v>
      </x:c>
      <x:c r="V144" s="60" t="n">
        <x:f>SQRT(U144)</x:f>
        <x:v>32.58512759742611</x:v>
      </x:c>
      <x:c r="W144" s="60" t="n">
        <x:f>MAX(0,100-V144)</x:f>
        <x:v>67.41487240257389</x:v>
      </x:c>
      <x:c r="X144" t="n">
        <x:f>RANK.EQ(W144,$W$6:$W$145,0)+COUNTIF($W$6:W144,W144)-1</x:f>
        <x:v>116</x:v>
      </x:c>
    </x:row>
    <x:row r="145">
      <x:c r="A145" t="str">
        <x:f>Profiles_140!A141</x:f>
        <x:v>ワタシラガ</x:v>
      </x:c>
      <x:c r="B145" t="str">
        <x:f>Profiles_140!C141</x:f>
        <x:v>ワタシラガ-2</x:v>
      </x:c>
      <x:c r="C145" t="str">
        <x:f>Profiles_140!D141</x:f>
        <x:v>グラスミキサー＋わたほうし</x:v>
      </x:c>
      <x:c r="D145" t="str">
        <x:f>Profiles_140!B141</x:f>
        <x:v>サポート型</x:v>
      </x:c>
      <x:c r="E145" t="str">
        <x:f>Profiles_140!I141</x:f>
        <x:v>高</x:v>
      </x:c>
      <x:c r="F145" s="66" t="n">
        <x:f>Model_Formula!$M$13*(Profiles_140!K141-Simulator!$L$11)^2*IF(Profiles_140!K141&gt;Simulator!$L$11,1+Model_Formula!$N$13,1)</x:f>
        <x:v>400</x:v>
      </x:c>
      <x:c r="G145" s="66" t="n">
        <x:f>Model_Formula!$M$14*(Profiles_140!L141-Simulator!$L$12)^2*IF(Profiles_140!L141&gt;Simulator!$L$12,1+Model_Formula!$N$14,1)</x:f>
        <x:v>1470</x:v>
      </x:c>
      <x:c r="H145" s="66" t="n">
        <x:f>Model_Formula!$M$15*(Profiles_140!M141-Simulator!$L$13)^2*IF(Profiles_140!M141&gt;Simulator!$L$13,1+Model_Formula!$N$15,1)</x:f>
        <x:v>625</x:v>
      </x:c>
      <x:c r="I145" s="66" t="n">
        <x:f>Model_Formula!$M$16*(Profiles_140!N141-Simulator!$L$14)^2*IF(Profiles_140!N141&gt;Simulator!$L$14,1+Model_Formula!$N$16,1)</x:f>
        <x:v>400</x:v>
      </x:c>
      <x:c r="J145" s="66" t="n">
        <x:f>Model_Formula!$M$17*(Profiles_140!O141-Simulator!$L$15)^2*IF(Profiles_140!O141&gt;Simulator!$L$15,1+Model_Formula!$N$17,1)</x:f>
        <x:v>25</x:v>
      </x:c>
      <x:c r="K145" s="66" t="n">
        <x:f>Model_Formula!$M$18*(Profiles_140!P141-Simulator!$L$16)^2*IF(Profiles_140!P141&gt;Simulator!$L$16,1+Model_Formula!$N$18,1)</x:f>
        <x:v>562.5</x:v>
      </x:c>
      <x:c r="L145" s="66" t="n">
        <x:f>Model_Formula!$M$19*(Profiles_140!Q141-Simulator!$L$17)^2*IF(Profiles_140!Q141&gt;Simulator!$L$17,1+Model_Formula!$N$19,1)</x:f>
        <x:v>0</x:v>
      </x:c>
      <x:c r="M145" s="66" t="n">
        <x:f>Model_Formula!$M$20*(Profiles_140!R141-Simulator!$L$18)^2*IF(Profiles_140!R141&gt;Simulator!$L$18,1+Model_Formula!$N$20,1)</x:f>
        <x:v>225</x:v>
      </x:c>
      <x:c r="N145" s="66" t="n">
        <x:f>Model_Formula!$M$21*(Profiles_140!S141-Simulator!$L$19)^2*IF(Profiles_140!S141&gt;Simulator!$L$19,1+Model_Formula!$N$21,1)</x:f>
        <x:v>30</x:v>
      </x:c>
      <x:c r="O145" s="66" t="n">
        <x:f>Model_Formula!$M$22*(Profiles_140!T141-Simulator!$L$20)^2*IF(Profiles_140!T141&gt;Simulator!$L$20,1+Model_Formula!$N$22,1)</x:f>
        <x:v>225</x:v>
      </x:c>
      <x:c r="P145" s="66" t="n">
        <x:f>Model_Formula!$M$23*(Profiles_140!U141-Simulator!$L$21)^2*IF(Profiles_140!U141&gt;Simulator!$L$21,1+Model_Formula!$N$23,1)</x:f>
        <x:v>500</x:v>
      </x:c>
      <x:c r="Q145" s="66" t="n">
        <x:f>Model_Formula!$M$24*(Profiles_140!V141-Simulator!$L$22)^2*IF(Profiles_140!V141&gt;Simulator!$L$22,1+Model_Formula!$N$24,1)</x:f>
        <x:v>70</x:v>
      </x:c>
      <x:c r="R145" s="66" t="n">
        <x:f>Model_Formula!$M$25*(Profiles_140!W141-Simulator!$L$23)^2*IF(Profiles_140!W141&gt;Simulator!$L$23,1+Model_Formula!$N$25,1)</x:f>
        <x:v>15</x:v>
      </x:c>
      <x:c r="S145" s="66" t="n">
        <x:f>Model_Formula!$M$26*(Profiles_140!X141-Simulator!$L$24)^2*IF(Profiles_140!X141&gt;Simulator!$L$24,1+Model_Formula!$N$26,1)</x:f>
        <x:v>56.875</x:v>
      </x:c>
      <x:c r="T145" s="66" t="n">
        <x:f>Model_Formula!$M$27*(Profiles_140!Y141-Simulator!$L$25)^2*IF(Profiles_140!Y141&gt;Simulator!$L$25,1+Model_Formula!$N$27,1)</x:f>
        <x:v>1984.5000000000002</x:v>
      </x:c>
      <x:c r="U145" s="60" t="n">
        <x:f>SUM(F145:T145)/SUM(Model_Formula!$M$13:$M$27)</x:f>
        <x:v>445.1942567567568</x:v>
      </x:c>
      <x:c r="V145" s="60" t="n">
        <x:f>SQRT(U145)</x:f>
        <x:v>21.099626934065842</x:v>
      </x:c>
      <x:c r="W145" s="60" t="n">
        <x:f>MAX(0,100-V145)</x:f>
        <x:v>78.90037306593416</x:v>
      </x:c>
      <x:c r="X145" t="n">
        <x:f>RANK.EQ(W145,$W$6:$W$145,0)+COUNTIF($W$6:W145,W145)-1</x:f>
        <x:v>4</x:v>
      </x:c>
    </x:row>
  </x:sheetData>
  <x:mergeCells>
    <x:mergeCell ref="A1:X2"/>
    <x:mergeCell ref="A3:X3"/>
  </x:mergeCells>
  <x:conditionalFormatting sqref="W6:W145">
    <x:cfRule type="dataBar" priority="1">
      <x:dataBar>
        <x:cfvo type="min"/>
        <x:cfvo type="max"/>
        <x:color rgb="FFA02B93"/>
      </x:dataBar>
      <x:extLst>
        <x:ext xmlns:x14="http://schemas.microsoft.com/office/spreadsheetml/2009/9/main" uri="{B025F937-C7B1-47D3-B67F-A62EFF666E3E}">
          <x14:id>{AF83004D-0BA4-B0BD-B253-BC776CE92DC4}</x14:id>
        </x:ext>
      </x:extLst>
    </x:cfRule>
  </x:conditionalFormatting>
  <x:pageMargins left="0.7" right="0.7" top="0.75" bottom="0.75" header="0.3" footer="0.3"/>
  <x:tableParts count="1">
    <x:tablePart xmlns:r="http://schemas.openxmlformats.org/officeDocument/2006/relationships" r:id="Raf70b63eea4a4bef"/>
  </x:tableParts>
  <x:extLst>
    <x:ext xmlns:x14="http://schemas.microsoft.com/office/spreadsheetml/2009/9/main" xmlns:xm="http://schemas.microsoft.com/office/excel/2006/main" uri="{78C0D931-6437-407d-A8EE-F0AAD7539E65}">
      <x14:conditionalFormattings>
        <x14:conditionalFormatting>
          <x14:cfRule type="dataBar" priority="1" id="{AF83004D-0BA4-B0BD-B253-BC776CE92DC4}">
            <x14:dataBar gradient="1">
              <x14:cfvo type="min"/>
              <x14:cfvo type="max"/>
              <x14:fillColor rgb="FFA02B93"/>
            </x14:dataBar>
          </x14:cfRule>
          <xm:sqref>W6:W145</xm:sqref>
        </x14:conditionalFormatting>
      </x14:conditionalFormattings>
    </x:ext>
  </x:extLst>
</x:worksheet>
</file>