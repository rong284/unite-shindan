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6b50d5b073b40a3" /></Relationships>
</file>

<file path=xl/workbook.xml><?xml version="1.0" encoding="utf-8"?>
<x:workbook xmlns:x="http://schemas.openxmlformats.org/spreadsheetml/2006/main">
  <x:sheets>
    <x:sheet xmlns:r="http://schemas.openxmlformats.org/officeDocument/2006/relationships" name="README" sheetId="1" r:id="R5412f89c5d4f4693"/>
    <x:sheet xmlns:r="http://schemas.openxmlformats.org/officeDocument/2006/relationships" name="Roster_100" sheetId="2" r:id="Rdf82c1a8cbf14e48"/>
    <x:sheet xmlns:r="http://schemas.openxmlformats.org/officeDocument/2006/relationships" name="Profiles_140" sheetId="3" r:id="R7baea5c4aa304c51"/>
    <x:sheet xmlns:r="http://schemas.openxmlformats.org/officeDocument/2006/relationships" name="Axes" sheetId="4" r:id="Re15069a1c49c4f77"/>
    <x:sheet xmlns:r="http://schemas.openxmlformats.org/officeDocument/2006/relationships" name="Archetypes" sheetId="5" r:id="Ra1d6ef4e9baa45bd"/>
    <x:sheet xmlns:r="http://schemas.openxmlformats.org/officeDocument/2006/relationships" name="Split_Builds_40" sheetId="6" r:id="Rb6ed5199fa234b88"/>
    <x:sheet xmlns:r="http://schemas.openxmlformats.org/officeDocument/2006/relationships" name="Sources" sheetId="7" r:id="R978d20291f7243a7"/>
    <x:sheet xmlns:r="http://schemas.openxmlformats.org/officeDocument/2006/relationships" name="Questions_30" sheetId="8" r:id="R826c0bf5a83a4273"/>
    <x:sheet xmlns:r="http://schemas.openxmlformats.org/officeDocument/2006/relationships" name="Model_Formula" sheetId="9" r:id="Rdca36211047b4530"/>
    <x:sheet xmlns:r="http://schemas.openxmlformats.org/officeDocument/2006/relationships" name="Simulator" sheetId="10" r:id="R05346d1dcc1d476d"/>
    <x:sheet xmlns:r="http://schemas.openxmlformats.org/officeDocument/2006/relationships" name="Match_140" sheetId="11" r:id="R419383f0615a4f4d"/>
    <x:sheet xmlns:r="http://schemas.openxmlformats.org/officeDocument/2006/relationships" name="Calibration_Audit" sheetId="12" r:id="Rbeb74788bc874a6a"/>
    <x:sheet xmlns:r="http://schemas.openxmlformats.org/officeDocument/2006/relationships" name="Question_Design" sheetId="13" r:id="R1af32dd731534cc4"/>
    <x:sheet xmlns:r="http://schemas.openxmlformats.org/officeDocument/2006/relationships" name="Personality_Axes" sheetId="14" r:id="R3b0519e7dcab48c2"/>
    <x:sheet xmlns:r="http://schemas.openxmlformats.org/officeDocument/2006/relationships" name="Interaction_Model" sheetId="15" r:id="Rf714a610cc0745a8"/>
    <x:sheet xmlns:r="http://schemas.openxmlformats.org/officeDocument/2006/relationships" name="Percentile_Calibration" sheetId="16" r:id="R2b0db37cc1e74632"/>
    <x:sheet xmlns:r="http://schemas.openxmlformats.org/officeDocument/2006/relationships" name="Distinctiveness_Audit" sheetId="17" r:id="Rd8458787b8d84f19"/>
    <x:sheet xmlns:r="http://schemas.openxmlformats.org/officeDocument/2006/relationships" name="Signature_Modifiers" sheetId="18" r:id="R1d60333a23ca4271"/>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
    <x:numFmt numFmtId="201" formatCode="0"/>
    <x:numFmt numFmtId="202" formatCode="0.0"/>
    <x:numFmt numFmtId="203" formatCode="@"/>
    <x:numFmt numFmtId="204" formatCode="0.00%"/>
    <x:numFmt numFmtId="205" formatCode="0%"/>
    <x:numFmt numFmtId="206" formatCode="0.0%"/>
  </x:numFmts>
  <x:fonts count="11">
    <x:font>
      <x:sz val="11"/>
      <x:name val="Carlito"/>
    </x:font>
    <x:font>
      <x:b/>
      <x:sz val="20"/>
      <x:color rgb="FFFFFFFF"/>
      <x:name val="Carlito"/>
    </x:font>
    <x:font>
      <x:b/>
      <x:sz val="11"/>
      <x:name val="Carlito"/>
    </x:font>
    <x:font>
      <x:b/>
      <x:sz val="11"/>
      <x:color rgb="FFFFFFFF"/>
      <x:name val="Carlito"/>
    </x:font>
    <x:font>
      <x:b/>
      <x:sz val="10"/>
      <x:color rgb="FFFFFFFF"/>
      <x:name val="Aptos"/>
    </x:font>
    <x:font>
      <x:sz val="10"/>
      <x:name val="Aptos"/>
    </x:font>
    <x:font>
      <x:b/>
      <x:sz val="10"/>
      <x:name val="Aptos"/>
    </x:font>
    <x:font>
      <x:b/>
      <x:sz val="19"/>
      <x:color rgb="FFFFFFFF"/>
      <x:name val="Carlito"/>
    </x:font>
    <x:font>
      <x:b/>
      <x:sz val="18"/>
      <x:color rgb="FFFFFFFF"/>
      <x:name val="Carlito"/>
    </x:font>
    <x:font>
      <x:i/>
      <x:sz val="11"/>
      <x:name val="Carlito"/>
    </x:font>
    <x:font>
      <x:b/>
      <x:sz val="20"/>
      <x:color rgb="FFFFFFFF"/>
      <x:name val="Aptos"/>
    </x:font>
  </x:fonts>
  <x:fills count="42">
    <x:fill>
      <x:patternFill patternType="none"/>
    </x:fill>
    <x:fill>
      <x:patternFill patternType="gray125"/>
    </x:fill>
    <x:fill>
      <x:patternFill patternType="solid">
        <x:fgColor rgb="FF172554"/>
      </x:patternFill>
    </x:fill>
    <x:fill>
      <x:patternFill patternType="solid">
        <x:fgColor rgb="FFDBEAFE"/>
      </x:patternFill>
    </x:fill>
    <x:fill>
      <x:patternFill patternType="solid">
        <x:fgColor rgb="FF1E3A8A"/>
      </x:patternFill>
    </x:fill>
    <x:fill>
      <x:patternFill patternType="solid">
        <x:fgColor rgb="FFEFF6FF"/>
      </x:patternFill>
    </x:fill>
    <x:fill>
      <x:patternFill patternType="solid">
        <x:fgColor rgb="FF172554"/>
      </x:patternFill>
    </x:fill>
    <x:fill>
      <x:patternFill patternType="solid">
        <x:fgColor rgb="FFFEF3C7"/>
      </x:patternFill>
    </x:fill>
    <x:fill>
      <x:patternFill patternType="solid">
        <x:fgColor rgb="FF1E3A8A"/>
      </x:patternFill>
    </x:fill>
    <x:fill>
      <x:patternFill patternType="solid">
        <x:fgColor rgb="FF0F766E"/>
      </x:patternFill>
    </x:fill>
    <x:fill>
      <x:patternFill patternType="solid">
        <x:fgColor rgb="FF7C3AED"/>
      </x:patternFill>
    </x:fill>
    <x:fill>
      <x:patternFill patternType="solid">
        <x:fgColor rgb="FFEFF6FF"/>
      </x:patternFill>
    </x:fill>
    <x:fill>
      <x:patternFill patternType="solid">
        <x:fgColor rgb="FFDBEAFE"/>
      </x:patternFill>
    </x:fill>
    <x:fill>
      <x:patternFill patternType="solid">
        <x:fgColor rgb="FF1E3A8A"/>
      </x:patternFill>
    </x:fill>
    <x:fill>
      <x:patternFill patternType="solid">
        <x:fgColor rgb="FF0F766E"/>
      </x:patternFill>
    </x:fill>
    <x:fill>
      <x:patternFill patternType="solid">
        <x:fgColor rgb="FF7C3AED"/>
      </x:patternFill>
    </x:fill>
    <x:fill>
      <x:patternFill patternType="solid">
        <x:fgColor rgb="FFFEF3C7"/>
      </x:patternFill>
    </x:fill>
    <x:fill>
      <x:patternFill patternType="solid">
        <x:fgColor rgb="FFEFF6FF"/>
      </x:patternFill>
    </x:fill>
    <x:fill>
      <x:patternFill patternType="solid">
        <x:fgColor rgb="FF172554"/>
      </x:patternFill>
    </x:fill>
    <x:fill>
      <x:patternFill patternType="solid">
        <x:fgColor rgb="FFDBEAFE"/>
      </x:patternFill>
    </x:fill>
    <x:fill>
      <x:patternFill patternType="solid">
        <x:fgColor rgb="FF1E3A8A"/>
      </x:patternFill>
    </x:fill>
    <x:fill>
      <x:patternFill patternType="solid">
        <x:fgColor rgb="FF0F766E"/>
      </x:patternFill>
    </x:fill>
    <x:fill>
      <x:patternFill patternType="solid">
        <x:fgColor rgb="FF7C3AED"/>
      </x:patternFill>
    </x:fill>
    <x:fill>
      <x:patternFill patternType="solid">
        <x:fgColor rgb="FF475569"/>
      </x:patternFill>
    </x:fill>
    <x:fill>
      <x:patternFill patternType="solid">
        <x:fgColor rgb="FF172554"/>
      </x:patternFill>
    </x:fill>
    <x:fill>
      <x:patternFill patternType="solid">
        <x:fgColor rgb="FFFEF3C7"/>
      </x:patternFill>
    </x:fill>
    <x:fill>
      <x:patternFill patternType="solid">
        <x:fgColor rgb="FF1E3A8A"/>
      </x:patternFill>
    </x:fill>
    <x:fill>
      <x:patternFill patternType="solid">
        <x:fgColor rgb="FF172554"/>
      </x:patternFill>
    </x:fill>
    <x:fill>
      <x:patternFill patternType="solid">
        <x:fgColor rgb="FFFEF3C7"/>
      </x:patternFill>
    </x:fill>
    <x:fill>
      <x:patternFill patternType="solid">
        <x:fgColor rgb="FF0F766E"/>
      </x:patternFill>
    </x:fill>
    <x:fill>
      <x:patternFill patternType="solid">
        <x:fgColor rgb="FF7C3AED"/>
      </x:patternFill>
    </x:fill>
    <x:fill>
      <x:patternFill patternType="solid">
        <x:fgColor rgb="FF475569"/>
      </x:patternFill>
    </x:fill>
    <x:fill>
      <x:patternFill patternType="solid">
        <x:fgColor rgb="FFEFF6FF"/>
      </x:patternFill>
    </x:fill>
    <x:fill>
      <x:patternFill patternType="solid">
        <x:fgColor rgb="FFDBEAFE"/>
      </x:patternFill>
    </x:fill>
    <x:fill>
      <x:patternFill patternType="solid">
        <x:fgColor rgb="FF172554"/>
      </x:patternFill>
    </x:fill>
    <x:fill>
      <x:patternFill patternType="solid">
        <x:fgColor rgb="FFFEF3C7"/>
      </x:patternFill>
    </x:fill>
    <x:fill>
      <x:patternFill patternType="solid">
        <x:fgColor rgb="FF1E3A8A"/>
      </x:patternFill>
    </x:fill>
    <x:fill>
      <x:patternFill patternType="solid">
        <x:fgColor rgb="FFDBEAFE"/>
      </x:patternFill>
    </x:fill>
    <x:fill>
      <x:patternFill patternType="solid">
        <x:fgColor rgb="FF1E3A8A"/>
      </x:patternFill>
    </x:fill>
    <x:fill>
      <x:patternFill patternType="solid">
        <x:fgColor rgb="FF172554"/>
      </x:patternFill>
    </x:fill>
    <x:fill>
      <x:patternFill patternType="solid">
        <x:fgColor rgb="FFFEF3C7"/>
      </x:patternFill>
    </x:fill>
    <x:fill>
      <x:patternFill patternType="solid">
        <x:fgColor rgb="FFDBEAFE"/>
      </x:patternFill>
    </x:fill>
  </x:fills>
  <x:borders count="2">
    <x:border/>
    <x:border/>
  </x:borders>
  <x:cellStyleXfs count="1">
    <x:xf numFmtId="0" fontId="0" fillId="0" borderId="0"/>
  </x:cellStyleXfs>
  <x:cellXfs count="22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2" fillId="5" borderId="0" xfId="0" applyNumberFormat="1" applyFont="1" applyFill="1" applyBorder="1"/>
    <x:xf numFmtId="0" fontId="2" fillId="5" borderId="0" xfId="0" applyNumberFormat="1" applyFont="1" applyFill="1" applyBorder="1" applyAlignment="1">
      <x:alignment horizontal="center"/>
    </x:xf>
    <x:xf numFmtId="0" fontId="0" fillId="5" borderId="1" xfId="0" applyNumberFormat="1" applyFont="1" applyFill="1" applyBorder="1"/>
    <x:xf numFmtId="0" fontId="2" fillId="5" borderId="1" xfId="0" applyNumberFormat="1" applyFont="1" applyFill="1" applyBorder="1"/>
    <x:xf numFmtId="0" fontId="2" fillId="5" borderId="1" xfId="0" applyNumberFormat="1" applyFont="1" applyFill="1" applyBorder="1" applyAlignment="1">
      <x:alignment horizontal="center"/>
    </x:xf>
    <x:xf numFmtId="0" fontId="4" fillId="2" borderId="0" xfId="0" applyNumberFormat="1" applyFont="1" applyFill="1" applyBorder="1" applyAlignment="1">
      <x:alignment vertical="center"/>
    </x:xf>
    <x:xf numFmtId="0" fontId="5" fillId="0" borderId="0" xfId="0" applyNumberFormat="1" applyFont="1" applyFill="1" applyBorder="1"/>
    <x:xf numFmtId="0" fontId="6" fillId="3" borderId="0" xfId="0" applyNumberFormat="1" applyFont="1" applyFill="1" applyBorder="1"/>
    <x:xf numFmtId="0" fontId="5" fillId="0" borderId="0" xfId="0" applyNumberFormat="1" applyFont="1" applyFill="1" applyBorder="1" applyAlignment="1">
      <x:alignment wrapText="1"/>
    </x:xf>
    <x:xf numFmtId="0" fontId="4" fillId="4"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x:xf>
    <x:xf numFmtId="0" fontId="4" fillId="2" borderId="1" xfId="0" applyNumberFormat="1" applyFont="1" applyFill="1" applyBorder="1" applyAlignment="1">
      <x:alignment vertical="center"/>
    </x:xf>
    <x:xf numFmtId="0" fontId="5" fillId="0" borderId="1" xfId="0" applyNumberFormat="1" applyFont="1" applyFill="1" applyBorder="1"/>
    <x:xf numFmtId="0" fontId="6" fillId="3" borderId="1" xfId="0" applyNumberFormat="1" applyFont="1" applyFill="1" applyBorder="1"/>
    <x:xf numFmtId="0" fontId="5" fillId="0" borderId="1" xfId="0" applyNumberFormat="1" applyFont="1" applyFill="1" applyBorder="1" applyAlignment="1">
      <x:alignment wrapText="1"/>
    </x:xf>
    <x:xf numFmtId="0" fontId="4" fillId="4" borderId="1" xfId="0" applyNumberFormat="1" applyFont="1" applyFill="1" applyBorder="1" applyAlignment="1">
      <x:alignment horizontal="center" vertical="center" wrapText="1"/>
    </x:xf>
    <x:xf numFmtId="0" fontId="6" fillId="5" borderId="1" xfId="0" applyNumberFormat="1" applyFont="1" applyFill="1" applyBorder="1" applyAlignment="1">
      <x:alignment horizontal="center"/>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vertical="center"/>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xfId="0" applyNumberFormat="1" applyFont="1" applyFill="1" applyBorder="0"/>
    <x:xf numFmtId="0" fontId="3" fillId="8" xfId="0" applyNumberFormat="1" applyFont="1" applyFill="1" applyBorder="0" applyAlignment="1">
      <x:alignment wrapText="1"/>
    </x:xf>
    <x:xf numFmtId="0" fontId="3" fillId="8" xfId="0" applyNumberFormat="1" applyFont="1" applyFill="1" applyBorder="0" applyAlignment="1">
      <x:alignment horizontal="center" wrapText="1"/>
    </x:xf>
    <x:xf numFmtId="0" fontId="3" fillId="8" xfId="0" applyNumberFormat="1" applyFont="1" applyFill="1" applyBorder="0" applyAlignment="1">
      <x:alignment horizontal="center" vertical="center" wrapText="1"/>
    </x:xf>
    <x:xf numFmtId="0" fontId="3" fillId="9" xfId="0" applyNumberFormat="1" applyFont="1" applyFill="1" applyBorder="0" applyAlignment="1">
      <x:alignment horizontal="center" vertical="center" wrapText="1"/>
    </x:xf>
    <x:xf numFmtId="0" fontId="3" fillId="10" xfId="0" applyNumberFormat="1" applyFont="1" applyFill="1" applyBorder="0" applyAlignment="1">
      <x:alignment horizontal="center" vertical="center" wrapText="1"/>
    </x:xf>
    <x:xf numFmtId="200" fontId="0" fillId="0" borderId="0" xfId="0" applyNumberFormat="1" applyFont="1" applyFill="1" applyBorder="1" applyAlignment="1">
      <x:alignment wrapText="1"/>
    </x:xf>
    <x:xf numFmtId="0" fontId="8" fillId="6" borderId="0" xfId="0" applyNumberFormat="1" applyFont="1" applyFill="1" applyBorder="1"/>
    <x:xf numFmtId="0" fontId="8" fillId="6" borderId="0" xfId="0" applyNumberFormat="1" applyFont="1" applyFill="1" applyBorder="1" applyAlignment="1">
      <x:alignment vertical="center"/>
    </x:xf>
    <x:xf numFmtId="200" fontId="0" fillId="0" borderId="0" xfId="0" applyNumberFormat="1" applyFont="1" applyFill="1" applyBorder="1"/>
    <x:xf numFmtId="0" fontId="0" fillId="7" borderId="0" xfId="0" applyNumberFormat="1" applyFont="1" applyFill="1" applyBorder="1" applyAlignment="1">
      <x:alignment wrapText="1"/>
    </x:xf>
    <x:xf numFmtId="201" fontId="0" fillId="0" borderId="0" xfId="0" applyNumberFormat="1" applyFont="1" applyFill="1" applyBorder="1"/>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horizontal="center"/>
    </x:xf>
    <x:xf numFmtId="202" fontId="0" fillId="0" borderId="0" xfId="0" applyNumberFormat="1" applyFont="1" applyFill="1" applyBorder="1"/>
    <x:xf numFmtId="202" fontId="0" fillId="0" borderId="0" xfId="0" applyNumberFormat="1" applyFont="1" applyFill="1" applyBorder="1" applyAlignment="1">
      <x:alignment wrapText="1"/>
    </x:xf>
    <x:xf numFmtId="0" fontId="5" fillId="8" borderId="0" xfId="0" applyNumberFormat="1" applyFont="1" applyFill="1" applyBorder="1"/>
    <x:xf numFmtId="0" fontId="4" fillId="8" borderId="0" xfId="0" applyNumberFormat="1" applyFont="1" applyFill="1" applyBorder="1"/>
    <x:xf numFmtId="0" fontId="4" fillId="8" xfId="0" applyNumberFormat="1" applyFont="1" applyFill="1" applyBorder="0"/>
    <x:xf numFmtId="0" fontId="4" fillId="8" xfId="0" applyNumberFormat="1" applyFont="1" applyFill="1" applyBorder="0" applyAlignment="1">
      <x:alignment wrapText="1"/>
    </x:xf>
    <x:xf numFmtId="0" fontId="4" fillId="8" xfId="0" applyNumberFormat="1" applyFont="1" applyFill="1" applyBorder="0" applyAlignment="1">
      <x:alignment horizontal="center" wrapText="1"/>
    </x:xf>
    <x:xf numFmtId="0" fontId="4" fillId="8" xfId="0" applyNumberFormat="1" applyFont="1" applyFill="1" applyBorder="0" applyAlignment="1">
      <x:alignment horizontal="center" vertical="center"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wrapText="1"/>
    </x:xf>
    <x:xf numFmtId="0" fontId="2" fillId="11" borderId="0" xfId="0" applyNumberFormat="1" applyFont="1" applyFill="1" applyBorder="1"/>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7" fillId="2" borderId="0" xfId="0" applyNumberFormat="1" applyFont="1" applyFill="1" applyBorder="1"/>
    <x:xf numFmtId="0" fontId="7" fillId="2" borderId="0" xfId="0" applyNumberFormat="1" applyFont="1" applyFill="1" applyBorder="1" applyAlignment="1">
      <x:alignment vertical="center"/>
    </x:xf>
    <x:xf numFmtId="0" fontId="3" fillId="4" xfId="0" applyNumberFormat="1" applyFont="1" applyFill="1" applyBorder="0"/>
    <x:xf numFmtId="0" fontId="3" fillId="4" xfId="0" applyNumberFormat="1" applyFont="1" applyFill="1" applyBorder="0" applyAlignment="1">
      <x:alignment wrapText="1"/>
    </x:xf>
    <x:xf numFmtId="0" fontId="3" fillId="4" xfId="0" applyNumberFormat="1" applyFont="1" applyFill="1" applyBorder="0" applyAlignment="1">
      <x:alignment horizontal="center" wrapText="1"/>
    </x:xf>
    <x:xf numFmtId="0" fontId="3" fillId="4" xfId="0" applyNumberFormat="1" applyFont="1" applyFill="1" applyBorder="0" applyAlignment="1">
      <x:alignment horizontal="center" vertical="center" wrapText="1"/>
    </x:xf>
    <x:xf numFmtId="0" fontId="8" fillId="2" borderId="0" xfId="0" applyNumberFormat="1" applyFont="1" applyFill="1" applyBorder="1"/>
    <x:xf numFmtId="0" fontId="8" fillId="2" borderId="0" xfId="0" applyNumberFormat="1" applyFont="1" applyFill="1" applyBorder="1" applyAlignment="1">
      <x:alignment vertical="center"/>
    </x:xf>
    <x:xf numFmtId="0" fontId="9" fillId="5" borderId="0" xfId="0" applyNumberFormat="1" applyFont="1" applyFill="1" applyBorder="1"/>
    <x:xf numFmtId="0" fontId="9" fillId="5" borderId="0" xfId="0" applyNumberFormat="1" applyFont="1" applyFill="1" applyBorder="1" applyAlignment="1">
      <x:alignment horizontal="center"/>
    </x:xf>
    <x:xf numFmtId="0" fontId="5" fillId="4" borderId="0" xfId="0" applyNumberFormat="1" applyFont="1" applyFill="1" applyBorder="1"/>
    <x:xf numFmtId="0" fontId="4" fillId="4" borderId="0" xfId="0" applyNumberFormat="1" applyFont="1" applyFill="1" applyBorder="1"/>
    <x:xf numFmtId="0" fontId="4" fillId="4" xfId="0" applyNumberFormat="1" applyFont="1" applyFill="1" applyBorder="0"/>
    <x:xf numFmtId="0" fontId="4" fillId="4" xfId="0" applyNumberFormat="1" applyFont="1" applyFill="1" applyBorder="0" applyAlignment="1">
      <x:alignment wrapText="1"/>
    </x:xf>
    <x:xf numFmtId="0" fontId="4" fillId="4" xfId="0" applyNumberFormat="1" applyFont="1" applyFill="1" applyBorder="0" applyAlignment="1">
      <x:alignment horizontal="center" wrapText="1"/>
    </x:xf>
    <x:xf numFmtId="0" fontId="4" fillId="4" xfId="0" applyNumberFormat="1" applyFont="1" applyFill="1" applyBorder="0" applyAlignment="1">
      <x:alignment horizontal="center" vertical="center" wrapText="1"/>
    </x:xf>
    <x:xf numFmtId="0" fontId="2" fillId="3" borderId="0" xfId="0" applyNumberFormat="1" applyFont="1" applyFill="1" applyBorder="1" applyAlignment="1">
      <x:alignment wrapText="1"/>
    </x:xf>
    <x:xf numFmtId="0" fontId="2" fillId="5" borderId="0" xfId="0" applyNumberFormat="1" applyFont="1" applyFill="1" applyBorder="1" applyAlignment="1">
      <x:alignment wrapText="1"/>
    </x:xf>
    <x:xf numFmtId="0" fontId="2" fillId="5" borderId="0" xfId="0" applyNumberFormat="1" applyFont="1" applyFill="1" applyBorder="1" applyAlignment="1">
      <x:alignment horizontal="center" wrapText="1"/>
    </x:xf>
    <x:xf numFmtId="0" fontId="3" fillId="13" borderId="0" xfId="0" applyNumberFormat="1" applyFont="1" applyFill="1" applyBorder="1" applyAlignment="1">
      <x:alignment horizontal="center" vertical="center" wrapText="1"/>
    </x:xf>
    <x:xf numFmtId="0" fontId="3" fillId="13" xfId="0" applyNumberFormat="1" applyFont="1" applyFill="1" applyBorder="0" applyAlignment="1">
      <x:alignment horizontal="center" vertical="center" wrapText="1"/>
    </x:xf>
    <x:xf numFmtId="203" fontId="0" fillId="0" borderId="0" xfId="0" applyNumberFormat="1" applyFont="1" applyFill="1" applyBorder="1" applyAlignment="1">
      <x:alignment wrapText="1"/>
    </x:xf>
    <x:xf numFmtId="0" fontId="0" fillId="13" borderId="0" xfId="0" applyNumberFormat="1" applyFont="1" applyFill="1" applyBorder="1"/>
    <x:xf numFmtId="0" fontId="3" fillId="13" borderId="0" xfId="0" applyNumberFormat="1" applyFont="1" applyFill="1" applyBorder="1"/>
    <x:xf numFmtId="0" fontId="3" fillId="13" xfId="0" applyNumberFormat="1" applyFont="1" applyFill="1" applyBorder="0"/>
    <x:xf numFmtId="0" fontId="3" fillId="13" xfId="0" applyNumberFormat="1" applyFont="1" applyFill="1" applyBorder="0" applyAlignment="1">
      <x:alignment wrapText="1"/>
    </x:xf>
    <x:xf numFmtId="0" fontId="3" fillId="13" xfId="0" applyNumberFormat="1" applyFont="1" applyFill="1" applyBorder="0" applyAlignment="1">
      <x:alignment horizontal="center" wrapText="1"/>
    </x:xf>
    <x:xf numFmtId="0" fontId="3" fillId="14" xfId="0" applyNumberFormat="1" applyFont="1" applyFill="1" applyBorder="0" applyAlignment="1">
      <x:alignment horizontal="center" vertical="center" wrapText="1"/>
    </x:xf>
    <x:xf numFmtId="0" fontId="3" fillId="15" xfId="0" applyNumberFormat="1" applyFont="1" applyFill="1" applyBorder="0" applyAlignment="1">
      <x:alignment horizontal="center" vertical="center" wrapText="1"/>
    </x:xf>
    <x:xf numFmtId="0" fontId="8" fillId="2" borderId="0" xfId="0" applyNumberFormat="1" applyFont="1" applyFill="1" applyBorder="1" applyAlignment="1">
      <x:alignment vertical="center" wrapText="1"/>
    </x:xf>
    <x:xf numFmtId="201" fontId="0" fillId="0" borderId="0" xfId="0" applyNumberFormat="1" applyFont="1" applyFill="1" applyBorder="1" applyAlignment="1">
      <x:alignment wrapText="1"/>
    </x:xf>
    <x:xf numFmtId="0" fontId="9" fillId="5" borderId="0" xfId="0" applyNumberFormat="1" applyFont="1" applyFill="1" applyBorder="1" applyAlignment="1">
      <x:alignment horizontal="center" wrapText="1"/>
    </x:xf>
    <x:xf numFmtId="0" fontId="0" fillId="16"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8" fillId="18" borderId="0" xfId="0" applyNumberFormat="1" applyFont="1" applyFill="1" applyBorder="1" applyAlignment="1">
      <x:alignment vertical="center"/>
    </x:xf>
    <x:xf numFmtId="0" fontId="0" fillId="18" borderId="0" xfId="0" applyNumberFormat="1" applyFont="1" applyFill="1" applyBorder="1"/>
    <x:xf numFmtId="0" fontId="8" fillId="18" borderId="0" xfId="0" applyNumberFormat="1" applyFont="1" applyFill="1" applyBorder="1"/>
    <x:xf numFmtId="0" fontId="8" fillId="13" borderId="0" xfId="0" applyNumberFormat="1" applyFont="1" applyFill="1" applyBorder="1" applyAlignment="1">
      <x:alignment vertical="center"/>
    </x:xf>
    <x:xf numFmtId="0" fontId="8" fillId="13" xfId="0" applyNumberFormat="1" applyFont="1" applyFill="1" applyBorder="0" applyAlignment="1">
      <x:alignment vertical="center"/>
    </x:xf>
    <x:xf numFmtId="0" fontId="8" fillId="13" xfId="0" applyNumberFormat="1" applyFont="1" applyFill="1" applyBorder="0" applyAlignment="1">
      <x:alignment vertical="center" wrapText="1"/>
    </x:xf>
    <x:xf numFmtId="0" fontId="8" fillId="13" xfId="0" applyNumberFormat="1" applyFont="1" applyFill="1" applyBorder="0" applyAlignment="1">
      <x:alignment horizontal="center" vertical="center"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xf numFmtId="204" fontId="0" fillId="0" borderId="0" xfId="0" applyNumberFormat="1" applyFont="1" applyFill="1" applyBorder="1"/>
    <x:xf numFmtId="0" fontId="4" fillId="18" borderId="0" xfId="0" applyNumberFormat="1" applyFont="1" applyFill="1" applyBorder="1" applyAlignment="1">
      <x:alignment vertical="center"/>
    </x:xf>
    <x:xf numFmtId="0" fontId="10" fillId="18" borderId="0" xfId="0" applyNumberFormat="1" applyFont="1" applyFill="1" applyBorder="1" applyAlignment="1">
      <x:alignment vertical="center"/>
    </x:xf>
    <x:xf numFmtId="0" fontId="6" fillId="17" borderId="0" xfId="0" applyNumberFormat="1" applyFont="1" applyFill="1" applyBorder="1" applyAlignment="1">
      <x:alignment horizontal="center"/>
    </x:xf>
    <x:xf numFmtId="0" fontId="5" fillId="17" borderId="0" xfId="0" applyNumberFormat="1" applyFont="1" applyFill="1" applyBorder="1"/>
    <x:xf numFmtId="0" fontId="6" fillId="17" borderId="0" xfId="0" applyNumberFormat="1" applyFont="1" applyFill="1" applyBorder="1"/>
    <x:xf numFmtId="0" fontId="4" fillId="13" xfId="0" applyNumberFormat="1" applyFont="1" applyFill="1" applyBorder="0" applyAlignment="1">
      <x:alignment horizontal="center" vertical="center" wrapText="1"/>
    </x:xf>
    <x:xf numFmtId="0" fontId="2" fillId="19" borderId="0" xfId="0" applyNumberFormat="1" applyFont="1" applyFill="1" applyBorder="1" applyAlignment="1">
      <x:alignment wrapText="1"/>
    </x:xf>
    <x:xf numFmtId="0" fontId="0" fillId="19" borderId="0" xfId="0" applyNumberFormat="1" applyFont="1" applyFill="1" applyBorder="1"/>
    <x:xf numFmtId="0" fontId="2" fillId="19" borderId="0" xfId="0" applyNumberFormat="1" applyFont="1" applyFill="1" applyBorder="1"/>
    <x:xf numFmtId="0" fontId="8" fillId="4" borderId="0" xfId="0" applyNumberFormat="1" applyFont="1" applyFill="1" applyBorder="1" applyAlignment="1">
      <x:alignment vertical="center"/>
    </x:xf>
    <x:xf numFmtId="0" fontId="8" fillId="4" xfId="0" applyNumberFormat="1" applyFont="1" applyFill="1" applyBorder="0" applyAlignment="1">
      <x:alignment vertical="center"/>
    </x:xf>
    <x:xf numFmtId="0" fontId="8" fillId="4" xfId="0" applyNumberFormat="1" applyFont="1" applyFill="1" applyBorder="0" applyAlignment="1">
      <x:alignment vertical="center" wrapText="1"/>
    </x:xf>
    <x:xf numFmtId="0" fontId="8" fillId="4" xfId="0" applyNumberFormat="1" applyFont="1" applyFill="1" applyBorder="0" applyAlignment="1">
      <x:alignment horizontal="center" vertical="center" wrapText="1"/>
    </x:xf>
    <x:xf numFmtId="0" fontId="10" fillId="2" borderId="0" xfId="0" applyNumberFormat="1" applyFont="1" applyFill="1" applyBorder="1" applyAlignment="1">
      <x:alignment vertical="center"/>
    </x:xf>
    <x:xf numFmtId="0" fontId="5" fillId="5" borderId="0" xfId="0" applyNumberFormat="1" applyFont="1" applyFill="1" applyBorder="1"/>
    <x:xf numFmtId="0" fontId="6" fillId="5" borderId="0" xfId="0" applyNumberFormat="1" applyFont="1" applyFill="1" applyBorder="1"/>
    <x:xf numFmtId="0" fontId="3" fillId="20" xfId="0" applyNumberFormat="1" applyFont="1" applyFill="1" applyBorder="0" applyAlignment="1">
      <x:alignment horizontal="center" vertical="center"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3" fillId="20" borderId="0" xfId="0" applyNumberFormat="1" applyFont="1" applyFill="1" applyBorder="1" applyAlignment="1">
      <x:alignment horizontal="center" wrapText="1"/>
    </x:xf>
    <x:xf numFmtId="0" fontId="3" fillId="20" borderId="0" xfId="0" applyNumberFormat="1" applyFont="1" applyFill="1" applyBorder="1" applyAlignment="1">
      <x:alignment horizontal="center" vertical="center" wrapText="1"/>
    </x:xf>
    <x:xf numFmtId="0" fontId="3" fillId="21" xfId="0" applyNumberFormat="1" applyFont="1" applyFill="1" applyBorder="0" applyAlignment="1">
      <x:alignment horizontal="center" vertical="center" wrapText="1"/>
    </x:xf>
    <x:xf numFmtId="0" fontId="3" fillId="22" xfId="0" applyNumberFormat="1" applyFont="1" applyFill="1" applyBorder="0" applyAlignment="1">
      <x:alignment horizontal="center" vertical="center" wrapText="1"/>
    </x:xf>
    <x:xf numFmtId="0" fontId="3" fillId="23" xfId="0" applyNumberFormat="1" applyFont="1" applyFill="1" applyBorder="0" applyAlignment="1">
      <x:alignment horizontal="center" vertical="center" wrapText="1"/>
    </x:xf>
    <x:xf numFmtId="0" fontId="3" fillId="23" borderId="0" xfId="0" applyNumberFormat="1" applyFont="1" applyFill="1" applyBorder="1" applyAlignment="1">
      <x:alignment horizontal="center" vertical="center" wrapText="1"/>
    </x:xf>
    <x:xf numFmtId="0" fontId="0" fillId="24" borderId="0" xfId="0" applyNumberFormat="1" applyFont="1" applyFill="1" applyBorder="1"/>
    <x:xf numFmtId="0" fontId="8" fillId="24" borderId="0" xfId="0" applyNumberFormat="1" applyFont="1" applyFill="1" applyBorder="1"/>
    <x:xf numFmtId="0" fontId="8" fillId="24" borderId="0" xfId="0" applyNumberFormat="1" applyFont="1" applyFill="1" applyBorder="1" applyAlignment="1">
      <x:alignment vertical="center"/>
    </x:xf>
    <x:xf numFmtId="0" fontId="0" fillId="25" borderId="0" xfId="0" applyNumberFormat="1" applyFont="1" applyFill="1" applyBorder="1"/>
    <x:xf numFmtId="0" fontId="2" fillId="25" borderId="0" xfId="0" applyNumberFormat="1" applyFont="1" applyFill="1" applyBorder="1"/>
    <x:xf numFmtId="0" fontId="2" fillId="25" borderId="0" xfId="0" applyNumberFormat="1" applyFont="1" applyFill="1" applyBorder="1" applyAlignment="1">
      <x:alignment wrapText="1"/>
    </x:xf>
    <x:xf numFmtId="0" fontId="0" fillId="26" borderId="0" xfId="0" applyNumberFormat="1" applyFont="1" applyFill="1" applyBorder="1"/>
    <x:xf numFmtId="0" fontId="3" fillId="26" borderId="0" xfId="0" applyNumberFormat="1" applyFont="1" applyFill="1" applyBorder="1"/>
    <x:xf numFmtId="0" fontId="3" fillId="26" xfId="0" applyNumberFormat="1" applyFont="1" applyFill="1" applyBorder="0"/>
    <x:xf numFmtId="0" fontId="3" fillId="26" xfId="0" applyNumberFormat="1" applyFont="1" applyFill="1" applyBorder="0" applyAlignment="1">
      <x:alignment wrapText="1"/>
    </x:xf>
    <x:xf numFmtId="0" fontId="3" fillId="26" xfId="0" applyNumberFormat="1" applyFont="1" applyFill="1" applyBorder="0" applyAlignment="1">
      <x:alignment horizontal="center" wrapText="1"/>
    </x:xf>
    <x:xf numFmtId="0" fontId="3" fillId="26" xfId="0" applyNumberFormat="1" applyFont="1" applyFill="1" applyBorder="0" applyAlignment="1">
      <x:alignment horizontal="center" vertical="center" wrapText="1"/>
    </x:xf>
    <x:xf numFmtId="0" fontId="7" fillId="27" borderId="0" xfId="0" applyNumberFormat="1" applyFont="1" applyFill="1" applyBorder="1" applyAlignment="1">
      <x:alignment vertical="center"/>
    </x:xf>
    <x:xf numFmtId="0" fontId="0" fillId="27" borderId="0" xfId="0" applyNumberFormat="1" applyFont="1" applyFill="1" applyBorder="1"/>
    <x:xf numFmtId="0" fontId="8" fillId="27" borderId="0" xfId="0" applyNumberFormat="1" applyFont="1" applyFill="1" applyBorder="1" applyAlignment="1">
      <x:alignment vertical="center"/>
    </x:xf>
    <x:xf numFmtId="0" fontId="8" fillId="27" borderId="0" xfId="0" applyNumberFormat="1" applyFont="1" applyFill="1" applyBorder="1"/>
    <x:xf numFmtId="0" fontId="2" fillId="28"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3" fillId="26" borderId="0" xfId="0" applyNumberFormat="1" applyFont="1" applyFill="1" applyBorder="1" applyAlignment="1">
      <x:alignment horizontal="center" vertical="center" wrapText="1"/>
    </x:xf>
    <x:xf numFmtId="0" fontId="3" fillId="29" xfId="0" applyNumberFormat="1" applyFont="1" applyFill="1" applyBorder="0" applyAlignment="1">
      <x:alignment horizontal="center" vertical="center" wrapText="1"/>
    </x:xf>
    <x:xf numFmtId="0" fontId="3" fillId="30" xfId="0" applyNumberFormat="1" applyFont="1" applyFill="1" applyBorder="0" applyAlignment="1">
      <x:alignment horizontal="center" vertical="center" wrapText="1"/>
    </x:xf>
    <x:xf numFmtId="0" fontId="3" fillId="31" xfId="0" applyNumberFormat="1" applyFont="1" applyFill="1" applyBorder="0" applyAlignment="1">
      <x:alignment horizontal="center" vertical="center" wrapText="1"/>
    </x:xf>
    <x:xf numFmtId="0" fontId="8" fillId="27" borderId="0" xfId="0" applyNumberFormat="1" applyFont="1" applyFill="1" applyBorder="1" applyAlignment="1">
      <x:alignment vertical="center" wrapText="1"/>
    </x:xf>
    <x:xf numFmtId="0" fontId="0" fillId="28" borderId="0" xfId="0" applyNumberFormat="1" applyFont="1" applyFill="1" applyBorder="1" applyAlignment="1">
      <x:alignment wrapText="1"/>
    </x:xf>
    <x:xf numFmtId="0" fontId="2" fillId="32" borderId="0" xfId="0" applyNumberFormat="1" applyFont="1" applyFill="1" applyBorder="1" applyAlignment="1">
      <x:alignment horizontal="center" wrapText="1"/>
    </x:xf>
    <x:xf numFmtId="0" fontId="0" fillId="32" borderId="0" xfId="0" applyNumberFormat="1" applyFont="1" applyFill="1" applyBorder="1" applyAlignment="1">
      <x:alignment wrapText="1"/>
    </x:xf>
    <x:xf numFmtId="0" fontId="2" fillId="32" borderId="0" xfId="0" applyNumberFormat="1" applyFont="1" applyFill="1" applyBorder="1" applyAlignment="1">
      <x:alignment wrapText="1"/>
    </x:xf>
    <x:xf numFmtId="0" fontId="8" fillId="27" xfId="0" applyNumberFormat="1" applyFont="1" applyFill="1" applyBorder="0" applyAlignment="1">
      <x:alignment horizontal="center" vertical="center" wrapText="1"/>
    </x:xf>
    <x:xf numFmtId="0" fontId="8" fillId="26" xfId="0" applyNumberFormat="1" applyFont="1" applyFill="1" applyBorder="0" applyAlignment="1">
      <x:alignment horizontal="center" vertical="center" wrapText="1"/>
    </x:xf>
    <x:xf numFmtId="205" fontId="0" fillId="0" borderId="0" xfId="0" applyNumberFormat="1" applyFont="1" applyFill="1" applyBorder="1" applyAlignment="1">
      <x:alignment wrapText="1"/>
    </x:xf>
    <x:xf numFmtId="0" fontId="3" fillId="26" borderId="0" xfId="0" applyNumberFormat="1" applyFont="1" applyFill="1" applyBorder="1" applyAlignment="1">
      <x:alignment horizontal="center" wrapText="1"/>
    </x:xf>
    <x:xf numFmtId="0" fontId="10" fillId="27" borderId="0" xfId="0" applyNumberFormat="1" applyFont="1" applyFill="1" applyBorder="1" applyAlignment="1">
      <x:alignment vertical="center"/>
    </x:xf>
    <x:xf numFmtId="0" fontId="6" fillId="32" borderId="0" xfId="0" applyNumberFormat="1" applyFont="1" applyFill="1" applyBorder="1" applyAlignment="1">
      <x:alignment horizontal="center"/>
    </x:xf>
    <x:xf numFmtId="0" fontId="4" fillId="32" borderId="0" xfId="0" applyNumberFormat="1" applyFont="1" applyFill="1" applyBorder="1" applyAlignment="1">
      <x:alignment horizontal="center" vertical="center" wrapText="1"/>
    </x:xf>
    <x:xf numFmtId="0" fontId="4" fillId="26" xfId="0" applyNumberFormat="1" applyFont="1" applyFill="1" applyBorder="0" applyAlignment="1">
      <x:alignment horizontal="center" vertical="center" wrapText="1"/>
    </x:xf>
    <x:xf numFmtId="0" fontId="2" fillId="33" borderId="0" xfId="0" applyNumberFormat="1" applyFont="1" applyFill="1" applyBorder="1" applyAlignment="1">
      <x:alignment wrapText="1"/>
    </x:xf>
    <x:xf numFmtId="0" fontId="0" fillId="33" borderId="0" xfId="0" applyNumberFormat="1" applyFont="1" applyFill="1" applyBorder="1"/>
    <x:xf numFmtId="0" fontId="2" fillId="33" borderId="0" xfId="0" applyNumberFormat="1" applyFont="1" applyFill="1" applyBorder="1"/>
    <x:xf numFmtId="0" fontId="0" fillId="5" borderId="0" xfId="0" applyNumberFormat="1" applyFont="1" applyFill="1" applyBorder="1" applyAlignment="1">
      <x:alignment wrapText="1"/>
    </x:xf>
    <x:xf numFmtId="0" fontId="8" fillId="2" xfId="0" applyNumberFormat="1" applyFont="1" applyFill="1" applyBorder="0" applyAlignment="1">
      <x:alignment horizontal="center" vertical="center" wrapText="1"/>
    </x:xf>
    <x:xf numFmtId="0" fontId="4" fillId="5" borderId="0" xfId="0" applyNumberFormat="1" applyFont="1" applyFill="1" applyBorder="1" applyAlignment="1">
      <x:alignment horizontal="center" vertical="center" wrapText="1"/>
    </x:xf>
    <x:xf numFmtId="0" fontId="0" fillId="34" borderId="0" xfId="0" applyNumberFormat="1" applyFont="1" applyFill="1" applyBorder="1"/>
    <x:xf numFmtId="0" fontId="8" fillId="34" borderId="0" xfId="0" applyNumberFormat="1" applyFont="1" applyFill="1" applyBorder="1"/>
    <x:xf numFmtId="0" fontId="8" fillId="34" borderId="0" xfId="0" applyNumberFormat="1" applyFont="1" applyFill="1" applyBorder="1" applyAlignment="1">
      <x:alignment vertical="center"/>
    </x:xf>
    <x:xf numFmtId="0" fontId="0" fillId="35" borderId="0" xfId="0" applyNumberFormat="1" applyFont="1" applyFill="1" applyBorder="1"/>
    <x:xf numFmtId="0" fontId="2" fillId="35" borderId="0" xfId="0" applyNumberFormat="1" applyFont="1" applyFill="1" applyBorder="1"/>
    <x:xf numFmtId="0" fontId="2" fillId="35" borderId="0"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0" xfId="0" applyNumberFormat="1" applyFont="1" applyFill="1" applyBorder="1" applyAlignment="1">
      <x:alignment wrapText="1"/>
    </x:xf>
    <x:xf numFmtId="0" fontId="3" fillId="36" borderId="0" xfId="0" applyNumberFormat="1" applyFont="1" applyFill="1" applyBorder="1" applyAlignment="1">
      <x:alignment horizontal="center" wrapText="1"/>
    </x:xf>
    <x:xf numFmtId="0" fontId="3" fillId="36" borderId="0" xfId="0" applyNumberFormat="1" applyFont="1" applyFill="1" applyBorder="1" applyAlignment="1">
      <x:alignment horizontal="center" vertical="center" wrapText="1"/>
    </x:xf>
    <x:xf numFmtId="206" fontId="0" fillId="0" borderId="0" xfId="0" applyNumberFormat="1" applyFont="1" applyFill="1" applyBorder="1"/>
    <x:xf numFmtId="206" fontId="0" fillId="0" borderId="0" xfId="0" applyNumberFormat="1" applyFont="1" applyFill="1" applyBorder="1" applyAlignment="1">
      <x:alignment wrapText="1"/>
    </x:xf>
    <x:xf numFmtId="0" fontId="0" fillId="37" borderId="0" xfId="0" applyNumberFormat="1" applyFont="1" applyFill="1" applyBorder="1"/>
    <x:xf numFmtId="0" fontId="2" fillId="37" borderId="0" xfId="0" applyNumberFormat="1" applyFont="1" applyFill="1" applyBorder="1"/>
    <x:xf numFmtId="0" fontId="2" fillId="37" borderId="0" xfId="0" applyNumberFormat="1" applyFont="1" applyFill="1" applyBorder="1" applyAlignment="1">
      <x:alignment wrapText="1"/>
    </x:xf>
    <x:xf numFmtId="0" fontId="0" fillId="38" borderId="0" xfId="0" applyNumberFormat="1" applyFont="1" applyFill="1" applyBorder="1"/>
    <x:xf numFmtId="0" fontId="3" fillId="38" borderId="0" xfId="0" applyNumberFormat="1" applyFont="1" applyFill="1" applyBorder="1"/>
    <x:xf numFmtId="0" fontId="3" fillId="38" borderId="0" xfId="0" applyNumberFormat="1" applyFont="1" applyFill="1" applyBorder="1" applyAlignment="1">
      <x:alignment wrapText="1"/>
    </x:xf>
    <x:xf numFmtId="0" fontId="3" fillId="38" borderId="0" xfId="0" applyNumberFormat="1" applyFont="1" applyFill="1" applyBorder="1" applyAlignment="1">
      <x:alignment horizontal="center" wrapText="1"/>
    </x:xf>
    <x:xf numFmtId="0" fontId="3" fillId="38" borderId="0" xfId="0" applyNumberFormat="1" applyFont="1" applyFill="1" applyBorder="1" applyAlignment="1">
      <x:alignment horizontal="center" vertical="center" wrapText="1"/>
    </x:xf>
    <x:xf numFmtId="0" fontId="3" fillId="38" xfId="0" applyNumberFormat="1" applyFont="1" applyFill="1" applyBorder="0" applyAlignment="1">
      <x:alignment horizontal="center" vertical="center" wrapText="1"/>
    </x:xf>
    <x:xf numFmtId="0" fontId="8" fillId="39" borderId="0" xfId="0" applyNumberFormat="1" applyFont="1" applyFill="1" applyBorder="1" applyAlignment="1">
      <x:alignment vertical="center"/>
    </x:xf>
    <x:xf numFmtId="0" fontId="2" fillId="40" borderId="0" xfId="0" applyNumberFormat="1" applyFont="1" applyFill="1" applyBorder="1" applyAlignment="1">
      <x:alignment wrapText="1"/>
    </x:xf>
    <x:xf numFmtId="0" fontId="0" fillId="39" borderId="0" xfId="0" applyNumberFormat="1" applyFont="1" applyFill="1" applyBorder="1"/>
    <x:xf numFmtId="0" fontId="8"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0" fontId="3" fillId="4" borderId="0" xfId="0" applyNumberFormat="1" applyFont="1" applyFill="1" applyBorder="1" applyAlignment="1">
      <x:alignment horizontal="center" vertical="center" wrapText="1"/>
    </x:xf>
    <x:xf numFmtId="200" fontId="0" fillId="38" borderId="0" xfId="0" applyNumberFormat="1" applyFont="1" applyFill="1" applyBorder="1"/>
    <x:xf numFmtId="200" fontId="3" fillId="38" borderId="0" xfId="0" applyNumberFormat="1" applyFont="1" applyFill="1" applyBorder="1"/>
    <x:xf numFmtId="0" fontId="0" fillId="41" borderId="0" xfId="0" applyNumberFormat="1" applyFont="1" applyFill="1" applyBorder="1"/>
    <x:xf numFmtId="0" fontId="2" fillId="41" borderId="0" xfId="0" applyNumberFormat="1" applyFont="1" applyFill="1" applyBorder="1"/>
    <x:xf numFmtId="0" fontId="2" fillId="41" borderId="0" xfId="0" applyNumberFormat="1" applyFont="1" applyFill="1" applyBorder="1" applyAlignment="1">
      <x:alignment wrapText="1"/>
    </x:xf>
  </x:cellXfs>
  <x:cellStyles count="1">
    <x:cellStyle name="Normal" xfId="0"/>
  </x:cellStyles>
  <x:dxfs count="10">
    <x:dxf>
      <x:fill>
        <x:patternFill>
          <x:bgColor rgb="FFFEE2E2"/>
        </x:patternFill>
      </x:fill>
    </x:dxf>
    <x:dxf>
      <x:fill>
        <x:patternFill>
          <x:bgColor rgb="FFFEF3C7"/>
        </x:patternFill>
      </x:fill>
    </x:dxf>
    <x:dxf>
      <x:font>
        <x:b/>
      </x:font>
      <x:fill>
        <x:patternFill>
          <x:bgColor rgb="FFDBEAFE"/>
        </x:patternFill>
      </x:fill>
    </x:dxf>
    <x:dxf>
      <x:fill>
        <x:patternFill>
          <x:bgColor rgb="FFFEE2E2"/>
        </x:patternFill>
      </x:fill>
    </x:dxf>
    <x:dxf>
      <x:fill>
        <x:patternFill>
          <x:bgColor rgb="FFFEF3C7"/>
        </x:patternFill>
      </x:fill>
    </x:dxf>
    <x:dxf>
      <x:font>
        <x:b/>
      </x:font>
      <x:fill>
        <x:patternFill>
          <x:bgColor rgb="FFDBEAFE"/>
        </x:patternFill>
      </x:fill>
    </x:dxf>
    <x:dxf>
      <x:font>
        <x:b/>
      </x:font>
      <x:fill>
        <x:patternFill>
          <x:bgColor rgb="FFDBEAFE"/>
        </x:patternFill>
      </x:fill>
    </x:dxf>
    <x:dxf>
      <x:font>
        <x:b/>
      </x:font>
      <x:fill>
        <x:patternFill>
          <x:bgColor rgb="FFFECACA"/>
        </x:patternFill>
      </x:fill>
    </x:dxf>
    <x:dxf>
      <x:fill>
        <x:patternFill>
          <x:bgColor rgb="FFFED7AA"/>
        </x:patternFill>
      </x:fill>
    </x:dxf>
    <x:dxf>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be51744fe24bfc" /><Relationship Type="http://schemas.openxmlformats.org/officeDocument/2006/relationships/theme" Target="/xl/theme/theme1.xml" Id="Rdc870ee27fb2457e" /><Relationship Type="http://schemas.openxmlformats.org/officeDocument/2006/relationships/sharedStrings" Target="/xl/sharedStrings.xml" Id="R59649e2f657f48a2" /><Relationship Type="http://schemas.openxmlformats.org/officeDocument/2006/relationships/worksheet" Target="/xl/worksheets/sheet1.xml" Id="R5412f89c5d4f4693" /><Relationship Type="http://schemas.openxmlformats.org/officeDocument/2006/relationships/worksheet" Target="/xl/worksheets/sheet2.xml" Id="Rdf82c1a8cbf14e48" /><Relationship Type="http://schemas.openxmlformats.org/officeDocument/2006/relationships/worksheet" Target="/xl/worksheets/sheet3.xml" Id="R7baea5c4aa304c51" /><Relationship Type="http://schemas.openxmlformats.org/officeDocument/2006/relationships/worksheet" Target="/xl/worksheets/sheet4.xml" Id="Re15069a1c49c4f77" /><Relationship Type="http://schemas.openxmlformats.org/officeDocument/2006/relationships/worksheet" Target="/xl/worksheets/sheet5.xml" Id="Ra1d6ef4e9baa45bd" /><Relationship Type="http://schemas.openxmlformats.org/officeDocument/2006/relationships/worksheet" Target="/xl/worksheets/sheet6.xml" Id="Rb6ed5199fa234b88" /><Relationship Type="http://schemas.openxmlformats.org/officeDocument/2006/relationships/worksheet" Target="/xl/worksheets/sheet7.xml" Id="R978d20291f7243a7" /><Relationship Type="http://schemas.openxmlformats.org/officeDocument/2006/relationships/worksheet" Target="/xl/worksheets/sheet8.xml" Id="R826c0bf5a83a4273" /><Relationship Type="http://schemas.openxmlformats.org/officeDocument/2006/relationships/worksheet" Target="/xl/worksheets/sheet9.xml" Id="Rdca36211047b4530" /><Relationship Type="http://schemas.openxmlformats.org/officeDocument/2006/relationships/worksheet" Target="/xl/worksheets/sheet10.xml" Id="R05346d1dcc1d476d" /><Relationship Type="http://schemas.openxmlformats.org/officeDocument/2006/relationships/worksheet" Target="/xl/worksheets/sheet11.xml" Id="R419383f0615a4f4d" /><Relationship Type="http://schemas.openxmlformats.org/officeDocument/2006/relationships/worksheet" Target="/xl/worksheets/sheet12.xml" Id="Rbeb74788bc874a6a" /><Relationship Type="http://schemas.openxmlformats.org/officeDocument/2006/relationships/worksheet" Target="/xl/worksheets/sheet13.xml" Id="R1af32dd731534cc4" /><Relationship Type="http://schemas.openxmlformats.org/officeDocument/2006/relationships/worksheet" Target="/xl/worksheets/sheet14.xml" Id="R3b0519e7dcab48c2" /><Relationship Type="http://schemas.openxmlformats.org/officeDocument/2006/relationships/worksheet" Target="/xl/worksheets/sheet15.xml" Id="Rf714a610cc0745a8" /><Relationship Type="http://schemas.openxmlformats.org/officeDocument/2006/relationships/worksheet" Target="/xl/worksheets/sheet16.xml" Id="R2b0db37cc1e74632" /><Relationship Type="http://schemas.openxmlformats.org/officeDocument/2006/relationships/worksheet" Target="/xl/worksheets/sheet17.xml" Id="Rd8458787b8d84f19" /><Relationship Type="http://schemas.openxmlformats.org/officeDocument/2006/relationships/worksheet" Target="/xl/worksheets/sheet18.xml" Id="R1d60333a23ca4271" /></Relationships>
</file>

<file path=xl/drawings/_rels/drawing1.xml.rels>&#65279;<?xml version="1.0" encoding="utf-8"?><Relationships xmlns="http://schemas.openxmlformats.org/package/2006/relationships"><Relationship Type="http://schemas.openxmlformats.org/officeDocument/2006/relationships/chart" Target="/xl/drawings/charts/chart1.xml" Id="R845c82e4d973411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公式ロール別ライセンス数</a:t>
            </a:r>
          </a:p>
        </c:rich>
      </c:tx>
    </c:title>
    <c:plotArea>
      <c:barChart>
        <c:barDir val="col"/>
        <c:varyColors val="0"/>
        <c:ser>
          <c:idx val="0"/>
          <c:order val="0"/>
          <c:tx>
            <c:v>体数</c:v>
          </c:tx>
          <c:cat>
            <c:strRef>
              <c:f>'README'!$D$5:$D$9</c:f>
              <c:strCache>
                <c:ptCount val="0"/>
              </c:strCache>
            </c:strRef>
          </c:cat>
          <c:val>
            <c:numRef>
              <c:f>'README'!$E$5:$E$9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3</xdr:row>
      <xdr:rowOff>0</xdr:rowOff>
    </xdr:from>
    <xdr:to>
      <xdr:col>14</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5c82e4d9734117"/>
        </a:graphicData>
      </a:graphic>
    </xdr:graphicFrame>
    <xdr:clientData/>
  </xdr:twoCellAnchor>
</xdr:wsDr>
</file>

<file path=xl/tables/table1.xml><?xml version="1.0" encoding="utf-8"?>
<x:table xmlns:x="http://schemas.openxmlformats.org/spreadsheetml/2006/main" id="1" name="RosterTable" displayName="RosterTable" ref="A1:M101" headerRowCount="1" totalsRowCount="0" totalsRowShown="0">
  <x:tableColumns count="13">
    <x:tableColumn id="1" name="No"/>
    <x:tableColumn id="2" name="Pokemon"/>
    <x:tableColumn id="3" name="OfficialRole"/>
    <x:tableColumn id="4" name="WikiPrimaryArchetype"/>
    <x:tableColumn id="5" name="WikiSecondaryArchetype"/>
    <x:tableColumn id="6" name="SplitProfile"/>
    <x:tableColumn id="7" name="ProfileCount"/>
    <x:tableColumn id="8" name="Confidence"/>
    <x:tableColumn id="9" name="AsOf"/>
    <x:tableColumn id="10" name="Notes"/>
    <x:tableColumn id="11" name="Wiki_or_Primary_Source"/>
    <x:tableColumn id="12" name="OfficialRoster_Source"/>
    <x:tableColumn id="13" name="Meta_Source"/>
  </x:tableColumns>
  <x:tableStyleInfo name="TableStyleMedium2" showFirstColumn="0" showLastColumn="0" showRowStripes="1" showColumnStripes="0"/>
</x:table>
</file>

<file path=xl/tables/table2.xml><?xml version="1.0" encoding="utf-8"?>
<x:table xmlns:x="http://schemas.openxmlformats.org/spreadsheetml/2006/main" id="2" name="ProfilesTable" displayName="ProfilesTable" ref="A1:AG141" headerRowCount="1" totalsRowCount="0" totalsRowShown="0">
  <x:tableColumns count="33">
    <x:tableColumn id="1" name="Pokemon"/>
    <x:tableColumn id="2" name="OfficialRole"/>
    <x:tableColumn id="3" name="ProfileID"/>
    <x:tableColumn id="4" name="ProfileName"/>
    <x:tableColumn id="5" name="ProfileLabel"/>
    <x:tableColumn id="6" name="PrimaryArchetype"/>
    <x:tableColumn id="7" name="SecondaryArchetype"/>
    <x:tableColumn id="8" name="SplitReason"/>
    <x:tableColumn id="9" name="Confidence"/>
    <x:tableColumn id="10" name="AsOf"/>
    <x:tableColumn id="11" name="Engage"/>
    <x:tableColumn id="12" name="Dive"/>
    <x:tableColumn id="13" name="Peel"/>
    <x:tableColumn id="14" name="Frontline"/>
    <x:tableColumn id="15" name="Poke"/>
    <x:tableColumn id="16" name="Burst"/>
    <x:tableColumn id="17" name="SustainDPS"/>
    <x:tableColumn id="18" name="Control"/>
    <x:tableColumn id="19" name="Support"/>
    <x:tableColumn id="20" name="Mobility"/>
    <x:tableColumn id="21" name="FarmScaling"/>
    <x:tableColumn id="22" name="ObjectiveSecure"/>
    <x:tableColumn id="23" name="ScoringSide"/>
    <x:tableColumn id="24" name="Execution"/>
    <x:tableColumn id="25" name="Decision"/>
    <x:tableColumn id="26" name="P_Initiative"/>
    <x:tableColumn id="27" name="P_RiskTolerance"/>
    <x:tableColumn id="28" name="P_Cooperation"/>
    <x:tableColumn id="29" name="P_SelfReliance"/>
    <x:tableColumn id="30" name="P_Planning"/>
    <x:tableColumn id="31" name="P_Adaptability"/>
    <x:tableColumn id="32" name="P_Mastery"/>
    <x:tableColumn id="33" name="SourceURL"/>
  </x:tableColumns>
  <x:tableStyleInfo name="TableStyleMedium2" showFirstColumn="0" showLastColumn="0" showRowStripes="1" showColumnStripes="0"/>
</x:table>
</file>

<file path=xl/tables/table3.xml><?xml version="1.0" encoding="utf-8"?>
<x:table xmlns:x="http://schemas.openxmlformats.org/spreadsheetml/2006/main" id="3" name="AxesTable" displayName="AxesTable" ref="A1:C16" headerRowCount="1" totalsRowCount="0" totalsRowShown="0">
  <x:tableColumns count="3">
    <x:tableColumn id="1" name="Code"/>
    <x:tableColumn id="2" name="日本語名"/>
    <x:tableColumn id="3" name="定義"/>
  </x:tableColumns>
  <x:tableStyleInfo name="TableStyleMedium2" showFirstColumn="0" showLastColumn="0" showRowStripes="1" showColumnStripes="0"/>
</x:table>
</file>

<file path=xl/tables/table4.xml><?xml version="1.0" encoding="utf-8"?>
<x:table xmlns:x="http://schemas.openxmlformats.org/spreadsheetml/2006/main" id="4" name="ArchetypesTable" displayName="ArchetypesTable" ref="A1:P14" headerRowCount="1" totalsRowCount="0" totalsRowShown="0">
  <x:tableColumns count="16">
    <x:tableColumn id="1" name="Archetype"/>
    <x:tableColumn id="2" name="Engage"/>
    <x:tableColumn id="3" name="Dive"/>
    <x:tableColumn id="4" name="Peel"/>
    <x:tableColumn id="5" name="Frontline"/>
    <x:tableColumn id="6" name="Poke"/>
    <x:tableColumn id="7" name="Burst"/>
    <x:tableColumn id="8" name="SustainDPS"/>
    <x:tableColumn id="9" name="Control"/>
    <x:tableColumn id="10" name="Support"/>
    <x:tableColumn id="11" name="Mobility"/>
    <x:tableColumn id="12" name="FarmScaling"/>
    <x:tableColumn id="13" name="ObjectiveSecure"/>
    <x:tableColumn id="14" name="ScoringSide"/>
    <x:tableColumn id="15" name="Execution"/>
    <x:tableColumn id="16" name="Decision"/>
  </x:tableColumns>
  <x:tableStyleInfo name="TableStyleMedium2" showFirstColumn="0" showLastColumn="0" showRowStripes="1" showColumnStripes="0"/>
</x:table>
</file>

<file path=xl/tables/table5.xml><?xml version="1.0" encoding="utf-8"?>
<x:table xmlns:x="http://schemas.openxmlformats.org/spreadsheetml/2006/main" id="5" name="SplitBuildsTable" displayName="SplitBuildsTable" ref="A1:I81" headerRowCount="1" totalsRowCount="0" totalsRowShown="0">
  <x:tableColumns count="9">
    <x:tableColumn id="1" name="Pokemon"/>
    <x:tableColumn id="2" name="OfficialRole"/>
    <x:tableColumn id="3" name="ProfileName"/>
    <x:tableColumn id="4" name="ProfileLabel"/>
    <x:tableColumn id="5" name="PrimaryArchetype"/>
    <x:tableColumn id="6" name="SecondaryArchetype"/>
    <x:tableColumn id="7" name="SplitReason"/>
    <x:tableColumn id="8" name="Confidence"/>
    <x:tableColumn id="9" name="SourceURL"/>
  </x:tableColumns>
  <x:tableStyleInfo name="TableStyleMedium2" showFirstColumn="0" showLastColumn="0" showRowStripes="1" showColumnStripes="0"/>
</x:table>
</file>

<file path=xl/tables/table6.xml><?xml version="1.0" encoding="utf-8"?>
<x:table xmlns:x="http://schemas.openxmlformats.org/spreadsheetml/2006/main" id="6" name="SourcesTable" displayName="SourcesTable" ref="A1:C7" headerRowCount="1" totalsRowCount="0" totalsRowShown="0">
  <x:tableColumns count="3">
    <x:tableColumn id="1" name="Source"/>
    <x:tableColumn id="2" name="URL"/>
    <x:tableColumn id="3" name="How used"/>
  </x:tableColumns>
  <x:tableStyleInfo name="TableStyleMedium2" showFirstColumn="0" showLastColumn="0" showRowStripes="1" showColumnStripes="0"/>
</x:table>
</file>

<file path=xl/tables/table7.xml><?xml version="1.0" encoding="utf-8"?>
<x:table xmlns:x="http://schemas.openxmlformats.org/spreadsheetml/2006/main" id="7" name="QuestionsTable" displayName="QuestionsTable" ref="A5:AB35" headerRowCount="1" totalsRowCount="0" totalsRowShown="0">
  <x:tableColumns count="28">
    <x:tableColumn id="1" name="QID"/>
    <x:tableColumn id="2" name="区分"/>
    <x:tableColumn id="3" name="質問文"/>
    <x:tableColumn id="4" name="主な測定対象"/>
    <x:tableColumn id="5" name="備考"/>
    <x:tableColumn id="6" name="Initiative"/>
    <x:tableColumn id="7" name="RiskTolerance"/>
    <x:tableColumn id="8" name="Cooperation"/>
    <x:tableColumn id="9" name="SelfReliance"/>
    <x:tableColumn id="10" name="Planning"/>
    <x:tableColumn id="11" name="Adaptability"/>
    <x:tableColumn id="12" name="Mastery"/>
    <x:tableColumn id="13" name="Engage"/>
    <x:tableColumn id="14" name="Dive"/>
    <x:tableColumn id="15" name="Peel"/>
    <x:tableColumn id="16" name="Frontline"/>
    <x:tableColumn id="17" name="Poke"/>
    <x:tableColumn id="18" name="Burst"/>
    <x:tableColumn id="19" name="SustainDPS"/>
    <x:tableColumn id="20" name="Control"/>
    <x:tableColumn id="21" name="Support"/>
    <x:tableColumn id="22" name="Mobility"/>
    <x:tableColumn id="23" name="FarmScaling"/>
    <x:tableColumn id="24" name="ObjectiveSecure"/>
    <x:tableColumn id="25" name="ScoringSide"/>
    <x:tableColumn id="26" name="Execution"/>
    <x:tableColumn id="27" name="Decision"/>
    <x:tableColumn id="28" name="設計意図"/>
  </x:tableColumns>
  <x:tableStyleInfo name="TableStyleMedium2" showFirstColumn="0" showLastColumn="0" showRowStripes="1" showColumnStripes="0"/>
</x:table>
</file>

<file path=xl/tables/table8.xml><?xml version="1.0" encoding="utf-8"?>
<x:table xmlns:x="http://schemas.openxmlformats.org/spreadsheetml/2006/main" id="8" name="Match140Table" displayName="Match140Table" ref="A5:X145" headerRowCount="1" totalsRowCount="0" totalsRowShown="0">
  <x:tableColumns count="24">
    <x:tableColumn id="1" name="Pokemon"/>
    <x:tableColumn id="2" name="ProfileID"/>
    <x:tableColumn id="3" name="ProfileName"/>
    <x:tableColumn id="4" name="OfficialRole"/>
    <x:tableColumn id="5" name="Confidence"/>
    <x:tableColumn id="6" name="Err_Engage"/>
    <x:tableColumn id="7" name="Err_Dive"/>
    <x:tableColumn id="8" name="Err_Peel"/>
    <x:tableColumn id="9" name="Err_Frontline"/>
    <x:tableColumn id="10" name="Err_Poke"/>
    <x:tableColumn id="11" name="Err_Burst"/>
    <x:tableColumn id="12" name="Err_SustainDPS"/>
    <x:tableColumn id="13" name="Err_Control"/>
    <x:tableColumn id="14" name="Err_Support"/>
    <x:tableColumn id="15" name="Err_Mobility"/>
    <x:tableColumn id="16" name="Err_FarmScaling"/>
    <x:tableColumn id="17" name="Err_ObjectiveSecure"/>
    <x:tableColumn id="18" name="Err_ScoringSide"/>
    <x:tableColumn id="19" name="Err_Execution"/>
    <x:tableColumn id="20" name="Err_Decision"/>
    <x:tableColumn id="21" name="WeightedMSE"/>
    <x:tableColumn id="22" name="RMSE"/>
    <x:tableColumn id="23" name="MatchScore"/>
    <x:tableColumn id="24" name="Ran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52a2968494b4458" /></Relationships>
</file>

<file path=xl/worksheets/_rels/sheet2.xml.rels>&#65279;<?xml version="1.0" encoding="utf-8"?><Relationships xmlns="http://schemas.openxmlformats.org/package/2006/relationships"><Relationship Type="http://schemas.openxmlformats.org/officeDocument/2006/relationships/table" Target="/xl/tables/table1.xml" Id="Rbbea6191a6b845d9" /></Relationships>
</file>

<file path=xl/worksheets/_rels/sheet3.xml.rels>&#65279;<?xml version="1.0" encoding="utf-8"?><Relationships xmlns="http://schemas.openxmlformats.org/package/2006/relationships"><Relationship Type="http://schemas.openxmlformats.org/officeDocument/2006/relationships/table" Target="/xl/tables/table2.xml" Id="R63eb27a192f54c49" /></Relationships>
</file>

<file path=xl/worksheets/_rels/sheet4.xml.rels>&#65279;<?xml version="1.0" encoding="utf-8"?><Relationships xmlns="http://schemas.openxmlformats.org/package/2006/relationships"><Relationship Type="http://schemas.openxmlformats.org/officeDocument/2006/relationships/table" Target="/xl/tables/table3.xml" Id="R2be7176b008b41ed" /></Relationships>
</file>

<file path=xl/worksheets/_rels/sheet5.xml.rels>&#65279;<?xml version="1.0" encoding="utf-8"?><Relationships xmlns="http://schemas.openxmlformats.org/package/2006/relationships"><Relationship Type="http://schemas.openxmlformats.org/officeDocument/2006/relationships/table" Target="/xl/tables/table4.xml" Id="R7776b53cc64e4fd0" /></Relationships>
</file>

<file path=xl/worksheets/_rels/sheet6.xml.rels>&#65279;<?xml version="1.0" encoding="utf-8"?><Relationships xmlns="http://schemas.openxmlformats.org/package/2006/relationships"><Relationship Type="http://schemas.openxmlformats.org/officeDocument/2006/relationships/table" Target="/xl/tables/table5.xml" Id="R157e393895804846" /></Relationships>
</file>

<file path=xl/worksheets/_rels/sheet7.xml.rels>&#65279;<?xml version="1.0" encoding="utf-8"?><Relationships xmlns="http://schemas.openxmlformats.org/package/2006/relationships"><Relationship Type="http://schemas.openxmlformats.org/officeDocument/2006/relationships/table" Target="/xl/tables/table6.xml" Id="R39800c00e20f453c" /></Relationships>
</file>

<file path=xl/worksheets/_rels/sheet8.xml.rels>&#65279;<?xml version="1.0" encoding="utf-8"?><Relationships xmlns="http://schemas.openxmlformats.org/package/2006/relationships"><Relationship Type="http://schemas.openxmlformats.org/officeDocument/2006/relationships/table" Target="/xl/tables/table7.xml" Id="Re268f6f2989a4156" /></Relationships>
</file>

<file path=xl/worksheets/_rels/sheet11.xml.rels>&#65279;<?xml version="1.0" encoding="utf-8"?><Relationships xmlns="http://schemas.openxmlformats.org/package/2006/relationships"><Relationship Type="http://schemas.openxmlformats.org/officeDocument/2006/relationships/table" Target="/xl/tables/table8.xml" Id="Rb65b1b914a0442b8" /></Relationships>
</file>

<file path=xl/worksheets/sheet1.xml><?xml version="1.0" encoding="utf-8"?>
<x:worksheet xmlns:x="http://schemas.openxmlformats.org/spreadsheetml/2006/main">
  <x:sheetFormatPr defaultRowHeight="15"/>
  <x:cols>
    <x:col min="1" max="1" width="25" hidden="0" customWidth="1"/>
    <x:col min="2" max="2" width="82" hidden="0" customWidth="1"/>
    <x:col min="3" max="3" width="48" hidden="0" customWidth="1"/>
    <x:col min="4" max="4" width="1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ht="30" customHeight="1">
      <x:c r="A1" s="183" t="str">
        <x:v>Pokémon UNITE OTP診断用 パラメータDB（Percentile Matching版）</x:v>
      </x:c>
      <x:c r="B1" s="183"/>
      <x:c r="C1" s="183"/>
      <x:c r="D1" s="183"/>
      <x:c r="E1" s="183"/>
      <x:c r="F1" s="31"/>
      <x:c r="G1" s="31"/>
      <x:c r="H1" s="31"/>
      <x:c r="I1" s="32"/>
      <x:c r="J1" s="32"/>
      <x:c r="K1" s="32"/>
      <x:c r="L1" s="32"/>
      <x:c r="M1" s="32"/>
      <x:c r="N1" s="32"/>
    </x:row>
    <x:row r="2" ht="30" customHeight="1">
      <x:c r="A2" s="183"/>
      <x:c r="B2" s="183"/>
      <x:c r="C2" s="183"/>
      <x:c r="D2" s="183"/>
      <x:c r="E2" s="183"/>
      <x:c r="F2" s="31"/>
      <x:c r="G2" s="31"/>
      <x:c r="H2" s="31"/>
      <x:c r="I2" s="32"/>
      <x:c r="J2" s="32"/>
      <x:c r="K2" s="32"/>
      <x:c r="L2" s="32"/>
      <x:c r="M2" s="32"/>
      <x:c r="N2" s="32"/>
    </x:row>
    <x:row r="3">
      <x:c r="A3" s="32"/>
      <x:c r="B3" s="32"/>
      <x:c r="C3" s="32"/>
      <x:c r="D3" s="32"/>
      <x:c r="E3" s="32"/>
      <x:c r="F3" s="32"/>
      <x:c r="G3" s="32"/>
      <x:c r="H3" s="32"/>
      <x:c r="I3" s="32"/>
      <x:c r="J3" s="32"/>
      <x:c r="K3" s="32"/>
      <x:c r="L3" s="32"/>
      <x:c r="M3" s="32"/>
      <x:c r="N3" s="32"/>
    </x:row>
    <x:row r="4">
      <x:c r="A4" s="33" t="str">
        <x:v>基準日</x:v>
      </x:c>
      <x:c r="B4" s="34" t="str">
        <x:v>2026-09-30</x:v>
      </x:c>
      <x:c r="C4" s="32"/>
      <x:c r="D4" s="35" t="str">
        <x:v>公式ロール</x:v>
      </x:c>
      <x:c r="E4" s="35" t="str">
        <x:v>体数</x:v>
      </x:c>
      <x:c r="F4" s="32"/>
      <x:c r="G4" s="32"/>
      <x:c r="H4" s="32"/>
      <x:c r="I4" s="32"/>
      <x:c r="J4" s="32"/>
      <x:c r="K4" s="32"/>
      <x:c r="L4" s="32"/>
      <x:c r="M4" s="32"/>
      <x:c r="N4" s="32"/>
    </x:row>
    <x:row r="5">
      <x:c r="A5" s="33" t="str">
        <x:v>現行ライセンス</x:v>
      </x:c>
      <x:c r="B5" s="34" t="n">
        <x:v>100</x:v>
      </x:c>
      <x:c r="C5" s="32"/>
      <x:c r="D5" s="32" t="str">
        <x:v>アタック型</x:v>
      </x:c>
      <x:c r="E5" s="32" t="n">
        <x:v>28</x:v>
      </x:c>
      <x:c r="F5" s="32"/>
      <x:c r="G5" s="32"/>
      <x:c r="H5" s="32"/>
      <x:c r="I5" s="32"/>
      <x:c r="J5" s="32"/>
      <x:c r="K5" s="32"/>
      <x:c r="L5" s="32"/>
      <x:c r="M5" s="32"/>
      <x:c r="N5" s="32"/>
    </x:row>
    <x:row r="6">
      <x:c r="A6" s="33" t="str">
        <x:v>診断プロファイル</x:v>
      </x:c>
      <x:c r="B6" s="34" t="n">
        <x:v>130</x:v>
      </x:c>
      <x:c r="C6" s="32"/>
      <x:c r="D6" s="32" t="str">
        <x:v>バランス型</x:v>
      </x:c>
      <x:c r="E6" s="32" t="n">
        <x:v>35</x:v>
      </x:c>
      <x:c r="F6" s="32"/>
      <x:c r="G6" s="32"/>
      <x:c r="H6" s="32"/>
      <x:c r="I6" s="32"/>
      <x:c r="J6" s="32"/>
      <x:c r="K6" s="32"/>
      <x:c r="L6" s="32"/>
      <x:c r="M6" s="32"/>
      <x:c r="N6" s="32"/>
    </x:row>
    <x:row r="7">
      <x:c r="A7" s="33" t="str">
        <x:v>型分け対象</x:v>
      </x:c>
      <x:c r="B7" s="34" t="n">
        <x:v>30</x:v>
      </x:c>
      <x:c r="C7" s="32"/>
      <x:c r="D7" s="32" t="str">
        <x:v>スピード型</x:v>
      </x:c>
      <x:c r="E7" s="32" t="n">
        <x:v>12</x:v>
      </x:c>
      <x:c r="F7" s="32"/>
      <x:c r="G7" s="32"/>
      <x:c r="H7" s="32"/>
      <x:c r="I7" s="32"/>
      <x:c r="J7" s="32"/>
      <x:c r="K7" s="32"/>
      <x:c r="L7" s="32"/>
      <x:c r="M7" s="32"/>
      <x:c r="N7" s="32"/>
    </x:row>
    <x:row r="8">
      <x:c r="A8" s="33" t="str">
        <x:v>質問数</x:v>
      </x:c>
      <x:c r="B8" s="34" t="n">
        <x:v>30</x:v>
      </x:c>
      <x:c r="C8" s="32"/>
      <x:c r="D8" s="32" t="str">
        <x:v>ディフェンス型</x:v>
      </x:c>
      <x:c r="E8" s="32" t="n">
        <x:v>13</x:v>
      </x:c>
      <x:c r="F8" s="32"/>
      <x:c r="G8" s="32"/>
      <x:c r="H8" s="32"/>
      <x:c r="I8" s="32"/>
      <x:c r="J8" s="32"/>
      <x:c r="K8" s="32"/>
      <x:c r="L8" s="32"/>
      <x:c r="M8" s="32"/>
      <x:c r="N8" s="32"/>
    </x:row>
    <x:row r="9">
      <x:c r="A9" s="33" t="str">
        <x:v>性格気質</x:v>
      </x:c>
      <x:c r="B9" s="34" t="n">
        <x:v>7</x:v>
      </x:c>
      <x:c r="C9" s="32"/>
      <x:c r="D9" s="32" t="str">
        <x:v>サポート型</x:v>
      </x:c>
      <x:c r="E9" s="32" t="n">
        <x:v>12</x:v>
      </x:c>
      <x:c r="F9" s="32"/>
      <x:c r="G9" s="32"/>
      <x:c r="H9" s="32"/>
      <x:c r="I9" s="32"/>
      <x:c r="J9" s="32"/>
      <x:c r="K9" s="32"/>
      <x:c r="L9" s="32"/>
      <x:c r="M9" s="32"/>
      <x:c r="N9" s="32"/>
    </x:row>
    <x:row r="10">
      <x:c r="A10" s="32" t="str">
        <x:v>プレイ軸</x:v>
      </x:c>
      <x:c r="B10" s="32" t="str">
        <x:v>15（コア12＋補助3）</x:v>
      </x:c>
      <x:c r="C10" s="32"/>
      <x:c r="D10" s="32"/>
      <x:c r="E10" s="32"/>
      <x:c r="F10" s="32"/>
      <x:c r="G10" s="32"/>
      <x:c r="H10" s="32"/>
      <x:c r="I10" s="32"/>
      <x:c r="J10" s="32"/>
      <x:c r="K10" s="32"/>
      <x:c r="L10" s="32"/>
      <x:c r="M10" s="32"/>
      <x:c r="N10" s="32"/>
    </x:row>
    <x:row r="11">
      <x:c r="A11" s="32"/>
      <x:c r="B11" s="32"/>
      <x:c r="C11" s="32"/>
      <x:c r="D11" s="32"/>
      <x:c r="E11" s="32"/>
      <x:c r="F11" s="32"/>
      <x:c r="G11" s="32"/>
      <x:c r="H11" s="32"/>
      <x:c r="I11" s="32"/>
      <x:c r="J11" s="32"/>
      <x:c r="K11" s="32"/>
      <x:c r="L11" s="32"/>
      <x:c r="M11" s="32"/>
      <x:c r="N11" s="32"/>
    </x:row>
    <x:row r="12">
      <x:c r="A12" s="35" t="str">
        <x:v>このDBの読み方</x:v>
      </x:c>
      <x:c r="B12" s="35"/>
      <x:c r="C12" s="35"/>
      <x:c r="D12" s="35"/>
      <x:c r="E12" s="35"/>
      <x:c r="F12" s="35"/>
      <x:c r="G12" s="35"/>
      <x:c r="H12" s="35"/>
      <x:c r="I12" s="32"/>
      <x:c r="J12" s="32"/>
      <x:c r="K12" s="32"/>
      <x:c r="L12" s="32"/>
      <x:c r="M12" s="32"/>
      <x:c r="N12" s="32"/>
    </x:row>
    <x:row r="13">
      <x:c r="A13" s="184" t="str">
        <x:v>1</x:v>
      </x:c>
      <x:c r="B13" s="34" t="str">
        <x:v>性格7軸は内部コードを維持しつつ、表側では『様子を見る←→自分から動く』のような双極ラベルで表示。</x:v>
      </x:c>
      <x:c r="C13" s="32"/>
      <x:c r="D13" s="32"/>
      <x:c r="E13" s="32"/>
      <x:c r="F13" s="32"/>
      <x:c r="G13" s="32"/>
      <x:c r="H13" s="32"/>
      <x:c r="I13" s="32"/>
      <x:c r="J13" s="32"/>
      <x:c r="K13" s="32"/>
      <x:c r="L13" s="32"/>
      <x:c r="M13" s="32"/>
      <x:c r="N13" s="32"/>
    </x:row>
    <x:row r="14">
      <x:c r="A14" s="184" t="str">
        <x:v>2</x:v>
      </x:c>
      <x:c r="B14" s="34" t="str">
        <x:v>質問文を短くし、スマホ/X経由でテンポよく答えられる文量へ変更。30問すべてが7軸に寄与。</x:v>
      </x:c>
      <x:c r="C14" s="32"/>
      <x:c r="D14" s="32"/>
      <x:c r="E14" s="32"/>
      <x:c r="F14" s="32"/>
      <x:c r="G14" s="32"/>
      <x:c r="H14" s="32"/>
      <x:c r="I14" s="32"/>
      <x:c r="J14" s="32"/>
      <x:c r="K14" s="32"/>
      <x:c r="L14" s="32"/>
      <x:c r="M14" s="32"/>
      <x:c r="N14" s="32"/>
    </x:row>
    <x:row r="15">
      <x:c r="A15" s="184" t="str">
        <x:v>3</x:v>
      </x:c>
      <x:c r="B15" s="34" t="str">
        <x:v>15軸はBurstとSustainDPSをFightTempo（瞬間決着←→継続戦）へ統合し、新たにSelfSufficiency（自己完結性）を追加。</x:v>
      </x:c>
      <x:c r="C15" s="32"/>
      <x:c r="D15" s="32"/>
      <x:c r="E15" s="32"/>
      <x:c r="F15" s="32"/>
      <x:c r="G15" s="32"/>
      <x:c r="H15" s="32"/>
      <x:c r="I15" s="32"/>
      <x:c r="J15" s="32"/>
      <x:c r="K15" s="32"/>
      <x:c r="L15" s="32"/>
      <x:c r="M15" s="32"/>
      <x:c r="N15" s="32"/>
    </x:row>
    <x:row r="16">
      <x:c r="A16" s="184" t="str">
        <x:v>4</x:v>
      </x:c>
      <x:c r="B16" s="34" t="str">
        <x:v>FarmScaling / ObjectiveSecure / ScoringSideはパッチ影響を受けやすいため補助3軸としてWeightを低く設定。</x:v>
      </x:c>
      <x:c r="C16" s="32"/>
      <x:c r="D16" s="32"/>
      <x:c r="E16" s="32"/>
      <x:c r="F16" s="32"/>
      <x:c r="G16" s="32"/>
      <x:c r="H16" s="32"/>
      <x:c r="I16" s="32"/>
      <x:c r="J16" s="32"/>
      <x:c r="K16" s="32"/>
      <x:c r="L16" s="32"/>
      <x:c r="M16" s="32"/>
      <x:c r="N16" s="32"/>
    </x:row>
    <x:row r="17">
      <x:c r="A17" s="184" t="str">
        <x:v>5</x:v>
      </x:c>
      <x:c r="B17" s="34" t="str">
        <x:v>7→15変換へ6種類のInteraction Bonusを追加。主導性×リスク等の組み合わせで、プレイヤー軸が平均化されすぎないようにした。</x:v>
      </x:c>
      <x:c r="C17" s="32"/>
      <x:c r="D17" s="32"/>
      <x:c r="E17" s="32"/>
      <x:c r="F17" s="32"/>
      <x:c r="G17" s="32"/>
      <x:c r="H17" s="32"/>
      <x:c r="I17" s="32"/>
      <x:c r="J17" s="32"/>
      <x:c r="K17" s="32"/>
      <x:c r="L17" s="32"/>
      <x:c r="M17" s="32"/>
      <x:c r="N17" s="32"/>
    </x:row>
    <x:row r="18">
      <x:c r="A18" s="184" t="str">
        <x:v>6</x:v>
      </x:c>
      <x:c r="B18" s="34" t="str">
        <x:v>各プロファイルについて20,000件の疑似回答からRawMatch分布を作り、Percentile_Calibrationへ保存。</x:v>
      </x:c>
      <x:c r="C18" s="32"/>
      <x:c r="D18" s="32"/>
      <x:c r="E18" s="32"/>
      <x:c r="F18" s="32"/>
      <x:c r="G18" s="32"/>
      <x:c r="H18" s="32"/>
      <x:c r="I18" s="32"/>
      <x:c r="J18" s="32"/>
      <x:c r="K18" s="32"/>
      <x:c r="L18" s="32"/>
      <x:c r="M18" s="32"/>
      <x:c r="N18" s="32"/>
    </x:row>
    <x:row r="19">
      <x:c r="A19" s="184" t="str">
        <x:v>7</x:v>
      </x:c>
      <x:c r="B19" s="34" t="str">
        <x:v>順位はPercentile 80%＋RawMatch 20%＋小さなRankBias。『誰にでも近い中間型』が常に有利になる問題を軽減。</x:v>
      </x:c>
      <x:c r="C19" s="32"/>
      <x:c r="D19" s="32"/>
      <x:c r="E19" s="32"/>
      <x:c r="F19" s="32"/>
      <x:c r="G19" s="32"/>
      <x:c r="H19" s="32"/>
      <x:c r="I19" s="32"/>
      <x:c r="J19" s="32"/>
      <x:c r="K19" s="32"/>
      <x:c r="L19" s="32"/>
      <x:c r="M19" s="32"/>
      <x:c r="N19" s="32"/>
    </x:row>
    <x:row r="20">
      <x:c r="A20" s="185" t="str">
        <x:v>8</x:v>
      </x:c>
      <x:c r="B20" s="35" t="str">
        <x:v>表示相性はPercentileを非線形変換。監査7,000件では1位相性のp10≈73、中央値≈91、p90≈95となり、旧版の75前後集中を解消。</x:v>
      </x:c>
      <x:c r="C20" s="35"/>
      <x:c r="D20" s="35"/>
      <x:c r="E20" s="35"/>
      <x:c r="F20" s="35"/>
      <x:c r="G20" s="35"/>
      <x:c r="H20" s="35"/>
      <x:c r="I20" s="32"/>
      <x:c r="J20" s="32"/>
      <x:c r="K20" s="32"/>
      <x:c r="L20" s="32"/>
      <x:c r="M20" s="32"/>
      <x:c r="N20" s="32"/>
    </x:row>
    <x:row r="21">
      <x:c r="A21" s="185" t="str">
        <x:v>9</x:v>
      </x:c>
      <x:c r="B21" s="35" t="str">
        <x:v>DisplayScoreは勝率や確率ではないため、サイトでは『相性 91 / 100』のように表示する。</x:v>
      </x:c>
      <x:c r="C21" s="35" t="str">
        <x:v>用途</x:v>
      </x:c>
      <x:c r="D21" s="32"/>
      <x:c r="E21" s="32"/>
      <x:c r="F21" s="32"/>
      <x:c r="G21" s="32"/>
      <x:c r="H21" s="32"/>
      <x:c r="I21" s="32"/>
      <x:c r="J21" s="32"/>
      <x:c r="K21" s="32"/>
      <x:c r="L21" s="32"/>
      <x:c r="M21" s="32"/>
      <x:c r="N21" s="32"/>
    </x:row>
    <x:row r="22">
      <x:c r="A22" s="34" t="str">
        <x:v>Pokemon Unite Wiki ポケモン一覧</x:v>
      </x:c>
      <x:c r="B22" s="34" t="str">
        <x:v>https://wikiwiki.jp/poke-unite/%E4%B8%80%E8%A6%A7</x:v>
      </x:c>
      <x:c r="C22" s="34" t="str">
        <x:v>99体（モルペコまで）のロスター、非公式LoL系ロール、長所短所。2026-09-19更新。</x:v>
      </x:c>
      <x:c r="D22" s="32"/>
      <x:c r="E22" s="32"/>
      <x:c r="F22" s="32"/>
      <x:c r="G22" s="32"/>
      <x:c r="H22" s="32"/>
      <x:c r="I22" s="32"/>
      <x:c r="J22" s="32"/>
      <x:c r="K22" s="32"/>
      <x:c r="L22" s="32"/>
      <x:c r="M22" s="32"/>
      <x:c r="N22" s="32"/>
    </x:row>
    <x:row r="23">
      <x:c r="A23" s="34" t="str">
        <x:v>Pokémon UNITE公式 ストリンダー参戦</x:v>
      </x:c>
      <x:c r="B23" s="34" t="str">
        <x:v>https://www.pokemonunite.jp/ja/topics/news/20260924/</x:v>
      </x:c>
      <x:c r="C23" s="34" t="str">
        <x:v>2026-09-24参戦を確認。現行100体目。</x:v>
      </x:c>
      <x:c r="D23" s="32"/>
      <x:c r="E23" s="32"/>
      <x:c r="F23" s="32"/>
      <x:c r="G23" s="32"/>
      <x:c r="H23" s="32"/>
      <x:c r="I23" s="32"/>
      <x:c r="J23" s="32"/>
      <x:c r="K23" s="32"/>
      <x:c r="L23" s="32"/>
      <x:c r="M23" s="32"/>
      <x:c r="N23" s="32"/>
    </x:row>
    <x:row r="24">
      <x:c r="A24" s="34" t="str">
        <x:v>Pokémon UNITE公式 ポケモン一覧</x:v>
      </x:c>
      <x:c r="B24" s="34" t="str">
        <x:v>https://www.pokemonunite.jp/pokemon/</x:v>
      </x:c>
      <x:c r="C24" s="34" t="str">
        <x:v>公式のプレイスタイル案内・参戦ポケモン確認。</x:v>
      </x:c>
      <x:c r="D24" s="32"/>
      <x:c r="E24" s="32"/>
      <x:c r="F24" s="32"/>
      <x:c r="G24" s="32"/>
      <x:c r="H24" s="32"/>
      <x:c r="I24" s="32"/>
      <x:c r="J24" s="32"/>
      <x:c r="K24" s="32"/>
      <x:c r="L24" s="32"/>
      <x:c r="M24" s="32"/>
      <x:c r="N24" s="32"/>
    </x:row>
    <x:row r="25">
      <x:c r="A25" s="34" t="str">
        <x:v>UniteAPI Meta</x:v>
      </x:c>
      <x:c r="B25" s="34" t="str">
        <x:v>https://uniteapi.dev/jp/meta</x:v>
      </x:c>
      <x:c r="C25" s="34" t="str">
        <x:v>2026-09-14〜21、128,033試合。実戦で使われている代表ビルド・現行環境の照合。強さは診断点数に混ぜない。</x:v>
      </x:c>
      <x:c r="D25" s="32"/>
      <x:c r="E25" s="32"/>
      <x:c r="F25" s="32"/>
      <x:c r="G25" s="32"/>
      <x:c r="H25" s="32"/>
      <x:c r="I25" s="32"/>
      <x:c r="J25" s="32"/>
      <x:c r="K25" s="32"/>
      <x:c r="L25" s="32"/>
      <x:c r="M25" s="32"/>
      <x:c r="N25" s="32"/>
    </x:row>
    <x:row r="26">
      <x:c r="A26" s="34" t="str">
        <x:v>Wiki 用語集</x:v>
      </x:c>
      <x:c r="B26" s="34" t="str">
        <x:v>https://wikiwiki.jp/poke-unite/%E7%94%A8%E8%AA%9E%E9%9B%86</x:v>
      </x:c>
      <x:c r="C26" s="34" t="str">
        <x:v>わざセット1/2は左右の代表組合せ。手動で混成可能であることを確認。</x:v>
      </x:c>
      <x:c r="D26" s="32"/>
      <x:c r="E26" s="32"/>
      <x:c r="F26" s="32"/>
      <x:c r="G26" s="32"/>
      <x:c r="H26" s="32"/>
      <x:c r="I26" s="32"/>
      <x:c r="J26" s="32"/>
      <x:c r="K26" s="32"/>
      <x:c r="L26" s="32"/>
      <x:c r="M26" s="32"/>
      <x:c r="N26" s="32"/>
    </x:row>
    <x:row r="27">
      <x:c r="A27" s="34" t="str">
        <x:v>Reddit r/PokemonUnite</x:v>
      </x:c>
      <x:c r="B27" s="34" t="str">
        <x:v>https://www.reddit.com/r/PokemonUnite/</x:v>
      </x:c>
      <x:c r="C27" s="34" t="str">
        <x:v>直近の使用感・新実装の定性的チェックのみ。一次情報ではないため補助扱い。</x:v>
      </x:c>
      <x:c r="D27" s="32"/>
      <x:c r="E27" s="32"/>
      <x:c r="F27" s="32"/>
      <x:c r="G27" s="32"/>
      <x:c r="H27" s="32"/>
      <x:c r="I27" s="32"/>
      <x:c r="J27" s="32"/>
      <x:c r="K27" s="32"/>
      <x:c r="L27" s="32"/>
      <x:c r="M27" s="32"/>
      <x:c r="N27" s="32"/>
    </x:row>
    <x:row r="28">
      <x:c r="A28" s="32"/>
      <x:c r="B28" s="32"/>
      <x:c r="C28" s="32"/>
      <x:c r="D28" s="32"/>
      <x:c r="E28" s="32"/>
      <x:c r="F28" s="32"/>
      <x:c r="G28" s="32"/>
      <x:c r="H28" s="32"/>
      <x:c r="I28" s="32"/>
      <x:c r="J28" s="32"/>
      <x:c r="K28" s="32"/>
      <x:c r="L28" s="32"/>
      <x:c r="M28" s="32"/>
      <x:c r="N28" s="32"/>
    </x:row>
    <x:row r="29">
      <x:c r="A29" s="32"/>
      <x:c r="B29" s="32"/>
      <x:c r="C29" s="32"/>
      <x:c r="D29" s="32"/>
      <x:c r="E29" s="32"/>
      <x:c r="F29" s="32"/>
      <x:c r="G29" s="32"/>
      <x:c r="H29" s="32"/>
      <x:c r="I29" s="32"/>
      <x:c r="J29" s="32"/>
      <x:c r="K29" s="32"/>
      <x:c r="L29" s="32"/>
      <x:c r="M29" s="32"/>
      <x:c r="N29" s="32"/>
    </x:row>
    <x:row r="30">
      <x:c r="A30" s="186" t="str">
        <x:v>主要シート</x:v>
      </x:c>
      <x:c r="B30" s="186" t="str">
        <x:v>用途</x:v>
      </x:c>
      <x:c r="C30" s="73"/>
      <x:c r="D30" s="73"/>
      <x:c r="E30" s="73"/>
      <x:c r="F30" s="32"/>
      <x:c r="G30" s="32"/>
      <x:c r="H30" s="32"/>
      <x:c r="I30" s="32"/>
      <x:c r="J30" s="32"/>
      <x:c r="K30" s="32"/>
      <x:c r="L30" s="32"/>
      <x:c r="M30" s="32"/>
      <x:c r="N30" s="32"/>
    </x:row>
    <x:row r="31">
      <x:c r="A31" s="187" t="str">
        <x:v>Personality_Axes</x:v>
      </x:c>
      <x:c r="B31" s="12" t="str">
        <x:v>7気質の左右ラベルと意味。サイト表示はこちらを使用。</x:v>
      </x:c>
    </x:row>
    <x:row r="32">
      <x:c r="A32" s="187" t="str">
        <x:v>Questions_30</x:v>
      </x:c>
      <x:c r="B32" s="12" t="str">
        <x:v>30問と7軸/補助15軸Loading。</x:v>
      </x:c>
    </x:row>
    <x:row r="33">
      <x:c r="A33" s="187" t="str">
        <x:v>Model_Formula</x:v>
      </x:c>
      <x:c r="B33" s="12" t="str">
        <x:v>翻訳係数・Weight・Blend・表示スコア設定。</x:v>
      </x:c>
    </x:row>
    <x:row r="34">
      <x:c r="A34" s="187" t="str">
        <x:v>Interaction_Model</x:v>
      </x:c>
      <x:c r="B34" s="12" t="str">
        <x:v>性格同士の組み合わせ効果。</x:v>
      </x:c>
    </x:row>
    <x:row r="35">
      <x:c r="A35" s="187" t="str">
        <x:v>Profiles_140</x:v>
      </x:c>
      <x:c r="B35" s="12" t="str">
        <x:v>130プロファイルの新15軸。旧シート名は互換性のため維持。</x:v>
      </x:c>
    </x:row>
    <x:row r="36">
      <x:c r="A36" s="187" t="str">
        <x:v>Percentile_Calibration</x:v>
      </x:c>
      <x:c r="B36" s="12" t="str">
        <x:v>20,000疑似回答から作ったプロファイル別RawMatchの0〜100 percentile。</x:v>
      </x:c>
    </x:row>
    <x:row r="37">
      <x:c r="A37" s="187" t="str">
        <x:v>Match_140</x:v>
      </x:c>
      <x:c r="B37" s="12" t="str">
        <x:v>RawMatch→Percentile→DisplayScore→RankScoreの全計算。</x:v>
      </x:c>
    </x:row>
    <x:row r="38">
      <x:c r="A38" s="187" t="str">
        <x:v>Calibration_Audit</x:v>
      </x:c>
      <x:c r="B38" s="12" t="str">
        <x:v>別7,000回答による出現率・表示スコア監査。</x:v>
      </x:c>
    </x:row>
    <x:row r="39">
      <x:c r="A39" s="208" t="str">
        <x:v>Distinctiveness_Audit</x:v>
      </x:c>
      <x:c r="B39" s="12" t="str">
        <x:v>同アーキタイプ内でポケモン固有差をどれだけ識別できるかを監査。完全一致・近似ペア・RankScore相関を確認。</x:v>
      </x:c>
    </x:row>
    <x:row r="40">
      <x:c r="A40" s="208" t="str">
        <x:v>次の調整優先度</x:v>
      </x:c>
      <x:c r="B40" s="12" t="str">
        <x:v>質問数や軸数を増やすより、まず同アーキタイプ内のProfiles_140個別値を広げるのが効果大。</x:v>
      </x:c>
    </x:row>
    <x:row r="41">
      <x:c r="A41" s="226" t="str">
        <x:v>個性補正 2026-09-30</x:v>
      </x:c>
      <x:c r="B41" s="12" t="str">
        <x:v>Wikiの長所/短所・個別ページとUniteAPIの代表ビルドを参照し、アーキタイプ内の固有差を再調整。</x:v>
      </x:c>
    </x:row>
    <x:row r="42">
      <x:c r="A42" s="226" t="str">
        <x:v>調整方法</x:v>
      </x:c>
      <x:c r="B42" s="12" t="str">
        <x:v>既存のアーキタイプ内差を最大±10まで拡張し、根拠のある個体差だけ追加。最終変更は1軸±15以内。</x:v>
      </x:c>
    </x:row>
    <x:row r="43">
      <x:c r="A43" s="226" t="str">
        <x:v>透明性</x:v>
      </x:c>
      <x:c r="B43" s="12" t="str">
        <x:v>Signature_Modifiersで全130プロファイルの差分、手動補正、理由、参照URLを確認可能。</x:v>
      </x:c>
    </x:row>
    <x:row r="44">
      <x:c r="A44" s="226" t="str">
        <x:v>識別力</x:v>
      </x:c>
      <x:c r="B44" s="12" t="str">
        <x:v>最寄り別ポケモン距離中央値 2.7→約7.1、距離3未満 55%→0%、完全一致3組→0組。</x:v>
      </x:c>
    </x:row>
    <x:row r="45">
      <x:c r="A45" s="226" t="str">
        <x:v>候補の固まり</x:v>
      </x:c>
      <x:c r="B45" s="12" t="str">
        <x:v>Top1/Top2が同じPrimaryArchetypeになる率を約70%→約50%まで低下。</x:v>
      </x:c>
    </x:row>
    <x:row r="46">
      <x:c r="A46" s="226" t="str">
        <x:v>再校正</x:v>
      </x:c>
      <x:c r="B46" s="12" t="str">
        <x:v>Percentile_Calibrationを20,000件で再生成し、RankBiasも7,000件監査で再調整。</x:v>
      </x:c>
    </x:row>
    <x:row r="47">
      <x:c r="A47" s="226" t="str">
        <x:v>注意</x:v>
      </x:c>
      <x:c r="B47" s="12" t="str">
        <x:v>似たプレイ感のポケモンは意図的に近く残しています。距離を離すためだけの架空差は付けていません。</x:v>
      </x:c>
    </x:row>
  </x:sheetData>
  <x:mergeCells>
    <x:mergeCell ref="A1:H2"/>
    <x:mergeCell ref="A12:H12"/>
    <x:mergeCell ref="A20:H20"/>
    <x:mergeCell ref="A30:E30"/>
    <x:mergeCell ref="A1:E2"/>
  </x:mergeCells>
  <x:pageMargins left="0.7" right="0.7" top="0.75" bottom="0.75" header="0.3" footer="0.3"/>
  <x:drawing xmlns:r="http://schemas.openxmlformats.org/officeDocument/2006/relationships" r:id="Rf52a2968494b4458"/>
</x:worksheet>
</file>

<file path=xl/worksheets/sheet2.xml><?xml version="1.0" encoding="utf-8"?>
<x:worksheet xmlns:x="http://schemas.openxmlformats.org/spreadsheetml/2006/main">
  <x:sheetFormatPr defaultRowHeight="15"/>
  <x:cols>
    <x:col min="1" max="1" width="7" hidden="0" customWidth="1"/>
    <x:col min="2" max="2" width="18" hidden="0" customWidth="1"/>
    <x:col min="3" max="3" width="13" hidden="0" customWidth="1"/>
    <x:col min="4" max="4" width="18" hidden="0" customWidth="1"/>
    <x:col min="5" max="5" width="18" hidden="0" customWidth="1"/>
    <x:col min="6" max="6" width="12" hidden="0" customWidth="1"/>
    <x:col min="7" max="7" width="12" hidden="0" customWidth="1"/>
    <x:col min="8" max="8" width="12" hidden="0" customWidth="1"/>
    <x:col min="9" max="9" width="12" hidden="0" customWidth="1"/>
    <x:col min="10" max="10" width="30" hidden="0" customWidth="1"/>
    <x:col min="11" max="11" width="38" hidden="0" customWidth="1"/>
    <x:col min="12" max="12" width="38" hidden="0" customWidth="1"/>
    <x:col min="13" max="13" width="38" hidden="0" customWidth="1"/>
  </x:cols>
  <x:sheetData>
    <x:row r="1">
      <x:c r="A1" s="100" t="str">
        <x:v>No</x:v>
      </x:c>
      <x:c r="B1" s="100" t="str">
        <x:v>Pokemon</x:v>
      </x:c>
      <x:c r="C1" s="100" t="str">
        <x:v>OfficialRole</x:v>
      </x:c>
      <x:c r="D1" s="100" t="str">
        <x:v>WikiPrimaryArchetype</x:v>
      </x:c>
      <x:c r="E1" s="100" t="str">
        <x:v>WikiSecondaryArchetype</x:v>
      </x:c>
      <x:c r="F1" s="100" t="str">
        <x:v>SplitProfile</x:v>
      </x:c>
      <x:c r="G1" s="100" t="str">
        <x:v>ProfileCount</x:v>
      </x:c>
      <x:c r="H1" s="100" t="str">
        <x:v>Confidence</x:v>
      </x:c>
      <x:c r="I1" s="100" t="str">
        <x:v>AsOf</x:v>
      </x:c>
      <x:c r="J1" s="100" t="str">
        <x:v>Notes</x:v>
      </x:c>
      <x:c r="K1" s="100" t="str">
        <x:v>Wiki_or_Primary_Source</x:v>
      </x:c>
      <x:c r="L1" s="100" t="str">
        <x:v>OfficialRoster_Source</x:v>
      </x:c>
      <x:c r="M1" s="100" t="str">
        <x:v>Meta_Source</x:v>
      </x:c>
    </x:row>
    <x:row r="2">
      <x:c r="A2" s="12" t="n">
        <x:v>1</x:v>
      </x:c>
      <x:c r="B2" s="12" t="str">
        <x:v>アローラキュウコン</x:v>
      </x:c>
      <x:c r="C2" s="12" t="str">
        <x:v>アタック型</x:v>
      </x:c>
      <x:c r="D2" s="12" t="str">
        <x:v>BurstMage</x:v>
      </x:c>
      <x:c r="E2" s="12" t="str">
        <x:v>Marksman</x:v>
      </x:c>
      <x:c r="F2" s="12" t="str">
        <x:v>Yes</x:v>
      </x:c>
      <x:c r="G2" s="12" t="n">
        <x:v>2</x:v>
      </x:c>
      <x:c r="H2" s="12" t="str">
        <x:v>高</x:v>
      </x:c>
      <x:c r="I2" s="101" t="str">
        <x:v>2026-09-29</x:v>
      </x:c>
      <x:c r="J2" s="12" t="str">
        <x:v>型分けは診断上のプレイ人格が大きく変わる場合のみ</x:v>
      </x:c>
      <x:c r="K2" s="12" t="str">
        <x:v>https://wikiwiki.jp/poke-unite/%E3%82%A2%E3%83%AD%E3%83%BC%E3%83%A9%E3%82%AD%E3%83%A5%E3%82%A6%E3%82%B3%E3%83%B3</x:v>
      </x:c>
      <x:c r="L2" s="12" t="str">
        <x:v>https://www.pokemonunite.jp/pokemon/</x:v>
      </x:c>
      <x:c r="M2" s="12" t="str">
        <x:v>https://uniteapi.dev/jp/meta</x:v>
      </x:c>
    </x:row>
    <x:row r="3">
      <x:c r="A3" s="12" t="n">
        <x:v>2</x:v>
      </x:c>
      <x:c r="B3" s="12" t="str">
        <x:v>アローラライチュウ</x:v>
      </x:c>
      <x:c r="C3" s="12" t="str">
        <x:v>アタック型</x:v>
      </x:c>
      <x:c r="D3" s="12" t="str">
        <x:v>BattleMage</x:v>
      </x:c>
      <x:c r="E3" s="12"/>
      <x:c r="F3" s="12" t="str">
        <x:v>No</x:v>
      </x:c>
      <x:c r="G3" s="12" t="n">
        <x:v>1</x:v>
      </x:c>
      <x:c r="H3" s="12" t="str">
        <x:v>高</x:v>
      </x:c>
      <x:c r="I3" s="101" t="str">
        <x:v>2026-09-29</x:v>
      </x:c>
      <x:c r="J3" s="12" t="str">
        <x:v>型分けは診断上のプレイ人格が大きく変わる場合のみ</x:v>
      </x:c>
      <x:c r="K3" s="12" t="str">
        <x:v>https://wikiwiki.jp/poke-unite/%E3%82%A2%E3%83%AD%E3%83%BC%E3%83%A9%E3%83%A9%E3%82%A4%E3%83%81%E3%83%A5%E3%82%A6</x:v>
      </x:c>
      <x:c r="L3" s="12" t="str">
        <x:v>https://www.pokemonunite.jp/pokemon/</x:v>
      </x:c>
      <x:c r="M3" s="12" t="str">
        <x:v>https://uniteapi.dev/jp/meta</x:v>
      </x:c>
    </x:row>
    <x:row r="4">
      <x:c r="A4" s="12" t="n">
        <x:v>3</x:v>
      </x:c>
      <x:c r="B4" s="12" t="str">
        <x:v>イベルタル</x:v>
      </x:c>
      <x:c r="C4" s="12" t="str">
        <x:v>アタック型</x:v>
      </x:c>
      <x:c r="D4" s="12" t="str">
        <x:v>BurstMage</x:v>
      </x:c>
      <x:c r="E4" s="12"/>
      <x:c r="F4" s="12" t="str">
        <x:v>No</x:v>
      </x:c>
      <x:c r="G4" s="12" t="n">
        <x:v>1</x:v>
      </x:c>
      <x:c r="H4" s="12" t="str">
        <x:v>高</x:v>
      </x:c>
      <x:c r="I4" s="101" t="str">
        <x:v>2026-09-29</x:v>
      </x:c>
      <x:c r="J4" s="12" t="str">
        <x:v>型分けは診断上のプレイ人格が大きく変わる場合のみ</x:v>
      </x:c>
      <x:c r="K4" s="12" t="str">
        <x:v>https://wikiwiki.jp/poke-unite/%E3%82%A4%E3%83%99%E3%83%AB%E3%82%BF%E3%83%AB</x:v>
      </x:c>
      <x:c r="L4" s="12" t="str">
        <x:v>https://www.pokemonunite.jp/pokemon/</x:v>
      </x:c>
      <x:c r="M4" s="12" t="str">
        <x:v>https://uniteapi.dev/jp/meta</x:v>
      </x:c>
    </x:row>
    <x:row r="5">
      <x:c r="A5" s="12" t="n">
        <x:v>4</x:v>
      </x:c>
      <x:c r="B5" s="12" t="str">
        <x:v>インテレオン</x:v>
      </x:c>
      <x:c r="C5" s="12" t="str">
        <x:v>アタック型</x:v>
      </x:c>
      <x:c r="D5" s="12" t="str">
        <x:v>Artillery</x:v>
      </x:c>
      <x:c r="E5" s="12" t="str">
        <x:v>BattleMage</x:v>
      </x:c>
      <x:c r="F5" s="12" t="str">
        <x:v>Yes</x:v>
      </x:c>
      <x:c r="G5" s="12" t="n">
        <x:v>2</x:v>
      </x:c>
      <x:c r="H5" s="12" t="str">
        <x:v>高</x:v>
      </x:c>
      <x:c r="I5" s="101" t="str">
        <x:v>2026-09-29</x:v>
      </x:c>
      <x:c r="J5" s="12" t="str">
        <x:v>型分けは診断上のプレイ人格が大きく変わる場合のみ</x:v>
      </x:c>
      <x:c r="K5" s="12" t="str">
        <x:v>https://wikiwiki.jp/poke-unite/%E3%82%A4%E3%83%B3%E3%83%86%E3%83%AC%E3%82%AA%E3%83%B3</x:v>
      </x:c>
      <x:c r="L5" s="12" t="str">
        <x:v>https://www.pokemonunite.jp/pokemon/</x:v>
      </x:c>
      <x:c r="M5" s="12" t="str">
        <x:v>https://uniteapi.dev/jp/meta</x:v>
      </x:c>
    </x:row>
    <x:row r="6">
      <x:c r="A6" s="12" t="n">
        <x:v>5</x:v>
      </x:c>
      <x:c r="B6" s="12" t="str">
        <x:v>ウッウ</x:v>
      </x:c>
      <x:c r="C6" s="12" t="str">
        <x:v>アタック型</x:v>
      </x:c>
      <x:c r="D6" s="12" t="str">
        <x:v>BurstMage</x:v>
      </x:c>
      <x:c r="E6" s="12" t="str">
        <x:v>BattleMage</x:v>
      </x:c>
      <x:c r="F6" s="12" t="str">
        <x:v>Yes</x:v>
      </x:c>
      <x:c r="G6" s="12" t="n">
        <x:v>2</x:v>
      </x:c>
      <x:c r="H6" s="12" t="str">
        <x:v>高</x:v>
      </x:c>
      <x:c r="I6" s="101" t="str">
        <x:v>2026-09-29</x:v>
      </x:c>
      <x:c r="J6" s="12" t="str">
        <x:v>型分けは診断上のプレイ人格が大きく変わる場合のみ</x:v>
      </x:c>
      <x:c r="K6" s="12" t="str">
        <x:v>https://wikiwiki.jp/poke-unite/%E3%82%A6%E3%83%83%E3%82%A6</x:v>
      </x:c>
      <x:c r="L6" s="12" t="str">
        <x:v>https://www.pokemonunite.jp/pokemon/</x:v>
      </x:c>
      <x:c r="M6" s="12" t="str">
        <x:v>https://uniteapi.dev/jp/meta</x:v>
      </x:c>
    </x:row>
    <x:row r="7">
      <x:c r="A7" s="12" t="n">
        <x:v>6</x:v>
      </x:c>
      <x:c r="B7" s="12" t="str">
        <x:v>エースバーン</x:v>
      </x:c>
      <x:c r="C7" s="12" t="str">
        <x:v>アタック型</x:v>
      </x:c>
      <x:c r="D7" s="12" t="str">
        <x:v>Marksman</x:v>
      </x:c>
      <x:c r="E7" s="12"/>
      <x:c r="F7" s="12" t="str">
        <x:v>No</x:v>
      </x:c>
      <x:c r="G7" s="12" t="n">
        <x:v>1</x:v>
      </x:c>
      <x:c r="H7" s="12" t="str">
        <x:v>高</x:v>
      </x:c>
      <x:c r="I7" s="101" t="str">
        <x:v>2026-09-29</x:v>
      </x:c>
      <x:c r="J7" s="12" t="str">
        <x:v>型分けは診断上のプレイ人格が大きく変わる場合のみ</x:v>
      </x:c>
      <x:c r="K7" s="12" t="str">
        <x:v>https://wikiwiki.jp/poke-unite/%E3%82%A8%E3%83%BC%E3%82%B9%E3%83%90%E3%83%BC%E3%83%B3</x:v>
      </x:c>
      <x:c r="L7" s="12" t="str">
        <x:v>https://www.pokemonunite.jp/pokemon/</x:v>
      </x:c>
      <x:c r="M7" s="12" t="str">
        <x:v>https://uniteapi.dev/jp/meta</x:v>
      </x:c>
    </x:row>
    <x:row r="8">
      <x:c r="A8" s="12" t="n">
        <x:v>7</x:v>
      </x:c>
      <x:c r="B8" s="12" t="str">
        <x:v>エーフィ</x:v>
      </x:c>
      <x:c r="C8" s="12" t="str">
        <x:v>アタック型</x:v>
      </x:c>
      <x:c r="D8" s="12" t="str">
        <x:v>BurstMage</x:v>
      </x:c>
      <x:c r="E8" s="12" t="str">
        <x:v>BattleMage</x:v>
      </x:c>
      <x:c r="F8" s="12" t="str">
        <x:v>No</x:v>
      </x:c>
      <x:c r="G8" s="12" t="n">
        <x:v>1</x:v>
      </x:c>
      <x:c r="H8" s="12" t="str">
        <x:v>高</x:v>
      </x:c>
      <x:c r="I8" s="101" t="str">
        <x:v>2026-09-29</x:v>
      </x:c>
      <x:c r="J8" s="12" t="str">
        <x:v>型分けは診断上のプレイ人格が大きく変わる場合のみ</x:v>
      </x:c>
      <x:c r="K8" s="12" t="str">
        <x:v>https://wikiwiki.jp/poke-unite/%E3%82%A8%E3%83%BC%E3%83%95%E3%82%A3</x:v>
      </x:c>
      <x:c r="L8" s="12" t="str">
        <x:v>https://www.pokemonunite.jp/pokemon/</x:v>
      </x:c>
      <x:c r="M8" s="12" t="str">
        <x:v>https://uniteapi.dev/jp/meta</x:v>
      </x:c>
    </x:row>
    <x:row r="9">
      <x:c r="A9" s="12" t="n">
        <x:v>8</x:v>
      </x:c>
      <x:c r="B9" s="12" t="str">
        <x:v>グレイシア</x:v>
      </x:c>
      <x:c r="C9" s="12" t="str">
        <x:v>アタック型</x:v>
      </x:c>
      <x:c r="D9" s="12" t="str">
        <x:v>Marksman</x:v>
      </x:c>
      <x:c r="E9" s="12" t="str">
        <x:v>BattleMage</x:v>
      </x:c>
      <x:c r="F9" s="12" t="str">
        <x:v>No</x:v>
      </x:c>
      <x:c r="G9" s="12" t="n">
        <x:v>1</x:v>
      </x:c>
      <x:c r="H9" s="12" t="str">
        <x:v>高</x:v>
      </x:c>
      <x:c r="I9" s="101" t="str">
        <x:v>2026-09-29</x:v>
      </x:c>
      <x:c r="J9" s="12" t="str">
        <x:v>型分けは診断上のプレイ人格が大きく変わる場合のみ</x:v>
      </x:c>
      <x:c r="K9" s="12" t="str">
        <x:v>https://wikiwiki.jp/poke-unite/%E3%82%B0%E3%83%AC%E3%82%A4%E3%82%B7%E3%82%A2</x:v>
      </x:c>
      <x:c r="L9" s="12" t="str">
        <x:v>https://www.pokemonunite.jp/pokemon/</x:v>
      </x:c>
      <x:c r="M9" s="12" t="str">
        <x:v>https://uniteapi.dev/jp/meta</x:v>
      </x:c>
    </x:row>
    <x:row r="10">
      <x:c r="A10" s="12" t="n">
        <x:v>9</x:v>
      </x:c>
      <x:c r="B10" s="12" t="str">
        <x:v>グレンアルマ</x:v>
      </x:c>
      <x:c r="C10" s="12" t="str">
        <x:v>アタック型</x:v>
      </x:c>
      <x:c r="D10" s="12" t="str">
        <x:v>Juggernaut</x:v>
      </x:c>
      <x:c r="E10" s="12" t="str">
        <x:v>BurstMage</x:v>
      </x:c>
      <x:c r="F10" s="12" t="str">
        <x:v>Yes</x:v>
      </x:c>
      <x:c r="G10" s="12" t="n">
        <x:v>2</x:v>
      </x:c>
      <x:c r="H10" s="12" t="str">
        <x:v>高</x:v>
      </x:c>
      <x:c r="I10" s="101" t="str">
        <x:v>2026-09-29</x:v>
      </x:c>
      <x:c r="J10" s="12" t="str">
        <x:v>型分けは診断上のプレイ人格が大きく変わる場合のみ</x:v>
      </x:c>
      <x:c r="K10" s="12" t="str">
        <x:v>https://wikiwiki.jp/poke-unite/%E3%82%B0%E3%83%AC%E3%83%B3%E3%82%A2%E3%83%AB%E3%83%9E</x:v>
      </x:c>
      <x:c r="L10" s="12" t="str">
        <x:v>https://www.pokemonunite.jp/pokemon/</x:v>
      </x:c>
      <x:c r="M10" s="12" t="str">
        <x:v>https://uniteapi.dev/jp/meta</x:v>
      </x:c>
    </x:row>
    <x:row r="11">
      <x:c r="A11" s="12" t="n">
        <x:v>10</x:v>
      </x:c>
      <x:c r="B11" s="12" t="str">
        <x:v>ゲッコウガ</x:v>
      </x:c>
      <x:c r="C11" s="12" t="str">
        <x:v>アタック型</x:v>
      </x:c>
      <x:c r="D11" s="12" t="str">
        <x:v>Marksman</x:v>
      </x:c>
      <x:c r="E11" s="12" t="str">
        <x:v>Assassin</x:v>
      </x:c>
      <x:c r="F11" s="12" t="str">
        <x:v>Yes</x:v>
      </x:c>
      <x:c r="G11" s="12" t="n">
        <x:v>2</x:v>
      </x:c>
      <x:c r="H11" s="12" t="str">
        <x:v>高</x:v>
      </x:c>
      <x:c r="I11" s="101" t="str">
        <x:v>2026-09-29</x:v>
      </x:c>
      <x:c r="J11" s="12" t="str">
        <x:v>型分けは診断上のプレイ人格が大きく変わる場合のみ</x:v>
      </x:c>
      <x:c r="K11" s="12" t="str">
        <x:v>https://wikiwiki.jp/poke-unite/%E3%82%B2%E3%83%83%E3%82%B3%E3%82%A6%E3%82%AC</x:v>
      </x:c>
      <x:c r="L11" s="12" t="str">
        <x:v>https://www.pokemonunite.jp/pokemon/</x:v>
      </x:c>
      <x:c r="M11" s="12" t="str">
        <x:v>https://uniteapi.dev/jp/meta</x:v>
      </x:c>
    </x:row>
    <x:row r="12">
      <x:c r="A12" s="12" t="n">
        <x:v>11</x:v>
      </x:c>
      <x:c r="B12" s="12" t="str">
        <x:v>サンダー</x:v>
      </x:c>
      <x:c r="C12" s="12" t="str">
        <x:v>アタック型</x:v>
      </x:c>
      <x:c r="D12" s="12" t="str">
        <x:v>BurstMage</x:v>
      </x:c>
      <x:c r="E12" s="12"/>
      <x:c r="F12" s="12" t="str">
        <x:v>No</x:v>
      </x:c>
      <x:c r="G12" s="12" t="n">
        <x:v>1</x:v>
      </x:c>
      <x:c r="H12" s="12" t="str">
        <x:v>中</x:v>
      </x:c>
      <x:c r="I12" s="101" t="str">
        <x:v>2026-09-29</x:v>
      </x:c>
      <x:c r="J12" s="12" t="str">
        <x:v>型分けは診断上のプレイ人格が大きく変わる場合のみ</x:v>
      </x:c>
      <x:c r="K12" s="12" t="str">
        <x:v>https://wikiwiki.jp/poke-unite/%E3%82%B5%E3%83%B3%E3%83%80%E3%83%BC</x:v>
      </x:c>
      <x:c r="L12" s="12" t="str">
        <x:v>https://www.pokemonunite.jp/pokemon/</x:v>
      </x:c>
      <x:c r="M12" s="12" t="str">
        <x:v>https://uniteapi.dev/jp/meta</x:v>
      </x:c>
    </x:row>
    <x:row r="13">
      <x:c r="A13" s="12" t="n">
        <x:v>12</x:v>
      </x:c>
      <x:c r="B13" s="12" t="str">
        <x:v>サーナイト</x:v>
      </x:c>
      <x:c r="C13" s="12" t="str">
        <x:v>アタック型</x:v>
      </x:c>
      <x:c r="D13" s="12" t="str">
        <x:v>BurstMage</x:v>
      </x:c>
      <x:c r="E13" s="12"/>
      <x:c r="F13" s="12" t="str">
        <x:v>No</x:v>
      </x:c>
      <x:c r="G13" s="12" t="n">
        <x:v>1</x:v>
      </x:c>
      <x:c r="H13" s="12" t="str">
        <x:v>高</x:v>
      </x:c>
      <x:c r="I13" s="101" t="str">
        <x:v>2026-09-29</x:v>
      </x:c>
      <x:c r="J13" s="12" t="str">
        <x:v>型分けは診断上のプレイ人格が大きく変わる場合のみ</x:v>
      </x:c>
      <x:c r="K13" s="12" t="str">
        <x:v>https://wikiwiki.jp/poke-unite/%E3%82%B5%E3%83%BC%E3%83%8A%E3%82%A4%E3%83%88</x:v>
      </x:c>
      <x:c r="L13" s="12" t="str">
        <x:v>https://www.pokemonunite.jp/pokemon/</x:v>
      </x:c>
      <x:c r="M13" s="12" t="str">
        <x:v>https://uniteapi.dev/jp/meta</x:v>
      </x:c>
    </x:row>
    <x:row r="14">
      <x:c r="A14" s="12" t="n">
        <x:v>13</x:v>
      </x:c>
      <x:c r="B14" s="12" t="str">
        <x:v>シャンデラ</x:v>
      </x:c>
      <x:c r="C14" s="12" t="str">
        <x:v>アタック型</x:v>
      </x:c>
      <x:c r="D14" s="12" t="str">
        <x:v>BurstMage</x:v>
      </x:c>
      <x:c r="E14" s="12"/>
      <x:c r="F14" s="12" t="str">
        <x:v>No</x:v>
      </x:c>
      <x:c r="G14" s="12" t="n">
        <x:v>1</x:v>
      </x:c>
      <x:c r="H14" s="12" t="str">
        <x:v>高</x:v>
      </x:c>
      <x:c r="I14" s="101" t="str">
        <x:v>2026-09-29</x:v>
      </x:c>
      <x:c r="J14" s="12" t="str">
        <x:v>型分けは診断上のプレイ人格が大きく変わる場合のみ</x:v>
      </x:c>
      <x:c r="K14" s="12" t="str">
        <x:v>https://wikiwiki.jp/poke-unite/%E3%82%B7%E3%83%A3%E3%83%B3%E3%83%87%E3%83%A9</x:v>
      </x:c>
      <x:c r="L14" s="12" t="str">
        <x:v>https://www.pokemonunite.jp/pokemon/</x:v>
      </x:c>
      <x:c r="M14" s="12" t="str">
        <x:v>https://uniteapi.dev/jp/meta</x:v>
      </x:c>
    </x:row>
    <x:row r="15">
      <x:c r="A15" s="12" t="n">
        <x:v>14</x:v>
      </x:c>
      <x:c r="B15" s="12" t="str">
        <x:v>ジュナイパー</x:v>
      </x:c>
      <x:c r="C15" s="12" t="str">
        <x:v>アタック型</x:v>
      </x:c>
      <x:c r="D15" s="12" t="str">
        <x:v>Artillery</x:v>
      </x:c>
      <x:c r="E15" s="12" t="str">
        <x:v>Marksman</x:v>
      </x:c>
      <x:c r="F15" s="12" t="str">
        <x:v>Yes</x:v>
      </x:c>
      <x:c r="G15" s="12" t="n">
        <x:v>2</x:v>
      </x:c>
      <x:c r="H15" s="12" t="str">
        <x:v>高</x:v>
      </x:c>
      <x:c r="I15" s="101" t="str">
        <x:v>2026-09-29</x:v>
      </x:c>
      <x:c r="J15" s="12" t="str">
        <x:v>型分けは診断上のプレイ人格が大きく変わる場合のみ</x:v>
      </x:c>
      <x:c r="K15" s="12" t="str">
        <x:v>https://wikiwiki.jp/poke-unite/%E3%82%B8%E3%83%A5%E3%83%8A%E3%82%A4%E3%83%91%E3%83%BC</x:v>
      </x:c>
      <x:c r="L15" s="12" t="str">
        <x:v>https://www.pokemonunite.jp/pokemon/</x:v>
      </x:c>
      <x:c r="M15" s="12" t="str">
        <x:v>https://uniteapi.dev/jp/meta</x:v>
      </x:c>
    </x:row>
    <x:row r="16">
      <x:c r="A16" s="12" t="n">
        <x:v>15</x:v>
      </x:c>
      <x:c r="B16" s="12" t="str">
        <x:v>ジュラルドン</x:v>
      </x:c>
      <x:c r="C16" s="12" t="str">
        <x:v>アタック型</x:v>
      </x:c>
      <x:c r="D16" s="12" t="str">
        <x:v>Marksman</x:v>
      </x:c>
      <x:c r="E16" s="12" t="str">
        <x:v>Artillery</x:v>
      </x:c>
      <x:c r="F16" s="12" t="str">
        <x:v>No</x:v>
      </x:c>
      <x:c r="G16" s="12" t="n">
        <x:v>1</x:v>
      </x:c>
      <x:c r="H16" s="12" t="str">
        <x:v>高</x:v>
      </x:c>
      <x:c r="I16" s="101" t="str">
        <x:v>2026-09-29</x:v>
      </x:c>
      <x:c r="J16" s="12" t="str">
        <x:v>型分けは診断上のプレイ人格が大きく変わる場合のみ</x:v>
      </x:c>
      <x:c r="K16" s="12" t="str">
        <x:v>https://wikiwiki.jp/poke-unite/%E3%82%B8%E3%83%A5%E3%83%A9%E3%83%AB%E3%83%89%E3%83%B3</x:v>
      </x:c>
      <x:c r="L16" s="12" t="str">
        <x:v>https://www.pokemonunite.jp/pokemon/</x:v>
      </x:c>
      <x:c r="M16" s="12" t="str">
        <x:v>https://uniteapi.dev/jp/meta</x:v>
      </x:c>
    </x:row>
    <x:row r="17">
      <x:c r="A17" s="12" t="n">
        <x:v>16</x:v>
      </x:c>
      <x:c r="B17" s="12" t="str">
        <x:v>ドラパルト</x:v>
      </x:c>
      <x:c r="C17" s="12" t="str">
        <x:v>アタック型</x:v>
      </x:c>
      <x:c r="D17" s="12" t="str">
        <x:v>Marksman</x:v>
      </x:c>
      <x:c r="E17" s="12" t="str">
        <x:v>Assassin</x:v>
      </x:c>
      <x:c r="F17" s="12" t="str">
        <x:v>Yes</x:v>
      </x:c>
      <x:c r="G17" s="12" t="n">
        <x:v>2</x:v>
      </x:c>
      <x:c r="H17" s="12" t="str">
        <x:v>高</x:v>
      </x:c>
      <x:c r="I17" s="101" t="str">
        <x:v>2026-09-29</x:v>
      </x:c>
      <x:c r="J17" s="12" t="str">
        <x:v>型分けは診断上のプレイ人格が大きく変わる場合のみ</x:v>
      </x:c>
      <x:c r="K17" s="12" t="str">
        <x:v>https://wikiwiki.jp/poke-unite/%E3%83%89%E3%83%A9%E3%83%91%E3%83%AB%E3%83%88</x:v>
      </x:c>
      <x:c r="L17" s="12" t="str">
        <x:v>https://www.pokemonunite.jp/pokemon/</x:v>
      </x:c>
      <x:c r="M17" s="12" t="str">
        <x:v>https://uniteapi.dev/jp/meta</x:v>
      </x:c>
    </x:row>
    <x:row r="18">
      <x:c r="A18" s="12" t="n">
        <x:v>17</x:v>
      </x:c>
      <x:c r="B18" s="12" t="str">
        <x:v>ニンフィア</x:v>
      </x:c>
      <x:c r="C18" s="12" t="str">
        <x:v>アタック型</x:v>
      </x:c>
      <x:c r="D18" s="12" t="str">
        <x:v>BattleMage</x:v>
      </x:c>
      <x:c r="E18" s="12" t="str">
        <x:v>Skirmisher</x:v>
      </x:c>
      <x:c r="F18" s="12" t="str">
        <x:v>No</x:v>
      </x:c>
      <x:c r="G18" s="12" t="n">
        <x:v>1</x:v>
      </x:c>
      <x:c r="H18" s="12" t="str">
        <x:v>高</x:v>
      </x:c>
      <x:c r="I18" s="101" t="str">
        <x:v>2026-09-29</x:v>
      </x:c>
      <x:c r="J18" s="12" t="str">
        <x:v>型分けは診断上のプレイ人格が大きく変わる場合のみ</x:v>
      </x:c>
      <x:c r="K18" s="12" t="str">
        <x:v>https://wikiwiki.jp/poke-unite/%E3%83%8B%E3%83%B3%E3%83%95%E3%82%A3%E3%82%A2</x:v>
      </x:c>
      <x:c r="L18" s="12" t="str">
        <x:v>https://www.pokemonunite.jp/pokemon/</x:v>
      </x:c>
      <x:c r="M18" s="12" t="str">
        <x:v>https://uniteapi.dev/jp/meta</x:v>
      </x:c>
    </x:row>
    <x:row r="19">
      <x:c r="A19" s="12" t="n">
        <x:v>18</x:v>
      </x:c>
      <x:c r="B19" s="12" t="str">
        <x:v>バクフーン</x:v>
      </x:c>
      <x:c r="C19" s="12" t="str">
        <x:v>アタック型</x:v>
      </x:c>
      <x:c r="D19" s="12" t="str">
        <x:v>Diver</x:v>
      </x:c>
      <x:c r="E19" s="12"/>
      <x:c r="F19" s="12" t="str">
        <x:v>No</x:v>
      </x:c>
      <x:c r="G19" s="12" t="n">
        <x:v>1</x:v>
      </x:c>
      <x:c r="H19" s="12" t="str">
        <x:v>中</x:v>
      </x:c>
      <x:c r="I19" s="101" t="str">
        <x:v>2026-09-29</x:v>
      </x:c>
      <x:c r="J19" s="12" t="str">
        <x:v>型分けは診断上のプレイ人格が大きく変わる場合のみ</x:v>
      </x:c>
      <x:c r="K19" s="12" t="str">
        <x:v>https://wikiwiki.jp/poke-unite/%E3%83%90%E3%82%AF%E3%83%95%E3%83%BC%E3%83%B3</x:v>
      </x:c>
      <x:c r="L19" s="12" t="str">
        <x:v>https://www.pokemonunite.jp/pokemon/</x:v>
      </x:c>
      <x:c r="M19" s="12" t="str">
        <x:v>https://uniteapi.dev/jp/meta</x:v>
      </x:c>
    </x:row>
    <x:row r="20">
      <x:c r="A20" s="12" t="n">
        <x:v>19</x:v>
      </x:c>
      <x:c r="B20" s="12" t="str">
        <x:v>ピカチュウ</x:v>
      </x:c>
      <x:c r="C20" s="12" t="str">
        <x:v>アタック型</x:v>
      </x:c>
      <x:c r="D20" s="12" t="str">
        <x:v>BurstMage</x:v>
      </x:c>
      <x:c r="E20" s="12" t="str">
        <x:v>Catcher</x:v>
      </x:c>
      <x:c r="F20" s="12" t="str">
        <x:v>No</x:v>
      </x:c>
      <x:c r="G20" s="12" t="n">
        <x:v>1</x:v>
      </x:c>
      <x:c r="H20" s="12" t="str">
        <x:v>高</x:v>
      </x:c>
      <x:c r="I20" s="101" t="str">
        <x:v>2026-09-29</x:v>
      </x:c>
      <x:c r="J20" s="12" t="str">
        <x:v>型分けは診断上のプレイ人格が大きく変わる場合のみ</x:v>
      </x:c>
      <x:c r="K20" s="12" t="str">
        <x:v>https://wikiwiki.jp/poke-unite/%E3%83%94%E3%82%AB%E3%83%81%E3%83%A5%E3%82%A6</x:v>
      </x:c>
      <x:c r="L20" s="12" t="str">
        <x:v>https://www.pokemonunite.jp/pokemon/</x:v>
      </x:c>
      <x:c r="M20" s="12" t="str">
        <x:v>https://uniteapi.dev/jp/meta</x:v>
      </x:c>
    </x:row>
    <x:row r="21">
      <x:c r="A21" s="12" t="n">
        <x:v>20</x:v>
      </x:c>
      <x:c r="B21" s="12" t="str">
        <x:v>フシギバナ</x:v>
      </x:c>
      <x:c r="C21" s="12" t="str">
        <x:v>アタック型</x:v>
      </x:c>
      <x:c r="D21" s="12" t="str">
        <x:v>Artillery</x:v>
      </x:c>
      <x:c r="E21" s="12" t="str">
        <x:v>Juggernaut</x:v>
      </x:c>
      <x:c r="F21" s="12" t="str">
        <x:v>Yes</x:v>
      </x:c>
      <x:c r="G21" s="12" t="n">
        <x:v>2</x:v>
      </x:c>
      <x:c r="H21" s="12" t="str">
        <x:v>高</x:v>
      </x:c>
      <x:c r="I21" s="101" t="str">
        <x:v>2026-09-29</x:v>
      </x:c>
      <x:c r="J21" s="12" t="str">
        <x:v>型分けは診断上のプレイ人格が大きく変わる場合のみ</x:v>
      </x:c>
      <x:c r="K21" s="12" t="str">
        <x:v>https://wikiwiki.jp/poke-unite/%E3%83%95%E3%82%B7%E3%82%AE%E3%83%90%E3%83%8A</x:v>
      </x:c>
      <x:c r="L21" s="12" t="str">
        <x:v>https://www.pokemonunite.jp/pokemon/</x:v>
      </x:c>
      <x:c r="M21" s="12" t="str">
        <x:v>https://uniteapi.dev/jp/meta</x:v>
      </x:c>
    </x:row>
    <x:row r="22">
      <x:c r="A22" s="12" t="n">
        <x:v>21</x:v>
      </x:c>
      <x:c r="B22" s="12" t="str">
        <x:v>マフォクシー</x:v>
      </x:c>
      <x:c r="C22" s="12" t="str">
        <x:v>アタック型</x:v>
      </x:c>
      <x:c r="D22" s="12" t="str">
        <x:v>BurstMage</x:v>
      </x:c>
      <x:c r="E22" s="12" t="str">
        <x:v>BattleMage</x:v>
      </x:c>
      <x:c r="F22" s="12" t="str">
        <x:v>Yes</x:v>
      </x:c>
      <x:c r="G22" s="12" t="n">
        <x:v>2</x:v>
      </x:c>
      <x:c r="H22" s="12" t="str">
        <x:v>高</x:v>
      </x:c>
      <x:c r="I22" s="101" t="str">
        <x:v>2026-09-29</x:v>
      </x:c>
      <x:c r="J22" s="12" t="str">
        <x:v>型分けは診断上のプレイ人格が大きく変わる場合のみ</x:v>
      </x:c>
      <x:c r="K22" s="12" t="str">
        <x:v>https://wikiwiki.jp/poke-unite/%E3%83%9E%E3%83%95%E3%82%A9%E3%82%AF%E3%82%B7%E3%83%BC</x:v>
      </x:c>
      <x:c r="L22" s="12" t="str">
        <x:v>https://www.pokemonunite.jp/pokemon/</x:v>
      </x:c>
      <x:c r="M22" s="12" t="str">
        <x:v>https://uniteapi.dev/jp/meta</x:v>
      </x:c>
    </x:row>
    <x:row r="23">
      <x:c r="A23" s="12" t="n">
        <x:v>22</x:v>
      </x:c>
      <x:c r="B23" s="12" t="str">
        <x:v>ミュウ</x:v>
      </x:c>
      <x:c r="C23" s="12" t="str">
        <x:v>アタック型</x:v>
      </x:c>
      <x:c r="D23" s="12" t="str">
        <x:v>Specialist</x:v>
      </x:c>
      <x:c r="E23" s="12" t="str">
        <x:v>Artillery</x:v>
      </x:c>
      <x:c r="F23" s="12" t="str">
        <x:v>No</x:v>
      </x:c>
      <x:c r="G23" s="12" t="n">
        <x:v>1</x:v>
      </x:c>
      <x:c r="H23" s="12" t="str">
        <x:v>高</x:v>
      </x:c>
      <x:c r="I23" s="101" t="str">
        <x:v>2026-09-29</x:v>
      </x:c>
      <x:c r="J23" s="12" t="str">
        <x:v>型分けは診断上のプレイ人格が大きく変わる場合のみ</x:v>
      </x:c>
      <x:c r="K23" s="12" t="str">
        <x:v>https://wikiwiki.jp/poke-unite/%E3%83%9F%E3%83%A5%E3%82%A6</x:v>
      </x:c>
      <x:c r="L23" s="12" t="str">
        <x:v>https://www.pokemonunite.jp/pokemon/</x:v>
      </x:c>
      <x:c r="M23" s="12" t="str">
        <x:v>https://uniteapi.dev/jp/meta</x:v>
      </x:c>
    </x:row>
    <x:row r="24">
      <x:c r="A24" s="12" t="n">
        <x:v>23</x:v>
      </x:c>
      <x:c r="B24" s="12" t="str">
        <x:v>ミュウツー(Y)</x:v>
      </x:c>
      <x:c r="C24" s="12" t="str">
        <x:v>アタック型</x:v>
      </x:c>
      <x:c r="D24" s="12" t="str">
        <x:v>Marksman</x:v>
      </x:c>
      <x:c r="E24" s="12" t="str">
        <x:v>BattleMage</x:v>
      </x:c>
      <x:c r="F24" s="12" t="str">
        <x:v>No</x:v>
      </x:c>
      <x:c r="G24" s="12" t="n">
        <x:v>1</x:v>
      </x:c>
      <x:c r="H24" s="12" t="str">
        <x:v>高</x:v>
      </x:c>
      <x:c r="I24" s="101" t="str">
        <x:v>2026-09-29</x:v>
      </x:c>
      <x:c r="J24" s="12" t="str">
        <x:v>型分けは診断上のプレイ人格が大きく変わる場合のみ</x:v>
      </x:c>
      <x:c r="K24" s="12" t="str">
        <x:v>https://wikiwiki.jp/poke-unite/%E3%83%9F%E3%83%A5%E3%82%A6%E3%83%84%E3%83%BC(Y)</x:v>
      </x:c>
      <x:c r="L24" s="12" t="str">
        <x:v>https://www.pokemonunite.jp/pokemon/</x:v>
      </x:c>
      <x:c r="M24" s="12" t="str">
        <x:v>https://uniteapi.dev/jp/meta</x:v>
      </x:c>
    </x:row>
    <x:row r="25">
      <x:c r="A25" s="12" t="n">
        <x:v>24</x:v>
      </x:c>
      <x:c r="B25" s="12" t="str">
        <x:v>ミライドン</x:v>
      </x:c>
      <x:c r="C25" s="12" t="str">
        <x:v>アタック型</x:v>
      </x:c>
      <x:c r="D25" s="12" t="str">
        <x:v>Artillery</x:v>
      </x:c>
      <x:c r="E25" s="12" t="str">
        <x:v>Skirmisher</x:v>
      </x:c>
      <x:c r="F25" s="12" t="str">
        <x:v>Yes</x:v>
      </x:c>
      <x:c r="G25" s="12" t="n">
        <x:v>2</x:v>
      </x:c>
      <x:c r="H25" s="12" t="str">
        <x:v>高</x:v>
      </x:c>
      <x:c r="I25" s="101" t="str">
        <x:v>2026-09-29</x:v>
      </x:c>
      <x:c r="J25" s="12" t="str">
        <x:v>型分けは診断上のプレイ人格が大きく変わる場合のみ</x:v>
      </x:c>
      <x:c r="K25" s="12" t="str">
        <x:v>https://wikiwiki.jp/poke-unite/%E3%83%9F%E3%83%A9%E3%82%A4%E3%83%89%E3%83%B3</x:v>
      </x:c>
      <x:c r="L25" s="12" t="str">
        <x:v>https://www.pokemonunite.jp/pokemon/</x:v>
      </x:c>
      <x:c r="M25" s="12" t="str">
        <x:v>https://uniteapi.dev/jp/meta</x:v>
      </x:c>
    </x:row>
    <x:row r="26">
      <x:c r="A26" s="12" t="n">
        <x:v>25</x:v>
      </x:c>
      <x:c r="B26" s="12" t="str">
        <x:v>ラウドボーン</x:v>
      </x:c>
      <x:c r="C26" s="12" t="str">
        <x:v>アタック型</x:v>
      </x:c>
      <x:c r="D26" s="12" t="str">
        <x:v>Artillery</x:v>
      </x:c>
      <x:c r="E26" s="12"/>
      <x:c r="F26" s="12" t="str">
        <x:v>No</x:v>
      </x:c>
      <x:c r="G26" s="12" t="n">
        <x:v>1</x:v>
      </x:c>
      <x:c r="H26" s="12" t="str">
        <x:v>中</x:v>
      </x:c>
      <x:c r="I26" s="101" t="str">
        <x:v>2026-09-29</x:v>
      </x:c>
      <x:c r="J26" s="12" t="str">
        <x:v>型分けは診断上のプレイ人格が大きく変わる場合のみ</x:v>
      </x:c>
      <x:c r="K26" s="12" t="str">
        <x:v>https://wikiwiki.jp/poke-unite/%E3%83%A9%E3%82%A6%E3%83%89%E3%83%9C%E3%83%BC%E3%83%B3</x:v>
      </x:c>
      <x:c r="L26" s="12" t="str">
        <x:v>https://www.pokemonunite.jp/pokemon/</x:v>
      </x:c>
      <x:c r="M26" s="12" t="str">
        <x:v>https://uniteapi.dev/jp/meta</x:v>
      </x:c>
    </x:row>
    <x:row r="27">
      <x:c r="A27" s="12" t="n">
        <x:v>26</x:v>
      </x:c>
      <x:c r="B27" s="12" t="str">
        <x:v>ラティオス</x:v>
      </x:c>
      <x:c r="C27" s="12" t="str">
        <x:v>アタック型</x:v>
      </x:c>
      <x:c r="D27" s="12" t="str">
        <x:v>BurstMage</x:v>
      </x:c>
      <x:c r="E27" s="12"/>
      <x:c r="F27" s="12" t="str">
        <x:v>No</x:v>
      </x:c>
      <x:c r="G27" s="12" t="n">
        <x:v>1</x:v>
      </x:c>
      <x:c r="H27" s="12" t="str">
        <x:v>高</x:v>
      </x:c>
      <x:c r="I27" s="101" t="str">
        <x:v>2026-09-29</x:v>
      </x:c>
      <x:c r="J27" s="12" t="str">
        <x:v>型分けは診断上のプレイ人格が大きく変わる場合のみ</x:v>
      </x:c>
      <x:c r="K27" s="12" t="str">
        <x:v>https://wikiwiki.jp/poke-unite/%E3%83%A9%E3%83%86%E3%82%A3%E3%82%AA%E3%82%B9</x:v>
      </x:c>
      <x:c r="L27" s="12" t="str">
        <x:v>https://www.pokemonunite.jp/pokemon/</x:v>
      </x:c>
      <x:c r="M27" s="12" t="str">
        <x:v>https://uniteapi.dev/jp/meta</x:v>
      </x:c>
    </x:row>
    <x:row r="28">
      <x:c r="A28" s="12" t="n">
        <x:v>27</x:v>
      </x:c>
      <x:c r="B28" s="12" t="str">
        <x:v>レシラム</x:v>
      </x:c>
      <x:c r="C28" s="12" t="str">
        <x:v>アタック型</x:v>
      </x:c>
      <x:c r="D28" s="12" t="str">
        <x:v>BattleMage</x:v>
      </x:c>
      <x:c r="E28" s="12"/>
      <x:c r="F28" s="12" t="str">
        <x:v>No</x:v>
      </x:c>
      <x:c r="G28" s="12" t="n">
        <x:v>1</x:v>
      </x:c>
      <x:c r="H28" s="12" t="str">
        <x:v>低</x:v>
      </x:c>
      <x:c r="I28" s="101" t="str">
        <x:v>2026-09-29</x:v>
      </x:c>
      <x:c r="J28" s="12" t="str">
        <x:v>型分けは診断上のプレイ人格が大きく変わる場合のみ</x:v>
      </x:c>
      <x:c r="K28" s="12" t="str">
        <x:v>https://wikiwiki.jp/poke-unite/%E3%83%AC%E3%82%B7%E3%83%A9%E3%83%A0</x:v>
      </x:c>
      <x:c r="L28" s="12" t="str">
        <x:v>https://www.pokemonunite.jp/pokemon/</x:v>
      </x:c>
      <x:c r="M28" s="12" t="str">
        <x:v>https://uniteapi.dev/jp/meta</x:v>
      </x:c>
    </x:row>
    <x:row r="29">
      <x:c r="A29" s="12" t="n">
        <x:v>28</x:v>
      </x:c>
      <x:c r="B29" s="12" t="str">
        <x:v>ストリンダー</x:v>
      </x:c>
      <x:c r="C29" s="12" t="str">
        <x:v>アタック型</x:v>
      </x:c>
      <x:c r="D29" s="12" t="str">
        <x:v>Marksman</x:v>
      </x:c>
      <x:c r="E29" s="12" t="str">
        <x:v>BattleMage</x:v>
      </x:c>
      <x:c r="F29" s="12" t="str">
        <x:v>No</x:v>
      </x:c>
      <x:c r="G29" s="12" t="n">
        <x:v>1</x:v>
      </x:c>
      <x:c r="H29" s="12" t="str">
        <x:v>低</x:v>
      </x:c>
      <x:c r="I29" s="101" t="str">
        <x:v>2026-09-29</x:v>
      </x:c>
      <x:c r="J29" s="12" t="str">
        <x:v>型分けは診断上のプレイ人格が大きく変わる場合のみ</x:v>
      </x:c>
      <x:c r="K29" s="12" t="str">
        <x:v>https://www.pokemonunite.jp/ja/topics/news/20260924/</x:v>
      </x:c>
      <x:c r="L29" s="12" t="str">
        <x:v>https://www.pokemonunite.jp/pokemon/</x:v>
      </x:c>
      <x:c r="M29" s="12" t="str">
        <x:v>https://uniteapi.dev/jp/meta</x:v>
      </x:c>
    </x:row>
    <x:row r="30">
      <x:c r="A30" s="12" t="n">
        <x:v>29</x:v>
      </x:c>
      <x:c r="B30" s="12" t="str">
        <x:v>アマージョ</x:v>
      </x:c>
      <x:c r="C30" s="12" t="str">
        <x:v>バランス型</x:v>
      </x:c>
      <x:c r="D30" s="12" t="str">
        <x:v>Skirmisher</x:v>
      </x:c>
      <x:c r="E30" s="12"/>
      <x:c r="F30" s="12" t="str">
        <x:v>No</x:v>
      </x:c>
      <x:c r="G30" s="12" t="n">
        <x:v>1</x:v>
      </x:c>
      <x:c r="H30" s="12" t="str">
        <x:v>高</x:v>
      </x:c>
      <x:c r="I30" s="101" t="str">
        <x:v>2026-09-29</x:v>
      </x:c>
      <x:c r="J30" s="12" t="str">
        <x:v>型分けは診断上のプレイ人格が大きく変わる場合のみ</x:v>
      </x:c>
      <x:c r="K30" s="12" t="str">
        <x:v>https://wikiwiki.jp/poke-unite/%E3%82%A2%E3%83%9E%E3%83%BC%E3%82%B8%E3%83%A7</x:v>
      </x:c>
      <x:c r="L30" s="12" t="str">
        <x:v>https://www.pokemonunite.jp/pokemon/</x:v>
      </x:c>
      <x:c r="M30" s="12" t="str">
        <x:v>https://uniteapi.dev/jp/meta</x:v>
      </x:c>
    </x:row>
    <x:row r="31">
      <x:c r="A31" s="12" t="n">
        <x:v>30</x:v>
      </x:c>
      <x:c r="B31" s="12" t="str">
        <x:v>ウェーニバル</x:v>
      </x:c>
      <x:c r="C31" s="12" t="str">
        <x:v>バランス型</x:v>
      </x:c>
      <x:c r="D31" s="12" t="str">
        <x:v>Skirmisher</x:v>
      </x:c>
      <x:c r="E31" s="12"/>
      <x:c r="F31" s="12" t="str">
        <x:v>No</x:v>
      </x:c>
      <x:c r="G31" s="12" t="n">
        <x:v>1</x:v>
      </x:c>
      <x:c r="H31" s="12" t="str">
        <x:v>中</x:v>
      </x:c>
      <x:c r="I31" s="101" t="str">
        <x:v>2026-09-29</x:v>
      </x:c>
      <x:c r="J31" s="12" t="str">
        <x:v>型分けは診断上のプレイ人格が大きく変わる場合のみ</x:v>
      </x:c>
      <x:c r="K31" s="12" t="str">
        <x:v>https://wikiwiki.jp/poke-unite/%E3%82%A6%E3%82%A7%E3%83%BC%E3%83%8B%E3%83%90%E3%83%AB</x:v>
      </x:c>
      <x:c r="L31" s="12" t="str">
        <x:v>https://www.pokemonunite.jp/pokemon/</x:v>
      </x:c>
      <x:c r="M31" s="12" t="str">
        <x:v>https://uniteapi.dev/jp/meta</x:v>
      </x:c>
    </x:row>
    <x:row r="32">
      <x:c r="A32" s="12" t="n">
        <x:v>31</x:v>
      </x:c>
      <x:c r="B32" s="12" t="str">
        <x:v>ウーラオス</x:v>
      </x:c>
      <x:c r="C32" s="12" t="str">
        <x:v>バランス型</x:v>
      </x:c>
      <x:c r="D32" s="12" t="str">
        <x:v>Diver</x:v>
      </x:c>
      <x:c r="E32" s="12" t="str">
        <x:v>Skirmisher</x:v>
      </x:c>
      <x:c r="F32" s="12" t="str">
        <x:v>Yes</x:v>
      </x:c>
      <x:c r="G32" s="12" t="n">
        <x:v>2</x:v>
      </x:c>
      <x:c r="H32" s="12" t="str">
        <x:v>高</x:v>
      </x:c>
      <x:c r="I32" s="101" t="str">
        <x:v>2026-09-29</x:v>
      </x:c>
      <x:c r="J32" s="12" t="str">
        <x:v>型分けは診断上のプレイ人格が大きく変わる場合のみ</x:v>
      </x:c>
      <x:c r="K32" s="12" t="str">
        <x:v>https://wikiwiki.jp/poke-unite/%E3%82%A6%E3%83%BC%E3%83%A9%E3%82%AA%E3%82%B9</x:v>
      </x:c>
      <x:c r="L32" s="12" t="str">
        <x:v>https://www.pokemonunite.jp/pokemon/</x:v>
      </x:c>
      <x:c r="M32" s="12" t="str">
        <x:v>https://uniteapi.dev/jp/meta</x:v>
      </x:c>
    </x:row>
    <x:row r="33">
      <x:c r="A33" s="12" t="n">
        <x:v>32</x:v>
      </x:c>
      <x:c r="B33" s="12" t="str">
        <x:v>エンペルト</x:v>
      </x:c>
      <x:c r="C33" s="12" t="str">
        <x:v>バランス型</x:v>
      </x:c>
      <x:c r="D33" s="12" t="str">
        <x:v>Juggernaut</x:v>
      </x:c>
      <x:c r="E33" s="12"/>
      <x:c r="F33" s="12" t="str">
        <x:v>No</x:v>
      </x:c>
      <x:c r="G33" s="12" t="n">
        <x:v>1</x:v>
      </x:c>
      <x:c r="H33" s="12" t="str">
        <x:v>高</x:v>
      </x:c>
      <x:c r="I33" s="101" t="str">
        <x:v>2026-09-29</x:v>
      </x:c>
      <x:c r="J33" s="12" t="str">
        <x:v>型分けは診断上のプレイ人格が大きく変わる場合のみ</x:v>
      </x:c>
      <x:c r="K33" s="12" t="str">
        <x:v>https://wikiwiki.jp/poke-unite/%E3%82%A8%E3%83%B3%E3%83%9A%E3%83%AB%E3%83%88</x:v>
      </x:c>
      <x:c r="L33" s="12" t="str">
        <x:v>https://www.pokemonunite.jp/pokemon/</x:v>
      </x:c>
      <x:c r="M33" s="12" t="str">
        <x:v>https://uniteapi.dev/jp/meta</x:v>
      </x:c>
    </x:row>
    <x:row r="34">
      <x:c r="A34" s="12" t="n">
        <x:v>33</x:v>
      </x:c>
      <x:c r="B34" s="12" t="str">
        <x:v>オーダイル</x:v>
      </x:c>
      <x:c r="C34" s="12" t="str">
        <x:v>バランス型</x:v>
      </x:c>
      <x:c r="D34" s="12" t="str">
        <x:v>Diver</x:v>
      </x:c>
      <x:c r="E34" s="12"/>
      <x:c r="F34" s="12" t="str">
        <x:v>No</x:v>
      </x:c>
      <x:c r="G34" s="12" t="n">
        <x:v>1</x:v>
      </x:c>
      <x:c r="H34" s="12" t="str">
        <x:v>中</x:v>
      </x:c>
      <x:c r="I34" s="101" t="str">
        <x:v>2026-09-29</x:v>
      </x:c>
      <x:c r="J34" s="12" t="str">
        <x:v>型分けは診断上のプレイ人格が大きく変わる場合のみ</x:v>
      </x:c>
      <x:c r="K34" s="12" t="str">
        <x:v>https://wikiwiki.jp/poke-unite/%E3%82%AA%E3%83%BC%E3%83%80%E3%82%A4%E3%83%AB</x:v>
      </x:c>
      <x:c r="L34" s="12" t="str">
        <x:v>https://www.pokemonunite.jp/pokemon/</x:v>
      </x:c>
      <x:c r="M34" s="12" t="str">
        <x:v>https://uniteapi.dev/jp/meta</x:v>
      </x:c>
    </x:row>
    <x:row r="35">
      <x:c r="A35" s="12" t="n">
        <x:v>34</x:v>
      </x:c>
      <x:c r="B35" s="12" t="str">
        <x:v>カイリキー</x:v>
      </x:c>
      <x:c r="C35" s="12" t="str">
        <x:v>バランス型</x:v>
      </x:c>
      <x:c r="D35" s="12" t="str">
        <x:v>Diver</x:v>
      </x:c>
      <x:c r="E35" s="12"/>
      <x:c r="F35" s="12" t="str">
        <x:v>No</x:v>
      </x:c>
      <x:c r="G35" s="12" t="n">
        <x:v>1</x:v>
      </x:c>
      <x:c r="H35" s="12" t="str">
        <x:v>高</x:v>
      </x:c>
      <x:c r="I35" s="101" t="str">
        <x:v>2026-09-29</x:v>
      </x:c>
      <x:c r="J35" s="12" t="str">
        <x:v>型分けは診断上のプレイ人格が大きく変わる場合のみ</x:v>
      </x:c>
      <x:c r="K35" s="12" t="str">
        <x:v>https://wikiwiki.jp/poke-unite/%E3%82%AB%E3%82%A4%E3%83%AA%E3%82%AD%E3%83%BC</x:v>
      </x:c>
      <x:c r="L35" s="12" t="str">
        <x:v>https://www.pokemonunite.jp/pokemon/</x:v>
      </x:c>
      <x:c r="M35" s="12" t="str">
        <x:v>https://uniteapi.dev/jp/meta</x:v>
      </x:c>
    </x:row>
    <x:row r="36">
      <x:c r="A36" s="12" t="n">
        <x:v>35</x:v>
      </x:c>
      <x:c r="B36" s="12" t="str">
        <x:v>カイリュー</x:v>
      </x:c>
      <x:c r="C36" s="12" t="str">
        <x:v>バランス型</x:v>
      </x:c>
      <x:c r="D36" s="12" t="str">
        <x:v>Marksman</x:v>
      </x:c>
      <x:c r="E36" s="12" t="str">
        <x:v>Juggernaut</x:v>
      </x:c>
      <x:c r="F36" s="12" t="str">
        <x:v>Yes</x:v>
      </x:c>
      <x:c r="G36" s="12" t="n">
        <x:v>2</x:v>
      </x:c>
      <x:c r="H36" s="12" t="str">
        <x:v>高</x:v>
      </x:c>
      <x:c r="I36" s="101" t="str">
        <x:v>2026-09-29</x:v>
      </x:c>
      <x:c r="J36" s="12" t="str">
        <x:v>型分けは診断上のプレイ人格が大きく変わる場合のみ</x:v>
      </x:c>
      <x:c r="K36" s="12" t="str">
        <x:v>https://wikiwiki.jp/poke-unite/%E3%82%AB%E3%82%A4%E3%83%AA%E3%83%A5%E3%83%BC</x:v>
      </x:c>
      <x:c r="L36" s="12" t="str">
        <x:v>https://www.pokemonunite.jp/pokemon/</x:v>
      </x:c>
      <x:c r="M36" s="12" t="str">
        <x:v>https://uniteapi.dev/jp/meta</x:v>
      </x:c>
    </x:row>
    <x:row r="37">
      <x:c r="A37" s="12" t="n">
        <x:v>36</x:v>
      </x:c>
      <x:c r="B37" s="12" t="str">
        <x:v>ガブリアス</x:v>
      </x:c>
      <x:c r="C37" s="12" t="str">
        <x:v>バランス型</x:v>
      </x:c>
      <x:c r="D37" s="12" t="str">
        <x:v>Juggernaut</x:v>
      </x:c>
      <x:c r="E37" s="12"/>
      <x:c r="F37" s="12" t="str">
        <x:v>No</x:v>
      </x:c>
      <x:c r="G37" s="12" t="n">
        <x:v>1</x:v>
      </x:c>
      <x:c r="H37" s="12" t="str">
        <x:v>高</x:v>
      </x:c>
      <x:c r="I37" s="101" t="str">
        <x:v>2026-09-29</x:v>
      </x:c>
      <x:c r="J37" s="12" t="str">
        <x:v>型分けは診断上のプレイ人格が大きく変わる場合のみ</x:v>
      </x:c>
      <x:c r="K37" s="12" t="str">
        <x:v>https://wikiwiki.jp/poke-unite/%E3%82%AC%E3%83%96%E3%83%AA%E3%82%A2%E3%82%B9</x:v>
      </x:c>
      <x:c r="L37" s="12" t="str">
        <x:v>https://www.pokemonunite.jp/pokemon/</x:v>
      </x:c>
      <x:c r="M37" s="12" t="str">
        <x:v>https://uniteapi.dev/jp/meta</x:v>
      </x:c>
    </x:row>
    <x:row r="38">
      <x:c r="A38" s="12" t="n">
        <x:v>37</x:v>
      </x:c>
      <x:c r="B38" s="12" t="str">
        <x:v>ギャラドス</x:v>
      </x:c>
      <x:c r="C38" s="12" t="str">
        <x:v>バランス型</x:v>
      </x:c>
      <x:c r="D38" s="12" t="str">
        <x:v>Diver</x:v>
      </x:c>
      <x:c r="E38" s="12"/>
      <x:c r="F38" s="12" t="str">
        <x:v>No</x:v>
      </x:c>
      <x:c r="G38" s="12" t="n">
        <x:v>1</x:v>
      </x:c>
      <x:c r="H38" s="12" t="str">
        <x:v>高</x:v>
      </x:c>
      <x:c r="I38" s="101" t="str">
        <x:v>2026-09-29</x:v>
      </x:c>
      <x:c r="J38" s="12" t="str">
        <x:v>型分けは診断上のプレイ人格が大きく変わる場合のみ</x:v>
      </x:c>
      <x:c r="K38" s="12" t="str">
        <x:v>https://wikiwiki.jp/poke-unite/%E3%82%AE%E3%83%A3%E3%83%A9%E3%83%89%E3%82%B9</x:v>
      </x:c>
      <x:c r="L38" s="12" t="str">
        <x:v>https://www.pokemonunite.jp/pokemon/</x:v>
      </x:c>
      <x:c r="M38" s="12" t="str">
        <x:v>https://uniteapi.dev/jp/meta</x:v>
      </x:c>
    </x:row>
    <x:row r="39">
      <x:c r="A39" s="12" t="n">
        <x:v>38</x:v>
      </x:c>
      <x:c r="B39" s="12" t="str">
        <x:v>メガギャラドス</x:v>
      </x:c>
      <x:c r="C39" s="12" t="str">
        <x:v>バランス型</x:v>
      </x:c>
      <x:c r="D39" s="12" t="str">
        <x:v>Diver</x:v>
      </x:c>
      <x:c r="E39" s="12"/>
      <x:c r="F39" s="12" t="str">
        <x:v>No</x:v>
      </x:c>
      <x:c r="G39" s="12" t="n">
        <x:v>1</x:v>
      </x:c>
      <x:c r="H39" s="12" t="str">
        <x:v>中</x:v>
      </x:c>
      <x:c r="I39" s="101" t="str">
        <x:v>2026-09-29</x:v>
      </x:c>
      <x:c r="J39" s="12" t="str">
        <x:v>型分けは診断上のプレイ人格が大きく変わる場合のみ</x:v>
      </x:c>
      <x:c r="K39" s="12" t="str">
        <x:v>https://wikiwiki.jp/poke-unite/%E3%83%A1%E3%82%AC%E3%82%AE%E3%83%A3%E3%83%A9%E3%83%89%E3%82%B9</x:v>
      </x:c>
      <x:c r="L39" s="12" t="str">
        <x:v>https://www.pokemonunite.jp/pokemon/</x:v>
      </x:c>
      <x:c r="M39" s="12" t="str">
        <x:v>https://uniteapi.dev/jp/meta</x:v>
      </x:c>
    </x:row>
    <x:row r="40">
      <x:c r="A40" s="12" t="n">
        <x:v>39</x:v>
      </x:c>
      <x:c r="B40" s="12" t="str">
        <x:v>ギルガルド</x:v>
      </x:c>
      <x:c r="C40" s="12" t="str">
        <x:v>バランス型</x:v>
      </x:c>
      <x:c r="D40" s="12" t="str">
        <x:v>Skirmisher</x:v>
      </x:c>
      <x:c r="E40" s="12"/>
      <x:c r="F40" s="12" t="str">
        <x:v>No</x:v>
      </x:c>
      <x:c r="G40" s="12" t="n">
        <x:v>1</x:v>
      </x:c>
      <x:c r="H40" s="12" t="str">
        <x:v>高</x:v>
      </x:c>
      <x:c r="I40" s="101" t="str">
        <x:v>2026-09-29</x:v>
      </x:c>
      <x:c r="J40" s="12" t="str">
        <x:v>型分けは診断上のプレイ人格が大きく変わる場合のみ</x:v>
      </x:c>
      <x:c r="K40" s="12" t="str">
        <x:v>https://wikiwiki.jp/poke-unite/%E3%82%AE%E3%83%AB%E3%82%AC%E3%83%AB%E3%83%89</x:v>
      </x:c>
      <x:c r="L40" s="12" t="str">
        <x:v>https://www.pokemonunite.jp/pokemon/</x:v>
      </x:c>
      <x:c r="M40" s="12" t="str">
        <x:v>https://uniteapi.dev/jp/meta</x:v>
      </x:c>
    </x:row>
    <x:row r="41">
      <x:c r="A41" s="12" t="n">
        <x:v>40</x:v>
      </x:c>
      <x:c r="B41" s="12" t="str">
        <x:v>ザシアン</x:v>
      </x:c>
      <x:c r="C41" s="12" t="str">
        <x:v>バランス型</x:v>
      </x:c>
      <x:c r="D41" s="12" t="str">
        <x:v>Skirmisher</x:v>
      </x:c>
      <x:c r="E41" s="12"/>
      <x:c r="F41" s="12" t="str">
        <x:v>No</x:v>
      </x:c>
      <x:c r="G41" s="12" t="n">
        <x:v>1</x:v>
      </x:c>
      <x:c r="H41" s="12" t="str">
        <x:v>高</x:v>
      </x:c>
      <x:c r="I41" s="101" t="str">
        <x:v>2026-09-29</x:v>
      </x:c>
      <x:c r="J41" s="12" t="str">
        <x:v>型分けは診断上のプレイ人格が大きく変わる場合のみ</x:v>
      </x:c>
      <x:c r="K41" s="12" t="str">
        <x:v>https://wikiwiki.jp/poke-unite/%E3%82%B6%E3%82%B7%E3%82%A2%E3%83%B3</x:v>
      </x:c>
      <x:c r="L41" s="12" t="str">
        <x:v>https://www.pokemonunite.jp/pokemon/</x:v>
      </x:c>
      <x:c r="M41" s="12" t="str">
        <x:v>https://uniteapi.dev/jp/meta</x:v>
      </x:c>
    </x:row>
    <x:row r="42">
      <x:c r="A42" s="12" t="n">
        <x:v>41</x:v>
      </x:c>
      <x:c r="B42" s="12" t="str">
        <x:v>スイクン</x:v>
      </x:c>
      <x:c r="C42" s="12" t="str">
        <x:v>バランス型</x:v>
      </x:c>
      <x:c r="D42" s="12" t="str">
        <x:v>BurstMage</x:v>
      </x:c>
      <x:c r="E42" s="12"/>
      <x:c r="F42" s="12" t="str">
        <x:v>No</x:v>
      </x:c>
      <x:c r="G42" s="12" t="n">
        <x:v>1</x:v>
      </x:c>
      <x:c r="H42" s="12" t="str">
        <x:v>高</x:v>
      </x:c>
      <x:c r="I42" s="101" t="str">
        <x:v>2026-09-29</x:v>
      </x:c>
      <x:c r="J42" s="12" t="str">
        <x:v>型分けは診断上のプレイ人格が大きく変わる場合のみ</x:v>
      </x:c>
      <x:c r="K42" s="12" t="str">
        <x:v>https://wikiwiki.jp/poke-unite/%E3%82%B9%E3%82%A4%E3%82%AF%E3%83%B3</x:v>
      </x:c>
      <x:c r="L42" s="12" t="str">
        <x:v>https://www.pokemonunite.jp/pokemon/</x:v>
      </x:c>
      <x:c r="M42" s="12" t="str">
        <x:v>https://uniteapi.dev/jp/meta</x:v>
      </x:c>
    </x:row>
    <x:row r="43">
      <x:c r="A43" s="12" t="n">
        <x:v>42</x:v>
      </x:c>
      <x:c r="B43" s="12" t="str">
        <x:v>ソウブレイズ</x:v>
      </x:c>
      <x:c r="C43" s="12" t="str">
        <x:v>バランス型</x:v>
      </x:c>
      <x:c r="D43" s="12" t="str">
        <x:v>Skirmisher</x:v>
      </x:c>
      <x:c r="E43" s="12"/>
      <x:c r="F43" s="12" t="str">
        <x:v>No</x:v>
      </x:c>
      <x:c r="G43" s="12" t="n">
        <x:v>1</x:v>
      </x:c>
      <x:c r="H43" s="12" t="str">
        <x:v>高</x:v>
      </x:c>
      <x:c r="I43" s="101" t="str">
        <x:v>2026-09-29</x:v>
      </x:c>
      <x:c r="J43" s="12" t="str">
        <x:v>型分けは診断上のプレイ人格が大きく変わる場合のみ</x:v>
      </x:c>
      <x:c r="K43" s="12" t="str">
        <x:v>https://wikiwiki.jp/poke-unite/%E3%82%BD%E3%82%A6%E3%83%96%E3%83%AC%E3%82%A4%E3%82%BA</x:v>
      </x:c>
      <x:c r="L43" s="12" t="str">
        <x:v>https://www.pokemonunite.jp/pokemon/</x:v>
      </x:c>
      <x:c r="M43" s="12" t="str">
        <x:v>https://uniteapi.dev/jp/meta</x:v>
      </x:c>
    </x:row>
    <x:row r="44">
      <x:c r="A44" s="12" t="n">
        <x:v>43</x:v>
      </x:c>
      <x:c r="B44" s="12" t="str">
        <x:v>ソルガレオ</x:v>
      </x:c>
      <x:c r="C44" s="12" t="str">
        <x:v>バランス型</x:v>
      </x:c>
      <x:c r="D44" s="12" t="str">
        <x:v>Juggernaut</x:v>
      </x:c>
      <x:c r="E44" s="12"/>
      <x:c r="F44" s="12" t="str">
        <x:v>No</x:v>
      </x:c>
      <x:c r="G44" s="12" t="n">
        <x:v>1</x:v>
      </x:c>
      <x:c r="H44" s="12" t="str">
        <x:v>低</x:v>
      </x:c>
      <x:c r="I44" s="101" t="str">
        <x:v>2026-09-29</x:v>
      </x:c>
      <x:c r="J44" s="12" t="str">
        <x:v>型分けは診断上のプレイ人格が大きく変わる場合のみ</x:v>
      </x:c>
      <x:c r="K44" s="12" t="str">
        <x:v>https://wikiwiki.jp/poke-unite/%E3%82%BD%E3%83%AB%E3%82%AC%E3%83%AC%E3%82%AA</x:v>
      </x:c>
      <x:c r="L44" s="12" t="str">
        <x:v>https://www.pokemonunite.jp/pokemon/</x:v>
      </x:c>
      <x:c r="M44" s="12" t="str">
        <x:v>https://uniteapi.dev/jp/meta</x:v>
      </x:c>
    </x:row>
    <x:row r="45">
      <x:c r="A45" s="12" t="n">
        <x:v>44</x:v>
      </x:c>
      <x:c r="B45" s="12" t="str">
        <x:v>タイレーツ</x:v>
      </x:c>
      <x:c r="C45" s="12" t="str">
        <x:v>バランス型</x:v>
      </x:c>
      <x:c r="D45" s="12" t="str">
        <x:v>Juggernaut</x:v>
      </x:c>
      <x:c r="E45" s="12" t="str">
        <x:v>Diver</x:v>
      </x:c>
      <x:c r="F45" s="12" t="str">
        <x:v>Yes</x:v>
      </x:c>
      <x:c r="G45" s="12" t="n">
        <x:v>2</x:v>
      </x:c>
      <x:c r="H45" s="12" t="str">
        <x:v>高</x:v>
      </x:c>
      <x:c r="I45" s="101" t="str">
        <x:v>2026-09-29</x:v>
      </x:c>
      <x:c r="J45" s="12" t="str">
        <x:v>型分けは診断上のプレイ人格が大きく変わる場合のみ</x:v>
      </x:c>
      <x:c r="K45" s="12" t="str">
        <x:v>https://wikiwiki.jp/poke-unite/%E3%82%BF%E3%82%A4%E3%83%AC%E3%83%BC%E3%83%84</x:v>
      </x:c>
      <x:c r="L45" s="12" t="str">
        <x:v>https://www.pokemonunite.jp/pokemon/</x:v>
      </x:c>
      <x:c r="M45" s="12" t="str">
        <x:v>https://uniteapi.dev/jp/meta</x:v>
      </x:c>
    </x:row>
    <x:row r="46">
      <x:c r="A46" s="12" t="n">
        <x:v>45</x:v>
      </x:c>
      <x:c r="B46" s="12" t="str">
        <x:v>ダダリン</x:v>
      </x:c>
      <x:c r="C46" s="12" t="str">
        <x:v>バランス型</x:v>
      </x:c>
      <x:c r="D46" s="12" t="str">
        <x:v>Catcher</x:v>
      </x:c>
      <x:c r="E46" s="12"/>
      <x:c r="F46" s="12" t="str">
        <x:v>No</x:v>
      </x:c>
      <x:c r="G46" s="12" t="n">
        <x:v>1</x:v>
      </x:c>
      <x:c r="H46" s="12" t="str">
        <x:v>高</x:v>
      </x:c>
      <x:c r="I46" s="101" t="str">
        <x:v>2026-09-29</x:v>
      </x:c>
      <x:c r="J46" s="12" t="str">
        <x:v>型分けは診断上のプレイ人格が大きく変わる場合のみ</x:v>
      </x:c>
      <x:c r="K46" s="12" t="str">
        <x:v>https://wikiwiki.jp/poke-unite/%E3%83%80%E3%83%80%E3%83%AA%E3%83%B3</x:v>
      </x:c>
      <x:c r="L46" s="12" t="str">
        <x:v>https://www.pokemonunite.jp/pokemon/</x:v>
      </x:c>
      <x:c r="M46" s="12" t="str">
        <x:v>https://uniteapi.dev/jp/meta</x:v>
      </x:c>
    </x:row>
    <x:row r="47">
      <x:c r="A47" s="12" t="n">
        <x:v>46</x:v>
      </x:c>
      <x:c r="B47" s="12" t="str">
        <x:v>デカヌチャン</x:v>
      </x:c>
      <x:c r="C47" s="12" t="str">
        <x:v>バランス型</x:v>
      </x:c>
      <x:c r="D47" s="12" t="str">
        <x:v>Juggernaut</x:v>
      </x:c>
      <x:c r="E47" s="12"/>
      <x:c r="F47" s="12" t="str">
        <x:v>No</x:v>
      </x:c>
      <x:c r="G47" s="12" t="n">
        <x:v>1</x:v>
      </x:c>
      <x:c r="H47" s="12" t="str">
        <x:v>高</x:v>
      </x:c>
      <x:c r="I47" s="101" t="str">
        <x:v>2026-09-29</x:v>
      </x:c>
      <x:c r="J47" s="12" t="str">
        <x:v>型分けは診断上のプレイ人格が大きく変わる場合のみ</x:v>
      </x:c>
      <x:c r="K47" s="12" t="str">
        <x:v>https://wikiwiki.jp/poke-unite/%E3%83%87%E3%82%AB%E3%83%8C%E3%83%81%E3%83%A3%E3%83%B3</x:v>
      </x:c>
      <x:c r="L47" s="12" t="str">
        <x:v>https://www.pokemonunite.jp/pokemon/</x:v>
      </x:c>
      <x:c r="M47" s="12" t="str">
        <x:v>https://uniteapi.dev/jp/meta</x:v>
      </x:c>
    </x:row>
    <x:row r="48">
      <x:c r="A48" s="12" t="n">
        <x:v>47</x:v>
      </x:c>
      <x:c r="B48" s="12" t="str">
        <x:v>ネギガナイト</x:v>
      </x:c>
      <x:c r="C48" s="12" t="str">
        <x:v>バランス型</x:v>
      </x:c>
      <x:c r="D48" s="12" t="str">
        <x:v>Diver</x:v>
      </x:c>
      <x:c r="E48" s="12"/>
      <x:c r="F48" s="12" t="str">
        <x:v>No</x:v>
      </x:c>
      <x:c r="G48" s="12" t="n">
        <x:v>1</x:v>
      </x:c>
      <x:c r="H48" s="12" t="str">
        <x:v>高</x:v>
      </x:c>
      <x:c r="I48" s="101" t="str">
        <x:v>2026-09-29</x:v>
      </x:c>
      <x:c r="J48" s="12" t="str">
        <x:v>型分けは診断上のプレイ人格が大きく変わる場合のみ</x:v>
      </x:c>
      <x:c r="K48" s="12" t="str">
        <x:v>https://wikiwiki.jp/poke-unite/%E3%83%8D%E3%82%AE%E3%82%AC%E3%83%8A%E3%82%A4%E3%83%88</x:v>
      </x:c>
      <x:c r="L48" s="12" t="str">
        <x:v>https://www.pokemonunite.jp/pokemon/</x:v>
      </x:c>
      <x:c r="M48" s="12" t="str">
        <x:v>https://uniteapi.dev/jp/meta</x:v>
      </x:c>
    </x:row>
    <x:row r="49">
      <x:c r="A49" s="12" t="n">
        <x:v>48</x:v>
      </x:c>
      <x:c r="B49" s="12" t="str">
        <x:v>ハッサム</x:v>
      </x:c>
      <x:c r="C49" s="12" t="str">
        <x:v>バランス型</x:v>
      </x:c>
      <x:c r="D49" s="12" t="str">
        <x:v>Assassin</x:v>
      </x:c>
      <x:c r="E49" s="12" t="str">
        <x:v>Skirmisher</x:v>
      </x:c>
      <x:c r="F49" s="12" t="str">
        <x:v>Yes</x:v>
      </x:c>
      <x:c r="G49" s="12" t="n">
        <x:v>2</x:v>
      </x:c>
      <x:c r="H49" s="12" t="str">
        <x:v>高</x:v>
      </x:c>
      <x:c r="I49" s="101" t="str">
        <x:v>2026-09-29</x:v>
      </x:c>
      <x:c r="J49" s="12" t="str">
        <x:v>型分けは診断上のプレイ人格が大きく変わる場合のみ</x:v>
      </x:c>
      <x:c r="K49" s="12" t="str">
        <x:v>https://wikiwiki.jp/poke-unite/%E3%83%8F%E3%83%83%E3%82%B5%E3%83%A0</x:v>
      </x:c>
      <x:c r="L49" s="12" t="str">
        <x:v>https://www.pokemonunite.jp/pokemon/</x:v>
      </x:c>
      <x:c r="M49" s="12" t="str">
        <x:v>https://uniteapi.dev/jp/meta</x:v>
      </x:c>
    </x:row>
    <x:row r="50">
      <x:c r="A50" s="12" t="n">
        <x:v>49</x:v>
      </x:c>
      <x:c r="B50" s="12" t="str">
        <x:v>バシャーモ</x:v>
      </x:c>
      <x:c r="C50" s="12" t="str">
        <x:v>バランス型</x:v>
      </x:c>
      <x:c r="D50" s="12" t="str">
        <x:v>Diver</x:v>
      </x:c>
      <x:c r="E50" s="12"/>
      <x:c r="F50" s="12" t="str">
        <x:v>No</x:v>
      </x:c>
      <x:c r="G50" s="12" t="n">
        <x:v>1</x:v>
      </x:c>
      <x:c r="H50" s="12" t="str">
        <x:v>高</x:v>
      </x:c>
      <x:c r="I50" s="101" t="str">
        <x:v>2026-09-29</x:v>
      </x:c>
      <x:c r="J50" s="12" t="str">
        <x:v>型分けは診断上のプレイ人格が大きく変わる場合のみ</x:v>
      </x:c>
      <x:c r="K50" s="12" t="str">
        <x:v>https://wikiwiki.jp/poke-unite/%E3%83%90%E3%82%B7%E3%83%A3%E3%83%BC%E3%83%A2</x:v>
      </x:c>
      <x:c r="L50" s="12" t="str">
        <x:v>https://www.pokemonunite.jp/pokemon/</x:v>
      </x:c>
      <x:c r="M50" s="12" t="str">
        <x:v>https://uniteapi.dev/jp/meta</x:v>
      </x:c>
    </x:row>
    <x:row r="51">
      <x:c r="A51" s="12" t="n">
        <x:v>50</x:v>
      </x:c>
      <x:c r="B51" s="12" t="str">
        <x:v>バンギラス</x:v>
      </x:c>
      <x:c r="C51" s="12" t="str">
        <x:v>バランス型</x:v>
      </x:c>
      <x:c r="D51" s="12" t="str">
        <x:v>Juggernaut</x:v>
      </x:c>
      <x:c r="E51" s="12"/>
      <x:c r="F51" s="12" t="str">
        <x:v>No</x:v>
      </x:c>
      <x:c r="G51" s="12" t="n">
        <x:v>1</x:v>
      </x:c>
      <x:c r="H51" s="12" t="str">
        <x:v>高</x:v>
      </x:c>
      <x:c r="I51" s="101" t="str">
        <x:v>2026-09-29</x:v>
      </x:c>
      <x:c r="J51" s="12" t="str">
        <x:v>型分けは診断上のプレイ人格が大きく変わる場合のみ</x:v>
      </x:c>
      <x:c r="K51" s="12" t="str">
        <x:v>https://wikiwiki.jp/poke-unite/%E3%83%90%E3%83%B3%E3%82%AE%E3%83%A9%E3%82%B9</x:v>
      </x:c>
      <x:c r="L51" s="12" t="str">
        <x:v>https://www.pokemonunite.jp/pokemon/</x:v>
      </x:c>
      <x:c r="M51" s="12" t="str">
        <x:v>https://uniteapi.dev/jp/meta</x:v>
      </x:c>
    </x:row>
    <x:row r="52">
      <x:c r="A52" s="12" t="n">
        <x:v>51</x:v>
      </x:c>
      <x:c r="B52" s="12" t="str">
        <x:v>パルキア</x:v>
      </x:c>
      <x:c r="C52" s="12" t="str">
        <x:v>バランス型</x:v>
      </x:c>
      <x:c r="D52" s="12" t="str">
        <x:v>Diver</x:v>
      </x:c>
      <x:c r="E52" s="12"/>
      <x:c r="F52" s="12" t="str">
        <x:v>No</x:v>
      </x:c>
      <x:c r="G52" s="12" t="n">
        <x:v>1</x:v>
      </x:c>
      <x:c r="H52" s="12" t="str">
        <x:v>中</x:v>
      </x:c>
      <x:c r="I52" s="101" t="str">
        <x:v>2026-09-29</x:v>
      </x:c>
      <x:c r="J52" s="12" t="str">
        <x:v>型分けは診断上のプレイ人格が大きく変わる場合のみ</x:v>
      </x:c>
      <x:c r="K52" s="12" t="str">
        <x:v>https://wikiwiki.jp/poke-unite/%E3%83%91%E3%83%AB%E3%82%AD%E3%82%A2</x:v>
      </x:c>
      <x:c r="L52" s="12" t="str">
        <x:v>https://www.pokemonunite.jp/pokemon/</x:v>
      </x:c>
      <x:c r="M52" s="12" t="str">
        <x:v>https://uniteapi.dev/jp/meta</x:v>
      </x:c>
    </x:row>
    <x:row r="53">
      <x:c r="A53" s="12" t="n">
        <x:v>52</x:v>
      </x:c>
      <x:c r="B53" s="12" t="str">
        <x:v>パーモット</x:v>
      </x:c>
      <x:c r="C53" s="12" t="str">
        <x:v>バランス型</x:v>
      </x:c>
      <x:c r="D53" s="12" t="str">
        <x:v>Diver</x:v>
      </x:c>
      <x:c r="E53" s="12"/>
      <x:c r="F53" s="12" t="str">
        <x:v>No</x:v>
      </x:c>
      <x:c r="G53" s="12" t="n">
        <x:v>1</x:v>
      </x:c>
      <x:c r="H53" s="12" t="str">
        <x:v>高</x:v>
      </x:c>
      <x:c r="I53" s="101" t="str">
        <x:v>2026-09-29</x:v>
      </x:c>
      <x:c r="J53" s="12" t="str">
        <x:v>型分けは診断上のプレイ人格が大きく変わる場合のみ</x:v>
      </x:c>
      <x:c r="K53" s="12" t="str">
        <x:v>https://wikiwiki.jp/poke-unite/%E3%83%91%E3%83%BC%E3%83%A2%E3%83%83%E3%83%88</x:v>
      </x:c>
      <x:c r="L53" s="12" t="str">
        <x:v>https://www.pokemonunite.jp/pokemon/</x:v>
      </x:c>
      <x:c r="M53" s="12" t="str">
        <x:v>https://uniteapi.dev/jp/meta</x:v>
      </x:c>
    </x:row>
    <x:row r="54">
      <x:c r="A54" s="12" t="n">
        <x:v>53</x:v>
      </x:c>
      <x:c r="B54" s="12" t="str">
        <x:v>ファイヤー</x:v>
      </x:c>
      <x:c r="C54" s="12" t="str">
        <x:v>バランス型</x:v>
      </x:c>
      <x:c r="D54" s="12" t="str">
        <x:v>Juggernaut</x:v>
      </x:c>
      <x:c r="E54" s="12"/>
      <x:c r="F54" s="12" t="str">
        <x:v>No</x:v>
      </x:c>
      <x:c r="G54" s="12" t="n">
        <x:v>1</x:v>
      </x:c>
      <x:c r="H54" s="12" t="str">
        <x:v>中</x:v>
      </x:c>
      <x:c r="I54" s="101" t="str">
        <x:v>2026-09-29</x:v>
      </x:c>
      <x:c r="J54" s="12" t="str">
        <x:v>型分けは診断上のプレイ人格が大きく変わる場合のみ</x:v>
      </x:c>
      <x:c r="K54" s="12" t="str">
        <x:v>https://wikiwiki.jp/poke-unite/%E3%83%95%E3%82%A1%E3%82%A4%E3%83%A4%E3%83%BC</x:v>
      </x:c>
      <x:c r="L54" s="12" t="str">
        <x:v>https://www.pokemonunite.jp/pokemon/</x:v>
      </x:c>
      <x:c r="M54" s="12" t="str">
        <x:v>https://uniteapi.dev/jp/meta</x:v>
      </x:c>
    </x:row>
    <x:row r="55">
      <x:c r="A55" s="12" t="n">
        <x:v>54</x:v>
      </x:c>
      <x:c r="B55" s="12" t="str">
        <x:v>マッシブーン</x:v>
      </x:c>
      <x:c r="C55" s="12" t="str">
        <x:v>バランス型</x:v>
      </x:c>
      <x:c r="D55" s="12" t="str">
        <x:v>Catcher</x:v>
      </x:c>
      <x:c r="E55" s="12"/>
      <x:c r="F55" s="12" t="str">
        <x:v>No</x:v>
      </x:c>
      <x:c r="G55" s="12" t="n">
        <x:v>1</x:v>
      </x:c>
      <x:c r="H55" s="12" t="str">
        <x:v>高</x:v>
      </x:c>
      <x:c r="I55" s="101" t="str">
        <x:v>2026-09-29</x:v>
      </x:c>
      <x:c r="J55" s="12" t="str">
        <x:v>型分けは診断上のプレイ人格が大きく変わる場合のみ</x:v>
      </x:c>
      <x:c r="K55" s="12" t="str">
        <x:v>https://wikiwiki.jp/poke-unite/%E3%83%9E%E3%83%83%E3%82%B7%E3%83%96%E3%83%BC%E3%83%B3</x:v>
      </x:c>
      <x:c r="L55" s="12" t="str">
        <x:v>https://www.pokemonunite.jp/pokemon/</x:v>
      </x:c>
      <x:c r="M55" s="12" t="str">
        <x:v>https://uniteapi.dev/jp/meta</x:v>
      </x:c>
    </x:row>
    <x:row r="56">
      <x:c r="A56" s="12" t="n">
        <x:v>55</x:v>
      </x:c>
      <x:c r="B56" s="12" t="str">
        <x:v>マリルリ</x:v>
      </x:c>
      <x:c r="C56" s="12" t="str">
        <x:v>バランス型</x:v>
      </x:c>
      <x:c r="D56" s="12" t="str">
        <x:v>Diver</x:v>
      </x:c>
      <x:c r="E56" s="12"/>
      <x:c r="F56" s="12" t="str">
        <x:v>No</x:v>
      </x:c>
      <x:c r="G56" s="12" t="n">
        <x:v>1</x:v>
      </x:c>
      <x:c r="H56" s="12" t="str">
        <x:v>高</x:v>
      </x:c>
      <x:c r="I56" s="101" t="str">
        <x:v>2026-09-29</x:v>
      </x:c>
      <x:c r="J56" s="12" t="str">
        <x:v>型分けは診断上のプレイ人格が大きく変わる場合のみ</x:v>
      </x:c>
      <x:c r="K56" s="12" t="str">
        <x:v>https://wikiwiki.jp/poke-unite/%E3%83%9E%E3%83%AA%E3%83%AB%E3%83%AA</x:v>
      </x:c>
      <x:c r="L56" s="12" t="str">
        <x:v>https://www.pokemonunite.jp/pokemon/</x:v>
      </x:c>
      <x:c r="M56" s="12" t="str">
        <x:v>https://uniteapi.dev/jp/meta</x:v>
      </x:c>
    </x:row>
    <x:row r="57">
      <x:c r="A57" s="12" t="n">
        <x:v>56</x:v>
      </x:c>
      <x:c r="B57" s="12" t="str">
        <x:v>ミミッキュ</x:v>
      </x:c>
      <x:c r="C57" s="12" t="str">
        <x:v>バランス型</x:v>
      </x:c>
      <x:c r="D57" s="12" t="str">
        <x:v>Assassin</x:v>
      </x:c>
      <x:c r="E57" s="12" t="str">
        <x:v>Skirmisher</x:v>
      </x:c>
      <x:c r="F57" s="12" t="str">
        <x:v>Yes</x:v>
      </x:c>
      <x:c r="G57" s="12" t="n">
        <x:v>2</x:v>
      </x:c>
      <x:c r="H57" s="12" t="str">
        <x:v>高</x:v>
      </x:c>
      <x:c r="I57" s="101" t="str">
        <x:v>2026-09-29</x:v>
      </x:c>
      <x:c r="J57" s="12" t="str">
        <x:v>型分けは診断上のプレイ人格が大きく変わる場合のみ</x:v>
      </x:c>
      <x:c r="K57" s="12" t="str">
        <x:v>https://wikiwiki.jp/poke-unite/%E3%83%9F%E3%83%9F%E3%83%83%E3%82%AD%E3%83%A5</x:v>
      </x:c>
      <x:c r="L57" s="12" t="str">
        <x:v>https://www.pokemonunite.jp/pokemon/</x:v>
      </x:c>
      <x:c r="M57" s="12" t="str">
        <x:v>https://uniteapi.dev/jp/meta</x:v>
      </x:c>
    </x:row>
    <x:row r="58">
      <x:c r="A58" s="12" t="n">
        <x:v>57</x:v>
      </x:c>
      <x:c r="B58" s="12" t="str">
        <x:v>ミュウツー(X)</x:v>
      </x:c>
      <x:c r="C58" s="12" t="str">
        <x:v>バランス型</x:v>
      </x:c>
      <x:c r="D58" s="12" t="str">
        <x:v>Juggernaut</x:v>
      </x:c>
      <x:c r="E58" s="12" t="str">
        <x:v>Catcher</x:v>
      </x:c>
      <x:c r="F58" s="12" t="str">
        <x:v>No</x:v>
      </x:c>
      <x:c r="G58" s="12" t="n">
        <x:v>1</x:v>
      </x:c>
      <x:c r="H58" s="12" t="str">
        <x:v>高</x:v>
      </x:c>
      <x:c r="I58" s="101" t="str">
        <x:v>2026-09-29</x:v>
      </x:c>
      <x:c r="J58" s="12" t="str">
        <x:v>型分けは診断上のプレイ人格が大きく変わる場合のみ</x:v>
      </x:c>
      <x:c r="K58" s="12" t="str">
        <x:v>https://wikiwiki.jp/poke-unite/%E3%83%9F%E3%83%A5%E3%82%A6%E3%83%84%E3%83%BC(X)</x:v>
      </x:c>
      <x:c r="L58" s="12" t="str">
        <x:v>https://www.pokemonunite.jp/pokemon/</x:v>
      </x:c>
      <x:c r="M58" s="12" t="str">
        <x:v>https://uniteapi.dev/jp/meta</x:v>
      </x:c>
    </x:row>
    <x:row r="59">
      <x:c r="A59" s="12" t="n">
        <x:v>58</x:v>
      </x:c>
      <x:c r="B59" s="12" t="str">
        <x:v>メタグロス</x:v>
      </x:c>
      <x:c r="C59" s="12" t="str">
        <x:v>バランス型</x:v>
      </x:c>
      <x:c r="D59" s="12" t="str">
        <x:v>Diver</x:v>
      </x:c>
      <x:c r="E59" s="12" t="str">
        <x:v>Juggernaut</x:v>
      </x:c>
      <x:c r="F59" s="12" t="str">
        <x:v>No</x:v>
      </x:c>
      <x:c r="G59" s="12" t="n">
        <x:v>1</x:v>
      </x:c>
      <x:c r="H59" s="12" t="str">
        <x:v>高</x:v>
      </x:c>
      <x:c r="I59" s="101" t="str">
        <x:v>2026-09-29</x:v>
      </x:c>
      <x:c r="J59" s="12" t="str">
        <x:v>型分けは診断上のプレイ人格が大きく変わる場合のみ</x:v>
      </x:c>
      <x:c r="K59" s="12" t="str">
        <x:v>https://wikiwiki.jp/poke-unite/%E3%83%A1%E3%82%BF%E3%82%B0%E3%83%AD%E3%82%B9</x:v>
      </x:c>
      <x:c r="L59" s="12" t="str">
        <x:v>https://www.pokemonunite.jp/pokemon/</x:v>
      </x:c>
      <x:c r="M59" s="12" t="str">
        <x:v>https://uniteapi.dev/jp/meta</x:v>
      </x:c>
    </x:row>
    <x:row r="60">
      <x:c r="A60" s="12" t="n">
        <x:v>59</x:v>
      </x:c>
      <x:c r="B60" s="12" t="str">
        <x:v>リザードン</x:v>
      </x:c>
      <x:c r="C60" s="12" t="str">
        <x:v>バランス型</x:v>
      </x:c>
      <x:c r="D60" s="12" t="str">
        <x:v>BattleMage</x:v>
      </x:c>
      <x:c r="E60" s="12" t="str">
        <x:v>Diver</x:v>
      </x:c>
      <x:c r="F60" s="12" t="str">
        <x:v>Yes</x:v>
      </x:c>
      <x:c r="G60" s="12" t="n">
        <x:v>2</x:v>
      </x:c>
      <x:c r="H60" s="12" t="str">
        <x:v>高</x:v>
      </x:c>
      <x:c r="I60" s="101" t="str">
        <x:v>2026-09-29</x:v>
      </x:c>
      <x:c r="J60" s="12" t="str">
        <x:v>型分けは診断上のプレイ人格が大きく変わる場合のみ</x:v>
      </x:c>
      <x:c r="K60" s="12" t="str">
        <x:v>https://wikiwiki.jp/poke-unite/%E3%83%AA%E3%82%B6%E3%83%BC%E3%83%89%E3%83%B3</x:v>
      </x:c>
      <x:c r="L60" s="12" t="str">
        <x:v>https://www.pokemonunite.jp/pokemon/</x:v>
      </x:c>
      <x:c r="M60" s="12" t="str">
        <x:v>https://uniteapi.dev/jp/meta</x:v>
      </x:c>
    </x:row>
    <x:row r="61">
      <x:c r="A61" s="12" t="n">
        <x:v>60</x:v>
      </x:c>
      <x:c r="B61" s="12" t="str">
        <x:v>メガリザードンX</x:v>
      </x:c>
      <x:c r="C61" s="12" t="str">
        <x:v>バランス型</x:v>
      </x:c>
      <x:c r="D61" s="12" t="str">
        <x:v>Diver</x:v>
      </x:c>
      <x:c r="E61" s="12"/>
      <x:c r="F61" s="12" t="str">
        <x:v>No</x:v>
      </x:c>
      <x:c r="G61" s="12" t="n">
        <x:v>1</x:v>
      </x:c>
      <x:c r="H61" s="12" t="str">
        <x:v>中</x:v>
      </x:c>
      <x:c r="I61" s="101" t="str">
        <x:v>2026-09-29</x:v>
      </x:c>
      <x:c r="J61" s="12" t="str">
        <x:v>型分けは診断上のプレイ人格が大きく変わる場合のみ</x:v>
      </x:c>
      <x:c r="K61" s="12" t="str">
        <x:v>https://wikiwiki.jp/poke-unite/%E3%83%A1%E3%82%AC%E3%83%AA%E3%82%B6%E3%83%BC%E3%83%89%E3%83%B3X</x:v>
      </x:c>
      <x:c r="L61" s="12" t="str">
        <x:v>https://www.pokemonunite.jp/pokemon/</x:v>
      </x:c>
      <x:c r="M61" s="12" t="str">
        <x:v>https://uniteapi.dev/jp/meta</x:v>
      </x:c>
    </x:row>
    <x:row r="62">
      <x:c r="A62" s="12" t="n">
        <x:v>61</x:v>
      </x:c>
      <x:c r="B62" s="12" t="str">
        <x:v>メガリザードンY</x:v>
      </x:c>
      <x:c r="C62" s="12" t="str">
        <x:v>バランス型</x:v>
      </x:c>
      <x:c r="D62" s="12" t="str">
        <x:v>Diver</x:v>
      </x:c>
      <x:c r="E62" s="12" t="str">
        <x:v>BattleMage</x:v>
      </x:c>
      <x:c r="F62" s="12" t="str">
        <x:v>No</x:v>
      </x:c>
      <x:c r="G62" s="12" t="n">
        <x:v>1</x:v>
      </x:c>
      <x:c r="H62" s="12" t="str">
        <x:v>中</x:v>
      </x:c>
      <x:c r="I62" s="101" t="str">
        <x:v>2026-09-29</x:v>
      </x:c>
      <x:c r="J62" s="12" t="str">
        <x:v>型分けは診断上のプレイ人格が大きく変わる場合のみ</x:v>
      </x:c>
      <x:c r="K62" s="12" t="str">
        <x:v>https://wikiwiki.jp/poke-unite/%E3%83%A1%E3%82%AC%E3%83%AA%E3%82%B6%E3%83%BC%E3%83%89%E3%83%B3Y</x:v>
      </x:c>
      <x:c r="L62" s="12" t="str">
        <x:v>https://www.pokemonunite.jp/pokemon/</x:v>
      </x:c>
      <x:c r="M62" s="12" t="str">
        <x:v>https://uniteapi.dev/jp/meta</x:v>
      </x:c>
    </x:row>
    <x:row r="63">
      <x:c r="A63" s="12" t="n">
        <x:v>62</x:v>
      </x:c>
      <x:c r="B63" s="12" t="str">
        <x:v>ルカリオ</x:v>
      </x:c>
      <x:c r="C63" s="12" t="str">
        <x:v>バランス型</x:v>
      </x:c>
      <x:c r="D63" s="12" t="str">
        <x:v>Assassin</x:v>
      </x:c>
      <x:c r="E63" s="12" t="str">
        <x:v>Diver</x:v>
      </x:c>
      <x:c r="F63" s="12" t="str">
        <x:v>Yes</x:v>
      </x:c>
      <x:c r="G63" s="12" t="n">
        <x:v>2</x:v>
      </x:c>
      <x:c r="H63" s="12" t="str">
        <x:v>高</x:v>
      </x:c>
      <x:c r="I63" s="101" t="str">
        <x:v>2026-09-29</x:v>
      </x:c>
      <x:c r="J63" s="12" t="str">
        <x:v>型分けは診断上のプレイ人格が大きく変わる場合のみ</x:v>
      </x:c>
      <x:c r="K63" s="12" t="str">
        <x:v>https://wikiwiki.jp/poke-unite/%E3%83%AB%E3%82%AB%E3%83%AA%E3%82%AA</x:v>
      </x:c>
      <x:c r="L63" s="12" t="str">
        <x:v>https://www.pokemonunite.jp/pokemon/</x:v>
      </x:c>
      <x:c r="M63" s="12" t="str">
        <x:v>https://uniteapi.dev/jp/meta</x:v>
      </x:c>
    </x:row>
    <x:row r="64">
      <x:c r="A64" s="12" t="n">
        <x:v>63</x:v>
      </x:c>
      <x:c r="B64" s="12" t="str">
        <x:v>メガルカリオ</x:v>
      </x:c>
      <x:c r="C64" s="12" t="str">
        <x:v>バランス型</x:v>
      </x:c>
      <x:c r="D64" s="12" t="str">
        <x:v>Diver</x:v>
      </x:c>
      <x:c r="E64" s="12"/>
      <x:c r="F64" s="12" t="str">
        <x:v>No</x:v>
      </x:c>
      <x:c r="G64" s="12" t="n">
        <x:v>1</x:v>
      </x:c>
      <x:c r="H64" s="12" t="str">
        <x:v>中</x:v>
      </x:c>
      <x:c r="I64" s="101" t="str">
        <x:v>2026-09-29</x:v>
      </x:c>
      <x:c r="J64" s="12" t="str">
        <x:v>型分けは診断上のプレイ人格が大きく変わる場合のみ</x:v>
      </x:c>
      <x:c r="K64" s="12" t="str">
        <x:v>https://wikiwiki.jp/poke-unite/%E3%83%A1%E3%82%AC%E3%83%AB%E3%82%AB%E3%83%AA%E3%82%AA</x:v>
      </x:c>
      <x:c r="L64" s="12" t="str">
        <x:v>https://www.pokemonunite.jp/pokemon/</x:v>
      </x:c>
      <x:c r="M64" s="12" t="str">
        <x:v>https://uniteapi.dev/jp/meta</x:v>
      </x:c>
    </x:row>
    <x:row r="65">
      <x:c r="A65" s="12" t="n">
        <x:v>64</x:v>
      </x:c>
      <x:c r="B65" s="12" t="str">
        <x:v>アブソル</x:v>
      </x:c>
      <x:c r="C65" s="12" t="str">
        <x:v>スピード型</x:v>
      </x:c>
      <x:c r="D65" s="12" t="str">
        <x:v>Assassin</x:v>
      </x:c>
      <x:c r="E65" s="12"/>
      <x:c r="F65" s="12" t="str">
        <x:v>No</x:v>
      </x:c>
      <x:c r="G65" s="12" t="n">
        <x:v>1</x:v>
      </x:c>
      <x:c r="H65" s="12" t="str">
        <x:v>高</x:v>
      </x:c>
      <x:c r="I65" s="101" t="str">
        <x:v>2026-09-29</x:v>
      </x:c>
      <x:c r="J65" s="12" t="str">
        <x:v>型分けは診断上のプレイ人格が大きく変わる場合のみ</x:v>
      </x:c>
      <x:c r="K65" s="12" t="str">
        <x:v>https://wikiwiki.jp/poke-unite/%E3%82%A2%E3%83%96%E3%82%BD%E3%83%AB</x:v>
      </x:c>
      <x:c r="L65" s="12" t="str">
        <x:v>https://www.pokemonunite.jp/pokemon/</x:v>
      </x:c>
      <x:c r="M65" s="12" t="str">
        <x:v>https://uniteapi.dev/jp/meta</x:v>
      </x:c>
    </x:row>
    <x:row r="66">
      <x:c r="A66" s="12" t="n">
        <x:v>65</x:v>
      </x:c>
      <x:c r="B66" s="12" t="str">
        <x:v>ガラルギャロップ</x:v>
      </x:c>
      <x:c r="C66" s="12" t="str">
        <x:v>スピード型</x:v>
      </x:c>
      <x:c r="D66" s="12" t="str">
        <x:v>Diver</x:v>
      </x:c>
      <x:c r="E66" s="12"/>
      <x:c r="F66" s="12" t="str">
        <x:v>No</x:v>
      </x:c>
      <x:c r="G66" s="12" t="n">
        <x:v>1</x:v>
      </x:c>
      <x:c r="H66" s="12" t="str">
        <x:v>高</x:v>
      </x:c>
      <x:c r="I66" s="101" t="str">
        <x:v>2026-09-29</x:v>
      </x:c>
      <x:c r="J66" s="12" t="str">
        <x:v>型分けは診断上のプレイ人格が大きく変わる場合のみ</x:v>
      </x:c>
      <x:c r="K66" s="12" t="str">
        <x:v>https://wikiwiki.jp/poke-unite/%E3%82%AC%E3%83%A9%E3%83%AB%E3%82%AE%E3%83%A3%E3%83%AD%E3%83%83%E3%83%97</x:v>
      </x:c>
      <x:c r="L66" s="12" t="str">
        <x:v>https://www.pokemonunite.jp/pokemon/</x:v>
      </x:c>
      <x:c r="M66" s="12" t="str">
        <x:v>https://uniteapi.dev/jp/meta</x:v>
      </x:c>
    </x:row>
    <x:row r="67">
      <x:c r="A67" s="12" t="n">
        <x:v>66</x:v>
      </x:c>
      <x:c r="B67" s="12" t="str">
        <x:v>ゲンガー</x:v>
      </x:c>
      <x:c r="C67" s="12" t="str">
        <x:v>スピード型</x:v>
      </x:c>
      <x:c r="D67" s="12" t="str">
        <x:v>Assassin</x:v>
      </x:c>
      <x:c r="E67" s="12" t="str">
        <x:v>Skirmisher</x:v>
      </x:c>
      <x:c r="F67" s="12" t="str">
        <x:v>No</x:v>
      </x:c>
      <x:c r="G67" s="12" t="n">
        <x:v>1</x:v>
      </x:c>
      <x:c r="H67" s="12" t="str">
        <x:v>高</x:v>
      </x:c>
      <x:c r="I67" s="101" t="str">
        <x:v>2026-09-29</x:v>
      </x:c>
      <x:c r="J67" s="12" t="str">
        <x:v>型分けは診断上のプレイ人格が大きく変わる場合のみ</x:v>
      </x:c>
      <x:c r="K67" s="12" t="str">
        <x:v>https://wikiwiki.jp/poke-unite/%E3%82%B2%E3%83%B3%E3%82%AC%E3%83%BC</x:v>
      </x:c>
      <x:c r="L67" s="12" t="str">
        <x:v>https://www.pokemonunite.jp/pokemon/</x:v>
      </x:c>
      <x:c r="M67" s="12" t="str">
        <x:v>https://uniteapi.dev/jp/meta</x:v>
      </x:c>
    </x:row>
    <x:row r="68">
      <x:c r="A68" s="12" t="n">
        <x:v>67</x:v>
      </x:c>
      <x:c r="B68" s="12" t="str">
        <x:v>ゼラオラ</x:v>
      </x:c>
      <x:c r="C68" s="12" t="str">
        <x:v>スピード型</x:v>
      </x:c>
      <x:c r="D68" s="12" t="str">
        <x:v>Skirmisher</x:v>
      </x:c>
      <x:c r="E68" s="12" t="str">
        <x:v>Assassin</x:v>
      </x:c>
      <x:c r="F68" s="12" t="str">
        <x:v>Yes</x:v>
      </x:c>
      <x:c r="G68" s="12" t="n">
        <x:v>2</x:v>
      </x:c>
      <x:c r="H68" s="12" t="str">
        <x:v>高</x:v>
      </x:c>
      <x:c r="I68" s="101" t="str">
        <x:v>2026-09-29</x:v>
      </x:c>
      <x:c r="J68" s="12" t="str">
        <x:v>型分けは診断上のプレイ人格が大きく変わる場合のみ</x:v>
      </x:c>
      <x:c r="K68" s="12" t="str">
        <x:v>https://wikiwiki.jp/poke-unite/%E3%82%BC%E3%83%A9%E3%82%AA%E3%83%A9</x:v>
      </x:c>
      <x:c r="L68" s="12" t="str">
        <x:v>https://www.pokemonunite.jp/pokemon/</x:v>
      </x:c>
      <x:c r="M68" s="12" t="str">
        <x:v>https://uniteapi.dev/jp/meta</x:v>
      </x:c>
    </x:row>
    <x:row r="69">
      <x:c r="A69" s="12" t="n">
        <x:v>68</x:v>
      </x:c>
      <x:c r="B69" s="12" t="str">
        <x:v>ゾロアーク</x:v>
      </x:c>
      <x:c r="C69" s="12" t="str">
        <x:v>スピード型</x:v>
      </x:c>
      <x:c r="D69" s="12" t="str">
        <x:v>Assassin</x:v>
      </x:c>
      <x:c r="E69" s="12"/>
      <x:c r="F69" s="12" t="str">
        <x:v>No</x:v>
      </x:c>
      <x:c r="G69" s="12" t="n">
        <x:v>1</x:v>
      </x:c>
      <x:c r="H69" s="12" t="str">
        <x:v>高</x:v>
      </x:c>
      <x:c r="I69" s="101" t="str">
        <x:v>2026-09-29</x:v>
      </x:c>
      <x:c r="J69" s="12" t="str">
        <x:v>型分けは診断上のプレイ人格が大きく変わる場合のみ</x:v>
      </x:c>
      <x:c r="K69" s="12" t="str">
        <x:v>https://wikiwiki.jp/poke-unite/%E3%82%BE%E3%83%AD%E3%82%A2%E3%83%BC%E3%82%AF</x:v>
      </x:c>
      <x:c r="L69" s="12" t="str">
        <x:v>https://www.pokemonunite.jp/pokemon/</x:v>
      </x:c>
      <x:c r="M69" s="12" t="str">
        <x:v>https://uniteapi.dev/jp/meta</x:v>
      </x:c>
    </x:row>
    <x:row r="70">
      <x:c r="A70" s="12" t="n">
        <x:v>69</x:v>
      </x:c>
      <x:c r="B70" s="12" t="str">
        <x:v>ダークライ</x:v>
      </x:c>
      <x:c r="C70" s="12" t="str">
        <x:v>スピード型</x:v>
      </x:c>
      <x:c r="D70" s="12" t="str">
        <x:v>Assassin</x:v>
      </x:c>
      <x:c r="E70" s="12"/>
      <x:c r="F70" s="12" t="str">
        <x:v>No</x:v>
      </x:c>
      <x:c r="G70" s="12" t="n">
        <x:v>1</x:v>
      </x:c>
      <x:c r="H70" s="12" t="str">
        <x:v>高</x:v>
      </x:c>
      <x:c r="I70" s="101" t="str">
        <x:v>2026-09-29</x:v>
      </x:c>
      <x:c r="J70" s="12" t="str">
        <x:v>型分けは診断上のプレイ人格が大きく変わる場合のみ</x:v>
      </x:c>
      <x:c r="K70" s="12" t="str">
        <x:v>https://wikiwiki.jp/poke-unite/%E3%83%80%E3%83%BC%E3%82%AF%E3%83%A9%E3%82%A4</x:v>
      </x:c>
      <x:c r="L70" s="12" t="str">
        <x:v>https://www.pokemonunite.jp/pokemon/</x:v>
      </x:c>
      <x:c r="M70" s="12" t="str">
        <x:v>https://uniteapi.dev/jp/meta</x:v>
      </x:c>
    </x:row>
    <x:row r="71">
      <x:c r="A71" s="12" t="n">
        <x:v>70</x:v>
      </x:c>
      <x:c r="B71" s="12" t="str">
        <x:v>ドードリオ</x:v>
      </x:c>
      <x:c r="C71" s="12" t="str">
        <x:v>スピード型</x:v>
      </x:c>
      <x:c r="D71" s="12" t="str">
        <x:v>Diver</x:v>
      </x:c>
      <x:c r="E71" s="12"/>
      <x:c r="F71" s="12" t="str">
        <x:v>No</x:v>
      </x:c>
      <x:c r="G71" s="12" t="n">
        <x:v>1</x:v>
      </x:c>
      <x:c r="H71" s="12" t="str">
        <x:v>高</x:v>
      </x:c>
      <x:c r="I71" s="101" t="str">
        <x:v>2026-09-29</x:v>
      </x:c>
      <x:c r="J71" s="12" t="str">
        <x:v>型分けは診断上のプレイ人格が大きく変わる場合のみ</x:v>
      </x:c>
      <x:c r="K71" s="12" t="str">
        <x:v>https://wikiwiki.jp/poke-unite/%E3%83%89%E3%83%BC%E3%83%89%E3%83%AA%E3%82%AA</x:v>
      </x:c>
      <x:c r="L71" s="12" t="str">
        <x:v>https://www.pokemonunite.jp/pokemon/</x:v>
      </x:c>
      <x:c r="M71" s="12" t="str">
        <x:v>https://uniteapi.dev/jp/meta</x:v>
      </x:c>
    </x:row>
    <x:row r="72">
      <x:c r="A72" s="12" t="n">
        <x:v>71</x:v>
      </x:c>
      <x:c r="B72" s="12" t="str">
        <x:v>ニャース</x:v>
      </x:c>
      <x:c r="C72" s="12" t="str">
        <x:v>スピード型</x:v>
      </x:c>
      <x:c r="D72" s="12" t="str">
        <x:v>Skirmisher</x:v>
      </x:c>
      <x:c r="E72" s="12"/>
      <x:c r="F72" s="12" t="str">
        <x:v>No</x:v>
      </x:c>
      <x:c r="G72" s="12" t="n">
        <x:v>1</x:v>
      </x:c>
      <x:c r="H72" s="12" t="str">
        <x:v>高</x:v>
      </x:c>
      <x:c r="I72" s="101" t="str">
        <x:v>2026-09-29</x:v>
      </x:c>
      <x:c r="J72" s="12" t="str">
        <x:v>型分けは診断上のプレイ人格が大きく変わる場合のみ</x:v>
      </x:c>
      <x:c r="K72" s="12" t="str">
        <x:v>https://wikiwiki.jp/poke-unite/%E3%83%8B%E3%83%A3%E3%83%BC%E3%82%B9</x:v>
      </x:c>
      <x:c r="L72" s="12" t="str">
        <x:v>https://www.pokemonunite.jp/pokemon/</x:v>
      </x:c>
      <x:c r="M72" s="12" t="str">
        <x:v>https://uniteapi.dev/jp/meta</x:v>
      </x:c>
    </x:row>
    <x:row r="73">
      <x:c r="A73" s="12" t="n">
        <x:v>72</x:v>
      </x:c>
      <x:c r="B73" s="12" t="str">
        <x:v>ファイアロー</x:v>
      </x:c>
      <x:c r="C73" s="12" t="str">
        <x:v>スピード型</x:v>
      </x:c>
      <x:c r="D73" s="12" t="str">
        <x:v>Assassin</x:v>
      </x:c>
      <x:c r="E73" s="12" t="str">
        <x:v>Diver</x:v>
      </x:c>
      <x:c r="F73" s="12" t="str">
        <x:v>No</x:v>
      </x:c>
      <x:c r="G73" s="12" t="n">
        <x:v>1</x:v>
      </x:c>
      <x:c r="H73" s="12" t="str">
        <x:v>高</x:v>
      </x:c>
      <x:c r="I73" s="101" t="str">
        <x:v>2026-09-29</x:v>
      </x:c>
      <x:c r="J73" s="12" t="str">
        <x:v>型分けは診断上のプレイ人格が大きく変わる場合のみ</x:v>
      </x:c>
      <x:c r="K73" s="12" t="str">
        <x:v>https://wikiwiki.jp/poke-unite/%E3%83%95%E3%82%A1%E3%82%A4%E3%82%A2%E3%83%AD%...</x:v>
      </x:c>
      <x:c r="L73" s="12" t="str">
        <x:v>https://www.pokemonunite.jp/pokemon/</x:v>
      </x:c>
      <x:c r="M73" s="12" t="str">
        <x:v>https://uniteapi.dev/jp/meta</x:v>
      </x:c>
    </x:row>
    <x:row r="74">
      <x:c r="A74" s="12" t="n">
        <x:v>73</x:v>
      </x:c>
      <x:c r="B74" s="12" t="str">
        <x:v>マスカーニャ</x:v>
      </x:c>
      <x:c r="C74" s="12" t="str">
        <x:v>スピード型</x:v>
      </x:c>
      <x:c r="D74" s="12" t="str">
        <x:v>Assassin</x:v>
      </x:c>
      <x:c r="E74" s="12" t="str">
        <x:v>Skirmisher</x:v>
      </x:c>
      <x:c r="F74" s="12" t="str">
        <x:v>Yes</x:v>
      </x:c>
      <x:c r="G74" s="12" t="n">
        <x:v>2</x:v>
      </x:c>
      <x:c r="H74" s="12" t="str">
        <x:v>高</x:v>
      </x:c>
      <x:c r="I74" s="101" t="str">
        <x:v>2026-09-29</x:v>
      </x:c>
      <x:c r="J74" s="12" t="str">
        <x:v>型分けは診断上のプレイ人格が大きく変わる場合のみ</x:v>
      </x:c>
      <x:c r="K74" s="12" t="str">
        <x:v>https://wikiwiki.jp/poke-unite/%E3%83%9E%E3%82%B9%E3%82%AB%E3%83%BC%E3%83%8B%...</x:v>
      </x:c>
      <x:c r="L74" s="12" t="str">
        <x:v>https://www.pokemonunite.jp/pokemon/</x:v>
      </x:c>
      <x:c r="M74" s="12" t="str">
        <x:v>https://uniteapi.dev/jp/meta</x:v>
      </x:c>
    </x:row>
    <x:row r="75">
      <x:c r="A75" s="12" t="n">
        <x:v>74</x:v>
      </x:c>
      <x:c r="B75" s="12" t="str">
        <x:v>モルペコ</x:v>
      </x:c>
      <x:c r="C75" s="12" t="str">
        <x:v>スピード型</x:v>
      </x:c>
      <x:c r="D75" s="12" t="str">
        <x:v>Assassin</x:v>
      </x:c>
      <x:c r="E75" s="12"/>
      <x:c r="F75" s="12" t="str">
        <x:v>No</x:v>
      </x:c>
      <x:c r="G75" s="12" t="n">
        <x:v>1</x:v>
      </x:c>
      <x:c r="H75" s="12" t="str">
        <x:v>低</x:v>
      </x:c>
      <x:c r="I75" s="101" t="str">
        <x:v>2026-09-29</x:v>
      </x:c>
      <x:c r="J75" s="12" t="str">
        <x:v>型分けは診断上のプレイ人格が大きく変わる場合のみ</x:v>
      </x:c>
      <x:c r="K75" s="12" t="str">
        <x:v>https://wikiwiki.jp/poke-unite/%E3%83%A2%E3%83%AB%E3%83%9A%E3%82%B3</x:v>
      </x:c>
      <x:c r="L75" s="12" t="str">
        <x:v>https://www.pokemonunite.jp/pokemon/</x:v>
      </x:c>
      <x:c r="M75" s="12" t="str">
        <x:v>https://uniteapi.dev/jp/meta</x:v>
      </x:c>
    </x:row>
    <x:row r="76">
      <x:c r="A76" s="12" t="n">
        <x:v>75</x:v>
      </x:c>
      <x:c r="B76" s="12" t="str">
        <x:v>リーフィア</x:v>
      </x:c>
      <x:c r="C76" s="12" t="str">
        <x:v>スピード型</x:v>
      </x:c>
      <x:c r="D76" s="12" t="str">
        <x:v>Assassin</x:v>
      </x:c>
      <x:c r="E76" s="12"/>
      <x:c r="F76" s="12" t="str">
        <x:v>No</x:v>
      </x:c>
      <x:c r="G76" s="12" t="n">
        <x:v>1</x:v>
      </x:c>
      <x:c r="H76" s="12" t="str">
        <x:v>高</x:v>
      </x:c>
      <x:c r="I76" s="101" t="str">
        <x:v>2026-09-29</x:v>
      </x:c>
      <x:c r="J76" s="12" t="str">
        <x:v>型分けは診断上のプレイ人格が大きく変わる場合のみ</x:v>
      </x:c>
      <x:c r="K76" s="12" t="str">
        <x:v>https://wikiwiki.jp/poke-unite/%E3%83%AA%E3%83%BC%E3%83%95%E3%82%A3%E3%82%A2</x:v>
      </x:c>
      <x:c r="L76" s="12" t="str">
        <x:v>https://www.pokemonunite.jp/pokemon/</x:v>
      </x:c>
      <x:c r="M76" s="12" t="str">
        <x:v>https://uniteapi.dev/jp/meta</x:v>
      </x:c>
    </x:row>
    <x:row r="77">
      <x:c r="A77" s="12" t="n">
        <x:v>76</x:v>
      </x:c>
      <x:c r="B77" s="12" t="str">
        <x:v>イワパレス</x:v>
      </x:c>
      <x:c r="C77" s="12" t="str">
        <x:v>ディフェンス型</x:v>
      </x:c>
      <x:c r="D77" s="12" t="str">
        <x:v>Vanguard</x:v>
      </x:c>
      <x:c r="E77" s="12" t="str">
        <x:v>Diver</x:v>
      </x:c>
      <x:c r="F77" s="12" t="str">
        <x:v>Yes</x:v>
      </x:c>
      <x:c r="G77" s="12" t="n">
        <x:v>2</x:v>
      </x:c>
      <x:c r="H77" s="12" t="str">
        <x:v>高</x:v>
      </x:c>
      <x:c r="I77" s="101" t="str">
        <x:v>2026-09-29</x:v>
      </x:c>
      <x:c r="J77" s="12" t="str">
        <x:v>型分けは診断上のプレイ人格が大きく変わる場合のみ</x:v>
      </x:c>
      <x:c r="K77" s="12" t="str">
        <x:v>https://wikiwiki.jp/poke-unite/%E3%82%A4%E3%83%AF%E3%83%91%E3%83%AC%E3%82%B9</x:v>
      </x:c>
      <x:c r="L77" s="12" t="str">
        <x:v>https://www.pokemonunite.jp/pokemon/</x:v>
      </x:c>
      <x:c r="M77" s="12" t="str">
        <x:v>https://uniteapi.dev/jp/meta</x:v>
      </x:c>
    </x:row>
    <x:row r="78">
      <x:c r="A78" s="12" t="n">
        <x:v>77</x:v>
      </x:c>
      <x:c r="B78" s="12" t="str">
        <x:v>オーロット</x:v>
      </x:c>
      <x:c r="C78" s="12" t="str">
        <x:v>ディフェンス型</x:v>
      </x:c>
      <x:c r="D78" s="12" t="str">
        <x:v>Vanguard</x:v>
      </x:c>
      <x:c r="E78" s="12" t="str">
        <x:v>Juggernaut</x:v>
      </x:c>
      <x:c r="F78" s="12" t="str">
        <x:v>Yes</x:v>
      </x:c>
      <x:c r="G78" s="12" t="n">
        <x:v>2</x:v>
      </x:c>
      <x:c r="H78" s="12" t="str">
        <x:v>高</x:v>
      </x:c>
      <x:c r="I78" s="101" t="str">
        <x:v>2026-09-29</x:v>
      </x:c>
      <x:c r="J78" s="12" t="str">
        <x:v>型分けは診断上のプレイ人格が大きく変わる場合のみ</x:v>
      </x:c>
      <x:c r="K78" s="12" t="str">
        <x:v>https://wikiwiki.jp/poke-unite/%E3%82%AA%E3%83%BC%E3%83%AD%E3%83%83%E3%83%88</x:v>
      </x:c>
      <x:c r="L78" s="12" t="str">
        <x:v>https://www.pokemonunite.jp/pokemon/</x:v>
      </x:c>
      <x:c r="M78" s="12" t="str">
        <x:v>https://uniteapi.dev/jp/meta</x:v>
      </x:c>
    </x:row>
    <x:row r="79">
      <x:c r="A79" s="12" t="n">
        <x:v>78</x:v>
      </x:c>
      <x:c r="B79" s="12" t="str">
        <x:v>カビゴン</x:v>
      </x:c>
      <x:c r="C79" s="12" t="str">
        <x:v>ディフェンス型</x:v>
      </x:c>
      <x:c r="D79" s="12" t="str">
        <x:v>Vanguard</x:v>
      </x:c>
      <x:c r="E79" s="12" t="str">
        <x:v>Juggernaut</x:v>
      </x:c>
      <x:c r="F79" s="12" t="str">
        <x:v>Yes</x:v>
      </x:c>
      <x:c r="G79" s="12" t="n">
        <x:v>2</x:v>
      </x:c>
      <x:c r="H79" s="12" t="str">
        <x:v>高</x:v>
      </x:c>
      <x:c r="I79" s="101" t="str">
        <x:v>2026-09-29</x:v>
      </x:c>
      <x:c r="J79" s="12" t="str">
        <x:v>型分けは診断上のプレイ人格が大きく変わる場合のみ</x:v>
      </x:c>
      <x:c r="K79" s="12" t="str">
        <x:v>https://wikiwiki.jp/poke-unite/%E3%82%AB%E3%83%93%E3%82%B4%E3%83%B3</x:v>
      </x:c>
      <x:c r="L79" s="12" t="str">
        <x:v>https://www.pokemonunite.jp/pokemon/</x:v>
      </x:c>
      <x:c r="M79" s="12" t="str">
        <x:v>https://uniteapi.dev/jp/meta</x:v>
      </x:c>
    </x:row>
    <x:row r="80">
      <x:c r="A80" s="12" t="n">
        <x:v>79</x:v>
      </x:c>
      <x:c r="B80" s="12" t="str">
        <x:v>カメックス</x:v>
      </x:c>
      <x:c r="C80" s="12" t="str">
        <x:v>ディフェンス型</x:v>
      </x:c>
      <x:c r="D80" s="12" t="str">
        <x:v>Warden</x:v>
      </x:c>
      <x:c r="E80" s="12" t="str">
        <x:v>Diver</x:v>
      </x:c>
      <x:c r="F80" s="12" t="str">
        <x:v>Yes</x:v>
      </x:c>
      <x:c r="G80" s="12" t="n">
        <x:v>2</x:v>
      </x:c>
      <x:c r="H80" s="12" t="str">
        <x:v>高</x:v>
      </x:c>
      <x:c r="I80" s="101" t="str">
        <x:v>2026-09-29</x:v>
      </x:c>
      <x:c r="J80" s="12" t="str">
        <x:v>型分けは診断上のプレイ人格が大きく変わる場合のみ</x:v>
      </x:c>
      <x:c r="K80" s="12" t="str">
        <x:v>https://wikiwiki.jp/poke-unite/%E3%82%AB%E3%83%A1%E3%83%83%E3%82%AF%E3%82%B9</x:v>
      </x:c>
      <x:c r="L80" s="12" t="str">
        <x:v>https://www.pokemonunite.jp/pokemon/</x:v>
      </x:c>
      <x:c r="M80" s="12" t="str">
        <x:v>https://uniteapi.dev/jp/meta</x:v>
      </x:c>
    </x:row>
    <x:row r="81">
      <x:c r="A81" s="12" t="n">
        <x:v>80</x:v>
      </x:c>
      <x:c r="B81" s="12" t="str">
        <x:v>シャワーズ</x:v>
      </x:c>
      <x:c r="C81" s="12" t="str">
        <x:v>ディフェンス型</x:v>
      </x:c>
      <x:c r="D81" s="12" t="str">
        <x:v>Enchanter</x:v>
      </x:c>
      <x:c r="E81" s="12" t="str">
        <x:v>Warden</x:v>
      </x:c>
      <x:c r="F81" s="12" t="str">
        <x:v>Yes</x:v>
      </x:c>
      <x:c r="G81" s="12" t="n">
        <x:v>2</x:v>
      </x:c>
      <x:c r="H81" s="12" t="str">
        <x:v>高</x:v>
      </x:c>
      <x:c r="I81" s="101" t="str">
        <x:v>2026-09-29</x:v>
      </x:c>
      <x:c r="J81" s="12" t="str">
        <x:v>型分けは診断上のプレイ人格が大きく変わる場合のみ</x:v>
      </x:c>
      <x:c r="K81" s="12" t="str">
        <x:v>https://wikiwiki.jp/poke-unite/%E3%82%B7%E3%83%A3%E3%83%AF%E3%83%BC%E3%82%BA</x:v>
      </x:c>
      <x:c r="L81" s="12" t="str">
        <x:v>https://www.pokemonunite.jp/pokemon/</x:v>
      </x:c>
      <x:c r="M81" s="12" t="str">
        <x:v>https://uniteapi.dev/jp/meta</x:v>
      </x:c>
    </x:row>
    <x:row r="82">
      <x:c r="A82" s="12" t="n">
        <x:v>81</x:v>
      </x:c>
      <x:c r="B82" s="12" t="str">
        <x:v>ヌメルゴン</x:v>
      </x:c>
      <x:c r="C82" s="12" t="str">
        <x:v>ディフェンス型</x:v>
      </x:c>
      <x:c r="D82" s="12" t="str">
        <x:v>Juggernaut</x:v>
      </x:c>
      <x:c r="E82" s="12"/>
      <x:c r="F82" s="12" t="str">
        <x:v>No</x:v>
      </x:c>
      <x:c r="G82" s="12" t="n">
        <x:v>1</x:v>
      </x:c>
      <x:c r="H82" s="12" t="str">
        <x:v>高</x:v>
      </x:c>
      <x:c r="I82" s="101" t="str">
        <x:v>2026-09-29</x:v>
      </x:c>
      <x:c r="J82" s="12" t="str">
        <x:v>型分けは診断上のプレイ人格が大きく変わる場合のみ</x:v>
      </x:c>
      <x:c r="K82" s="12" t="str">
        <x:v>https://wikiwiki.jp/poke-unite/%E3%83%8C%E3%83%A1%E3%83%AB%E3%82%B4%E3%83%B3</x:v>
      </x:c>
      <x:c r="L82" s="12" t="str">
        <x:v>https://www.pokemonunite.jp/pokemon/</x:v>
      </x:c>
      <x:c r="M82" s="12" t="str">
        <x:v>https://uniteapi.dev/jp/meta</x:v>
      </x:c>
    </x:row>
    <x:row r="83">
      <x:c r="A83" s="12" t="n">
        <x:v>82</x:v>
      </x:c>
      <x:c r="B83" s="12" t="str">
        <x:v>フリーザー</x:v>
      </x:c>
      <x:c r="C83" s="12" t="str">
        <x:v>ディフェンス型</x:v>
      </x:c>
      <x:c r="D83" s="12" t="str">
        <x:v>Warden</x:v>
      </x:c>
      <x:c r="E83" s="12"/>
      <x:c r="F83" s="12" t="str">
        <x:v>No</x:v>
      </x:c>
      <x:c r="G83" s="12" t="n">
        <x:v>1</x:v>
      </x:c>
      <x:c r="H83" s="12" t="str">
        <x:v>中</x:v>
      </x:c>
      <x:c r="I83" s="101" t="str">
        <x:v>2026-09-29</x:v>
      </x:c>
      <x:c r="J83" s="12" t="str">
        <x:v>型分けは診断上のプレイ人格が大きく変わる場合のみ</x:v>
      </x:c>
      <x:c r="K83" s="12" t="str">
        <x:v>https://wikiwiki.jp/poke-unite/%E3%83%95%E3%83%AA%E3%83%BC%E3%82%B6%E3%83%BC</x:v>
      </x:c>
      <x:c r="L83" s="12" t="str">
        <x:v>https://www.pokemonunite.jp/pokemon/</x:v>
      </x:c>
      <x:c r="M83" s="12" t="str">
        <x:v>https://uniteapi.dev/jp/meta</x:v>
      </x:c>
    </x:row>
    <x:row r="84">
      <x:c r="A84" s="12" t="n">
        <x:v>83</x:v>
      </x:c>
      <x:c r="B84" s="12" t="str">
        <x:v>ブラッキー</x:v>
      </x:c>
      <x:c r="C84" s="12" t="str">
        <x:v>ディフェンス型</x:v>
      </x:c>
      <x:c r="D84" s="12" t="str">
        <x:v>Enchanter</x:v>
      </x:c>
      <x:c r="E84" s="12" t="str">
        <x:v>Vanguard</x:v>
      </x:c>
      <x:c r="F84" s="12" t="str">
        <x:v>Yes</x:v>
      </x:c>
      <x:c r="G84" s="12" t="n">
        <x:v>2</x:v>
      </x:c>
      <x:c r="H84" s="12" t="str">
        <x:v>高</x:v>
      </x:c>
      <x:c r="I84" s="101" t="str">
        <x:v>2026-09-29</x:v>
      </x:c>
      <x:c r="J84" s="12" t="str">
        <x:v>型分けは診断上のプレイ人格が大きく変わる場合のみ</x:v>
      </x:c>
      <x:c r="K84" s="12" t="str">
        <x:v>https://wikiwiki.jp/poke-unite/%E3%83%96%E3%83%A9%E3%83%83%E3%82%AD%E3%83%BC</x:v>
      </x:c>
      <x:c r="L84" s="12" t="str">
        <x:v>https://www.pokemonunite.jp/pokemon/</x:v>
      </x:c>
      <x:c r="M84" s="12" t="str">
        <x:v>https://uniteapi.dev/jp/meta</x:v>
      </x:c>
    </x:row>
    <x:row r="85">
      <x:c r="A85" s="12" t="n">
        <x:v>84</x:v>
      </x:c>
      <x:c r="B85" s="12" t="str">
        <x:v>ホウオウ</x:v>
      </x:c>
      <x:c r="C85" s="12" t="str">
        <x:v>ディフェンス型</x:v>
      </x:c>
      <x:c r="D85" s="12" t="str">
        <x:v>Juggernaut</x:v>
      </x:c>
      <x:c r="E85" s="12" t="str">
        <x:v>Vanguard</x:v>
      </x:c>
      <x:c r="F85" s="12" t="str">
        <x:v>Yes</x:v>
      </x:c>
      <x:c r="G85" s="12" t="n">
        <x:v>2</x:v>
      </x:c>
      <x:c r="H85" s="12" t="str">
        <x:v>高</x:v>
      </x:c>
      <x:c r="I85" s="101" t="str">
        <x:v>2026-09-29</x:v>
      </x:c>
      <x:c r="J85" s="12" t="str">
        <x:v>型分けは診断上のプレイ人格が大きく変わる場合のみ</x:v>
      </x:c>
      <x:c r="K85" s="12" t="str">
        <x:v>https://wikiwiki.jp/poke-unite/%E3%83%9B%E3%82%A6%E3%82%AA%E3%82%A6</x:v>
      </x:c>
      <x:c r="L85" s="12" t="str">
        <x:v>https://www.pokemonunite.jp/pokemon/</x:v>
      </x:c>
      <x:c r="M85" s="12" t="str">
        <x:v>https://uniteapi.dev/jp/meta</x:v>
      </x:c>
    </x:row>
    <x:row r="86">
      <x:c r="A86" s="12" t="n">
        <x:v>85</x:v>
      </x:c>
      <x:c r="B86" s="12" t="str">
        <x:v>マンムー</x:v>
      </x:c>
      <x:c r="C86" s="12" t="str">
        <x:v>ディフェンス型</x:v>
      </x:c>
      <x:c r="D86" s="12" t="str">
        <x:v>Vanguard</x:v>
      </x:c>
      <x:c r="E86" s="12"/>
      <x:c r="F86" s="12" t="str">
        <x:v>No</x:v>
      </x:c>
      <x:c r="G86" s="12" t="n">
        <x:v>1</x:v>
      </x:c>
      <x:c r="H86" s="12" t="str">
        <x:v>高</x:v>
      </x:c>
      <x:c r="I86" s="101" t="str">
        <x:v>2026-09-29</x:v>
      </x:c>
      <x:c r="J86" s="12" t="str">
        <x:v>型分けは診断上のプレイ人格が大きく変わる場合のみ</x:v>
      </x:c>
      <x:c r="K86" s="12" t="str">
        <x:v>https://wikiwiki.jp/poke-unite/%E3%83%9E%E3%83%B3%E3%83%A0%E3%83%BC</x:v>
      </x:c>
      <x:c r="L86" s="12" t="str">
        <x:v>https://www.pokemonunite.jp/pokemon/</x:v>
      </x:c>
      <x:c r="M86" s="12" t="str">
        <x:v>https://uniteapi.dev/jp/meta</x:v>
      </x:c>
    </x:row>
    <x:row r="87">
      <x:c r="A87" s="12" t="n">
        <x:v>86</x:v>
      </x:c>
      <x:c r="B87" s="12" t="str">
        <x:v>ヤドラン</x:v>
      </x:c>
      <x:c r="C87" s="12" t="str">
        <x:v>ディフェンス型</x:v>
      </x:c>
      <x:c r="D87" s="12" t="str">
        <x:v>Juggernaut</x:v>
      </x:c>
      <x:c r="E87" s="12" t="str">
        <x:v>Warden</x:v>
      </x:c>
      <x:c r="F87" s="12" t="str">
        <x:v>Yes</x:v>
      </x:c>
      <x:c r="G87" s="12" t="n">
        <x:v>2</x:v>
      </x:c>
      <x:c r="H87" s="12" t="str">
        <x:v>高</x:v>
      </x:c>
      <x:c r="I87" s="101" t="str">
        <x:v>2026-09-29</x:v>
      </x:c>
      <x:c r="J87" s="12" t="str">
        <x:v>型分けは診断上のプレイ人格が大きく変わる場合のみ</x:v>
      </x:c>
      <x:c r="K87" s="12" t="str">
        <x:v>https://wikiwiki.jp/poke-unite/%E3%83%A4%E3%83%89%E3%83%A9%E3%83%B3</x:v>
      </x:c>
      <x:c r="L87" s="12" t="str">
        <x:v>https://www.pokemonunite.jp/pokemon/</x:v>
      </x:c>
      <x:c r="M87" s="12" t="str">
        <x:v>https://uniteapi.dev/jp/meta</x:v>
      </x:c>
    </x:row>
    <x:row r="88">
      <x:c r="A88" s="12" t="n">
        <x:v>87</x:v>
      </x:c>
      <x:c r="B88" s="12" t="str">
        <x:v>ヨクバリス</x:v>
      </x:c>
      <x:c r="C88" s="12" t="str">
        <x:v>ディフェンス型</x:v>
      </x:c>
      <x:c r="D88" s="12" t="str">
        <x:v>Juggernaut</x:v>
      </x:c>
      <x:c r="E88" s="12" t="str">
        <x:v>Diver</x:v>
      </x:c>
      <x:c r="F88" s="12" t="str">
        <x:v>Yes</x:v>
      </x:c>
      <x:c r="G88" s="12" t="n">
        <x:v>2</x:v>
      </x:c>
      <x:c r="H88" s="12" t="str">
        <x:v>高</x:v>
      </x:c>
      <x:c r="I88" s="101" t="str">
        <x:v>2026-09-29</x:v>
      </x:c>
      <x:c r="J88" s="12" t="str">
        <x:v>型分けは診断上のプレイ人格が大きく変わる場合のみ</x:v>
      </x:c>
      <x:c r="K88" s="12" t="str">
        <x:v>https://wikiwiki.jp/poke-unite/%E3%83%A8%E3%82%AF%E3%83%90%E3%83%AA%E3%82%B9</x:v>
      </x:c>
      <x:c r="L88" s="12" t="str">
        <x:v>https://www.pokemonunite.jp/pokemon/</x:v>
      </x:c>
      <x:c r="M88" s="12" t="str">
        <x:v>https://uniteapi.dev/jp/meta</x:v>
      </x:c>
    </x:row>
    <x:row r="89">
      <x:c r="A89" s="12" t="n">
        <x:v>88</x:v>
      </x:c>
      <x:c r="B89" s="12" t="str">
        <x:v>ラプラス</x:v>
      </x:c>
      <x:c r="C89" s="12" t="str">
        <x:v>ディフェンス型</x:v>
      </x:c>
      <x:c r="D89" s="12" t="str">
        <x:v>Juggernaut</x:v>
      </x:c>
      <x:c r="E89" s="12" t="str">
        <x:v>Warden</x:v>
      </x:c>
      <x:c r="F89" s="12" t="str">
        <x:v>No</x:v>
      </x:c>
      <x:c r="G89" s="12" t="n">
        <x:v>1</x:v>
      </x:c>
      <x:c r="H89" s="12" t="str">
        <x:v>高</x:v>
      </x:c>
      <x:c r="I89" s="101" t="str">
        <x:v>2026-09-29</x:v>
      </x:c>
      <x:c r="J89" s="12" t="str">
        <x:v>型分けは診断上のプレイ人格が大きく変わる場合のみ</x:v>
      </x:c>
      <x:c r="K89" s="12" t="str">
        <x:v>https://wikiwiki.jp/poke-unite/%E3%83%A9%E3%83%97%E3%83%A9%E3%82%B9</x:v>
      </x:c>
      <x:c r="L89" s="12" t="str">
        <x:v>https://www.pokemonunite.jp/pokemon/</x:v>
      </x:c>
      <x:c r="M89" s="12" t="str">
        <x:v>https://uniteapi.dev/jp/meta</x:v>
      </x:c>
    </x:row>
    <x:row r="90">
      <x:c r="A90" s="12" t="n">
        <x:v>89</x:v>
      </x:c>
      <x:c r="B90" s="12" t="str">
        <x:v>キュワワー</x:v>
      </x:c>
      <x:c r="C90" s="12" t="str">
        <x:v>サポート型</x:v>
      </x:c>
      <x:c r="D90" s="12" t="str">
        <x:v>Enchanter</x:v>
      </x:c>
      <x:c r="E90" s="12"/>
      <x:c r="F90" s="12" t="str">
        <x:v>No</x:v>
      </x:c>
      <x:c r="G90" s="12" t="n">
        <x:v>1</x:v>
      </x:c>
      <x:c r="H90" s="12" t="str">
        <x:v>高</x:v>
      </x:c>
      <x:c r="I90" s="101" t="str">
        <x:v>2026-09-29</x:v>
      </x:c>
      <x:c r="J90" s="12" t="str">
        <x:v>型分けは診断上のプレイ人格が大きく変わる場合のみ</x:v>
      </x:c>
      <x:c r="K90" s="12" t="str">
        <x:v>https://wikiwiki.jp/poke-unite/%E3%82%AD%E3%83%A5%E3%83%AF%E3%83%AF%E3%83%BC</x:v>
      </x:c>
      <x:c r="L90" s="12" t="str">
        <x:v>https://www.pokemonunite.jp/pokemon/</x:v>
      </x:c>
      <x:c r="M90" s="12" t="str">
        <x:v>https://uniteapi.dev/jp/meta</x:v>
      </x:c>
    </x:row>
    <x:row r="91">
      <x:c r="A91" s="12" t="n">
        <x:v>90</x:v>
      </x:c>
      <x:c r="B91" s="12" t="str">
        <x:v>コダック</x:v>
      </x:c>
      <x:c r="C91" s="12" t="str">
        <x:v>サポート型</x:v>
      </x:c>
      <x:c r="D91" s="12" t="str">
        <x:v>Catcher</x:v>
      </x:c>
      <x:c r="E91" s="12" t="str">
        <x:v>Warden</x:v>
      </x:c>
      <x:c r="F91" s="12" t="str">
        <x:v>No</x:v>
      </x:c>
      <x:c r="G91" s="12" t="n">
        <x:v>1</x:v>
      </x:c>
      <x:c r="H91" s="12" t="str">
        <x:v>高</x:v>
      </x:c>
      <x:c r="I91" s="101" t="str">
        <x:v>2026-09-29</x:v>
      </x:c>
      <x:c r="J91" s="12" t="str">
        <x:v>型分けは診断上のプレイ人格が大きく変わる場合のみ</x:v>
      </x:c>
      <x:c r="K91" s="12" t="str">
        <x:v>https://wikiwiki.jp/poke-unite/%E3%82%B3%E3%83%80%E3%83%83%E3%82%AF</x:v>
      </x:c>
      <x:c r="L91" s="12" t="str">
        <x:v>https://www.pokemonunite.jp/pokemon/</x:v>
      </x:c>
      <x:c r="M91" s="12" t="str">
        <x:v>https://uniteapi.dev/jp/meta</x:v>
      </x:c>
    </x:row>
    <x:row r="92">
      <x:c r="A92" s="12" t="n">
        <x:v>91</x:v>
      </x:c>
      <x:c r="B92" s="12" t="str">
        <x:v>ハピナス</x:v>
      </x:c>
      <x:c r="C92" s="12" t="str">
        <x:v>サポート型</x:v>
      </x:c>
      <x:c r="D92" s="12" t="str">
        <x:v>Enchanter</x:v>
      </x:c>
      <x:c r="E92" s="12" t="str">
        <x:v>Specialist</x:v>
      </x:c>
      <x:c r="F92" s="12" t="str">
        <x:v>No</x:v>
      </x:c>
      <x:c r="G92" s="12" t="n">
        <x:v>1</x:v>
      </x:c>
      <x:c r="H92" s="12" t="str">
        <x:v>高</x:v>
      </x:c>
      <x:c r="I92" s="101" t="str">
        <x:v>2026-09-29</x:v>
      </x:c>
      <x:c r="J92" s="12" t="str">
        <x:v>型分けは診断上のプレイ人格が大きく変わる場合のみ</x:v>
      </x:c>
      <x:c r="K92" s="12" t="str">
        <x:v>https://wikiwiki.jp/poke-unite/%E3%83%8F%E3%83%94%E3%83%8A%E3%82%B9</x:v>
      </x:c>
      <x:c r="L92" s="12" t="str">
        <x:v>https://www.pokemonunite.jp/pokemon/</x:v>
      </x:c>
      <x:c r="M92" s="12" t="str">
        <x:v>https://uniteapi.dev/jp/meta</x:v>
      </x:c>
    </x:row>
    <x:row r="93">
      <x:c r="A93" s="12" t="n">
        <x:v>92</x:v>
      </x:c>
      <x:c r="B93" s="12" t="str">
        <x:v>バリヤード</x:v>
      </x:c>
      <x:c r="C93" s="12" t="str">
        <x:v>サポート型</x:v>
      </x:c>
      <x:c r="D93" s="12" t="str">
        <x:v>Catcher</x:v>
      </x:c>
      <x:c r="E93" s="12" t="str">
        <x:v>Enchanter</x:v>
      </x:c>
      <x:c r="F93" s="12" t="str">
        <x:v>Yes</x:v>
      </x:c>
      <x:c r="G93" s="12" t="n">
        <x:v>2</x:v>
      </x:c>
      <x:c r="H93" s="12" t="str">
        <x:v>高</x:v>
      </x:c>
      <x:c r="I93" s="101" t="str">
        <x:v>2026-09-29</x:v>
      </x:c>
      <x:c r="J93" s="12" t="str">
        <x:v>型分けは診断上のプレイ人格が大きく変わる場合のみ</x:v>
      </x:c>
      <x:c r="K93" s="12" t="str">
        <x:v>https://wikiwiki.jp/poke-unite/%E3%83%90%E3%83%AA%E3%83%A4%E3%83%BC%E3%83%89</x:v>
      </x:c>
      <x:c r="L93" s="12" t="str">
        <x:v>https://www.pokemonunite.jp/pokemon/</x:v>
      </x:c>
      <x:c r="M93" s="12" t="str">
        <x:v>https://uniteapi.dev/jp/meta</x:v>
      </x:c>
    </x:row>
    <x:row r="94">
      <x:c r="A94" s="12" t="n">
        <x:v>93</x:v>
      </x:c>
      <x:c r="B94" s="12" t="str">
        <x:v>ピクシー</x:v>
      </x:c>
      <x:c r="C94" s="12" t="str">
        <x:v>サポート型</x:v>
      </x:c>
      <x:c r="D94" s="12" t="str">
        <x:v>Enchanter</x:v>
      </x:c>
      <x:c r="E94" s="12"/>
      <x:c r="F94" s="12" t="str">
        <x:v>No</x:v>
      </x:c>
      <x:c r="G94" s="12" t="n">
        <x:v>1</x:v>
      </x:c>
      <x:c r="H94" s="12" t="str">
        <x:v>高</x:v>
      </x:c>
      <x:c r="I94" s="101" t="str">
        <x:v>2026-09-29</x:v>
      </x:c>
      <x:c r="J94" s="12" t="str">
        <x:v>型分けは診断上のプレイ人格が大きく変わる場合のみ</x:v>
      </x:c>
      <x:c r="K94" s="12" t="str">
        <x:v>https://wikiwiki.jp/poke-unite/%E3%83%94%E3%82%AF%E3%82%B7%E3%83%BC</x:v>
      </x:c>
      <x:c r="L94" s="12" t="str">
        <x:v>https://www.pokemonunite.jp/pokemon/</x:v>
      </x:c>
      <x:c r="M94" s="12" t="str">
        <x:v>https://uniteapi.dev/jp/meta</x:v>
      </x:c>
    </x:row>
    <x:row r="95">
      <x:c r="A95" s="12" t="n">
        <x:v>94</x:v>
      </x:c>
      <x:c r="B95" s="12" t="str">
        <x:v>フーパ</x:v>
      </x:c>
      <x:c r="C95" s="12" t="str">
        <x:v>サポート型</x:v>
      </x:c>
      <x:c r="D95" s="12" t="str">
        <x:v>Specialist</x:v>
      </x:c>
      <x:c r="E95" s="12" t="str">
        <x:v>Enchanter</x:v>
      </x:c>
      <x:c r="F95" s="12" t="str">
        <x:v>Yes</x:v>
      </x:c>
      <x:c r="G95" s="12" t="n">
        <x:v>2</x:v>
      </x:c>
      <x:c r="H95" s="12" t="str">
        <x:v>高</x:v>
      </x:c>
      <x:c r="I95" s="101" t="str">
        <x:v>2026-09-29</x:v>
      </x:c>
      <x:c r="J95" s="12" t="str">
        <x:v>型分けは診断上のプレイ人格が大きく変わる場合のみ</x:v>
      </x:c>
      <x:c r="K95" s="12" t="str">
        <x:v>https://wikiwiki.jp/poke-unite/%E3%83%95%E3%83%BC%E3%83%91</x:v>
      </x:c>
      <x:c r="L95" s="12" t="str">
        <x:v>https://www.pokemonunite.jp/pokemon/</x:v>
      </x:c>
      <x:c r="M95" s="12" t="str">
        <x:v>https://uniteapi.dev/jp/meta</x:v>
      </x:c>
    </x:row>
    <x:row r="96">
      <x:c r="A96" s="12" t="n">
        <x:v>95</x:v>
      </x:c>
      <x:c r="B96" s="12" t="str">
        <x:v>プクリン</x:v>
      </x:c>
      <x:c r="C96" s="12" t="str">
        <x:v>サポート型</x:v>
      </x:c>
      <x:c r="D96" s="12" t="str">
        <x:v>Warden</x:v>
      </x:c>
      <x:c r="E96" s="12"/>
      <x:c r="F96" s="12" t="str">
        <x:v>No</x:v>
      </x:c>
      <x:c r="G96" s="12" t="n">
        <x:v>1</x:v>
      </x:c>
      <x:c r="H96" s="12" t="str">
        <x:v>高</x:v>
      </x:c>
      <x:c r="I96" s="101" t="str">
        <x:v>2026-09-29</x:v>
      </x:c>
      <x:c r="J96" s="12" t="str">
        <x:v>型分けは診断上のプレイ人格が大きく変わる場合のみ</x:v>
      </x:c>
      <x:c r="K96" s="12" t="str">
        <x:v>https://wikiwiki.jp/poke-unite/%E3%83%97%E3%82%AF%E3%83%AA%E3%83%B3</x:v>
      </x:c>
      <x:c r="L96" s="12" t="str">
        <x:v>https://www.pokemonunite.jp/pokemon/</x:v>
      </x:c>
      <x:c r="M96" s="12" t="str">
        <x:v>https://uniteapi.dev/jp/meta</x:v>
      </x:c>
    </x:row>
    <x:row r="97">
      <x:c r="A97" s="12" t="n">
        <x:v>96</x:v>
      </x:c>
      <x:c r="B97" s="12" t="str">
        <x:v>マホイップ</x:v>
      </x:c>
      <x:c r="C97" s="12" t="str">
        <x:v>サポート型</x:v>
      </x:c>
      <x:c r="D97" s="12" t="str">
        <x:v>Enchanter</x:v>
      </x:c>
      <x:c r="E97" s="12"/>
      <x:c r="F97" s="12" t="str">
        <x:v>No</x:v>
      </x:c>
      <x:c r="G97" s="12" t="n">
        <x:v>1</x:v>
      </x:c>
      <x:c r="H97" s="12" t="str">
        <x:v>高</x:v>
      </x:c>
      <x:c r="I97" s="101" t="str">
        <x:v>2026-09-29</x:v>
      </x:c>
      <x:c r="J97" s="12" t="str">
        <x:v>型分けは診断上のプレイ人格が大きく変わる場合のみ</x:v>
      </x:c>
      <x:c r="K97" s="12" t="str">
        <x:v>https://wikiwiki.jp/poke-unite/%E3%83%9E%E3%83%9B%E3%82%A4%E3%83%83%E3%83%97</x:v>
      </x:c>
      <x:c r="L97" s="12" t="str">
        <x:v>https://www.pokemonunite.jp/pokemon/</x:v>
      </x:c>
      <x:c r="M97" s="12" t="str">
        <x:v>https://uniteapi.dev/jp/meta</x:v>
      </x:c>
    </x:row>
    <x:row r="98">
      <x:c r="A98" s="12" t="n">
        <x:v>97</x:v>
      </x:c>
      <x:c r="B98" s="12" t="str">
        <x:v>メガニウム</x:v>
      </x:c>
      <x:c r="C98" s="12" t="str">
        <x:v>サポート型</x:v>
      </x:c>
      <x:c r="D98" s="12" t="str">
        <x:v>Enchanter</x:v>
      </x:c>
      <x:c r="E98" s="12"/>
      <x:c r="F98" s="12" t="str">
        <x:v>No</x:v>
      </x:c>
      <x:c r="G98" s="12" t="n">
        <x:v>1</x:v>
      </x:c>
      <x:c r="H98" s="12" t="str">
        <x:v>中</x:v>
      </x:c>
      <x:c r="I98" s="101" t="str">
        <x:v>2026-09-29</x:v>
      </x:c>
      <x:c r="J98" s="12" t="str">
        <x:v>型分けは診断上のプレイ人格が大きく変わる場合のみ</x:v>
      </x:c>
      <x:c r="K98" s="12" t="str">
        <x:v>https://wikiwiki.jp/poke-unite/%E3%83%A1%E3%82%AC%E3%83%8B%E3%82%A6%E3%83%A0</x:v>
      </x:c>
      <x:c r="L98" s="12" t="str">
        <x:v>https://www.pokemonunite.jp/pokemon/</x:v>
      </x:c>
      <x:c r="M98" s="12" t="str">
        <x:v>https://uniteapi.dev/jp/meta</x:v>
      </x:c>
    </x:row>
    <x:row r="99">
      <x:c r="A99" s="12" t="n">
        <x:v>98</x:v>
      </x:c>
      <x:c r="B99" s="12" t="str">
        <x:v>ヤミラミ</x:v>
      </x:c>
      <x:c r="C99" s="12" t="str">
        <x:v>サポート型</x:v>
      </x:c>
      <x:c r="D99" s="12" t="str">
        <x:v>Specialist</x:v>
      </x:c>
      <x:c r="E99" s="12"/>
      <x:c r="F99" s="12" t="str">
        <x:v>No</x:v>
      </x:c>
      <x:c r="G99" s="12" t="n">
        <x:v>1</x:v>
      </x:c>
      <x:c r="H99" s="12" t="str">
        <x:v>高</x:v>
      </x:c>
      <x:c r="I99" s="101" t="str">
        <x:v>2026-09-29</x:v>
      </x:c>
      <x:c r="J99" s="12" t="str">
        <x:v>型分けは診断上のプレイ人格が大きく変わる場合のみ</x:v>
      </x:c>
      <x:c r="K99" s="12" t="str">
        <x:v>https://wikiwiki.jp/poke-unite/%E3%83%A4%E3%83%9F%E3%83%A9%E3%83%9F</x:v>
      </x:c>
      <x:c r="L99" s="12" t="str">
        <x:v>https://www.pokemonunite.jp/pokemon/</x:v>
      </x:c>
      <x:c r="M99" s="12" t="str">
        <x:v>https://uniteapi.dev/jp/meta</x:v>
      </x:c>
    </x:row>
    <x:row r="100">
      <x:c r="A100" s="12" t="n">
        <x:v>99</x:v>
      </x:c>
      <x:c r="B100" s="12" t="str">
        <x:v>ラティアス</x:v>
      </x:c>
      <x:c r="C100" s="12" t="str">
        <x:v>サポート型</x:v>
      </x:c>
      <x:c r="D100" s="12" t="str">
        <x:v>Enchanter</x:v>
      </x:c>
      <x:c r="E100" s="12" t="str">
        <x:v>BattleMage</x:v>
      </x:c>
      <x:c r="F100" s="12" t="str">
        <x:v>No</x:v>
      </x:c>
      <x:c r="G100" s="12" t="n">
        <x:v>1</x:v>
      </x:c>
      <x:c r="H100" s="12" t="str">
        <x:v>高</x:v>
      </x:c>
      <x:c r="I100" s="101" t="str">
        <x:v>2026-09-29</x:v>
      </x:c>
      <x:c r="J100" s="12" t="str">
        <x:v>型分けは診断上のプレイ人格が大きく変わる場合のみ</x:v>
      </x:c>
      <x:c r="K100" s="12" t="str">
        <x:v>https://wikiwiki.jp/poke-unite/%E3%83%A9%E3%83%86%E3%82%A3%E3%82%A2%E3%82%B9</x:v>
      </x:c>
      <x:c r="L100" s="12" t="str">
        <x:v>https://www.pokemonunite.jp/pokemon/</x:v>
      </x:c>
      <x:c r="M100" s="12" t="str">
        <x:v>https://uniteapi.dev/jp/meta</x:v>
      </x:c>
    </x:row>
    <x:row r="101">
      <x:c r="A101" s="12" t="n">
        <x:v>100</x:v>
      </x:c>
      <x:c r="B101" s="12" t="str">
        <x:v>ワタシラガ</x:v>
      </x:c>
      <x:c r="C101" s="12" t="str">
        <x:v>サポート型</x:v>
      </x:c>
      <x:c r="D101" s="12" t="str">
        <x:v>Enchanter</x:v>
      </x:c>
      <x:c r="E101" s="12" t="str">
        <x:v>BattleMage</x:v>
      </x:c>
      <x:c r="F101" s="12" t="str">
        <x:v>No</x:v>
      </x:c>
      <x:c r="G101" s="12" t="n">
        <x:v>1</x:v>
      </x:c>
      <x:c r="H101" s="12" t="str">
        <x:v>高</x:v>
      </x:c>
      <x:c r="I101" s="101" t="str">
        <x:v>2026-09-29</x:v>
      </x:c>
      <x:c r="J101" s="12" t="str">
        <x:v>型分けは診断上のプレイ人格が大きく変わる場合のみ</x:v>
      </x:c>
      <x:c r="K101" s="12" t="str">
        <x:v>https://wikiwiki.jp/poke-unite/%E3%83%AF%E3%82%BF%E3%82%B7%E3%83%A9%E3%82%AC</x:v>
      </x:c>
      <x:c r="L101" s="12" t="str">
        <x:v>https://www.pokemonunite.jp/pokemon/</x:v>
      </x:c>
      <x:c r="M101" s="12" t="str">
        <x:v>https://uniteapi.dev/jp/meta</x:v>
      </x:c>
    </x:row>
  </x:sheetData>
  <x:conditionalFormatting sqref="H2:H101">
    <x:cfRule type="expression" dxfId="0" priority="1">
      <x:formula>H2="低"</x:formula>
    </x:cfRule>
    <x:cfRule type="expression" dxfId="1" priority="2">
      <x:formula>H2="中"</x:formula>
    </x:cfRule>
  </x:conditionalFormatting>
  <x:conditionalFormatting sqref="F2:F101">
    <x:cfRule type="expression" dxfId="6" priority="3">
      <x:formula>F2="Yes"</x:formula>
    </x:cfRule>
  </x:conditionalFormatting>
  <x:pageMargins left="0.7" right="0.7" top="0.75" bottom="0.75" header="0.3" footer="0.3"/>
  <x:tableParts count="1">
    <x:tablePart xmlns:r="http://schemas.openxmlformats.org/officeDocument/2006/relationships" r:id="Rbbea6191a6b845d9"/>
  </x:tableParts>
</x:worksheet>
</file>

<file path=xl/worksheets/sheet3.xml><?xml version="1.0" encoding="utf-8"?>
<x:worksheet xmlns:x="http://schemas.openxmlformats.org/spreadsheetml/2006/main">
  <x:sheetFormatPr defaultRowHeight="15"/>
  <x:cols>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 min="1" max="1" width="18" hidden="0" customWidth="1"/>
    <x:col min="2" max="2" width="13" hidden="0" customWidth="1"/>
    <x:col min="3" max="3" width="22" hidden="0" customWidth="1"/>
    <x:col min="4" max="4" width="18" hidden="0" customWidth="1"/>
    <x:col min="5" max="5" width="24" hidden="0" customWidth="1"/>
    <x:col min="6" max="6" width="18" hidden="0" customWidth="1"/>
    <x:col min="7" max="7" width="18" hidden="0" customWidth="1"/>
    <x:col min="8" max="8" width="38" hidden="0" customWidth="1"/>
    <x:col min="9" max="9" width="12" hidden="0" customWidth="1"/>
    <x:col min="10" max="10" width="12" hidden="0" customWidth="1"/>
    <x:col min="33" max="33" width="42" hidden="0" customWidth="1"/>
    <x:col min="34" max="34" width="60" hidden="0" customWidth="1"/>
    <x:col min="35" max="35" width="30" hidden="0" customWidth="1"/>
    <x:col min="36" max="36" width="11" hidden="0" customWidth="1"/>
  </x:cols>
  <x:sheetData>
    <x:row r="1">
      <x:c r="A1" s="162" t="str">
        <x:v>Pokemon</x:v>
      </x:c>
      <x:c r="B1" s="162" t="str">
        <x:v>OfficialRole</x:v>
      </x:c>
      <x:c r="C1" s="162" t="str">
        <x:v>ProfileID</x:v>
      </x:c>
      <x:c r="D1" s="162" t="str">
        <x:v>ProfileName</x:v>
      </x:c>
      <x:c r="E1" s="162" t="str">
        <x:v>ProfileLabel</x:v>
      </x:c>
      <x:c r="F1" s="162" t="str">
        <x:v>PrimaryArchetype</x:v>
      </x:c>
      <x:c r="G1" s="162" t="str">
        <x:v>SecondaryArchetype</x:v>
      </x:c>
      <x:c r="H1" s="162" t="str">
        <x:v>SplitReason</x:v>
      </x:c>
      <x:c r="I1" s="162" t="str">
        <x:v>Confidence</x:v>
      </x:c>
      <x:c r="J1" s="162" t="str">
        <x:v>AsOf</x:v>
      </x:c>
      <x:c r="K1" s="162" t="str">
        <x:v>Engage</x:v>
      </x:c>
      <x:c r="L1" s="162" t="str">
        <x:v>Dive</x:v>
      </x:c>
      <x:c r="M1" s="162" t="str">
        <x:v>Peel</x:v>
      </x:c>
      <x:c r="N1" s="162" t="str">
        <x:v>Frontline</x:v>
      </x:c>
      <x:c r="O1" s="162" t="str">
        <x:v>Poke</x:v>
      </x:c>
      <x:c r="P1" s="162" t="str">
        <x:v>FightTempo</x:v>
      </x:c>
      <x:c r="Q1" s="162" t="str">
        <x:v>Control</x:v>
      </x:c>
      <x:c r="R1" s="162" t="str">
        <x:v>Support</x:v>
      </x:c>
      <x:c r="S1" s="162" t="str">
        <x:v>Mobility</x:v>
      </x:c>
      <x:c r="T1" s="162" t="str">
        <x:v>SelfSufficiency</x:v>
      </x:c>
      <x:c r="U1" s="162" t="str">
        <x:v>FarmScaling</x:v>
      </x:c>
      <x:c r="V1" s="162" t="str">
        <x:v>ObjectiveSecure</x:v>
      </x:c>
      <x:c r="W1" s="162" t="str">
        <x:v>ScoringSide</x:v>
      </x:c>
      <x:c r="X1" s="162" t="str">
        <x:v>Execution</x:v>
      </x:c>
      <x:c r="Y1" s="162" t="str">
        <x:v>Decision</x:v>
      </x:c>
      <x:c r="Z1" s="162" t="str">
        <x:v>P_Initiative</x:v>
      </x:c>
      <x:c r="AA1" s="162" t="str">
        <x:v>P_RiskTolerance</x:v>
      </x:c>
      <x:c r="AB1" s="162" t="str">
        <x:v>P_Cooperation</x:v>
      </x:c>
      <x:c r="AC1" s="162" t="str">
        <x:v>P_SelfReliance</x:v>
      </x:c>
      <x:c r="AD1" s="162" t="str">
        <x:v>P_Planning</x:v>
      </x:c>
      <x:c r="AE1" s="162" t="str">
        <x:v>P_Adaptability</x:v>
      </x:c>
      <x:c r="AF1" s="162" t="str">
        <x:v>P_Mastery</x:v>
      </x:c>
      <x:c r="AG1" s="162" t="str">
        <x:v>SourceURL</x:v>
      </x:c>
      <x:c r="AH1" s="162" t="str">
        <x:v>ResultComment</x:v>
      </x:c>
      <x:c r="AI1" s="162" t="str">
        <x:v>StyleKeywords</x:v>
      </x:c>
      <x:c r="AJ1" s="162" t="str">
        <x:v>RankBias</x:v>
      </x:c>
    </x:row>
    <x:row r="2">
      <x:c r="A2" s="12" t="str">
        <x:v>アローラキュウコン</x:v>
      </x:c>
      <x:c r="B2" s="12" t="str">
        <x:v>アタック型</x:v>
      </x:c>
      <x:c r="C2" s="12" t="str">
        <x:v>アローラキュウコン-1</x:v>
      </x:c>
      <x:c r="D2" s="12" t="str">
        <x:v>ふぶき</x:v>
      </x:c>
      <x:c r="E2" s="12" t="str">
        <x:v>BurstMage</x:v>
      </x:c>
      <x:c r="F2" s="12" t="str">
        <x:v>BurstMage</x:v>
      </x:c>
      <x:c r="G2" s="12"/>
      <x:c r="H2" s="12" t="str">
        <x:v>立ち位置・戦闘距離・役割が大きく変わるため別プロファイル</x:v>
      </x:c>
      <x:c r="I2" s="12" t="str">
        <x:v>高</x:v>
      </x:c>
      <x:c r="J2" s="12" t="str">
        <x:v>2026-09-30</x:v>
      </x:c>
      <x:c r="K2" s="12" t="n">
        <x:v>30</x:v>
      </x:c>
      <x:c r="L2" s="12" t="n">
        <x:v>5</x:v>
      </x:c>
      <x:c r="M2" s="12" t="n">
        <x:v>35</x:v>
      </x:c>
      <x:c r="N2" s="12" t="n">
        <x:v>0</x:v>
      </x:c>
      <x:c r="O2" s="12" t="n">
        <x:v>100</x:v>
      </x:c>
      <x:c r="P2" s="12" t="n">
        <x:v>10</x:v>
      </x:c>
      <x:c r="Q2" s="12" t="n">
        <x:v>85</x:v>
      </x:c>
      <x:c r="R2" s="12" t="n">
        <x:v>0</x:v>
      </x:c>
      <x:c r="S2" s="12" t="n">
        <x:v>30</x:v>
      </x:c>
      <x:c r="T2" s="12" t="n">
        <x:v>50</x:v>
      </x:c>
      <x:c r="U2" s="12" t="n">
        <x:v>55</x:v>
      </x:c>
      <x:c r="V2" s="12" t="n">
        <x:v>60</x:v>
      </x:c>
      <x:c r="W2" s="12" t="n">
        <x:v>25</x:v>
      </x:c>
      <x:c r="X2" s="12" t="n">
        <x:v>60</x:v>
      </x:c>
      <x:c r="Y2" s="12" t="n">
        <x:v>70</x:v>
      </x:c>
      <x:c r="Z2" s="12" t="n">
        <x:f>ROUND(MAX(0,MIN(100,0.40*K2+0.20*L2+0.10*S2+0.15*V2+0.15*Y2)),0)</x:f>
        <x:v>36</x:v>
      </x:c>
      <x:c r="AA2" s="12" t="n">
        <x:f>ROUND(MAX(0,MIN(100,0.30*L2+0.20*K2+0.15*V2+0.15*W2+0.10*S2+0.10*(100-M2))),0)</x:f>
        <x:v>30</x:v>
      </x:c>
      <x:c r="AB2" s="12" t="n">
        <x:f>ROUND(MAX(0,MIN(100,0.30*M2+0.25*R2+0.20*Q2+0.15*K2+0.10*(100-T2))),0)</x:f>
        <x:v>37</x:v>
      </x:c>
      <x:c r="AC2" s="12" t="n">
        <x:f>ROUND(MAX(0,MIN(100,0.55*T2+0.15*S2+0.10*N2+0.10*V2+0.10*W2)),0)</x:f>
        <x:v>41</x:v>
      </x:c>
      <x:c r="AD2" s="12" t="n">
        <x:f>ROUND(MAX(0,MIN(100,0.25*O2+0.25*Q2+0.20*Y2+0.15*U2+0.15*(100-L2))),0)</x:f>
        <x:v>83</x:v>
      </x:c>
      <x:c r="AE2" s="12" t="n">
        <x:f>ROUND(MAX(0,MIN(100,0.30*Y2+0.25*S2+0.15*Q2+0.15*T2+0.15*X2)),0)</x:f>
        <x:v>58</x:v>
      </x:c>
      <x:c r="AF2" s="12" t="n">
        <x:f>ROUND(MAX(0,MIN(100,0.65*X2+0.35*Y2)),0)</x:f>
        <x:v>64</x:v>
      </x:c>
      <x:c r="AG2" s="12" t="str">
        <x:v>https://wikiwiki.jp/poke-unite/%E3%82%A2%E3%83%AD%E3%83%BC%E3%83%A9%E3%82%AD%E3%83%A5%E3%82%A6%E3%82%B3%E3%83%B3</x:v>
      </x:c>
      <x:c r="AH2" s="12" t="str">
        <x:v>「ふぶき」型は、間合いとタイミングを作り、短い窓に火力をまとめるタイプ。短い好機を一気に取り切ることと、距離と間合いを丁寧に管理することを楽しめる人ほど持ち味を出しやすい。</x:v>
      </x:c>
      <x:c r="AI2" s="12" t="str">
        <x:v>間合い管理・自己遂行・後方位置</x:v>
      </x:c>
      <x:c r="AJ2" s="12" t="n">
        <x:v>0</x:v>
      </x:c>
    </x:row>
    <x:row r="3">
      <x:c r="A3" s="12" t="str">
        <x:v>アローラキュウコン</x:v>
      </x:c>
      <x:c r="B3" s="12" t="str">
        <x:v>アタック型</x:v>
      </x:c>
      <x:c r="C3" s="12" t="str">
        <x:v>アローラキュウコン-2</x:v>
      </x:c>
      <x:c r="D3" s="12" t="str">
        <x:v>オーロラベール</x:v>
      </x:c>
      <x:c r="E3" s="12" t="str">
        <x:v>Marksman / Warden</x:v>
      </x:c>
      <x:c r="F3" s="12" t="str">
        <x:v>Marksman</x:v>
      </x:c>
      <x:c r="G3" s="12" t="str">
        <x:v>Warden</x:v>
      </x:c>
      <x:c r="H3" s="12" t="str">
        <x:v>立ち位置・戦闘距離・役割が大きく変わるため別プロファイル</x:v>
      </x:c>
      <x:c r="I3" s="12" t="str">
        <x:v>高</x:v>
      </x:c>
      <x:c r="J3" s="12" t="str">
        <x:v>2026-09-30</x:v>
      </x:c>
      <x:c r="K3" s="12" t="n">
        <x:v>30</x:v>
      </x:c>
      <x:c r="L3" s="12" t="n">
        <x:v>5</x:v>
      </x:c>
      <x:c r="M3" s="12" t="n">
        <x:v>55</x:v>
      </x:c>
      <x:c r="N3" s="12" t="n">
        <x:v>40</x:v>
      </x:c>
      <x:c r="O3" s="12" t="n">
        <x:v>45</x:v>
      </x:c>
      <x:c r="P3" s="12" t="n">
        <x:v>80</x:v>
      </x:c>
      <x:c r="Q3" s="12" t="n">
        <x:v>45</x:v>
      </x:c>
      <x:c r="R3" s="12" t="n">
        <x:v>30</x:v>
      </x:c>
      <x:c r="S3" s="12" t="n">
        <x:v>30</x:v>
      </x:c>
      <x:c r="T3" s="12" t="n">
        <x:v>45</x:v>
      </x:c>
      <x:c r="U3" s="12" t="n">
        <x:v>55</x:v>
      </x:c>
      <x:c r="V3" s="12" t="n">
        <x:v>65</x:v>
      </x:c>
      <x:c r="W3" s="12" t="n">
        <x:v>30</x:v>
      </x:c>
      <x:c r="X3" s="12" t="n">
        <x:v>50</x:v>
      </x:c>
      <x:c r="Y3" s="12" t="n">
        <x:v>75</x:v>
      </x:c>
      <x:c r="Z3" s="12" t="n">
        <x:f>ROUND(MAX(0,MIN(100,0.40*K3+0.20*L3+0.10*S3+0.15*V3+0.15*Y3)),0)</x:f>
        <x:v>37</x:v>
      </x:c>
      <x:c r="AA3" s="12" t="n">
        <x:f>ROUND(MAX(0,MIN(100,0.30*L3+0.20*K3+0.15*V3+0.15*W3+0.10*S3+0.10*(100-M3))),0)</x:f>
        <x:v>29</x:v>
      </x:c>
      <x:c r="AB3" s="12" t="n">
        <x:f>ROUND(MAX(0,MIN(100,0.30*M3+0.25*R3+0.20*Q3+0.15*K3+0.10*(100-T3))),0)</x:f>
        <x:v>43</x:v>
      </x:c>
      <x:c r="AC3" s="12" t="n">
        <x:f>ROUND(MAX(0,MIN(100,0.55*T3+0.15*S3+0.10*N3+0.10*V3+0.10*W3)),0)</x:f>
        <x:v>43</x:v>
      </x:c>
      <x:c r="AD3" s="12" t="n">
        <x:f>ROUND(MAX(0,MIN(100,0.25*O3+0.25*Q3+0.20*Y3+0.15*U3+0.15*(100-L3))),0)</x:f>
        <x:v>60</x:v>
      </x:c>
      <x:c r="AE3" s="12" t="n">
        <x:f>ROUND(MAX(0,MIN(100,0.30*Y3+0.25*S3+0.15*Q3+0.15*T3+0.15*X3)),0)</x:f>
        <x:v>51</x:v>
      </x:c>
      <x:c r="AF3" s="12" t="n">
        <x:f>ROUND(MAX(0,MIN(100,0.65*X3+0.35*Y3)),0)</x:f>
        <x:v>59</x:v>
      </x:c>
      <x:c r="AG3" s="12" t="str">
        <x:v>https://wikiwiki.jp/poke-unite/%E3%82%A2%E3%83%AD%E3%83%BC%E3%83%A9%E3%82%AD%E3%83%A5%E3%82%A6%E3%82%B3%E3%83%B3</x:v>
      </x:c>
      <x:c r="AH3" s="12" t="str">
        <x:v>「オーロラベール」型は、安全な位置を保ちながら、継続火力を積み上げるタイプ。長い戦いで圧を積み上げることと、決め所を自分で締めることを楽しめる人ほど持ち味を出しやすい。</x:v>
      </x:c>
      <x:c r="AI3" s="12" t="str">
        <x:v>安全ライン・継続戦・状況判断</x:v>
      </x:c>
      <x:c r="AJ3" s="12" t="n">
        <x:v>0</x:v>
      </x:c>
    </x:row>
    <x:row r="4">
      <x:c r="A4" s="12" t="str">
        <x:v>アローラライチュウ</x:v>
      </x:c>
      <x:c r="B4" s="12" t="str">
        <x:v>アタック型</x:v>
      </x:c>
      <x:c r="C4" s="12" t="str">
        <x:v>アローラライチュウ-1</x:v>
      </x:c>
      <x:c r="D4" s="12" t="str">
        <x:v>共通</x:v>
      </x:c>
      <x:c r="E4" s="12" t="str">
        <x:v>BattleMage</x:v>
      </x:c>
      <x:c r="F4" s="12" t="str">
        <x:v>BattleMage</x:v>
      </x:c>
      <x:c r="G4" s="12"/>
      <x:c r="H4" s="12" t="str">
        <x:v>技で細部は変わるが、診断上のプレイ人格は大きく変わらないため統合</x:v>
      </x:c>
      <x:c r="I4" s="12" t="str">
        <x:v>高</x:v>
      </x:c>
      <x:c r="J4" s="12" t="str">
        <x:v>2026-09-30</x:v>
      </x:c>
      <x:c r="K4" s="12" t="n">
        <x:v>50</x:v>
      </x:c>
      <x:c r="L4" s="12" t="n">
        <x:v>35</x:v>
      </x:c>
      <x:c r="M4" s="12" t="n">
        <x:v>30</x:v>
      </x:c>
      <x:c r="N4" s="12" t="n">
        <x:v>30</x:v>
      </x:c>
      <x:c r="O4" s="12" t="n">
        <x:v>65</x:v>
      </x:c>
      <x:c r="P4" s="12" t="n">
        <x:v>70</x:v>
      </x:c>
      <x:c r="Q4" s="12" t="n">
        <x:v>50</x:v>
      </x:c>
      <x:c r="R4" s="12" t="n">
        <x:v>10</x:v>
      </x:c>
      <x:c r="S4" s="12" t="n">
        <x:v>60</x:v>
      </x:c>
      <x:c r="T4" s="12" t="n">
        <x:v>60</x:v>
      </x:c>
      <x:c r="U4" s="12" t="n">
        <x:v>55</x:v>
      </x:c>
      <x:c r="V4" s="12" t="n">
        <x:v>55</x:v>
      </x:c>
      <x:c r="W4" s="12" t="n">
        <x:v>45</x:v>
      </x:c>
      <x:c r="X4" s="12" t="n">
        <x:v>60</x:v>
      </x:c>
      <x:c r="Y4" s="12" t="n">
        <x:v>65</x:v>
      </x:c>
      <x:c r="Z4" s="12" t="n">
        <x:f>ROUND(MAX(0,MIN(100,0.40*K4+0.20*L4+0.10*S4+0.15*V4+0.15*Y4)),0)</x:f>
        <x:v>51</x:v>
      </x:c>
      <x:c r="AA4" s="12" t="n">
        <x:f>ROUND(MAX(0,MIN(100,0.30*L4+0.20*K4+0.15*V4+0.15*W4+0.10*S4+0.10*(100-M4))),0)</x:f>
        <x:v>49</x:v>
      </x:c>
      <x:c r="AB4" s="12" t="n">
        <x:f>ROUND(MAX(0,MIN(100,0.30*M4+0.25*R4+0.20*Q4+0.15*K4+0.10*(100-T4))),0)</x:f>
        <x:v>33</x:v>
      </x:c>
      <x:c r="AC4" s="12" t="n">
        <x:f>ROUND(MAX(0,MIN(100,0.55*T4+0.15*S4+0.10*N4+0.10*V4+0.10*W4)),0)</x:f>
        <x:v>55</x:v>
      </x:c>
      <x:c r="AD4" s="12" t="n">
        <x:f>ROUND(MAX(0,MIN(100,0.25*O4+0.25*Q4+0.20*Y4+0.15*U4+0.15*(100-L4))),0)</x:f>
        <x:v>60</x:v>
      </x:c>
      <x:c r="AE4" s="12" t="n">
        <x:f>ROUND(MAX(0,MIN(100,0.30*Y4+0.25*S4+0.15*Q4+0.15*T4+0.15*X4)),0)</x:f>
        <x:v>60</x:v>
      </x:c>
      <x:c r="AF4" s="12" t="n">
        <x:f>ROUND(MAX(0,MIN(100,0.65*X4+0.35*Y4)),0)</x:f>
        <x:v>62</x:v>
      </x:c>
      <x:c r="AG4" s="12" t="str">
        <x:v>https://wikiwiki.jp/poke-unite/%E3%82%A2%E3%83%AD%E3%83%BC%E3%83%A9%E3%83%A9%E3%82%A4%E3%83%81%E3%83%A5%E3%82%A6</x:v>
      </x:c>
      <x:c r="AH4" s="12" t="str">
        <x:v>位置を変えながら中距離で戦い続け、手数で押すタイプ。長い戦いで圧を積み上げることと、細かな操作を磨くことを楽しめる人ほど持ち味を出しやすい。</x:v>
      </x:c>
      <x:c r="AI4" s="12" t="str">
        <x:v>自己遂行・自分の仕事・継続戦</x:v>
      </x:c>
      <x:c r="AJ4" s="12" t="n">
        <x:v>0</x:v>
      </x:c>
    </x:row>
    <x:row r="5">
      <x:c r="A5" s="12" t="str">
        <x:v>イベルタル</x:v>
      </x:c>
      <x:c r="B5" s="12" t="str">
        <x:v>アタック型</x:v>
      </x:c>
      <x:c r="C5" s="12" t="str">
        <x:v>イベルタル-1</x:v>
      </x:c>
      <x:c r="D5" s="12" t="str">
        <x:v>共通</x:v>
      </x:c>
      <x:c r="E5" s="12" t="str">
        <x:v>BurstMage</x:v>
      </x:c>
      <x:c r="F5" s="12" t="str">
        <x:v>BurstMage</x:v>
      </x:c>
      <x:c r="G5" s="12"/>
      <x:c r="H5" s="12" t="str">
        <x:v>技で細部は変わるが、診断上のプレイ人格は大きく変わらないため統合</x:v>
      </x:c>
      <x:c r="I5" s="12" t="str">
        <x:v>高</x:v>
      </x:c>
      <x:c r="J5" s="12" t="str">
        <x:v>2026-09-30</x:v>
      </x:c>
      <x:c r="K5" s="12" t="n">
        <x:v>30</x:v>
      </x:c>
      <x:c r="L5" s="12" t="n">
        <x:v>5</x:v>
      </x:c>
      <x:c r="M5" s="12" t="n">
        <x:v>35</x:v>
      </x:c>
      <x:c r="N5" s="12" t="n">
        <x:v>15</x:v>
      </x:c>
      <x:c r="O5" s="12" t="n">
        <x:v>90</x:v>
      </x:c>
      <x:c r="P5" s="12" t="n">
        <x:v>10</x:v>
      </x:c>
      <x:c r="Q5" s="12" t="n">
        <x:v>65</x:v>
      </x:c>
      <x:c r="R5" s="12" t="n">
        <x:v>10</x:v>
      </x:c>
      <x:c r="S5" s="12" t="n">
        <x:v>20</x:v>
      </x:c>
      <x:c r="T5" s="12" t="n">
        <x:v>50</x:v>
      </x:c>
      <x:c r="U5" s="12" t="n">
        <x:v>55</x:v>
      </x:c>
      <x:c r="V5" s="12" t="n">
        <x:v>80</x:v>
      </x:c>
      <x:c r="W5" s="12" t="n">
        <x:v>25</x:v>
      </x:c>
      <x:c r="X5" s="12" t="n">
        <x:v>60</x:v>
      </x:c>
      <x:c r="Y5" s="12" t="n">
        <x:v>70</x:v>
      </x:c>
      <x:c r="Z5" s="12" t="n">
        <x:f>ROUND(MAX(0,MIN(100,0.40*K5+0.20*L5+0.10*S5+0.15*V5+0.15*Y5)),0)</x:f>
        <x:v>38</x:v>
      </x:c>
      <x:c r="AA5" s="12" t="n">
        <x:f>ROUND(MAX(0,MIN(100,0.30*L5+0.20*K5+0.15*V5+0.15*W5+0.10*S5+0.10*(100-M5))),0)</x:f>
        <x:v>32</x:v>
      </x:c>
      <x:c r="AB5" s="12" t="n">
        <x:f>ROUND(MAX(0,MIN(100,0.30*M5+0.25*R5+0.20*Q5+0.15*K5+0.10*(100-T5))),0)</x:f>
        <x:v>36</x:v>
      </x:c>
      <x:c r="AC5" s="12" t="n">
        <x:f>ROUND(MAX(0,MIN(100,0.55*T5+0.15*S5+0.10*N5+0.10*V5+0.10*W5)),0)</x:f>
        <x:v>43</x:v>
      </x:c>
      <x:c r="AD5" s="12" t="n">
        <x:f>ROUND(MAX(0,MIN(100,0.25*O5+0.25*Q5+0.20*Y5+0.15*U5+0.15*(100-L5))),0)</x:f>
        <x:v>75</x:v>
      </x:c>
      <x:c r="AE5" s="12" t="n">
        <x:f>ROUND(MAX(0,MIN(100,0.30*Y5+0.25*S5+0.15*Q5+0.15*T5+0.15*X5)),0)</x:f>
        <x:v>52</x:v>
      </x:c>
      <x:c r="AF5" s="12" t="n">
        <x:f>ROUND(MAX(0,MIN(100,0.65*X5+0.35*Y5)),0)</x:f>
        <x:v>64</x:v>
      </x:c>
      <x:c r="AG5" s="12" t="str">
        <x:v>https://wikiwiki.jp/poke-unite/%E3%82%A4%E3%83%99%E3%83%AB%E3%82%BF%E3%83%AB</x:v>
      </x:c>
      <x:c r="AH5" s="12" t="str">
        <x:v>間合いとタイミングを作り、短い窓に火力をまとめるタイプ。短い好機を一気に取り切ることと、距離と間合いを丁寧に管理することを楽しめる人ほど持ち味を出しやすい。</x:v>
      </x:c>
      <x:c r="AI5" s="12" t="str">
        <x:v>安全ライン・間合い管理・自己遂行</x:v>
      </x:c>
      <x:c r="AJ5" s="12" t="n">
        <x:v>0</x:v>
      </x:c>
    </x:row>
    <x:row r="6">
      <x:c r="A6" s="12" t="str">
        <x:v>インテレオン</x:v>
      </x:c>
      <x:c r="B6" s="12" t="str">
        <x:v>アタック型</x:v>
      </x:c>
      <x:c r="C6" s="12" t="str">
        <x:v>インテレオン-1</x:v>
      </x:c>
      <x:c r="D6" s="12" t="str">
        <x:v>ねらいうち</x:v>
      </x:c>
      <x:c r="E6" s="12" t="str">
        <x:v>Artillery</x:v>
      </x:c>
      <x:c r="F6" s="12" t="str">
        <x:v>Artillery</x:v>
      </x:c>
      <x:c r="G6" s="12"/>
      <x:c r="H6" s="12" t="str">
        <x:v>立ち位置・戦闘距離・役割が大きく変わるため別プロファイル</x:v>
      </x:c>
      <x:c r="I6" s="12" t="str">
        <x:v>高</x:v>
      </x:c>
      <x:c r="J6" s="12" t="str">
        <x:v>2026-09-30</x:v>
      </x:c>
      <x:c r="K6" s="12" t="n">
        <x:v>15</x:v>
      </x:c>
      <x:c r="L6" s="12" t="n">
        <x:v>5</x:v>
      </x:c>
      <x:c r="M6" s="12" t="n">
        <x:v>15</x:v>
      </x:c>
      <x:c r="N6" s="12" t="n">
        <x:v>5</x:v>
      </x:c>
      <x:c r="O6" s="12" t="n">
        <x:v>100</x:v>
      </x:c>
      <x:c r="P6" s="12" t="n">
        <x:v>10</x:v>
      </x:c>
      <x:c r="Q6" s="12" t="n">
        <x:v>35</x:v>
      </x:c>
      <x:c r="R6" s="12" t="n">
        <x:v>5</x:v>
      </x:c>
      <x:c r="S6" s="12" t="n">
        <x:v>25</x:v>
      </x:c>
      <x:c r="T6" s="12" t="n">
        <x:v>45</x:v>
      </x:c>
      <x:c r="U6" s="12" t="n">
        <x:v>65</x:v>
      </x:c>
      <x:c r="V6" s="12" t="n">
        <x:v>80</x:v>
      </x:c>
      <x:c r="W6" s="12" t="n">
        <x:v>20</x:v>
      </x:c>
      <x:c r="X6" s="12" t="n">
        <x:v>100</x:v>
      </x:c>
      <x:c r="Y6" s="12" t="n">
        <x:v>80</x:v>
      </x:c>
      <x:c r="Z6" s="12" t="n">
        <x:f>ROUND(MAX(0,MIN(100,0.40*K6+0.20*L6+0.10*S6+0.15*V6+0.15*Y6)),0)</x:f>
        <x:v>34</x:v>
      </x:c>
      <x:c r="AA6" s="12" t="n">
        <x:f>ROUND(MAX(0,MIN(100,0.30*L6+0.20*K6+0.15*V6+0.15*W6+0.10*S6+0.10*(100-M6))),0)</x:f>
        <x:v>31</x:v>
      </x:c>
      <x:c r="AB6" s="12" t="n">
        <x:f>ROUND(MAX(0,MIN(100,0.30*M6+0.25*R6+0.20*Q6+0.15*K6+0.10*(100-T6))),0)</x:f>
        <x:v>21</x:v>
      </x:c>
      <x:c r="AC6" s="12" t="n">
        <x:f>ROUND(MAX(0,MIN(100,0.55*T6+0.15*S6+0.10*N6+0.10*V6+0.10*W6)),0)</x:f>
        <x:v>39</x:v>
      </x:c>
      <x:c r="AD6" s="12" t="n">
        <x:f>ROUND(MAX(0,MIN(100,0.25*O6+0.25*Q6+0.20*Y6+0.15*U6+0.15*(100-L6))),0)</x:f>
        <x:v>74</x:v>
      </x:c>
      <x:c r="AE6" s="12" t="n">
        <x:f>ROUND(MAX(0,MIN(100,0.30*Y6+0.25*S6+0.15*Q6+0.15*T6+0.15*X6)),0)</x:f>
        <x:v>57</x:v>
      </x:c>
      <x:c r="AF6" s="12" t="n">
        <x:f>ROUND(MAX(0,MIN(100,0.65*X6+0.35*Y6)),0)</x:f>
        <x:v>93</x:v>
      </x:c>
      <x:c r="AG6" s="12" t="str">
        <x:v>https://wikiwiki.jp/poke-unite/%E3%82%A4%E3%83%B3%E3%83%86%E3%83%AC%E3%82%AA%E3%83%B3</x:v>
      </x:c>
      <x:c r="AH6" s="12" t="str">
        <x:v>「ねらいうち」型は、遠い位置から予測と照準で大きな一発を通すタイプ。距離と間合いを丁寧に管理することと、短い好機を一気に取り切ることを楽しめる人ほど持ち味を出しやすい。</x:v>
      </x:c>
      <x:c r="AI6" s="12" t="str">
        <x:v>間合い管理・操作精度・自己遂行</x:v>
      </x:c>
      <x:c r="AJ6" s="12" t="n">
        <x:v>0</x:v>
      </x:c>
    </x:row>
    <x:row r="7">
      <x:c r="A7" s="12" t="str">
        <x:v>インテレオン</x:v>
      </x:c>
      <x:c r="B7" s="12" t="str">
        <x:v>アタック型</x:v>
      </x:c>
      <x:c r="C7" s="12" t="str">
        <x:v>インテレオン-2</x:v>
      </x:c>
      <x:c r="D7" s="12" t="str">
        <x:v>アクアブレイク</x:v>
      </x:c>
      <x:c r="E7" s="12" t="str">
        <x:v>BattleMage / Marksman</x:v>
      </x:c>
      <x:c r="F7" s="12" t="str">
        <x:v>BattleMage</x:v>
      </x:c>
      <x:c r="G7" s="12" t="str">
        <x:v>Marksman</x:v>
      </x:c>
      <x:c r="H7" s="12" t="str">
        <x:v>立ち位置・戦闘距離・役割が大きく変わるため別プロファイル</x:v>
      </x:c>
      <x:c r="I7" s="12" t="str">
        <x:v>高</x:v>
      </x:c>
      <x:c r="J7" s="12" t="str">
        <x:v>2026-09-30</x:v>
      </x:c>
      <x:c r="K7" s="12" t="n">
        <x:v>25</x:v>
      </x:c>
      <x:c r="L7" s="12" t="n">
        <x:v>25</x:v>
      </x:c>
      <x:c r="M7" s="12" t="n">
        <x:v>20</x:v>
      </x:c>
      <x:c r="N7" s="12" t="n">
        <x:v>20</x:v>
      </x:c>
      <x:c r="O7" s="12" t="n">
        <x:v>40</x:v>
      </x:c>
      <x:c r="P7" s="12" t="n">
        <x:v>80</x:v>
      </x:c>
      <x:c r="Q7" s="12" t="n">
        <x:v>25</x:v>
      </x:c>
      <x:c r="R7" s="12" t="n">
        <x:v>0</x:v>
      </x:c>
      <x:c r="S7" s="12" t="n">
        <x:v>60</x:v>
      </x:c>
      <x:c r="T7" s="12" t="n">
        <x:v>60</x:v>
      </x:c>
      <x:c r="U7" s="12" t="n">
        <x:v>70</x:v>
      </x:c>
      <x:c r="V7" s="12" t="n">
        <x:v>75</x:v>
      </x:c>
      <x:c r="W7" s="12" t="n">
        <x:v>45</x:v>
      </x:c>
      <x:c r="X7" s="12" t="n">
        <x:v>75</x:v>
      </x:c>
      <x:c r="Y7" s="12" t="n">
        <x:v>65</x:v>
      </x:c>
      <x:c r="Z7" s="12" t="n">
        <x:f>ROUND(MAX(0,MIN(100,0.40*K7+0.20*L7+0.10*S7+0.15*V7+0.15*Y7)),0)</x:f>
        <x:v>42</x:v>
      </x:c>
      <x:c r="AA7" s="12" t="n">
        <x:f>ROUND(MAX(0,MIN(100,0.30*L7+0.20*K7+0.15*V7+0.15*W7+0.10*S7+0.10*(100-M7))),0)</x:f>
        <x:v>45</x:v>
      </x:c>
      <x:c r="AB7" s="12" t="n">
        <x:f>ROUND(MAX(0,MIN(100,0.30*M7+0.25*R7+0.20*Q7+0.15*K7+0.10*(100-T7))),0)</x:f>
        <x:v>19</x:v>
      </x:c>
      <x:c r="AC7" s="12" t="n">
        <x:f>ROUND(MAX(0,MIN(100,0.55*T7+0.15*S7+0.10*N7+0.10*V7+0.10*W7)),0)</x:f>
        <x:v>56</x:v>
      </x:c>
      <x:c r="AD7" s="12" t="n">
        <x:f>ROUND(MAX(0,MIN(100,0.25*O7+0.25*Q7+0.20*Y7+0.15*U7+0.15*(100-L7))),0)</x:f>
        <x:v>51</x:v>
      </x:c>
      <x:c r="AE7" s="12" t="n">
        <x:f>ROUND(MAX(0,MIN(100,0.30*Y7+0.25*S7+0.15*Q7+0.15*T7+0.15*X7)),0)</x:f>
        <x:v>59</x:v>
      </x:c>
      <x:c r="AF7" s="12" t="n">
        <x:f>ROUND(MAX(0,MIN(100,0.65*X7+0.35*Y7)),0)</x:f>
        <x:v>72</x:v>
      </x:c>
      <x:c r="AG7" s="12" t="str">
        <x:v>https://wikiwiki.jp/poke-unite/%E3%82%A4%E3%83%B3%E3%83%86%E3%83%AC%E3%82%AA%E3%83%B3</x:v>
      </x:c>
      <x:c r="AH7" s="12" t="str">
        <x:v>「アクアブレイク」型は、位置を変えながら中距離で戦い続け、手数で押すタイプ。長い戦いで圧を積み上げることと、決め所を自分で締めることを楽しめる人ほど持ち味を出しやすい。</x:v>
      </x:c>
      <x:c r="AI7" s="12" t="str">
        <x:v>自己遂行・自分の仕事・継続戦</x:v>
      </x:c>
      <x:c r="AJ7" s="12" t="n">
        <x:v>0</x:v>
      </x:c>
    </x:row>
    <x:row r="8">
      <x:c r="A8" s="12" t="str">
        <x:v>ウッウ</x:v>
      </x:c>
      <x:c r="B8" s="12" t="str">
        <x:v>アタック型</x:v>
      </x:c>
      <x:c r="C8" s="12" t="str">
        <x:v>ウッウ-1</x:v>
      </x:c>
      <x:c r="D8" s="12" t="str">
        <x:v>なみのり</x:v>
      </x:c>
      <x:c r="E8" s="12" t="str">
        <x:v>BurstMage</x:v>
      </x:c>
      <x:c r="F8" s="12" t="str">
        <x:v>BurstMage</x:v>
      </x:c>
      <x:c r="G8" s="12"/>
      <x:c r="H8" s="12" t="str">
        <x:v>立ち位置・戦闘距離・役割が大きく変わるため別プロファイル</x:v>
      </x:c>
      <x:c r="I8" s="12" t="str">
        <x:v>高</x:v>
      </x:c>
      <x:c r="J8" s="12" t="str">
        <x:v>2026-09-30</x:v>
      </x:c>
      <x:c r="K8" s="12" t="n">
        <x:v>30</x:v>
      </x:c>
      <x:c r="L8" s="12" t="n">
        <x:v>5</x:v>
      </x:c>
      <x:c r="M8" s="12" t="n">
        <x:v>35</x:v>
      </x:c>
      <x:c r="N8" s="12" t="n">
        <x:v>0</x:v>
      </x:c>
      <x:c r="O8" s="12" t="n">
        <x:v>100</x:v>
      </x:c>
      <x:c r="P8" s="12" t="n">
        <x:v>10</x:v>
      </x:c>
      <x:c r="Q8" s="12" t="n">
        <x:v>95</x:v>
      </x:c>
      <x:c r="R8" s="12" t="n">
        <x:v>10</x:v>
      </x:c>
      <x:c r="S8" s="12" t="n">
        <x:v>5</x:v>
      </x:c>
      <x:c r="T8" s="12" t="n">
        <x:v>35</x:v>
      </x:c>
      <x:c r="U8" s="12" t="n">
        <x:v>40</x:v>
      </x:c>
      <x:c r="V8" s="12" t="n">
        <x:v>60</x:v>
      </x:c>
      <x:c r="W8" s="12" t="n">
        <x:v>25</x:v>
      </x:c>
      <x:c r="X8" s="12" t="n">
        <x:v>70</x:v>
      </x:c>
      <x:c r="Y8" s="12" t="n">
        <x:v>70</x:v>
      </x:c>
      <x:c r="Z8" s="12" t="n">
        <x:f>ROUND(MAX(0,MIN(100,0.40*K8+0.20*L8+0.10*S8+0.15*V8+0.15*Y8)),0)</x:f>
        <x:v>33</x:v>
      </x:c>
      <x:c r="AA8" s="12" t="n">
        <x:f>ROUND(MAX(0,MIN(100,0.30*L8+0.20*K8+0.15*V8+0.15*W8+0.10*S8+0.10*(100-M8))),0)</x:f>
        <x:v>27</x:v>
      </x:c>
      <x:c r="AB8" s="12" t="n">
        <x:f>ROUND(MAX(0,MIN(100,0.30*M8+0.25*R8+0.20*Q8+0.15*K8+0.10*(100-T8))),0)</x:f>
        <x:v>43</x:v>
      </x:c>
      <x:c r="AC8" s="12" t="n">
        <x:f>ROUND(MAX(0,MIN(100,0.55*T8+0.15*S8+0.10*N8+0.10*V8+0.10*W8)),0)</x:f>
        <x:v>29</x:v>
      </x:c>
      <x:c r="AD8" s="12" t="n">
        <x:f>ROUND(MAX(0,MIN(100,0.25*O8+0.25*Q8+0.20*Y8+0.15*U8+0.15*(100-L8))),0)</x:f>
        <x:v>83</x:v>
      </x:c>
      <x:c r="AE8" s="12" t="n">
        <x:f>ROUND(MAX(0,MIN(100,0.30*Y8+0.25*S8+0.15*Q8+0.15*T8+0.15*X8)),0)</x:f>
        <x:v>52</x:v>
      </x:c>
      <x:c r="AF8" s="12" t="n">
        <x:f>ROUND(MAX(0,MIN(100,0.65*X8+0.35*Y8)),0)</x:f>
        <x:v>70</x:v>
      </x:c>
      <x:c r="AG8" s="12" t="str">
        <x:v>https://wikiwiki.jp/poke-unite/%E3%82%A6%E3%83%83%E3%82%A6</x:v>
      </x:c>
      <x:c r="AH8" s="12" t="str">
        <x:v>「なみのり」型は、間合いとタイミングを作り、短い窓に火力をまとめるタイプ。短い好機を一気に取り切ることと、距離と間合いを丁寧に管理することを楽しめる人ほど持ち味を出しやすい。</x:v>
      </x:c>
      <x:c r="AI8" s="12" t="str">
        <x:v>間合い管理・後方位置・盤面制御</x:v>
      </x:c>
      <x:c r="AJ8" s="12" t="n">
        <x:v>0</x:v>
      </x:c>
    </x:row>
    <x:row r="9">
      <x:c r="A9" s="12" t="str">
        <x:v>ウッウ</x:v>
      </x:c>
      <x:c r="B9" s="12" t="str">
        <x:v>アタック型</x:v>
      </x:c>
      <x:c r="C9" s="12" t="str">
        <x:v>ウッウ-2</x:v>
      </x:c>
      <x:c r="D9" s="12" t="str">
        <x:v>ダイビング</x:v>
      </x:c>
      <x:c r="E9" s="12" t="str">
        <x:v>BattleMage</x:v>
      </x:c>
      <x:c r="F9" s="12" t="str">
        <x:v>BattleMage</x:v>
      </x:c>
      <x:c r="G9" s="12"/>
      <x:c r="H9" s="12" t="str">
        <x:v>立ち位置・戦闘距離・役割が大きく変わるため別プロファイル</x:v>
      </x:c>
      <x:c r="I9" s="12" t="str">
        <x:v>高</x:v>
      </x:c>
      <x:c r="J9" s="12" t="str">
        <x:v>2026-09-30</x:v>
      </x:c>
      <x:c r="K9" s="12" t="n">
        <x:v>50</x:v>
      </x:c>
      <x:c r="L9" s="12" t="n">
        <x:v>45</x:v>
      </x:c>
      <x:c r="M9" s="12" t="n">
        <x:v>30</x:v>
      </x:c>
      <x:c r="N9" s="12" t="n">
        <x:v>30</x:v>
      </x:c>
      <x:c r="O9" s="12" t="n">
        <x:v>40</x:v>
      </x:c>
      <x:c r="P9" s="12" t="n">
        <x:v>70</x:v>
      </x:c>
      <x:c r="Q9" s="12" t="n">
        <x:v>50</x:v>
      </x:c>
      <x:c r="R9" s="12" t="n">
        <x:v>10</x:v>
      </x:c>
      <x:c r="S9" s="12" t="n">
        <x:v>70</x:v>
      </x:c>
      <x:c r="T9" s="12" t="n">
        <x:v>60</x:v>
      </x:c>
      <x:c r="U9" s="12" t="n">
        <x:v>55</x:v>
      </x:c>
      <x:c r="V9" s="12" t="n">
        <x:v>65</x:v>
      </x:c>
      <x:c r="W9" s="12" t="n">
        <x:v>45</x:v>
      </x:c>
      <x:c r="X9" s="12" t="n">
        <x:v>75</x:v>
      </x:c>
      <x:c r="Y9" s="12" t="n">
        <x:v>65</x:v>
      </x:c>
      <x:c r="Z9" s="12" t="n">
        <x:f>ROUND(MAX(0,MIN(100,0.40*K9+0.20*L9+0.10*S9+0.15*V9+0.15*Y9)),0)</x:f>
        <x:v>56</x:v>
      </x:c>
      <x:c r="AA9" s="12" t="n">
        <x:f>ROUND(MAX(0,MIN(100,0.30*L9+0.20*K9+0.15*V9+0.15*W9+0.10*S9+0.10*(100-M9))),0)</x:f>
        <x:v>54</x:v>
      </x:c>
      <x:c r="AB9" s="12" t="n">
        <x:f>ROUND(MAX(0,MIN(100,0.30*M9+0.25*R9+0.20*Q9+0.15*K9+0.10*(100-T9))),0)</x:f>
        <x:v>33</x:v>
      </x:c>
      <x:c r="AC9" s="12" t="n">
        <x:f>ROUND(MAX(0,MIN(100,0.55*T9+0.15*S9+0.10*N9+0.10*V9+0.10*W9)),0)</x:f>
        <x:v>58</x:v>
      </x:c>
      <x:c r="AD9" s="12" t="n">
        <x:f>ROUND(MAX(0,MIN(100,0.25*O9+0.25*Q9+0.20*Y9+0.15*U9+0.15*(100-L9))),0)</x:f>
        <x:v>52</x:v>
      </x:c>
      <x:c r="AE9" s="12" t="n">
        <x:f>ROUND(MAX(0,MIN(100,0.30*Y9+0.25*S9+0.15*Q9+0.15*T9+0.15*X9)),0)</x:f>
        <x:v>65</x:v>
      </x:c>
      <x:c r="AF9" s="12" t="n">
        <x:f>ROUND(MAX(0,MIN(100,0.65*X9+0.35*Y9)),0)</x:f>
        <x:v>72</x:v>
      </x:c>
      <x:c r="AG9" s="12" t="str">
        <x:v>https://wikiwiki.jp/poke-unite/%E3%82%A6%E3%83%83%E3%82%A6</x:v>
      </x:c>
      <x:c r="AH9" s="12" t="str">
        <x:v>「ダイビング」型は、位置を変えながら中距離で戦い続け、手数で押すタイプ。長い戦いで圧を積み上げることと、細かな操作を磨くことを楽しめる人ほど持ち味を出しやすい。</x:v>
      </x:c>
      <x:c r="AI9" s="12" t="str">
        <x:v>自己遂行・操作精度・自分の仕事</x:v>
      </x:c>
      <x:c r="AJ9" s="12" t="n">
        <x:v>0</x:v>
      </x:c>
    </x:row>
    <x:row r="10">
      <x:c r="A10" s="12" t="str">
        <x:v>エースバーン</x:v>
      </x:c>
      <x:c r="B10" s="12" t="str">
        <x:v>アタック型</x:v>
      </x:c>
      <x:c r="C10" s="12" t="str">
        <x:v>エースバーン-1</x:v>
      </x:c>
      <x:c r="D10" s="12" t="str">
        <x:v>共通</x:v>
      </x:c>
      <x:c r="E10" s="12" t="str">
        <x:v>Marksman</x:v>
      </x:c>
      <x:c r="F10" s="12" t="str">
        <x:v>Marksman</x:v>
      </x:c>
      <x:c r="G10" s="12"/>
      <x:c r="H10" s="12" t="str">
        <x:v>技で細部は変わるが、診断上のプレイ人格は大きく変わらないため統合</x:v>
      </x:c>
      <x:c r="I10" s="12" t="str">
        <x:v>高</x:v>
      </x:c>
      <x:c r="J10" s="12" t="str">
        <x:v>2026-09-30</x:v>
      </x:c>
      <x:c r="K10" s="12" t="n">
        <x:v>5</x:v>
      </x:c>
      <x:c r="L10" s="12" t="n">
        <x:v>0</x:v>
      </x:c>
      <x:c r="M10" s="12" t="n">
        <x:v>10</x:v>
      </x:c>
      <x:c r="N10" s="12" t="n">
        <x:v>0</x:v>
      </x:c>
      <x:c r="O10" s="12" t="n">
        <x:v>75</x:v>
      </x:c>
      <x:c r="P10" s="12" t="n">
        <x:v>95</x:v>
      </x:c>
      <x:c r="Q10" s="12" t="n">
        <x:v>5</x:v>
      </x:c>
      <x:c r="R10" s="12" t="n">
        <x:v>5</x:v>
      </x:c>
      <x:c r="S10" s="12" t="n">
        <x:v>60</x:v>
      </x:c>
      <x:c r="T10" s="12" t="n">
        <x:v>50</x:v>
      </x:c>
      <x:c r="U10" s="12" t="n">
        <x:v>85</x:v>
      </x:c>
      <x:c r="V10" s="12" t="n">
        <x:v>100</x:v>
      </x:c>
      <x:c r="W10" s="12" t="n">
        <x:v>55</x:v>
      </x:c>
      <x:c r="X10" s="12" t="n">
        <x:v>65</x:v>
      </x:c>
      <x:c r="Y10" s="12" t="n">
        <x:v>65</x:v>
      </x:c>
      <x:c r="Z10" s="12" t="n">
        <x:f>ROUND(MAX(0,MIN(100,0.40*K10+0.20*L10+0.10*S10+0.15*V10+0.15*Y10)),0)</x:f>
        <x:v>33</x:v>
      </x:c>
      <x:c r="AA10" s="12" t="n">
        <x:f>ROUND(MAX(0,MIN(100,0.30*L10+0.20*K10+0.15*V10+0.15*W10+0.10*S10+0.10*(100-M10))),0)</x:f>
        <x:v>39</x:v>
      </x:c>
      <x:c r="AB10" s="12" t="n">
        <x:f>ROUND(MAX(0,MIN(100,0.30*M10+0.25*R10+0.20*Q10+0.15*K10+0.10*(100-T10))),0)</x:f>
        <x:v>11</x:v>
      </x:c>
      <x:c r="AC10" s="12" t="n">
        <x:f>ROUND(MAX(0,MIN(100,0.55*T10+0.15*S10+0.10*N10+0.10*V10+0.10*W10)),0)</x:f>
        <x:v>52</x:v>
      </x:c>
      <x:c r="AD10" s="12" t="n">
        <x:f>ROUND(MAX(0,MIN(100,0.25*O10+0.25*Q10+0.20*Y10+0.15*U10+0.15*(100-L10))),0)</x:f>
        <x:v>61</x:v>
      </x:c>
      <x:c r="AE10" s="12" t="n">
        <x:f>ROUND(MAX(0,MIN(100,0.30*Y10+0.25*S10+0.15*Q10+0.15*T10+0.15*X10)),0)</x:f>
        <x:v>53</x:v>
      </x:c>
      <x:c r="AF10" s="12" t="n">
        <x:f>ROUND(MAX(0,MIN(100,0.65*X10+0.35*Y10)),0)</x:f>
        <x:v>65</x:v>
      </x:c>
      <x:c r="AG10" s="12" t="str">
        <x:v>https://wikiwiki.jp/poke-unite/%E3%82%A8%E3%83%BC%E3%82%B9%E3%83%90%E3%83%BC%E3%83%B3</x:v>
      </x:c>
      <x:c r="AH10" s="12" t="str">
        <x:v>安全な位置を保ちながら、継続火力を積み上げるタイプ。長い戦いで圧を積み上げることと、決め所を自分で締めることを楽しめる人ほど持ち味を出しやすい。</x:v>
      </x:c>
      <x:c r="AI10" s="12" t="str">
        <x:v>後方位置・安全ライン・取り切り</x:v>
      </x:c>
      <x:c r="AJ10" s="12" t="n">
        <x:v>0</x:v>
      </x:c>
    </x:row>
    <x:row r="11">
      <x:c r="A11" s="12" t="str">
        <x:v>エーフィ</x:v>
      </x:c>
      <x:c r="B11" s="12" t="str">
        <x:v>アタック型</x:v>
      </x:c>
      <x:c r="C11" s="12" t="str">
        <x:v>エーフィ-1</x:v>
      </x:c>
      <x:c r="D11" s="12" t="str">
        <x:v>共通</x:v>
      </x:c>
      <x:c r="E11" s="12" t="str">
        <x:v>BurstMage / BattleMage</x:v>
      </x:c>
      <x:c r="F11" s="12" t="str">
        <x:v>BurstMage</x:v>
      </x:c>
      <x:c r="G11" s="12" t="str">
        <x:v>BattleMage</x:v>
      </x:c>
      <x:c r="H11" s="12" t="str">
        <x:v>技で細部は変わるが、診断上のプレイ人格は大きく変わらないため統合</x:v>
      </x:c>
      <x:c r="I11" s="12" t="str">
        <x:v>高</x:v>
      </x:c>
      <x:c r="J11" s="12" t="str">
        <x:v>2026-09-30</x:v>
      </x:c>
      <x:c r="K11" s="12" t="n">
        <x:v>40</x:v>
      </x:c>
      <x:c r="L11" s="12" t="n">
        <x:v>25</x:v>
      </x:c>
      <x:c r="M11" s="12" t="n">
        <x:v>25</x:v>
      </x:c>
      <x:c r="N11" s="12" t="n">
        <x:v>25</x:v>
      </x:c>
      <x:c r="O11" s="12" t="n">
        <x:v>70</x:v>
      </x:c>
      <x:c r="P11" s="12" t="n">
        <x:v>45</x:v>
      </x:c>
      <x:c r="Q11" s="12" t="n">
        <x:v>55</x:v>
      </x:c>
      <x:c r="R11" s="12" t="n">
        <x:v>10</x:v>
      </x:c>
      <x:c r="S11" s="12" t="n">
        <x:v>45</x:v>
      </x:c>
      <x:c r="T11" s="12" t="n">
        <x:v>60</x:v>
      </x:c>
      <x:c r="U11" s="12" t="n">
        <x:v>55</x:v>
      </x:c>
      <x:c r="V11" s="12" t="n">
        <x:v>60</x:v>
      </x:c>
      <x:c r="W11" s="12" t="n">
        <x:v>35</x:v>
      </x:c>
      <x:c r="X11" s="12" t="n">
        <x:v>60</x:v>
      </x:c>
      <x:c r="Y11" s="12" t="n">
        <x:v>70</x:v>
      </x:c>
      <x:c r="Z11" s="12" t="n">
        <x:f>ROUND(MAX(0,MIN(100,0.40*K11+0.20*L11+0.10*S11+0.15*V11+0.15*Y11)),0)</x:f>
        <x:v>45</x:v>
      </x:c>
      <x:c r="AA11" s="12" t="n">
        <x:f>ROUND(MAX(0,MIN(100,0.30*L11+0.20*K11+0.15*V11+0.15*W11+0.10*S11+0.10*(100-M11))),0)</x:f>
        <x:v>42</x:v>
      </x:c>
      <x:c r="AB11" s="12" t="n">
        <x:f>ROUND(MAX(0,MIN(100,0.30*M11+0.25*R11+0.20*Q11+0.15*K11+0.10*(100-T11))),0)</x:f>
        <x:v>31</x:v>
      </x:c>
      <x:c r="AC11" s="12" t="n">
        <x:f>ROUND(MAX(0,MIN(100,0.55*T11+0.15*S11+0.10*N11+0.10*V11+0.10*W11)),0)</x:f>
        <x:v>52</x:v>
      </x:c>
      <x:c r="AD11" s="12" t="n">
        <x:f>ROUND(MAX(0,MIN(100,0.25*O11+0.25*Q11+0.20*Y11+0.15*U11+0.15*(100-L11))),0)</x:f>
        <x:v>65</x:v>
      </x:c>
      <x:c r="AE11" s="12" t="n">
        <x:f>ROUND(MAX(0,MIN(100,0.30*Y11+0.25*S11+0.15*Q11+0.15*T11+0.15*X11)),0)</x:f>
        <x:v>59</x:v>
      </x:c>
      <x:c r="AF11" s="12" t="n">
        <x:f>ROUND(MAX(0,MIN(100,0.65*X11+0.35*Y11)),0)</x:f>
        <x:v>64</x:v>
      </x:c>
      <x:c r="AG11" s="12" t="str">
        <x:v>https://wikiwiki.jp/poke-unite/%E3%82%A8%E3%83%BC%E3%83%95%E3%82%A3</x:v>
      </x:c>
      <x:c r="AH11" s="12" t="str">
        <x:v>間合いとタイミングを作り、短い窓に火力をまとめるタイプ。短い好機を一気に取り切ることと、距離と間合いを丁寧に管理することを楽しめる人ほど持ち味を出しやすい。</x:v>
      </x:c>
      <x:c r="AI11" s="12" t="str">
        <x:v>自己遂行・自分の仕事・後方位置</x:v>
      </x:c>
      <x:c r="AJ11" s="12" t="n">
        <x:v>0</x:v>
      </x:c>
    </x:row>
    <x:row r="12">
      <x:c r="A12" s="12" t="str">
        <x:v>グレイシア</x:v>
      </x:c>
      <x:c r="B12" s="12" t="str">
        <x:v>アタック型</x:v>
      </x:c>
      <x:c r="C12" s="12" t="str">
        <x:v>グレイシア-1</x:v>
      </x:c>
      <x:c r="D12" s="12" t="str">
        <x:v>共通</x:v>
      </x:c>
      <x:c r="E12" s="12" t="str">
        <x:v>Marksman / BattleMage</x:v>
      </x:c>
      <x:c r="F12" s="12" t="str">
        <x:v>Marksman</x:v>
      </x:c>
      <x:c r="G12" s="12" t="str">
        <x:v>BattleMage</x:v>
      </x:c>
      <x:c r="H12" s="12" t="str">
        <x:v>技で細部は変わるが、診断上のプレイ人格は大きく変わらないため統合</x:v>
      </x:c>
      <x:c r="I12" s="12" t="str">
        <x:v>高</x:v>
      </x:c>
      <x:c r="J12" s="12" t="str">
        <x:v>2026-09-30</x:v>
      </x:c>
      <x:c r="K12" s="12" t="n">
        <x:v>30</x:v>
      </x:c>
      <x:c r="L12" s="12" t="n">
        <x:v>20</x:v>
      </x:c>
      <x:c r="M12" s="12" t="n">
        <x:v>20</x:v>
      </x:c>
      <x:c r="N12" s="12" t="n">
        <x:v>20</x:v>
      </x:c>
      <x:c r="O12" s="12" t="n">
        <x:v>65</x:v>
      </x:c>
      <x:c r="P12" s="12" t="n">
        <x:v>70</x:v>
      </x:c>
      <x:c r="Q12" s="12" t="n">
        <x:v>30</x:v>
      </x:c>
      <x:c r="R12" s="12" t="n">
        <x:v>5</x:v>
      </x:c>
      <x:c r="S12" s="12" t="n">
        <x:v>60</x:v>
      </x:c>
      <x:c r="T12" s="12" t="n">
        <x:v>65</x:v>
      </x:c>
      <x:c r="U12" s="12" t="n">
        <x:v>75</x:v>
      </x:c>
      <x:c r="V12" s="12" t="n">
        <x:v>75</x:v>
      </x:c>
      <x:c r="W12" s="12" t="n">
        <x:v>40</x:v>
      </x:c>
      <x:c r="X12" s="12" t="n">
        <x:v>75</x:v>
      </x:c>
      <x:c r="Y12" s="12" t="n">
        <x:v>65</x:v>
      </x:c>
      <x:c r="Z12" s="12" t="n">
        <x:f>ROUND(MAX(0,MIN(100,0.40*K12+0.20*L12+0.10*S12+0.15*V12+0.15*Y12)),0)</x:f>
        <x:v>43</x:v>
      </x:c>
      <x:c r="AA12" s="12" t="n">
        <x:f>ROUND(MAX(0,MIN(100,0.30*L12+0.20*K12+0.15*V12+0.15*W12+0.10*S12+0.10*(100-M12))),0)</x:f>
        <x:v>43</x:v>
      </x:c>
      <x:c r="AB12" s="12" t="n">
        <x:f>ROUND(MAX(0,MIN(100,0.30*M12+0.25*R12+0.20*Q12+0.15*K12+0.10*(100-T12))),0)</x:f>
        <x:v>21</x:v>
      </x:c>
      <x:c r="AC12" s="12" t="n">
        <x:f>ROUND(MAX(0,MIN(100,0.55*T12+0.15*S12+0.10*N12+0.10*V12+0.10*W12)),0)</x:f>
        <x:v>58</x:v>
      </x:c>
      <x:c r="AD12" s="12" t="n">
        <x:f>ROUND(MAX(0,MIN(100,0.25*O12+0.25*Q12+0.20*Y12+0.15*U12+0.15*(100-L12))),0)</x:f>
        <x:v>60</x:v>
      </x:c>
      <x:c r="AE12" s="12" t="n">
        <x:f>ROUND(MAX(0,MIN(100,0.30*Y12+0.25*S12+0.15*Q12+0.15*T12+0.15*X12)),0)</x:f>
        <x:v>60</x:v>
      </x:c>
      <x:c r="AF12" s="12" t="n">
        <x:f>ROUND(MAX(0,MIN(100,0.65*X12+0.35*Y12)),0)</x:f>
        <x:v>72</x:v>
      </x:c>
      <x:c r="AG12" s="12" t="str">
        <x:v>https://wikiwiki.jp/poke-unite/%E3%82%B0%E3%83%AC%E3%82%A4%E3%82%B7%E3%82%A2</x:v>
      </x:c>
      <x:c r="AH12" s="12" t="str">
        <x:v>安全な位置を保ちながら、継続火力を積み上げるタイプ。長い戦いで圧を積み上げることと、決め所を自分で締めることを楽しめる人ほど持ち味を出しやすい。</x:v>
      </x:c>
      <x:c r="AI12" s="12" t="str">
        <x:v>自己遂行・自分の仕事・後方位置</x:v>
      </x:c>
      <x:c r="AJ12" s="12" t="n">
        <x:v>0</x:v>
      </x:c>
    </x:row>
    <x:row r="13">
      <x:c r="A13" s="12" t="str">
        <x:v>グレンアルマ</x:v>
      </x:c>
      <x:c r="B13" s="12" t="str">
        <x:v>アタック型</x:v>
      </x:c>
      <x:c r="C13" s="12" t="str">
        <x:v>グレンアルマ-1</x:v>
      </x:c>
      <x:c r="D13" s="12" t="str">
        <x:v>ほのおのうず</x:v>
      </x:c>
      <x:c r="E13" s="12" t="str">
        <x:v>Juggernaut / BattleMage</x:v>
      </x:c>
      <x:c r="F13" s="12" t="str">
        <x:v>Juggernaut</x:v>
      </x:c>
      <x:c r="G13" s="12" t="str">
        <x:v>BattleMage</x:v>
      </x:c>
      <x:c r="H13" s="12" t="str">
        <x:v>立ち位置・戦闘距離・役割が大きく変わるため別プロファイル</x:v>
      </x:c>
      <x:c r="I13" s="12" t="str">
        <x:v>高</x:v>
      </x:c>
      <x:c r="J13" s="12" t="str">
        <x:v>2026-09-30</x:v>
      </x:c>
      <x:c r="K13" s="12" t="n">
        <x:v>45</x:v>
      </x:c>
      <x:c r="L13" s="12" t="n">
        <x:v>35</x:v>
      </x:c>
      <x:c r="M13" s="12" t="n">
        <x:v>20</x:v>
      </x:c>
      <x:c r="N13" s="12" t="n">
        <x:v>75</x:v>
      </x:c>
      <x:c r="O13" s="12" t="n">
        <x:v>20</x:v>
      </x:c>
      <x:c r="P13" s="12" t="n">
        <x:v>75</x:v>
      </x:c>
      <x:c r="Q13" s="12" t="n">
        <x:v>35</x:v>
      </x:c>
      <x:c r="R13" s="12" t="n">
        <x:v>5</x:v>
      </x:c>
      <x:c r="S13" s="12" t="n">
        <x:v>50</x:v>
      </x:c>
      <x:c r="T13" s="12" t="n">
        <x:v>70</x:v>
      </x:c>
      <x:c r="U13" s="12" t="n">
        <x:v>70</x:v>
      </x:c>
      <x:c r="V13" s="12" t="n">
        <x:v>75</x:v>
      </x:c>
      <x:c r="W13" s="12" t="n">
        <x:v>40</x:v>
      </x:c>
      <x:c r="X13" s="12" t="n">
        <x:v>60</x:v>
      </x:c>
      <x:c r="Y13" s="12" t="n">
        <x:v>60</x:v>
      </x:c>
      <x:c r="Z13" s="12" t="n">
        <x:f>ROUND(MAX(0,MIN(100,0.40*K13+0.20*L13+0.10*S13+0.15*V13+0.15*Y13)),0)</x:f>
        <x:v>50</x:v>
      </x:c>
      <x:c r="AA13" s="12" t="n">
        <x:f>ROUND(MAX(0,MIN(100,0.30*L13+0.20*K13+0.15*V13+0.15*W13+0.10*S13+0.10*(100-M13))),0)</x:f>
        <x:v>50</x:v>
      </x:c>
      <x:c r="AB13" s="12" t="n">
        <x:f>ROUND(MAX(0,MIN(100,0.30*M13+0.25*R13+0.20*Q13+0.15*K13+0.10*(100-T13))),0)</x:f>
        <x:v>24</x:v>
      </x:c>
      <x:c r="AC13" s="12" t="n">
        <x:f>ROUND(MAX(0,MIN(100,0.55*T13+0.15*S13+0.10*N13+0.10*V13+0.10*W13)),0)</x:f>
        <x:v>65</x:v>
      </x:c>
      <x:c r="AD13" s="12" t="n">
        <x:f>ROUND(MAX(0,MIN(100,0.25*O13+0.25*Q13+0.20*Y13+0.15*U13+0.15*(100-L13))),0)</x:f>
        <x:v>46</x:v>
      </x:c>
      <x:c r="AE13" s="12" t="n">
        <x:f>ROUND(MAX(0,MIN(100,0.30*Y13+0.25*S13+0.15*Q13+0.15*T13+0.15*X13)),0)</x:f>
        <x:v>55</x:v>
      </x:c>
      <x:c r="AF13" s="12" t="n">
        <x:f>ROUND(MAX(0,MIN(100,0.65*X13+0.35*Y13)),0)</x:f>
        <x:v>60</x:v>
      </x:c>
      <x:c r="AG13" s="12" t="str">
        <x:v>https://wikiwiki.jp/poke-unite/%E3%82%B0%E3%83%AC%E3%83%B3%E3%82%A2%E3%83%AB%E3%83%9E</x:v>
      </x:c>
      <x:c r="AH13" s="12" t="str">
        <x:v>「ほのおのうず」型は、前線で簡単には退かず、長い殴り合いで優位を作るタイプ。長い戦いで圧を積み上げることと、前線で粘り続けることを楽しめる人ほど持ち味を出しやすい。</x:v>
      </x:c>
      <x:c r="AI13" s="12" t="str">
        <x:v>自己遂行・自分の仕事・接近戦</x:v>
      </x:c>
      <x:c r="AJ13" s="12" t="n">
        <x:v>0</x:v>
      </x:c>
    </x:row>
    <x:row r="14">
      <x:c r="A14" s="12" t="str">
        <x:v>グレンアルマ</x:v>
      </x:c>
      <x:c r="B14" s="12" t="str">
        <x:v>アタック型</x:v>
      </x:c>
      <x:c r="C14" s="12" t="str">
        <x:v>グレンアルマ-2</x:v>
      </x:c>
      <x:c r="D14" s="12" t="str">
        <x:v>アーマーキャノン</x:v>
      </x:c>
      <x:c r="E14" s="12" t="str">
        <x:v>BurstMage</x:v>
      </x:c>
      <x:c r="F14" s="12" t="str">
        <x:v>BurstMage</x:v>
      </x:c>
      <x:c r="G14" s="12"/>
      <x:c r="H14" s="12" t="str">
        <x:v>立ち位置・戦闘距離・役割が大きく変わるため別プロファイル</x:v>
      </x:c>
      <x:c r="I14" s="12" t="str">
        <x:v>高</x:v>
      </x:c>
      <x:c r="J14" s="12" t="str">
        <x:v>2026-09-30</x:v>
      </x:c>
      <x:c r="K14" s="12" t="n">
        <x:v>30</x:v>
      </x:c>
      <x:c r="L14" s="12" t="n">
        <x:v>5</x:v>
      </x:c>
      <x:c r="M14" s="12" t="n">
        <x:v>35</x:v>
      </x:c>
      <x:c r="N14" s="12" t="n">
        <x:v>10</x:v>
      </x:c>
      <x:c r="O14" s="12" t="n">
        <x:v>100</x:v>
      </x:c>
      <x:c r="P14" s="12" t="n">
        <x:v>10</x:v>
      </x:c>
      <x:c r="Q14" s="12" t="n">
        <x:v>90</x:v>
      </x:c>
      <x:c r="R14" s="12" t="n">
        <x:v>10</x:v>
      </x:c>
      <x:c r="S14" s="12" t="n">
        <x:v>20</x:v>
      </x:c>
      <x:c r="T14" s="12" t="n">
        <x:v>45</x:v>
      </x:c>
      <x:c r="U14" s="12" t="n">
        <x:v>55</x:v>
      </x:c>
      <x:c r="V14" s="12" t="n">
        <x:v>60</x:v>
      </x:c>
      <x:c r="W14" s="12" t="n">
        <x:v>25</x:v>
      </x:c>
      <x:c r="X14" s="12" t="n">
        <x:v>60</x:v>
      </x:c>
      <x:c r="Y14" s="12" t="n">
        <x:v>70</x:v>
      </x:c>
      <x:c r="Z14" s="12" t="n">
        <x:f>ROUND(MAX(0,MIN(100,0.40*K14+0.20*L14+0.10*S14+0.15*V14+0.15*Y14)),0)</x:f>
        <x:v>35</x:v>
      </x:c>
      <x:c r="AA14" s="12" t="n">
        <x:f>ROUND(MAX(0,MIN(100,0.30*L14+0.20*K14+0.15*V14+0.15*W14+0.10*S14+0.10*(100-M14))),0)</x:f>
        <x:v>29</x:v>
      </x:c>
      <x:c r="AB14" s="12" t="n">
        <x:f>ROUND(MAX(0,MIN(100,0.30*M14+0.25*R14+0.20*Q14+0.15*K14+0.10*(100-T14))),0)</x:f>
        <x:v>41</x:v>
      </x:c>
      <x:c r="AC14" s="12" t="n">
        <x:f>ROUND(MAX(0,MIN(100,0.55*T14+0.15*S14+0.10*N14+0.10*V14+0.10*W14)),0)</x:f>
        <x:v>37</x:v>
      </x:c>
      <x:c r="AD14" s="12" t="n">
        <x:f>ROUND(MAX(0,MIN(100,0.25*O14+0.25*Q14+0.20*Y14+0.15*U14+0.15*(100-L14))),0)</x:f>
        <x:v>84</x:v>
      </x:c>
      <x:c r="AE14" s="12" t="n">
        <x:f>ROUND(MAX(0,MIN(100,0.30*Y14+0.25*S14+0.15*Q14+0.15*T14+0.15*X14)),0)</x:f>
        <x:v>55</x:v>
      </x:c>
      <x:c r="AF14" s="12" t="n">
        <x:f>ROUND(MAX(0,MIN(100,0.65*X14+0.35*Y14)),0)</x:f>
        <x:v>64</x:v>
      </x:c>
      <x:c r="AG14" s="12" t="str">
        <x:v>https://wikiwiki.jp/poke-unite/%E3%82%B0%E3%83%AC%E3%83%B3%E3%82%A2%E3%83%AB%E3%83%9E</x:v>
      </x:c>
      <x:c r="AH14" s="12" t="str">
        <x:v>「アーマーキャノン」型は、間合いとタイミングを作り、短い窓に火力をまとめるタイプ。短い好機を一気に取り切ることと、距離と間合いを丁寧に管理することを楽しめる人ほど持ち味を出しやすい。</x:v>
      </x:c>
      <x:c r="AI14" s="12" t="str">
        <x:v>間合い管理・安全ライン・自己遂行</x:v>
      </x:c>
      <x:c r="AJ14" s="12" t="n">
        <x:v>0</x:v>
      </x:c>
    </x:row>
    <x:row r="15">
      <x:c r="A15" s="12" t="str">
        <x:v>ゲッコウガ</x:v>
      </x:c>
      <x:c r="B15" s="12" t="str">
        <x:v>アタック型</x:v>
      </x:c>
      <x:c r="C15" s="12" t="str">
        <x:v>ゲッコウガ-1</x:v>
      </x:c>
      <x:c r="D15" s="12" t="str">
        <x:v>みずしゅりけん</x:v>
      </x:c>
      <x:c r="E15" s="12" t="str">
        <x:v>Marksman</x:v>
      </x:c>
      <x:c r="F15" s="12" t="str">
        <x:v>Marksman</x:v>
      </x:c>
      <x:c r="G15" s="12"/>
      <x:c r="H15" s="12" t="str">
        <x:v>立ち位置・戦闘距離・役割が大きく変わるため別プロファイル</x:v>
      </x:c>
      <x:c r="I15" s="12" t="str">
        <x:v>高</x:v>
      </x:c>
      <x:c r="J15" s="12" t="str">
        <x:v>2026-09-30</x:v>
      </x:c>
      <x:c r="K15" s="12" t="n">
        <x:v>5</x:v>
      </x:c>
      <x:c r="L15" s="12" t="n">
        <x:v>0</x:v>
      </x:c>
      <x:c r="M15" s="12" t="n">
        <x:v>10</x:v>
      </x:c>
      <x:c r="N15" s="12" t="n">
        <x:v>0</x:v>
      </x:c>
      <x:c r="O15" s="12" t="n">
        <x:v>75</x:v>
      </x:c>
      <x:c r="P15" s="12" t="n">
        <x:v>100</x:v>
      </x:c>
      <x:c r="Q15" s="12" t="n">
        <x:v>5</x:v>
      </x:c>
      <x:c r="R15" s="12" t="n">
        <x:v>5</x:v>
      </x:c>
      <x:c r="S15" s="12" t="n">
        <x:v>60</x:v>
      </x:c>
      <x:c r="T15" s="12" t="n">
        <x:v>55</x:v>
      </x:c>
      <x:c r="U15" s="12" t="n">
        <x:v>85</x:v>
      </x:c>
      <x:c r="V15" s="12" t="n">
        <x:v>95</x:v>
      </x:c>
      <x:c r="W15" s="12" t="n">
        <x:v>55</x:v>
      </x:c>
      <x:c r="X15" s="12" t="n">
        <x:v>75</x:v>
      </x:c>
      <x:c r="Y15" s="12" t="n">
        <x:v>65</x:v>
      </x:c>
      <x:c r="Z15" s="12" t="n">
        <x:f>ROUND(MAX(0,MIN(100,0.40*K15+0.20*L15+0.10*S15+0.15*V15+0.15*Y15)),0)</x:f>
        <x:v>32</x:v>
      </x:c>
      <x:c r="AA15" s="12" t="n">
        <x:f>ROUND(MAX(0,MIN(100,0.30*L15+0.20*K15+0.15*V15+0.15*W15+0.10*S15+0.10*(100-M15))),0)</x:f>
        <x:v>39</x:v>
      </x:c>
      <x:c r="AB15" s="12" t="n">
        <x:f>ROUND(MAX(0,MIN(100,0.30*M15+0.25*R15+0.20*Q15+0.15*K15+0.10*(100-T15))),0)</x:f>
        <x:v>11</x:v>
      </x:c>
      <x:c r="AC15" s="12" t="n">
        <x:f>ROUND(MAX(0,MIN(100,0.55*T15+0.15*S15+0.10*N15+0.10*V15+0.10*W15)),0)</x:f>
        <x:v>54</x:v>
      </x:c>
      <x:c r="AD15" s="12" t="n">
        <x:f>ROUND(MAX(0,MIN(100,0.25*O15+0.25*Q15+0.20*Y15+0.15*U15+0.15*(100-L15))),0)</x:f>
        <x:v>61</x:v>
      </x:c>
      <x:c r="AE15" s="12" t="n">
        <x:f>ROUND(MAX(0,MIN(100,0.30*Y15+0.25*S15+0.15*Q15+0.15*T15+0.15*X15)),0)</x:f>
        <x:v>55</x:v>
      </x:c>
      <x:c r="AF15" s="12" t="n">
        <x:f>ROUND(MAX(0,MIN(100,0.65*X15+0.35*Y15)),0)</x:f>
        <x:v>72</x:v>
      </x:c>
      <x:c r="AG15" s="12" t="str">
        <x:v>https://wikiwiki.jp/poke-unite/%E3%82%B2%E3%83%83%E3%82%B3%E3%82%A6%E3%82%AC</x:v>
      </x:c>
      <x:c r="AH15" s="12" t="str">
        <x:v>「みずしゅりけん」型は、安全な位置を保ちながら、継続火力を積み上げるタイプ。長い戦いで圧を積み上げることと、決め所を自分で締めることを楽しめる人ほど持ち味を出しやすい。</x:v>
      </x:c>
      <x:c r="AI15" s="12" t="str">
        <x:v>継続戦・後方位置・安全ライン</x:v>
      </x:c>
      <x:c r="AJ15" s="12" t="n">
        <x:v>0</x:v>
      </x:c>
    </x:row>
    <x:row r="16">
      <x:c r="A16" s="12" t="str">
        <x:v>ゲッコウガ</x:v>
      </x:c>
      <x:c r="B16" s="12" t="str">
        <x:v>アタック型</x:v>
      </x:c>
      <x:c r="C16" s="12" t="str">
        <x:v>ゲッコウガ-2</x:v>
      </x:c>
      <x:c r="D16" s="12" t="str">
        <x:v>なみのり</x:v>
      </x:c>
      <x:c r="E16" s="12" t="str">
        <x:v>Assassin</x:v>
      </x:c>
      <x:c r="F16" s="12" t="str">
        <x:v>Assassin</x:v>
      </x:c>
      <x:c r="G16" s="12"/>
      <x:c r="H16" s="12" t="str">
        <x:v>立ち位置・戦闘距離・役割が大きく変わるため別プロファイル</x:v>
      </x:c>
      <x:c r="I16" s="12" t="str">
        <x:v>高</x:v>
      </x:c>
      <x:c r="J16" s="12" t="str">
        <x:v>2026-09-30</x:v>
      </x:c>
      <x:c r="K16" s="12" t="n">
        <x:v>55</x:v>
      </x:c>
      <x:c r="L16" s="12" t="n">
        <x:v>100</x:v>
      </x:c>
      <x:c r="M16" s="12" t="n">
        <x:v>0</x:v>
      </x:c>
      <x:c r="N16" s="12" t="n">
        <x:v>10</x:v>
      </x:c>
      <x:c r="O16" s="12" t="n">
        <x:v>15</x:v>
      </x:c>
      <x:c r="P16" s="12" t="n">
        <x:v>0</x:v>
      </x:c>
      <x:c r="Q16" s="12" t="n">
        <x:v>25</x:v>
      </x:c>
      <x:c r="R16" s="12" t="n">
        <x:v>5</x:v>
      </x:c>
      <x:c r="S16" s="12" t="n">
        <x:v>100</x:v>
      </x:c>
      <x:c r="T16" s="12" t="n">
        <x:v>60</x:v>
      </x:c>
      <x:c r="U16" s="12" t="n">
        <x:v>55</x:v>
      </x:c>
      <x:c r="V16" s="12" t="n">
        <x:v>90</x:v>
      </x:c>
      <x:c r="W16" s="12" t="n">
        <x:v>85</x:v>
      </x:c>
      <x:c r="X16" s="12" t="n">
        <x:v>90</x:v>
      </x:c>
      <x:c r="Y16" s="12" t="n">
        <x:v>75</x:v>
      </x:c>
      <x:c r="Z16" s="12" t="n">
        <x:f>ROUND(MAX(0,MIN(100,0.40*K16+0.20*L16+0.10*S16+0.15*V16+0.15*Y16)),0)</x:f>
        <x:v>77</x:v>
      </x:c>
      <x:c r="AA16" s="12" t="n">
        <x:f>ROUND(MAX(0,MIN(100,0.30*L16+0.20*K16+0.15*V16+0.15*W16+0.10*S16+0.10*(100-M16))),0)</x:f>
        <x:v>87</x:v>
      </x:c>
      <x:c r="AB16" s="12" t="n">
        <x:f>ROUND(MAX(0,MIN(100,0.30*M16+0.25*R16+0.20*Q16+0.15*K16+0.10*(100-T16))),0)</x:f>
        <x:v>19</x:v>
      </x:c>
      <x:c r="AC16" s="12" t="n">
        <x:f>ROUND(MAX(0,MIN(100,0.55*T16+0.15*S16+0.10*N16+0.10*V16+0.10*W16)),0)</x:f>
        <x:v>67</x:v>
      </x:c>
      <x:c r="AD16" s="12" t="n">
        <x:f>ROUND(MAX(0,MIN(100,0.25*O16+0.25*Q16+0.20*Y16+0.15*U16+0.15*(100-L16))),0)</x:f>
        <x:v>33</x:v>
      </x:c>
      <x:c r="AE16" s="12" t="n">
        <x:f>ROUND(MAX(0,MIN(100,0.30*Y16+0.25*S16+0.15*Q16+0.15*T16+0.15*X16)),0)</x:f>
        <x:v>74</x:v>
      </x:c>
      <x:c r="AF16" s="12" t="n">
        <x:f>ROUND(MAX(0,MIN(100,0.65*X16+0.35*Y16)),0)</x:f>
        <x:v>85</x:v>
      </x:c>
      <x:c r="AG16" s="12" t="str">
        <x:v>https://wikiwiki.jp/poke-unite/%E3%82%B2%E3%83%83%E3%82%B3%E3%82%A6%E3%82%AC</x:v>
      </x:c>
      <x:c r="AH16" s="12" t="str">
        <x:v>「なみのり」型は、短い好機を見逃さず、相手の隙に一気に入り込むタイプ。深く踏み込んで勝負することと、短い好機を一気に取り切ることを楽しめる人ほど持ち味を出しやすい。</x:v>
      </x:c>
      <x:c r="AI16" s="12" t="str">
        <x:v>自分の仕事・瞬間決着・深い踏み込み</x:v>
      </x:c>
      <x:c r="AJ16" s="12" t="n">
        <x:v>0</x:v>
      </x:c>
    </x:row>
    <x:row r="17">
      <x:c r="A17" s="12" t="str">
        <x:v>サンダー</x:v>
      </x:c>
      <x:c r="B17" s="12" t="str">
        <x:v>アタック型</x:v>
      </x:c>
      <x:c r="C17" s="12" t="str">
        <x:v>サンダー-1</x:v>
      </x:c>
      <x:c r="D17" s="12" t="str">
        <x:v>共通</x:v>
      </x:c>
      <x:c r="E17" s="12" t="str">
        <x:v>BurstMage</x:v>
      </x:c>
      <x:c r="F17" s="12" t="str">
        <x:v>BurstMage</x:v>
      </x:c>
      <x:c r="G17" s="12"/>
      <x:c r="H17" s="12" t="str">
        <x:v>技で細部は変わるが、診断上のプレイ人格は大きく変わらないため統合</x:v>
      </x:c>
      <x:c r="I17" s="12" t="str">
        <x:v>中</x:v>
      </x:c>
      <x:c r="J17" s="12" t="str">
        <x:v>2026-09-30</x:v>
      </x:c>
      <x:c r="K17" s="12" t="n">
        <x:v>30</x:v>
      </x:c>
      <x:c r="L17" s="12" t="n">
        <x:v>5</x:v>
      </x:c>
      <x:c r="M17" s="12" t="n">
        <x:v>35</x:v>
      </x:c>
      <x:c r="N17" s="12" t="n">
        <x:v>0</x:v>
      </x:c>
      <x:c r="O17" s="12" t="n">
        <x:v>100</x:v>
      </x:c>
      <x:c r="P17" s="12" t="n">
        <x:v>10</x:v>
      </x:c>
      <x:c r="Q17" s="12" t="n">
        <x:v>75</x:v>
      </x:c>
      <x:c r="R17" s="12" t="n">
        <x:v>10</x:v>
      </x:c>
      <x:c r="S17" s="12" t="n">
        <x:v>5</x:v>
      </x:c>
      <x:c r="T17" s="12" t="n">
        <x:v>35</x:v>
      </x:c>
      <x:c r="U17" s="12" t="n">
        <x:v>55</x:v>
      </x:c>
      <x:c r="V17" s="12" t="n">
        <x:v>60</x:v>
      </x:c>
      <x:c r="W17" s="12" t="n">
        <x:v>25</x:v>
      </x:c>
      <x:c r="X17" s="12" t="n">
        <x:v>60</x:v>
      </x:c>
      <x:c r="Y17" s="12" t="n">
        <x:v>70</x:v>
      </x:c>
      <x:c r="Z17" s="12" t="n">
        <x:f>ROUND(MAX(0,MIN(100,0.40*K17+0.20*L17+0.10*S17+0.15*V17+0.15*Y17)),0)</x:f>
        <x:v>33</x:v>
      </x:c>
      <x:c r="AA17" s="12" t="n">
        <x:f>ROUND(MAX(0,MIN(100,0.30*L17+0.20*K17+0.15*V17+0.15*W17+0.10*S17+0.10*(100-M17))),0)</x:f>
        <x:v>27</x:v>
      </x:c>
      <x:c r="AB17" s="12" t="n">
        <x:f>ROUND(MAX(0,MIN(100,0.30*M17+0.25*R17+0.20*Q17+0.15*K17+0.10*(100-T17))),0)</x:f>
        <x:v>39</x:v>
      </x:c>
      <x:c r="AC17" s="12" t="n">
        <x:f>ROUND(MAX(0,MIN(100,0.55*T17+0.15*S17+0.10*N17+0.10*V17+0.10*W17)),0)</x:f>
        <x:v>29</x:v>
      </x:c>
      <x:c r="AD17" s="12" t="n">
        <x:f>ROUND(MAX(0,MIN(100,0.25*O17+0.25*Q17+0.20*Y17+0.15*U17+0.15*(100-L17))),0)</x:f>
        <x:v>80</x:v>
      </x:c>
      <x:c r="AE17" s="12" t="n">
        <x:f>ROUND(MAX(0,MIN(100,0.30*Y17+0.25*S17+0.15*Q17+0.15*T17+0.15*X17)),0)</x:f>
        <x:v>48</x:v>
      </x:c>
      <x:c r="AF17" s="12" t="n">
        <x:f>ROUND(MAX(0,MIN(100,0.65*X17+0.35*Y17)),0)</x:f>
        <x:v>64</x:v>
      </x:c>
      <x:c r="AG17" s="12" t="str">
        <x:v>https://wikiwiki.jp/poke-unite/%E3%82%B5%E3%83%B3%E3%83%80%E3%83%BC</x:v>
      </x:c>
      <x:c r="AH17" s="12" t="str">
        <x:v>間合いとタイミングを作り、短い窓に火力をまとめるタイプ。短い好機を一気に取り切ることと、距離と間合いを丁寧に管理することを楽しめる人ほど持ち味を出しやすい。</x:v>
      </x:c>
      <x:c r="AI17" s="12" t="str">
        <x:v>間合い管理・後方位置・定位置</x:v>
      </x:c>
      <x:c r="AJ17" s="12" t="n">
        <x:v>0</x:v>
      </x:c>
    </x:row>
    <x:row r="18">
      <x:c r="A18" s="12" t="str">
        <x:v>サーナイト</x:v>
      </x:c>
      <x:c r="B18" s="12" t="str">
        <x:v>アタック型</x:v>
      </x:c>
      <x:c r="C18" s="12" t="str">
        <x:v>サーナイト-1</x:v>
      </x:c>
      <x:c r="D18" s="12" t="str">
        <x:v>共通</x:v>
      </x:c>
      <x:c r="E18" s="12" t="str">
        <x:v>BurstMage</x:v>
      </x:c>
      <x:c r="F18" s="12" t="str">
        <x:v>BurstMage</x:v>
      </x:c>
      <x:c r="G18" s="12"/>
      <x:c r="H18" s="12" t="str">
        <x:v>技で細部は変わるが、診断上のプレイ人格は大きく変わらないため統合</x:v>
      </x:c>
      <x:c r="I18" s="12" t="str">
        <x:v>高</x:v>
      </x:c>
      <x:c r="J18" s="12" t="str">
        <x:v>2026-09-30</x:v>
      </x:c>
      <x:c r="K18" s="12" t="n">
        <x:v>30</x:v>
      </x:c>
      <x:c r="L18" s="12" t="n">
        <x:v>5</x:v>
      </x:c>
      <x:c r="M18" s="12" t="n">
        <x:v>35</x:v>
      </x:c>
      <x:c r="N18" s="12" t="n">
        <x:v>0</x:v>
      </x:c>
      <x:c r="O18" s="12" t="n">
        <x:v>100</x:v>
      </x:c>
      <x:c r="P18" s="12" t="n">
        <x:v>0</x:v>
      </x:c>
      <x:c r="Q18" s="12" t="n">
        <x:v>80</x:v>
      </x:c>
      <x:c r="R18" s="12" t="n">
        <x:v>10</x:v>
      </x:c>
      <x:c r="S18" s="12" t="n">
        <x:v>20</x:v>
      </x:c>
      <x:c r="T18" s="12" t="n">
        <x:v>25</x:v>
      </x:c>
      <x:c r="U18" s="12" t="n">
        <x:v>65</x:v>
      </x:c>
      <x:c r="V18" s="12" t="n">
        <x:v>60</x:v>
      </x:c>
      <x:c r="W18" s="12" t="n">
        <x:v>25</x:v>
      </x:c>
      <x:c r="X18" s="12" t="n">
        <x:v>60</x:v>
      </x:c>
      <x:c r="Y18" s="12" t="n">
        <x:v>70</x:v>
      </x:c>
      <x:c r="Z18" s="12" t="n">
        <x:f>ROUND(MAX(0,MIN(100,0.40*K18+0.20*L18+0.10*S18+0.15*V18+0.15*Y18)),0)</x:f>
        <x:v>35</x:v>
      </x:c>
      <x:c r="AA18" s="12" t="n">
        <x:f>ROUND(MAX(0,MIN(100,0.30*L18+0.20*K18+0.15*V18+0.15*W18+0.10*S18+0.10*(100-M18))),0)</x:f>
        <x:v>29</x:v>
      </x:c>
      <x:c r="AB18" s="12" t="n">
        <x:f>ROUND(MAX(0,MIN(100,0.30*M18+0.25*R18+0.20*Q18+0.15*K18+0.10*(100-T18))),0)</x:f>
        <x:v>41</x:v>
      </x:c>
      <x:c r="AC18" s="12" t="n">
        <x:f>ROUND(MAX(0,MIN(100,0.55*T18+0.15*S18+0.10*N18+0.10*V18+0.10*W18)),0)</x:f>
        <x:v>25</x:v>
      </x:c>
      <x:c r="AD18" s="12" t="n">
        <x:f>ROUND(MAX(0,MIN(100,0.25*O18+0.25*Q18+0.20*Y18+0.15*U18+0.15*(100-L18))),0)</x:f>
        <x:v>83</x:v>
      </x:c>
      <x:c r="AE18" s="12" t="n">
        <x:f>ROUND(MAX(0,MIN(100,0.30*Y18+0.25*S18+0.15*Q18+0.15*T18+0.15*X18)),0)</x:f>
        <x:v>51</x:v>
      </x:c>
      <x:c r="AF18" s="12" t="n">
        <x:f>ROUND(MAX(0,MIN(100,0.65*X18+0.35*Y18)),0)</x:f>
        <x:v>64</x:v>
      </x:c>
      <x:c r="AG18" s="12" t="str">
        <x:v>https://wikiwiki.jp/poke-unite/%E3%82%B5%E3%83%BC%E3%83%8A%E3%82%A4%E3%83%88</x:v>
      </x:c>
      <x:c r="AH18" s="12" t="str">
        <x:v>間合いとタイミングを作り、短い窓に火力をまとめるタイプ。短い好機を一気に取り切ることと、距離と間合いを丁寧に管理することを楽しめる人ほど持ち味を出しやすい。</x:v>
      </x:c>
      <x:c r="AI18" s="12" t="str">
        <x:v>間合い管理・瞬間決着・後方位置</x:v>
      </x:c>
      <x:c r="AJ18" s="12" t="n">
        <x:v>0</x:v>
      </x:c>
    </x:row>
    <x:row r="19">
      <x:c r="A19" s="12" t="str">
        <x:v>シャンデラ</x:v>
      </x:c>
      <x:c r="B19" s="12" t="str">
        <x:v>アタック型</x:v>
      </x:c>
      <x:c r="C19" s="12" t="str">
        <x:v>シャンデラ-1</x:v>
      </x:c>
      <x:c r="D19" s="12" t="str">
        <x:v>共通</x:v>
      </x:c>
      <x:c r="E19" s="12" t="str">
        <x:v>BurstMage</x:v>
      </x:c>
      <x:c r="F19" s="12" t="str">
        <x:v>BurstMage</x:v>
      </x:c>
      <x:c r="G19" s="12"/>
      <x:c r="H19" s="12" t="str">
        <x:v>技で細部は変わるが、診断上のプレイ人格は大きく変わらないため統合</x:v>
      </x:c>
      <x:c r="I19" s="12" t="str">
        <x:v>高</x:v>
      </x:c>
      <x:c r="J19" s="12" t="str">
        <x:v>2026-09-30</x:v>
      </x:c>
      <x:c r="K19" s="12" t="n">
        <x:v>30</x:v>
      </x:c>
      <x:c r="L19" s="12" t="n">
        <x:v>5</x:v>
      </x:c>
      <x:c r="M19" s="12" t="n">
        <x:v>35</x:v>
      </x:c>
      <x:c r="N19" s="12" t="n">
        <x:v>0</x:v>
      </x:c>
      <x:c r="O19" s="12" t="n">
        <x:v>100</x:v>
      </x:c>
      <x:c r="P19" s="12" t="n">
        <x:v>25</x:v>
      </x:c>
      <x:c r="Q19" s="12" t="n">
        <x:v>90</x:v>
      </x:c>
      <x:c r="R19" s="12" t="n">
        <x:v>10</x:v>
      </x:c>
      <x:c r="S19" s="12" t="n">
        <x:v>20</x:v>
      </x:c>
      <x:c r="T19" s="12" t="n">
        <x:v>25</x:v>
      </x:c>
      <x:c r="U19" s="12" t="n">
        <x:v>55</x:v>
      </x:c>
      <x:c r="V19" s="12" t="n">
        <x:v>60</x:v>
      </x:c>
      <x:c r="W19" s="12" t="n">
        <x:v>25</x:v>
      </x:c>
      <x:c r="X19" s="12" t="n">
        <x:v>60</x:v>
      </x:c>
      <x:c r="Y19" s="12" t="n">
        <x:v>75</x:v>
      </x:c>
      <x:c r="Z19" s="12" t="n">
        <x:f>ROUND(MAX(0,MIN(100,0.40*K19+0.20*L19+0.10*S19+0.15*V19+0.15*Y19)),0)</x:f>
        <x:v>35</x:v>
      </x:c>
      <x:c r="AA19" s="12" t="n">
        <x:f>ROUND(MAX(0,MIN(100,0.30*L19+0.20*K19+0.15*V19+0.15*W19+0.10*S19+0.10*(100-M19))),0)</x:f>
        <x:v>29</x:v>
      </x:c>
      <x:c r="AB19" s="12" t="n">
        <x:f>ROUND(MAX(0,MIN(100,0.30*M19+0.25*R19+0.20*Q19+0.15*K19+0.10*(100-T19))),0)</x:f>
        <x:v>43</x:v>
      </x:c>
      <x:c r="AC19" s="12" t="n">
        <x:f>ROUND(MAX(0,MIN(100,0.55*T19+0.15*S19+0.10*N19+0.10*V19+0.10*W19)),0)</x:f>
        <x:v>25</x:v>
      </x:c>
      <x:c r="AD19" s="12" t="n">
        <x:f>ROUND(MAX(0,MIN(100,0.25*O19+0.25*Q19+0.20*Y19+0.15*U19+0.15*(100-L19))),0)</x:f>
        <x:v>85</x:v>
      </x:c>
      <x:c r="AE19" s="12" t="n">
        <x:f>ROUND(MAX(0,MIN(100,0.30*Y19+0.25*S19+0.15*Q19+0.15*T19+0.15*X19)),0)</x:f>
        <x:v>54</x:v>
      </x:c>
      <x:c r="AF19" s="12" t="n">
        <x:f>ROUND(MAX(0,MIN(100,0.65*X19+0.35*Y19)),0)</x:f>
        <x:v>65</x:v>
      </x:c>
      <x:c r="AG19" s="12" t="str">
        <x:v>https://wikiwiki.jp/poke-unite/%E3%82%B7%E3%83%A3%E3%83%B3%E3%83%87%E3%83%A9</x:v>
      </x:c>
      <x:c r="AH19" s="12" t="str">
        <x:v>間合いとタイミングを作り、短い窓に火力をまとめるタイプ。短い好機を一気に取り切ることと、距離と間合いを丁寧に管理することを楽しめる人ほど持ち味を出しやすい。</x:v>
      </x:c>
      <x:c r="AI19" s="12" t="str">
        <x:v>間合い管理・後方位置・安全ライン</x:v>
      </x:c>
      <x:c r="AJ19" s="12" t="n">
        <x:v>0</x:v>
      </x:c>
    </x:row>
    <x:row r="20">
      <x:c r="A20" s="12" t="str">
        <x:v>ジュナイパー</x:v>
      </x:c>
      <x:c r="B20" s="12" t="str">
        <x:v>アタック型</x:v>
      </x:c>
      <x:c r="C20" s="12" t="str">
        <x:v>ジュナイパー-1</x:v>
      </x:c>
      <x:c r="D20" s="12" t="str">
        <x:v>かげぬい</x:v>
      </x:c>
      <x:c r="E20" s="12" t="str">
        <x:v>Artillery</x:v>
      </x:c>
      <x:c r="F20" s="12" t="str">
        <x:v>Artillery</x:v>
      </x:c>
      <x:c r="G20" s="12"/>
      <x:c r="H20" s="12" t="str">
        <x:v>立ち位置・戦闘距離・役割が大きく変わるため別プロファイル</x:v>
      </x:c>
      <x:c r="I20" s="12" t="str">
        <x:v>高</x:v>
      </x:c>
      <x:c r="J20" s="12" t="str">
        <x:v>2026-09-30</x:v>
      </x:c>
      <x:c r="K20" s="12" t="n">
        <x:v>15</x:v>
      </x:c>
      <x:c r="L20" s="12" t="n">
        <x:v>5</x:v>
      </x:c>
      <x:c r="M20" s="12" t="n">
        <x:v>15</x:v>
      </x:c>
      <x:c r="N20" s="12" t="n">
        <x:v>5</x:v>
      </x:c>
      <x:c r="O20" s="12" t="n">
        <x:v>100</x:v>
      </x:c>
      <x:c r="P20" s="12" t="n">
        <x:v>20</x:v>
      </x:c>
      <x:c r="Q20" s="12" t="n">
        <x:v>45</x:v>
      </x:c>
      <x:c r="R20" s="12" t="n">
        <x:v>5</x:v>
      </x:c>
      <x:c r="S20" s="12" t="n">
        <x:v>5</x:v>
      </x:c>
      <x:c r="T20" s="12" t="n">
        <x:v>35</x:v>
      </x:c>
      <x:c r="U20" s="12" t="n">
        <x:v>75</x:v>
      </x:c>
      <x:c r="V20" s="12" t="n">
        <x:v>95</x:v>
      </x:c>
      <x:c r="W20" s="12" t="n">
        <x:v>20</x:v>
      </x:c>
      <x:c r="X20" s="12" t="n">
        <x:v>100</x:v>
      </x:c>
      <x:c r="Y20" s="12" t="n">
        <x:v>80</x:v>
      </x:c>
      <x:c r="Z20" s="12" t="n">
        <x:f>ROUND(MAX(0,MIN(100,0.40*K20+0.20*L20+0.10*S20+0.15*V20+0.15*Y20)),0)</x:f>
        <x:v>34</x:v>
      </x:c>
      <x:c r="AA20" s="12" t="n">
        <x:f>ROUND(MAX(0,MIN(100,0.30*L20+0.20*K20+0.15*V20+0.15*W20+0.10*S20+0.10*(100-M20))),0)</x:f>
        <x:v>31</x:v>
      </x:c>
      <x:c r="AB20" s="12" t="n">
        <x:f>ROUND(MAX(0,MIN(100,0.30*M20+0.25*R20+0.20*Q20+0.15*K20+0.10*(100-T20))),0)</x:f>
        <x:v>24</x:v>
      </x:c>
      <x:c r="AC20" s="12" t="n">
        <x:f>ROUND(MAX(0,MIN(100,0.55*T20+0.15*S20+0.10*N20+0.10*V20+0.10*W20)),0)</x:f>
        <x:v>32</x:v>
      </x:c>
      <x:c r="AD20" s="12" t="n">
        <x:f>ROUND(MAX(0,MIN(100,0.25*O20+0.25*Q20+0.20*Y20+0.15*U20+0.15*(100-L20))),0)</x:f>
        <x:v>78</x:v>
      </x:c>
      <x:c r="AE20" s="12" t="n">
        <x:f>ROUND(MAX(0,MIN(100,0.30*Y20+0.25*S20+0.15*Q20+0.15*T20+0.15*X20)),0)</x:f>
        <x:v>52</x:v>
      </x:c>
      <x:c r="AF20" s="12" t="n">
        <x:f>ROUND(MAX(0,MIN(100,0.65*X20+0.35*Y20)),0)</x:f>
        <x:v>93</x:v>
      </x:c>
      <x:c r="AG20" s="12" t="str">
        <x:v>https://wikiwiki.jp/poke-unite/%E3%82%B8%E3%83%A5%E3%83%8A%E3%82%A4%E3%83%91%E3%83%BC</x:v>
      </x:c>
      <x:c r="AH20" s="12" t="str">
        <x:v>「かげぬい」型は、遠い位置から予測と照準で大きな一発を通すタイプ。距離と間合いを丁寧に管理することと、短い好機を一気に取り切ることを楽しめる人ほど持ち味を出しやすい。</x:v>
      </x:c>
      <x:c r="AI20" s="12" t="str">
        <x:v>間合い管理・操作精度・自己遂行</x:v>
      </x:c>
      <x:c r="AJ20" s="12" t="n">
        <x:v>0</x:v>
      </x:c>
    </x:row>
    <x:row r="21">
      <x:c r="A21" s="12" t="str">
        <x:v>ジュナイパー</x:v>
      </x:c>
      <x:c r="B21" s="12" t="str">
        <x:v>アタック型</x:v>
      </x:c>
      <x:c r="C21" s="12" t="str">
        <x:v>ジュナイパー-2</x:v>
      </x:c>
      <x:c r="D21" s="12" t="str">
        <x:v>はっぱカッター</x:v>
      </x:c>
      <x:c r="E21" s="12" t="str">
        <x:v>Marksman</x:v>
      </x:c>
      <x:c r="F21" s="12" t="str">
        <x:v>Marksman</x:v>
      </x:c>
      <x:c r="G21" s="12"/>
      <x:c r="H21" s="12" t="str">
        <x:v>立ち位置・戦闘距離・役割が大きく変わるため別プロファイル</x:v>
      </x:c>
      <x:c r="I21" s="12" t="str">
        <x:v>高</x:v>
      </x:c>
      <x:c r="J21" s="12" t="str">
        <x:v>2026-09-30</x:v>
      </x:c>
      <x:c r="K21" s="12" t="n">
        <x:v>5</x:v>
      </x:c>
      <x:c r="L21" s="12" t="n">
        <x:v>0</x:v>
      </x:c>
      <x:c r="M21" s="12" t="n">
        <x:v>10</x:v>
      </x:c>
      <x:c r="N21" s="12" t="n">
        <x:v>0</x:v>
      </x:c>
      <x:c r="O21" s="12" t="n">
        <x:v>55</x:v>
      </x:c>
      <x:c r="P21" s="12" t="n">
        <x:v>95</x:v>
      </x:c>
      <x:c r="Q21" s="12" t="n">
        <x:v>5</x:v>
      </x:c>
      <x:c r="R21" s="12" t="n">
        <x:v>5</x:v>
      </x:c>
      <x:c r="S21" s="12" t="n">
        <x:v>30</x:v>
      </x:c>
      <x:c r="T21" s="12" t="n">
        <x:v>45</x:v>
      </x:c>
      <x:c r="U21" s="12" t="n">
        <x:v>85</x:v>
      </x:c>
      <x:c r="V21" s="12" t="n">
        <x:v>100</x:v>
      </x:c>
      <x:c r="W21" s="12" t="n">
        <x:v>55</x:v>
      </x:c>
      <x:c r="X21" s="12" t="n">
        <x:v>65</x:v>
      </x:c>
      <x:c r="Y21" s="12" t="n">
        <x:v>65</x:v>
      </x:c>
      <x:c r="Z21" s="12" t="n">
        <x:f>ROUND(MAX(0,MIN(100,0.40*K21+0.20*L21+0.10*S21+0.15*V21+0.15*Y21)),0)</x:f>
        <x:v>30</x:v>
      </x:c>
      <x:c r="AA21" s="12" t="n">
        <x:f>ROUND(MAX(0,MIN(100,0.30*L21+0.20*K21+0.15*V21+0.15*W21+0.10*S21+0.10*(100-M21))),0)</x:f>
        <x:v>36</x:v>
      </x:c>
      <x:c r="AB21" s="12" t="n">
        <x:f>ROUND(MAX(0,MIN(100,0.30*M21+0.25*R21+0.20*Q21+0.15*K21+0.10*(100-T21))),0)</x:f>
        <x:v>12</x:v>
      </x:c>
      <x:c r="AC21" s="12" t="n">
        <x:f>ROUND(MAX(0,MIN(100,0.55*T21+0.15*S21+0.10*N21+0.10*V21+0.10*W21)),0)</x:f>
        <x:v>45</x:v>
      </x:c>
      <x:c r="AD21" s="12" t="n">
        <x:f>ROUND(MAX(0,MIN(100,0.25*O21+0.25*Q21+0.20*Y21+0.15*U21+0.15*(100-L21))),0)</x:f>
        <x:v>56</x:v>
      </x:c>
      <x:c r="AE21" s="12" t="n">
        <x:f>ROUND(MAX(0,MIN(100,0.30*Y21+0.25*S21+0.15*Q21+0.15*T21+0.15*X21)),0)</x:f>
        <x:v>44</x:v>
      </x:c>
      <x:c r="AF21" s="12" t="n">
        <x:f>ROUND(MAX(0,MIN(100,0.65*X21+0.35*Y21)),0)</x:f>
        <x:v>65</x:v>
      </x:c>
      <x:c r="AG21" s="12" t="str">
        <x:v>https://wikiwiki.jp/poke-unite/%E3%82%B8%E3%83%A5%E3%83%8A%E3%82%A4%E3%83%91%E3%83%BC</x:v>
      </x:c>
      <x:c r="AH21" s="12" t="str">
        <x:v>「はっぱカッター」型は、安全な位置を保ちながら、継続火力を積み上げるタイプ。長い戦いで圧を積み上げることと、決め所を自分で締めることを楽しめる人ほど持ち味を出しやすい。</x:v>
      </x:c>
      <x:c r="AI21" s="12" t="str">
        <x:v>後方位置・安全ライン・取り切り</x:v>
      </x:c>
      <x:c r="AJ21" s="12" t="n">
        <x:v>0</x:v>
      </x:c>
    </x:row>
    <x:row r="22">
      <x:c r="A22" s="12" t="str">
        <x:v>ジュラルドン</x:v>
      </x:c>
      <x:c r="B22" s="12" t="str">
        <x:v>アタック型</x:v>
      </x:c>
      <x:c r="C22" s="12" t="str">
        <x:v>ジュラルドン-1</x:v>
      </x:c>
      <x:c r="D22" s="12" t="str">
        <x:v>共通</x:v>
      </x:c>
      <x:c r="E22" s="12" t="str">
        <x:v>Marksman / Artillery</x:v>
      </x:c>
      <x:c r="F22" s="12" t="str">
        <x:v>Marksman</x:v>
      </x:c>
      <x:c r="G22" s="12" t="str">
        <x:v>Artillery</x:v>
      </x:c>
      <x:c r="H22" s="12" t="str">
        <x:v>技で細部は変わるが、診断上のプレイ人格は大きく変わらないため統合</x:v>
      </x:c>
      <x:c r="I22" s="12" t="str">
        <x:v>高</x:v>
      </x:c>
      <x:c r="J22" s="12" t="str">
        <x:v>2026-09-30</x:v>
      </x:c>
      <x:c r="K22" s="12" t="n">
        <x:v>20</x:v>
      </x:c>
      <x:c r="L22" s="12" t="n">
        <x:v>5</x:v>
      </x:c>
      <x:c r="M22" s="12" t="n">
        <x:v>20</x:v>
      </x:c>
      <x:c r="N22" s="12" t="n">
        <x:v>0</x:v>
      </x:c>
      <x:c r="O22" s="12" t="n">
        <x:v>85</x:v>
      </x:c>
      <x:c r="P22" s="12" t="n">
        <x:v>55</x:v>
      </x:c>
      <x:c r="Q22" s="12" t="n">
        <x:v>40</x:v>
      </x:c>
      <x:c r="R22" s="12" t="n">
        <x:v>5</x:v>
      </x:c>
      <x:c r="S22" s="12" t="n">
        <x:v>30</x:v>
      </x:c>
      <x:c r="T22" s="12" t="n">
        <x:v>45</x:v>
      </x:c>
      <x:c r="U22" s="12" t="n">
        <x:v>75</x:v>
      </x:c>
      <x:c r="V22" s="12" t="n">
        <x:v>85</x:v>
      </x:c>
      <x:c r="W22" s="12" t="n">
        <x:v>30</x:v>
      </x:c>
      <x:c r="X22" s="12" t="n">
        <x:v>85</x:v>
      </x:c>
      <x:c r="Y22" s="12" t="n">
        <x:v>75</x:v>
      </x:c>
      <x:c r="Z22" s="12" t="n">
        <x:f>ROUND(MAX(0,MIN(100,0.40*K22+0.20*L22+0.10*S22+0.15*V22+0.15*Y22)),0)</x:f>
        <x:v>36</x:v>
      </x:c>
      <x:c r="AA22" s="12" t="n">
        <x:f>ROUND(MAX(0,MIN(100,0.30*L22+0.20*K22+0.15*V22+0.15*W22+0.10*S22+0.10*(100-M22))),0)</x:f>
        <x:v>34</x:v>
      </x:c>
      <x:c r="AB22" s="12" t="n">
        <x:f>ROUND(MAX(0,MIN(100,0.30*M22+0.25*R22+0.20*Q22+0.15*K22+0.10*(100-T22))),0)</x:f>
        <x:v>24</x:v>
      </x:c>
      <x:c r="AC22" s="12" t="n">
        <x:f>ROUND(MAX(0,MIN(100,0.55*T22+0.15*S22+0.10*N22+0.10*V22+0.10*W22)),0)</x:f>
        <x:v>41</x:v>
      </x:c>
      <x:c r="AD22" s="12" t="n">
        <x:f>ROUND(MAX(0,MIN(100,0.25*O22+0.25*Q22+0.20*Y22+0.15*U22+0.15*(100-L22))),0)</x:f>
        <x:v>72</x:v>
      </x:c>
      <x:c r="AE22" s="12" t="n">
        <x:f>ROUND(MAX(0,MIN(100,0.30*Y22+0.25*S22+0.15*Q22+0.15*T22+0.15*X22)),0)</x:f>
        <x:v>56</x:v>
      </x:c>
      <x:c r="AF22" s="12" t="n">
        <x:f>ROUND(MAX(0,MIN(100,0.65*X22+0.35*Y22)),0)</x:f>
        <x:v>82</x:v>
      </x:c>
      <x:c r="AG22" s="12" t="str">
        <x:v>https://wikiwiki.jp/poke-unite/%E3%82%B8%E3%83%A5%E3%83%A9%E3%83%AB%E3%83%89%E3%83%B3</x:v>
      </x:c>
      <x:c r="AH22" s="12" t="str">
        <x:v>安全な位置を保ちながら、継続火力を積み上げるタイプ。長い戦いで圧を積み上げることと、決め所を自分で締めることを楽しめる人ほど持ち味を出しやすい。</x:v>
      </x:c>
      <x:c r="AI22" s="12" t="str">
        <x:v>後方位置・自己遂行・安全ライン</x:v>
      </x:c>
      <x:c r="AJ22" s="12" t="n">
        <x:v>0</x:v>
      </x:c>
    </x:row>
    <x:row r="23">
      <x:c r="A23" s="12" t="str">
        <x:v>ドラパルト</x:v>
      </x:c>
      <x:c r="B23" s="12" t="str">
        <x:v>アタック型</x:v>
      </x:c>
      <x:c r="C23" s="12" t="str">
        <x:v>ドラパルト-1</x:v>
      </x:c>
      <x:c r="D23" s="12" t="str">
        <x:v>りゅうのまい</x:v>
      </x:c>
      <x:c r="E23" s="12" t="str">
        <x:v>Marksman / Diver</x:v>
      </x:c>
      <x:c r="F23" s="12" t="str">
        <x:v>Marksman</x:v>
      </x:c>
      <x:c r="G23" s="12" t="str">
        <x:v>Diver</x:v>
      </x:c>
      <x:c r="H23" s="12" t="str">
        <x:v>立ち位置・戦闘距離・役割が大きく変わるため別プロファイル</x:v>
      </x:c>
      <x:c r="I23" s="12" t="str">
        <x:v>高</x:v>
      </x:c>
      <x:c r="J23" s="12" t="str">
        <x:v>2026-09-30</x:v>
      </x:c>
      <x:c r="K23" s="12" t="n">
        <x:v>45</x:v>
      </x:c>
      <x:c r="L23" s="12" t="n">
        <x:v>45</x:v>
      </x:c>
      <x:c r="M23" s="12" t="n">
        <x:v>10</x:v>
      </x:c>
      <x:c r="N23" s="12" t="n">
        <x:v>30</x:v>
      </x:c>
      <x:c r="O23" s="12" t="n">
        <x:v>45</x:v>
      </x:c>
      <x:c r="P23" s="12" t="n">
        <x:v>80</x:v>
      </x:c>
      <x:c r="Q23" s="12" t="n">
        <x:v>20</x:v>
      </x:c>
      <x:c r="R23" s="12" t="n">
        <x:v>5</x:v>
      </x:c>
      <x:c r="S23" s="12" t="n">
        <x:v>75</x:v>
      </x:c>
      <x:c r="T23" s="12" t="n">
        <x:v>65</x:v>
      </x:c>
      <x:c r="U23" s="12" t="n">
        <x:v>75</x:v>
      </x:c>
      <x:c r="V23" s="12" t="n">
        <x:v>75</x:v>
      </x:c>
      <x:c r="W23" s="12" t="n">
        <x:v>55</x:v>
      </x:c>
      <x:c r="X23" s="12" t="n">
        <x:v>75</x:v>
      </x:c>
      <x:c r="Y23" s="12" t="n">
        <x:v>65</x:v>
      </x:c>
      <x:c r="Z23" s="12" t="n">
        <x:f>ROUND(MAX(0,MIN(100,0.40*K23+0.20*L23+0.10*S23+0.15*V23+0.15*Y23)),0)</x:f>
        <x:v>56</x:v>
      </x:c>
      <x:c r="AA23" s="12" t="n">
        <x:f>ROUND(MAX(0,MIN(100,0.30*L23+0.20*K23+0.15*V23+0.15*W23+0.10*S23+0.10*(100-M23))),0)</x:f>
        <x:v>59</x:v>
      </x:c>
      <x:c r="AB23" s="12" t="n">
        <x:f>ROUND(MAX(0,MIN(100,0.30*M23+0.25*R23+0.20*Q23+0.15*K23+0.10*(100-T23))),0)</x:f>
        <x:v>19</x:v>
      </x:c>
      <x:c r="AC23" s="12" t="n">
        <x:f>ROUND(MAX(0,MIN(100,0.55*T23+0.15*S23+0.10*N23+0.10*V23+0.10*W23)),0)</x:f>
        <x:v>63</x:v>
      </x:c>
      <x:c r="AD23" s="12" t="n">
        <x:f>ROUND(MAX(0,MIN(100,0.25*O23+0.25*Q23+0.20*Y23+0.15*U23+0.15*(100-L23))),0)</x:f>
        <x:v>49</x:v>
      </x:c>
      <x:c r="AE23" s="12" t="n">
        <x:f>ROUND(MAX(0,MIN(100,0.30*Y23+0.25*S23+0.15*Q23+0.15*T23+0.15*X23)),0)</x:f>
        <x:v>62</x:v>
      </x:c>
      <x:c r="AF23" s="12" t="n">
        <x:f>ROUND(MAX(0,MIN(100,0.65*X23+0.35*Y23)),0)</x:f>
        <x:v>72</x:v>
      </x:c>
      <x:c r="AG23" s="12" t="str">
        <x:v>https://wikiwiki.jp/poke-unite/%E3%83%89%E3%83%A9%E3%83%91%E3%83%AB%E3%83%88</x:v>
      </x:c>
      <x:c r="AH23" s="12" t="str">
        <x:v>「りゅうのまい」型は、安全な位置を保ちながら、継続火力を積み上げるタイプ。長い戦いで圧を積み上げることと、決め所を自分で締めることを楽しめる人ほど持ち味を出しやすい。</x:v>
      </x:c>
      <x:c r="AI23" s="12" t="str">
        <x:v>自己遂行・自分の仕事・継続戦</x:v>
      </x:c>
      <x:c r="AJ23" s="12" t="n">
        <x:v>0</x:v>
      </x:c>
    </x:row>
    <x:row r="24">
      <x:c r="A24" s="12" t="str">
        <x:v>ドラパルト</x:v>
      </x:c>
      <x:c r="B24" s="12" t="str">
        <x:v>アタック型</x:v>
      </x:c>
      <x:c r="C24" s="12" t="str">
        <x:v>ドラパルト-2</x:v>
      </x:c>
      <x:c r="D24" s="12" t="str">
        <x:v>ゴーストダイブ</x:v>
      </x:c>
      <x:c r="E24" s="12" t="str">
        <x:v>Assassin / Marksman</x:v>
      </x:c>
      <x:c r="F24" s="12" t="str">
        <x:v>Assassin</x:v>
      </x:c>
      <x:c r="G24" s="12" t="str">
        <x:v>Marksman</x:v>
      </x:c>
      <x:c r="H24" s="12" t="str">
        <x:v>立ち位置・戦闘距離・役割が大きく変わるため別プロファイル</x:v>
      </x:c>
      <x:c r="I24" s="12" t="str">
        <x:v>高</x:v>
      </x:c>
      <x:c r="J24" s="12" t="str">
        <x:v>2026-09-30</x:v>
      </x:c>
      <x:c r="K24" s="12" t="n">
        <x:v>35</x:v>
      </x:c>
      <x:c r="L24" s="12" t="n">
        <x:v>65</x:v>
      </x:c>
      <x:c r="M24" s="12" t="n">
        <x:v>15</x:v>
      </x:c>
      <x:c r="N24" s="12" t="n">
        <x:v>0</x:v>
      </x:c>
      <x:c r="O24" s="12" t="n">
        <x:v>40</x:v>
      </x:c>
      <x:c r="P24" s="12" t="n">
        <x:v>40</x:v>
      </x:c>
      <x:c r="Q24" s="12" t="n">
        <x:v>5</x:v>
      </x:c>
      <x:c r="R24" s="12" t="n">
        <x:v>5</x:v>
      </x:c>
      <x:c r="S24" s="12" t="n">
        <x:v>80</x:v>
      </x:c>
      <x:c r="T24" s="12" t="n">
        <x:v>60</x:v>
      </x:c>
      <x:c r="U24" s="12" t="n">
        <x:v>65</x:v>
      </x:c>
      <x:c r="V24" s="12" t="n">
        <x:v>90</x:v>
      </x:c>
      <x:c r="W24" s="12" t="n">
        <x:v>75</x:v>
      </x:c>
      <x:c r="X24" s="12" t="n">
        <x:v>65</x:v>
      </x:c>
      <x:c r="Y24" s="12" t="n">
        <x:v>75</x:v>
      </x:c>
      <x:c r="Z24" s="12" t="n">
        <x:f>ROUND(MAX(0,MIN(100,0.40*K24+0.20*L24+0.10*S24+0.15*V24+0.15*Y24)),0)</x:f>
        <x:v>60</x:v>
      </x:c>
      <x:c r="AA24" s="12" t="n">
        <x:f>ROUND(MAX(0,MIN(100,0.30*L24+0.20*K24+0.15*V24+0.15*W24+0.10*S24+0.10*(100-M24))),0)</x:f>
        <x:v>68</x:v>
      </x:c>
      <x:c r="AB24" s="12" t="n">
        <x:f>ROUND(MAX(0,MIN(100,0.30*M24+0.25*R24+0.20*Q24+0.15*K24+0.10*(100-T24))),0)</x:f>
        <x:v>16</x:v>
      </x:c>
      <x:c r="AC24" s="12" t="n">
        <x:f>ROUND(MAX(0,MIN(100,0.55*T24+0.15*S24+0.10*N24+0.10*V24+0.10*W24)),0)</x:f>
        <x:v>62</x:v>
      </x:c>
      <x:c r="AD24" s="12" t="n">
        <x:f>ROUND(MAX(0,MIN(100,0.25*O24+0.25*Q24+0.20*Y24+0.15*U24+0.15*(100-L24))),0)</x:f>
        <x:v>41</x:v>
      </x:c>
      <x:c r="AE24" s="12" t="n">
        <x:f>ROUND(MAX(0,MIN(100,0.30*Y24+0.25*S24+0.15*Q24+0.15*T24+0.15*X24)),0)</x:f>
        <x:v>62</x:v>
      </x:c>
      <x:c r="AF24" s="12" t="n">
        <x:f>ROUND(MAX(0,MIN(100,0.65*X24+0.35*Y24)),0)</x:f>
        <x:v>69</x:v>
      </x:c>
      <x:c r="AG24" s="12" t="str">
        <x:v>https://wikiwiki.jp/poke-unite/%E3%83%89%E3%83%A9%E3%83%91%E3%83%AB%E3%83%88</x:v>
      </x:c>
      <x:c r="AH24" s="12" t="str">
        <x:v>「ゴーストダイブ」型は、短い好機を見逃さず、相手の隙に一気に入り込むタイプ。短い好機を一気に取り切ることと、場所を変えながら揺さぶることを楽しめる人ほど持ち味を出しやすい。</x:v>
      </x:c>
      <x:c r="AI24" s="12" t="str">
        <x:v>後方位置・自己遂行・シンプル攻め</x:v>
      </x:c>
      <x:c r="AJ24" s="12" t="n">
        <x:v>0</x:v>
      </x:c>
    </x:row>
    <x:row r="25">
      <x:c r="A25" s="12" t="str">
        <x:v>ニンフィア</x:v>
      </x:c>
      <x:c r="B25" s="12" t="str">
        <x:v>アタック型</x:v>
      </x:c>
      <x:c r="C25" s="12" t="str">
        <x:v>ニンフィア-1</x:v>
      </x:c>
      <x:c r="D25" s="12" t="str">
        <x:v>共通</x:v>
      </x:c>
      <x:c r="E25" s="12" t="str">
        <x:v>BattleMage / Skirmisher</x:v>
      </x:c>
      <x:c r="F25" s="12" t="str">
        <x:v>BattleMage</x:v>
      </x:c>
      <x:c r="G25" s="12" t="str">
        <x:v>Skirmisher</x:v>
      </x:c>
      <x:c r="H25" s="12" t="str">
        <x:v>技で細部は変わるが、診断上のプレイ人格は大きく変わらないため統合</x:v>
      </x:c>
      <x:c r="I25" s="12" t="str">
        <x:v>高</x:v>
      </x:c>
      <x:c r="J25" s="12" t="str">
        <x:v>2026-09-30</x:v>
      </x:c>
      <x:c r="K25" s="12" t="n">
        <x:v>50</x:v>
      </x:c>
      <x:c r="L25" s="12" t="n">
        <x:v>55</x:v>
      </x:c>
      <x:c r="M25" s="12" t="n">
        <x:v>30</x:v>
      </x:c>
      <x:c r="N25" s="12" t="n">
        <x:v>50</x:v>
      </x:c>
      <x:c r="O25" s="12" t="n">
        <x:v>40</x:v>
      </x:c>
      <x:c r="P25" s="12" t="n">
        <x:v>60</x:v>
      </x:c>
      <x:c r="Q25" s="12" t="n">
        <x:v>50</x:v>
      </x:c>
      <x:c r="R25" s="12" t="n">
        <x:v>10</x:v>
      </x:c>
      <x:c r="S25" s="12" t="n">
        <x:v>70</x:v>
      </x:c>
      <x:c r="T25" s="12" t="n">
        <x:v>70</x:v>
      </x:c>
      <x:c r="U25" s="12" t="n">
        <x:v>55</x:v>
      </x:c>
      <x:c r="V25" s="12" t="n">
        <x:v>65</x:v>
      </x:c>
      <x:c r="W25" s="12" t="n">
        <x:v>55</x:v>
      </x:c>
      <x:c r="X25" s="12" t="n">
        <x:v>60</x:v>
      </x:c>
      <x:c r="Y25" s="12" t="n">
        <x:v>65</x:v>
      </x:c>
      <x:c r="Z25" s="12" t="n">
        <x:f>ROUND(MAX(0,MIN(100,0.40*K25+0.20*L25+0.10*S25+0.15*V25+0.15*Y25)),0)</x:f>
        <x:v>58</x:v>
      </x:c>
      <x:c r="AA25" s="12" t="n">
        <x:f>ROUND(MAX(0,MIN(100,0.30*L25+0.20*K25+0.15*V25+0.15*W25+0.10*S25+0.10*(100-M25))),0)</x:f>
        <x:v>59</x:v>
      </x:c>
      <x:c r="AB25" s="12" t="n">
        <x:f>ROUND(MAX(0,MIN(100,0.30*M25+0.25*R25+0.20*Q25+0.15*K25+0.10*(100-T25))),0)</x:f>
        <x:v>32</x:v>
      </x:c>
      <x:c r="AC25" s="12" t="n">
        <x:f>ROUND(MAX(0,MIN(100,0.55*T25+0.15*S25+0.10*N25+0.10*V25+0.10*W25)),0)</x:f>
        <x:v>66</x:v>
      </x:c>
      <x:c r="AD25" s="12" t="n">
        <x:f>ROUND(MAX(0,MIN(100,0.25*O25+0.25*Q25+0.20*Y25+0.15*U25+0.15*(100-L25))),0)</x:f>
        <x:v>51</x:v>
      </x:c>
      <x:c r="AE25" s="12" t="n">
        <x:f>ROUND(MAX(0,MIN(100,0.30*Y25+0.25*S25+0.15*Q25+0.15*T25+0.15*X25)),0)</x:f>
        <x:v>64</x:v>
      </x:c>
      <x:c r="AF25" s="12" t="n">
        <x:f>ROUND(MAX(0,MIN(100,0.65*X25+0.35*Y25)),0)</x:f>
        <x:v>62</x:v>
      </x:c>
      <x:c r="AG25" s="12" t="str">
        <x:v>https://wikiwiki.jp/poke-unite/%E3%83%8B%E3%83%B3%E3%83%95%E3%82%A3%E3%82%A2</x:v>
      </x:c>
      <x:c r="AH25" s="12" t="str">
        <x:v>位置を変えながら中距離で戦い続け、手数で押すタイプ。長い戦いで圧を積み上げることと、短い好機を一気に取り切ることを楽しめる人ほど持ち味を出しやすい。</x:v>
      </x:c>
      <x:c r="AI25" s="12" t="str">
        <x:v>自己遂行・自己完結・自分の仕事</x:v>
      </x:c>
      <x:c r="AJ25" s="12" t="n">
        <x:v>0</x:v>
      </x:c>
    </x:row>
    <x:row r="26">
      <x:c r="A26" s="12" t="str">
        <x:v>バクフーン</x:v>
      </x:c>
      <x:c r="B26" s="12" t="str">
        <x:v>アタック型</x:v>
      </x:c>
      <x:c r="C26" s="12" t="str">
        <x:v>バクフーン-1</x:v>
      </x:c>
      <x:c r="D26" s="12" t="str">
        <x:v>共通</x:v>
      </x:c>
      <x:c r="E26" s="12" t="str">
        <x:v>Diver</x:v>
      </x:c>
      <x:c r="F26" s="12" t="str">
        <x:v>Diver</x:v>
      </x:c>
      <x:c r="G26" s="12"/>
      <x:c r="H26" s="12" t="str">
        <x:v>技で細部は変わるが、診断上のプレイ人格は大きく変わらないため統合</x:v>
      </x:c>
      <x:c r="I26" s="12" t="str">
        <x:v>中</x:v>
      </x:c>
      <x:c r="J26" s="12" t="str">
        <x:v>2026-09-30</x:v>
      </x:c>
      <x:c r="K26" s="12" t="n">
        <x:v>80</x:v>
      </x:c>
      <x:c r="L26" s="12" t="n">
        <x:v>90</x:v>
      </x:c>
      <x:c r="M26" s="12" t="n">
        <x:v>20</x:v>
      </x:c>
      <x:c r="N26" s="12" t="n">
        <x:v>45</x:v>
      </x:c>
      <x:c r="O26" s="12" t="n">
        <x:v>20</x:v>
      </x:c>
      <x:c r="P26" s="12" t="n">
        <x:v>35</x:v>
      </x:c>
      <x:c r="Q26" s="12" t="n">
        <x:v>45</x:v>
      </x:c>
      <x:c r="R26" s="12" t="n">
        <x:v>5</x:v>
      </x:c>
      <x:c r="S26" s="12" t="n">
        <x:v>80</x:v>
      </x:c>
      <x:c r="T26" s="12" t="n">
        <x:v>70</x:v>
      </x:c>
      <x:c r="U26" s="12" t="n">
        <x:v>50</x:v>
      </x:c>
      <x:c r="V26" s="12" t="n">
        <x:v>70</x:v>
      </x:c>
      <x:c r="W26" s="12" t="n">
        <x:v>55</x:v>
      </x:c>
      <x:c r="X26" s="12" t="n">
        <x:v>65</x:v>
      </x:c>
      <x:c r="Y26" s="12" t="n">
        <x:v>70</x:v>
      </x:c>
      <x:c r="Z26" s="12" t="n">
        <x:f>ROUND(MAX(0,MIN(100,0.40*K26+0.20*L26+0.10*S26+0.15*V26+0.15*Y26)),0)</x:f>
        <x:v>79</x:v>
      </x:c>
      <x:c r="AA26" s="12" t="n">
        <x:f>ROUND(MAX(0,MIN(100,0.30*L26+0.20*K26+0.15*V26+0.15*W26+0.10*S26+0.10*(100-M26))),0)</x:f>
        <x:v>78</x:v>
      </x:c>
      <x:c r="AB26" s="12" t="n">
        <x:f>ROUND(MAX(0,MIN(100,0.30*M26+0.25*R26+0.20*Q26+0.15*K26+0.10*(100-T26))),0)</x:f>
        <x:v>31</x:v>
      </x:c>
      <x:c r="AC26" s="12" t="n">
        <x:f>ROUND(MAX(0,MIN(100,0.55*T26+0.15*S26+0.10*N26+0.10*V26+0.10*W26)),0)</x:f>
        <x:v>68</x:v>
      </x:c>
      <x:c r="AD26" s="12" t="n">
        <x:f>ROUND(MAX(0,MIN(100,0.25*O26+0.25*Q26+0.20*Y26+0.15*U26+0.15*(100-L26))),0)</x:f>
        <x:v>39</x:v>
      </x:c>
      <x:c r="AE26" s="12" t="n">
        <x:f>ROUND(MAX(0,MIN(100,0.30*Y26+0.25*S26+0.15*Q26+0.15*T26+0.15*X26)),0)</x:f>
        <x:v>68</x:v>
      </x:c>
      <x:c r="AF26" s="12" t="n">
        <x:f>ROUND(MAX(0,MIN(100,0.65*X26+0.35*Y26)),0)</x:f>
        <x:v>67</x:v>
      </x:c>
      <x:c r="AG26" s="12" t="str">
        <x:v>https://wikiwiki.jp/poke-unite/%E3%83%90%E3%82%AF%E3%83%95%E3%83%BC%E3%83%B3</x:v>
      </x:c>
      <x:c r="AH26" s="12" t="str">
        <x:v>自分から踏み込んで戦線を動かし、相手の中心に圧をかけるタイプ。深く踏み込んで勝負することと、短い好機を一気に取り切ることを楽しめる人ほど持ち味を出しやすい。</x:v>
      </x:c>
      <x:c r="AI26" s="12" t="str">
        <x:v>自己遂行・深い踏み込み・自分の仕事</x:v>
      </x:c>
      <x:c r="AJ26" s="12" t="n">
        <x:v>0</x:v>
      </x:c>
    </x:row>
    <x:row r="27">
      <x:c r="A27" s="12" t="str">
        <x:v>ピカチュウ</x:v>
      </x:c>
      <x:c r="B27" s="12" t="str">
        <x:v>アタック型</x:v>
      </x:c>
      <x:c r="C27" s="12" t="str">
        <x:v>ピカチュウ-1</x:v>
      </x:c>
      <x:c r="D27" s="12" t="str">
        <x:v>共通</x:v>
      </x:c>
      <x:c r="E27" s="12" t="str">
        <x:v>BurstMage / Catcher</x:v>
      </x:c>
      <x:c r="F27" s="12" t="str">
        <x:v>BurstMage</x:v>
      </x:c>
      <x:c r="G27" s="12" t="str">
        <x:v>Catcher</x:v>
      </x:c>
      <x:c r="H27" s="12" t="str">
        <x:v>技で細部は変わるが、診断上のプレイ人格は大きく変わらないため統合</x:v>
      </x:c>
      <x:c r="I27" s="12" t="str">
        <x:v>高</x:v>
      </x:c>
      <x:c r="J27" s="12" t="str">
        <x:v>2026-09-30</x:v>
      </x:c>
      <x:c r="K27" s="12" t="n">
        <x:v>40</x:v>
      </x:c>
      <x:c r="L27" s="12" t="n">
        <x:v>15</x:v>
      </x:c>
      <x:c r="M27" s="12" t="n">
        <x:v>35</x:v>
      </x:c>
      <x:c r="N27" s="12" t="n">
        <x:v>15</x:v>
      </x:c>
      <x:c r="O27" s="12" t="n">
        <x:v>75</x:v>
      </x:c>
      <x:c r="P27" s="12" t="n">
        <x:v>35</x:v>
      </x:c>
      <x:c r="Q27" s="12" t="n">
        <x:v>85</x:v>
      </x:c>
      <x:c r="R27" s="12" t="n">
        <x:v>10</x:v>
      </x:c>
      <x:c r="S27" s="12" t="n">
        <x:v>30</x:v>
      </x:c>
      <x:c r="T27" s="12" t="n">
        <x:v>50</x:v>
      </x:c>
      <x:c r="U27" s="12" t="n">
        <x:v>45</x:v>
      </x:c>
      <x:c r="V27" s="12" t="n">
        <x:v>60</x:v>
      </x:c>
      <x:c r="W27" s="12" t="n">
        <x:v>25</x:v>
      </x:c>
      <x:c r="X27" s="12" t="n">
        <x:v>70</x:v>
      </x:c>
      <x:c r="Y27" s="12" t="n">
        <x:v>80</x:v>
      </x:c>
      <x:c r="Z27" s="12" t="n">
        <x:f>ROUND(MAX(0,MIN(100,0.40*K27+0.20*L27+0.10*S27+0.15*V27+0.15*Y27)),0)</x:f>
        <x:v>43</x:v>
      </x:c>
      <x:c r="AA27" s="12" t="n">
        <x:f>ROUND(MAX(0,MIN(100,0.30*L27+0.20*K27+0.15*V27+0.15*W27+0.10*S27+0.10*(100-M27))),0)</x:f>
        <x:v>35</x:v>
      </x:c>
      <x:c r="AB27" s="12" t="n">
        <x:f>ROUND(MAX(0,MIN(100,0.30*M27+0.25*R27+0.20*Q27+0.15*K27+0.10*(100-T27))),0)</x:f>
        <x:v>41</x:v>
      </x:c>
      <x:c r="AC27" s="12" t="n">
        <x:f>ROUND(MAX(0,MIN(100,0.55*T27+0.15*S27+0.10*N27+0.10*V27+0.10*W27)),0)</x:f>
        <x:v>42</x:v>
      </x:c>
      <x:c r="AD27" s="12" t="n">
        <x:f>ROUND(MAX(0,MIN(100,0.25*O27+0.25*Q27+0.20*Y27+0.15*U27+0.15*(100-L27))),0)</x:f>
        <x:v>76</x:v>
      </x:c>
      <x:c r="AE27" s="12" t="n">
        <x:f>ROUND(MAX(0,MIN(100,0.30*Y27+0.25*S27+0.15*Q27+0.15*T27+0.15*X27)),0)</x:f>
        <x:v>62</x:v>
      </x:c>
      <x:c r="AF27" s="12" t="n">
        <x:f>ROUND(MAX(0,MIN(100,0.65*X27+0.35*Y27)),0)</x:f>
        <x:v>74</x:v>
      </x:c>
      <x:c r="AG27" s="12" t="str">
        <x:v>https://wikiwiki.jp/poke-unite/%E3%83%94%E3%82%AB%E3%83%81%E3%83%A5%E3%82%A6</x:v>
      </x:c>
      <x:c r="AH27" s="12" t="str">
        <x:v>間合いとタイミングを作り、短い窓に火力をまとめるタイプ。短い好機を一気に取り切ることと、距離と間合いを丁寧に管理することを楽しめる人ほど持ち味を出しやすい。</x:v>
      </x:c>
      <x:c r="AI27" s="12" t="str">
        <x:v>自己遂行・盤面制御・後方位置</x:v>
      </x:c>
      <x:c r="AJ27" s="12" t="n">
        <x:v>0</x:v>
      </x:c>
    </x:row>
    <x:row r="28">
      <x:c r="A28" s="12" t="str">
        <x:v>フシギバナ</x:v>
      </x:c>
      <x:c r="B28" s="12" t="str">
        <x:v>アタック型</x:v>
      </x:c>
      <x:c r="C28" s="12" t="str">
        <x:v>フシギバナ-1</x:v>
      </x:c>
      <x:c r="D28" s="12" t="str">
        <x:v>ソーラービーム</x:v>
      </x:c>
      <x:c r="E28" s="12" t="str">
        <x:v>Artillery</x:v>
      </x:c>
      <x:c r="F28" s="12" t="str">
        <x:v>Artillery</x:v>
      </x:c>
      <x:c r="G28" s="12"/>
      <x:c r="H28" s="12" t="str">
        <x:v>立ち位置・戦闘距離・役割が大きく変わるため別プロファイル</x:v>
      </x:c>
      <x:c r="I28" s="12" t="str">
        <x:v>高</x:v>
      </x:c>
      <x:c r="J28" s="12" t="str">
        <x:v>2026-09-30</x:v>
      </x:c>
      <x:c r="K28" s="12" t="n">
        <x:v>15</x:v>
      </x:c>
      <x:c r="L28" s="12" t="n">
        <x:v>5</x:v>
      </x:c>
      <x:c r="M28" s="12" t="n">
        <x:v>15</x:v>
      </x:c>
      <x:c r="N28" s="12" t="n">
        <x:v>5</x:v>
      </x:c>
      <x:c r="O28" s="12" t="n">
        <x:v>100</x:v>
      </x:c>
      <x:c r="P28" s="12" t="n">
        <x:v>20</x:v>
      </x:c>
      <x:c r="Q28" s="12" t="n">
        <x:v>50</x:v>
      </x:c>
      <x:c r="R28" s="12" t="n">
        <x:v>5</x:v>
      </x:c>
      <x:c r="S28" s="12" t="n">
        <x:v>30</x:v>
      </x:c>
      <x:c r="T28" s="12" t="n">
        <x:v>45</x:v>
      </x:c>
      <x:c r="U28" s="12" t="n">
        <x:v>65</x:v>
      </x:c>
      <x:c r="V28" s="12" t="n">
        <x:v>100</x:v>
      </x:c>
      <x:c r="W28" s="12" t="n">
        <x:v>20</x:v>
      </x:c>
      <x:c r="X28" s="12" t="n">
        <x:v>80</x:v>
      </x:c>
      <x:c r="Y28" s="12" t="n">
        <x:v>80</x:v>
      </x:c>
      <x:c r="Z28" s="12" t="n">
        <x:f>ROUND(MAX(0,MIN(100,0.40*K28+0.20*L28+0.10*S28+0.15*V28+0.15*Y28)),0)</x:f>
        <x:v>37</x:v>
      </x:c>
      <x:c r="AA28" s="12" t="n">
        <x:f>ROUND(MAX(0,MIN(100,0.30*L28+0.20*K28+0.15*V28+0.15*W28+0.10*S28+0.10*(100-M28))),0)</x:f>
        <x:v>34</x:v>
      </x:c>
      <x:c r="AB28" s="12" t="n">
        <x:f>ROUND(MAX(0,MIN(100,0.30*M28+0.25*R28+0.20*Q28+0.15*K28+0.10*(100-T28))),0)</x:f>
        <x:v>24</x:v>
      </x:c>
      <x:c r="AC28" s="12" t="n">
        <x:f>ROUND(MAX(0,MIN(100,0.55*T28+0.15*S28+0.10*N28+0.10*V28+0.10*W28)),0)</x:f>
        <x:v>42</x:v>
      </x:c>
      <x:c r="AD28" s="12" t="n">
        <x:f>ROUND(MAX(0,MIN(100,0.25*O28+0.25*Q28+0.20*Y28+0.15*U28+0.15*(100-L28))),0)</x:f>
        <x:v>78</x:v>
      </x:c>
      <x:c r="AE28" s="12" t="n">
        <x:f>ROUND(MAX(0,MIN(100,0.30*Y28+0.25*S28+0.15*Q28+0.15*T28+0.15*X28)),0)</x:f>
        <x:v>58</x:v>
      </x:c>
      <x:c r="AF28" s="12" t="n">
        <x:f>ROUND(MAX(0,MIN(100,0.65*X28+0.35*Y28)),0)</x:f>
        <x:v>80</x:v>
      </x:c>
      <x:c r="AG28" s="12" t="str">
        <x:v>https://wikiwiki.jp/poke-unite/%E3%83%95%E3%82%B7%E3%82%AE%E3%83%90%E3%83%8A</x:v>
      </x:c>
      <x:c r="AH28" s="12" t="str">
        <x:v>「ソーラービーム」型は、遠い位置から予測と照準で大きな一発を通すタイプ。距離と間合いを丁寧に管理することと、短い好機を一気に取り切ることを楽しめる人ほど持ち味を出しやすい。</x:v>
      </x:c>
      <x:c r="AI28" s="12" t="str">
        <x:v>間合い管理・取り切り・自己遂行</x:v>
      </x:c>
      <x:c r="AJ28" s="12" t="n">
        <x:v>0</x:v>
      </x:c>
    </x:row>
    <x:row r="29">
      <x:c r="A29" s="12" t="str">
        <x:v>フシギバナ</x:v>
      </x:c>
      <x:c r="B29" s="12" t="str">
        <x:v>アタック型</x:v>
      </x:c>
      <x:c r="C29" s="12" t="str">
        <x:v>フシギバナ-2</x:v>
      </x:c>
      <x:c r="D29" s="12" t="str">
        <x:v>はなびらのまい</x:v>
      </x:c>
      <x:c r="E29" s="12" t="str">
        <x:v>Juggernaut / BattleMage</x:v>
      </x:c>
      <x:c r="F29" s="12" t="str">
        <x:v>Juggernaut</x:v>
      </x:c>
      <x:c r="G29" s="12" t="str">
        <x:v>BattleMage</x:v>
      </x:c>
      <x:c r="H29" s="12" t="str">
        <x:v>立ち位置・戦闘距離・役割が大きく変わるため別プロファイル</x:v>
      </x:c>
      <x:c r="I29" s="12" t="str">
        <x:v>高</x:v>
      </x:c>
      <x:c r="J29" s="12" t="str">
        <x:v>2026-09-30</x:v>
      </x:c>
      <x:c r="K29" s="12" t="n">
        <x:v>45</x:v>
      </x:c>
      <x:c r="L29" s="12" t="n">
        <x:v>35</x:v>
      </x:c>
      <x:c r="M29" s="12" t="n">
        <x:v>20</x:v>
      </x:c>
      <x:c r="N29" s="12" t="n">
        <x:v>75</x:v>
      </x:c>
      <x:c r="O29" s="12" t="n">
        <x:v>10</x:v>
      </x:c>
      <x:c r="P29" s="12" t="n">
        <x:v>75</x:v>
      </x:c>
      <x:c r="Q29" s="12" t="n">
        <x:v>35</x:v>
      </x:c>
      <x:c r="R29" s="12" t="n">
        <x:v>5</x:v>
      </x:c>
      <x:c r="S29" s="12" t="n">
        <x:v>55</x:v>
      </x:c>
      <x:c r="T29" s="12" t="n">
        <x:v>70</x:v>
      </x:c>
      <x:c r="U29" s="12" t="n">
        <x:v>70</x:v>
      </x:c>
      <x:c r="V29" s="12" t="n">
        <x:v>75</x:v>
      </x:c>
      <x:c r="W29" s="12" t="n">
        <x:v>40</x:v>
      </x:c>
      <x:c r="X29" s="12" t="n">
        <x:v>60</x:v>
      </x:c>
      <x:c r="Y29" s="12" t="n">
        <x:v>60</x:v>
      </x:c>
      <x:c r="Z29" s="12" t="n">
        <x:f>ROUND(MAX(0,MIN(100,0.40*K29+0.20*L29+0.10*S29+0.15*V29+0.15*Y29)),0)</x:f>
        <x:v>51</x:v>
      </x:c>
      <x:c r="AA29" s="12" t="n">
        <x:f>ROUND(MAX(0,MIN(100,0.30*L29+0.20*K29+0.15*V29+0.15*W29+0.10*S29+0.10*(100-M29))),0)</x:f>
        <x:v>50</x:v>
      </x:c>
      <x:c r="AB29" s="12" t="n">
        <x:f>ROUND(MAX(0,MIN(100,0.30*M29+0.25*R29+0.20*Q29+0.15*K29+0.10*(100-T29))),0)</x:f>
        <x:v>24</x:v>
      </x:c>
      <x:c r="AC29" s="12" t="n">
        <x:f>ROUND(MAX(0,MIN(100,0.55*T29+0.15*S29+0.10*N29+0.10*V29+0.10*W29)),0)</x:f>
        <x:v>66</x:v>
      </x:c>
      <x:c r="AD29" s="12" t="n">
        <x:f>ROUND(MAX(0,MIN(100,0.25*O29+0.25*Q29+0.20*Y29+0.15*U29+0.15*(100-L29))),0)</x:f>
        <x:v>44</x:v>
      </x:c>
      <x:c r="AE29" s="12" t="n">
        <x:f>ROUND(MAX(0,MIN(100,0.30*Y29+0.25*S29+0.15*Q29+0.15*T29+0.15*X29)),0)</x:f>
        <x:v>57</x:v>
      </x:c>
      <x:c r="AF29" s="12" t="n">
        <x:f>ROUND(MAX(0,MIN(100,0.65*X29+0.35*Y29)),0)</x:f>
        <x:v>60</x:v>
      </x:c>
      <x:c r="AG29" s="12" t="str">
        <x:v>https://wikiwiki.jp/poke-unite/%E3%83%95%E3%82%B7%E3%82%AE%E3%83%90%E3%83%8A</x:v>
      </x:c>
      <x:c r="AH29" s="12" t="str">
        <x:v>「はなびらのまい」型は、前線で簡単には退かず、長い殴り合いで優位を作るタイプ。長い戦いで圧を積み上げることと、前線で粘り続けることを楽しめる人ほど持ち味を出しやすい。</x:v>
      </x:c>
      <x:c r="AI29" s="12" t="str">
        <x:v>自己遂行・接近戦・自分の仕事</x:v>
      </x:c>
      <x:c r="AJ29" s="12" t="n">
        <x:v>0</x:v>
      </x:c>
    </x:row>
    <x:row r="30">
      <x:c r="A30" s="12" t="str">
        <x:v>マフォクシー</x:v>
      </x:c>
      <x:c r="B30" s="12" t="str">
        <x:v>アタック型</x:v>
      </x:c>
      <x:c r="C30" s="12" t="str">
        <x:v>マフォクシー-1</x:v>
      </x:c>
      <x:c r="D30" s="12" t="str">
        <x:v>ほのおのうず</x:v>
      </x:c>
      <x:c r="E30" s="12" t="str">
        <x:v>BurstMage</x:v>
      </x:c>
      <x:c r="F30" s="12" t="str">
        <x:v>BurstMage</x:v>
      </x:c>
      <x:c r="G30" s="12"/>
      <x:c r="H30" s="12" t="str">
        <x:v>立ち位置・戦闘距離・役割が大きく変わるため別プロファイル</x:v>
      </x:c>
      <x:c r="I30" s="12" t="str">
        <x:v>高</x:v>
      </x:c>
      <x:c r="J30" s="12" t="str">
        <x:v>2026-09-30</x:v>
      </x:c>
      <x:c r="K30" s="12" t="n">
        <x:v>30</x:v>
      </x:c>
      <x:c r="L30" s="12" t="n">
        <x:v>5</x:v>
      </x:c>
      <x:c r="M30" s="12" t="n">
        <x:v>35</x:v>
      </x:c>
      <x:c r="N30" s="12" t="n">
        <x:v>0</x:v>
      </x:c>
      <x:c r="O30" s="12" t="n">
        <x:v>100</x:v>
      </x:c>
      <x:c r="P30" s="12" t="n">
        <x:v>10</x:v>
      </x:c>
      <x:c r="Q30" s="12" t="n">
        <x:v>95</x:v>
      </x:c>
      <x:c r="R30" s="12" t="n">
        <x:v>10</x:v>
      </x:c>
      <x:c r="S30" s="12" t="n">
        <x:v>20</x:v>
      </x:c>
      <x:c r="T30" s="12" t="n">
        <x:v>35</x:v>
      </x:c>
      <x:c r="U30" s="12" t="n">
        <x:v>65</x:v>
      </x:c>
      <x:c r="V30" s="12" t="n">
        <x:v>60</x:v>
      </x:c>
      <x:c r="W30" s="12" t="n">
        <x:v>25</x:v>
      </x:c>
      <x:c r="X30" s="12" t="n">
        <x:v>60</x:v>
      </x:c>
      <x:c r="Y30" s="12" t="n">
        <x:v>80</x:v>
      </x:c>
      <x:c r="Z30" s="12" t="n">
        <x:f>ROUND(MAX(0,MIN(100,0.40*K30+0.20*L30+0.10*S30+0.15*V30+0.15*Y30)),0)</x:f>
        <x:v>36</x:v>
      </x:c>
      <x:c r="AA30" s="12" t="n">
        <x:f>ROUND(MAX(0,MIN(100,0.30*L30+0.20*K30+0.15*V30+0.15*W30+0.10*S30+0.10*(100-M30))),0)</x:f>
        <x:v>29</x:v>
      </x:c>
      <x:c r="AB30" s="12" t="n">
        <x:f>ROUND(MAX(0,MIN(100,0.30*M30+0.25*R30+0.20*Q30+0.15*K30+0.10*(100-T30))),0)</x:f>
        <x:v>43</x:v>
      </x:c>
      <x:c r="AC30" s="12" t="n">
        <x:f>ROUND(MAX(0,MIN(100,0.55*T30+0.15*S30+0.10*N30+0.10*V30+0.10*W30)),0)</x:f>
        <x:v>31</x:v>
      </x:c>
      <x:c r="AD30" s="12" t="n">
        <x:f>ROUND(MAX(0,MIN(100,0.25*O30+0.25*Q30+0.20*Y30+0.15*U30+0.15*(100-L30))),0)</x:f>
        <x:v>89</x:v>
      </x:c>
      <x:c r="AE30" s="12" t="n">
        <x:f>ROUND(MAX(0,MIN(100,0.30*Y30+0.25*S30+0.15*Q30+0.15*T30+0.15*X30)),0)</x:f>
        <x:v>58</x:v>
      </x:c>
      <x:c r="AF30" s="12" t="n">
        <x:f>ROUND(MAX(0,MIN(100,0.65*X30+0.35*Y30)),0)</x:f>
        <x:v>67</x:v>
      </x:c>
      <x:c r="AG30" s="12" t="str">
        <x:v>https://wikiwiki.jp/poke-unite/%E3%83%9E%E3%83%95%E3%82%A9%E3%82%AF%E3%82%B7%E3%83%BC</x:v>
      </x:c>
      <x:c r="AH30" s="12" t="str">
        <x:v>「ほのおのうず」型は、間合いとタイミングを作り、短い窓に火力をまとめるタイプ。短い好機を一気に取り切ることと、距離と間合いを丁寧に管理することを楽しめる人ほど持ち味を出しやすい。</x:v>
      </x:c>
      <x:c r="AI30" s="12" t="str">
        <x:v>間合い管理・後方位置・盤面制御</x:v>
      </x:c>
      <x:c r="AJ30" s="12" t="n">
        <x:v>0</x:v>
      </x:c>
    </x:row>
    <x:row r="31">
      <x:c r="A31" s="12" t="str">
        <x:v>マフォクシー</x:v>
      </x:c>
      <x:c r="B31" s="12" t="str">
        <x:v>アタック型</x:v>
      </x:c>
      <x:c r="C31" s="12" t="str">
        <x:v>マフォクシー-2</x:v>
      </x:c>
      <x:c r="D31" s="12" t="str">
        <x:v>ニトロチャージ</x:v>
      </x:c>
      <x:c r="E31" s="12" t="str">
        <x:v>BattleMage</x:v>
      </x:c>
      <x:c r="F31" s="12" t="str">
        <x:v>BattleMage</x:v>
      </x:c>
      <x:c r="G31" s="12"/>
      <x:c r="H31" s="12" t="str">
        <x:v>立ち位置・戦闘距離・役割が大きく変わるため別プロファイル</x:v>
      </x:c>
      <x:c r="I31" s="12" t="str">
        <x:v>高</x:v>
      </x:c>
      <x:c r="J31" s="12" t="str">
        <x:v>2026-09-30</x:v>
      </x:c>
      <x:c r="K31" s="12" t="n">
        <x:v>50</x:v>
      </x:c>
      <x:c r="L31" s="12" t="n">
        <x:v>35</x:v>
      </x:c>
      <x:c r="M31" s="12" t="n">
        <x:v>30</x:v>
      </x:c>
      <x:c r="N31" s="12" t="n">
        <x:v>30</x:v>
      </x:c>
      <x:c r="O31" s="12" t="n">
        <x:v>65</x:v>
      </x:c>
      <x:c r="P31" s="12" t="n">
        <x:v>70</x:v>
      </x:c>
      <x:c r="Q31" s="12" t="n">
        <x:v>40</x:v>
      </x:c>
      <x:c r="R31" s="12" t="n">
        <x:v>10</x:v>
      </x:c>
      <x:c r="S31" s="12" t="n">
        <x:v>70</x:v>
      </x:c>
      <x:c r="T31" s="12" t="n">
        <x:v>60</x:v>
      </x:c>
      <x:c r="U31" s="12" t="n">
        <x:v>55</x:v>
      </x:c>
      <x:c r="V31" s="12" t="n">
        <x:v>65</x:v>
      </x:c>
      <x:c r="W31" s="12" t="n">
        <x:v>45</x:v>
      </x:c>
      <x:c r="X31" s="12" t="n">
        <x:v>75</x:v>
      </x:c>
      <x:c r="Y31" s="12" t="n">
        <x:v>65</x:v>
      </x:c>
      <x:c r="Z31" s="12" t="n">
        <x:f>ROUND(MAX(0,MIN(100,0.40*K31+0.20*L31+0.10*S31+0.15*V31+0.15*Y31)),0)</x:f>
        <x:v>54</x:v>
      </x:c>
      <x:c r="AA31" s="12" t="n">
        <x:f>ROUND(MAX(0,MIN(100,0.30*L31+0.20*K31+0.15*V31+0.15*W31+0.10*S31+0.10*(100-M31))),0)</x:f>
        <x:v>51</x:v>
      </x:c>
      <x:c r="AB31" s="12" t="n">
        <x:f>ROUND(MAX(0,MIN(100,0.30*M31+0.25*R31+0.20*Q31+0.15*K31+0.10*(100-T31))),0)</x:f>
        <x:v>31</x:v>
      </x:c>
      <x:c r="AC31" s="12" t="n">
        <x:f>ROUND(MAX(0,MIN(100,0.55*T31+0.15*S31+0.10*N31+0.10*V31+0.10*W31)),0)</x:f>
        <x:v>58</x:v>
      </x:c>
      <x:c r="AD31" s="12" t="n">
        <x:f>ROUND(MAX(0,MIN(100,0.25*O31+0.25*Q31+0.20*Y31+0.15*U31+0.15*(100-L31))),0)</x:f>
        <x:v>57</x:v>
      </x:c>
      <x:c r="AE31" s="12" t="n">
        <x:f>ROUND(MAX(0,MIN(100,0.30*Y31+0.25*S31+0.15*Q31+0.15*T31+0.15*X31)),0)</x:f>
        <x:v>63</x:v>
      </x:c>
      <x:c r="AF31" s="12" t="n">
        <x:f>ROUND(MAX(0,MIN(100,0.65*X31+0.35*Y31)),0)</x:f>
        <x:v>72</x:v>
      </x:c>
      <x:c r="AG31" s="12" t="str">
        <x:v>https://wikiwiki.jp/poke-unite/%E3%83%9E%E3%83%95%E3%82%A9%E3%82%AF%E3%82%B7%E3%83%BC</x:v>
      </x:c>
      <x:c r="AH31" s="12" t="str">
        <x:v>「ニトロチャージ」型は、位置を変えながら中距離で戦い続け、手数で押すタイプ。長い戦いで圧を積み上げることと、細かな操作を磨くことを楽しめる人ほど持ち味を出しやすい。</x:v>
      </x:c>
      <x:c r="AI31" s="12" t="str">
        <x:v>自己遂行・操作精度・自分の仕事</x:v>
      </x:c>
      <x:c r="AJ31" s="12" t="n">
        <x:v>0</x:v>
      </x:c>
    </x:row>
    <x:row r="32">
      <x:c r="A32" s="12" t="str">
        <x:v>ミュウ</x:v>
      </x:c>
      <x:c r="B32" s="12" t="str">
        <x:v>アタック型</x:v>
      </x:c>
      <x:c r="C32" s="12" t="str">
        <x:v>ミュウ-1</x:v>
      </x:c>
      <x:c r="D32" s="12" t="str">
        <x:v>共通</x:v>
      </x:c>
      <x:c r="E32" s="12" t="str">
        <x:v>Specialist / Artillery</x:v>
      </x:c>
      <x:c r="F32" s="12" t="str">
        <x:v>Specialist</x:v>
      </x:c>
      <x:c r="G32" s="12" t="str">
        <x:v>Artillery</x:v>
      </x:c>
      <x:c r="H32" s="12" t="str">
        <x:v>技で細部は変わるが、診断上のプレイ人格は大きく変わらないため統合</x:v>
      </x:c>
      <x:c r="I32" s="12" t="str">
        <x:v>高</x:v>
      </x:c>
      <x:c r="J32" s="12" t="str">
        <x:v>2026-09-30</x:v>
      </x:c>
      <x:c r="K32" s="12" t="n">
        <x:v>20</x:v>
      </x:c>
      <x:c r="L32" s="12" t="n">
        <x:v>10</x:v>
      </x:c>
      <x:c r="M32" s="12" t="n">
        <x:v>25</x:v>
      </x:c>
      <x:c r="N32" s="12" t="n">
        <x:v>0</x:v>
      </x:c>
      <x:c r="O32" s="12" t="n">
        <x:v>95</x:v>
      </x:c>
      <x:c r="P32" s="12" t="n">
        <x:v>35</x:v>
      </x:c>
      <x:c r="Q32" s="12" t="n">
        <x:v>70</x:v>
      </x:c>
      <x:c r="R32" s="12" t="n">
        <x:v>25</x:v>
      </x:c>
      <x:c r="S32" s="12" t="n">
        <x:v>50</x:v>
      </x:c>
      <x:c r="T32" s="12" t="n">
        <x:v>60</x:v>
      </x:c>
      <x:c r="U32" s="12" t="n">
        <x:v>55</x:v>
      </x:c>
      <x:c r="V32" s="12" t="n">
        <x:v>65</x:v>
      </x:c>
      <x:c r="W32" s="12" t="n">
        <x:v>30</x:v>
      </x:c>
      <x:c r="X32" s="12" t="n">
        <x:v>100</x:v>
      </x:c>
      <x:c r="Y32" s="12" t="n">
        <x:v>100</x:v>
      </x:c>
      <x:c r="Z32" s="12" t="n">
        <x:f>ROUND(MAX(0,MIN(100,0.40*K32+0.20*L32+0.10*S32+0.15*V32+0.15*Y32)),0)</x:f>
        <x:v>40</x:v>
      </x:c>
      <x:c r="AA32" s="12" t="n">
        <x:f>ROUND(MAX(0,MIN(100,0.30*L32+0.20*K32+0.15*V32+0.15*W32+0.10*S32+0.10*(100-M32))),0)</x:f>
        <x:v>34</x:v>
      </x:c>
      <x:c r="AB32" s="12" t="n">
        <x:f>ROUND(MAX(0,MIN(100,0.30*M32+0.25*R32+0.20*Q32+0.15*K32+0.10*(100-T32))),0)</x:f>
        <x:v>35</x:v>
      </x:c>
      <x:c r="AC32" s="12" t="n">
        <x:f>ROUND(MAX(0,MIN(100,0.55*T32+0.15*S32+0.10*N32+0.10*V32+0.10*W32)),0)</x:f>
        <x:v>50</x:v>
      </x:c>
      <x:c r="AD32" s="12" t="n">
        <x:f>ROUND(MAX(0,MIN(100,0.25*O32+0.25*Q32+0.20*Y32+0.15*U32+0.15*(100-L32))),0)</x:f>
        <x:v>83</x:v>
      </x:c>
      <x:c r="AE32" s="12" t="n">
        <x:f>ROUND(MAX(0,MIN(100,0.30*Y32+0.25*S32+0.15*Q32+0.15*T32+0.15*X32)),0)</x:f>
        <x:v>77</x:v>
      </x:c>
      <x:c r="AF32" s="12" t="n">
        <x:f>ROUND(MAX(0,MIN(100,0.65*X32+0.35*Y32)),0)</x:f>
        <x:v>100</x:v>
      </x:c>
      <x:c r="AG32" s="12" t="str">
        <x:v>https://wikiwiki.jp/poke-unite/%E3%83%9F%E3%83%A5%E3%82%A6</x:v>
      </x:c>
      <x:c r="AH32" s="12" t="str">
        <x:v>状況に合わせて技を切り替え、毎回同じ正解をなぞらないタイプ。選択肢の多さを面倒ではなく武器にできる人ほど噛み合いやすい。</x:v>
      </x:c>
      <x:c r="AI32" s="12" t="str">
        <x:v>状況判断・操作精度・後方位置</x:v>
      </x:c>
      <x:c r="AJ32" s="12" t="n">
        <x:v>0</x:v>
      </x:c>
    </x:row>
    <x:row r="33">
      <x:c r="A33" s="12" t="str">
        <x:v>ミュウツー(Y)</x:v>
      </x:c>
      <x:c r="B33" s="12" t="str">
        <x:v>アタック型</x:v>
      </x:c>
      <x:c r="C33" s="12" t="str">
        <x:v>ミュウツー(Y)-1</x:v>
      </x:c>
      <x:c r="D33" s="12" t="str">
        <x:v>共通</x:v>
      </x:c>
      <x:c r="E33" s="12" t="str">
        <x:v>Marksman / BattleMage</x:v>
      </x:c>
      <x:c r="F33" s="12" t="str">
        <x:v>Marksman</x:v>
      </x:c>
      <x:c r="G33" s="12" t="str">
        <x:v>BattleMage</x:v>
      </x:c>
      <x:c r="H33" s="12" t="str">
        <x:v>技で細部は変わるが、診断上のプレイ人格は大きく変わらないため統合</x:v>
      </x:c>
      <x:c r="I33" s="12" t="str">
        <x:v>高</x:v>
      </x:c>
      <x:c r="J33" s="12" t="str">
        <x:v>2026-09-30</x:v>
      </x:c>
      <x:c r="K33" s="12" t="n">
        <x:v>30</x:v>
      </x:c>
      <x:c r="L33" s="12" t="n">
        <x:v>20</x:v>
      </x:c>
      <x:c r="M33" s="12" t="n">
        <x:v>10</x:v>
      </x:c>
      <x:c r="N33" s="12" t="n">
        <x:v>10</x:v>
      </x:c>
      <x:c r="O33" s="12" t="n">
        <x:v>65</x:v>
      </x:c>
      <x:c r="P33" s="12" t="n">
        <x:v>95</x:v>
      </x:c>
      <x:c r="Q33" s="12" t="n">
        <x:v>40</x:v>
      </x:c>
      <x:c r="R33" s="12" t="n">
        <x:v>5</x:v>
      </x:c>
      <x:c r="S33" s="12" t="n">
        <x:v>50</x:v>
      </x:c>
      <x:c r="T33" s="12" t="n">
        <x:v>60</x:v>
      </x:c>
      <x:c r="U33" s="12" t="n">
        <x:v>75</x:v>
      </x:c>
      <x:c r="V33" s="12" t="n">
        <x:v>85</x:v>
      </x:c>
      <x:c r="W33" s="12" t="n">
        <x:v>55</x:v>
      </x:c>
      <x:c r="X33" s="12" t="n">
        <x:v>45</x:v>
      </x:c>
      <x:c r="Y33" s="12" t="n">
        <x:v>65</x:v>
      </x:c>
      <x:c r="Z33" s="12" t="n">
        <x:f>ROUND(MAX(0,MIN(100,0.40*K33+0.20*L33+0.10*S33+0.15*V33+0.15*Y33)),0)</x:f>
        <x:v>44</x:v>
      </x:c>
      <x:c r="AA33" s="12" t="n">
        <x:f>ROUND(MAX(0,MIN(100,0.30*L33+0.20*K33+0.15*V33+0.15*W33+0.10*S33+0.10*(100-M33))),0)</x:f>
        <x:v>47</x:v>
      </x:c>
      <x:c r="AB33" s="12" t="n">
        <x:f>ROUND(MAX(0,MIN(100,0.30*M33+0.25*R33+0.20*Q33+0.15*K33+0.10*(100-T33))),0)</x:f>
        <x:v>21</x:v>
      </x:c>
      <x:c r="AC33" s="12" t="n">
        <x:f>ROUND(MAX(0,MIN(100,0.55*T33+0.15*S33+0.10*N33+0.10*V33+0.10*W33)),0)</x:f>
        <x:v>56</x:v>
      </x:c>
      <x:c r="AD33" s="12" t="n">
        <x:f>ROUND(MAX(0,MIN(100,0.25*O33+0.25*Q33+0.20*Y33+0.15*U33+0.15*(100-L33))),0)</x:f>
        <x:v>63</x:v>
      </x:c>
      <x:c r="AE33" s="12" t="n">
        <x:f>ROUND(MAX(0,MIN(100,0.30*Y33+0.25*S33+0.15*Q33+0.15*T33+0.15*X33)),0)</x:f>
        <x:v>54</x:v>
      </x:c>
      <x:c r="AF33" s="12" t="n">
        <x:f>ROUND(MAX(0,MIN(100,0.65*X33+0.35*Y33)),0)</x:f>
        <x:v>52</x:v>
      </x:c>
      <x:c r="AG33" s="12" t="str">
        <x:v>https://wikiwiki.jp/poke-unite/%E3%83%9F%E3%83%A5%E3%82%A6%E3%83%84%E3%83%BC(Y)</x:v>
      </x:c>
      <x:c r="AH33" s="12" t="str">
        <x:v>安全な位置を保ちながら、継続火力を積み上げるタイプ。長い戦いで圧を積み上げることと、決め所を自分で締めることを楽しめる人ほど持ち味を出しやすい。</x:v>
      </x:c>
      <x:c r="AI33" s="12" t="str">
        <x:v>自己遂行・継続戦・自分の仕事</x:v>
      </x:c>
      <x:c r="AJ33" s="12" t="n">
        <x:v>0</x:v>
      </x:c>
    </x:row>
    <x:row r="34">
      <x:c r="A34" s="12" t="str">
        <x:v>ミライドン</x:v>
      </x:c>
      <x:c r="B34" s="12" t="str">
        <x:v>アタック型</x:v>
      </x:c>
      <x:c r="C34" s="12" t="str">
        <x:v>ミライドン-1</x:v>
      </x:c>
      <x:c r="D34" s="12" t="str">
        <x:v>チャージビーム</x:v>
      </x:c>
      <x:c r="E34" s="12" t="str">
        <x:v>Artillery</x:v>
      </x:c>
      <x:c r="F34" s="12" t="str">
        <x:v>Artillery</x:v>
      </x:c>
      <x:c r="G34" s="12"/>
      <x:c r="H34" s="12" t="str">
        <x:v>立ち位置・戦闘距離・役割が大きく変わるため別プロファイル</x:v>
      </x:c>
      <x:c r="I34" s="12" t="str">
        <x:v>高</x:v>
      </x:c>
      <x:c r="J34" s="12" t="str">
        <x:v>2026-09-30</x:v>
      </x:c>
      <x:c r="K34" s="12" t="n">
        <x:v>15</x:v>
      </x:c>
      <x:c r="L34" s="12" t="n">
        <x:v>5</x:v>
      </x:c>
      <x:c r="M34" s="12" t="n">
        <x:v>15</x:v>
      </x:c>
      <x:c r="N34" s="12" t="n">
        <x:v>5</x:v>
      </x:c>
      <x:c r="O34" s="12" t="n">
        <x:v>100</x:v>
      </x:c>
      <x:c r="P34" s="12" t="n">
        <x:v>40</x:v>
      </x:c>
      <x:c r="Q34" s="12" t="n">
        <x:v>55</x:v>
      </x:c>
      <x:c r="R34" s="12" t="n">
        <x:v>5</x:v>
      </x:c>
      <x:c r="S34" s="12" t="n">
        <x:v>15</x:v>
      </x:c>
      <x:c r="T34" s="12" t="n">
        <x:v>45</x:v>
      </x:c>
      <x:c r="U34" s="12" t="n">
        <x:v>65</x:v>
      </x:c>
      <x:c r="V34" s="12" t="n">
        <x:v>80</x:v>
      </x:c>
      <x:c r="W34" s="12" t="n">
        <x:v>20</x:v>
      </x:c>
      <x:c r="X34" s="12" t="n">
        <x:v>80</x:v>
      </x:c>
      <x:c r="Y34" s="12" t="n">
        <x:v>80</x:v>
      </x:c>
      <x:c r="Z34" s="12" t="n">
        <x:f>ROUND(MAX(0,MIN(100,0.40*K34+0.20*L34+0.10*S34+0.15*V34+0.15*Y34)),0)</x:f>
        <x:v>33</x:v>
      </x:c>
      <x:c r="AA34" s="12" t="n">
        <x:f>ROUND(MAX(0,MIN(100,0.30*L34+0.20*K34+0.15*V34+0.15*W34+0.10*S34+0.10*(100-M34))),0)</x:f>
        <x:v>30</x:v>
      </x:c>
      <x:c r="AB34" s="12" t="n">
        <x:f>ROUND(MAX(0,MIN(100,0.30*M34+0.25*R34+0.20*Q34+0.15*K34+0.10*(100-T34))),0)</x:f>
        <x:v>25</x:v>
      </x:c>
      <x:c r="AC34" s="12" t="n">
        <x:f>ROUND(MAX(0,MIN(100,0.55*T34+0.15*S34+0.10*N34+0.10*V34+0.10*W34)),0)</x:f>
        <x:v>38</x:v>
      </x:c>
      <x:c r="AD34" s="12" t="n">
        <x:f>ROUND(MAX(0,MIN(100,0.25*O34+0.25*Q34+0.20*Y34+0.15*U34+0.15*(100-L34))),0)</x:f>
        <x:v>79</x:v>
      </x:c>
      <x:c r="AE34" s="12" t="n">
        <x:f>ROUND(MAX(0,MIN(100,0.30*Y34+0.25*S34+0.15*Q34+0.15*T34+0.15*X34)),0)</x:f>
        <x:v>55</x:v>
      </x:c>
      <x:c r="AF34" s="12" t="n">
        <x:f>ROUND(MAX(0,MIN(100,0.65*X34+0.35*Y34)),0)</x:f>
        <x:v>80</x:v>
      </x:c>
      <x:c r="AG34" s="12" t="str">
        <x:v>https://wikiwiki.jp/poke-unite/%E3%83%9F%E3%83%A9%E3%82%A4%E3%83%89%E3%83%B3</x:v>
      </x:c>
      <x:c r="AH34" s="12" t="str">
        <x:v>「チャージビーム」型は、遠い位置から予測と照準で大きな一発を通すタイプ。距離と間合いを丁寧に管理することと、短い好機を一気に取り切ることを楽しめる人ほど持ち味を出しやすい。</x:v>
      </x:c>
      <x:c r="AI34" s="12" t="str">
        <x:v>間合い管理・自己遂行・後方位置</x:v>
      </x:c>
      <x:c r="AJ34" s="12" t="n">
        <x:v>0</x:v>
      </x:c>
    </x:row>
    <x:row r="35">
      <x:c r="A35" s="12" t="str">
        <x:v>ミライドン</x:v>
      </x:c>
      <x:c r="B35" s="12" t="str">
        <x:v>アタック型</x:v>
      </x:c>
      <x:c r="C35" s="12" t="str">
        <x:v>ミライドン-2</x:v>
      </x:c>
      <x:c r="D35" s="12" t="str">
        <x:v>イナズマドライブ</x:v>
      </x:c>
      <x:c r="E35" s="12" t="str">
        <x:v>Skirmisher / Assassin</x:v>
      </x:c>
      <x:c r="F35" s="12" t="str">
        <x:v>Skirmisher</x:v>
      </x:c>
      <x:c r="G35" s="12" t="str">
        <x:v>Assassin</x:v>
      </x:c>
      <x:c r="H35" s="12" t="str">
        <x:v>立ち位置・戦闘距離・役割が大きく変わるため別プロファイル</x:v>
      </x:c>
      <x:c r="I35" s="12" t="str">
        <x:v>高</x:v>
      </x:c>
      <x:c r="J35" s="12" t="str">
        <x:v>2026-09-30</x:v>
      </x:c>
      <x:c r="K35" s="12" t="n">
        <x:v>60</x:v>
      </x:c>
      <x:c r="L35" s="12" t="n">
        <x:v>100</x:v>
      </x:c>
      <x:c r="M35" s="12" t="n">
        <x:v>15</x:v>
      </x:c>
      <x:c r="N35" s="12" t="n">
        <x:v>45</x:v>
      </x:c>
      <x:c r="O35" s="12" t="n">
        <x:v>0</x:v>
      </x:c>
      <x:c r="P35" s="12" t="n">
        <x:v>45</x:v>
      </x:c>
      <x:c r="Q35" s="12" t="n">
        <x:v>25</x:v>
      </x:c>
      <x:c r="R35" s="12" t="n">
        <x:v>5</x:v>
      </x:c>
      <x:c r="S35" s="12" t="n">
        <x:v>100</x:v>
      </x:c>
      <x:c r="T35" s="12" t="n">
        <x:v>65</x:v>
      </x:c>
      <x:c r="U35" s="12" t="n">
        <x:v>55</x:v>
      </x:c>
      <x:c r="V35" s="12" t="n">
        <x:v>75</x:v>
      </x:c>
      <x:c r="W35" s="12" t="n">
        <x:v>75</x:v>
      </x:c>
      <x:c r="X35" s="12" t="n">
        <x:v>80</x:v>
      </x:c>
      <x:c r="Y35" s="12" t="n">
        <x:v>75</x:v>
      </x:c>
      <x:c r="Z35" s="12" t="n">
        <x:f>ROUND(MAX(0,MIN(100,0.40*K35+0.20*L35+0.10*S35+0.15*V35+0.15*Y35)),0)</x:f>
        <x:v>77</x:v>
      </x:c>
      <x:c r="AA35" s="12" t="n">
        <x:f>ROUND(MAX(0,MIN(100,0.30*L35+0.20*K35+0.15*V35+0.15*W35+0.10*S35+0.10*(100-M35))),0)</x:f>
        <x:v>83</x:v>
      </x:c>
      <x:c r="AB35" s="12" t="n">
        <x:f>ROUND(MAX(0,MIN(100,0.30*M35+0.25*R35+0.20*Q35+0.15*K35+0.10*(100-T35))),0)</x:f>
        <x:v>23</x:v>
      </x:c>
      <x:c r="AC35" s="12" t="n">
        <x:f>ROUND(MAX(0,MIN(100,0.55*T35+0.15*S35+0.10*N35+0.10*V35+0.10*W35)),0)</x:f>
        <x:v>70</x:v>
      </x:c>
      <x:c r="AD35" s="12" t="n">
        <x:f>ROUND(MAX(0,MIN(100,0.25*O35+0.25*Q35+0.20*Y35+0.15*U35+0.15*(100-L35))),0)</x:f>
        <x:v>30</x:v>
      </x:c>
      <x:c r="AE35" s="12" t="n">
        <x:f>ROUND(MAX(0,MIN(100,0.30*Y35+0.25*S35+0.15*Q35+0.15*T35+0.15*X35)),0)</x:f>
        <x:v>73</x:v>
      </x:c>
      <x:c r="AF35" s="12" t="n">
        <x:f>ROUND(MAX(0,MIN(100,0.65*X35+0.35*Y35)),0)</x:f>
        <x:v>78</x:v>
      </x:c>
      <x:c r="AG35" s="12" t="str">
        <x:v>https://wikiwiki.jp/poke-unite/%E3%83%9F%E3%83%A9%E3%82%A4%E3%83%89%E3%83%B3</x:v>
      </x:c>
      <x:c r="AH35" s="12" t="str">
        <x:v>「イナズマドライブ」型は、距離を詰めた後の駆け引きと継続戦で強みが出るタイプ。深く踏み込んで勝負することと、場所を変えながら揺さぶることを楽しめる人ほど持ち味を出しやすい。</x:v>
      </x:c>
      <x:c r="AI35" s="12" t="str">
        <x:v>深い踏み込み・機動力・接近戦</x:v>
      </x:c>
      <x:c r="AJ35" s="12" t="n">
        <x:v>0</x:v>
      </x:c>
    </x:row>
    <x:row r="36">
      <x:c r="A36" s="12" t="str">
        <x:v>ラウドボーン</x:v>
      </x:c>
      <x:c r="B36" s="12" t="str">
        <x:v>アタック型</x:v>
      </x:c>
      <x:c r="C36" s="12" t="str">
        <x:v>ラウドボーン-1</x:v>
      </x:c>
      <x:c r="D36" s="12" t="str">
        <x:v>共通</x:v>
      </x:c>
      <x:c r="E36" s="12" t="str">
        <x:v>Artillery</x:v>
      </x:c>
      <x:c r="F36" s="12" t="str">
        <x:v>Artillery</x:v>
      </x:c>
      <x:c r="G36" s="12"/>
      <x:c r="H36" s="12" t="str">
        <x:v>技で細部は変わるが、診断上のプレイ人格は大きく変わらないため統合</x:v>
      </x:c>
      <x:c r="I36" s="12" t="str">
        <x:v>中</x:v>
      </x:c>
      <x:c r="J36" s="12" t="str">
        <x:v>2026-09-30</x:v>
      </x:c>
      <x:c r="K36" s="12" t="n">
        <x:v>15</x:v>
      </x:c>
      <x:c r="L36" s="12" t="n">
        <x:v>5</x:v>
      </x:c>
      <x:c r="M36" s="12" t="n">
        <x:v>15</x:v>
      </x:c>
      <x:c r="N36" s="12" t="n">
        <x:v>5</x:v>
      </x:c>
      <x:c r="O36" s="12" t="n">
        <x:v>100</x:v>
      </x:c>
      <x:c r="P36" s="12" t="n">
        <x:v>5</x:v>
      </x:c>
      <x:c r="Q36" s="12" t="n">
        <x:v>45</x:v>
      </x:c>
      <x:c r="R36" s="12" t="n">
        <x:v>5</x:v>
      </x:c>
      <x:c r="S36" s="12" t="n">
        <x:v>0</x:v>
      </x:c>
      <x:c r="T36" s="12" t="n">
        <x:v>50</x:v>
      </x:c>
      <x:c r="U36" s="12" t="n">
        <x:v>60</x:v>
      </x:c>
      <x:c r="V36" s="12" t="n">
        <x:v>80</x:v>
      </x:c>
      <x:c r="W36" s="12" t="n">
        <x:v>20</x:v>
      </x:c>
      <x:c r="X36" s="12" t="n">
        <x:v>80</x:v>
      </x:c>
      <x:c r="Y36" s="12" t="n">
        <x:v>80</x:v>
      </x:c>
      <x:c r="Z36" s="12" t="n">
        <x:f>ROUND(MAX(0,MIN(100,0.40*K36+0.20*L36+0.10*S36+0.15*V36+0.15*Y36)),0)</x:f>
        <x:v>31</x:v>
      </x:c>
      <x:c r="AA36" s="12" t="n">
        <x:f>ROUND(MAX(0,MIN(100,0.30*L36+0.20*K36+0.15*V36+0.15*W36+0.10*S36+0.10*(100-M36))),0)</x:f>
        <x:v>28</x:v>
      </x:c>
      <x:c r="AB36" s="12" t="n">
        <x:f>ROUND(MAX(0,MIN(100,0.30*M36+0.25*R36+0.20*Q36+0.15*K36+0.10*(100-T36))),0)</x:f>
        <x:v>22</x:v>
      </x:c>
      <x:c r="AC36" s="12" t="n">
        <x:f>ROUND(MAX(0,MIN(100,0.55*T36+0.15*S36+0.10*N36+0.10*V36+0.10*W36)),0)</x:f>
        <x:v>38</x:v>
      </x:c>
      <x:c r="AD36" s="12" t="n">
        <x:f>ROUND(MAX(0,MIN(100,0.25*O36+0.25*Q36+0.20*Y36+0.15*U36+0.15*(100-L36))),0)</x:f>
        <x:v>76</x:v>
      </x:c>
      <x:c r="AE36" s="12" t="n">
        <x:f>ROUND(MAX(0,MIN(100,0.30*Y36+0.25*S36+0.15*Q36+0.15*T36+0.15*X36)),0)</x:f>
        <x:v>50</x:v>
      </x:c>
      <x:c r="AF36" s="12" t="n">
        <x:f>ROUND(MAX(0,MIN(100,0.65*X36+0.35*Y36)),0)</x:f>
        <x:v>80</x:v>
      </x:c>
      <x:c r="AG36" s="12" t="str">
        <x:v>https://wikiwiki.jp/poke-unite/%E3%83%A9%E3%82%A6%E3%83%89%E3%83%9C%E3%83%BC%E3%83%B3</x:v>
      </x:c>
      <x:c r="AH36" s="12" t="str">
        <x:v>遠い位置から予測と照準で大きな一発を通すタイプ。距離と間合いを丁寧に管理することと、短い好機を一気に取り切ることを楽しめる人ほど持ち味を出しやすい。</x:v>
      </x:c>
      <x:c r="AI36" s="12" t="str">
        <x:v>間合い管理・定位置・自己遂行</x:v>
      </x:c>
      <x:c r="AJ36" s="12" t="n">
        <x:v>0</x:v>
      </x:c>
    </x:row>
    <x:row r="37">
      <x:c r="A37" s="12" t="str">
        <x:v>ラティオス</x:v>
      </x:c>
      <x:c r="B37" s="12" t="str">
        <x:v>アタック型</x:v>
      </x:c>
      <x:c r="C37" s="12" t="str">
        <x:v>ラティオス-1</x:v>
      </x:c>
      <x:c r="D37" s="12" t="str">
        <x:v>共通</x:v>
      </x:c>
      <x:c r="E37" s="12" t="str">
        <x:v>BurstMage</x:v>
      </x:c>
      <x:c r="F37" s="12" t="str">
        <x:v>BurstMage</x:v>
      </x:c>
      <x:c r="G37" s="12"/>
      <x:c r="H37" s="12" t="str">
        <x:v>技で細部は変わるが、診断上のプレイ人格は大きく変わらないため統合</x:v>
      </x:c>
      <x:c r="I37" s="12" t="str">
        <x:v>高</x:v>
      </x:c>
      <x:c r="J37" s="12" t="str">
        <x:v>2026-09-30</x:v>
      </x:c>
      <x:c r="K37" s="12" t="n">
        <x:v>30</x:v>
      </x:c>
      <x:c r="L37" s="12" t="n">
        <x:v>5</x:v>
      </x:c>
      <x:c r="M37" s="12" t="n">
        <x:v>35</x:v>
      </x:c>
      <x:c r="N37" s="12" t="n">
        <x:v>0</x:v>
      </x:c>
      <x:c r="O37" s="12" t="n">
        <x:v>90</x:v>
      </x:c>
      <x:c r="P37" s="12" t="n">
        <x:v>10</x:v>
      </x:c>
      <x:c r="Q37" s="12" t="n">
        <x:v>65</x:v>
      </x:c>
      <x:c r="R37" s="12" t="n">
        <x:v>10</x:v>
      </x:c>
      <x:c r="S37" s="12" t="n">
        <x:v>40</x:v>
      </x:c>
      <x:c r="T37" s="12" t="n">
        <x:v>50</x:v>
      </x:c>
      <x:c r="U37" s="12" t="n">
        <x:v>65</x:v>
      </x:c>
      <x:c r="V37" s="12" t="n">
        <x:v>60</x:v>
      </x:c>
      <x:c r="W37" s="12" t="n">
        <x:v>25</x:v>
      </x:c>
      <x:c r="X37" s="12" t="n">
        <x:v>60</x:v>
      </x:c>
      <x:c r="Y37" s="12" t="n">
        <x:v>70</x:v>
      </x:c>
      <x:c r="Z37" s="12" t="n">
        <x:f>ROUND(MAX(0,MIN(100,0.40*K37+0.20*L37+0.10*S37+0.15*V37+0.15*Y37)),0)</x:f>
        <x:v>37</x:v>
      </x:c>
      <x:c r="AA37" s="12" t="n">
        <x:f>ROUND(MAX(0,MIN(100,0.30*L37+0.20*K37+0.15*V37+0.15*W37+0.10*S37+0.10*(100-M37))),0)</x:f>
        <x:v>31</x:v>
      </x:c>
      <x:c r="AB37" s="12" t="n">
        <x:f>ROUND(MAX(0,MIN(100,0.30*M37+0.25*R37+0.20*Q37+0.15*K37+0.10*(100-T37))),0)</x:f>
        <x:v>36</x:v>
      </x:c>
      <x:c r="AC37" s="12" t="n">
        <x:f>ROUND(MAX(0,MIN(100,0.55*T37+0.15*S37+0.10*N37+0.10*V37+0.10*W37)),0)</x:f>
        <x:v>42</x:v>
      </x:c>
      <x:c r="AD37" s="12" t="n">
        <x:f>ROUND(MAX(0,MIN(100,0.25*O37+0.25*Q37+0.20*Y37+0.15*U37+0.15*(100-L37))),0)</x:f>
        <x:v>77</x:v>
      </x:c>
      <x:c r="AE37" s="12" t="n">
        <x:f>ROUND(MAX(0,MIN(100,0.30*Y37+0.25*S37+0.15*Q37+0.15*T37+0.15*X37)),0)</x:f>
        <x:v>57</x:v>
      </x:c>
      <x:c r="AF37" s="12" t="n">
        <x:f>ROUND(MAX(0,MIN(100,0.65*X37+0.35*Y37)),0)</x:f>
        <x:v>64</x:v>
      </x:c>
      <x:c r="AG37" s="12" t="str">
        <x:v>https://wikiwiki.jp/poke-unite/%E3%83%A9%E3%83%86%E3%82%A3%E3%82%AA%E3%82%B9</x:v>
      </x:c>
      <x:c r="AH37" s="12" t="str">
        <x:v>間合いとタイミングを作り、短い窓に火力をまとめるタイプ。短い好機を一気に取り切ることと、距離と間合いを丁寧に管理することを楽しめる人ほど持ち味を出しやすい。</x:v>
      </x:c>
      <x:c r="AI37" s="12" t="str">
        <x:v>後方位置・安全ライン・間合い管理</x:v>
      </x:c>
      <x:c r="AJ37" s="12" t="n">
        <x:v>0</x:v>
      </x:c>
    </x:row>
    <x:row r="38">
      <x:c r="A38" s="12" t="str">
        <x:v>レシラム</x:v>
      </x:c>
      <x:c r="B38" s="12" t="str">
        <x:v>アタック型</x:v>
      </x:c>
      <x:c r="C38" s="12" t="str">
        <x:v>レシラム-1</x:v>
      </x:c>
      <x:c r="D38" s="12" t="str">
        <x:v>共通</x:v>
      </x:c>
      <x:c r="E38" s="12" t="str">
        <x:v>BattleMage</x:v>
      </x:c>
      <x:c r="F38" s="12" t="str">
        <x:v>BattleMage</x:v>
      </x:c>
      <x:c r="G38" s="12"/>
      <x:c r="H38" s="12" t="str">
        <x:v>技で細部は変わるが、診断上のプレイ人格は大きく変わらないため統合</x:v>
      </x:c>
      <x:c r="I38" s="12" t="str">
        <x:v>低</x:v>
      </x:c>
      <x:c r="J38" s="12" t="str">
        <x:v>2026-09-30</x:v>
      </x:c>
      <x:c r="K38" s="12" t="n">
        <x:v>50</x:v>
      </x:c>
      <x:c r="L38" s="12" t="n">
        <x:v>35</x:v>
      </x:c>
      <x:c r="M38" s="12" t="n">
        <x:v>30</x:v>
      </x:c>
      <x:c r="N38" s="12" t="n">
        <x:v>30</x:v>
      </x:c>
      <x:c r="O38" s="12" t="n">
        <x:v>65</x:v>
      </x:c>
      <x:c r="P38" s="12" t="n">
        <x:v>70</x:v>
      </x:c>
      <x:c r="Q38" s="12" t="n">
        <x:v>50</x:v>
      </x:c>
      <x:c r="R38" s="12" t="n">
        <x:v>10</x:v>
      </x:c>
      <x:c r="S38" s="12" t="n">
        <x:v>50</x:v>
      </x:c>
      <x:c r="T38" s="12" t="n">
        <x:v>60</x:v>
      </x:c>
      <x:c r="U38" s="12" t="n">
        <x:v>70</x:v>
      </x:c>
      <x:c r="V38" s="12" t="n">
        <x:v>65</x:v>
      </x:c>
      <x:c r="W38" s="12" t="n">
        <x:v>45</x:v>
      </x:c>
      <x:c r="X38" s="12" t="n">
        <x:v>60</x:v>
      </x:c>
      <x:c r="Y38" s="12" t="n">
        <x:v>65</x:v>
      </x:c>
      <x:c r="Z38" s="12" t="n">
        <x:f>ROUND(MAX(0,MIN(100,0.40*K38+0.20*L38+0.10*S38+0.15*V38+0.15*Y38)),0)</x:f>
        <x:v>52</x:v>
      </x:c>
      <x:c r="AA38" s="12" t="n">
        <x:f>ROUND(MAX(0,MIN(100,0.30*L38+0.20*K38+0.15*V38+0.15*W38+0.10*S38+0.10*(100-M38))),0)</x:f>
        <x:v>49</x:v>
      </x:c>
      <x:c r="AB38" s="12" t="n">
        <x:f>ROUND(MAX(0,MIN(100,0.30*M38+0.25*R38+0.20*Q38+0.15*K38+0.10*(100-T38))),0)</x:f>
        <x:v>33</x:v>
      </x:c>
      <x:c r="AC38" s="12" t="n">
        <x:f>ROUND(MAX(0,MIN(100,0.55*T38+0.15*S38+0.10*N38+0.10*V38+0.10*W38)),0)</x:f>
        <x:v>55</x:v>
      </x:c>
      <x:c r="AD38" s="12" t="n">
        <x:f>ROUND(MAX(0,MIN(100,0.25*O38+0.25*Q38+0.20*Y38+0.15*U38+0.15*(100-L38))),0)</x:f>
        <x:v>62</x:v>
      </x:c>
      <x:c r="AE38" s="12" t="n">
        <x:f>ROUND(MAX(0,MIN(100,0.30*Y38+0.25*S38+0.15*Q38+0.15*T38+0.15*X38)),0)</x:f>
        <x:v>58</x:v>
      </x:c>
      <x:c r="AF38" s="12" t="n">
        <x:f>ROUND(MAX(0,MIN(100,0.65*X38+0.35*Y38)),0)</x:f>
        <x:v>62</x:v>
      </x:c>
      <x:c r="AG38" s="12" t="str">
        <x:v>https://wikiwiki.jp/poke-unite/%E3%83%AC%E3%82%B7%E3%83%A9%E3%83%A0</x:v>
      </x:c>
      <x:c r="AH38" s="12" t="str">
        <x:v>位置を変えながら中距離で戦い続け、手数で押すタイプ。長い戦いで圧を積み上げることと、準備して強い時間を待つことを楽しめる人ほど持ち味を出しやすい。</x:v>
      </x:c>
      <x:c r="AI38" s="12" t="str">
        <x:v>自己遂行・自分の仕事・継続戦</x:v>
      </x:c>
      <x:c r="AJ38" s="12" t="n">
        <x:v>0</x:v>
      </x:c>
    </x:row>
    <x:row r="39">
      <x:c r="A39" s="12" t="str">
        <x:v>ストリンダー</x:v>
      </x:c>
      <x:c r="B39" s="12" t="str">
        <x:v>アタック型</x:v>
      </x:c>
      <x:c r="C39" s="12" t="str">
        <x:v>ストリンダー-1</x:v>
      </x:c>
      <x:c r="D39" s="12" t="str">
        <x:v>共通</x:v>
      </x:c>
      <x:c r="E39" s="12" t="str">
        <x:v>Marksman / BattleMage</x:v>
      </x:c>
      <x:c r="F39" s="12" t="str">
        <x:v>Marksman</x:v>
      </x:c>
      <x:c r="G39" s="12" t="str">
        <x:v>BattleMage</x:v>
      </x:c>
      <x:c r="H39" s="12" t="str">
        <x:v>技で細部は変わるが、診断上のプレイ人格は大きく変わらないため統合</x:v>
      </x:c>
      <x:c r="I39" s="12" t="str">
        <x:v>低</x:v>
      </x:c>
      <x:c r="J39" s="12" t="str">
        <x:v>2026-09-30</x:v>
      </x:c>
      <x:c r="K39" s="12" t="n">
        <x:v>30</x:v>
      </x:c>
      <x:c r="L39" s="12" t="n">
        <x:v>20</x:v>
      </x:c>
      <x:c r="M39" s="12" t="n">
        <x:v>10</x:v>
      </x:c>
      <x:c r="N39" s="12" t="n">
        <x:v>10</x:v>
      </x:c>
      <x:c r="O39" s="12" t="n">
        <x:v>75</x:v>
      </x:c>
      <x:c r="P39" s="12" t="n">
        <x:v>80</x:v>
      </x:c>
      <x:c r="Q39" s="12" t="n">
        <x:v>30</x:v>
      </x:c>
      <x:c r="R39" s="12" t="n">
        <x:v>5</x:v>
      </x:c>
      <x:c r="S39" s="12" t="n">
        <x:v>50</x:v>
      </x:c>
      <x:c r="T39" s="12" t="n">
        <x:v>55</x:v>
      </x:c>
      <x:c r="U39" s="12" t="n">
        <x:v>75</x:v>
      </x:c>
      <x:c r="V39" s="12" t="n">
        <x:v>85</x:v>
      </x:c>
      <x:c r="W39" s="12" t="n">
        <x:v>55</x:v>
      </x:c>
      <x:c r="X39" s="12" t="n">
        <x:v>65</x:v>
      </x:c>
      <x:c r="Y39" s="12" t="n">
        <x:v>75</x:v>
      </x:c>
      <x:c r="Z39" s="12" t="n">
        <x:f>ROUND(MAX(0,MIN(100,0.40*K39+0.20*L39+0.10*S39+0.15*V39+0.15*Y39)),0)</x:f>
        <x:v>45</x:v>
      </x:c>
      <x:c r="AA39" s="12" t="n">
        <x:f>ROUND(MAX(0,MIN(100,0.30*L39+0.20*K39+0.15*V39+0.15*W39+0.10*S39+0.10*(100-M39))),0)</x:f>
        <x:v>47</x:v>
      </x:c>
      <x:c r="AB39" s="12" t="n">
        <x:f>ROUND(MAX(0,MIN(100,0.30*M39+0.25*R39+0.20*Q39+0.15*K39+0.10*(100-T39))),0)</x:f>
        <x:v>19</x:v>
      </x:c>
      <x:c r="AC39" s="12" t="n">
        <x:f>ROUND(MAX(0,MIN(100,0.55*T39+0.15*S39+0.10*N39+0.10*V39+0.10*W39)),0)</x:f>
        <x:v>53</x:v>
      </x:c>
      <x:c r="AD39" s="12" t="n">
        <x:f>ROUND(MAX(0,MIN(100,0.25*O39+0.25*Q39+0.20*Y39+0.15*U39+0.15*(100-L39))),0)</x:f>
        <x:v>65</x:v>
      </x:c>
      <x:c r="AE39" s="12" t="n">
        <x:f>ROUND(MAX(0,MIN(100,0.30*Y39+0.25*S39+0.15*Q39+0.15*T39+0.15*X39)),0)</x:f>
        <x:v>58</x:v>
      </x:c>
      <x:c r="AF39" s="12" t="n">
        <x:f>ROUND(MAX(0,MIN(100,0.65*X39+0.35*Y39)),0)</x:f>
        <x:v>69</x:v>
      </x:c>
      <x:c r="AG39" s="12" t="str">
        <x:v>https://www.pokemonunite.jp/ja/topics/news/20260924/</x:v>
      </x:c>
      <x:c r="AH39" s="12" t="str">
        <x:v>安全な位置を保ちながら、継続火力を積み上げるタイプ。長い戦いで圧を積み上げることと、決め所を自分で締めることを楽しめる人ほど持ち味を出しやすい。</x:v>
      </x:c>
      <x:c r="AI39" s="12" t="str">
        <x:v>自己遂行・自分の仕事・後方位置</x:v>
      </x:c>
      <x:c r="AJ39" s="12" t="n">
        <x:v>0</x:v>
      </x:c>
    </x:row>
    <x:row r="40">
      <x:c r="A40" s="12" t="str">
        <x:v>アマージョ</x:v>
      </x:c>
      <x:c r="B40" s="12" t="str">
        <x:v>バランス型</x:v>
      </x:c>
      <x:c r="C40" s="12" t="str">
        <x:v>アマージョ-1</x:v>
      </x:c>
      <x:c r="D40" s="12" t="str">
        <x:v>共通</x:v>
      </x:c>
      <x:c r="E40" s="12" t="str">
        <x:v>Skirmisher</x:v>
      </x:c>
      <x:c r="F40" s="12" t="str">
        <x:v>Skirmisher</x:v>
      </x:c>
      <x:c r="G40" s="12"/>
      <x:c r="H40" s="12" t="str">
        <x:v>技で細部は変わるが、診断上のプレイ人格は大きく変わらないため統合</x:v>
      </x:c>
      <x:c r="I40" s="12" t="str">
        <x:v>高</x:v>
      </x:c>
      <x:c r="J40" s="12" t="str">
        <x:v>2026-09-30</x:v>
      </x:c>
      <x:c r="K40" s="12" t="n">
        <x:v>60</x:v>
      </x:c>
      <x:c r="L40" s="12" t="n">
        <x:v>80</x:v>
      </x:c>
      <x:c r="M40" s="12" t="n">
        <x:v>25</x:v>
      </x:c>
      <x:c r="N40" s="12" t="n">
        <x:v>75</x:v>
      </x:c>
      <x:c r="O40" s="12" t="n">
        <x:v>20</x:v>
      </x:c>
      <x:c r="P40" s="12" t="n">
        <x:v>70</x:v>
      </x:c>
      <x:c r="Q40" s="12" t="n">
        <x:v>30</x:v>
      </x:c>
      <x:c r="R40" s="12" t="n">
        <x:v>5</x:v>
      </x:c>
      <x:c r="S40" s="12" t="n">
        <x:v>90</x:v>
      </x:c>
      <x:c r="T40" s="12" t="n">
        <x:v>80</x:v>
      </x:c>
      <x:c r="U40" s="12" t="n">
        <x:v>70</x:v>
      </x:c>
      <x:c r="V40" s="12" t="n">
        <x:v>65</x:v>
      </x:c>
      <x:c r="W40" s="12" t="n">
        <x:v>65</x:v>
      </x:c>
      <x:c r="X40" s="12" t="n">
        <x:v>85</x:v>
      </x:c>
      <x:c r="Y40" s="12" t="n">
        <x:v>65</x:v>
      </x:c>
      <x:c r="Z40" s="12" t="n">
        <x:f>ROUND(MAX(0,MIN(100,0.40*K40+0.20*L40+0.10*S40+0.15*V40+0.15*Y40)),0)</x:f>
        <x:v>69</x:v>
      </x:c>
      <x:c r="AA40" s="12" t="n">
        <x:f>ROUND(MAX(0,MIN(100,0.30*L40+0.20*K40+0.15*V40+0.15*W40+0.10*S40+0.10*(100-M40))),0)</x:f>
        <x:v>72</x:v>
      </x:c>
      <x:c r="AB40" s="12" t="n">
        <x:f>ROUND(MAX(0,MIN(100,0.30*M40+0.25*R40+0.20*Q40+0.15*K40+0.10*(100-T40))),0)</x:f>
        <x:v>26</x:v>
      </x:c>
      <x:c r="AC40" s="12" t="n">
        <x:f>ROUND(MAX(0,MIN(100,0.55*T40+0.15*S40+0.10*N40+0.10*V40+0.10*W40)),0)</x:f>
        <x:v>78</x:v>
      </x:c>
      <x:c r="AD40" s="12" t="n">
        <x:f>ROUND(MAX(0,MIN(100,0.25*O40+0.25*Q40+0.20*Y40+0.15*U40+0.15*(100-L40))),0)</x:f>
        <x:v>39</x:v>
      </x:c>
      <x:c r="AE40" s="12" t="n">
        <x:f>ROUND(MAX(0,MIN(100,0.30*Y40+0.25*S40+0.15*Q40+0.15*T40+0.15*X40)),0)</x:f>
        <x:v>71</x:v>
      </x:c>
      <x:c r="AF40" s="12" t="n">
        <x:f>ROUND(MAX(0,MIN(100,0.65*X40+0.35*Y40)),0)</x:f>
        <x:v>78</x:v>
      </x:c>
      <x:c r="AG40" s="12" t="str">
        <x:v>https://wikiwiki.jp/poke-unite/%E3%82%A2%E3%83%9E%E3%83%BC%E3%82%B8%E3%83%A7</x:v>
      </x:c>
      <x:c r="AH40" s="12" t="str">
        <x:v>距離を詰めた後の駆け引きと継続戦で強みが出るタイプ。長い戦いで圧を積み上げることと、深く踏み込んで勝負することを楽しめる人ほど持ち味を出しやすい。</x:v>
      </x:c>
      <x:c r="AI40" s="12" t="str">
        <x:v>自己遂行・機動力・操作精度</x:v>
      </x:c>
      <x:c r="AJ40" s="12" t="n">
        <x:v>0</x:v>
      </x:c>
    </x:row>
    <x:row r="41">
      <x:c r="A41" s="12" t="str">
        <x:v>ウェーニバル</x:v>
      </x:c>
      <x:c r="B41" s="12" t="str">
        <x:v>バランス型</x:v>
      </x:c>
      <x:c r="C41" s="12" t="str">
        <x:v>ウェーニバル-1</x:v>
      </x:c>
      <x:c r="D41" s="12" t="str">
        <x:v>共通</x:v>
      </x:c>
      <x:c r="E41" s="12" t="str">
        <x:v>Skirmisher</x:v>
      </x:c>
      <x:c r="F41" s="12" t="str">
        <x:v>Skirmisher</x:v>
      </x:c>
      <x:c r="G41" s="12"/>
      <x:c r="H41" s="12" t="str">
        <x:v>技で細部は変わるが、診断上のプレイ人格は大きく変わらないため統合</x:v>
      </x:c>
      <x:c r="I41" s="12" t="str">
        <x:v>中</x:v>
      </x:c>
      <x:c r="J41" s="12" t="str">
        <x:v>2026-09-30</x:v>
      </x:c>
      <x:c r="K41" s="12" t="n">
        <x:v>60</x:v>
      </x:c>
      <x:c r="L41" s="12" t="n">
        <x:v>80</x:v>
      </x:c>
      <x:c r="M41" s="12" t="n">
        <x:v>25</x:v>
      </x:c>
      <x:c r="N41" s="12" t="n">
        <x:v>75</x:v>
      </x:c>
      <x:c r="O41" s="12" t="n">
        <x:v>20</x:v>
      </x:c>
      <x:c r="P41" s="12" t="n">
        <x:v>90</x:v>
      </x:c>
      <x:c r="Q41" s="12" t="n">
        <x:v>40</x:v>
      </x:c>
      <x:c r="R41" s="12" t="n">
        <x:v>5</x:v>
      </x:c>
      <x:c r="S41" s="12" t="n">
        <x:v>100</x:v>
      </x:c>
      <x:c r="T41" s="12" t="n">
        <x:v>85</x:v>
      </x:c>
      <x:c r="U41" s="12" t="n">
        <x:v>70</x:v>
      </x:c>
      <x:c r="V41" s="12" t="n">
        <x:v>65</x:v>
      </x:c>
      <x:c r="W41" s="12" t="n">
        <x:v>65</x:v>
      </x:c>
      <x:c r="X41" s="12" t="n">
        <x:v>70</x:v>
      </x:c>
      <x:c r="Y41" s="12" t="n">
        <x:v>65</x:v>
      </x:c>
      <x:c r="Z41" s="12" t="n">
        <x:f>ROUND(MAX(0,MIN(100,0.40*K41+0.20*L41+0.10*S41+0.15*V41+0.15*Y41)),0)</x:f>
        <x:v>70</x:v>
      </x:c>
      <x:c r="AA41" s="12" t="n">
        <x:f>ROUND(MAX(0,MIN(100,0.30*L41+0.20*K41+0.15*V41+0.15*W41+0.10*S41+0.10*(100-M41))),0)</x:f>
        <x:v>73</x:v>
      </x:c>
      <x:c r="AB41" s="12" t="n">
        <x:f>ROUND(MAX(0,MIN(100,0.30*M41+0.25*R41+0.20*Q41+0.15*K41+0.10*(100-T41))),0)</x:f>
        <x:v>27</x:v>
      </x:c>
      <x:c r="AC41" s="12" t="n">
        <x:f>ROUND(MAX(0,MIN(100,0.55*T41+0.15*S41+0.10*N41+0.10*V41+0.10*W41)),0)</x:f>
        <x:v>82</x:v>
      </x:c>
      <x:c r="AD41" s="12" t="n">
        <x:f>ROUND(MAX(0,MIN(100,0.25*O41+0.25*Q41+0.20*Y41+0.15*U41+0.15*(100-L41))),0)</x:f>
        <x:v>42</x:v>
      </x:c>
      <x:c r="AE41" s="12" t="n">
        <x:f>ROUND(MAX(0,MIN(100,0.30*Y41+0.25*S41+0.15*Q41+0.15*T41+0.15*X41)),0)</x:f>
        <x:v>74</x:v>
      </x:c>
      <x:c r="AF41" s="12" t="n">
        <x:f>ROUND(MAX(0,MIN(100,0.65*X41+0.35*Y41)),0)</x:f>
        <x:v>68</x:v>
      </x:c>
      <x:c r="AG41" s="12" t="str">
        <x:v>https://wikiwiki.jp/poke-unite/%E3%82%A6%E3%82%A7%E3%83%BC%E3%83%8B%E3%83%90%E3%83%AB</x:v>
      </x:c>
      <x:c r="AH41" s="12" t="str">
        <x:v>距離を詰めた後の駆け引きと継続戦で強みが出るタイプ。長い戦いで圧を積み上げることと、場所を変えながら揺さぶることを楽しめる人ほど持ち味を出しやすい。</x:v>
      </x:c>
      <x:c r="AI41" s="12" t="str">
        <x:v>機動力・自己遂行・継続戦</x:v>
      </x:c>
      <x:c r="AJ41" s="12" t="n">
        <x:v>0</x:v>
      </x:c>
    </x:row>
    <x:row r="42">
      <x:c r="A42" s="12" t="str">
        <x:v>ウーラオス</x:v>
      </x:c>
      <x:c r="B42" s="12" t="str">
        <x:v>バランス型</x:v>
      </x:c>
      <x:c r="C42" s="12" t="str">
        <x:v>ウーラオス-1</x:v>
      </x:c>
      <x:c r="D42" s="12" t="str">
        <x:v>あんこくきょうだ</x:v>
      </x:c>
      <x:c r="E42" s="12" t="str">
        <x:v>Diver / Assassin</x:v>
      </x:c>
      <x:c r="F42" s="12" t="str">
        <x:v>Diver</x:v>
      </x:c>
      <x:c r="G42" s="12" t="str">
        <x:v>Assassin</x:v>
      </x:c>
      <x:c r="H42" s="12" t="str">
        <x:v>立ち位置・戦闘距離・役割が大きく変わるため別プロファイル</x:v>
      </x:c>
      <x:c r="I42" s="12" t="str">
        <x:v>高</x:v>
      </x:c>
      <x:c r="J42" s="12" t="str">
        <x:v>2026-09-30</x:v>
      </x:c>
      <x:c r="K42" s="12" t="n">
        <x:v>70</x:v>
      </x:c>
      <x:c r="L42" s="12" t="n">
        <x:v>100</x:v>
      </x:c>
      <x:c r="M42" s="12" t="n">
        <x:v>10</x:v>
      </x:c>
      <x:c r="N42" s="12" t="n">
        <x:v>40</x:v>
      </x:c>
      <x:c r="O42" s="12" t="n">
        <x:v>10</x:v>
      </x:c>
      <x:c r="P42" s="12" t="n">
        <x:v>20</x:v>
      </x:c>
      <x:c r="Q42" s="12" t="n">
        <x:v>35</x:v>
      </x:c>
      <x:c r="R42" s="12" t="n">
        <x:v>5</x:v>
      </x:c>
      <x:c r="S42" s="12" t="n">
        <x:v>90</x:v>
      </x:c>
      <x:c r="T42" s="12" t="n">
        <x:v>60</x:v>
      </x:c>
      <x:c r="U42" s="12" t="n">
        <x:v>60</x:v>
      </x:c>
      <x:c r="V42" s="12" t="n">
        <x:v>70</x:v>
      </x:c>
      <x:c r="W42" s="12" t="n">
        <x:v>65</x:v>
      </x:c>
      <x:c r="X42" s="12" t="n">
        <x:v>75</x:v>
      </x:c>
      <x:c r="Y42" s="12" t="n">
        <x:v>70</x:v>
      </x:c>
      <x:c r="Z42" s="12" t="n">
        <x:f>ROUND(MAX(0,MIN(100,0.40*K42+0.20*L42+0.10*S42+0.15*V42+0.15*Y42)),0)</x:f>
        <x:v>78</x:v>
      </x:c>
      <x:c r="AA42" s="12" t="n">
        <x:f>ROUND(MAX(0,MIN(100,0.30*L42+0.20*K42+0.15*V42+0.15*W42+0.10*S42+0.10*(100-M42))),0)</x:f>
        <x:v>82</x:v>
      </x:c>
      <x:c r="AB42" s="12" t="n">
        <x:f>ROUND(MAX(0,MIN(100,0.30*M42+0.25*R42+0.20*Q42+0.15*K42+0.10*(100-T42))),0)</x:f>
        <x:v>26</x:v>
      </x:c>
      <x:c r="AC42" s="12" t="n">
        <x:f>ROUND(MAX(0,MIN(100,0.55*T42+0.15*S42+0.10*N42+0.10*V42+0.10*W42)),0)</x:f>
        <x:v>64</x:v>
      </x:c>
      <x:c r="AD42" s="12" t="n">
        <x:f>ROUND(MAX(0,MIN(100,0.25*O42+0.25*Q42+0.20*Y42+0.15*U42+0.15*(100-L42))),0)</x:f>
        <x:v>34</x:v>
      </x:c>
      <x:c r="AE42" s="12" t="n">
        <x:f>ROUND(MAX(0,MIN(100,0.30*Y42+0.25*S42+0.15*Q42+0.15*T42+0.15*X42)),0)</x:f>
        <x:v>69</x:v>
      </x:c>
      <x:c r="AF42" s="12" t="n">
        <x:f>ROUND(MAX(0,MIN(100,0.65*X42+0.35*Y42)),0)</x:f>
        <x:v>73</x:v>
      </x:c>
      <x:c r="AG42" s="12" t="str">
        <x:v>https://wikiwiki.jp/poke-unite/%E3%82%A6%E3%83%BC%E3%83%A9%E3%82%AA%E3%82%B9</x:v>
      </x:c>
      <x:c r="AH42" s="12" t="str">
        <x:v>「あんこくきょうだ」型は、自分から踏み込んで戦線を動かし、相手の中心に圧をかけるタイプ。深く踏み込んで勝負することと、短い好機を一気に取り切ることを楽しめる人ほど持ち味を出しやすい。</x:v>
      </x:c>
      <x:c r="AI42" s="12" t="str">
        <x:v>深い踏み込み・自己遂行・自分の仕事</x:v>
      </x:c>
      <x:c r="AJ42" s="12" t="n">
        <x:v>0</x:v>
      </x:c>
    </x:row>
    <x:row r="43">
      <x:c r="A43" s="12" t="str">
        <x:v>ウーラオス</x:v>
      </x:c>
      <x:c r="B43" s="12" t="str">
        <x:v>バランス型</x:v>
      </x:c>
      <x:c r="C43" s="12" t="str">
        <x:v>ウーラオス-2</x:v>
      </x:c>
      <x:c r="D43" s="12" t="str">
        <x:v>すいりゅうれんだ</x:v>
      </x:c>
      <x:c r="E43" s="12" t="str">
        <x:v>Skirmisher / Diver</x:v>
      </x:c>
      <x:c r="F43" s="12" t="str">
        <x:v>Skirmisher</x:v>
      </x:c>
      <x:c r="G43" s="12" t="str">
        <x:v>Diver</x:v>
      </x:c>
      <x:c r="H43" s="12" t="str">
        <x:v>立ち位置・戦闘距離・役割が大きく変わるため別プロファイル</x:v>
      </x:c>
      <x:c r="I43" s="12" t="str">
        <x:v>高</x:v>
      </x:c>
      <x:c r="J43" s="12" t="str">
        <x:v>2026-09-30</x:v>
      </x:c>
      <x:c r="K43" s="12" t="n">
        <x:v>70</x:v>
      </x:c>
      <x:c r="L43" s="12" t="n">
        <x:v>90</x:v>
      </x:c>
      <x:c r="M43" s="12" t="n">
        <x:v>25</x:v>
      </x:c>
      <x:c r="N43" s="12" t="n">
        <x:v>75</x:v>
      </x:c>
      <x:c r="O43" s="12" t="n">
        <x:v>10</x:v>
      </x:c>
      <x:c r="P43" s="12" t="n">
        <x:v>85</x:v>
      </x:c>
      <x:c r="Q43" s="12" t="n">
        <x:v>45</x:v>
      </x:c>
      <x:c r="R43" s="12" t="n">
        <x:v>5</x:v>
      </x:c>
      <x:c r="S43" s="12" t="n">
        <x:v>90</x:v>
      </x:c>
      <x:c r="T43" s="12" t="n">
        <x:v>85</x:v>
      </x:c>
      <x:c r="U43" s="12" t="n">
        <x:v>55</x:v>
      </x:c>
      <x:c r="V43" s="12" t="n">
        <x:v>55</x:v>
      </x:c>
      <x:c r="W43" s="12" t="n">
        <x:v>55</x:v>
      </x:c>
      <x:c r="X43" s="12" t="n">
        <x:v>70</x:v>
      </x:c>
      <x:c r="Y43" s="12" t="n">
        <x:v>65</x:v>
      </x:c>
      <x:c r="Z43" s="12" t="n">
        <x:f>ROUND(MAX(0,MIN(100,0.40*K43+0.20*L43+0.10*S43+0.15*V43+0.15*Y43)),0)</x:f>
        <x:v>73</x:v>
      </x:c>
      <x:c r="AA43" s="12" t="n">
        <x:f>ROUND(MAX(0,MIN(100,0.30*L43+0.20*K43+0.15*V43+0.15*W43+0.10*S43+0.10*(100-M43))),0)</x:f>
        <x:v>74</x:v>
      </x:c>
      <x:c r="AB43" s="12" t="n">
        <x:f>ROUND(MAX(0,MIN(100,0.30*M43+0.25*R43+0.20*Q43+0.15*K43+0.10*(100-T43))),0)</x:f>
        <x:v>30</x:v>
      </x:c>
      <x:c r="AC43" s="12" t="n">
        <x:f>ROUND(MAX(0,MIN(100,0.55*T43+0.15*S43+0.10*N43+0.10*V43+0.10*W43)),0)</x:f>
        <x:v>79</x:v>
      </x:c>
      <x:c r="AD43" s="12" t="n">
        <x:f>ROUND(MAX(0,MIN(100,0.25*O43+0.25*Q43+0.20*Y43+0.15*U43+0.15*(100-L43))),0)</x:f>
        <x:v>37</x:v>
      </x:c>
      <x:c r="AE43" s="12" t="n">
        <x:f>ROUND(MAX(0,MIN(100,0.30*Y43+0.25*S43+0.15*Q43+0.15*T43+0.15*X43)),0)</x:f>
        <x:v>72</x:v>
      </x:c>
      <x:c r="AF43" s="12" t="n">
        <x:f>ROUND(MAX(0,MIN(100,0.65*X43+0.35*Y43)),0)</x:f>
        <x:v>68</x:v>
      </x:c>
      <x:c r="AG43" s="12" t="str">
        <x:v>https://wikiwiki.jp/poke-unite/%E3%82%A6%E3%83%BC%E3%83%A9%E3%82%AA%E3%82%B9</x:v>
      </x:c>
      <x:c r="AH43" s="12" t="str">
        <x:v>「すいりゅうれんだ」型は、距離を詰めた後の駆け引きと継続戦で強みが出るタイプ。長い戦いで圧を積み上げることと、場所を変えながら揺さぶることを楽しめる人ほど持ち味を出しやすい。</x:v>
      </x:c>
      <x:c r="AI43" s="12" t="str">
        <x:v>自己遂行・深い踏み込み・機動力</x:v>
      </x:c>
      <x:c r="AJ43" s="12" t="n">
        <x:v>0</x:v>
      </x:c>
    </x:row>
    <x:row r="44">
      <x:c r="A44" s="12" t="str">
        <x:v>エンペルト</x:v>
      </x:c>
      <x:c r="B44" s="12" t="str">
        <x:v>バランス型</x:v>
      </x:c>
      <x:c r="C44" s="12" t="str">
        <x:v>エンペルト-1</x:v>
      </x:c>
      <x:c r="D44" s="12" t="str">
        <x:v>共通</x:v>
      </x:c>
      <x:c r="E44" s="12" t="str">
        <x:v>Juggernaut</x:v>
      </x:c>
      <x:c r="F44" s="12" t="str">
        <x:v>Juggernaut</x:v>
      </x:c>
      <x:c r="G44" s="12"/>
      <x:c r="H44" s="12" t="str">
        <x:v>技で細部は変わるが、診断上のプレイ人格は大きく変わらないため統合</x:v>
      </x:c>
      <x:c r="I44" s="12" t="str">
        <x:v>高</x:v>
      </x:c>
      <x:c r="J44" s="12" t="str">
        <x:v>2026-09-30</x:v>
      </x:c>
      <x:c r="K44" s="12" t="n">
        <x:v>55</x:v>
      </x:c>
      <x:c r="L44" s="12" t="n">
        <x:v>55</x:v>
      </x:c>
      <x:c r="M44" s="12" t="n">
        <x:v>35</x:v>
      </x:c>
      <x:c r="N44" s="12" t="n">
        <x:v>100</x:v>
      </x:c>
      <x:c r="O44" s="12" t="n">
        <x:v>10</x:v>
      </x:c>
      <x:c r="P44" s="12" t="n">
        <x:v>85</x:v>
      </x:c>
      <x:c r="Q44" s="12" t="n">
        <x:v>35</x:v>
      </x:c>
      <x:c r="R44" s="12" t="n">
        <x:v>5</x:v>
      </x:c>
      <x:c r="S44" s="12" t="n">
        <x:v>20</x:v>
      </x:c>
      <x:c r="T44" s="12" t="n">
        <x:v>80</x:v>
      </x:c>
      <x:c r="U44" s="12" t="n">
        <x:v>80</x:v>
      </x:c>
      <x:c r="V44" s="12" t="n">
        <x:v>75</x:v>
      </x:c>
      <x:c r="W44" s="12" t="n">
        <x:v>40</x:v>
      </x:c>
      <x:c r="X44" s="12" t="n">
        <x:v>50</x:v>
      </x:c>
      <x:c r="Y44" s="12" t="n">
        <x:v>60</x:v>
      </x:c>
      <x:c r="Z44" s="12" t="n">
        <x:f>ROUND(MAX(0,MIN(100,0.40*K44+0.20*L44+0.10*S44+0.15*V44+0.15*Y44)),0)</x:f>
        <x:v>55</x:v>
      </x:c>
      <x:c r="AA44" s="12" t="n">
        <x:f>ROUND(MAX(0,MIN(100,0.30*L44+0.20*K44+0.15*V44+0.15*W44+0.10*S44+0.10*(100-M44))),0)</x:f>
        <x:v>53</x:v>
      </x:c>
      <x:c r="AB44" s="12" t="n">
        <x:f>ROUND(MAX(0,MIN(100,0.30*M44+0.25*R44+0.20*Q44+0.15*K44+0.10*(100-T44))),0)</x:f>
        <x:v>29</x:v>
      </x:c>
      <x:c r="AC44" s="12" t="n">
        <x:f>ROUND(MAX(0,MIN(100,0.55*T44+0.15*S44+0.10*N44+0.10*V44+0.10*W44)),0)</x:f>
        <x:v>69</x:v>
      </x:c>
      <x:c r="AD44" s="12" t="n">
        <x:f>ROUND(MAX(0,MIN(100,0.25*O44+0.25*Q44+0.20*Y44+0.15*U44+0.15*(100-L44))),0)</x:f>
        <x:v>42</x:v>
      </x:c>
      <x:c r="AE44" s="12" t="n">
        <x:f>ROUND(MAX(0,MIN(100,0.30*Y44+0.25*S44+0.15*Q44+0.15*T44+0.15*X44)),0)</x:f>
        <x:v>48</x:v>
      </x:c>
      <x:c r="AF44" s="12" t="n">
        <x:f>ROUND(MAX(0,MIN(100,0.65*X44+0.35*Y44)),0)</x:f>
        <x:v>54</x:v>
      </x:c>
      <x:c r="AG44" s="12" t="str">
        <x:v>https://wikiwiki.jp/poke-unite/%E3%82%A8%E3%83%B3%E3%83%9A%E3%83%AB%E3%83%88</x:v>
      </x:c>
      <x:c r="AH44" s="12" t="str">
        <x:v>前線で簡単には退かず、長い殴り合いで優位を作るタイプ。前線で粘り続けることと、長い戦いで圧を積み上げることを楽しめる人ほど持ち味を出しやすい。</x:v>
      </x:c>
      <x:c r="AI44" s="12" t="str">
        <x:v>前線維持・自己遂行・接近戦</x:v>
      </x:c>
      <x:c r="AJ44" s="12" t="n">
        <x:v>0</x:v>
      </x:c>
    </x:row>
    <x:row r="45">
      <x:c r="A45" s="12" t="str">
        <x:v>オーダイル</x:v>
      </x:c>
      <x:c r="B45" s="12" t="str">
        <x:v>バランス型</x:v>
      </x:c>
      <x:c r="C45" s="12" t="str">
        <x:v>オーダイル-1</x:v>
      </x:c>
      <x:c r="D45" s="12" t="str">
        <x:v>共通</x:v>
      </x:c>
      <x:c r="E45" s="12" t="str">
        <x:v>Diver</x:v>
      </x:c>
      <x:c r="F45" s="12" t="str">
        <x:v>Diver</x:v>
      </x:c>
      <x:c r="G45" s="12"/>
      <x:c r="H45" s="12" t="str">
        <x:v>技で細部は変わるが、診断上のプレイ人格は大きく変わらないため統合</x:v>
      </x:c>
      <x:c r="I45" s="12" t="str">
        <x:v>中</x:v>
      </x:c>
      <x:c r="J45" s="12" t="str">
        <x:v>2026-09-30</x:v>
      </x:c>
      <x:c r="K45" s="12" t="n">
        <x:v>80</x:v>
      </x:c>
      <x:c r="L45" s="12" t="n">
        <x:v>100</x:v>
      </x:c>
      <x:c r="M45" s="12" t="n">
        <x:v>20</x:v>
      </x:c>
      <x:c r="N45" s="12" t="n">
        <x:v>55</x:v>
      </x:c>
      <x:c r="O45" s="12" t="n">
        <x:v>10</x:v>
      </x:c>
      <x:c r="P45" s="12" t="n">
        <x:v>25</x:v>
      </x:c>
      <x:c r="Q45" s="12" t="n">
        <x:v>35</x:v>
      </x:c>
      <x:c r="R45" s="12" t="n">
        <x:v>5</x:v>
      </x:c>
      <x:c r="S45" s="12" t="n">
        <x:v>100</x:v>
      </x:c>
      <x:c r="T45" s="12" t="n">
        <x:v>70</x:v>
      </x:c>
      <x:c r="U45" s="12" t="n">
        <x:v>60</x:v>
      </x:c>
      <x:c r="V45" s="12" t="n">
        <x:v>60</x:v>
      </x:c>
      <x:c r="W45" s="12" t="n">
        <x:v>55</x:v>
      </x:c>
      <x:c r="X45" s="12" t="n">
        <x:v>65</x:v>
      </x:c>
      <x:c r="Y45" s="12" t="n">
        <x:v>80</x:v>
      </x:c>
      <x:c r="Z45" s="12" t="n">
        <x:f>ROUND(MAX(0,MIN(100,0.40*K45+0.20*L45+0.10*S45+0.15*V45+0.15*Y45)),0)</x:f>
        <x:v>83</x:v>
      </x:c>
      <x:c r="AA45" s="12" t="n">
        <x:f>ROUND(MAX(0,MIN(100,0.30*L45+0.20*K45+0.15*V45+0.15*W45+0.10*S45+0.10*(100-M45))),0)</x:f>
        <x:v>81</x:v>
      </x:c>
      <x:c r="AB45" s="12" t="n">
        <x:f>ROUND(MAX(0,MIN(100,0.30*M45+0.25*R45+0.20*Q45+0.15*K45+0.10*(100-T45))),0)</x:f>
        <x:v>29</x:v>
      </x:c>
      <x:c r="AC45" s="12" t="n">
        <x:f>ROUND(MAX(0,MIN(100,0.55*T45+0.15*S45+0.10*N45+0.10*V45+0.10*W45)),0)</x:f>
        <x:v>71</x:v>
      </x:c>
      <x:c r="AD45" s="12" t="n">
        <x:f>ROUND(MAX(0,MIN(100,0.25*O45+0.25*Q45+0.20*Y45+0.15*U45+0.15*(100-L45))),0)</x:f>
        <x:v>36</x:v>
      </x:c>
      <x:c r="AE45" s="12" t="n">
        <x:f>ROUND(MAX(0,MIN(100,0.30*Y45+0.25*S45+0.15*Q45+0.15*T45+0.15*X45)),0)</x:f>
        <x:v>75</x:v>
      </x:c>
      <x:c r="AF45" s="12" t="n">
        <x:f>ROUND(MAX(0,MIN(100,0.65*X45+0.35*Y45)),0)</x:f>
        <x:v>70</x:v>
      </x:c>
      <x:c r="AG45" s="12" t="str">
        <x:v>https://wikiwiki.jp/poke-unite/%E3%82%AA%E3%83%BC%E3%83%80%E3%82%A4%E3%83%AB</x:v>
      </x:c>
      <x:c r="AH45" s="12" t="str">
        <x:v>自分から踏み込んで戦線を動かし、相手の中心に圧をかけるタイプ。深く踏み込んで勝負することと、場所を変えながら揺さぶることを楽しめる人ほど持ち味を出しやすい。</x:v>
      </x:c>
      <x:c r="AI45" s="12" t="str">
        <x:v>深い踏み込み・機動力・自己遂行</x:v>
      </x:c>
      <x:c r="AJ45" s="12" t="n">
        <x:v>0</x:v>
      </x:c>
    </x:row>
    <x:row r="46">
      <x:c r="A46" s="12" t="str">
        <x:v>カイリキー</x:v>
      </x:c>
      <x:c r="B46" s="12" t="str">
        <x:v>バランス型</x:v>
      </x:c>
      <x:c r="C46" s="12" t="str">
        <x:v>カイリキー-1</x:v>
      </x:c>
      <x:c r="D46" s="12" t="str">
        <x:v>共通</x:v>
      </x:c>
      <x:c r="E46" s="12" t="str">
        <x:v>Diver</x:v>
      </x:c>
      <x:c r="F46" s="12" t="str">
        <x:v>Diver</x:v>
      </x:c>
      <x:c r="G46" s="12"/>
      <x:c r="H46" s="12" t="str">
        <x:v>技で細部は変わるが、診断上のプレイ人格は大きく変わらないため統合</x:v>
      </x:c>
      <x:c r="I46" s="12" t="str">
        <x:v>高</x:v>
      </x:c>
      <x:c r="J46" s="12" t="str">
        <x:v>2026-09-30</x:v>
      </x:c>
      <x:c r="K46" s="12" t="n">
        <x:v>80</x:v>
      </x:c>
      <x:c r="L46" s="12" t="n">
        <x:v>100</x:v>
      </x:c>
      <x:c r="M46" s="12" t="n">
        <x:v>20</x:v>
      </x:c>
      <x:c r="N46" s="12" t="n">
        <x:v>55</x:v>
      </x:c>
      <x:c r="O46" s="12" t="n">
        <x:v>10</x:v>
      </x:c>
      <x:c r="P46" s="12" t="n">
        <x:v>25</x:v>
      </x:c>
      <x:c r="Q46" s="12" t="n">
        <x:v>65</x:v>
      </x:c>
      <x:c r="R46" s="12" t="n">
        <x:v>5</x:v>
      </x:c>
      <x:c r="S46" s="12" t="n">
        <x:v>80</x:v>
      </x:c>
      <x:c r="T46" s="12" t="n">
        <x:v>75</x:v>
      </x:c>
      <x:c r="U46" s="12" t="n">
        <x:v>60</x:v>
      </x:c>
      <x:c r="V46" s="12" t="n">
        <x:v>60</x:v>
      </x:c>
      <x:c r="W46" s="12" t="n">
        <x:v>55</x:v>
      </x:c>
      <x:c r="X46" s="12" t="n">
        <x:v>65</x:v>
      </x:c>
      <x:c r="Y46" s="12" t="n">
        <x:v>70</x:v>
      </x:c>
      <x:c r="Z46" s="12" t="n">
        <x:f>ROUND(MAX(0,MIN(100,0.40*K46+0.20*L46+0.10*S46+0.15*V46+0.15*Y46)),0)</x:f>
        <x:v>80</x:v>
      </x:c>
      <x:c r="AA46" s="12" t="n">
        <x:f>ROUND(MAX(0,MIN(100,0.30*L46+0.20*K46+0.15*V46+0.15*W46+0.10*S46+0.10*(100-M46))),0)</x:f>
        <x:v>79</x:v>
      </x:c>
      <x:c r="AB46" s="12" t="n">
        <x:f>ROUND(MAX(0,MIN(100,0.30*M46+0.25*R46+0.20*Q46+0.15*K46+0.10*(100-T46))),0)</x:f>
        <x:v>35</x:v>
      </x:c>
      <x:c r="AC46" s="12" t="n">
        <x:f>ROUND(MAX(0,MIN(100,0.55*T46+0.15*S46+0.10*N46+0.10*V46+0.10*W46)),0)</x:f>
        <x:v>70</x:v>
      </x:c>
      <x:c r="AD46" s="12" t="n">
        <x:f>ROUND(MAX(0,MIN(100,0.25*O46+0.25*Q46+0.20*Y46+0.15*U46+0.15*(100-L46))),0)</x:f>
        <x:v>42</x:v>
      </x:c>
      <x:c r="AE46" s="12" t="n">
        <x:f>ROUND(MAX(0,MIN(100,0.30*Y46+0.25*S46+0.15*Q46+0.15*T46+0.15*X46)),0)</x:f>
        <x:v>72</x:v>
      </x:c>
      <x:c r="AF46" s="12" t="n">
        <x:f>ROUND(MAX(0,MIN(100,0.65*X46+0.35*Y46)),0)</x:f>
        <x:v>67</x:v>
      </x:c>
      <x:c r="AG46" s="12" t="str">
        <x:v>https://wikiwiki.jp/poke-unite/%E3%82%AB%E3%82%A4%E3%83%AA%E3%82%AD%E3%83%BC</x:v>
      </x:c>
      <x:c r="AH46" s="12" t="str">
        <x:v>自分から踏み込んで戦線を動かし、相手の中心に圧をかけるタイプ。深く踏み込んで勝負することと、自分からきっかけを作ることを楽しめる人ほど持ち味を出しやすい。</x:v>
      </x:c>
      <x:c r="AI46" s="12" t="str">
        <x:v>深い踏み込み・自己遂行・接近戦</x:v>
      </x:c>
      <x:c r="AJ46" s="12" t="n">
        <x:v>0</x:v>
      </x:c>
    </x:row>
    <x:row r="47">
      <x:c r="A47" s="12" t="str">
        <x:v>カイリュー</x:v>
      </x:c>
      <x:c r="B47" s="12" t="str">
        <x:v>バランス型</x:v>
      </x:c>
      <x:c r="C47" s="12" t="str">
        <x:v>カイリュー-1</x:v>
      </x:c>
      <x:c r="D47" s="12" t="str">
        <x:v>はかいこうせん</x:v>
      </x:c>
      <x:c r="E47" s="12" t="str">
        <x:v>Marksman</x:v>
      </x:c>
      <x:c r="F47" s="12" t="str">
        <x:v>Marksman</x:v>
      </x:c>
      <x:c r="G47" s="12"/>
      <x:c r="H47" s="12" t="str">
        <x:v>立ち位置・戦闘距離・役割が大きく変わるため別プロファイル</x:v>
      </x:c>
      <x:c r="I47" s="12" t="str">
        <x:v>高</x:v>
      </x:c>
      <x:c r="J47" s="12" t="str">
        <x:v>2026-09-30</x:v>
      </x:c>
      <x:c r="K47" s="12" t="n">
        <x:v>5</x:v>
      </x:c>
      <x:c r="L47" s="12" t="n">
        <x:v>5</x:v>
      </x:c>
      <x:c r="M47" s="12" t="n">
        <x:v>10</x:v>
      </x:c>
      <x:c r="N47" s="12" t="n">
        <x:v>10</x:v>
      </x:c>
      <x:c r="O47" s="12" t="n">
        <x:v>65</x:v>
      </x:c>
      <x:c r="P47" s="12" t="n">
        <x:v>80</x:v>
      </x:c>
      <x:c r="Q47" s="12" t="n">
        <x:v>5</x:v>
      </x:c>
      <x:c r="R47" s="12" t="n">
        <x:v>5</x:v>
      </x:c>
      <x:c r="S47" s="12" t="n">
        <x:v>50</x:v>
      </x:c>
      <x:c r="T47" s="12" t="n">
        <x:v>55</x:v>
      </x:c>
      <x:c r="U47" s="12" t="n">
        <x:v>95</x:v>
      </x:c>
      <x:c r="V47" s="12" t="n">
        <x:v>100</x:v>
      </x:c>
      <x:c r="W47" s="12" t="n">
        <x:v>55</x:v>
      </x:c>
      <x:c r="X47" s="12" t="n">
        <x:v>65</x:v>
      </x:c>
      <x:c r="Y47" s="12" t="n">
        <x:v>70</x:v>
      </x:c>
      <x:c r="Z47" s="12" t="n">
        <x:f>ROUND(MAX(0,MIN(100,0.40*K47+0.20*L47+0.10*S47+0.15*V47+0.15*Y47)),0)</x:f>
        <x:v>34</x:v>
      </x:c>
      <x:c r="AA47" s="12" t="n">
        <x:f>ROUND(MAX(0,MIN(100,0.30*L47+0.20*K47+0.15*V47+0.15*W47+0.10*S47+0.10*(100-M47))),0)</x:f>
        <x:v>40</x:v>
      </x:c>
      <x:c r="AB47" s="12" t="n">
        <x:f>ROUND(MAX(0,MIN(100,0.30*M47+0.25*R47+0.20*Q47+0.15*K47+0.10*(100-T47))),0)</x:f>
        <x:v>11</x:v>
      </x:c>
      <x:c r="AC47" s="12" t="n">
        <x:f>ROUND(MAX(0,MIN(100,0.55*T47+0.15*S47+0.10*N47+0.10*V47+0.10*W47)),0)</x:f>
        <x:v>54</x:v>
      </x:c>
      <x:c r="AD47" s="12" t="n">
        <x:f>ROUND(MAX(0,MIN(100,0.25*O47+0.25*Q47+0.20*Y47+0.15*U47+0.15*(100-L47))),0)</x:f>
        <x:v>60</x:v>
      </x:c>
      <x:c r="AE47" s="12" t="n">
        <x:f>ROUND(MAX(0,MIN(100,0.30*Y47+0.25*S47+0.15*Q47+0.15*T47+0.15*X47)),0)</x:f>
        <x:v>52</x:v>
      </x:c>
      <x:c r="AF47" s="12" t="n">
        <x:f>ROUND(MAX(0,MIN(100,0.65*X47+0.35*Y47)),0)</x:f>
        <x:v>67</x:v>
      </x:c>
      <x:c r="AG47" s="12" t="str">
        <x:v>https://wikiwiki.jp/poke-unite/%E3%82%AB%E3%82%A4%E3%83%AA%E3%83%A5%E3%83%BC</x:v>
      </x:c>
      <x:c r="AH47" s="12" t="str">
        <x:v>「はかいこうせん」型は、安全な位置を保ちながら、継続火力を積み上げるタイプ。長い戦いで圧を積み上げることと、決め所を自分で締めることを楽しめる人ほど持ち味を出しやすい。</x:v>
      </x:c>
      <x:c r="AI47" s="12" t="str">
        <x:v>取り切り・自己遂行・待ち受け</x:v>
      </x:c>
      <x:c r="AJ47" s="12" t="n">
        <x:v>0</x:v>
      </x:c>
    </x:row>
    <x:row r="48">
      <x:c r="A48" s="12" t="str">
        <x:v>カイリュー</x:v>
      </x:c>
      <x:c r="B48" s="12" t="str">
        <x:v>バランス型</x:v>
      </x:c>
      <x:c r="C48" s="12" t="str">
        <x:v>カイリュー-2</x:v>
      </x:c>
      <x:c r="D48" s="12" t="str">
        <x:v>げきりん</x:v>
      </x:c>
      <x:c r="E48" s="12" t="str">
        <x:v>Juggernaut / Diver</x:v>
      </x:c>
      <x:c r="F48" s="12" t="str">
        <x:v>Juggernaut</x:v>
      </x:c>
      <x:c r="G48" s="12" t="str">
        <x:v>Diver</x:v>
      </x:c>
      <x:c r="H48" s="12" t="str">
        <x:v>立ち位置・戦闘距離・役割が大きく変わるため別プロファイル</x:v>
      </x:c>
      <x:c r="I48" s="12" t="str">
        <x:v>高</x:v>
      </x:c>
      <x:c r="J48" s="12" t="str">
        <x:v>2026-09-30</x:v>
      </x:c>
      <x:c r="K48" s="12" t="n">
        <x:v>70</x:v>
      </x:c>
      <x:c r="L48" s="12" t="n">
        <x:v>75</x:v>
      </x:c>
      <x:c r="M48" s="12" t="n">
        <x:v>20</x:v>
      </x:c>
      <x:c r="N48" s="12" t="n">
        <x:v>95</x:v>
      </x:c>
      <x:c r="O48" s="12" t="n">
        <x:v>0</x:v>
      </x:c>
      <x:c r="P48" s="12" t="n">
        <x:v>55</x:v>
      </x:c>
      <x:c r="Q48" s="12" t="n">
        <x:v>50</x:v>
      </x:c>
      <x:c r="R48" s="12" t="n">
        <x:v>0</x:v>
      </x:c>
      <x:c r="S48" s="12" t="n">
        <x:v>55</x:v>
      </x:c>
      <x:c r="T48" s="12" t="n">
        <x:v>85</x:v>
      </x:c>
      <x:c r="U48" s="12" t="n">
        <x:v>70</x:v>
      </x:c>
      <x:c r="V48" s="12" t="n">
        <x:v>65</x:v>
      </x:c>
      <x:c r="W48" s="12" t="n">
        <x:v>55</x:v>
      </x:c>
      <x:c r="X48" s="12" t="n">
        <x:v>60</x:v>
      </x:c>
      <x:c r="Y48" s="12" t="n">
        <x:v>60</x:v>
      </x:c>
      <x:c r="Z48" s="12" t="n">
        <x:f>ROUND(MAX(0,MIN(100,0.40*K48+0.20*L48+0.10*S48+0.15*V48+0.15*Y48)),0)</x:f>
        <x:v>67</x:v>
      </x:c>
      <x:c r="AA48" s="12" t="n">
        <x:f>ROUND(MAX(0,MIN(100,0.30*L48+0.20*K48+0.15*V48+0.15*W48+0.10*S48+0.10*(100-M48))),0)</x:f>
        <x:v>68</x:v>
      </x:c>
      <x:c r="AB48" s="12" t="n">
        <x:f>ROUND(MAX(0,MIN(100,0.30*M48+0.25*R48+0.20*Q48+0.15*K48+0.10*(100-T48))),0)</x:f>
        <x:v>28</x:v>
      </x:c>
      <x:c r="AC48" s="12" t="n">
        <x:f>ROUND(MAX(0,MIN(100,0.55*T48+0.15*S48+0.10*N48+0.10*V48+0.10*W48)),0)</x:f>
        <x:v>77</x:v>
      </x:c>
      <x:c r="AD48" s="12" t="n">
        <x:f>ROUND(MAX(0,MIN(100,0.25*O48+0.25*Q48+0.20*Y48+0.15*U48+0.15*(100-L48))),0)</x:f>
        <x:v>39</x:v>
      </x:c>
      <x:c r="AE48" s="12" t="n">
        <x:f>ROUND(MAX(0,MIN(100,0.30*Y48+0.25*S48+0.15*Q48+0.15*T48+0.15*X48)),0)</x:f>
        <x:v>61</x:v>
      </x:c>
      <x:c r="AF48" s="12" t="n">
        <x:f>ROUND(MAX(0,MIN(100,0.65*X48+0.35*Y48)),0)</x:f>
        <x:v>60</x:v>
      </x:c>
      <x:c r="AG48" s="12" t="str">
        <x:v>https://wikiwiki.jp/poke-unite/%E3%82%AB%E3%82%A4%E3%83%AA%E3%83%A5%E3%83%BC</x:v>
      </x:c>
      <x:c r="AH48" s="12" t="str">
        <x:v>「げきりん」型は、前線で簡単には退かず、長い殴り合いで優位を作るタイプ。前線で粘り続けることと、長い戦いで圧を積み上げることを楽しめる人ほど持ち味を出しやすい。</x:v>
      </x:c>
      <x:c r="AI48" s="12" t="str">
        <x:v>自己遂行・接近戦・前線維持</x:v>
      </x:c>
      <x:c r="AJ48" s="12" t="n">
        <x:v>0</x:v>
      </x:c>
    </x:row>
    <x:row r="49">
      <x:c r="A49" s="12" t="str">
        <x:v>ガブリアス</x:v>
      </x:c>
      <x:c r="B49" s="12" t="str">
        <x:v>バランス型</x:v>
      </x:c>
      <x:c r="C49" s="12" t="str">
        <x:v>ガブリアス-1</x:v>
      </x:c>
      <x:c r="D49" s="12" t="str">
        <x:v>共通</x:v>
      </x:c>
      <x:c r="E49" s="12" t="str">
        <x:v>Juggernaut</x:v>
      </x:c>
      <x:c r="F49" s="12" t="str">
        <x:v>Juggernaut</x:v>
      </x:c>
      <x:c r="G49" s="12"/>
      <x:c r="H49" s="12" t="str">
        <x:v>技で細部は変わるが、診断上のプレイ人格は大きく変わらないため統合</x:v>
      </x:c>
      <x:c r="I49" s="12" t="str">
        <x:v>高</x:v>
      </x:c>
      <x:c r="J49" s="12" t="str">
        <x:v>2026-09-30</x:v>
      </x:c>
      <x:c r="K49" s="12" t="n">
        <x:v>55</x:v>
      </x:c>
      <x:c r="L49" s="12" t="n">
        <x:v>55</x:v>
      </x:c>
      <x:c r="M49" s="12" t="n">
        <x:v>35</x:v>
      </x:c>
      <x:c r="N49" s="12" t="n">
        <x:v>100</x:v>
      </x:c>
      <x:c r="O49" s="12" t="n">
        <x:v>10</x:v>
      </x:c>
      <x:c r="P49" s="12" t="n">
        <x:v>95</x:v>
      </x:c>
      <x:c r="Q49" s="12" t="n">
        <x:v>30</x:v>
      </x:c>
      <x:c r="R49" s="12" t="n">
        <x:v>5</x:v>
      </x:c>
      <x:c r="S49" s="12" t="n">
        <x:v>15</x:v>
      </x:c>
      <x:c r="T49" s="12" t="n">
        <x:v>80</x:v>
      </x:c>
      <x:c r="U49" s="12" t="n">
        <x:v>80</x:v>
      </x:c>
      <x:c r="V49" s="12" t="n">
        <x:v>90</x:v>
      </x:c>
      <x:c r="W49" s="12" t="n">
        <x:v>40</x:v>
      </x:c>
      <x:c r="X49" s="12" t="n">
        <x:v>50</x:v>
      </x:c>
      <x:c r="Y49" s="12" t="n">
        <x:v>50</x:v>
      </x:c>
      <x:c r="Z49" s="12" t="n">
        <x:f>ROUND(MAX(0,MIN(100,0.40*K49+0.20*L49+0.10*S49+0.15*V49+0.15*Y49)),0)</x:f>
        <x:v>56</x:v>
      </x:c>
      <x:c r="AA49" s="12" t="n">
        <x:f>ROUND(MAX(0,MIN(100,0.30*L49+0.20*K49+0.15*V49+0.15*W49+0.10*S49+0.10*(100-M49))),0)</x:f>
        <x:v>55</x:v>
      </x:c>
      <x:c r="AB49" s="12" t="n">
        <x:f>ROUND(MAX(0,MIN(100,0.30*M49+0.25*R49+0.20*Q49+0.15*K49+0.10*(100-T49))),0)</x:f>
        <x:v>28</x:v>
      </x:c>
      <x:c r="AC49" s="12" t="n">
        <x:f>ROUND(MAX(0,MIN(100,0.55*T49+0.15*S49+0.10*N49+0.10*V49+0.10*W49)),0)</x:f>
        <x:v>69</x:v>
      </x:c>
      <x:c r="AD49" s="12" t="n">
        <x:f>ROUND(MAX(0,MIN(100,0.25*O49+0.25*Q49+0.20*Y49+0.15*U49+0.15*(100-L49))),0)</x:f>
        <x:v>39</x:v>
      </x:c>
      <x:c r="AE49" s="12" t="n">
        <x:f>ROUND(MAX(0,MIN(100,0.30*Y49+0.25*S49+0.15*Q49+0.15*T49+0.15*X49)),0)</x:f>
        <x:v>43</x:v>
      </x:c>
      <x:c r="AF49" s="12" t="n">
        <x:f>ROUND(MAX(0,MIN(100,0.65*X49+0.35*Y49)),0)</x:f>
        <x:v>50</x:v>
      </x:c>
      <x:c r="AG49" s="12" t="str">
        <x:v>https://wikiwiki.jp/poke-unite/%E3%82%AC%E3%83%96%E3%83%AA%E3%82%A2%E3%82%B9</x:v>
      </x:c>
      <x:c r="AH49" s="12" t="str">
        <x:v>前線で簡単には退かず、長い殴り合いで優位を作るタイプ。前線で粘り続けることと、長い戦いで圧を積み上げることを楽しめる人ほど持ち味を出しやすい。</x:v>
      </x:c>
      <x:c r="AI49" s="12" t="str">
        <x:v>前線維持・自己遂行・継続戦</x:v>
      </x:c>
      <x:c r="AJ49" s="12" t="n">
        <x:v>0</x:v>
      </x:c>
    </x:row>
    <x:row r="50">
      <x:c r="A50" s="12" t="str">
        <x:v>ギャラドス</x:v>
      </x:c>
      <x:c r="B50" s="12" t="str">
        <x:v>バランス型</x:v>
      </x:c>
      <x:c r="C50" s="12" t="str">
        <x:v>ギャラドス-1</x:v>
      </x:c>
      <x:c r="D50" s="12" t="str">
        <x:v>共通</x:v>
      </x:c>
      <x:c r="E50" s="12" t="str">
        <x:v>Diver</x:v>
      </x:c>
      <x:c r="F50" s="12" t="str">
        <x:v>Diver</x:v>
      </x:c>
      <x:c r="G50" s="12"/>
      <x:c r="H50" s="12" t="str">
        <x:v>技で細部は変わるが、診断上のプレイ人格は大きく変わらないため統合</x:v>
      </x:c>
      <x:c r="I50" s="12" t="str">
        <x:v>高</x:v>
      </x:c>
      <x:c r="J50" s="12" t="str">
        <x:v>2026-09-30</x:v>
      </x:c>
      <x:c r="K50" s="12" t="n">
        <x:v>95</x:v>
      </x:c>
      <x:c r="L50" s="12" t="n">
        <x:v>100</x:v>
      </x:c>
      <x:c r="M50" s="12" t="n">
        <x:v>20</x:v>
      </x:c>
      <x:c r="N50" s="12" t="n">
        <x:v>55</x:v>
      </x:c>
      <x:c r="O50" s="12" t="n">
        <x:v>10</x:v>
      </x:c>
      <x:c r="P50" s="12" t="n">
        <x:v>35</x:v>
      </x:c>
      <x:c r="Q50" s="12" t="n">
        <x:v>45</x:v>
      </x:c>
      <x:c r="R50" s="12" t="n">
        <x:v>5</x:v>
      </x:c>
      <x:c r="S50" s="12" t="n">
        <x:v>80</x:v>
      </x:c>
      <x:c r="T50" s="12" t="n">
        <x:v>70</x:v>
      </x:c>
      <x:c r="U50" s="12" t="n">
        <x:v>60</x:v>
      </x:c>
      <x:c r="V50" s="12" t="n">
        <x:v>60</x:v>
      </x:c>
      <x:c r="W50" s="12" t="n">
        <x:v>55</x:v>
      </x:c>
      <x:c r="X50" s="12" t="n">
        <x:v>65</x:v>
      </x:c>
      <x:c r="Y50" s="12" t="n">
        <x:v>70</x:v>
      </x:c>
      <x:c r="Z50" s="12" t="n">
        <x:f>ROUND(MAX(0,MIN(100,0.40*K50+0.20*L50+0.10*S50+0.15*V50+0.15*Y50)),0)</x:f>
        <x:v>86</x:v>
      </x:c>
      <x:c r="AA50" s="12" t="n">
        <x:f>ROUND(MAX(0,MIN(100,0.30*L50+0.20*K50+0.15*V50+0.15*W50+0.10*S50+0.10*(100-M50))),0)</x:f>
        <x:v>82</x:v>
      </x:c>
      <x:c r="AB50" s="12" t="n">
        <x:f>ROUND(MAX(0,MIN(100,0.30*M50+0.25*R50+0.20*Q50+0.15*K50+0.10*(100-T50))),0)</x:f>
        <x:v>34</x:v>
      </x:c>
      <x:c r="AC50" s="12" t="n">
        <x:f>ROUND(MAX(0,MIN(100,0.55*T50+0.15*S50+0.10*N50+0.10*V50+0.10*W50)),0)</x:f>
        <x:v>68</x:v>
      </x:c>
      <x:c r="AD50" s="12" t="n">
        <x:f>ROUND(MAX(0,MIN(100,0.25*O50+0.25*Q50+0.20*Y50+0.15*U50+0.15*(100-L50))),0)</x:f>
        <x:v>37</x:v>
      </x:c>
      <x:c r="AE50" s="12" t="n">
        <x:f>ROUND(MAX(0,MIN(100,0.30*Y50+0.25*S50+0.15*Q50+0.15*T50+0.15*X50)),0)</x:f>
        <x:v>68</x:v>
      </x:c>
      <x:c r="AF50" s="12" t="n">
        <x:f>ROUND(MAX(0,MIN(100,0.65*X50+0.35*Y50)),0)</x:f>
        <x:v>67</x:v>
      </x:c>
      <x:c r="AG50" s="12" t="str">
        <x:v>https://wikiwiki.jp/poke-unite/%E3%82%AE%E3%83%A3%E3%83%A9%E3%83%89%E3%82%B9</x:v>
      </x:c>
      <x:c r="AH50" s="12" t="str">
        <x:v>自分から踏み込んで戦線を動かし、相手の中心に圧をかけるタイプ。深く踏み込んで勝負することと、自分からきっかけを作ることを楽しめる人ほど持ち味を出しやすい。</x:v>
      </x:c>
      <x:c r="AI50" s="12" t="str">
        <x:v>深い踏み込み・自己遂行・仕掛け</x:v>
      </x:c>
      <x:c r="AJ50" s="12" t="n">
        <x:v>0</x:v>
      </x:c>
    </x:row>
    <x:row r="51">
      <x:c r="A51" s="12" t="str">
        <x:v>メガギャラドス</x:v>
      </x:c>
      <x:c r="B51" s="12" t="str">
        <x:v>バランス型</x:v>
      </x:c>
      <x:c r="C51" s="12" t="str">
        <x:v>メガギャラドス-1</x:v>
      </x:c>
      <x:c r="D51" s="12" t="str">
        <x:v>共通</x:v>
      </x:c>
      <x:c r="E51" s="12" t="str">
        <x:v>Diver</x:v>
      </x:c>
      <x:c r="F51" s="12" t="str">
        <x:v>Diver</x:v>
      </x:c>
      <x:c r="G51" s="12"/>
      <x:c r="H51" s="12" t="str">
        <x:v>技で細部は変わるが、診断上のプレイ人格は大きく変わらないため統合</x:v>
      </x:c>
      <x:c r="I51" s="12" t="str">
        <x:v>中</x:v>
      </x:c>
      <x:c r="J51" s="12" t="str">
        <x:v>2026-09-30</x:v>
      </x:c>
      <x:c r="K51" s="12" t="n">
        <x:v>80</x:v>
      </x:c>
      <x:c r="L51" s="12" t="n">
        <x:v>100</x:v>
      </x:c>
      <x:c r="M51" s="12" t="n">
        <x:v>20</x:v>
      </x:c>
      <x:c r="N51" s="12" t="n">
        <x:v>80</x:v>
      </x:c>
      <x:c r="O51" s="12" t="n">
        <x:v>10</x:v>
      </x:c>
      <x:c r="P51" s="12" t="n">
        <x:v>55</x:v>
      </x:c>
      <x:c r="Q51" s="12" t="n">
        <x:v>45</x:v>
      </x:c>
      <x:c r="R51" s="12" t="n">
        <x:v>5</x:v>
      </x:c>
      <x:c r="S51" s="12" t="n">
        <x:v>90</x:v>
      </x:c>
      <x:c r="T51" s="12" t="n">
        <x:v>80</x:v>
      </x:c>
      <x:c r="U51" s="12" t="n">
        <x:v>60</x:v>
      </x:c>
      <x:c r="V51" s="12" t="n">
        <x:v>60</x:v>
      </x:c>
      <x:c r="W51" s="12" t="n">
        <x:v>55</x:v>
      </x:c>
      <x:c r="X51" s="12" t="n">
        <x:v>65</x:v>
      </x:c>
      <x:c r="Y51" s="12" t="n">
        <x:v>70</x:v>
      </x:c>
      <x:c r="Z51" s="12" t="n">
        <x:f>ROUND(MAX(0,MIN(100,0.40*K51+0.20*L51+0.10*S51+0.15*V51+0.15*Y51)),0)</x:f>
        <x:v>81</x:v>
      </x:c>
      <x:c r="AA51" s="12" t="n">
        <x:f>ROUND(MAX(0,MIN(100,0.30*L51+0.20*K51+0.15*V51+0.15*W51+0.10*S51+0.10*(100-M51))),0)</x:f>
        <x:v>80</x:v>
      </x:c>
      <x:c r="AB51" s="12" t="n">
        <x:f>ROUND(MAX(0,MIN(100,0.30*M51+0.25*R51+0.20*Q51+0.15*K51+0.10*(100-T51))),0)</x:f>
        <x:v>30</x:v>
      </x:c>
      <x:c r="AC51" s="12" t="n">
        <x:f>ROUND(MAX(0,MIN(100,0.55*T51+0.15*S51+0.10*N51+0.10*V51+0.10*W51)),0)</x:f>
        <x:v>77</x:v>
      </x:c>
      <x:c r="AD51" s="12" t="n">
        <x:f>ROUND(MAX(0,MIN(100,0.25*O51+0.25*Q51+0.20*Y51+0.15*U51+0.15*(100-L51))),0)</x:f>
        <x:v>37</x:v>
      </x:c>
      <x:c r="AE51" s="12" t="n">
        <x:f>ROUND(MAX(0,MIN(100,0.30*Y51+0.25*S51+0.15*Q51+0.15*T51+0.15*X51)),0)</x:f>
        <x:v>72</x:v>
      </x:c>
      <x:c r="AF51" s="12" t="n">
        <x:f>ROUND(MAX(0,MIN(100,0.65*X51+0.35*Y51)),0)</x:f>
        <x:v>67</x:v>
      </x:c>
      <x:c r="AG51" s="12" t="str">
        <x:v>https://wikiwiki.jp/poke-unite/%E3%83%A1%E3%82%AC%E3%82%AE%E3%83%A3%E3%83%A9%E3%83%89%E3%82%B9</x:v>
      </x:c>
      <x:c r="AH51" s="12" t="str">
        <x:v>自分から踏み込んで戦線を動かし、相手の中心に圧をかけるタイプ。深く踏み込んで勝負することと、場所を変えながら揺さぶることを楽しめる人ほど持ち味を出しやすい。</x:v>
      </x:c>
      <x:c r="AI51" s="12" t="str">
        <x:v>深い踏み込み・自己遂行・機動力</x:v>
      </x:c>
      <x:c r="AJ51" s="12" t="n">
        <x:v>0</x:v>
      </x:c>
    </x:row>
    <x:row r="52">
      <x:c r="A52" s="12" t="str">
        <x:v>ギルガルド</x:v>
      </x:c>
      <x:c r="B52" s="12" t="str">
        <x:v>バランス型</x:v>
      </x:c>
      <x:c r="C52" s="12" t="str">
        <x:v>ギルガルド-1</x:v>
      </x:c>
      <x:c r="D52" s="12" t="str">
        <x:v>共通</x:v>
      </x:c>
      <x:c r="E52" s="12" t="str">
        <x:v>Skirmisher</x:v>
      </x:c>
      <x:c r="F52" s="12" t="str">
        <x:v>Skirmisher</x:v>
      </x:c>
      <x:c r="G52" s="12"/>
      <x:c r="H52" s="12" t="str">
        <x:v>技で細部は変わるが、診断上のプレイ人格は大きく変わらないため統合</x:v>
      </x:c>
      <x:c r="I52" s="12" t="str">
        <x:v>高</x:v>
      </x:c>
      <x:c r="J52" s="12" t="str">
        <x:v>2026-09-30</x:v>
      </x:c>
      <x:c r="K52" s="12" t="n">
        <x:v>60</x:v>
      </x:c>
      <x:c r="L52" s="12" t="n">
        <x:v>80</x:v>
      </x:c>
      <x:c r="M52" s="12" t="n">
        <x:v>25</x:v>
      </x:c>
      <x:c r="N52" s="12" t="n">
        <x:v>85</x:v>
      </x:c>
      <x:c r="O52" s="12" t="n">
        <x:v>20</x:v>
      </x:c>
      <x:c r="P52" s="12" t="n">
        <x:v>70</x:v>
      </x:c>
      <x:c r="Q52" s="12" t="n">
        <x:v>35</x:v>
      </x:c>
      <x:c r="R52" s="12" t="n">
        <x:v>5</x:v>
      </x:c>
      <x:c r="S52" s="12" t="n">
        <x:v>70</x:v>
      </x:c>
      <x:c r="T52" s="12" t="n">
        <x:v>75</x:v>
      </x:c>
      <x:c r="U52" s="12" t="n">
        <x:v>70</x:v>
      </x:c>
      <x:c r="V52" s="12" t="n">
        <x:v>65</x:v>
      </x:c>
      <x:c r="W52" s="12" t="n">
        <x:v>65</x:v>
      </x:c>
      <x:c r="X52" s="12" t="n">
        <x:v>90</x:v>
      </x:c>
      <x:c r="Y52" s="12" t="n">
        <x:v>65</x:v>
      </x:c>
      <x:c r="Z52" s="12" t="n">
        <x:f>ROUND(MAX(0,MIN(100,0.40*K52+0.20*L52+0.10*S52+0.15*V52+0.15*Y52)),0)</x:f>
        <x:v>67</x:v>
      </x:c>
      <x:c r="AA52" s="12" t="n">
        <x:f>ROUND(MAX(0,MIN(100,0.30*L52+0.20*K52+0.15*V52+0.15*W52+0.10*S52+0.10*(100-M52))),0)</x:f>
        <x:v>70</x:v>
      </x:c>
      <x:c r="AB52" s="12" t="n">
        <x:f>ROUND(MAX(0,MIN(100,0.30*M52+0.25*R52+0.20*Q52+0.15*K52+0.10*(100-T52))),0)</x:f>
        <x:v>27</x:v>
      </x:c>
      <x:c r="AC52" s="12" t="n">
        <x:f>ROUND(MAX(0,MIN(100,0.55*T52+0.15*S52+0.10*N52+0.10*V52+0.10*W52)),0)</x:f>
        <x:v>73</x:v>
      </x:c>
      <x:c r="AD52" s="12" t="n">
        <x:f>ROUND(MAX(0,MIN(100,0.25*O52+0.25*Q52+0.20*Y52+0.15*U52+0.15*(100-L52))),0)</x:f>
        <x:v>40</x:v>
      </x:c>
      <x:c r="AE52" s="12" t="n">
        <x:f>ROUND(MAX(0,MIN(100,0.30*Y52+0.25*S52+0.15*Q52+0.15*T52+0.15*X52)),0)</x:f>
        <x:v>67</x:v>
      </x:c>
      <x:c r="AF52" s="12" t="n">
        <x:f>ROUND(MAX(0,MIN(100,0.65*X52+0.35*Y52)),0)</x:f>
        <x:v>81</x:v>
      </x:c>
      <x:c r="AG52" s="12" t="str">
        <x:v>https://wikiwiki.jp/poke-unite/%E3%82%AE%E3%83%AB%E3%82%AC%E3%83%AB%E3%83%89</x:v>
      </x:c>
      <x:c r="AH52" s="12" t="str">
        <x:v>距離を詰めた後の駆け引きと継続戦で強みが出るタイプ。長い戦いで圧を積み上げることと、深く踏み込んで勝負することを楽しめる人ほど持ち味を出しやすい。</x:v>
      </x:c>
      <x:c r="AI52" s="12" t="str">
        <x:v>自己遂行・操作精度・前線維持</x:v>
      </x:c>
      <x:c r="AJ52" s="12" t="n">
        <x:v>0</x:v>
      </x:c>
    </x:row>
    <x:row r="53">
      <x:c r="A53" s="12" t="str">
        <x:v>ザシアン</x:v>
      </x:c>
      <x:c r="B53" s="12" t="str">
        <x:v>バランス型</x:v>
      </x:c>
      <x:c r="C53" s="12" t="str">
        <x:v>ザシアン-1</x:v>
      </x:c>
      <x:c r="D53" s="12" t="str">
        <x:v>共通</x:v>
      </x:c>
      <x:c r="E53" s="12" t="str">
        <x:v>Skirmisher</x:v>
      </x:c>
      <x:c r="F53" s="12" t="str">
        <x:v>Skirmisher</x:v>
      </x:c>
      <x:c r="G53" s="12"/>
      <x:c r="H53" s="12" t="str">
        <x:v>技で細部は変わるが、診断上のプレイ人格は大きく変わらないため統合</x:v>
      </x:c>
      <x:c r="I53" s="12" t="str">
        <x:v>高</x:v>
      </x:c>
      <x:c r="J53" s="12" t="str">
        <x:v>2026-09-30</x:v>
      </x:c>
      <x:c r="K53" s="12" t="n">
        <x:v>65</x:v>
      </x:c>
      <x:c r="L53" s="12" t="n">
        <x:v>80</x:v>
      </x:c>
      <x:c r="M53" s="12" t="n">
        <x:v>25</x:v>
      </x:c>
      <x:c r="N53" s="12" t="n">
        <x:v>75</x:v>
      </x:c>
      <x:c r="O53" s="12" t="n">
        <x:v>20</x:v>
      </x:c>
      <x:c r="P53" s="12" t="n">
        <x:v>65</x:v>
      </x:c>
      <x:c r="Q53" s="12" t="n">
        <x:v>35</x:v>
      </x:c>
      <x:c r="R53" s="12" t="n">
        <x:v>5</x:v>
      </x:c>
      <x:c r="S53" s="12" t="n">
        <x:v>80</x:v>
      </x:c>
      <x:c r="T53" s="12" t="n">
        <x:v>85</x:v>
      </x:c>
      <x:c r="U53" s="12" t="n">
        <x:v>70</x:v>
      </x:c>
      <x:c r="V53" s="12" t="n">
        <x:v>75</x:v>
      </x:c>
      <x:c r="W53" s="12" t="n">
        <x:v>55</x:v>
      </x:c>
      <x:c r="X53" s="12" t="n">
        <x:v>70</x:v>
      </x:c>
      <x:c r="Y53" s="12" t="n">
        <x:v>65</x:v>
      </x:c>
      <x:c r="Z53" s="12" t="n">
        <x:f>ROUND(MAX(0,MIN(100,0.40*K53+0.20*L53+0.10*S53+0.15*V53+0.15*Y53)),0)</x:f>
        <x:v>71</x:v>
      </x:c>
      <x:c r="AA53" s="12" t="n">
        <x:f>ROUND(MAX(0,MIN(100,0.30*L53+0.20*K53+0.15*V53+0.15*W53+0.10*S53+0.10*(100-M53))),0)</x:f>
        <x:v>72</x:v>
      </x:c>
      <x:c r="AB53" s="12" t="n">
        <x:f>ROUND(MAX(0,MIN(100,0.30*M53+0.25*R53+0.20*Q53+0.15*K53+0.10*(100-T53))),0)</x:f>
        <x:v>27</x:v>
      </x:c>
      <x:c r="AC53" s="12" t="n">
        <x:f>ROUND(MAX(0,MIN(100,0.55*T53+0.15*S53+0.10*N53+0.10*V53+0.10*W53)),0)</x:f>
        <x:v>79</x:v>
      </x:c>
      <x:c r="AD53" s="12" t="n">
        <x:f>ROUND(MAX(0,MIN(100,0.25*O53+0.25*Q53+0.20*Y53+0.15*U53+0.15*(100-L53))),0)</x:f>
        <x:v>40</x:v>
      </x:c>
      <x:c r="AE53" s="12" t="n">
        <x:f>ROUND(MAX(0,MIN(100,0.30*Y53+0.25*S53+0.15*Q53+0.15*T53+0.15*X53)),0)</x:f>
        <x:v>68</x:v>
      </x:c>
      <x:c r="AF53" s="12" t="n">
        <x:f>ROUND(MAX(0,MIN(100,0.65*X53+0.35*Y53)),0)</x:f>
        <x:v>68</x:v>
      </x:c>
      <x:c r="AG53" s="12" t="str">
        <x:v>https://wikiwiki.jp/poke-unite/%E3%82%B6%E3%82%B7%E3%82%A2%E3%83%B3</x:v>
      </x:c>
      <x:c r="AH53" s="12" t="str">
        <x:v>距離を詰めた後の駆け引きと継続戦で強みが出るタイプ。長い戦いで圧を積み上げることと、深く踏み込んで勝負することを楽しめる人ほど持ち味を出しやすい。</x:v>
      </x:c>
      <x:c r="AI53" s="12" t="str">
        <x:v>自己遂行・自己完結・深い踏み込み</x:v>
      </x:c>
      <x:c r="AJ53" s="12" t="n">
        <x:v>0</x:v>
      </x:c>
    </x:row>
    <x:row r="54">
      <x:c r="A54" s="12" t="str">
        <x:v>スイクン</x:v>
      </x:c>
      <x:c r="B54" s="12" t="str">
        <x:v>バランス型</x:v>
      </x:c>
      <x:c r="C54" s="12" t="str">
        <x:v>スイクン-1</x:v>
      </x:c>
      <x:c r="D54" s="12" t="str">
        <x:v>共通</x:v>
      </x:c>
      <x:c r="E54" s="12" t="str">
        <x:v>BurstMage</x:v>
      </x:c>
      <x:c r="F54" s="12" t="str">
        <x:v>BurstMage</x:v>
      </x:c>
      <x:c r="G54" s="12"/>
      <x:c r="H54" s="12" t="str">
        <x:v>技で細部は変わるが、診断上のプレイ人格は大きく変わらないため統合</x:v>
      </x:c>
      <x:c r="I54" s="12" t="str">
        <x:v>高</x:v>
      </x:c>
      <x:c r="J54" s="12" t="str">
        <x:v>2026-09-30</x:v>
      </x:c>
      <x:c r="K54" s="12" t="n">
        <x:v>30</x:v>
      </x:c>
      <x:c r="L54" s="12" t="n">
        <x:v>15</x:v>
      </x:c>
      <x:c r="M54" s="12" t="n">
        <x:v>35</x:v>
      </x:c>
      <x:c r="N54" s="12" t="n">
        <x:v>25</x:v>
      </x:c>
      <x:c r="O54" s="12" t="n">
        <x:v>75</x:v>
      </x:c>
      <x:c r="P54" s="12" t="n">
        <x:v>25</x:v>
      </x:c>
      <x:c r="Q54" s="12" t="n">
        <x:v>85</x:v>
      </x:c>
      <x:c r="R54" s="12" t="n">
        <x:v>10</x:v>
      </x:c>
      <x:c r="S54" s="12" t="n">
        <x:v>5</x:v>
      </x:c>
      <x:c r="T54" s="12" t="n">
        <x:v>35</x:v>
      </x:c>
      <x:c r="U54" s="12" t="n">
        <x:v>65</x:v>
      </x:c>
      <x:c r="V54" s="12" t="n">
        <x:v>50</x:v>
      </x:c>
      <x:c r="W54" s="12" t="n">
        <x:v>25</x:v>
      </x:c>
      <x:c r="X54" s="12" t="n">
        <x:v>60</x:v>
      </x:c>
      <x:c r="Y54" s="12" t="n">
        <x:v>70</x:v>
      </x:c>
      <x:c r="Z54" s="12" t="n">
        <x:f>ROUND(MAX(0,MIN(100,0.40*K54+0.20*L54+0.10*S54+0.15*V54+0.15*Y54)),0)</x:f>
        <x:v>34</x:v>
      </x:c>
      <x:c r="AA54" s="12" t="n">
        <x:f>ROUND(MAX(0,MIN(100,0.30*L54+0.20*K54+0.15*V54+0.15*W54+0.10*S54+0.10*(100-M54))),0)</x:f>
        <x:v>29</x:v>
      </x:c>
      <x:c r="AB54" s="12" t="n">
        <x:f>ROUND(MAX(0,MIN(100,0.30*M54+0.25*R54+0.20*Q54+0.15*K54+0.10*(100-T54))),0)</x:f>
        <x:v>41</x:v>
      </x:c>
      <x:c r="AC54" s="12" t="n">
        <x:f>ROUND(MAX(0,MIN(100,0.55*T54+0.15*S54+0.10*N54+0.10*V54+0.10*W54)),0)</x:f>
        <x:v>30</x:v>
      </x:c>
      <x:c r="AD54" s="12" t="n">
        <x:f>ROUND(MAX(0,MIN(100,0.25*O54+0.25*Q54+0.20*Y54+0.15*U54+0.15*(100-L54))),0)</x:f>
        <x:v>77</x:v>
      </x:c>
      <x:c r="AE54" s="12" t="n">
        <x:f>ROUND(MAX(0,MIN(100,0.30*Y54+0.25*S54+0.15*Q54+0.15*T54+0.15*X54)),0)</x:f>
        <x:v>49</x:v>
      </x:c>
      <x:c r="AF54" s="12" t="n">
        <x:f>ROUND(MAX(0,MIN(100,0.65*X54+0.35*Y54)),0)</x:f>
        <x:v>64</x:v>
      </x:c>
      <x:c r="AG54" s="12" t="str">
        <x:v>https://wikiwiki.jp/poke-unite/%E3%82%B9%E3%82%A4%E3%82%AF%E3%83%B3</x:v>
      </x:c>
      <x:c r="AH54" s="12" t="str">
        <x:v>間合いとタイミングを作り、短い窓に火力をまとめるタイプ。短い好機を一気に取り切ることと、距離と間合いを丁寧に管理することを楽しめる人ほど持ち味を出しやすい。</x:v>
      </x:c>
      <x:c r="AI54" s="12" t="str">
        <x:v>定位置・自己遂行・盤面制御</x:v>
      </x:c>
      <x:c r="AJ54" s="12" t="n">
        <x:v>0</x:v>
      </x:c>
    </x:row>
    <x:row r="55">
      <x:c r="A55" s="12" t="str">
        <x:v>ソウブレイズ</x:v>
      </x:c>
      <x:c r="B55" s="12" t="str">
        <x:v>バランス型</x:v>
      </x:c>
      <x:c r="C55" s="12" t="str">
        <x:v>ソウブレイズ-1</x:v>
      </x:c>
      <x:c r="D55" s="12" t="str">
        <x:v>共通</x:v>
      </x:c>
      <x:c r="E55" s="12" t="str">
        <x:v>Skirmisher</x:v>
      </x:c>
      <x:c r="F55" s="12" t="str">
        <x:v>Skirmisher</x:v>
      </x:c>
      <x:c r="G55" s="12"/>
      <x:c r="H55" s="12" t="str">
        <x:v>技で細部は変わるが、診断上のプレイ人格は大きく変わらないため統合</x:v>
      </x:c>
      <x:c r="I55" s="12" t="str">
        <x:v>高</x:v>
      </x:c>
      <x:c r="J55" s="12" t="str">
        <x:v>2026-09-30</x:v>
      </x:c>
      <x:c r="K55" s="12" t="n">
        <x:v>60</x:v>
      </x:c>
      <x:c r="L55" s="12" t="n">
        <x:v>80</x:v>
      </x:c>
      <x:c r="M55" s="12" t="n">
        <x:v>25</x:v>
      </x:c>
      <x:c r="N55" s="12" t="n">
        <x:v>75</x:v>
      </x:c>
      <x:c r="O55" s="12" t="n">
        <x:v>20</x:v>
      </x:c>
      <x:c r="P55" s="12" t="n">
        <x:v>85</x:v>
      </x:c>
      <x:c r="Q55" s="12" t="n">
        <x:v>20</x:v>
      </x:c>
      <x:c r="R55" s="12" t="n">
        <x:v>5</x:v>
      </x:c>
      <x:c r="S55" s="12" t="n">
        <x:v>80</x:v>
      </x:c>
      <x:c r="T55" s="12" t="n">
        <x:v>90</x:v>
      </x:c>
      <x:c r="U55" s="12" t="n">
        <x:v>70</x:v>
      </x:c>
      <x:c r="V55" s="12" t="n">
        <x:v>75</x:v>
      </x:c>
      <x:c r="W55" s="12" t="n">
        <x:v>65</x:v>
      </x:c>
      <x:c r="X55" s="12" t="n">
        <x:v>70</x:v>
      </x:c>
      <x:c r="Y55" s="12" t="n">
        <x:v>65</x:v>
      </x:c>
      <x:c r="Z55" s="12" t="n">
        <x:f>ROUND(MAX(0,MIN(100,0.40*K55+0.20*L55+0.10*S55+0.15*V55+0.15*Y55)),0)</x:f>
        <x:v>69</x:v>
      </x:c>
      <x:c r="AA55" s="12" t="n">
        <x:f>ROUND(MAX(0,MIN(100,0.30*L55+0.20*K55+0.15*V55+0.15*W55+0.10*S55+0.10*(100-M55))),0)</x:f>
        <x:v>73</x:v>
      </x:c>
      <x:c r="AB55" s="12" t="n">
        <x:f>ROUND(MAX(0,MIN(100,0.30*M55+0.25*R55+0.20*Q55+0.15*K55+0.10*(100-T55))),0)</x:f>
        <x:v>23</x:v>
      </x:c>
      <x:c r="AC55" s="12" t="n">
        <x:f>ROUND(MAX(0,MIN(100,0.55*T55+0.15*S55+0.10*N55+0.10*V55+0.10*W55)),0)</x:f>
        <x:v>83</x:v>
      </x:c>
      <x:c r="AD55" s="12" t="n">
        <x:f>ROUND(MAX(0,MIN(100,0.25*O55+0.25*Q55+0.20*Y55+0.15*U55+0.15*(100-L55))),0)</x:f>
        <x:v>37</x:v>
      </x:c>
      <x:c r="AE55" s="12" t="n">
        <x:f>ROUND(MAX(0,MIN(100,0.30*Y55+0.25*S55+0.15*Q55+0.15*T55+0.15*X55)),0)</x:f>
        <x:v>67</x:v>
      </x:c>
      <x:c r="AF55" s="12" t="n">
        <x:f>ROUND(MAX(0,MIN(100,0.65*X55+0.35*Y55)),0)</x:f>
        <x:v>68</x:v>
      </x:c>
      <x:c r="AG55" s="12" t="str">
        <x:v>https://wikiwiki.jp/poke-unite/%E3%82%BD%E3%82%A6%E3%83%96%E3%83%AC%E3%82%A4%E3%82%BA</x:v>
      </x:c>
      <x:c r="AH55" s="12" t="str">
        <x:v>距離を詰めた後の駆け引きと継続戦で強みが出るタイプ。長い戦いで圧を積み上げることと、深く踏み込んで勝負することを楽しめる人ほど持ち味を出しやすい。</x:v>
      </x:c>
      <x:c r="AI55" s="12" t="str">
        <x:v>自己遂行・自己完結・継続戦</x:v>
      </x:c>
      <x:c r="AJ55" s="12" t="n">
        <x:v>0</x:v>
      </x:c>
    </x:row>
    <x:row r="56">
      <x:c r="A56" s="12" t="str">
        <x:v>ソルガレオ</x:v>
      </x:c>
      <x:c r="B56" s="12" t="str">
        <x:v>バランス型</x:v>
      </x:c>
      <x:c r="C56" s="12" t="str">
        <x:v>ソルガレオ-1</x:v>
      </x:c>
      <x:c r="D56" s="12" t="str">
        <x:v>共通</x:v>
      </x:c>
      <x:c r="E56" s="12" t="str">
        <x:v>Juggernaut</x:v>
      </x:c>
      <x:c r="F56" s="12" t="str">
        <x:v>Juggernaut</x:v>
      </x:c>
      <x:c r="G56" s="12"/>
      <x:c r="H56" s="12" t="str">
        <x:v>技で細部は変わるが、診断上のプレイ人格は大きく変わらないため統合</x:v>
      </x:c>
      <x:c r="I56" s="12" t="str">
        <x:v>低</x:v>
      </x:c>
      <x:c r="J56" s="12" t="str">
        <x:v>2026-09-30</x:v>
      </x:c>
      <x:c r="K56" s="12" t="n">
        <x:v>55</x:v>
      </x:c>
      <x:c r="L56" s="12" t="n">
        <x:v>55</x:v>
      </x:c>
      <x:c r="M56" s="12" t="n">
        <x:v>35</x:v>
      </x:c>
      <x:c r="N56" s="12" t="n">
        <x:v>95</x:v>
      </x:c>
      <x:c r="O56" s="12" t="n">
        <x:v>10</x:v>
      </x:c>
      <x:c r="P56" s="12" t="n">
        <x:v>75</x:v>
      </x:c>
      <x:c r="Q56" s="12" t="n">
        <x:v>45</x:v>
      </x:c>
      <x:c r="R56" s="12" t="n">
        <x:v>5</x:v>
      </x:c>
      <x:c r="S56" s="12" t="n">
        <x:v>25</x:v>
      </x:c>
      <x:c r="T56" s="12" t="n">
        <x:v>70</x:v>
      </x:c>
      <x:c r="U56" s="12" t="n">
        <x:v>70</x:v>
      </x:c>
      <x:c r="V56" s="12" t="n">
        <x:v>75</x:v>
      </x:c>
      <x:c r="W56" s="12" t="n">
        <x:v>40</x:v>
      </x:c>
      <x:c r="X56" s="12" t="n">
        <x:v>50</x:v>
      </x:c>
      <x:c r="Y56" s="12" t="n">
        <x:v>55</x:v>
      </x:c>
      <x:c r="Z56" s="12" t="n">
        <x:f>ROUND(MAX(0,MIN(100,0.40*K56+0.20*L56+0.10*S56+0.15*V56+0.15*Y56)),0)</x:f>
        <x:v>55</x:v>
      </x:c>
      <x:c r="AA56" s="12" t="n">
        <x:f>ROUND(MAX(0,MIN(100,0.30*L56+0.20*K56+0.15*V56+0.15*W56+0.10*S56+0.10*(100-M56))),0)</x:f>
        <x:v>54</x:v>
      </x:c>
      <x:c r="AB56" s="12" t="n">
        <x:f>ROUND(MAX(0,MIN(100,0.30*M56+0.25*R56+0.20*Q56+0.15*K56+0.10*(100-T56))),0)</x:f>
        <x:v>32</x:v>
      </x:c>
      <x:c r="AC56" s="12" t="n">
        <x:f>ROUND(MAX(0,MIN(100,0.55*T56+0.15*S56+0.10*N56+0.10*V56+0.10*W56)),0)</x:f>
        <x:v>63</x:v>
      </x:c>
      <x:c r="AD56" s="12" t="n">
        <x:f>ROUND(MAX(0,MIN(100,0.25*O56+0.25*Q56+0.20*Y56+0.15*U56+0.15*(100-L56))),0)</x:f>
        <x:v>42</x:v>
      </x:c>
      <x:c r="AE56" s="12" t="n">
        <x:f>ROUND(MAX(0,MIN(100,0.30*Y56+0.25*S56+0.15*Q56+0.15*T56+0.15*X56)),0)</x:f>
        <x:v>48</x:v>
      </x:c>
      <x:c r="AF56" s="12" t="n">
        <x:f>ROUND(MAX(0,MIN(100,0.65*X56+0.35*Y56)),0)</x:f>
        <x:v>52</x:v>
      </x:c>
      <x:c r="AG56" s="12" t="str">
        <x:v>https://wikiwiki.jp/poke-unite/%E3%82%BD%E3%83%AB%E3%82%AC%E3%83%AC%E3%82%AA</x:v>
      </x:c>
      <x:c r="AH56" s="12" t="str">
        <x:v>前線で簡単には退かず、長い殴り合いで優位を作るタイプ。前線で粘り続けることと、長い戦いで圧を積み上げることを楽しめる人ほど持ち味を出しやすい。</x:v>
      </x:c>
      <x:c r="AI56" s="12" t="str">
        <x:v>自己遂行・前線維持・接近戦</x:v>
      </x:c>
      <x:c r="AJ56" s="12" t="n">
        <x:v>0</x:v>
      </x:c>
    </x:row>
    <x:row r="57">
      <x:c r="A57" s="12" t="str">
        <x:v>タイレーツ</x:v>
      </x:c>
      <x:c r="B57" s="12" t="str">
        <x:v>バランス型</x:v>
      </x:c>
      <x:c r="C57" s="12" t="str">
        <x:v>タイレーツ-1</x:v>
      </x:c>
      <x:c r="D57" s="12" t="str">
        <x:v>はいすいのじん</x:v>
      </x:c>
      <x:c r="E57" s="12" t="str">
        <x:v>Juggernaut</x:v>
      </x:c>
      <x:c r="F57" s="12" t="str">
        <x:v>Juggernaut</x:v>
      </x:c>
      <x:c r="G57" s="12"/>
      <x:c r="H57" s="12" t="str">
        <x:v>立ち位置・戦闘距離・役割が大きく変わるため別プロファイル</x:v>
      </x:c>
      <x:c r="I57" s="12" t="str">
        <x:v>高</x:v>
      </x:c>
      <x:c r="J57" s="12" t="str">
        <x:v>2026-09-30</x:v>
      </x:c>
      <x:c r="K57" s="12" t="n">
        <x:v>55</x:v>
      </x:c>
      <x:c r="L57" s="12" t="n">
        <x:v>55</x:v>
      </x:c>
      <x:c r="M57" s="12" t="n">
        <x:v>35</x:v>
      </x:c>
      <x:c r="N57" s="12" t="n">
        <x:v>100</x:v>
      </x:c>
      <x:c r="O57" s="12" t="n">
        <x:v>10</x:v>
      </x:c>
      <x:c r="P57" s="12" t="n">
        <x:v>65</x:v>
      </x:c>
      <x:c r="Q57" s="12" t="n">
        <x:v>35</x:v>
      </x:c>
      <x:c r="R57" s="12" t="n">
        <x:v>5</x:v>
      </x:c>
      <x:c r="S57" s="12" t="n">
        <x:v>10</x:v>
      </x:c>
      <x:c r="T57" s="12" t="n">
        <x:v>70</x:v>
      </x:c>
      <x:c r="U57" s="12" t="n">
        <x:v>80</x:v>
      </x:c>
      <x:c r="V57" s="12" t="n">
        <x:v>75</x:v>
      </x:c>
      <x:c r="W57" s="12" t="n">
        <x:v>40</x:v>
      </x:c>
      <x:c r="X57" s="12" t="n">
        <x:v>65</x:v>
      </x:c>
      <x:c r="Y57" s="12" t="n">
        <x:v>60</x:v>
      </x:c>
      <x:c r="Z57" s="12" t="n">
        <x:f>ROUND(MAX(0,MIN(100,0.40*K57+0.20*L57+0.10*S57+0.15*V57+0.15*Y57)),0)</x:f>
        <x:v>54</x:v>
      </x:c>
      <x:c r="AA57" s="12" t="n">
        <x:f>ROUND(MAX(0,MIN(100,0.30*L57+0.20*K57+0.15*V57+0.15*W57+0.10*S57+0.10*(100-M57))),0)</x:f>
        <x:v>52</x:v>
      </x:c>
      <x:c r="AB57" s="12" t="n">
        <x:f>ROUND(MAX(0,MIN(100,0.30*M57+0.25*R57+0.20*Q57+0.15*K57+0.10*(100-T57))),0)</x:f>
        <x:v>30</x:v>
      </x:c>
      <x:c r="AC57" s="12" t="n">
        <x:f>ROUND(MAX(0,MIN(100,0.55*T57+0.15*S57+0.10*N57+0.10*V57+0.10*W57)),0)</x:f>
        <x:v>62</x:v>
      </x:c>
      <x:c r="AD57" s="12" t="n">
        <x:f>ROUND(MAX(0,MIN(100,0.25*O57+0.25*Q57+0.20*Y57+0.15*U57+0.15*(100-L57))),0)</x:f>
        <x:v>42</x:v>
      </x:c>
      <x:c r="AE57" s="12" t="n">
        <x:f>ROUND(MAX(0,MIN(100,0.30*Y57+0.25*S57+0.15*Q57+0.15*T57+0.15*X57)),0)</x:f>
        <x:v>46</x:v>
      </x:c>
      <x:c r="AF57" s="12" t="n">
        <x:f>ROUND(MAX(0,MIN(100,0.65*X57+0.35*Y57)),0)</x:f>
        <x:v>63</x:v>
      </x:c>
      <x:c r="AG57" s="12" t="str">
        <x:v>https://wikiwiki.jp/poke-unite/%E3%82%BF%E3%82%A4%E3%83%AC%E3%83%BC%E3%83%84</x:v>
      </x:c>
      <x:c r="AH57" s="12" t="str">
        <x:v>「はいすいのじん」型は、前線で簡単には退かず、長い殴り合いで優位を作るタイプ。前線で粘り続けることと、長い戦いで圧を積み上げることを楽しめる人ほど持ち味を出しやすい。</x:v>
      </x:c>
      <x:c r="AI57" s="12" t="str">
        <x:v>前線維持・自己遂行・接近戦</x:v>
      </x:c>
      <x:c r="AJ57" s="12" t="n">
        <x:v>0</x:v>
      </x:c>
    </x:row>
    <x:row r="58">
      <x:c r="A58" s="12" t="str">
        <x:v>タイレーツ</x:v>
      </x:c>
      <x:c r="B58" s="12" t="str">
        <x:v>バランス型</x:v>
      </x:c>
      <x:c r="C58" s="12" t="str">
        <x:v>タイレーツ-2</x:v>
      </x:c>
      <x:c r="D58" s="12" t="str">
        <x:v>ふくろだたき</x:v>
      </x:c>
      <x:c r="E58" s="12" t="str">
        <x:v>Diver / Skirmisher</x:v>
      </x:c>
      <x:c r="F58" s="12" t="str">
        <x:v>Diver</x:v>
      </x:c>
      <x:c r="G58" s="12" t="str">
        <x:v>Skirmisher</x:v>
      </x:c>
      <x:c r="H58" s="12" t="str">
        <x:v>立ち位置・戦闘距離・役割が大きく変わるため別プロファイル</x:v>
      </x:c>
      <x:c r="I58" s="12" t="str">
        <x:v>高</x:v>
      </x:c>
      <x:c r="J58" s="12" t="str">
        <x:v>2026-09-30</x:v>
      </x:c>
      <x:c r="K58" s="12" t="n">
        <x:v>70</x:v>
      </x:c>
      <x:c r="L58" s="12" t="n">
        <x:v>100</x:v>
      </x:c>
      <x:c r="M58" s="12" t="n">
        <x:v>20</x:v>
      </x:c>
      <x:c r="N58" s="12" t="n">
        <x:v>55</x:v>
      </x:c>
      <x:c r="O58" s="12" t="n">
        <x:v>10</x:v>
      </x:c>
      <x:c r="P58" s="12" t="n">
        <x:v>65</x:v>
      </x:c>
      <x:c r="Q58" s="12" t="n">
        <x:v>35</x:v>
      </x:c>
      <x:c r="R58" s="12" t="n">
        <x:v>5</x:v>
      </x:c>
      <x:c r="S58" s="12" t="n">
        <x:v>100</x:v>
      </x:c>
      <x:c r="T58" s="12" t="n">
        <x:v>70</x:v>
      </x:c>
      <x:c r="U58" s="12" t="n">
        <x:v>60</x:v>
      </x:c>
      <x:c r="V58" s="12" t="n">
        <x:v>60</x:v>
      </x:c>
      <x:c r="W58" s="12" t="n">
        <x:v>65</x:v>
      </x:c>
      <x:c r="X58" s="12" t="n">
        <x:v>65</x:v>
      </x:c>
      <x:c r="Y58" s="12" t="n">
        <x:v>70</x:v>
      </x:c>
      <x:c r="Z58" s="12" t="n">
        <x:f>ROUND(MAX(0,MIN(100,0.40*K58+0.20*L58+0.10*S58+0.15*V58+0.15*Y58)),0)</x:f>
        <x:v>78</x:v>
      </x:c>
      <x:c r="AA58" s="12" t="n">
        <x:f>ROUND(MAX(0,MIN(100,0.30*L58+0.20*K58+0.15*V58+0.15*W58+0.10*S58+0.10*(100-M58))),0)</x:f>
        <x:v>81</x:v>
      </x:c>
      <x:c r="AB58" s="12" t="n">
        <x:f>ROUND(MAX(0,MIN(100,0.30*M58+0.25*R58+0.20*Q58+0.15*K58+0.10*(100-T58))),0)</x:f>
        <x:v>28</x:v>
      </x:c>
      <x:c r="AC58" s="12" t="n">
        <x:f>ROUND(MAX(0,MIN(100,0.55*T58+0.15*S58+0.10*N58+0.10*V58+0.10*W58)),0)</x:f>
        <x:v>72</x:v>
      </x:c>
      <x:c r="AD58" s="12" t="n">
        <x:f>ROUND(MAX(0,MIN(100,0.25*O58+0.25*Q58+0.20*Y58+0.15*U58+0.15*(100-L58))),0)</x:f>
        <x:v>34</x:v>
      </x:c>
      <x:c r="AE58" s="12" t="n">
        <x:f>ROUND(MAX(0,MIN(100,0.30*Y58+0.25*S58+0.15*Q58+0.15*T58+0.15*X58)),0)</x:f>
        <x:v>72</x:v>
      </x:c>
      <x:c r="AF58" s="12" t="n">
        <x:f>ROUND(MAX(0,MIN(100,0.65*X58+0.35*Y58)),0)</x:f>
        <x:v>67</x:v>
      </x:c>
      <x:c r="AG58" s="12" t="str">
        <x:v>https://wikiwiki.jp/poke-unite/%E3%82%BF%E3%82%A4%E3%83%AC%E3%83%BC%E3%83%84</x:v>
      </x:c>
      <x:c r="AH58" s="12" t="str">
        <x:v>「ふくろだたき」型は、自分から踏み込んで戦線を動かし、相手の中心に圧をかけるタイプ。深く踏み込んで勝負することと、場所を変えながら揺さぶることを楽しめる人ほど持ち味を出しやすい。</x:v>
      </x:c>
      <x:c r="AI58" s="12" t="str">
        <x:v>深い踏み込み・機動力・自己遂行</x:v>
      </x:c>
      <x:c r="AJ58" s="12" t="n">
        <x:v>0</x:v>
      </x:c>
    </x:row>
    <x:row r="59">
      <x:c r="A59" s="12" t="str">
        <x:v>ダダリン</x:v>
      </x:c>
      <x:c r="B59" s="12" t="str">
        <x:v>バランス型</x:v>
      </x:c>
      <x:c r="C59" s="12" t="str">
        <x:v>ダダリン-1</x:v>
      </x:c>
      <x:c r="D59" s="12" t="str">
        <x:v>共通</x:v>
      </x:c>
      <x:c r="E59" s="12" t="str">
        <x:v>Catcher</x:v>
      </x:c>
      <x:c r="F59" s="12" t="str">
        <x:v>Catcher</x:v>
      </x:c>
      <x:c r="G59" s="12"/>
      <x:c r="H59" s="12" t="str">
        <x:v>技で細部は変わるが、診断上のプレイ人格は大きく変わらないため統合</x:v>
      </x:c>
      <x:c r="I59" s="12" t="str">
        <x:v>高</x:v>
      </x:c>
      <x:c r="J59" s="12" t="str">
        <x:v>2026-09-30</x:v>
      </x:c>
      <x:c r="K59" s="12" t="n">
        <x:v>75</x:v>
      </x:c>
      <x:c r="L59" s="12" t="n">
        <x:v>40</x:v>
      </x:c>
      <x:c r="M59" s="12" t="n">
        <x:v>50</x:v>
      </x:c>
      <x:c r="N59" s="12" t="n">
        <x:v>50</x:v>
      </x:c>
      <x:c r="O59" s="12" t="n">
        <x:v>50</x:v>
      </x:c>
      <x:c r="P59" s="12" t="n">
        <x:v>30</x:v>
      </x:c>
      <x:c r="Q59" s="12" t="n">
        <x:v>100</x:v>
      </x:c>
      <x:c r="R59" s="12" t="n">
        <x:v>10</x:v>
      </x:c>
      <x:c r="S59" s="12" t="n">
        <x:v>20</x:v>
      </x:c>
      <x:c r="T59" s="12" t="n">
        <x:v>50</x:v>
      </x:c>
      <x:c r="U59" s="12" t="n">
        <x:v>30</x:v>
      </x:c>
      <x:c r="V59" s="12" t="n">
        <x:v>45</x:v>
      </x:c>
      <x:c r="W59" s="12" t="n">
        <x:v>25</x:v>
      </x:c>
      <x:c r="X59" s="12" t="n">
        <x:v>65</x:v>
      </x:c>
      <x:c r="Y59" s="12" t="n">
        <x:v>95</x:v>
      </x:c>
      <x:c r="Z59" s="12" t="n">
        <x:f>ROUND(MAX(0,MIN(100,0.40*K59+0.20*L59+0.10*S59+0.15*V59+0.15*Y59)),0)</x:f>
        <x:v>61</x:v>
      </x:c>
      <x:c r="AA59" s="12" t="n">
        <x:f>ROUND(MAX(0,MIN(100,0.30*L59+0.20*K59+0.15*V59+0.15*W59+0.10*S59+0.10*(100-M59))),0)</x:f>
        <x:v>45</x:v>
      </x:c>
      <x:c r="AB59" s="12" t="n">
        <x:f>ROUND(MAX(0,MIN(100,0.30*M59+0.25*R59+0.20*Q59+0.15*K59+0.10*(100-T59))),0)</x:f>
        <x:v>54</x:v>
      </x:c>
      <x:c r="AC59" s="12" t="n">
        <x:f>ROUND(MAX(0,MIN(100,0.55*T59+0.15*S59+0.10*N59+0.10*V59+0.10*W59)),0)</x:f>
        <x:v>43</x:v>
      </x:c>
      <x:c r="AD59" s="12" t="n">
        <x:f>ROUND(MAX(0,MIN(100,0.25*O59+0.25*Q59+0.20*Y59+0.15*U59+0.15*(100-L59))),0)</x:f>
        <x:v>70</x:v>
      </x:c>
      <x:c r="AE59" s="12" t="n">
        <x:f>ROUND(MAX(0,MIN(100,0.30*Y59+0.25*S59+0.15*Q59+0.15*T59+0.15*X59)),0)</x:f>
        <x:v>66</x:v>
      </x:c>
      <x:c r="AF59" s="12" t="n">
        <x:f>ROUND(MAX(0,MIN(100,0.65*X59+0.35*Y59)),0)</x:f>
        <x:v>76</x:v>
      </x:c>
      <x:c r="AG59" s="12" t="str">
        <x:v>https://wikiwiki.jp/poke-unite/%E3%83%80%E3%83%80%E3%83%AA%E3%83%B3</x:v>
      </x:c>
      <x:c r="AH59" s="12" t="str">
        <x:v>相手の一瞬の隙を捕まえ、拘束から展開を作るタイプ。相手の動きと位置を制限することと、状況に応じて選択を切り替えることを楽しめる人ほど持ち味を出しやすい。</x:v>
      </x:c>
      <x:c r="AI59" s="12" t="str">
        <x:v>盤面制御・状況判断・自己遂行</x:v>
      </x:c>
      <x:c r="AJ59" s="12" t="n">
        <x:v>0</x:v>
      </x:c>
    </x:row>
    <x:row r="60">
      <x:c r="A60" s="12" t="str">
        <x:v>デカヌチャン</x:v>
      </x:c>
      <x:c r="B60" s="12" t="str">
        <x:v>バランス型</x:v>
      </x:c>
      <x:c r="C60" s="12" t="str">
        <x:v>デカヌチャン-1</x:v>
      </x:c>
      <x:c r="D60" s="12" t="str">
        <x:v>共通</x:v>
      </x:c>
      <x:c r="E60" s="12" t="str">
        <x:v>Juggernaut</x:v>
      </x:c>
      <x:c r="F60" s="12" t="str">
        <x:v>Juggernaut</x:v>
      </x:c>
      <x:c r="G60" s="12"/>
      <x:c r="H60" s="12" t="str">
        <x:v>技で細部は変わるが、診断上のプレイ人格は大きく変わらないため統合</x:v>
      </x:c>
      <x:c r="I60" s="12" t="str">
        <x:v>高</x:v>
      </x:c>
      <x:c r="J60" s="12" t="str">
        <x:v>2026-09-30</x:v>
      </x:c>
      <x:c r="K60" s="12" t="n">
        <x:v>55</x:v>
      </x:c>
      <x:c r="L60" s="12" t="n">
        <x:v>55</x:v>
      </x:c>
      <x:c r="M60" s="12" t="n">
        <x:v>35</x:v>
      </x:c>
      <x:c r="N60" s="12" t="n">
        <x:v>100</x:v>
      </x:c>
      <x:c r="O60" s="12" t="n">
        <x:v>10</x:v>
      </x:c>
      <x:c r="P60" s="12" t="n">
        <x:v>75</x:v>
      </x:c>
      <x:c r="Q60" s="12" t="n">
        <x:v>35</x:v>
      </x:c>
      <x:c r="R60" s="12" t="n">
        <x:v>5</x:v>
      </x:c>
      <x:c r="S60" s="12" t="n">
        <x:v>10</x:v>
      </x:c>
      <x:c r="T60" s="12" t="n">
        <x:v>70</x:v>
      </x:c>
      <x:c r="U60" s="12" t="n">
        <x:v>90</x:v>
      </x:c>
      <x:c r="V60" s="12" t="n">
        <x:v>75</x:v>
      </x:c>
      <x:c r="W60" s="12" t="n">
        <x:v>40</x:v>
      </x:c>
      <x:c r="X60" s="12" t="n">
        <x:v>40</x:v>
      </x:c>
      <x:c r="Y60" s="12" t="n">
        <x:v>50</x:v>
      </x:c>
      <x:c r="Z60" s="12" t="n">
        <x:f>ROUND(MAX(0,MIN(100,0.40*K60+0.20*L60+0.10*S60+0.15*V60+0.15*Y60)),0)</x:f>
        <x:v>53</x:v>
      </x:c>
      <x:c r="AA60" s="12" t="n">
        <x:f>ROUND(MAX(0,MIN(100,0.30*L60+0.20*K60+0.15*V60+0.15*W60+0.10*S60+0.10*(100-M60))),0)</x:f>
        <x:v>52</x:v>
      </x:c>
      <x:c r="AB60" s="12" t="n">
        <x:f>ROUND(MAX(0,MIN(100,0.30*M60+0.25*R60+0.20*Q60+0.15*K60+0.10*(100-T60))),0)</x:f>
        <x:v>30</x:v>
      </x:c>
      <x:c r="AC60" s="12" t="n">
        <x:f>ROUND(MAX(0,MIN(100,0.55*T60+0.15*S60+0.10*N60+0.10*V60+0.10*W60)),0)</x:f>
        <x:v>62</x:v>
      </x:c>
      <x:c r="AD60" s="12" t="n">
        <x:f>ROUND(MAX(0,MIN(100,0.25*O60+0.25*Q60+0.20*Y60+0.15*U60+0.15*(100-L60))),0)</x:f>
        <x:v>42</x:v>
      </x:c>
      <x:c r="AE60" s="12" t="n">
        <x:f>ROUND(MAX(0,MIN(100,0.30*Y60+0.25*S60+0.15*Q60+0.15*T60+0.15*X60)),0)</x:f>
        <x:v>39</x:v>
      </x:c>
      <x:c r="AF60" s="12" t="n">
        <x:f>ROUND(MAX(0,MIN(100,0.65*X60+0.35*Y60)),0)</x:f>
        <x:v>44</x:v>
      </x:c>
      <x:c r="AG60" s="12" t="str">
        <x:v>https://wikiwiki.jp/poke-unite/%E3%83%87%E3%82%AB%E3%83%8C%E3%83%81%E3%83%A3%E3%83%B3</x:v>
      </x:c>
      <x:c r="AH60" s="12" t="str">
        <x:v>前線で簡単には退かず、長い殴り合いで優位を作るタイプ。前線で粘り続けることと、長い戦いで圧を積み上げることを楽しめる人ほど持ち味を出しやすい。</x:v>
      </x:c>
      <x:c r="AI60" s="12" t="str">
        <x:v>前線維持・自己遂行・接近戦</x:v>
      </x:c>
      <x:c r="AJ60" s="12" t="n">
        <x:v>0</x:v>
      </x:c>
    </x:row>
    <x:row r="61">
      <x:c r="A61" s="12" t="str">
        <x:v>ネギガナイト</x:v>
      </x:c>
      <x:c r="B61" s="12" t="str">
        <x:v>バランス型</x:v>
      </x:c>
      <x:c r="C61" s="12" t="str">
        <x:v>ネギガナイト-1</x:v>
      </x:c>
      <x:c r="D61" s="12" t="str">
        <x:v>共通</x:v>
      </x:c>
      <x:c r="E61" s="12" t="str">
        <x:v>Diver</x:v>
      </x:c>
      <x:c r="F61" s="12" t="str">
        <x:v>Diver</x:v>
      </x:c>
      <x:c r="G61" s="12"/>
      <x:c r="H61" s="12" t="str">
        <x:v>技で細部は変わるが、診断上のプレイ人格は大きく変わらないため統合</x:v>
      </x:c>
      <x:c r="I61" s="12" t="str">
        <x:v>高</x:v>
      </x:c>
      <x:c r="J61" s="12" t="str">
        <x:v>2026-09-30</x:v>
      </x:c>
      <x:c r="K61" s="12" t="n">
        <x:v>80</x:v>
      </x:c>
      <x:c r="L61" s="12" t="n">
        <x:v>100</x:v>
      </x:c>
      <x:c r="M61" s="12" t="n">
        <x:v>20</x:v>
      </x:c>
      <x:c r="N61" s="12" t="n">
        <x:v>65</x:v>
      </x:c>
      <x:c r="O61" s="12" t="n">
        <x:v>10</x:v>
      </x:c>
      <x:c r="P61" s="12" t="n">
        <x:v>35</x:v>
      </x:c>
      <x:c r="Q61" s="12" t="n">
        <x:v>45</x:v>
      </x:c>
      <x:c r="R61" s="12" t="n">
        <x:v>5</x:v>
      </x:c>
      <x:c r="S61" s="12" t="n">
        <x:v>75</x:v>
      </x:c>
      <x:c r="T61" s="12" t="n">
        <x:v>80</x:v>
      </x:c>
      <x:c r="U61" s="12" t="n">
        <x:v>60</x:v>
      </x:c>
      <x:c r="V61" s="12" t="n">
        <x:v>60</x:v>
      </x:c>
      <x:c r="W61" s="12" t="n">
        <x:v>55</x:v>
      </x:c>
      <x:c r="X61" s="12" t="n">
        <x:v>90</x:v>
      </x:c>
      <x:c r="Y61" s="12" t="n">
        <x:v>70</x:v>
      </x:c>
      <x:c r="Z61" s="12" t="n">
        <x:f>ROUND(MAX(0,MIN(100,0.40*K61+0.20*L61+0.10*S61+0.15*V61+0.15*Y61)),0)</x:f>
        <x:v>79</x:v>
      </x:c>
      <x:c r="AA61" s="12" t="n">
        <x:f>ROUND(MAX(0,MIN(100,0.30*L61+0.20*K61+0.15*V61+0.15*W61+0.10*S61+0.10*(100-M61))),0)</x:f>
        <x:v>79</x:v>
      </x:c>
      <x:c r="AB61" s="12" t="n">
        <x:f>ROUND(MAX(0,MIN(100,0.30*M61+0.25*R61+0.20*Q61+0.15*K61+0.10*(100-T61))),0)</x:f>
        <x:v>30</x:v>
      </x:c>
      <x:c r="AC61" s="12" t="n">
        <x:f>ROUND(MAX(0,MIN(100,0.55*T61+0.15*S61+0.10*N61+0.10*V61+0.10*W61)),0)</x:f>
        <x:v>73</x:v>
      </x:c>
      <x:c r="AD61" s="12" t="n">
        <x:f>ROUND(MAX(0,MIN(100,0.25*O61+0.25*Q61+0.20*Y61+0.15*U61+0.15*(100-L61))),0)</x:f>
        <x:v>37</x:v>
      </x:c>
      <x:c r="AE61" s="12" t="n">
        <x:f>ROUND(MAX(0,MIN(100,0.30*Y61+0.25*S61+0.15*Q61+0.15*T61+0.15*X61)),0)</x:f>
        <x:v>72</x:v>
      </x:c>
      <x:c r="AF61" s="12" t="n">
        <x:f>ROUND(MAX(0,MIN(100,0.65*X61+0.35*Y61)),0)</x:f>
        <x:v>83</x:v>
      </x:c>
      <x:c r="AG61" s="12" t="str">
        <x:v>https://wikiwiki.jp/poke-unite/%E3%83%8D%E3%82%AE%E3%82%AC%E3%83%8A%E3%82%A4%E3%83%88</x:v>
      </x:c>
      <x:c r="AH61" s="12" t="str">
        <x:v>自分から踏み込んで戦線を動かし、相手の中心に圧をかけるタイプ。深く踏み込んで勝負することと、自分からきっかけを作ることを楽しめる人ほど持ち味を出しやすい。</x:v>
      </x:c>
      <x:c r="AI61" s="12" t="str">
        <x:v>深い踏み込み・自己遂行・操作精度</x:v>
      </x:c>
      <x:c r="AJ61" s="12" t="n">
        <x:v>0</x:v>
      </x:c>
    </x:row>
    <x:row r="62">
      <x:c r="A62" s="12" t="str">
        <x:v>ハッサム</x:v>
      </x:c>
      <x:c r="B62" s="12" t="str">
        <x:v>バランス型</x:v>
      </x:c>
      <x:c r="C62" s="12" t="str">
        <x:v>ハッサム-1</x:v>
      </x:c>
      <x:c r="D62" s="12" t="str">
        <x:v>ストライク</x:v>
      </x:c>
      <x:c r="E62" s="12" t="str">
        <x:v>Assassin</x:v>
      </x:c>
      <x:c r="F62" s="12" t="str">
        <x:v>Assassin</x:v>
      </x:c>
      <x:c r="G62" s="12"/>
      <x:c r="H62" s="12" t="str">
        <x:v>立ち位置・戦闘距離・役割が大きく変わるため別プロファイル</x:v>
      </x:c>
      <x:c r="I62" s="12" t="str">
        <x:v>高</x:v>
      </x:c>
      <x:c r="J62" s="12" t="str">
        <x:v>2026-09-30</x:v>
      </x:c>
      <x:c r="K62" s="12" t="n">
        <x:v>55</x:v>
      </x:c>
      <x:c r="L62" s="12" t="n">
        <x:v>100</x:v>
      </x:c>
      <x:c r="M62" s="12" t="n">
        <x:v>0</x:v>
      </x:c>
      <x:c r="N62" s="12" t="n">
        <x:v>0</x:v>
      </x:c>
      <x:c r="O62" s="12" t="n">
        <x:v>15</x:v>
      </x:c>
      <x:c r="P62" s="12" t="n">
        <x:v>0</x:v>
      </x:c>
      <x:c r="Q62" s="12" t="n">
        <x:v>25</x:v>
      </x:c>
      <x:c r="R62" s="12" t="n">
        <x:v>5</x:v>
      </x:c>
      <x:c r="S62" s="12" t="n">
        <x:v>100</x:v>
      </x:c>
      <x:c r="T62" s="12" t="n">
        <x:v>65</x:v>
      </x:c>
      <x:c r="U62" s="12" t="n">
        <x:v>65</x:v>
      </x:c>
      <x:c r="V62" s="12" t="n">
        <x:v>70</x:v>
      </x:c>
      <x:c r="W62" s="12" t="n">
        <x:v>85</x:v>
      </x:c>
      <x:c r="X62" s="12" t="n">
        <x:v>90</x:v>
      </x:c>
      <x:c r="Y62" s="12" t="n">
        <x:v>75</x:v>
      </x:c>
      <x:c r="Z62" s="12" t="n">
        <x:f>ROUND(MAX(0,MIN(100,0.40*K62+0.20*L62+0.10*S62+0.15*V62+0.15*Y62)),0)</x:f>
        <x:v>74</x:v>
      </x:c>
      <x:c r="AA62" s="12" t="n">
        <x:f>ROUND(MAX(0,MIN(100,0.30*L62+0.20*K62+0.15*V62+0.15*W62+0.10*S62+0.10*(100-M62))),0)</x:f>
        <x:v>84</x:v>
      </x:c>
      <x:c r="AB62" s="12" t="n">
        <x:f>ROUND(MAX(0,MIN(100,0.30*M62+0.25*R62+0.20*Q62+0.15*K62+0.10*(100-T62))),0)</x:f>
        <x:v>18</x:v>
      </x:c>
      <x:c r="AC62" s="12" t="n">
        <x:f>ROUND(MAX(0,MIN(100,0.55*T62+0.15*S62+0.10*N62+0.10*V62+0.10*W62)),0)</x:f>
        <x:v>66</x:v>
      </x:c>
      <x:c r="AD62" s="12" t="n">
        <x:f>ROUND(MAX(0,MIN(100,0.25*O62+0.25*Q62+0.20*Y62+0.15*U62+0.15*(100-L62))),0)</x:f>
        <x:v>35</x:v>
      </x:c>
      <x:c r="AE62" s="12" t="n">
        <x:f>ROUND(MAX(0,MIN(100,0.30*Y62+0.25*S62+0.15*Q62+0.15*T62+0.15*X62)),0)</x:f>
        <x:v>75</x:v>
      </x:c>
      <x:c r="AF62" s="12" t="n">
        <x:f>ROUND(MAX(0,MIN(100,0.65*X62+0.35*Y62)),0)</x:f>
        <x:v>85</x:v>
      </x:c>
      <x:c r="AG62" s="12" t="str">
        <x:v>https://wikiwiki.jp/poke-unite/%E3%83%8F%E3%83%83%E3%82%B5%E3%83%A0</x:v>
      </x:c>
      <x:c r="AH62" s="12" t="str">
        <x:v>ストライクのまま高機動と瞬間火力を押しつけるタイプ。安全に長く戦うより、短い好機へ鋭く入りたい人と相性がいい。</x:v>
      </x:c>
      <x:c r="AI62" s="12" t="str">
        <x:v>自分の仕事・瞬間決着・深い踏み込み</x:v>
      </x:c>
      <x:c r="AJ62" s="12" t="n">
        <x:v>0</x:v>
      </x:c>
    </x:row>
    <x:row r="63">
      <x:c r="A63" s="12" t="str">
        <x:v>ハッサム</x:v>
      </x:c>
      <x:c r="B63" s="12" t="str">
        <x:v>バランス型</x:v>
      </x:c>
      <x:c r="C63" s="12" t="str">
        <x:v>ハッサム-2</x:v>
      </x:c>
      <x:c r="D63" s="12" t="str">
        <x:v>ハッサム</x:v>
      </x:c>
      <x:c r="E63" s="12" t="str">
        <x:v>Skirmisher / Juggernaut</x:v>
      </x:c>
      <x:c r="F63" s="12" t="str">
        <x:v>Skirmisher</x:v>
      </x:c>
      <x:c r="G63" s="12" t="str">
        <x:v>Juggernaut</x:v>
      </x:c>
      <x:c r="H63" s="12" t="str">
        <x:v>立ち位置・戦闘距離・役割が大きく変わるため別プロファイル</x:v>
      </x:c>
      <x:c r="I63" s="12" t="str">
        <x:v>高</x:v>
      </x:c>
      <x:c r="J63" s="12" t="str">
        <x:v>2026-09-30</x:v>
      </x:c>
      <x:c r="K63" s="12" t="n">
        <x:v>60</x:v>
      </x:c>
      <x:c r="L63" s="12" t="n">
        <x:v>60</x:v>
      </x:c>
      <x:c r="M63" s="12" t="n">
        <x:v>35</x:v>
      </x:c>
      <x:c r="N63" s="12" t="n">
        <x:v>95</x:v>
      </x:c>
      <x:c r="O63" s="12" t="n">
        <x:v>20</x:v>
      </x:c>
      <x:c r="P63" s="12" t="n">
        <x:v>85</x:v>
      </x:c>
      <x:c r="Q63" s="12" t="n">
        <x:v>35</x:v>
      </x:c>
      <x:c r="R63" s="12" t="n">
        <x:v>15</x:v>
      </x:c>
      <x:c r="S63" s="12" t="n">
        <x:v>50</x:v>
      </x:c>
      <x:c r="T63" s="12" t="n">
        <x:v>75</x:v>
      </x:c>
      <x:c r="U63" s="12" t="n">
        <x:v>70</x:v>
      </x:c>
      <x:c r="V63" s="12" t="n">
        <x:v>65</x:v>
      </x:c>
      <x:c r="W63" s="12" t="n">
        <x:v>55</x:v>
      </x:c>
      <x:c r="X63" s="12" t="n">
        <x:v>55</x:v>
      </x:c>
      <x:c r="Y63" s="12" t="n">
        <x:v>65</x:v>
      </x:c>
      <x:c r="Z63" s="12" t="n">
        <x:f>ROUND(MAX(0,MIN(100,0.40*K63+0.20*L63+0.10*S63+0.15*V63+0.15*Y63)),0)</x:f>
        <x:v>61</x:v>
      </x:c>
      <x:c r="AA63" s="12" t="n">
        <x:f>ROUND(MAX(0,MIN(100,0.30*L63+0.20*K63+0.15*V63+0.15*W63+0.10*S63+0.10*(100-M63))),0)</x:f>
        <x:v>60</x:v>
      </x:c>
      <x:c r="AB63" s="12" t="n">
        <x:f>ROUND(MAX(0,MIN(100,0.30*M63+0.25*R63+0.20*Q63+0.15*K63+0.10*(100-T63))),0)</x:f>
        <x:v>33</x:v>
      </x:c>
      <x:c r="AC63" s="12" t="n">
        <x:f>ROUND(MAX(0,MIN(100,0.55*T63+0.15*S63+0.10*N63+0.10*V63+0.10*W63)),0)</x:f>
        <x:v>70</x:v>
      </x:c>
      <x:c r="AD63" s="12" t="n">
        <x:f>ROUND(MAX(0,MIN(100,0.25*O63+0.25*Q63+0.20*Y63+0.15*U63+0.15*(100-L63))),0)</x:f>
        <x:v>43</x:v>
      </x:c>
      <x:c r="AE63" s="12" t="n">
        <x:f>ROUND(MAX(0,MIN(100,0.30*Y63+0.25*S63+0.15*Q63+0.15*T63+0.15*X63)),0)</x:f>
        <x:v>57</x:v>
      </x:c>
      <x:c r="AF63" s="12" t="n">
        <x:f>ROUND(MAX(0,MIN(100,0.65*X63+0.35*Y63)),0)</x:f>
        <x:v>59</x:v>
      </x:c>
      <x:c r="AG63" s="12" t="str">
        <x:v>https://wikiwiki.jp/poke-unite/%E3%83%8F%E3%83%83%E3%82%B5%E3%83%A0</x:v>
      </x:c>
      <x:c r="AH63" s="12" t="str">
        <x:v>ハッサムへ進化し、前線で回復しながら粘り強く戦うタイプ。細かく技を回しながら殴り合いを続けたい人向け。</x:v>
      </x:c>
      <x:c r="AI63" s="12" t="str">
        <x:v>前線維持・自己遂行・継続戦</x:v>
      </x:c>
      <x:c r="AJ63" s="12" t="n">
        <x:v>0</x:v>
      </x:c>
    </x:row>
    <x:row r="64">
      <x:c r="A64" s="12" t="str">
        <x:v>バシャーモ</x:v>
      </x:c>
      <x:c r="B64" s="12" t="str">
        <x:v>バランス型</x:v>
      </x:c>
      <x:c r="C64" s="12" t="str">
        <x:v>バシャーモ-1</x:v>
      </x:c>
      <x:c r="D64" s="12" t="str">
        <x:v>共通</x:v>
      </x:c>
      <x:c r="E64" s="12" t="str">
        <x:v>Diver</x:v>
      </x:c>
      <x:c r="F64" s="12" t="str">
        <x:v>Diver</x:v>
      </x:c>
      <x:c r="G64" s="12"/>
      <x:c r="H64" s="12" t="str">
        <x:v>技で細部は変わるが、診断上のプレイ人格は大きく変わらないため統合</x:v>
      </x:c>
      <x:c r="I64" s="12" t="str">
        <x:v>高</x:v>
      </x:c>
      <x:c r="J64" s="12" t="str">
        <x:v>2026-09-30</x:v>
      </x:c>
      <x:c r="K64" s="12" t="n">
        <x:v>80</x:v>
      </x:c>
      <x:c r="L64" s="12" t="n">
        <x:v>100</x:v>
      </x:c>
      <x:c r="M64" s="12" t="n">
        <x:v>20</x:v>
      </x:c>
      <x:c r="N64" s="12" t="n">
        <x:v>55</x:v>
      </x:c>
      <x:c r="O64" s="12" t="n">
        <x:v>10</x:v>
      </x:c>
      <x:c r="P64" s="12" t="n">
        <x:v>55</x:v>
      </x:c>
      <x:c r="Q64" s="12" t="n">
        <x:v>45</x:v>
      </x:c>
      <x:c r="R64" s="12" t="n">
        <x:v>5</x:v>
      </x:c>
      <x:c r="S64" s="12" t="n">
        <x:v>80</x:v>
      </x:c>
      <x:c r="T64" s="12" t="n">
        <x:v>70</x:v>
      </x:c>
      <x:c r="U64" s="12" t="n">
        <x:v>60</x:v>
      </x:c>
      <x:c r="V64" s="12" t="n">
        <x:v>60</x:v>
      </x:c>
      <x:c r="W64" s="12" t="n">
        <x:v>55</x:v>
      </x:c>
      <x:c r="X64" s="12" t="n">
        <x:v>85</x:v>
      </x:c>
      <x:c r="Y64" s="12" t="n">
        <x:v>80</x:v>
      </x:c>
      <x:c r="Z64" s="12" t="n">
        <x:f>ROUND(MAX(0,MIN(100,0.40*K64+0.20*L64+0.10*S64+0.15*V64+0.15*Y64)),0)</x:f>
        <x:v>81</x:v>
      </x:c>
      <x:c r="AA64" s="12" t="n">
        <x:f>ROUND(MAX(0,MIN(100,0.30*L64+0.20*K64+0.15*V64+0.15*W64+0.10*S64+0.10*(100-M64))),0)</x:f>
        <x:v>79</x:v>
      </x:c>
      <x:c r="AB64" s="12" t="n">
        <x:f>ROUND(MAX(0,MIN(100,0.30*M64+0.25*R64+0.20*Q64+0.15*K64+0.10*(100-T64))),0)</x:f>
        <x:v>31</x:v>
      </x:c>
      <x:c r="AC64" s="12" t="n">
        <x:f>ROUND(MAX(0,MIN(100,0.55*T64+0.15*S64+0.10*N64+0.10*V64+0.10*W64)),0)</x:f>
        <x:v>68</x:v>
      </x:c>
      <x:c r="AD64" s="12" t="n">
        <x:f>ROUND(MAX(0,MIN(100,0.25*O64+0.25*Q64+0.20*Y64+0.15*U64+0.15*(100-L64))),0)</x:f>
        <x:v>39</x:v>
      </x:c>
      <x:c r="AE64" s="12" t="n">
        <x:f>ROUND(MAX(0,MIN(100,0.30*Y64+0.25*S64+0.15*Q64+0.15*T64+0.15*X64)),0)</x:f>
        <x:v>74</x:v>
      </x:c>
      <x:c r="AF64" s="12" t="n">
        <x:f>ROUND(MAX(0,MIN(100,0.65*X64+0.35*Y64)),0)</x:f>
        <x:v>83</x:v>
      </x:c>
      <x:c r="AG64" s="12" t="str">
        <x:v>https://wikiwiki.jp/poke-unite/%E3%83%90%E3%82%B7%E3%83%A3%E3%83%BC%E3%83%A2</x:v>
      </x:c>
      <x:c r="AH64" s="12" t="str">
        <x:v>自分から踏み込んで戦線を動かし、相手の中心に圧をかけるタイプ。深く踏み込んで勝負することと、自分からきっかけを作ることを楽しめる人ほど持ち味を出しやすい。</x:v>
      </x:c>
      <x:c r="AI64" s="12" t="str">
        <x:v>深い踏み込み・自己遂行・接近戦</x:v>
      </x:c>
      <x:c r="AJ64" s="12" t="n">
        <x:v>0</x:v>
      </x:c>
    </x:row>
    <x:row r="65">
      <x:c r="A65" s="12" t="str">
        <x:v>バンギラス</x:v>
      </x:c>
      <x:c r="B65" s="12" t="str">
        <x:v>バランス型</x:v>
      </x:c>
      <x:c r="C65" s="12" t="str">
        <x:v>バンギラス-1</x:v>
      </x:c>
      <x:c r="D65" s="12" t="str">
        <x:v>共通</x:v>
      </x:c>
      <x:c r="E65" s="12" t="str">
        <x:v>Juggernaut</x:v>
      </x:c>
      <x:c r="F65" s="12" t="str">
        <x:v>Juggernaut</x:v>
      </x:c>
      <x:c r="G65" s="12"/>
      <x:c r="H65" s="12" t="str">
        <x:v>技で細部は変わるが、診断上のプレイ人格は大きく変わらないため統合</x:v>
      </x:c>
      <x:c r="I65" s="12" t="str">
        <x:v>高</x:v>
      </x:c>
      <x:c r="J65" s="12" t="str">
        <x:v>2026-09-30</x:v>
      </x:c>
      <x:c r="K65" s="12" t="n">
        <x:v>55</x:v>
      </x:c>
      <x:c r="L65" s="12" t="n">
        <x:v>55</x:v>
      </x:c>
      <x:c r="M65" s="12" t="n">
        <x:v>35</x:v>
      </x:c>
      <x:c r="N65" s="12" t="n">
        <x:v>100</x:v>
      </x:c>
      <x:c r="O65" s="12" t="n">
        <x:v>10</x:v>
      </x:c>
      <x:c r="P65" s="12" t="n">
        <x:v>75</x:v>
      </x:c>
      <x:c r="Q65" s="12" t="n">
        <x:v>35</x:v>
      </x:c>
      <x:c r="R65" s="12" t="n">
        <x:v>5</x:v>
      </x:c>
      <x:c r="S65" s="12" t="n">
        <x:v>10</x:v>
      </x:c>
      <x:c r="T65" s="12" t="n">
        <x:v>80</x:v>
      </x:c>
      <x:c r="U65" s="12" t="n">
        <x:v>90</x:v>
      </x:c>
      <x:c r="V65" s="12" t="n">
        <x:v>55</x:v>
      </x:c>
      <x:c r="W65" s="12" t="n">
        <x:v>40</x:v>
      </x:c>
      <x:c r="X65" s="12" t="n">
        <x:v>50</x:v>
      </x:c>
      <x:c r="Y65" s="12" t="n">
        <x:v>50</x:v>
      </x:c>
      <x:c r="Z65" s="12" t="n">
        <x:f>ROUND(MAX(0,MIN(100,0.40*K65+0.20*L65+0.10*S65+0.15*V65+0.15*Y65)),0)</x:f>
        <x:v>50</x:v>
      </x:c>
      <x:c r="AA65" s="12" t="n">
        <x:f>ROUND(MAX(0,MIN(100,0.30*L65+0.20*K65+0.15*V65+0.15*W65+0.10*S65+0.10*(100-M65))),0)</x:f>
        <x:v>49</x:v>
      </x:c>
      <x:c r="AB65" s="12" t="n">
        <x:f>ROUND(MAX(0,MIN(100,0.30*M65+0.25*R65+0.20*Q65+0.15*K65+0.10*(100-T65))),0)</x:f>
        <x:v>29</x:v>
      </x:c>
      <x:c r="AC65" s="12" t="n">
        <x:f>ROUND(MAX(0,MIN(100,0.55*T65+0.15*S65+0.10*N65+0.10*V65+0.10*W65)),0)</x:f>
        <x:v>65</x:v>
      </x:c>
      <x:c r="AD65" s="12" t="n">
        <x:f>ROUND(MAX(0,MIN(100,0.25*O65+0.25*Q65+0.20*Y65+0.15*U65+0.15*(100-L65))),0)</x:f>
        <x:v>42</x:v>
      </x:c>
      <x:c r="AE65" s="12" t="n">
        <x:f>ROUND(MAX(0,MIN(100,0.30*Y65+0.25*S65+0.15*Q65+0.15*T65+0.15*X65)),0)</x:f>
        <x:v>42</x:v>
      </x:c>
      <x:c r="AF65" s="12" t="n">
        <x:f>ROUND(MAX(0,MIN(100,0.65*X65+0.35*Y65)),0)</x:f>
        <x:v>50</x:v>
      </x:c>
      <x:c r="AG65" s="12" t="str">
        <x:v>https://wikiwiki.jp/poke-unite/%E3%83%90%E3%83%B3%E3%82%AE%E3%83%A9%E3%82%B9</x:v>
      </x:c>
      <x:c r="AH65" s="12" t="str">
        <x:v>前線で簡単には退かず、長い殴り合いで優位を作るタイプ。前線で粘り続けることと、長い戦いで圧を積み上げることを楽しめる人ほど持ち味を出しやすい。</x:v>
      </x:c>
      <x:c r="AI65" s="12" t="str">
        <x:v>前線維持・自己遂行・接近戦</x:v>
      </x:c>
      <x:c r="AJ65" s="12" t="n">
        <x:v>0</x:v>
      </x:c>
    </x:row>
    <x:row r="66">
      <x:c r="A66" s="12" t="str">
        <x:v>パルキア</x:v>
      </x:c>
      <x:c r="B66" s="12" t="str">
        <x:v>バランス型</x:v>
      </x:c>
      <x:c r="C66" s="12" t="str">
        <x:v>パルキア-1</x:v>
      </x:c>
      <x:c r="D66" s="12" t="str">
        <x:v>共通</x:v>
      </x:c>
      <x:c r="E66" s="12" t="str">
        <x:v>Diver</x:v>
      </x:c>
      <x:c r="F66" s="12" t="str">
        <x:v>Diver</x:v>
      </x:c>
      <x:c r="G66" s="12"/>
      <x:c r="H66" s="12" t="str">
        <x:v>技で細部は変わるが、診断上のプレイ人格は大きく変わらないため統合</x:v>
      </x:c>
      <x:c r="I66" s="12" t="str">
        <x:v>中</x:v>
      </x:c>
      <x:c r="J66" s="12" t="str">
        <x:v>2026-09-30</x:v>
      </x:c>
      <x:c r="K66" s="12" t="n">
        <x:v>80</x:v>
      </x:c>
      <x:c r="L66" s="12" t="n">
        <x:v>100</x:v>
      </x:c>
      <x:c r="M66" s="12" t="n">
        <x:v>20</x:v>
      </x:c>
      <x:c r="N66" s="12" t="n">
        <x:v>80</x:v>
      </x:c>
      <x:c r="O66" s="12" t="n">
        <x:v>10</x:v>
      </x:c>
      <x:c r="P66" s="12" t="n">
        <x:v>45</x:v>
      </x:c>
      <x:c r="Q66" s="12" t="n">
        <x:v>45</x:v>
      </x:c>
      <x:c r="R66" s="12" t="n">
        <x:v>5</x:v>
      </x:c>
      <x:c r="S66" s="12" t="n">
        <x:v>90</x:v>
      </x:c>
      <x:c r="T66" s="12" t="n">
        <x:v>70</x:v>
      </x:c>
      <x:c r="U66" s="12" t="n">
        <x:v>60</x:v>
      </x:c>
      <x:c r="V66" s="12" t="n">
        <x:v>60</x:v>
      </x:c>
      <x:c r="W66" s="12" t="n">
        <x:v>55</x:v>
      </x:c>
      <x:c r="X66" s="12" t="n">
        <x:v>65</x:v>
      </x:c>
      <x:c r="Y66" s="12" t="n">
        <x:v>70</x:v>
      </x:c>
      <x:c r="Z66" s="12" t="n">
        <x:f>ROUND(MAX(0,MIN(100,0.40*K66+0.20*L66+0.10*S66+0.15*V66+0.15*Y66)),0)</x:f>
        <x:v>81</x:v>
      </x:c>
      <x:c r="AA66" s="12" t="n">
        <x:f>ROUND(MAX(0,MIN(100,0.30*L66+0.20*K66+0.15*V66+0.15*W66+0.10*S66+0.10*(100-M66))),0)</x:f>
        <x:v>80</x:v>
      </x:c>
      <x:c r="AB66" s="12" t="n">
        <x:f>ROUND(MAX(0,MIN(100,0.30*M66+0.25*R66+0.20*Q66+0.15*K66+0.10*(100-T66))),0)</x:f>
        <x:v>31</x:v>
      </x:c>
      <x:c r="AC66" s="12" t="n">
        <x:f>ROUND(MAX(0,MIN(100,0.55*T66+0.15*S66+0.10*N66+0.10*V66+0.10*W66)),0)</x:f>
        <x:v>72</x:v>
      </x:c>
      <x:c r="AD66" s="12" t="n">
        <x:f>ROUND(MAX(0,MIN(100,0.25*O66+0.25*Q66+0.20*Y66+0.15*U66+0.15*(100-L66))),0)</x:f>
        <x:v>37</x:v>
      </x:c>
      <x:c r="AE66" s="12" t="n">
        <x:f>ROUND(MAX(0,MIN(100,0.30*Y66+0.25*S66+0.15*Q66+0.15*T66+0.15*X66)),0)</x:f>
        <x:v>71</x:v>
      </x:c>
      <x:c r="AF66" s="12" t="n">
        <x:f>ROUND(MAX(0,MIN(100,0.65*X66+0.35*Y66)),0)</x:f>
        <x:v>67</x:v>
      </x:c>
      <x:c r="AG66" s="12" t="str">
        <x:v>https://wikiwiki.jp/poke-unite/%E3%83%91%E3%83%AB%E3%82%AD%E3%82%A2</x:v>
      </x:c>
      <x:c r="AH66" s="12" t="str">
        <x:v>自分から踏み込んで戦線を動かし、相手の中心に圧をかけるタイプ。深く踏み込んで勝負することと、場所を変えながら揺さぶることを楽しめる人ほど持ち味を出しやすい。</x:v>
      </x:c>
      <x:c r="AI66" s="12" t="str">
        <x:v>深い踏み込み・自己遂行・機動力</x:v>
      </x:c>
      <x:c r="AJ66" s="12" t="n">
        <x:v>0</x:v>
      </x:c>
    </x:row>
    <x:row r="67">
      <x:c r="A67" s="12" t="str">
        <x:v>パーモット</x:v>
      </x:c>
      <x:c r="B67" s="12" t="str">
        <x:v>バランス型</x:v>
      </x:c>
      <x:c r="C67" s="12" t="str">
        <x:v>パーモット-1</x:v>
      </x:c>
      <x:c r="D67" s="12" t="str">
        <x:v>共通</x:v>
      </x:c>
      <x:c r="E67" s="12" t="str">
        <x:v>Diver</x:v>
      </x:c>
      <x:c r="F67" s="12" t="str">
        <x:v>Diver</x:v>
      </x:c>
      <x:c r="G67" s="12"/>
      <x:c r="H67" s="12" t="str">
        <x:v>技で細部は変わるが、診断上のプレイ人格は大きく変わらないため統合</x:v>
      </x:c>
      <x:c r="I67" s="12" t="str">
        <x:v>高</x:v>
      </x:c>
      <x:c r="J67" s="12" t="str">
        <x:v>2026-09-30</x:v>
      </x:c>
      <x:c r="K67" s="12" t="n">
        <x:v>80</x:v>
      </x:c>
      <x:c r="L67" s="12" t="n">
        <x:v>100</x:v>
      </x:c>
      <x:c r="M67" s="12" t="n">
        <x:v>20</x:v>
      </x:c>
      <x:c r="N67" s="12" t="n">
        <x:v>55</x:v>
      </x:c>
      <x:c r="O67" s="12" t="n">
        <x:v>10</x:v>
      </x:c>
      <x:c r="P67" s="12" t="n">
        <x:v>35</x:v>
      </x:c>
      <x:c r="Q67" s="12" t="n">
        <x:v>45</x:v>
      </x:c>
      <x:c r="R67" s="12" t="n">
        <x:v>5</x:v>
      </x:c>
      <x:c r="S67" s="12" t="n">
        <x:v>90</x:v>
      </x:c>
      <x:c r="T67" s="12" t="n">
        <x:v>70</x:v>
      </x:c>
      <x:c r="U67" s="12" t="n">
        <x:v>75</x:v>
      </x:c>
      <x:c r="V67" s="12" t="n">
        <x:v>60</x:v>
      </x:c>
      <x:c r="W67" s="12" t="n">
        <x:v>55</x:v>
      </x:c>
      <x:c r="X67" s="12" t="n">
        <x:v>70</x:v>
      </x:c>
      <x:c r="Y67" s="12" t="n">
        <x:v>70</x:v>
      </x:c>
      <x:c r="Z67" s="12" t="n">
        <x:f>ROUND(MAX(0,MIN(100,0.40*K67+0.20*L67+0.10*S67+0.15*V67+0.15*Y67)),0)</x:f>
        <x:v>81</x:v>
      </x:c>
      <x:c r="AA67" s="12" t="n">
        <x:f>ROUND(MAX(0,MIN(100,0.30*L67+0.20*K67+0.15*V67+0.15*W67+0.10*S67+0.10*(100-M67))),0)</x:f>
        <x:v>80</x:v>
      </x:c>
      <x:c r="AB67" s="12" t="n">
        <x:f>ROUND(MAX(0,MIN(100,0.30*M67+0.25*R67+0.20*Q67+0.15*K67+0.10*(100-T67))),0)</x:f>
        <x:v>31</x:v>
      </x:c>
      <x:c r="AC67" s="12" t="n">
        <x:f>ROUND(MAX(0,MIN(100,0.55*T67+0.15*S67+0.10*N67+0.10*V67+0.10*W67)),0)</x:f>
        <x:v>69</x:v>
      </x:c>
      <x:c r="AD67" s="12" t="n">
        <x:f>ROUND(MAX(0,MIN(100,0.25*O67+0.25*Q67+0.20*Y67+0.15*U67+0.15*(100-L67))),0)</x:f>
        <x:v>39</x:v>
      </x:c>
      <x:c r="AE67" s="12" t="n">
        <x:f>ROUND(MAX(0,MIN(100,0.30*Y67+0.25*S67+0.15*Q67+0.15*T67+0.15*X67)),0)</x:f>
        <x:v>71</x:v>
      </x:c>
      <x:c r="AF67" s="12" t="n">
        <x:f>ROUND(MAX(0,MIN(100,0.65*X67+0.35*Y67)),0)</x:f>
        <x:v>70</x:v>
      </x:c>
      <x:c r="AG67" s="12" t="str">
        <x:v>https://wikiwiki.jp/poke-unite/%E3%83%91%E3%83%BC%E3%83%A2%E3%83%83%E3%83%88</x:v>
      </x:c>
      <x:c r="AH67" s="12" t="str">
        <x:v>自分から踏み込んで戦線を動かし、相手の中心に圧をかけるタイプ。深く踏み込んで勝負することと、自分からきっかけを作ることを楽しめる人ほど持ち味を出しやすい。</x:v>
      </x:c>
      <x:c r="AI67" s="12" t="str">
        <x:v>深い踏み込み・自己遂行・機動力</x:v>
      </x:c>
      <x:c r="AJ67" s="12" t="n">
        <x:v>0.15</x:v>
      </x:c>
    </x:row>
    <x:row r="68">
      <x:c r="A68" s="12" t="str">
        <x:v>ファイヤー</x:v>
      </x:c>
      <x:c r="B68" s="12" t="str">
        <x:v>バランス型</x:v>
      </x:c>
      <x:c r="C68" s="12" t="str">
        <x:v>ファイヤー-1</x:v>
      </x:c>
      <x:c r="D68" s="12" t="str">
        <x:v>共通</x:v>
      </x:c>
      <x:c r="E68" s="12" t="str">
        <x:v>Juggernaut</x:v>
      </x:c>
      <x:c r="F68" s="12" t="str">
        <x:v>Juggernaut</x:v>
      </x:c>
      <x:c r="G68" s="12"/>
      <x:c r="H68" s="12" t="str">
        <x:v>技で細部は変わるが、診断上のプレイ人格は大きく変わらないため統合</x:v>
      </x:c>
      <x:c r="I68" s="12" t="str">
        <x:v>中</x:v>
      </x:c>
      <x:c r="J68" s="12" t="str">
        <x:v>2026-09-30</x:v>
      </x:c>
      <x:c r="K68" s="12" t="n">
        <x:v>55</x:v>
      </x:c>
      <x:c r="L68" s="12" t="n">
        <x:v>55</x:v>
      </x:c>
      <x:c r="M68" s="12" t="n">
        <x:v>35</x:v>
      </x:c>
      <x:c r="N68" s="12" t="n">
        <x:v>100</x:v>
      </x:c>
      <x:c r="O68" s="12" t="n">
        <x:v>10</x:v>
      </x:c>
      <x:c r="P68" s="12" t="n">
        <x:v>90</x:v>
      </x:c>
      <x:c r="Q68" s="12" t="n">
        <x:v>25</x:v>
      </x:c>
      <x:c r="R68" s="12" t="n">
        <x:v>5</x:v>
      </x:c>
      <x:c r="S68" s="12" t="n">
        <x:v>25</x:v>
      </x:c>
      <x:c r="T68" s="12" t="n">
        <x:v>70</x:v>
      </x:c>
      <x:c r="U68" s="12" t="n">
        <x:v>80</x:v>
      </x:c>
      <x:c r="V68" s="12" t="n">
        <x:v>75</x:v>
      </x:c>
      <x:c r="W68" s="12" t="n">
        <x:v>40</x:v>
      </x:c>
      <x:c r="X68" s="12" t="n">
        <x:v>50</x:v>
      </x:c>
      <x:c r="Y68" s="12" t="n">
        <x:v>50</x:v>
      </x:c>
      <x:c r="Z68" s="12" t="n">
        <x:f>ROUND(MAX(0,MIN(100,0.40*K68+0.20*L68+0.10*S68+0.15*V68+0.15*Y68)),0)</x:f>
        <x:v>54</x:v>
      </x:c>
      <x:c r="AA68" s="12" t="n">
        <x:f>ROUND(MAX(0,MIN(100,0.30*L68+0.20*K68+0.15*V68+0.15*W68+0.10*S68+0.10*(100-M68))),0)</x:f>
        <x:v>54</x:v>
      </x:c>
      <x:c r="AB68" s="12" t="n">
        <x:f>ROUND(MAX(0,MIN(100,0.30*M68+0.25*R68+0.20*Q68+0.15*K68+0.10*(100-T68))),0)</x:f>
        <x:v>28</x:v>
      </x:c>
      <x:c r="AC68" s="12" t="n">
        <x:f>ROUND(MAX(0,MIN(100,0.55*T68+0.15*S68+0.10*N68+0.10*V68+0.10*W68)),0)</x:f>
        <x:v>64</x:v>
      </x:c>
      <x:c r="AD68" s="12" t="n">
        <x:f>ROUND(MAX(0,MIN(100,0.25*O68+0.25*Q68+0.20*Y68+0.15*U68+0.15*(100-L68))),0)</x:f>
        <x:v>38</x:v>
      </x:c>
      <x:c r="AE68" s="12" t="n">
        <x:f>ROUND(MAX(0,MIN(100,0.30*Y68+0.25*S68+0.15*Q68+0.15*T68+0.15*X68)),0)</x:f>
        <x:v>43</x:v>
      </x:c>
      <x:c r="AF68" s="12" t="n">
        <x:f>ROUND(MAX(0,MIN(100,0.65*X68+0.35*Y68)),0)</x:f>
        <x:v>50</x:v>
      </x:c>
      <x:c r="AG68" s="12" t="str">
        <x:v>https://wikiwiki.jp/poke-unite/%E3%83%95%E3%82%A1%E3%82%A4%E3%83%A4%E3%83%BC</x:v>
      </x:c>
      <x:c r="AH68" s="12" t="str">
        <x:v>前線で簡単には退かず、長い殴り合いで優位を作るタイプ。前線で粘り続けることと、長い戦いで圧を積み上げることを楽しめる人ほど持ち味を出しやすい。</x:v>
      </x:c>
      <x:c r="AI68" s="12" t="str">
        <x:v>前線維持・自己遂行・継続戦</x:v>
      </x:c>
      <x:c r="AJ68" s="12" t="n">
        <x:v>0</x:v>
      </x:c>
    </x:row>
    <x:row r="69">
      <x:c r="A69" s="12" t="str">
        <x:v>マッシブーン</x:v>
      </x:c>
      <x:c r="B69" s="12" t="str">
        <x:v>バランス型</x:v>
      </x:c>
      <x:c r="C69" s="12" t="str">
        <x:v>マッシブーン-1</x:v>
      </x:c>
      <x:c r="D69" s="12" t="str">
        <x:v>共通</x:v>
      </x:c>
      <x:c r="E69" s="12" t="str">
        <x:v>Catcher</x:v>
      </x:c>
      <x:c r="F69" s="12" t="str">
        <x:v>Catcher</x:v>
      </x:c>
      <x:c r="G69" s="12"/>
      <x:c r="H69" s="12" t="str">
        <x:v>技で細部は変わるが、診断上のプレイ人格は大きく変わらないため統合</x:v>
      </x:c>
      <x:c r="I69" s="12" t="str">
        <x:v>高</x:v>
      </x:c>
      <x:c r="J69" s="12" t="str">
        <x:v>2026-09-30</x:v>
      </x:c>
      <x:c r="K69" s="12" t="n">
        <x:v>75</x:v>
      </x:c>
      <x:c r="L69" s="12" t="n">
        <x:v>40</x:v>
      </x:c>
      <x:c r="M69" s="12" t="n">
        <x:v>50</x:v>
      </x:c>
      <x:c r="N69" s="12" t="n">
        <x:v>50</x:v>
      </x:c>
      <x:c r="O69" s="12" t="n">
        <x:v>50</x:v>
      </x:c>
      <x:c r="P69" s="12" t="n">
        <x:v>35</x:v>
      </x:c>
      <x:c r="Q69" s="12" t="n">
        <x:v>100</x:v>
      </x:c>
      <x:c r="R69" s="12" t="n">
        <x:v>20</x:v>
      </x:c>
      <x:c r="S69" s="12" t="n">
        <x:v>40</x:v>
      </x:c>
      <x:c r="T69" s="12" t="n">
        <x:v>55</x:v>
      </x:c>
      <x:c r="U69" s="12" t="n">
        <x:v>30</x:v>
      </x:c>
      <x:c r="V69" s="12" t="n">
        <x:v>45</x:v>
      </x:c>
      <x:c r="W69" s="12" t="n">
        <x:v>25</x:v>
      </x:c>
      <x:c r="X69" s="12" t="n">
        <x:v>70</x:v>
      </x:c>
      <x:c r="Y69" s="12" t="n">
        <x:v>95</x:v>
      </x:c>
      <x:c r="Z69" s="12" t="n">
        <x:f>ROUND(MAX(0,MIN(100,0.40*K69+0.20*L69+0.10*S69+0.15*V69+0.15*Y69)),0)</x:f>
        <x:v>63</x:v>
      </x:c>
      <x:c r="AA69" s="12" t="n">
        <x:f>ROUND(MAX(0,MIN(100,0.30*L69+0.20*K69+0.15*V69+0.15*W69+0.10*S69+0.10*(100-M69))),0)</x:f>
        <x:v>47</x:v>
      </x:c>
      <x:c r="AB69" s="12" t="n">
        <x:f>ROUND(MAX(0,MIN(100,0.30*M69+0.25*R69+0.20*Q69+0.15*K69+0.10*(100-T69))),0)</x:f>
        <x:v>56</x:v>
      </x:c>
      <x:c r="AC69" s="12" t="n">
        <x:f>ROUND(MAX(0,MIN(100,0.55*T69+0.15*S69+0.10*N69+0.10*V69+0.10*W69)),0)</x:f>
        <x:v>48</x:v>
      </x:c>
      <x:c r="AD69" s="12" t="n">
        <x:f>ROUND(MAX(0,MIN(100,0.25*O69+0.25*Q69+0.20*Y69+0.15*U69+0.15*(100-L69))),0)</x:f>
        <x:v>70</x:v>
      </x:c>
      <x:c r="AE69" s="12" t="n">
        <x:f>ROUND(MAX(0,MIN(100,0.30*Y69+0.25*S69+0.15*Q69+0.15*T69+0.15*X69)),0)</x:f>
        <x:v>72</x:v>
      </x:c>
      <x:c r="AF69" s="12" t="n">
        <x:f>ROUND(MAX(0,MIN(100,0.65*X69+0.35*Y69)),0)</x:f>
        <x:v>79</x:v>
      </x:c>
      <x:c r="AG69" s="12" t="str">
        <x:v>https://wikiwiki.jp/poke-unite/%E3%83%9E%E3%83%83%E3%82%B7%E3%83%96%E3%83%BC%E3%83%B3</x:v>
      </x:c>
      <x:c r="AH69" s="12" t="str">
        <x:v>相手の一瞬の隙を捕まえ、拘束から展開を作るタイプ。相手の動きと位置を制限することと、状況に応じて選択を切り替えることを楽しめる人ほど持ち味を出しやすい。</x:v>
      </x:c>
      <x:c r="AI69" s="12" t="str">
        <x:v>盤面制御・状況判断・自己遂行</x:v>
      </x:c>
      <x:c r="AJ69" s="12" t="n">
        <x:v>0</x:v>
      </x:c>
    </x:row>
    <x:row r="70">
      <x:c r="A70" s="12" t="str">
        <x:v>マリルリ</x:v>
      </x:c>
      <x:c r="B70" s="12" t="str">
        <x:v>バランス型</x:v>
      </x:c>
      <x:c r="C70" s="12" t="str">
        <x:v>マリルリ-1</x:v>
      </x:c>
      <x:c r="D70" s="12" t="str">
        <x:v>共通</x:v>
      </x:c>
      <x:c r="E70" s="12" t="str">
        <x:v>Diver</x:v>
      </x:c>
      <x:c r="F70" s="12" t="str">
        <x:v>Diver</x:v>
      </x:c>
      <x:c r="G70" s="12"/>
      <x:c r="H70" s="12" t="str">
        <x:v>技で細部は変わるが、診断上のプレイ人格は大きく変わらないため統合</x:v>
      </x:c>
      <x:c r="I70" s="12" t="str">
        <x:v>高</x:v>
      </x:c>
      <x:c r="J70" s="12" t="str">
        <x:v>2026-09-30</x:v>
      </x:c>
      <x:c r="K70" s="12" t="n">
        <x:v>80</x:v>
      </x:c>
      <x:c r="L70" s="12" t="n">
        <x:v>100</x:v>
      </x:c>
      <x:c r="M70" s="12" t="n">
        <x:v>20</x:v>
      </x:c>
      <x:c r="N70" s="12" t="n">
        <x:v>55</x:v>
      </x:c>
      <x:c r="O70" s="12" t="n">
        <x:v>10</x:v>
      </x:c>
      <x:c r="P70" s="12" t="n">
        <x:v>50</x:v>
      </x:c>
      <x:c r="Q70" s="12" t="n">
        <x:v>45</x:v>
      </x:c>
      <x:c r="R70" s="12" t="n">
        <x:v>5</x:v>
      </x:c>
      <x:c r="S70" s="12" t="n">
        <x:v>60</x:v>
      </x:c>
      <x:c r="T70" s="12" t="n">
        <x:v>80</x:v>
      </x:c>
      <x:c r="U70" s="12" t="n">
        <x:v>45</x:v>
      </x:c>
      <x:c r="V70" s="12" t="n">
        <x:v>60</x:v>
      </x:c>
      <x:c r="W70" s="12" t="n">
        <x:v>55</x:v>
      </x:c>
      <x:c r="X70" s="12" t="n">
        <x:v>65</x:v>
      </x:c>
      <x:c r="Y70" s="12" t="n">
        <x:v>70</x:v>
      </x:c>
      <x:c r="Z70" s="12" t="n">
        <x:f>ROUND(MAX(0,MIN(100,0.40*K70+0.20*L70+0.10*S70+0.15*V70+0.15*Y70)),0)</x:f>
        <x:v>78</x:v>
      </x:c>
      <x:c r="AA70" s="12" t="n">
        <x:f>ROUND(MAX(0,MIN(100,0.30*L70+0.20*K70+0.15*V70+0.15*W70+0.10*S70+0.10*(100-M70))),0)</x:f>
        <x:v>77</x:v>
      </x:c>
      <x:c r="AB70" s="12" t="n">
        <x:f>ROUND(MAX(0,MIN(100,0.30*M70+0.25*R70+0.20*Q70+0.15*K70+0.10*(100-T70))),0)</x:f>
        <x:v>30</x:v>
      </x:c>
      <x:c r="AC70" s="12" t="n">
        <x:f>ROUND(MAX(0,MIN(100,0.55*T70+0.15*S70+0.10*N70+0.10*V70+0.10*W70)),0)</x:f>
        <x:v>70</x:v>
      </x:c>
      <x:c r="AD70" s="12" t="n">
        <x:f>ROUND(MAX(0,MIN(100,0.25*O70+0.25*Q70+0.20*Y70+0.15*U70+0.15*(100-L70))),0)</x:f>
        <x:v>35</x:v>
      </x:c>
      <x:c r="AE70" s="12" t="n">
        <x:f>ROUND(MAX(0,MIN(100,0.30*Y70+0.25*S70+0.15*Q70+0.15*T70+0.15*X70)),0)</x:f>
        <x:v>65</x:v>
      </x:c>
      <x:c r="AF70" s="12" t="n">
        <x:f>ROUND(MAX(0,MIN(100,0.65*X70+0.35*Y70)),0)</x:f>
        <x:v>67</x:v>
      </x:c>
      <x:c r="AG70" s="12" t="str">
        <x:v>https://wikiwiki.jp/poke-unite/%E3%83%9E%E3%83%AA%E3%83%AB%E3%83%AA</x:v>
      </x:c>
      <x:c r="AH70" s="12" t="str">
        <x:v>自分から踏み込んで戦線を動かし、相手の中心に圧をかけるタイプ。深く踏み込んで勝負することと、自分からきっかけを作ることを楽しめる人ほど持ち味を出しやすい。</x:v>
      </x:c>
      <x:c r="AI70" s="12" t="str">
        <x:v>深い踏み込み・自己遂行・接近戦</x:v>
      </x:c>
      <x:c r="AJ70" s="12" t="n">
        <x:v>0</x:v>
      </x:c>
    </x:row>
    <x:row r="71">
      <x:c r="A71" s="12" t="str">
        <x:v>ミミッキュ</x:v>
      </x:c>
      <x:c r="B71" s="12" t="str">
        <x:v>バランス型</x:v>
      </x:c>
      <x:c r="C71" s="12" t="str">
        <x:v>ミミッキュ-1</x:v>
      </x:c>
      <x:c r="D71" s="12" t="str">
        <x:v>じゃれつく</x:v>
      </x:c>
      <x:c r="E71" s="12" t="str">
        <x:v>Assassin</x:v>
      </x:c>
      <x:c r="F71" s="12" t="str">
        <x:v>Assassin</x:v>
      </x:c>
      <x:c r="G71" s="12"/>
      <x:c r="H71" s="12" t="str">
        <x:v>立ち位置・戦闘距離・役割が大きく変わるため別プロファイル</x:v>
      </x:c>
      <x:c r="I71" s="12" t="str">
        <x:v>高</x:v>
      </x:c>
      <x:c r="J71" s="12" t="str">
        <x:v>2026-09-30</x:v>
      </x:c>
      <x:c r="K71" s="12" t="n">
        <x:v>55</x:v>
      </x:c>
      <x:c r="L71" s="12" t="n">
        <x:v>100</x:v>
      </x:c>
      <x:c r="M71" s="12" t="n">
        <x:v>0</x:v>
      </x:c>
      <x:c r="N71" s="12" t="n">
        <x:v>20</x:v>
      </x:c>
      <x:c r="O71" s="12" t="n">
        <x:v>15</x:v>
      </x:c>
      <x:c r="P71" s="12" t="n">
        <x:v>0</x:v>
      </x:c>
      <x:c r="Q71" s="12" t="n">
        <x:v>25</x:v>
      </x:c>
      <x:c r="R71" s="12" t="n">
        <x:v>5</x:v>
      </x:c>
      <x:c r="S71" s="12" t="n">
        <x:v>100</x:v>
      </x:c>
      <x:c r="T71" s="12" t="n">
        <x:v>70</x:v>
      </x:c>
      <x:c r="U71" s="12" t="n">
        <x:v>65</x:v>
      </x:c>
      <x:c r="V71" s="12" t="n">
        <x:v>70</x:v>
      </x:c>
      <x:c r="W71" s="12" t="n">
        <x:v>85</x:v>
      </x:c>
      <x:c r="X71" s="12" t="n">
        <x:v>80</x:v>
      </x:c>
      <x:c r="Y71" s="12" t="n">
        <x:v>75</x:v>
      </x:c>
      <x:c r="Z71" s="12" t="n">
        <x:f>ROUND(MAX(0,MIN(100,0.40*K71+0.20*L71+0.10*S71+0.15*V71+0.15*Y71)),0)</x:f>
        <x:v>74</x:v>
      </x:c>
      <x:c r="AA71" s="12" t="n">
        <x:f>ROUND(MAX(0,MIN(100,0.30*L71+0.20*K71+0.15*V71+0.15*W71+0.10*S71+0.10*(100-M71))),0)</x:f>
        <x:v>84</x:v>
      </x:c>
      <x:c r="AB71" s="12" t="n">
        <x:f>ROUND(MAX(0,MIN(100,0.30*M71+0.25*R71+0.20*Q71+0.15*K71+0.10*(100-T71))),0)</x:f>
        <x:v>18</x:v>
      </x:c>
      <x:c r="AC71" s="12" t="n">
        <x:f>ROUND(MAX(0,MIN(100,0.55*T71+0.15*S71+0.10*N71+0.10*V71+0.10*W71)),0)</x:f>
        <x:v>71</x:v>
      </x:c>
      <x:c r="AD71" s="12" t="n">
        <x:f>ROUND(MAX(0,MIN(100,0.25*O71+0.25*Q71+0.20*Y71+0.15*U71+0.15*(100-L71))),0)</x:f>
        <x:v>35</x:v>
      </x:c>
      <x:c r="AE71" s="12" t="n">
        <x:f>ROUND(MAX(0,MIN(100,0.30*Y71+0.25*S71+0.15*Q71+0.15*T71+0.15*X71)),0)</x:f>
        <x:v>74</x:v>
      </x:c>
      <x:c r="AF71" s="12" t="n">
        <x:f>ROUND(MAX(0,MIN(100,0.65*X71+0.35*Y71)),0)</x:f>
        <x:v>78</x:v>
      </x:c>
      <x:c r="AG71" s="12" t="str">
        <x:v>https://wikiwiki.jp/poke-unite/%E3%83%9F%E3%83%9F%E3%83%83%E3%82%AD%E3%83%A5</x:v>
      </x:c>
      <x:c r="AH71" s="12" t="str">
        <x:v>「じゃれつく」型は、短い好機を見逃さず、相手の隙に一気に入り込むタイプ。深く踏み込んで勝負することと、短い好機を一気に取り切ることを楽しめる人ほど持ち味を出しやすい。</x:v>
      </x:c>
      <x:c r="AI71" s="12" t="str">
        <x:v>自分の仕事・瞬間決着・深い踏み込み</x:v>
      </x:c>
      <x:c r="AJ71" s="12" t="n">
        <x:v>0</x:v>
      </x:c>
    </x:row>
    <x:row r="72">
      <x:c r="A72" s="12" t="str">
        <x:v>ミミッキュ</x:v>
      </x:c>
      <x:c r="B72" s="12" t="str">
        <x:v>バランス型</x:v>
      </x:c>
      <x:c r="C72" s="12" t="str">
        <x:v>ミミッキュ-2</x:v>
      </x:c>
      <x:c r="D72" s="12" t="str">
        <x:v>シャドークロー</x:v>
      </x:c>
      <x:c r="E72" s="12" t="str">
        <x:v>Skirmisher</x:v>
      </x:c>
      <x:c r="F72" s="12" t="str">
        <x:v>Skirmisher</x:v>
      </x:c>
      <x:c r="G72" s="12"/>
      <x:c r="H72" s="12" t="str">
        <x:v>立ち位置・戦闘距離・役割が大きく変わるため別プロファイル</x:v>
      </x:c>
      <x:c r="I72" s="12" t="str">
        <x:v>高</x:v>
      </x:c>
      <x:c r="J72" s="12" t="str">
        <x:v>2026-09-30</x:v>
      </x:c>
      <x:c r="K72" s="12" t="n">
        <x:v>60</x:v>
      </x:c>
      <x:c r="L72" s="12" t="n">
        <x:v>80</x:v>
      </x:c>
      <x:c r="M72" s="12" t="n">
        <x:v>25</x:v>
      </x:c>
      <x:c r="N72" s="12" t="n">
        <x:v>85</x:v>
      </x:c>
      <x:c r="O72" s="12" t="n">
        <x:v>20</x:v>
      </x:c>
      <x:c r="P72" s="12" t="n">
        <x:v>85</x:v>
      </x:c>
      <x:c r="Q72" s="12" t="n">
        <x:v>35</x:v>
      </x:c>
      <x:c r="R72" s="12" t="n">
        <x:v>5</x:v>
      </x:c>
      <x:c r="S72" s="12" t="n">
        <x:v>80</x:v>
      </x:c>
      <x:c r="T72" s="12" t="n">
        <x:v>75</x:v>
      </x:c>
      <x:c r="U72" s="12" t="n">
        <x:v>70</x:v>
      </x:c>
      <x:c r="V72" s="12" t="n">
        <x:v>65</x:v>
      </x:c>
      <x:c r="W72" s="12" t="n">
        <x:v>65</x:v>
      </x:c>
      <x:c r="X72" s="12" t="n">
        <x:v>70</x:v>
      </x:c>
      <x:c r="Y72" s="12" t="n">
        <x:v>65</x:v>
      </x:c>
      <x:c r="Z72" s="12" t="n">
        <x:f>ROUND(MAX(0,MIN(100,0.40*K72+0.20*L72+0.10*S72+0.15*V72+0.15*Y72)),0)</x:f>
        <x:v>68</x:v>
      </x:c>
      <x:c r="AA72" s="12" t="n">
        <x:f>ROUND(MAX(0,MIN(100,0.30*L72+0.20*K72+0.15*V72+0.15*W72+0.10*S72+0.10*(100-M72))),0)</x:f>
        <x:v>71</x:v>
      </x:c>
      <x:c r="AB72" s="12" t="n">
        <x:f>ROUND(MAX(0,MIN(100,0.30*M72+0.25*R72+0.20*Q72+0.15*K72+0.10*(100-T72))),0)</x:f>
        <x:v>27</x:v>
      </x:c>
      <x:c r="AC72" s="12" t="n">
        <x:f>ROUND(MAX(0,MIN(100,0.55*T72+0.15*S72+0.10*N72+0.10*V72+0.10*W72)),0)</x:f>
        <x:v>75</x:v>
      </x:c>
      <x:c r="AD72" s="12" t="n">
        <x:f>ROUND(MAX(0,MIN(100,0.25*O72+0.25*Q72+0.20*Y72+0.15*U72+0.15*(100-L72))),0)</x:f>
        <x:v>40</x:v>
      </x:c>
      <x:c r="AE72" s="12" t="n">
        <x:f>ROUND(MAX(0,MIN(100,0.30*Y72+0.25*S72+0.15*Q72+0.15*T72+0.15*X72)),0)</x:f>
        <x:v>67</x:v>
      </x:c>
      <x:c r="AF72" s="12" t="n">
        <x:f>ROUND(MAX(0,MIN(100,0.65*X72+0.35*Y72)),0)</x:f>
        <x:v>68</x:v>
      </x:c>
      <x:c r="AG72" s="12" t="str">
        <x:v>https://wikiwiki.jp/poke-unite/%E3%83%9F%E3%83%9F%E3%83%83%E3%82%AD%E3%83%A5</x:v>
      </x:c>
      <x:c r="AH72" s="12" t="str">
        <x:v>「シャドークロー」型は、距離を詰めた後の駆け引きと継続戦で強みが出るタイプ。長い戦いで圧を積み上げることと、深く踏み込んで勝負することを楽しめる人ほど持ち味を出しやすい。</x:v>
      </x:c>
      <x:c r="AI72" s="12" t="str">
        <x:v>自己遂行・継続戦・前線維持</x:v>
      </x:c>
      <x:c r="AJ72" s="12" t="n">
        <x:v>0</x:v>
      </x:c>
    </x:row>
    <x:row r="73">
      <x:c r="A73" s="12" t="str">
        <x:v>ミュウツー(X)</x:v>
      </x:c>
      <x:c r="B73" s="12" t="str">
        <x:v>バランス型</x:v>
      </x:c>
      <x:c r="C73" s="12" t="str">
        <x:v>ミュウツー(X)-1</x:v>
      </x:c>
      <x:c r="D73" s="12" t="str">
        <x:v>共通</x:v>
      </x:c>
      <x:c r="E73" s="12" t="str">
        <x:v>Juggernaut / Catcher</x:v>
      </x:c>
      <x:c r="F73" s="12" t="str">
        <x:v>Juggernaut</x:v>
      </x:c>
      <x:c r="G73" s="12" t="str">
        <x:v>Catcher</x:v>
      </x:c>
      <x:c r="H73" s="12" t="str">
        <x:v>技で細部は変わるが、診断上のプレイ人格は大きく変わらないため統合</x:v>
      </x:c>
      <x:c r="I73" s="12" t="str">
        <x:v>高</x:v>
      </x:c>
      <x:c r="J73" s="12" t="str">
        <x:v>2026-09-30</x:v>
      </x:c>
      <x:c r="K73" s="12" t="n">
        <x:v>65</x:v>
      </x:c>
      <x:c r="L73" s="12" t="n">
        <x:v>45</x:v>
      </x:c>
      <x:c r="M73" s="12" t="n">
        <x:v>45</x:v>
      </x:c>
      <x:c r="N73" s="12" t="n">
        <x:v>100</x:v>
      </x:c>
      <x:c r="O73" s="12" t="n">
        <x:v>35</x:v>
      </x:c>
      <x:c r="P73" s="12" t="n">
        <x:v>55</x:v>
      </x:c>
      <x:c r="Q73" s="12" t="n">
        <x:v>75</x:v>
      </x:c>
      <x:c r="R73" s="12" t="n">
        <x:v>5</x:v>
      </x:c>
      <x:c r="S73" s="12" t="n">
        <x:v>40</x:v>
      </x:c>
      <x:c r="T73" s="12" t="n">
        <x:v>60</x:v>
      </x:c>
      <x:c r="U73" s="12" t="n">
        <x:v>50</x:v>
      </x:c>
      <x:c r="V73" s="12" t="n">
        <x:v>55</x:v>
      </x:c>
      <x:c r="W73" s="12" t="n">
        <x:v>30</x:v>
      </x:c>
      <x:c r="X73" s="12" t="n">
        <x:v>35</x:v>
      </x:c>
      <x:c r="Y73" s="12" t="n">
        <x:v>75</x:v>
      </x:c>
      <x:c r="Z73" s="12" t="n">
        <x:f>ROUND(MAX(0,MIN(100,0.40*K73+0.20*L73+0.10*S73+0.15*V73+0.15*Y73)),0)</x:f>
        <x:v>59</x:v>
      </x:c>
      <x:c r="AA73" s="12" t="n">
        <x:f>ROUND(MAX(0,MIN(100,0.30*L73+0.20*K73+0.15*V73+0.15*W73+0.10*S73+0.10*(100-M73))),0)</x:f>
        <x:v>49</x:v>
      </x:c>
      <x:c r="AB73" s="12" t="n">
        <x:f>ROUND(MAX(0,MIN(100,0.30*M73+0.25*R73+0.20*Q73+0.15*K73+0.10*(100-T73))),0)</x:f>
        <x:v>44</x:v>
      </x:c>
      <x:c r="AC73" s="12" t="n">
        <x:f>ROUND(MAX(0,MIN(100,0.55*T73+0.15*S73+0.10*N73+0.10*V73+0.10*W73)),0)</x:f>
        <x:v>58</x:v>
      </x:c>
      <x:c r="AD73" s="12" t="n">
        <x:f>ROUND(MAX(0,MIN(100,0.25*O73+0.25*Q73+0.20*Y73+0.15*U73+0.15*(100-L73))),0)</x:f>
        <x:v>58</x:v>
      </x:c>
      <x:c r="AE73" s="12" t="n">
        <x:f>ROUND(MAX(0,MIN(100,0.30*Y73+0.25*S73+0.15*Q73+0.15*T73+0.15*X73)),0)</x:f>
        <x:v>58</x:v>
      </x:c>
      <x:c r="AF73" s="12" t="n">
        <x:f>ROUND(MAX(0,MIN(100,0.65*X73+0.35*Y73)),0)</x:f>
        <x:v>49</x:v>
      </x:c>
      <x:c r="AG73" s="12" t="str">
        <x:v>https://wikiwiki.jp/poke-unite/%E3%83%9F%E3%83%A5%E3%82%A6%E3%83%84%E3%83%BC(X)</x:v>
      </x:c>
      <x:c r="AH73" s="12" t="str">
        <x:v>前線で簡単には退かず、長い殴り合いで優位を作るタイプ。前線で粘り続けることと、長い戦いで圧を積み上げることを楽しめる人ほど持ち味を出しやすい。</x:v>
      </x:c>
      <x:c r="AI73" s="12" t="str">
        <x:v>前線維持・自己遂行・盤面制御</x:v>
      </x:c>
      <x:c r="AJ73" s="12" t="n">
        <x:v>0</x:v>
      </x:c>
    </x:row>
    <x:row r="74">
      <x:c r="A74" s="12" t="str">
        <x:v>メタグロス</x:v>
      </x:c>
      <x:c r="B74" s="12" t="str">
        <x:v>バランス型</x:v>
      </x:c>
      <x:c r="C74" s="12" t="str">
        <x:v>メタグロス-1</x:v>
      </x:c>
      <x:c r="D74" s="12" t="str">
        <x:v>共通</x:v>
      </x:c>
      <x:c r="E74" s="12" t="str">
        <x:v>Diver / Juggernaut</x:v>
      </x:c>
      <x:c r="F74" s="12" t="str">
        <x:v>Diver</x:v>
      </x:c>
      <x:c r="G74" s="12" t="str">
        <x:v>Juggernaut</x:v>
      </x:c>
      <x:c r="H74" s="12" t="str">
        <x:v>技で細部は変わるが、診断上のプレイ人格は大きく変わらないため統合</x:v>
      </x:c>
      <x:c r="I74" s="12" t="str">
        <x:v>高</x:v>
      </x:c>
      <x:c r="J74" s="12" t="str">
        <x:v>2026-09-30</x:v>
      </x:c>
      <x:c r="K74" s="12" t="n">
        <x:v>70</x:v>
      </x:c>
      <x:c r="L74" s="12" t="n">
        <x:v>75</x:v>
      </x:c>
      <x:c r="M74" s="12" t="n">
        <x:v>30</x:v>
      </x:c>
      <x:c r="N74" s="12" t="n">
        <x:v>90</x:v>
      </x:c>
      <x:c r="O74" s="12" t="n">
        <x:v>10</x:v>
      </x:c>
      <x:c r="P74" s="12" t="n">
        <x:v>65</x:v>
      </x:c>
      <x:c r="Q74" s="12" t="n">
        <x:v>45</x:v>
      </x:c>
      <x:c r="R74" s="12" t="n">
        <x:v>5</x:v>
      </x:c>
      <x:c r="S74" s="12" t="n">
        <x:v>55</x:v>
      </x:c>
      <x:c r="T74" s="12" t="n">
        <x:v>70</x:v>
      </x:c>
      <x:c r="U74" s="12" t="n">
        <x:v>60</x:v>
      </x:c>
      <x:c r="V74" s="12" t="n">
        <x:v>70</x:v>
      </x:c>
      <x:c r="W74" s="12" t="n">
        <x:v>40</x:v>
      </x:c>
      <x:c r="X74" s="12" t="n">
        <x:v>50</x:v>
      </x:c>
      <x:c r="Y74" s="12" t="n">
        <x:v>60</x:v>
      </x:c>
      <x:c r="Z74" s="12" t="n">
        <x:f>ROUND(MAX(0,MIN(100,0.40*K74+0.20*L74+0.10*S74+0.15*V74+0.15*Y74)),0)</x:f>
        <x:v>68</x:v>
      </x:c>
      <x:c r="AA74" s="12" t="n">
        <x:f>ROUND(MAX(0,MIN(100,0.30*L74+0.20*K74+0.15*V74+0.15*W74+0.10*S74+0.10*(100-M74))),0)</x:f>
        <x:v>66</x:v>
      </x:c>
      <x:c r="AB74" s="12" t="n">
        <x:f>ROUND(MAX(0,MIN(100,0.30*M74+0.25*R74+0.20*Q74+0.15*K74+0.10*(100-T74))),0)</x:f>
        <x:v>33</x:v>
      </x:c>
      <x:c r="AC74" s="12" t="n">
        <x:f>ROUND(MAX(0,MIN(100,0.55*T74+0.15*S74+0.10*N74+0.10*V74+0.10*W74)),0)</x:f>
        <x:v>67</x:v>
      </x:c>
      <x:c r="AD74" s="12" t="n">
        <x:f>ROUND(MAX(0,MIN(100,0.25*O74+0.25*Q74+0.20*Y74+0.15*U74+0.15*(100-L74))),0)</x:f>
        <x:v>39</x:v>
      </x:c>
      <x:c r="AE74" s="12" t="n">
        <x:f>ROUND(MAX(0,MIN(100,0.30*Y74+0.25*S74+0.15*Q74+0.15*T74+0.15*X74)),0)</x:f>
        <x:v>57</x:v>
      </x:c>
      <x:c r="AF74" s="12" t="n">
        <x:f>ROUND(MAX(0,MIN(100,0.65*X74+0.35*Y74)),0)</x:f>
        <x:v>54</x:v>
      </x:c>
      <x:c r="AG74" s="12" t="str">
        <x:v>https://wikiwiki.jp/poke-unite/%E3%83%A1%E3%82%BF%E3%82%B0%E3%83%AD%E3%82%B9</x:v>
      </x:c>
      <x:c r="AH74" s="12" t="str">
        <x:v>自分から踏み込んで戦線を動かし、相手の中心に圧をかけるタイプ。深く踏み込んで勝負することと、前線で粘り続けることを楽しめる人ほど持ち味を出しやすい。</x:v>
      </x:c>
      <x:c r="AI74" s="12" t="str">
        <x:v>自己遂行・接近戦・前線維持</x:v>
      </x:c>
      <x:c r="AJ74" s="12" t="n">
        <x:v>0</x:v>
      </x:c>
    </x:row>
    <x:row r="75">
      <x:c r="A75" s="12" t="str">
        <x:v>リザードン</x:v>
      </x:c>
      <x:c r="B75" s="12" t="str">
        <x:v>バランス型</x:v>
      </x:c>
      <x:c r="C75" s="12" t="str">
        <x:v>リザードン-1</x:v>
      </x:c>
      <x:c r="D75" s="12" t="str">
        <x:v>だいもんじ</x:v>
      </x:c>
      <x:c r="E75" s="12" t="str">
        <x:v>BattleMage / Marksman</x:v>
      </x:c>
      <x:c r="F75" s="12" t="str">
        <x:v>BattleMage</x:v>
      </x:c>
      <x:c r="G75" s="12" t="str">
        <x:v>Marksman</x:v>
      </x:c>
      <x:c r="H75" s="12" t="str">
        <x:v>立ち位置・戦闘距離・役割が大きく変わるため別プロファイル</x:v>
      </x:c>
      <x:c r="I75" s="12" t="str">
        <x:v>高</x:v>
      </x:c>
      <x:c r="J75" s="12" t="str">
        <x:v>2026-09-30</x:v>
      </x:c>
      <x:c r="K75" s="12" t="n">
        <x:v>25</x:v>
      </x:c>
      <x:c r="L75" s="12" t="n">
        <x:v>10</x:v>
      </x:c>
      <x:c r="M75" s="12" t="n">
        <x:v>20</x:v>
      </x:c>
      <x:c r="N75" s="12" t="n">
        <x:v>20</x:v>
      </x:c>
      <x:c r="O75" s="12" t="n">
        <x:v>75</x:v>
      </x:c>
      <x:c r="P75" s="12" t="n">
        <x:v>70</x:v>
      </x:c>
      <x:c r="Q75" s="12" t="n">
        <x:v>25</x:v>
      </x:c>
      <x:c r="R75" s="12" t="n">
        <x:v>0</x:v>
      </x:c>
      <x:c r="S75" s="12" t="n">
        <x:v>50</x:v>
      </x:c>
      <x:c r="T75" s="12" t="n">
        <x:v>60</x:v>
      </x:c>
      <x:c r="U75" s="12" t="n">
        <x:v>70</x:v>
      </x:c>
      <x:c r="V75" s="12" t="n">
        <x:v>75</x:v>
      </x:c>
      <x:c r="W75" s="12" t="n">
        <x:v>45</x:v>
      </x:c>
      <x:c r="X75" s="12" t="n">
        <x:v>60</x:v>
      </x:c>
      <x:c r="Y75" s="12" t="n">
        <x:v>65</x:v>
      </x:c>
      <x:c r="Z75" s="12" t="n">
        <x:f>ROUND(MAX(0,MIN(100,0.40*K75+0.20*L75+0.10*S75+0.15*V75+0.15*Y75)),0)</x:f>
        <x:v>38</x:v>
      </x:c>
      <x:c r="AA75" s="12" t="n">
        <x:f>ROUND(MAX(0,MIN(100,0.30*L75+0.20*K75+0.15*V75+0.15*W75+0.10*S75+0.10*(100-M75))),0)</x:f>
        <x:v>39</x:v>
      </x:c>
      <x:c r="AB75" s="12" t="n">
        <x:f>ROUND(MAX(0,MIN(100,0.30*M75+0.25*R75+0.20*Q75+0.15*K75+0.10*(100-T75))),0)</x:f>
        <x:v>19</x:v>
      </x:c>
      <x:c r="AC75" s="12" t="n">
        <x:f>ROUND(MAX(0,MIN(100,0.55*T75+0.15*S75+0.10*N75+0.10*V75+0.10*W75)),0)</x:f>
        <x:v>55</x:v>
      </x:c>
      <x:c r="AD75" s="12" t="n">
        <x:f>ROUND(MAX(0,MIN(100,0.25*O75+0.25*Q75+0.20*Y75+0.15*U75+0.15*(100-L75))),0)</x:f>
        <x:v>62</x:v>
      </x:c>
      <x:c r="AE75" s="12" t="n">
        <x:f>ROUND(MAX(0,MIN(100,0.30*Y75+0.25*S75+0.15*Q75+0.15*T75+0.15*X75)),0)</x:f>
        <x:v>54</x:v>
      </x:c>
      <x:c r="AF75" s="12" t="n">
        <x:f>ROUND(MAX(0,MIN(100,0.65*X75+0.35*Y75)),0)</x:f>
        <x:v>62</x:v>
      </x:c>
      <x:c r="AG75" s="12" t="str">
        <x:v>https://wikiwiki.jp/poke-unite/%E3%83%AA%E3%82%B6%E3%83%BC%E3%83%89%E3%83%B3</x:v>
      </x:c>
      <x:c r="AH75" s="12" t="str">
        <x:v>「だいもんじ」型は、位置を変えながら中距離で戦い続け、手数で押すタイプ。長い戦いで圧を積み上げることと、決め所を自分で締めることを楽しめる人ほど持ち味を出しやすい。</x:v>
      </x:c>
      <x:c r="AI75" s="12" t="str">
        <x:v>自己遂行・安全ライン・自分の仕事</x:v>
      </x:c>
      <x:c r="AJ75" s="12" t="n">
        <x:v>0</x:v>
      </x:c>
    </x:row>
    <x:row r="76">
      <x:c r="A76" s="12" t="str">
        <x:v>リザードン</x:v>
      </x:c>
      <x:c r="B76" s="12" t="str">
        <x:v>バランス型</x:v>
      </x:c>
      <x:c r="C76" s="12" t="str">
        <x:v>リザードン-2</x:v>
      </x:c>
      <x:c r="D76" s="12" t="str">
        <x:v>フレアドライブ</x:v>
      </x:c>
      <x:c r="E76" s="12" t="str">
        <x:v>Diver / Skirmisher</x:v>
      </x:c>
      <x:c r="F76" s="12" t="str">
        <x:v>Diver</x:v>
      </x:c>
      <x:c r="G76" s="12" t="str">
        <x:v>Skirmisher</x:v>
      </x:c>
      <x:c r="H76" s="12" t="str">
        <x:v>立ち位置・戦闘距離・役割が大きく変わるため別プロファイル</x:v>
      </x:c>
      <x:c r="I76" s="12" t="str">
        <x:v>高</x:v>
      </x:c>
      <x:c r="J76" s="12" t="str">
        <x:v>2026-09-30</x:v>
      </x:c>
      <x:c r="K76" s="12" t="n">
        <x:v>80</x:v>
      </x:c>
      <x:c r="L76" s="12" t="n">
        <x:v>100</x:v>
      </x:c>
      <x:c r="M76" s="12" t="n">
        <x:v>20</x:v>
      </x:c>
      <x:c r="N76" s="12" t="n">
        <x:v>80</x:v>
      </x:c>
      <x:c r="O76" s="12" t="n">
        <x:v>0</x:v>
      </x:c>
      <x:c r="P76" s="12" t="n">
        <x:v>65</x:v>
      </x:c>
      <x:c r="Q76" s="12" t="n">
        <x:v>45</x:v>
      </x:c>
      <x:c r="R76" s="12" t="n">
        <x:v>5</x:v>
      </x:c>
      <x:c r="S76" s="12" t="n">
        <x:v>80</x:v>
      </x:c>
      <x:c r="T76" s="12" t="n">
        <x:v>70</x:v>
      </x:c>
      <x:c r="U76" s="12" t="n">
        <x:v>60</x:v>
      </x:c>
      <x:c r="V76" s="12" t="n">
        <x:v>60</x:v>
      </x:c>
      <x:c r="W76" s="12" t="n">
        <x:v>55</x:v>
      </x:c>
      <x:c r="X76" s="12" t="n">
        <x:v>65</x:v>
      </x:c>
      <x:c r="Y76" s="12" t="n">
        <x:v>70</x:v>
      </x:c>
      <x:c r="Z76" s="12" t="n">
        <x:f>ROUND(MAX(0,MIN(100,0.40*K76+0.20*L76+0.10*S76+0.15*V76+0.15*Y76)),0)</x:f>
        <x:v>80</x:v>
      </x:c>
      <x:c r="AA76" s="12" t="n">
        <x:f>ROUND(MAX(0,MIN(100,0.30*L76+0.20*K76+0.15*V76+0.15*W76+0.10*S76+0.10*(100-M76))),0)</x:f>
        <x:v>79</x:v>
      </x:c>
      <x:c r="AB76" s="12" t="n">
        <x:f>ROUND(MAX(0,MIN(100,0.30*M76+0.25*R76+0.20*Q76+0.15*K76+0.10*(100-T76))),0)</x:f>
        <x:v>31</x:v>
      </x:c>
      <x:c r="AC76" s="12" t="n">
        <x:f>ROUND(MAX(0,MIN(100,0.55*T76+0.15*S76+0.10*N76+0.10*V76+0.10*W76)),0)</x:f>
        <x:v>70</x:v>
      </x:c>
      <x:c r="AD76" s="12" t="n">
        <x:f>ROUND(MAX(0,MIN(100,0.25*O76+0.25*Q76+0.20*Y76+0.15*U76+0.15*(100-L76))),0)</x:f>
        <x:v>34</x:v>
      </x:c>
      <x:c r="AE76" s="12" t="n">
        <x:f>ROUND(MAX(0,MIN(100,0.30*Y76+0.25*S76+0.15*Q76+0.15*T76+0.15*X76)),0)</x:f>
        <x:v>68</x:v>
      </x:c>
      <x:c r="AF76" s="12" t="n">
        <x:f>ROUND(MAX(0,MIN(100,0.65*X76+0.35*Y76)),0)</x:f>
        <x:v>67</x:v>
      </x:c>
      <x:c r="AG76" s="12" t="str">
        <x:v>https://wikiwiki.jp/poke-unite/%E3%83%AA%E3%82%B6%E3%83%BC%E3%83%89%E3%83%B3</x:v>
      </x:c>
      <x:c r="AH76" s="12" t="str">
        <x:v>「フレアドライブ」型は、自分から踏み込んで戦線を動かし、相手の中心に圧をかけるタイプ。深く踏み込んで勝負することと、自分からきっかけを作ることを楽しめる人ほど持ち味を出しやすい。</x:v>
      </x:c>
      <x:c r="AI76" s="12" t="str">
        <x:v>深い踏み込み・接近戦・自己遂行</x:v>
      </x:c>
      <x:c r="AJ76" s="12" t="n">
        <x:v>0</x:v>
      </x:c>
    </x:row>
    <x:row r="77">
      <x:c r="A77" s="12" t="str">
        <x:v>メガリザードンX</x:v>
      </x:c>
      <x:c r="B77" s="12" t="str">
        <x:v>バランス型</x:v>
      </x:c>
      <x:c r="C77" s="12" t="str">
        <x:v>メガリザードンX-1</x:v>
      </x:c>
      <x:c r="D77" s="12" t="str">
        <x:v>共通</x:v>
      </x:c>
      <x:c r="E77" s="12" t="str">
        <x:v>Diver</x:v>
      </x:c>
      <x:c r="F77" s="12" t="str">
        <x:v>Diver</x:v>
      </x:c>
      <x:c r="G77" s="12"/>
      <x:c r="H77" s="12" t="str">
        <x:v>技で細部は変わるが、診断上のプレイ人格は大きく変わらないため統合</x:v>
      </x:c>
      <x:c r="I77" s="12" t="str">
        <x:v>中</x:v>
      </x:c>
      <x:c r="J77" s="12" t="str">
        <x:v>2026-09-30</x:v>
      </x:c>
      <x:c r="K77" s="12" t="n">
        <x:v>80</x:v>
      </x:c>
      <x:c r="L77" s="12" t="n">
        <x:v>100</x:v>
      </x:c>
      <x:c r="M77" s="12" t="n">
        <x:v>20</x:v>
      </x:c>
      <x:c r="N77" s="12" t="n">
        <x:v>85</x:v>
      </x:c>
      <x:c r="O77" s="12" t="n">
        <x:v>10</x:v>
      </x:c>
      <x:c r="P77" s="12" t="n">
        <x:v>45</x:v>
      </x:c>
      <x:c r="Q77" s="12" t="n">
        <x:v>45</x:v>
      </x:c>
      <x:c r="R77" s="12" t="n">
        <x:v>5</x:v>
      </x:c>
      <x:c r="S77" s="12" t="n">
        <x:v>80</x:v>
      </x:c>
      <x:c r="T77" s="12" t="n">
        <x:v>80</x:v>
      </x:c>
      <x:c r="U77" s="12" t="n">
        <x:v>60</x:v>
      </x:c>
      <x:c r="V77" s="12" t="n">
        <x:v>60</x:v>
      </x:c>
      <x:c r="W77" s="12" t="n">
        <x:v>55</x:v>
      </x:c>
      <x:c r="X77" s="12" t="n">
        <x:v>65</x:v>
      </x:c>
      <x:c r="Y77" s="12" t="n">
        <x:v>70</x:v>
      </x:c>
      <x:c r="Z77" s="12" t="n">
        <x:f>ROUND(MAX(0,MIN(100,0.40*K77+0.20*L77+0.10*S77+0.15*V77+0.15*Y77)),0)</x:f>
        <x:v>80</x:v>
      </x:c>
      <x:c r="AA77" s="12" t="n">
        <x:f>ROUND(MAX(0,MIN(100,0.30*L77+0.20*K77+0.15*V77+0.15*W77+0.10*S77+0.10*(100-M77))),0)</x:f>
        <x:v>79</x:v>
      </x:c>
      <x:c r="AB77" s="12" t="n">
        <x:f>ROUND(MAX(0,MIN(100,0.30*M77+0.25*R77+0.20*Q77+0.15*K77+0.10*(100-T77))),0)</x:f>
        <x:v>30</x:v>
      </x:c>
      <x:c r="AC77" s="12" t="n">
        <x:f>ROUND(MAX(0,MIN(100,0.55*T77+0.15*S77+0.10*N77+0.10*V77+0.10*W77)),0)</x:f>
        <x:v>76</x:v>
      </x:c>
      <x:c r="AD77" s="12" t="n">
        <x:f>ROUND(MAX(0,MIN(100,0.25*O77+0.25*Q77+0.20*Y77+0.15*U77+0.15*(100-L77))),0)</x:f>
        <x:v>37</x:v>
      </x:c>
      <x:c r="AE77" s="12" t="n">
        <x:f>ROUND(MAX(0,MIN(100,0.30*Y77+0.25*S77+0.15*Q77+0.15*T77+0.15*X77)),0)</x:f>
        <x:v>70</x:v>
      </x:c>
      <x:c r="AF77" s="12" t="n">
        <x:f>ROUND(MAX(0,MIN(100,0.65*X77+0.35*Y77)),0)</x:f>
        <x:v>67</x:v>
      </x:c>
      <x:c r="AG77" s="12" t="str">
        <x:v>https://wikiwiki.jp/poke-unite/%E3%83%A1%E3%82%AC%E3%83%AA%E3%82%B6%E3%83%BC%E3%83%89%E3%83%B3X</x:v>
      </x:c>
      <x:c r="AH77" s="12" t="str">
        <x:v>自分から踏み込んで戦線を動かし、相手の中心に圧をかけるタイプ。深く踏み込んで勝負することと、自分からきっかけを作ることを楽しめる人ほど持ち味を出しやすい。</x:v>
      </x:c>
      <x:c r="AI77" s="12" t="str">
        <x:v>深い踏み込み・自己遂行・接近戦</x:v>
      </x:c>
      <x:c r="AJ77" s="12" t="n">
        <x:v>0</x:v>
      </x:c>
    </x:row>
    <x:row r="78">
      <x:c r="A78" s="12" t="str">
        <x:v>メガリザードンY</x:v>
      </x:c>
      <x:c r="B78" s="12" t="str">
        <x:v>バランス型</x:v>
      </x:c>
      <x:c r="C78" s="12" t="str">
        <x:v>メガリザードンY-1</x:v>
      </x:c>
      <x:c r="D78" s="12" t="str">
        <x:v>共通</x:v>
      </x:c>
      <x:c r="E78" s="12" t="str">
        <x:v>Diver / BattleMage</x:v>
      </x:c>
      <x:c r="F78" s="12" t="str">
        <x:v>Diver</x:v>
      </x:c>
      <x:c r="G78" s="12" t="str">
        <x:v>BattleMage</x:v>
      </x:c>
      <x:c r="H78" s="12" t="str">
        <x:v>技で細部は変わるが、診断上のプレイ人格は大きく変わらないため統合</x:v>
      </x:c>
      <x:c r="I78" s="12" t="str">
        <x:v>中</x:v>
      </x:c>
      <x:c r="J78" s="12" t="str">
        <x:v>2026-09-30</x:v>
      </x:c>
      <x:c r="K78" s="12" t="n">
        <x:v>60</x:v>
      </x:c>
      <x:c r="L78" s="12" t="n">
        <x:v>70</x:v>
      </x:c>
      <x:c r="M78" s="12" t="n">
        <x:v>20</x:v>
      </x:c>
      <x:c r="N78" s="12" t="n">
        <x:v>45</x:v>
      </x:c>
      <x:c r="O78" s="12" t="n">
        <x:v>35</x:v>
      </x:c>
      <x:c r="P78" s="12" t="n">
        <x:v>65</x:v>
      </x:c>
      <x:c r="Q78" s="12" t="n">
        <x:v>45</x:v>
      </x:c>
      <x:c r="R78" s="12" t="n">
        <x:v>5</x:v>
      </x:c>
      <x:c r="S78" s="12" t="n">
        <x:v>80</x:v>
      </x:c>
      <x:c r="T78" s="12" t="n">
        <x:v>70</x:v>
      </x:c>
      <x:c r="U78" s="12" t="n">
        <x:v>60</x:v>
      </x:c>
      <x:c r="V78" s="12" t="n">
        <x:v>60</x:v>
      </x:c>
      <x:c r="W78" s="12" t="n">
        <x:v>40</x:v>
      </x:c>
      <x:c r="X78" s="12" t="n">
        <x:v>65</x:v>
      </x:c>
      <x:c r="Y78" s="12" t="n">
        <x:v>70</x:v>
      </x:c>
      <x:c r="Z78" s="12" t="n">
        <x:f>ROUND(MAX(0,MIN(100,0.40*K78+0.20*L78+0.10*S78+0.15*V78+0.15*Y78)),0)</x:f>
        <x:v>66</x:v>
      </x:c>
      <x:c r="AA78" s="12" t="n">
        <x:f>ROUND(MAX(0,MIN(100,0.30*L78+0.20*K78+0.15*V78+0.15*W78+0.10*S78+0.10*(100-M78))),0)</x:f>
        <x:v>64</x:v>
      </x:c>
      <x:c r="AB78" s="12" t="n">
        <x:f>ROUND(MAX(0,MIN(100,0.30*M78+0.25*R78+0.20*Q78+0.15*K78+0.10*(100-T78))),0)</x:f>
        <x:v>28</x:v>
      </x:c>
      <x:c r="AC78" s="12" t="n">
        <x:f>ROUND(MAX(0,MIN(100,0.55*T78+0.15*S78+0.10*N78+0.10*V78+0.10*W78)),0)</x:f>
        <x:v>65</x:v>
      </x:c>
      <x:c r="AD78" s="12" t="n">
        <x:f>ROUND(MAX(0,MIN(100,0.25*O78+0.25*Q78+0.20*Y78+0.15*U78+0.15*(100-L78))),0)</x:f>
        <x:v>48</x:v>
      </x:c>
      <x:c r="AE78" s="12" t="n">
        <x:f>ROUND(MAX(0,MIN(100,0.30*Y78+0.25*S78+0.15*Q78+0.15*T78+0.15*X78)),0)</x:f>
        <x:v>68</x:v>
      </x:c>
      <x:c r="AF78" s="12" t="n">
        <x:f>ROUND(MAX(0,MIN(100,0.65*X78+0.35*Y78)),0)</x:f>
        <x:v>67</x:v>
      </x:c>
      <x:c r="AG78" s="12" t="str">
        <x:v>https://wikiwiki.jp/poke-unite/%E3%83%A1%E3%82%AC%E3%83%AA%E3%82%B6%E3%83%BC%E3%83%89%E3%83%B3Y</x:v>
      </x:c>
      <x:c r="AH78" s="12" t="str">
        <x:v>自分から踏み込んで戦線を動かし、相手の中心に圧をかけるタイプ。深く踏み込んで勝負することと、場所を変えながら揺さぶることを楽しめる人ほど持ち味を出しやすい。</x:v>
      </x:c>
      <x:c r="AI78" s="12" t="str">
        <x:v>自己遂行・自分の仕事・機動力</x:v>
      </x:c>
      <x:c r="AJ78" s="12" t="n">
        <x:v>0</x:v>
      </x:c>
    </x:row>
    <x:row r="79">
      <x:c r="A79" s="12" t="str">
        <x:v>ルカリオ</x:v>
      </x:c>
      <x:c r="B79" s="12" t="str">
        <x:v>バランス型</x:v>
      </x:c>
      <x:c r="C79" s="12" t="str">
        <x:v>ルカリオ-1</x:v>
      </x:c>
      <x:c r="D79" s="12" t="str">
        <x:v>しんそく</x:v>
      </x:c>
      <x:c r="E79" s="12" t="str">
        <x:v>Assassin / Skirmisher</x:v>
      </x:c>
      <x:c r="F79" s="12" t="str">
        <x:v>Assassin</x:v>
      </x:c>
      <x:c r="G79" s="12" t="str">
        <x:v>Skirmisher</x:v>
      </x:c>
      <x:c r="H79" s="12" t="str">
        <x:v>立ち位置・戦闘距離・役割が大きく変わるため別プロファイル</x:v>
      </x:c>
      <x:c r="I79" s="12" t="str">
        <x:v>高</x:v>
      </x:c>
      <x:c r="J79" s="12" t="str">
        <x:v>2026-09-30</x:v>
      </x:c>
      <x:c r="K79" s="12" t="n">
        <x:v>55</x:v>
      </x:c>
      <x:c r="L79" s="12" t="n">
        <x:v>100</x:v>
      </x:c>
      <x:c r="M79" s="12" t="n">
        <x:v>15</x:v>
      </x:c>
      <x:c r="N79" s="12" t="n">
        <x:v>40</x:v>
      </x:c>
      <x:c r="O79" s="12" t="n">
        <x:v>15</x:v>
      </x:c>
      <x:c r="P79" s="12" t="n">
        <x:v>40</x:v>
      </x:c>
      <x:c r="Q79" s="12" t="n">
        <x:v>25</x:v>
      </x:c>
      <x:c r="R79" s="12" t="n">
        <x:v>5</x:v>
      </x:c>
      <x:c r="S79" s="12" t="n">
        <x:v>100</x:v>
      </x:c>
      <x:c r="T79" s="12" t="n">
        <x:v>70</x:v>
      </x:c>
      <x:c r="U79" s="12" t="n">
        <x:v>65</x:v>
      </x:c>
      <x:c r="V79" s="12" t="n">
        <x:v>70</x:v>
      </x:c>
      <x:c r="W79" s="12" t="n">
        <x:v>75</x:v>
      </x:c>
      <x:c r="X79" s="12" t="n">
        <x:v>100</x:v>
      </x:c>
      <x:c r="Y79" s="12" t="n">
        <x:v>60</x:v>
      </x:c>
      <x:c r="Z79" s="12" t="n">
        <x:f>ROUND(MAX(0,MIN(100,0.40*K79+0.20*L79+0.10*S79+0.15*V79+0.15*Y79)),0)</x:f>
        <x:v>72</x:v>
      </x:c>
      <x:c r="AA79" s="12" t="n">
        <x:f>ROUND(MAX(0,MIN(100,0.30*L79+0.20*K79+0.15*V79+0.15*W79+0.10*S79+0.10*(100-M79))),0)</x:f>
        <x:v>81</x:v>
      </x:c>
      <x:c r="AB79" s="12" t="n">
        <x:f>ROUND(MAX(0,MIN(100,0.30*M79+0.25*R79+0.20*Q79+0.15*K79+0.10*(100-T79))),0)</x:f>
        <x:v>22</x:v>
      </x:c>
      <x:c r="AC79" s="12" t="n">
        <x:f>ROUND(MAX(0,MIN(100,0.55*T79+0.15*S79+0.10*N79+0.10*V79+0.10*W79)),0)</x:f>
        <x:v>72</x:v>
      </x:c>
      <x:c r="AD79" s="12" t="n">
        <x:f>ROUND(MAX(0,MIN(100,0.25*O79+0.25*Q79+0.20*Y79+0.15*U79+0.15*(100-L79))),0)</x:f>
        <x:v>32</x:v>
      </x:c>
      <x:c r="AE79" s="12" t="n">
        <x:f>ROUND(MAX(0,MIN(100,0.30*Y79+0.25*S79+0.15*Q79+0.15*T79+0.15*X79)),0)</x:f>
        <x:v>72</x:v>
      </x:c>
      <x:c r="AF79" s="12" t="n">
        <x:f>ROUND(MAX(0,MIN(100,0.65*X79+0.35*Y79)),0)</x:f>
        <x:v>86</x:v>
      </x:c>
      <x:c r="AG79" s="12" t="str">
        <x:v>https://wikiwiki.jp/poke-unite/%E3%83%AB%E3%82%AB%E3%83%AA%E3%82%AA</x:v>
      </x:c>
      <x:c r="AH79" s="12" t="str">
        <x:v>「しんそく」型は、短い好機を見逃さず、相手の隙に一気に入り込むタイプ。深く踏み込んで勝負することと、場所を変えながら揺さぶることを楽しめる人ほど持ち味を出しやすい。</x:v>
      </x:c>
      <x:c r="AI79" s="12" t="str">
        <x:v>深い踏み込み・機動力・操作精度</x:v>
      </x:c>
      <x:c r="AJ79" s="12" t="n">
        <x:v>0</x:v>
      </x:c>
    </x:row>
    <x:row r="80">
      <x:c r="A80" s="12" t="str">
        <x:v>ルカリオ</x:v>
      </x:c>
      <x:c r="B80" s="12" t="str">
        <x:v>バランス型</x:v>
      </x:c>
      <x:c r="C80" s="12" t="str">
        <x:v>ルカリオ-2</x:v>
      </x:c>
      <x:c r="D80" s="12" t="str">
        <x:v>グロウパンチ</x:v>
      </x:c>
      <x:c r="E80" s="12" t="str">
        <x:v>Diver / Skirmisher</x:v>
      </x:c>
      <x:c r="F80" s="12" t="str">
        <x:v>Diver</x:v>
      </x:c>
      <x:c r="G80" s="12" t="str">
        <x:v>Skirmisher</x:v>
      </x:c>
      <x:c r="H80" s="12" t="str">
        <x:v>立ち位置・戦闘距離・役割が大きく変わるため別プロファイル</x:v>
      </x:c>
      <x:c r="I80" s="12" t="str">
        <x:v>高</x:v>
      </x:c>
      <x:c r="J80" s="12" t="str">
        <x:v>2026-09-30</x:v>
      </x:c>
      <x:c r="K80" s="12" t="n">
        <x:v>70</x:v>
      </x:c>
      <x:c r="L80" s="12" t="n">
        <x:v>90</x:v>
      </x:c>
      <x:c r="M80" s="12" t="n">
        <x:v>20</x:v>
      </x:c>
      <x:c r="N80" s="12" t="n">
        <x:v>65</x:v>
      </x:c>
      <x:c r="O80" s="12" t="n">
        <x:v>10</x:v>
      </x:c>
      <x:c r="P80" s="12" t="n">
        <x:v>55</x:v>
      </x:c>
      <x:c r="Q80" s="12" t="n">
        <x:v>35</x:v>
      </x:c>
      <x:c r="R80" s="12" t="n">
        <x:v>5</x:v>
      </x:c>
      <x:c r="S80" s="12" t="n">
        <x:v>80</x:v>
      </x:c>
      <x:c r="T80" s="12" t="n">
        <x:v>80</x:v>
      </x:c>
      <x:c r="U80" s="12" t="n">
        <x:v>60</x:v>
      </x:c>
      <x:c r="V80" s="12" t="n">
        <x:v>80</x:v>
      </x:c>
      <x:c r="W80" s="12" t="n">
        <x:v>55</x:v>
      </x:c>
      <x:c r="X80" s="12" t="n">
        <x:v>65</x:v>
      </x:c>
      <x:c r="Y80" s="12" t="n">
        <x:v>70</x:v>
      </x:c>
      <x:c r="Z80" s="12" t="n">
        <x:f>ROUND(MAX(0,MIN(100,0.40*K80+0.20*L80+0.10*S80+0.15*V80+0.15*Y80)),0)</x:f>
        <x:v>77</x:v>
      </x:c>
      <x:c r="AA80" s="12" t="n">
        <x:f>ROUND(MAX(0,MIN(100,0.30*L80+0.20*K80+0.15*V80+0.15*W80+0.10*S80+0.10*(100-M80))),0)</x:f>
        <x:v>77</x:v>
      </x:c>
      <x:c r="AB80" s="12" t="n">
        <x:f>ROUND(MAX(0,MIN(100,0.30*M80+0.25*R80+0.20*Q80+0.15*K80+0.10*(100-T80))),0)</x:f>
        <x:v>27</x:v>
      </x:c>
      <x:c r="AC80" s="12" t="n">
        <x:f>ROUND(MAX(0,MIN(100,0.55*T80+0.15*S80+0.10*N80+0.10*V80+0.10*W80)),0)</x:f>
        <x:v>76</x:v>
      </x:c>
      <x:c r="AD80" s="12" t="n">
        <x:f>ROUND(MAX(0,MIN(100,0.25*O80+0.25*Q80+0.20*Y80+0.15*U80+0.15*(100-L80))),0)</x:f>
        <x:v>36</x:v>
      </x:c>
      <x:c r="AE80" s="12" t="n">
        <x:f>ROUND(MAX(0,MIN(100,0.30*Y80+0.25*S80+0.15*Q80+0.15*T80+0.15*X80)),0)</x:f>
        <x:v>68</x:v>
      </x:c>
      <x:c r="AF80" s="12" t="n">
        <x:f>ROUND(MAX(0,MIN(100,0.65*X80+0.35*Y80)),0)</x:f>
        <x:v>67</x:v>
      </x:c>
      <x:c r="AG80" s="12" t="str">
        <x:v>https://wikiwiki.jp/poke-unite/%E3%83%AB%E3%82%AB%E3%83%AA%E3%82%AA</x:v>
      </x:c>
      <x:c r="AH80" s="12" t="str">
        <x:v>「グロウパンチ」型は、自分から踏み込んで戦線を動かし、相手の中心に圧をかけるタイプ。深く踏み込んで勝負することと、短い好機を一気に取り切ることを楽しめる人ほど持ち味を出しやすい。</x:v>
      </x:c>
      <x:c r="AI80" s="12" t="str">
        <x:v>自己遂行・深い踏み込み・接近戦</x:v>
      </x:c>
      <x:c r="AJ80" s="12" t="n">
        <x:v>0</x:v>
      </x:c>
    </x:row>
    <x:row r="81">
      <x:c r="A81" s="12" t="str">
        <x:v>メガルカリオ</x:v>
      </x:c>
      <x:c r="B81" s="12" t="str">
        <x:v>バランス型</x:v>
      </x:c>
      <x:c r="C81" s="12" t="str">
        <x:v>メガルカリオ-1</x:v>
      </x:c>
      <x:c r="D81" s="12" t="str">
        <x:v>共通</x:v>
      </x:c>
      <x:c r="E81" s="12" t="str">
        <x:v>Diver</x:v>
      </x:c>
      <x:c r="F81" s="12" t="str">
        <x:v>Diver</x:v>
      </x:c>
      <x:c r="G81" s="12"/>
      <x:c r="H81" s="12" t="str">
        <x:v>技で細部は変わるが、診断上のプレイ人格は大きく変わらないため統合</x:v>
      </x:c>
      <x:c r="I81" s="12" t="str">
        <x:v>中</x:v>
      </x:c>
      <x:c r="J81" s="12" t="str">
        <x:v>2026-09-30</x:v>
      </x:c>
      <x:c r="K81" s="12" t="n">
        <x:v>80</x:v>
      </x:c>
      <x:c r="L81" s="12" t="n">
        <x:v>100</x:v>
      </x:c>
      <x:c r="M81" s="12" t="n">
        <x:v>20</x:v>
      </x:c>
      <x:c r="N81" s="12" t="n">
        <x:v>80</x:v>
      </x:c>
      <x:c r="O81" s="12" t="n">
        <x:v>10</x:v>
      </x:c>
      <x:c r="P81" s="12" t="n">
        <x:v>35</x:v>
      </x:c>
      <x:c r="Q81" s="12" t="n">
        <x:v>45</x:v>
      </x:c>
      <x:c r="R81" s="12" t="n">
        <x:v>5</x:v>
      </x:c>
      <x:c r="S81" s="12" t="n">
        <x:v>90</x:v>
      </x:c>
      <x:c r="T81" s="12" t="n">
        <x:v>70</x:v>
      </x:c>
      <x:c r="U81" s="12" t="n">
        <x:v>60</x:v>
      </x:c>
      <x:c r="V81" s="12" t="n">
        <x:v>60</x:v>
      </x:c>
      <x:c r="W81" s="12" t="n">
        <x:v>55</x:v>
      </x:c>
      <x:c r="X81" s="12" t="n">
        <x:v>85</x:v>
      </x:c>
      <x:c r="Y81" s="12" t="n">
        <x:v>75</x:v>
      </x:c>
      <x:c r="Z81" s="12" t="n">
        <x:f>ROUND(MAX(0,MIN(100,0.40*K81+0.20*L81+0.10*S81+0.15*V81+0.15*Y81)),0)</x:f>
        <x:v>81</x:v>
      </x:c>
      <x:c r="AA81" s="12" t="n">
        <x:f>ROUND(MAX(0,MIN(100,0.30*L81+0.20*K81+0.15*V81+0.15*W81+0.10*S81+0.10*(100-M81))),0)</x:f>
        <x:v>80</x:v>
      </x:c>
      <x:c r="AB81" s="12" t="n">
        <x:f>ROUND(MAX(0,MIN(100,0.30*M81+0.25*R81+0.20*Q81+0.15*K81+0.10*(100-T81))),0)</x:f>
        <x:v>31</x:v>
      </x:c>
      <x:c r="AC81" s="12" t="n">
        <x:f>ROUND(MAX(0,MIN(100,0.55*T81+0.15*S81+0.10*N81+0.10*V81+0.10*W81)),0)</x:f>
        <x:v>72</x:v>
      </x:c>
      <x:c r="AD81" s="12" t="n">
        <x:f>ROUND(MAX(0,MIN(100,0.25*O81+0.25*Q81+0.20*Y81+0.15*U81+0.15*(100-L81))),0)</x:f>
        <x:v>38</x:v>
      </x:c>
      <x:c r="AE81" s="12" t="n">
        <x:f>ROUND(MAX(0,MIN(100,0.30*Y81+0.25*S81+0.15*Q81+0.15*T81+0.15*X81)),0)</x:f>
        <x:v>75</x:v>
      </x:c>
      <x:c r="AF81" s="12" t="n">
        <x:f>ROUND(MAX(0,MIN(100,0.65*X81+0.35*Y81)),0)</x:f>
        <x:v>82</x:v>
      </x:c>
      <x:c r="AG81" s="12" t="str">
        <x:v>https://wikiwiki.jp/poke-unite/%E3%83%A1%E3%82%AC%E3%83%AB%E3%82%AB%E3%83%AA%E3%82%AA</x:v>
      </x:c>
      <x:c r="AH81" s="12" t="str">
        <x:v>自分から踏み込んで戦線を動かし、相手の中心に圧をかけるタイプ。深く踏み込んで勝負することと、自分からきっかけを作ることを楽しめる人ほど持ち味を出しやすい。</x:v>
      </x:c>
      <x:c r="AI81" s="12" t="str">
        <x:v>深い踏み込み・自己遂行・機動力</x:v>
      </x:c>
      <x:c r="AJ81" s="12" t="n">
        <x:v>0</x:v>
      </x:c>
    </x:row>
    <x:row r="82">
      <x:c r="A82" s="12" t="str">
        <x:v>アブソル</x:v>
      </x:c>
      <x:c r="B82" s="12" t="str">
        <x:v>スピード型</x:v>
      </x:c>
      <x:c r="C82" s="12" t="str">
        <x:v>アブソル-1</x:v>
      </x:c>
      <x:c r="D82" s="12" t="str">
        <x:v>共通</x:v>
      </x:c>
      <x:c r="E82" s="12" t="str">
        <x:v>Assassin</x:v>
      </x:c>
      <x:c r="F82" s="12" t="str">
        <x:v>Assassin</x:v>
      </x:c>
      <x:c r="G82" s="12"/>
      <x:c r="H82" s="12" t="str">
        <x:v>技で細部は変わるが、診断上のプレイ人格は大きく変わらないため統合</x:v>
      </x:c>
      <x:c r="I82" s="12" t="str">
        <x:v>高</x:v>
      </x:c>
      <x:c r="J82" s="12" t="str">
        <x:v>2026-09-30</x:v>
      </x:c>
      <x:c r="K82" s="12" t="n">
        <x:v>55</x:v>
      </x:c>
      <x:c r="L82" s="12" t="n">
        <x:v>100</x:v>
      </x:c>
      <x:c r="M82" s="12" t="n">
        <x:v>0</x:v>
      </x:c>
      <x:c r="N82" s="12" t="n">
        <x:v>0</x:v>
      </x:c>
      <x:c r="O82" s="12" t="n">
        <x:v>15</x:v>
      </x:c>
      <x:c r="P82" s="12" t="n">
        <x:v>0</x:v>
      </x:c>
      <x:c r="Q82" s="12" t="n">
        <x:v>25</x:v>
      </x:c>
      <x:c r="R82" s="12" t="n">
        <x:v>5</x:v>
      </x:c>
      <x:c r="S82" s="12" t="n">
        <x:v>100</x:v>
      </x:c>
      <x:c r="T82" s="12" t="n">
        <x:v>60</x:v>
      </x:c>
      <x:c r="U82" s="12" t="n">
        <x:v>40</x:v>
      </x:c>
      <x:c r="V82" s="12" t="n">
        <x:v>80</x:v>
      </x:c>
      <x:c r="W82" s="12" t="n">
        <x:v>85</x:v>
      </x:c>
      <x:c r="X82" s="12" t="n">
        <x:v>90</x:v>
      </x:c>
      <x:c r="Y82" s="12" t="n">
        <x:v>85</x:v>
      </x:c>
      <x:c r="Z82" s="12" t="n">
        <x:f>ROUND(MAX(0,MIN(100,0.40*K82+0.20*L82+0.10*S82+0.15*V82+0.15*Y82)),0)</x:f>
        <x:v>77</x:v>
      </x:c>
      <x:c r="AA82" s="12" t="n">
        <x:f>ROUND(MAX(0,MIN(100,0.30*L82+0.20*K82+0.15*V82+0.15*W82+0.10*S82+0.10*(100-M82))),0)</x:f>
        <x:v>86</x:v>
      </x:c>
      <x:c r="AB82" s="12" t="n">
        <x:f>ROUND(MAX(0,MIN(100,0.30*M82+0.25*R82+0.20*Q82+0.15*K82+0.10*(100-T82))),0)</x:f>
        <x:v>19</x:v>
      </x:c>
      <x:c r="AC82" s="12" t="n">
        <x:f>ROUND(MAX(0,MIN(100,0.55*T82+0.15*S82+0.10*N82+0.10*V82+0.10*W82)),0)</x:f>
        <x:v>65</x:v>
      </x:c>
      <x:c r="AD82" s="12" t="n">
        <x:f>ROUND(MAX(0,MIN(100,0.25*O82+0.25*Q82+0.20*Y82+0.15*U82+0.15*(100-L82))),0)</x:f>
        <x:v>33</x:v>
      </x:c>
      <x:c r="AE82" s="12" t="n">
        <x:f>ROUND(MAX(0,MIN(100,0.30*Y82+0.25*S82+0.15*Q82+0.15*T82+0.15*X82)),0)</x:f>
        <x:v>77</x:v>
      </x:c>
      <x:c r="AF82" s="12" t="n">
        <x:f>ROUND(MAX(0,MIN(100,0.65*X82+0.35*Y82)),0)</x:f>
        <x:v>88</x:v>
      </x:c>
      <x:c r="AG82" s="12" t="str">
        <x:v>https://wikiwiki.jp/poke-unite/%E3%82%A2%E3%83%96%E3%82%BD%E3%83%AB</x:v>
      </x:c>
      <x:c r="AH82" s="12" t="str">
        <x:v>短い好機を見逃さず、相手の隙に一気に入り込むタイプ。深く踏み込んで勝負することと、短い好機を一気に取り切ることを楽しめる人ほど持ち味を出しやすい。</x:v>
      </x:c>
      <x:c r="AI82" s="12" t="str">
        <x:v>自分の仕事・瞬間決着・深い踏み込み</x:v>
      </x:c>
      <x:c r="AJ82" s="12" t="n">
        <x:v>0.3</x:v>
      </x:c>
    </x:row>
    <x:row r="83">
      <x:c r="A83" s="12" t="str">
        <x:v>ガラルギャロップ</x:v>
      </x:c>
      <x:c r="B83" s="12" t="str">
        <x:v>スピード型</x:v>
      </x:c>
      <x:c r="C83" s="12" t="str">
        <x:v>ガラルギャロップ-1</x:v>
      </x:c>
      <x:c r="D83" s="12" t="str">
        <x:v>共通</x:v>
      </x:c>
      <x:c r="E83" s="12" t="str">
        <x:v>Diver</x:v>
      </x:c>
      <x:c r="F83" s="12" t="str">
        <x:v>Diver</x:v>
      </x:c>
      <x:c r="G83" s="12"/>
      <x:c r="H83" s="12" t="str">
        <x:v>技で細部は変わるが、診断上のプレイ人格は大きく変わらないため統合</x:v>
      </x:c>
      <x:c r="I83" s="12" t="str">
        <x:v>高</x:v>
      </x:c>
      <x:c r="J83" s="12" t="str">
        <x:v>2026-09-30</x:v>
      </x:c>
      <x:c r="K83" s="12" t="n">
        <x:v>80</x:v>
      </x:c>
      <x:c r="L83" s="12" t="n">
        <x:v>100</x:v>
      </x:c>
      <x:c r="M83" s="12" t="n">
        <x:v>20</x:v>
      </x:c>
      <x:c r="N83" s="12" t="n">
        <x:v>45</x:v>
      </x:c>
      <x:c r="O83" s="12" t="n">
        <x:v>10</x:v>
      </x:c>
      <x:c r="P83" s="12" t="n">
        <x:v>45</x:v>
      </x:c>
      <x:c r="Q83" s="12" t="n">
        <x:v>55</x:v>
      </x:c>
      <x:c r="R83" s="12" t="n">
        <x:v>5</x:v>
      </x:c>
      <x:c r="S83" s="12" t="n">
        <x:v>100</x:v>
      </x:c>
      <x:c r="T83" s="12" t="n">
        <x:v>70</x:v>
      </x:c>
      <x:c r="U83" s="12" t="n">
        <x:v>50</x:v>
      </x:c>
      <x:c r="V83" s="12" t="n">
        <x:v>60</x:v>
      </x:c>
      <x:c r="W83" s="12" t="n">
        <x:v>65</x:v>
      </x:c>
      <x:c r="X83" s="12" t="n">
        <x:v>65</x:v>
      </x:c>
      <x:c r="Y83" s="12" t="n">
        <x:v>70</x:v>
      </x:c>
      <x:c r="Z83" s="12" t="n">
        <x:f>ROUND(MAX(0,MIN(100,0.40*K83+0.20*L83+0.10*S83+0.15*V83+0.15*Y83)),0)</x:f>
        <x:v>82</x:v>
      </x:c>
      <x:c r="AA83" s="12" t="n">
        <x:f>ROUND(MAX(0,MIN(100,0.30*L83+0.20*K83+0.15*V83+0.15*W83+0.10*S83+0.10*(100-M83))),0)</x:f>
        <x:v>83</x:v>
      </x:c>
      <x:c r="AB83" s="12" t="n">
        <x:f>ROUND(MAX(0,MIN(100,0.30*M83+0.25*R83+0.20*Q83+0.15*K83+0.10*(100-T83))),0)</x:f>
        <x:v>33</x:v>
      </x:c>
      <x:c r="AC83" s="12" t="n">
        <x:f>ROUND(MAX(0,MIN(100,0.55*T83+0.15*S83+0.10*N83+0.10*V83+0.10*W83)),0)</x:f>
        <x:v>71</x:v>
      </x:c>
      <x:c r="AD83" s="12" t="n">
        <x:f>ROUND(MAX(0,MIN(100,0.25*O83+0.25*Q83+0.20*Y83+0.15*U83+0.15*(100-L83))),0)</x:f>
        <x:v>38</x:v>
      </x:c>
      <x:c r="AE83" s="12" t="n">
        <x:f>ROUND(MAX(0,MIN(100,0.30*Y83+0.25*S83+0.15*Q83+0.15*T83+0.15*X83)),0)</x:f>
        <x:v>75</x:v>
      </x:c>
      <x:c r="AF83" s="12" t="n">
        <x:f>ROUND(MAX(0,MIN(100,0.65*X83+0.35*Y83)),0)</x:f>
        <x:v>67</x:v>
      </x:c>
      <x:c r="AG83" s="12" t="str">
        <x:v>https://wikiwiki.jp/poke-unite/%E3%82%AC%E3%83%A9%E3%83%AB%E3%82%AE%E3%83%A3%E3%83%AD%E3%83%83%E3%83%97</x:v>
      </x:c>
      <x:c r="AH83" s="12" t="str">
        <x:v>自分から踏み込んで戦線を動かし、相手の中心に圧をかけるタイプ。深く踏み込んで勝負することと、場所を変えながら揺さぶることを楽しめる人ほど持ち味を出しやすい。</x:v>
      </x:c>
      <x:c r="AI83" s="12" t="str">
        <x:v>深い踏み込み・機動力・自己遂行</x:v>
      </x:c>
      <x:c r="AJ83" s="12" t="n">
        <x:v>0</x:v>
      </x:c>
    </x:row>
    <x:row r="84">
      <x:c r="A84" s="12" t="str">
        <x:v>ゲンガー</x:v>
      </x:c>
      <x:c r="B84" s="12" t="str">
        <x:v>スピード型</x:v>
      </x:c>
      <x:c r="C84" s="12" t="str">
        <x:v>ゲンガー-1</x:v>
      </x:c>
      <x:c r="D84" s="12" t="str">
        <x:v>共通</x:v>
      </x:c>
      <x:c r="E84" s="12" t="str">
        <x:v>Assassin / Skirmisher</x:v>
      </x:c>
      <x:c r="F84" s="12" t="str">
        <x:v>Assassin</x:v>
      </x:c>
      <x:c r="G84" s="12" t="str">
        <x:v>Skirmisher</x:v>
      </x:c>
      <x:c r="H84" s="12" t="str">
        <x:v>技で細部は変わるが、診断上のプレイ人格は大きく変わらないため統合</x:v>
      </x:c>
      <x:c r="I84" s="12" t="str">
        <x:v>高</x:v>
      </x:c>
      <x:c r="J84" s="12" t="str">
        <x:v>2026-09-30</x:v>
      </x:c>
      <x:c r="K84" s="12" t="n">
        <x:v>55</x:v>
      </x:c>
      <x:c r="L84" s="12" t="n">
        <x:v>100</x:v>
      </x:c>
      <x:c r="M84" s="12" t="n">
        <x:v>15</x:v>
      </x:c>
      <x:c r="N84" s="12" t="n">
        <x:v>30</x:v>
      </x:c>
      <x:c r="O84" s="12" t="n">
        <x:v>15</x:v>
      </x:c>
      <x:c r="P84" s="12" t="n">
        <x:v>35</x:v>
      </x:c>
      <x:c r="Q84" s="12" t="n">
        <x:v>25</x:v>
      </x:c>
      <x:c r="R84" s="12" t="n">
        <x:v>5</x:v>
      </x:c>
      <x:c r="S84" s="12" t="n">
        <x:v>100</x:v>
      </x:c>
      <x:c r="T84" s="12" t="n">
        <x:v>70</x:v>
      </x:c>
      <x:c r="U84" s="12" t="n">
        <x:v>55</x:v>
      </x:c>
      <x:c r="V84" s="12" t="n">
        <x:v>70</x:v>
      </x:c>
      <x:c r="W84" s="12" t="n">
        <x:v>75</x:v>
      </x:c>
      <x:c r="X84" s="12" t="n">
        <x:v>90</x:v>
      </x:c>
      <x:c r="Y84" s="12" t="n">
        <x:v>75</x:v>
      </x:c>
      <x:c r="Z84" s="12" t="n">
        <x:f>ROUND(MAX(0,MIN(100,0.40*K84+0.20*L84+0.10*S84+0.15*V84+0.15*Y84)),0)</x:f>
        <x:v>74</x:v>
      </x:c>
      <x:c r="AA84" s="12" t="n">
        <x:f>ROUND(MAX(0,MIN(100,0.30*L84+0.20*K84+0.15*V84+0.15*W84+0.10*S84+0.10*(100-M84))),0)</x:f>
        <x:v>81</x:v>
      </x:c>
      <x:c r="AB84" s="12" t="n">
        <x:f>ROUND(MAX(0,MIN(100,0.30*M84+0.25*R84+0.20*Q84+0.15*K84+0.10*(100-T84))),0)</x:f>
        <x:v>22</x:v>
      </x:c>
      <x:c r="AC84" s="12" t="n">
        <x:f>ROUND(MAX(0,MIN(100,0.55*T84+0.15*S84+0.10*N84+0.10*V84+0.10*W84)),0)</x:f>
        <x:v>71</x:v>
      </x:c>
      <x:c r="AD84" s="12" t="n">
        <x:f>ROUND(MAX(0,MIN(100,0.25*O84+0.25*Q84+0.20*Y84+0.15*U84+0.15*(100-L84))),0)</x:f>
        <x:v>33</x:v>
      </x:c>
      <x:c r="AE84" s="12" t="n">
        <x:f>ROUND(MAX(0,MIN(100,0.30*Y84+0.25*S84+0.15*Q84+0.15*T84+0.15*X84)),0)</x:f>
        <x:v>75</x:v>
      </x:c>
      <x:c r="AF84" s="12" t="n">
        <x:f>ROUND(MAX(0,MIN(100,0.65*X84+0.35*Y84)),0)</x:f>
        <x:v>85</x:v>
      </x:c>
      <x:c r="AG84" s="12" t="str">
        <x:v>https://wikiwiki.jp/poke-unite/%E3%82%B2%E3%83%B3%E3%82%AC%E3%83%BC</x:v>
      </x:c>
      <x:c r="AH84" s="12" t="str">
        <x:v>短い好機を見逃さず、相手の隙に一気に入り込むタイプ。深く踏み込んで勝負することと、場所を変えながら揺さぶることを楽しめる人ほど持ち味を出しやすい。</x:v>
      </x:c>
      <x:c r="AI84" s="12" t="str">
        <x:v>深い踏み込み・機動力・自己遂行</x:v>
      </x:c>
      <x:c r="AJ84" s="12" t="n">
        <x:v>0.15</x:v>
      </x:c>
    </x:row>
    <x:row r="85">
      <x:c r="A85" s="12" t="str">
        <x:v>ゼラオラ</x:v>
      </x:c>
      <x:c r="B85" s="12" t="str">
        <x:v>スピード型</x:v>
      </x:c>
      <x:c r="C85" s="12" t="str">
        <x:v>ゼラオラ-1</x:v>
      </x:c>
      <x:c r="D85" s="12" t="str">
        <x:v>ほうでん</x:v>
      </x:c>
      <x:c r="E85" s="12" t="str">
        <x:v>Skirmisher</x:v>
      </x:c>
      <x:c r="F85" s="12" t="str">
        <x:v>Skirmisher</x:v>
      </x:c>
      <x:c r="G85" s="12"/>
      <x:c r="H85" s="12" t="str">
        <x:v>立ち位置・戦闘距離・役割が大きく変わるため別プロファイル</x:v>
      </x:c>
      <x:c r="I85" s="12" t="str">
        <x:v>高</x:v>
      </x:c>
      <x:c r="J85" s="12" t="str">
        <x:v>2026-09-30</x:v>
      </x:c>
      <x:c r="K85" s="12" t="n">
        <x:v>60</x:v>
      </x:c>
      <x:c r="L85" s="12" t="n">
        <x:v>80</x:v>
      </x:c>
      <x:c r="M85" s="12" t="n">
        <x:v>25</x:v>
      </x:c>
      <x:c r="N85" s="12" t="n">
        <x:v>60</x:v>
      </x:c>
      <x:c r="O85" s="12" t="n">
        <x:v>20</x:v>
      </x:c>
      <x:c r="P85" s="12" t="n">
        <x:v>70</x:v>
      </x:c>
      <x:c r="Q85" s="12" t="n">
        <x:v>45</x:v>
      </x:c>
      <x:c r="R85" s="12" t="n">
        <x:v>5</x:v>
      </x:c>
      <x:c r="S85" s="12" t="n">
        <x:v>80</x:v>
      </x:c>
      <x:c r="T85" s="12" t="n">
        <x:v>75</x:v>
      </x:c>
      <x:c r="U85" s="12" t="n">
        <x:v>55</x:v>
      </x:c>
      <x:c r="V85" s="12" t="n">
        <x:v>65</x:v>
      </x:c>
      <x:c r="W85" s="12" t="n">
        <x:v>75</x:v>
      </x:c>
      <x:c r="X85" s="12" t="n">
        <x:v>70</x:v>
      </x:c>
      <x:c r="Y85" s="12" t="n">
        <x:v>65</x:v>
      </x:c>
      <x:c r="Z85" s="12" t="n">
        <x:f>ROUND(MAX(0,MIN(100,0.40*K85+0.20*L85+0.10*S85+0.15*V85+0.15*Y85)),0)</x:f>
        <x:v>68</x:v>
      </x:c>
      <x:c r="AA85" s="12" t="n">
        <x:f>ROUND(MAX(0,MIN(100,0.30*L85+0.20*K85+0.15*V85+0.15*W85+0.10*S85+0.10*(100-M85))),0)</x:f>
        <x:v>73</x:v>
      </x:c>
      <x:c r="AB85" s="12" t="n">
        <x:f>ROUND(MAX(0,MIN(100,0.30*M85+0.25*R85+0.20*Q85+0.15*K85+0.10*(100-T85))),0)</x:f>
        <x:v>29</x:v>
      </x:c>
      <x:c r="AC85" s="12" t="n">
        <x:f>ROUND(MAX(0,MIN(100,0.55*T85+0.15*S85+0.10*N85+0.10*V85+0.10*W85)),0)</x:f>
        <x:v>73</x:v>
      </x:c>
      <x:c r="AD85" s="12" t="n">
        <x:f>ROUND(MAX(0,MIN(100,0.25*O85+0.25*Q85+0.20*Y85+0.15*U85+0.15*(100-L85))),0)</x:f>
        <x:v>41</x:v>
      </x:c>
      <x:c r="AE85" s="12" t="n">
        <x:f>ROUND(MAX(0,MIN(100,0.30*Y85+0.25*S85+0.15*Q85+0.15*T85+0.15*X85)),0)</x:f>
        <x:v>68</x:v>
      </x:c>
      <x:c r="AF85" s="12" t="n">
        <x:f>ROUND(MAX(0,MIN(100,0.65*X85+0.35*Y85)),0)</x:f>
        <x:v>68</x:v>
      </x:c>
      <x:c r="AG85" s="12" t="str">
        <x:v>https://wikiwiki.jp/poke-unite/%E3%82%BC%E3%83%A9%E3%82%AA%E3%83%A9</x:v>
      </x:c>
      <x:c r="AH85" s="12" t="str">
        <x:v>「ほうでん」型は、距離を詰めた後の駆け引きと継続戦で強みが出るタイプ。長い戦いで圧を積み上げることと、深く踏み込んで勝負することを楽しめる人ほど持ち味を出しやすい。</x:v>
      </x:c>
      <x:c r="AI85" s="12" t="str">
        <x:v>自己遂行・深い踏み込み・機動力</x:v>
      </x:c>
      <x:c r="AJ85" s="12" t="n">
        <x:v>0</x:v>
      </x:c>
    </x:row>
    <x:row r="86">
      <x:c r="A86" s="12" t="str">
        <x:v>ゼラオラ</x:v>
      </x:c>
      <x:c r="B86" s="12" t="str">
        <x:v>スピード型</x:v>
      </x:c>
      <x:c r="C86" s="12" t="str">
        <x:v>ゼラオラ-2</x:v>
      </x:c>
      <x:c r="D86" s="12" t="str">
        <x:v>ワイルドボルト</x:v>
      </x:c>
      <x:c r="E86" s="12" t="str">
        <x:v>Assassin / Diver</x:v>
      </x:c>
      <x:c r="F86" s="12" t="str">
        <x:v>Assassin</x:v>
      </x:c>
      <x:c r="G86" s="12" t="str">
        <x:v>Diver</x:v>
      </x:c>
      <x:c r="H86" s="12" t="str">
        <x:v>立ち位置・戦闘距離・役割が大きく変わるため別プロファイル</x:v>
      </x:c>
      <x:c r="I86" s="12" t="str">
        <x:v>高</x:v>
      </x:c>
      <x:c r="J86" s="12" t="str">
        <x:v>2026-09-30</x:v>
      </x:c>
      <x:c r="K86" s="12" t="n">
        <x:v>65</x:v>
      </x:c>
      <x:c r="L86" s="12" t="n">
        <x:v>100</x:v>
      </x:c>
      <x:c r="M86" s="12" t="n">
        <x:v>15</x:v>
      </x:c>
      <x:c r="N86" s="12" t="n">
        <x:v>30</x:v>
      </x:c>
      <x:c r="O86" s="12" t="n">
        <x:v>15</x:v>
      </x:c>
      <x:c r="P86" s="12" t="n">
        <x:v>10</x:v>
      </x:c>
      <x:c r="Q86" s="12" t="n">
        <x:v>35</x:v>
      </x:c>
      <x:c r="R86" s="12" t="n">
        <x:v>5</x:v>
      </x:c>
      <x:c r="S86" s="12" t="n">
        <x:v>100</x:v>
      </x:c>
      <x:c r="T86" s="12" t="n">
        <x:v>70</x:v>
      </x:c>
      <x:c r="U86" s="12" t="n">
        <x:v>55</x:v>
      </x:c>
      <x:c r="V86" s="12" t="n">
        <x:v>70</x:v>
      </x:c>
      <x:c r="W86" s="12" t="n">
        <x:v>75</x:v>
      </x:c>
      <x:c r="X86" s="12" t="n">
        <x:v>65</x:v>
      </x:c>
      <x:c r="Y86" s="12" t="n">
        <x:v>75</x:v>
      </x:c>
      <x:c r="Z86" s="12" t="n">
        <x:f>ROUND(MAX(0,MIN(100,0.40*K86+0.20*L86+0.10*S86+0.15*V86+0.15*Y86)),0)</x:f>
        <x:v>78</x:v>
      </x:c>
      <x:c r="AA86" s="12" t="n">
        <x:f>ROUND(MAX(0,MIN(100,0.30*L86+0.20*K86+0.15*V86+0.15*W86+0.10*S86+0.10*(100-M86))),0)</x:f>
        <x:v>83</x:v>
      </x:c>
      <x:c r="AB86" s="12" t="n">
        <x:f>ROUND(MAX(0,MIN(100,0.30*M86+0.25*R86+0.20*Q86+0.15*K86+0.10*(100-T86))),0)</x:f>
        <x:v>26</x:v>
      </x:c>
      <x:c r="AC86" s="12" t="n">
        <x:f>ROUND(MAX(0,MIN(100,0.55*T86+0.15*S86+0.10*N86+0.10*V86+0.10*W86)),0)</x:f>
        <x:v>71</x:v>
      </x:c>
      <x:c r="AD86" s="12" t="n">
        <x:f>ROUND(MAX(0,MIN(100,0.25*O86+0.25*Q86+0.20*Y86+0.15*U86+0.15*(100-L86))),0)</x:f>
        <x:v>36</x:v>
      </x:c>
      <x:c r="AE86" s="12" t="n">
        <x:f>ROUND(MAX(0,MIN(100,0.30*Y86+0.25*S86+0.15*Q86+0.15*T86+0.15*X86)),0)</x:f>
        <x:v>73</x:v>
      </x:c>
      <x:c r="AF86" s="12" t="n">
        <x:f>ROUND(MAX(0,MIN(100,0.65*X86+0.35*Y86)),0)</x:f>
        <x:v>69</x:v>
      </x:c>
      <x:c r="AG86" s="12" t="str">
        <x:v>https://wikiwiki.jp/poke-unite/%E3%82%BC%E3%83%A9%E3%82%AA%E3%83%A9</x:v>
      </x:c>
      <x:c r="AH86" s="12" t="str">
        <x:v>「ワイルドボルト」型は、短い好機を見逃さず、相手の隙に一気に入り込むタイプ。深く踏み込んで勝負することと、短い好機を一気に取り切ることを楽しめる人ほど持ち味を出しやすい。</x:v>
      </x:c>
      <x:c r="AI86" s="12" t="str">
        <x:v>深い踏み込み・機動力・自己遂行</x:v>
      </x:c>
      <x:c r="AJ86" s="12" t="n">
        <x:v>0</x:v>
      </x:c>
    </x:row>
    <x:row r="87">
      <x:c r="A87" s="12" t="str">
        <x:v>ゾロアーク</x:v>
      </x:c>
      <x:c r="B87" s="12" t="str">
        <x:v>スピード型</x:v>
      </x:c>
      <x:c r="C87" s="12" t="str">
        <x:v>ゾロアーク-1</x:v>
      </x:c>
      <x:c r="D87" s="12" t="str">
        <x:v>共通</x:v>
      </x:c>
      <x:c r="E87" s="12" t="str">
        <x:v>Assassin</x:v>
      </x:c>
      <x:c r="F87" s="12" t="str">
        <x:v>Assassin</x:v>
      </x:c>
      <x:c r="G87" s="12"/>
      <x:c r="H87" s="12" t="str">
        <x:v>技で細部は変わるが、診断上のプレイ人格は大きく変わらないため統合</x:v>
      </x:c>
      <x:c r="I87" s="12" t="str">
        <x:v>高</x:v>
      </x:c>
      <x:c r="J87" s="12" t="str">
        <x:v>2026-09-30</x:v>
      </x:c>
      <x:c r="K87" s="12" t="n">
        <x:v>55</x:v>
      </x:c>
      <x:c r="L87" s="12" t="n">
        <x:v>100</x:v>
      </x:c>
      <x:c r="M87" s="12" t="n">
        <x:v>0</x:v>
      </x:c>
      <x:c r="N87" s="12" t="n">
        <x:v>0</x:v>
      </x:c>
      <x:c r="O87" s="12" t="n">
        <x:v>15</x:v>
      </x:c>
      <x:c r="P87" s="12" t="n">
        <x:v>10</x:v>
      </x:c>
      <x:c r="Q87" s="12" t="n">
        <x:v>25</x:v>
      </x:c>
      <x:c r="R87" s="12" t="n">
        <x:v>5</x:v>
      </x:c>
      <x:c r="S87" s="12" t="n">
        <x:v>100</x:v>
      </x:c>
      <x:c r="T87" s="12" t="n">
        <x:v>65</x:v>
      </x:c>
      <x:c r="U87" s="12" t="n">
        <x:v>55</x:v>
      </x:c>
      <x:c r="V87" s="12" t="n">
        <x:v>70</x:v>
      </x:c>
      <x:c r="W87" s="12" t="n">
        <x:v>85</x:v>
      </x:c>
      <x:c r="X87" s="12" t="n">
        <x:v>100</x:v>
      </x:c>
      <x:c r="Y87" s="12" t="n">
        <x:v>95</x:v>
      </x:c>
      <x:c r="Z87" s="12" t="n">
        <x:f>ROUND(MAX(0,MIN(100,0.40*K87+0.20*L87+0.10*S87+0.15*V87+0.15*Y87)),0)</x:f>
        <x:v>77</x:v>
      </x:c>
      <x:c r="AA87" s="12" t="n">
        <x:f>ROUND(MAX(0,MIN(100,0.30*L87+0.20*K87+0.15*V87+0.15*W87+0.10*S87+0.10*(100-M87))),0)</x:f>
        <x:v>84</x:v>
      </x:c>
      <x:c r="AB87" s="12" t="n">
        <x:f>ROUND(MAX(0,MIN(100,0.30*M87+0.25*R87+0.20*Q87+0.15*K87+0.10*(100-T87))),0)</x:f>
        <x:v>18</x:v>
      </x:c>
      <x:c r="AC87" s="12" t="n">
        <x:f>ROUND(MAX(0,MIN(100,0.55*T87+0.15*S87+0.10*N87+0.10*V87+0.10*W87)),0)</x:f>
        <x:v>66</x:v>
      </x:c>
      <x:c r="AD87" s="12" t="n">
        <x:f>ROUND(MAX(0,MIN(100,0.25*O87+0.25*Q87+0.20*Y87+0.15*U87+0.15*(100-L87))),0)</x:f>
        <x:v>37</x:v>
      </x:c>
      <x:c r="AE87" s="12" t="n">
        <x:f>ROUND(MAX(0,MIN(100,0.30*Y87+0.25*S87+0.15*Q87+0.15*T87+0.15*X87)),0)</x:f>
        <x:v>82</x:v>
      </x:c>
      <x:c r="AF87" s="12" t="n">
        <x:f>ROUND(MAX(0,MIN(100,0.65*X87+0.35*Y87)),0)</x:f>
        <x:v>98</x:v>
      </x:c>
      <x:c r="AG87" s="12" t="str">
        <x:v>https://wikiwiki.jp/poke-unite/%E3%82%BE%E3%83%AD%E3%82%A2%E3%83%BC%E3%82%AF</x:v>
      </x:c>
      <x:c r="AH87" s="12" t="str">
        <x:v>短い好機を見逃さず、相手の隙に一気に入り込むタイプ。深く踏み込んで勝負することと、短い好機を一気に取り切ることを楽しめる人ほど持ち味を出しやすい。</x:v>
      </x:c>
      <x:c r="AI87" s="12" t="str">
        <x:v>自分の仕事・深い踏み込み・機動力</x:v>
      </x:c>
      <x:c r="AJ87" s="12" t="n">
        <x:v>0.45</x:v>
      </x:c>
    </x:row>
    <x:row r="88">
      <x:c r="A88" s="12" t="str">
        <x:v>ダークライ</x:v>
      </x:c>
      <x:c r="B88" s="12" t="str">
        <x:v>スピード型</x:v>
      </x:c>
      <x:c r="C88" s="12" t="str">
        <x:v>ダークライ-1</x:v>
      </x:c>
      <x:c r="D88" s="12" t="str">
        <x:v>共通</x:v>
      </x:c>
      <x:c r="E88" s="12" t="str">
        <x:v>Assassin</x:v>
      </x:c>
      <x:c r="F88" s="12" t="str">
        <x:v>Assassin</x:v>
      </x:c>
      <x:c r="G88" s="12"/>
      <x:c r="H88" s="12" t="str">
        <x:v>技で細部は変わるが、診断上のプレイ人格は大きく変わらないため統合</x:v>
      </x:c>
      <x:c r="I88" s="12" t="str">
        <x:v>高</x:v>
      </x:c>
      <x:c r="J88" s="12" t="str">
        <x:v>2026-09-30</x:v>
      </x:c>
      <x:c r="K88" s="12" t="n">
        <x:v>55</x:v>
      </x:c>
      <x:c r="L88" s="12" t="n">
        <x:v>100</x:v>
      </x:c>
      <x:c r="M88" s="12" t="n">
        <x:v>0</x:v>
      </x:c>
      <x:c r="N88" s="12" t="n">
        <x:v>0</x:v>
      </x:c>
      <x:c r="O88" s="12" t="n">
        <x:v>15</x:v>
      </x:c>
      <x:c r="P88" s="12" t="n">
        <x:v>10</x:v>
      </x:c>
      <x:c r="Q88" s="12" t="n">
        <x:v>45</x:v>
      </x:c>
      <x:c r="R88" s="12" t="n">
        <x:v>5</x:v>
      </x:c>
      <x:c r="S88" s="12" t="n">
        <x:v>100</x:v>
      </x:c>
      <x:c r="T88" s="12" t="n">
        <x:v>40</x:v>
      </x:c>
      <x:c r="U88" s="12" t="n">
        <x:v>55</x:v>
      </x:c>
      <x:c r="V88" s="12" t="n">
        <x:v>50</x:v>
      </x:c>
      <x:c r="W88" s="12" t="n">
        <x:v>85</x:v>
      </x:c>
      <x:c r="X88" s="12" t="n">
        <x:v>90</x:v>
      </x:c>
      <x:c r="Y88" s="12" t="n">
        <x:v>85</x:v>
      </x:c>
      <x:c r="Z88" s="12" t="n">
        <x:f>ROUND(MAX(0,MIN(100,0.40*K88+0.20*L88+0.10*S88+0.15*V88+0.15*Y88)),0)</x:f>
        <x:v>72</x:v>
      </x:c>
      <x:c r="AA88" s="12" t="n">
        <x:f>ROUND(MAX(0,MIN(100,0.30*L88+0.20*K88+0.15*V88+0.15*W88+0.10*S88+0.10*(100-M88))),0)</x:f>
        <x:v>81</x:v>
      </x:c>
      <x:c r="AB88" s="12" t="n">
        <x:f>ROUND(MAX(0,MIN(100,0.30*M88+0.25*R88+0.20*Q88+0.15*K88+0.10*(100-T88))),0)</x:f>
        <x:v>25</x:v>
      </x:c>
      <x:c r="AC88" s="12" t="n">
        <x:f>ROUND(MAX(0,MIN(100,0.55*T88+0.15*S88+0.10*N88+0.10*V88+0.10*W88)),0)</x:f>
        <x:v>51</x:v>
      </x:c>
      <x:c r="AD88" s="12" t="n">
        <x:f>ROUND(MAX(0,MIN(100,0.25*O88+0.25*Q88+0.20*Y88+0.15*U88+0.15*(100-L88))),0)</x:f>
        <x:v>40</x:v>
      </x:c>
      <x:c r="AE88" s="12" t="n">
        <x:f>ROUND(MAX(0,MIN(100,0.30*Y88+0.25*S88+0.15*Q88+0.15*T88+0.15*X88)),0)</x:f>
        <x:v>77</x:v>
      </x:c>
      <x:c r="AF88" s="12" t="n">
        <x:f>ROUND(MAX(0,MIN(100,0.65*X88+0.35*Y88)),0)</x:f>
        <x:v>88</x:v>
      </x:c>
      <x:c r="AG88" s="12" t="str">
        <x:v>https://wikiwiki.jp/poke-unite/%E3%83%80%E3%83%BC%E3%82%AF%E3%83%A9%E3%82%A4</x:v>
      </x:c>
      <x:c r="AH88" s="12" t="str">
        <x:v>短い好機を見逃さず、相手の隙に一気に入り込むタイプ。深く踏み込んで勝負することと、短い好機を一気に取り切ることを楽しめる人ほど持ち味を出しやすい。</x:v>
      </x:c>
      <x:c r="AI88" s="12" t="str">
        <x:v>自分の仕事・深い踏み込み・機動力</x:v>
      </x:c>
      <x:c r="AJ88" s="12" t="n">
        <x:v>0</x:v>
      </x:c>
    </x:row>
    <x:row r="89">
      <x:c r="A89" s="12" t="str">
        <x:v>ドードリオ</x:v>
      </x:c>
      <x:c r="B89" s="12" t="str">
        <x:v>スピード型</x:v>
      </x:c>
      <x:c r="C89" s="12" t="str">
        <x:v>ドードリオ-1</x:v>
      </x:c>
      <x:c r="D89" s="12" t="str">
        <x:v>共通</x:v>
      </x:c>
      <x:c r="E89" s="12" t="str">
        <x:v>Diver</x:v>
      </x:c>
      <x:c r="F89" s="12" t="str">
        <x:v>Diver</x:v>
      </x:c>
      <x:c r="G89" s="12"/>
      <x:c r="H89" s="12" t="str">
        <x:v>技で細部は変わるが、診断上のプレイ人格は大きく変わらないため統合</x:v>
      </x:c>
      <x:c r="I89" s="12" t="str">
        <x:v>高</x:v>
      </x:c>
      <x:c r="J89" s="12" t="str">
        <x:v>2026-09-30</x:v>
      </x:c>
      <x:c r="K89" s="12" t="n">
        <x:v>80</x:v>
      </x:c>
      <x:c r="L89" s="12" t="n">
        <x:v>100</x:v>
      </x:c>
      <x:c r="M89" s="12" t="n">
        <x:v>20</x:v>
      </x:c>
      <x:c r="N89" s="12" t="n">
        <x:v>45</x:v>
      </x:c>
      <x:c r="O89" s="12" t="n">
        <x:v>10</x:v>
      </x:c>
      <x:c r="P89" s="12" t="n">
        <x:v>35</x:v>
      </x:c>
      <x:c r="Q89" s="12" t="n">
        <x:v>45</x:v>
      </x:c>
      <x:c r="R89" s="12" t="n">
        <x:v>5</x:v>
      </x:c>
      <x:c r="S89" s="12" t="n">
        <x:v>100</x:v>
      </x:c>
      <x:c r="T89" s="12" t="n">
        <x:v>70</x:v>
      </x:c>
      <x:c r="U89" s="12" t="n">
        <x:v>50</x:v>
      </x:c>
      <x:c r="V89" s="12" t="n">
        <x:v>60</x:v>
      </x:c>
      <x:c r="W89" s="12" t="n">
        <x:v>80</x:v>
      </x:c>
      <x:c r="X89" s="12" t="n">
        <x:v>85</x:v>
      </x:c>
      <x:c r="Y89" s="12" t="n">
        <x:v>80</x:v>
      </x:c>
      <x:c r="Z89" s="12" t="n">
        <x:f>ROUND(MAX(0,MIN(100,0.40*K89+0.20*L89+0.10*S89+0.15*V89+0.15*Y89)),0)</x:f>
        <x:v>83</x:v>
      </x:c>
      <x:c r="AA89" s="12" t="n">
        <x:f>ROUND(MAX(0,MIN(100,0.30*L89+0.20*K89+0.15*V89+0.15*W89+0.10*S89+0.10*(100-M89))),0)</x:f>
        <x:v>85</x:v>
      </x:c>
      <x:c r="AB89" s="12" t="n">
        <x:f>ROUND(MAX(0,MIN(100,0.30*M89+0.25*R89+0.20*Q89+0.15*K89+0.10*(100-T89))),0)</x:f>
        <x:v>31</x:v>
      </x:c>
      <x:c r="AC89" s="12" t="n">
        <x:f>ROUND(MAX(0,MIN(100,0.55*T89+0.15*S89+0.10*N89+0.10*V89+0.10*W89)),0)</x:f>
        <x:v>72</x:v>
      </x:c>
      <x:c r="AD89" s="12" t="n">
        <x:f>ROUND(MAX(0,MIN(100,0.25*O89+0.25*Q89+0.20*Y89+0.15*U89+0.15*(100-L89))),0)</x:f>
        <x:v>37</x:v>
      </x:c>
      <x:c r="AE89" s="12" t="n">
        <x:f>ROUND(MAX(0,MIN(100,0.30*Y89+0.25*S89+0.15*Q89+0.15*T89+0.15*X89)),0)</x:f>
        <x:v>79</x:v>
      </x:c>
      <x:c r="AF89" s="12" t="n">
        <x:f>ROUND(MAX(0,MIN(100,0.65*X89+0.35*Y89)),0)</x:f>
        <x:v>83</x:v>
      </x:c>
      <x:c r="AG89" s="12" t="str">
        <x:v>https://wikiwiki.jp/poke-unite/%E3%83%89%E3%83%BC%E3%83%89%E3%83%AA%E3%82%AA</x:v>
      </x:c>
      <x:c r="AH89" s="12" t="str">
        <x:v>自分から踏み込んで戦線を動かし、相手の中心に圧をかけるタイプ。深く踏み込んで勝負することと、場所を変えながら揺さぶることを楽しめる人ほど持ち味を出しやすい。</x:v>
      </x:c>
      <x:c r="AI89" s="12" t="str">
        <x:v>深い踏み込み・機動力・自己遂行</x:v>
      </x:c>
      <x:c r="AJ89" s="12" t="n">
        <x:v>0</x:v>
      </x:c>
    </x:row>
    <x:row r="90">
      <x:c r="A90" s="12" t="str">
        <x:v>ニャース</x:v>
      </x:c>
      <x:c r="B90" s="12" t="str">
        <x:v>スピード型</x:v>
      </x:c>
      <x:c r="C90" s="12" t="str">
        <x:v>ニャース-1</x:v>
      </x:c>
      <x:c r="D90" s="12" t="str">
        <x:v>共通</x:v>
      </x:c>
      <x:c r="E90" s="12" t="str">
        <x:v>Skirmisher</x:v>
      </x:c>
      <x:c r="F90" s="12" t="str">
        <x:v>Skirmisher</x:v>
      </x:c>
      <x:c r="G90" s="12"/>
      <x:c r="H90" s="12" t="str">
        <x:v>技で細部は変わるが、診断上のプレイ人格は大きく変わらないため統合</x:v>
      </x:c>
      <x:c r="I90" s="12" t="str">
        <x:v>高</x:v>
      </x:c>
      <x:c r="J90" s="12" t="str">
        <x:v>2026-09-30</x:v>
      </x:c>
      <x:c r="K90" s="12" t="n">
        <x:v>60</x:v>
      </x:c>
      <x:c r="L90" s="12" t="n">
        <x:v>80</x:v>
      </x:c>
      <x:c r="M90" s="12" t="n">
        <x:v>25</x:v>
      </x:c>
      <x:c r="N90" s="12" t="n">
        <x:v>50</x:v>
      </x:c>
      <x:c r="O90" s="12" t="n">
        <x:v>35</x:v>
      </x:c>
      <x:c r="P90" s="12" t="n">
        <x:v>60</x:v>
      </x:c>
      <x:c r="Q90" s="12" t="n">
        <x:v>35</x:v>
      </x:c>
      <x:c r="R90" s="12" t="n">
        <x:v>5</x:v>
      </x:c>
      <x:c r="S90" s="12" t="n">
        <x:v>90</x:v>
      </x:c>
      <x:c r="T90" s="12" t="n">
        <x:v>75</x:v>
      </x:c>
      <x:c r="U90" s="12" t="n">
        <x:v>55</x:v>
      </x:c>
      <x:c r="V90" s="12" t="n">
        <x:v>65</x:v>
      </x:c>
      <x:c r="W90" s="12" t="n">
        <x:v>75</x:v>
      </x:c>
      <x:c r="X90" s="12" t="n">
        <x:v>70</x:v>
      </x:c>
      <x:c r="Y90" s="12" t="n">
        <x:v>75</x:v>
      </x:c>
      <x:c r="Z90" s="12" t="n">
        <x:f>ROUND(MAX(0,MIN(100,0.40*K90+0.20*L90+0.10*S90+0.15*V90+0.15*Y90)),0)</x:f>
        <x:v>70</x:v>
      </x:c>
      <x:c r="AA90" s="12" t="n">
        <x:f>ROUND(MAX(0,MIN(100,0.30*L90+0.20*K90+0.15*V90+0.15*W90+0.10*S90+0.10*(100-M90))),0)</x:f>
        <x:v>74</x:v>
      </x:c>
      <x:c r="AB90" s="12" t="n">
        <x:f>ROUND(MAX(0,MIN(100,0.30*M90+0.25*R90+0.20*Q90+0.15*K90+0.10*(100-T90))),0)</x:f>
        <x:v>27</x:v>
      </x:c>
      <x:c r="AC90" s="12" t="n">
        <x:f>ROUND(MAX(0,MIN(100,0.55*T90+0.15*S90+0.10*N90+0.10*V90+0.10*W90)),0)</x:f>
        <x:v>74</x:v>
      </x:c>
      <x:c r="AD90" s="12" t="n">
        <x:f>ROUND(MAX(0,MIN(100,0.25*O90+0.25*Q90+0.20*Y90+0.15*U90+0.15*(100-L90))),0)</x:f>
        <x:v>44</x:v>
      </x:c>
      <x:c r="AE90" s="12" t="n">
        <x:f>ROUND(MAX(0,MIN(100,0.30*Y90+0.25*S90+0.15*Q90+0.15*T90+0.15*X90)),0)</x:f>
        <x:v>72</x:v>
      </x:c>
      <x:c r="AF90" s="12" t="n">
        <x:f>ROUND(MAX(0,MIN(100,0.65*X90+0.35*Y90)),0)</x:f>
        <x:v>72</x:v>
      </x:c>
      <x:c r="AG90" s="12" t="str">
        <x:v>https://wikiwiki.jp/poke-unite/%E3%83%8B%E3%83%A3%E3%83%BC%E3%82%B9</x:v>
      </x:c>
      <x:c r="AH90" s="12" t="str">
        <x:v>距離を詰めた後の駆け引きと継続戦で強みが出るタイプ。長い戦いで圧を積み上げることと、場所を変えながら揺さぶることを楽しめる人ほど持ち味を出しやすい。</x:v>
      </x:c>
      <x:c r="AI90" s="12" t="str">
        <x:v>自己遂行・機動力・深い踏み込み</x:v>
      </x:c>
      <x:c r="AJ90" s="12" t="n">
        <x:v>0</x:v>
      </x:c>
    </x:row>
    <x:row r="91">
      <x:c r="A91" s="12" t="str">
        <x:v>ファイアロー</x:v>
      </x:c>
      <x:c r="B91" s="12" t="str">
        <x:v>スピード型</x:v>
      </x:c>
      <x:c r="C91" s="12" t="str">
        <x:v>ファイアロー-1</x:v>
      </x:c>
      <x:c r="D91" s="12" t="str">
        <x:v>共通</x:v>
      </x:c>
      <x:c r="E91" s="12" t="str">
        <x:v>Assassin / Diver</x:v>
      </x:c>
      <x:c r="F91" s="12" t="str">
        <x:v>Assassin</x:v>
      </x:c>
      <x:c r="G91" s="12" t="str">
        <x:v>Diver</x:v>
      </x:c>
      <x:c r="H91" s="12" t="str">
        <x:v>技で細部は変わるが、診断上のプレイ人格は大きく変わらないため統合</x:v>
      </x:c>
      <x:c r="I91" s="12" t="str">
        <x:v>高</x:v>
      </x:c>
      <x:c r="J91" s="12" t="str">
        <x:v>2026-09-30</x:v>
      </x:c>
      <x:c r="K91" s="12" t="n">
        <x:v>65</x:v>
      </x:c>
      <x:c r="L91" s="12" t="n">
        <x:v>100</x:v>
      </x:c>
      <x:c r="M91" s="12" t="n">
        <x:v>15</x:v>
      </x:c>
      <x:c r="N91" s="12" t="n">
        <x:v>30</x:v>
      </x:c>
      <x:c r="O91" s="12" t="n">
        <x:v>15</x:v>
      </x:c>
      <x:c r="P91" s="12" t="n">
        <x:v>0</x:v>
      </x:c>
      <x:c r="Q91" s="12" t="n">
        <x:v>35</x:v>
      </x:c>
      <x:c r="R91" s="12" t="n">
        <x:v>5</x:v>
      </x:c>
      <x:c r="S91" s="12" t="n">
        <x:v>100</x:v>
      </x:c>
      <x:c r="T91" s="12" t="n">
        <x:v>70</x:v>
      </x:c>
      <x:c r="U91" s="12" t="n">
        <x:v>55</x:v>
      </x:c>
      <x:c r="V91" s="12" t="n">
        <x:v>85</x:v>
      </x:c>
      <x:c r="W91" s="12" t="n">
        <x:v>95</x:v>
      </x:c>
      <x:c r="X91" s="12" t="n">
        <x:v>80</x:v>
      </x:c>
      <x:c r="Y91" s="12" t="n">
        <x:v>85</x:v>
      </x:c>
      <x:c r="Z91" s="12" t="n">
        <x:f>ROUND(MAX(0,MIN(100,0.40*K91+0.20*L91+0.10*S91+0.15*V91+0.15*Y91)),0)</x:f>
        <x:v>82</x:v>
      </x:c>
      <x:c r="AA91" s="12" t="n">
        <x:f>ROUND(MAX(0,MIN(100,0.30*L91+0.20*K91+0.15*V91+0.15*W91+0.10*S91+0.10*(100-M91))),0)</x:f>
        <x:v>89</x:v>
      </x:c>
      <x:c r="AB91" s="12" t="n">
        <x:f>ROUND(MAX(0,MIN(100,0.30*M91+0.25*R91+0.20*Q91+0.15*K91+0.10*(100-T91))),0)</x:f>
        <x:v>26</x:v>
      </x:c>
      <x:c r="AC91" s="12" t="n">
        <x:f>ROUND(MAX(0,MIN(100,0.55*T91+0.15*S91+0.10*N91+0.10*V91+0.10*W91)),0)</x:f>
        <x:v>75</x:v>
      </x:c>
      <x:c r="AD91" s="12" t="n">
        <x:f>ROUND(MAX(0,MIN(100,0.25*O91+0.25*Q91+0.20*Y91+0.15*U91+0.15*(100-L91))),0)</x:f>
        <x:v>38</x:v>
      </x:c>
      <x:c r="AE91" s="12" t="n">
        <x:f>ROUND(MAX(0,MIN(100,0.30*Y91+0.25*S91+0.15*Q91+0.15*T91+0.15*X91)),0)</x:f>
        <x:v>78</x:v>
      </x:c>
      <x:c r="AF91" s="12" t="n">
        <x:f>ROUND(MAX(0,MIN(100,0.65*X91+0.35*Y91)),0)</x:f>
        <x:v>82</x:v>
      </x:c>
      <x:c r="AG91" s="12" t="str">
        <x:v>https://wikiwiki.jp/poke-unite/%E3%83%95%E3%82%A1%E3%82%A4%E3%82%A2%E3%83%AD%...</x:v>
      </x:c>
      <x:c r="AH91" s="12" t="str">
        <x:v>短い好機を見逃さず、相手の隙に一気に入り込むタイプ。深く踏み込んで勝負することと、短い好機を一気に取り切ることを楽しめる人ほど持ち味を出しやすい。</x:v>
      </x:c>
      <x:c r="AI91" s="12" t="str">
        <x:v>瞬間決着・深い踏み込み・機動力</x:v>
      </x:c>
      <x:c r="AJ91" s="12" t="n">
        <x:v>0.45</x:v>
      </x:c>
    </x:row>
    <x:row r="92">
      <x:c r="A92" s="12" t="str">
        <x:v>マスカーニャ</x:v>
      </x:c>
      <x:c r="B92" s="12" t="str">
        <x:v>スピード型</x:v>
      </x:c>
      <x:c r="C92" s="12" t="str">
        <x:v>マスカーニャ-1</x:v>
      </x:c>
      <x:c r="D92" s="12" t="str">
        <x:v>トリックフラワー</x:v>
      </x:c>
      <x:c r="E92" s="12" t="str">
        <x:v>Assassin / Specialist</x:v>
      </x:c>
      <x:c r="F92" s="12" t="str">
        <x:v>Assassin</x:v>
      </x:c>
      <x:c r="G92" s="12" t="str">
        <x:v>Specialist</x:v>
      </x:c>
      <x:c r="H92" s="12" t="str">
        <x:v>立ち位置・戦闘距離・役割が大きく変わるため別プロファイル</x:v>
      </x:c>
      <x:c r="I92" s="12" t="str">
        <x:v>高</x:v>
      </x:c>
      <x:c r="J92" s="12" t="str">
        <x:v>2026-09-30</x:v>
      </x:c>
      <x:c r="K92" s="12" t="n">
        <x:v>55</x:v>
      </x:c>
      <x:c r="L92" s="12" t="n">
        <x:v>70</x:v>
      </x:c>
      <x:c r="M92" s="12" t="n">
        <x:v>30</x:v>
      </x:c>
      <x:c r="N92" s="12" t="n">
        <x:v>20</x:v>
      </x:c>
      <x:c r="O92" s="12" t="n">
        <x:v>25</x:v>
      </x:c>
      <x:c r="P92" s="12" t="n">
        <x:v>25</x:v>
      </x:c>
      <x:c r="Q92" s="12" t="n">
        <x:v>50</x:v>
      </x:c>
      <x:c r="R92" s="12" t="n">
        <x:v>30</x:v>
      </x:c>
      <x:c r="S92" s="12" t="n">
        <x:v>90</x:v>
      </x:c>
      <x:c r="T92" s="12" t="n">
        <x:v>60</x:v>
      </x:c>
      <x:c r="U92" s="12" t="n">
        <x:v>45</x:v>
      </x:c>
      <x:c r="V92" s="12" t="n">
        <x:v>60</x:v>
      </x:c>
      <x:c r="W92" s="12" t="n">
        <x:v>85</x:v>
      </x:c>
      <x:c r="X92" s="12" t="n">
        <x:v>80</x:v>
      </x:c>
      <x:c r="Y92" s="12" t="n">
        <x:v>100</x:v>
      </x:c>
      <x:c r="Z92" s="12" t="n">
        <x:f>ROUND(MAX(0,MIN(100,0.40*K92+0.20*L92+0.10*S92+0.15*V92+0.15*Y92)),0)</x:f>
        <x:v>69</x:v>
      </x:c>
      <x:c r="AA92" s="12" t="n">
        <x:f>ROUND(MAX(0,MIN(100,0.30*L92+0.20*K92+0.15*V92+0.15*W92+0.10*S92+0.10*(100-M92))),0)</x:f>
        <x:v>70</x:v>
      </x:c>
      <x:c r="AB92" s="12" t="n">
        <x:f>ROUND(MAX(0,MIN(100,0.30*M92+0.25*R92+0.20*Q92+0.15*K92+0.10*(100-T92))),0)</x:f>
        <x:v>39</x:v>
      </x:c>
      <x:c r="AC92" s="12" t="n">
        <x:f>ROUND(MAX(0,MIN(100,0.55*T92+0.15*S92+0.10*N92+0.10*V92+0.10*W92)),0)</x:f>
        <x:v>63</x:v>
      </x:c>
      <x:c r="AD92" s="12" t="n">
        <x:f>ROUND(MAX(0,MIN(100,0.25*O92+0.25*Q92+0.20*Y92+0.15*U92+0.15*(100-L92))),0)</x:f>
        <x:v>50</x:v>
      </x:c>
      <x:c r="AE92" s="12" t="n">
        <x:f>ROUND(MAX(0,MIN(100,0.30*Y92+0.25*S92+0.15*Q92+0.15*T92+0.15*X92)),0)</x:f>
        <x:v>81</x:v>
      </x:c>
      <x:c r="AF92" s="12" t="n">
        <x:f>ROUND(MAX(0,MIN(100,0.65*X92+0.35*Y92)),0)</x:f>
        <x:v>87</x:v>
      </x:c>
      <x:c r="AG92" s="12" t="str">
        <x:v>https://wikiwiki.jp/poke-unite/%E3%83%9E%E3%82%B9%E3%82%AB%E3%83%BC%E3%83%8B%...</x:v>
      </x:c>
      <x:c r="AH92" s="12" t="str">
        <x:v>「トリックフラワー」型は、短い好機を見逃さず、相手の隙に一気に入り込むタイプ。場所を変えながら揺さぶることと、短い好機を一気に取り切ることを楽しめる人ほど持ち味を出しやすい。</x:v>
      </x:c>
      <x:c r="AI92" s="12" t="str">
        <x:v>状況判断・機動力・サイド得点</x:v>
      </x:c>
      <x:c r="AJ92" s="12" t="n">
        <x:v>0</x:v>
      </x:c>
    </x:row>
    <x:row r="93">
      <x:c r="A93" s="12" t="str">
        <x:v>マスカーニャ</x:v>
      </x:c>
      <x:c r="B93" s="12" t="str">
        <x:v>スピード型</x:v>
      </x:c>
      <x:c r="C93" s="12" t="str">
        <x:v>マスカーニャ-2</x:v>
      </x:c>
      <x:c r="D93" s="12" t="str">
        <x:v>つじぎり</x:v>
      </x:c>
      <x:c r="E93" s="12" t="str">
        <x:v>Skirmisher / Assassin</x:v>
      </x:c>
      <x:c r="F93" s="12" t="str">
        <x:v>Skirmisher</x:v>
      </x:c>
      <x:c r="G93" s="12" t="str">
        <x:v>Assassin</x:v>
      </x:c>
      <x:c r="H93" s="12" t="str">
        <x:v>立ち位置・戦闘距離・役割が大きく変わるため別プロファイル</x:v>
      </x:c>
      <x:c r="I93" s="12" t="str">
        <x:v>高</x:v>
      </x:c>
      <x:c r="J93" s="12" t="str">
        <x:v>2026-09-30</x:v>
      </x:c>
      <x:c r="K93" s="12" t="n">
        <x:v>60</x:v>
      </x:c>
      <x:c r="L93" s="12" t="n">
        <x:v>90</x:v>
      </x:c>
      <x:c r="M93" s="12" t="n">
        <x:v>15</x:v>
      </x:c>
      <x:c r="N93" s="12" t="n">
        <x:v>35</x:v>
      </x:c>
      <x:c r="O93" s="12" t="n">
        <x:v>10</x:v>
      </x:c>
      <x:c r="P93" s="12" t="n">
        <x:v>50</x:v>
      </x:c>
      <x:c r="Q93" s="12" t="n">
        <x:v>25</x:v>
      </x:c>
      <x:c r="R93" s="12" t="n">
        <x:v>5</x:v>
      </x:c>
      <x:c r="S93" s="12" t="n">
        <x:v>100</x:v>
      </x:c>
      <x:c r="T93" s="12" t="n">
        <x:v>65</x:v>
      </x:c>
      <x:c r="U93" s="12" t="n">
        <x:v>55</x:v>
      </x:c>
      <x:c r="V93" s="12" t="n">
        <x:v>75</x:v>
      </x:c>
      <x:c r="W93" s="12" t="n">
        <x:v>85</x:v>
      </x:c>
      <x:c r="X93" s="12" t="n">
        <x:v>80</x:v>
      </x:c>
      <x:c r="Y93" s="12" t="n">
        <x:v>75</x:v>
      </x:c>
      <x:c r="Z93" s="12" t="n">
        <x:f>ROUND(MAX(0,MIN(100,0.40*K93+0.20*L93+0.10*S93+0.15*V93+0.15*Y93)),0)</x:f>
        <x:v>75</x:v>
      </x:c>
      <x:c r="AA93" s="12" t="n">
        <x:f>ROUND(MAX(0,MIN(100,0.30*L93+0.20*K93+0.15*V93+0.15*W93+0.10*S93+0.10*(100-M93))),0)</x:f>
        <x:v>82</x:v>
      </x:c>
      <x:c r="AB93" s="12" t="n">
        <x:f>ROUND(MAX(0,MIN(100,0.30*M93+0.25*R93+0.20*Q93+0.15*K93+0.10*(100-T93))),0)</x:f>
        <x:v>23</x:v>
      </x:c>
      <x:c r="AC93" s="12" t="n">
        <x:f>ROUND(MAX(0,MIN(100,0.55*T93+0.15*S93+0.10*N93+0.10*V93+0.10*W93)),0)</x:f>
        <x:v>70</x:v>
      </x:c>
      <x:c r="AD93" s="12" t="n">
        <x:f>ROUND(MAX(0,MIN(100,0.25*O93+0.25*Q93+0.20*Y93+0.15*U93+0.15*(100-L93))),0)</x:f>
        <x:v>34</x:v>
      </x:c>
      <x:c r="AE93" s="12" t="n">
        <x:f>ROUND(MAX(0,MIN(100,0.30*Y93+0.25*S93+0.15*Q93+0.15*T93+0.15*X93)),0)</x:f>
        <x:v>73</x:v>
      </x:c>
      <x:c r="AF93" s="12" t="n">
        <x:f>ROUND(MAX(0,MIN(100,0.65*X93+0.35*Y93)),0)</x:f>
        <x:v>78</x:v>
      </x:c>
      <x:c r="AG93" s="12" t="str">
        <x:v>https://wikiwiki.jp/poke-unite/%E3%83%9E%E3%82%B9%E3%82%AB%E3%83%BC%E3%83%8B%...</x:v>
      </x:c>
      <x:c r="AH93" s="12" t="str">
        <x:v>「つじぎり」型は、距離を詰めた後の駆け引きと継続戦で強みが出るタイプ。場所を変えながら揺さぶることと、深く踏み込んで勝負することを楽しめる人ほど持ち味を出しやすい。</x:v>
      </x:c>
      <x:c r="AI93" s="12" t="str">
        <x:v>機動力・自己遂行・深い踏み込み</x:v>
      </x:c>
      <x:c r="AJ93" s="12" t="n">
        <x:v>0</x:v>
      </x:c>
    </x:row>
    <x:row r="94">
      <x:c r="A94" s="12" t="str">
        <x:v>モルペコ</x:v>
      </x:c>
      <x:c r="B94" s="12" t="str">
        <x:v>スピード型</x:v>
      </x:c>
      <x:c r="C94" s="12" t="str">
        <x:v>モルペコ-1</x:v>
      </x:c>
      <x:c r="D94" s="12" t="str">
        <x:v>共通</x:v>
      </x:c>
      <x:c r="E94" s="12" t="str">
        <x:v>Assassin</x:v>
      </x:c>
      <x:c r="F94" s="12" t="str">
        <x:v>Assassin</x:v>
      </x:c>
      <x:c r="G94" s="12"/>
      <x:c r="H94" s="12" t="str">
        <x:v>技で細部は変わるが、診断上のプレイ人格は大きく変わらないため統合</x:v>
      </x:c>
      <x:c r="I94" s="12" t="str">
        <x:v>低</x:v>
      </x:c>
      <x:c r="J94" s="12" t="str">
        <x:v>2026-09-30</x:v>
      </x:c>
      <x:c r="K94" s="12" t="n">
        <x:v>55</x:v>
      </x:c>
      <x:c r="L94" s="12" t="n">
        <x:v>100</x:v>
      </x:c>
      <x:c r="M94" s="12" t="n">
        <x:v>0</x:v>
      </x:c>
      <x:c r="N94" s="12" t="n">
        <x:v>0</x:v>
      </x:c>
      <x:c r="O94" s="12" t="n">
        <x:v>15</x:v>
      </x:c>
      <x:c r="P94" s="12" t="n">
        <x:v>10</x:v>
      </x:c>
      <x:c r="Q94" s="12" t="n">
        <x:v>25</x:v>
      </x:c>
      <x:c r="R94" s="12" t="n">
        <x:v>5</x:v>
      </x:c>
      <x:c r="S94" s="12" t="n">
        <x:v>100</x:v>
      </x:c>
      <x:c r="T94" s="12" t="n">
        <x:v>60</x:v>
      </x:c>
      <x:c r="U94" s="12" t="n">
        <x:v>55</x:v>
      </x:c>
      <x:c r="V94" s="12" t="n">
        <x:v>70</x:v>
      </x:c>
      <x:c r="W94" s="12" t="n">
        <x:v>85</x:v>
      </x:c>
      <x:c r="X94" s="12" t="n">
        <x:v>90</x:v>
      </x:c>
      <x:c r="Y94" s="12" t="n">
        <x:v>75</x:v>
      </x:c>
      <x:c r="Z94" s="12" t="n">
        <x:f>ROUND(MAX(0,MIN(100,0.40*K94+0.20*L94+0.10*S94+0.15*V94+0.15*Y94)),0)</x:f>
        <x:v>74</x:v>
      </x:c>
      <x:c r="AA94" s="12" t="n">
        <x:f>ROUND(MAX(0,MIN(100,0.30*L94+0.20*K94+0.15*V94+0.15*W94+0.10*S94+0.10*(100-M94))),0)</x:f>
        <x:v>84</x:v>
      </x:c>
      <x:c r="AB94" s="12" t="n">
        <x:f>ROUND(MAX(0,MIN(100,0.30*M94+0.25*R94+0.20*Q94+0.15*K94+0.10*(100-T94))),0)</x:f>
        <x:v>19</x:v>
      </x:c>
      <x:c r="AC94" s="12" t="n">
        <x:f>ROUND(MAX(0,MIN(100,0.55*T94+0.15*S94+0.10*N94+0.10*V94+0.10*W94)),0)</x:f>
        <x:v>64</x:v>
      </x:c>
      <x:c r="AD94" s="12" t="n">
        <x:f>ROUND(MAX(0,MIN(100,0.25*O94+0.25*Q94+0.20*Y94+0.15*U94+0.15*(100-L94))),0)</x:f>
        <x:v>33</x:v>
      </x:c>
      <x:c r="AE94" s="12" t="n">
        <x:f>ROUND(MAX(0,MIN(100,0.30*Y94+0.25*S94+0.15*Q94+0.15*T94+0.15*X94)),0)</x:f>
        <x:v>74</x:v>
      </x:c>
      <x:c r="AF94" s="12" t="n">
        <x:f>ROUND(MAX(0,MIN(100,0.65*X94+0.35*Y94)),0)</x:f>
        <x:v>85</x:v>
      </x:c>
      <x:c r="AG94" s="12" t="str">
        <x:v>https://wikiwiki.jp/poke-unite/%E3%83%A2%E3%83%AB%E3%83%9A%E3%82%B3</x:v>
      </x:c>
      <x:c r="AH94" s="12" t="str">
        <x:v>短い好機を見逃さず、相手の隙に一気に入り込むタイプ。深く踏み込んで勝負することと、短い好機を一気に取り切ることを楽しめる人ほど持ち味を出しやすい。</x:v>
      </x:c>
      <x:c r="AI94" s="12" t="str">
        <x:v>自分の仕事・深い踏み込み・機動力</x:v>
      </x:c>
      <x:c r="AJ94" s="12" t="n">
        <x:v>0.15</x:v>
      </x:c>
    </x:row>
    <x:row r="95">
      <x:c r="A95" s="12" t="str">
        <x:v>リーフィア</x:v>
      </x:c>
      <x:c r="B95" s="12" t="str">
        <x:v>スピード型</x:v>
      </x:c>
      <x:c r="C95" s="12" t="str">
        <x:v>リーフィア-1</x:v>
      </x:c>
      <x:c r="D95" s="12" t="str">
        <x:v>共通</x:v>
      </x:c>
      <x:c r="E95" s="12" t="str">
        <x:v>Assassin</x:v>
      </x:c>
      <x:c r="F95" s="12" t="str">
        <x:v>Assassin</x:v>
      </x:c>
      <x:c r="G95" s="12"/>
      <x:c r="H95" s="12" t="str">
        <x:v>技で細部は変わるが、診断上のプレイ人格は大きく変わらないため統合</x:v>
      </x:c>
      <x:c r="I95" s="12" t="str">
        <x:v>高</x:v>
      </x:c>
      <x:c r="J95" s="12" t="str">
        <x:v>2026-09-30</x:v>
      </x:c>
      <x:c r="K95" s="12" t="n">
        <x:v>55</x:v>
      </x:c>
      <x:c r="L95" s="12" t="n">
        <x:v>100</x:v>
      </x:c>
      <x:c r="M95" s="12" t="n">
        <x:v>0</x:v>
      </x:c>
      <x:c r="N95" s="12" t="n">
        <x:v>0</x:v>
      </x:c>
      <x:c r="O95" s="12" t="n">
        <x:v>15</x:v>
      </x:c>
      <x:c r="P95" s="12" t="n">
        <x:v>0</x:v>
      </x:c>
      <x:c r="Q95" s="12" t="n">
        <x:v>25</x:v>
      </x:c>
      <x:c r="R95" s="12" t="n">
        <x:v>5</x:v>
      </x:c>
      <x:c r="S95" s="12" t="n">
        <x:v>100</x:v>
      </x:c>
      <x:c r="T95" s="12" t="n">
        <x:v>60</x:v>
      </x:c>
      <x:c r="U95" s="12" t="n">
        <x:v>35</x:v>
      </x:c>
      <x:c r="V95" s="12" t="n">
        <x:v>70</x:v>
      </x:c>
      <x:c r="W95" s="12" t="n">
        <x:v>85</x:v>
      </x:c>
      <x:c r="X95" s="12" t="n">
        <x:v>85</x:v>
      </x:c>
      <x:c r="Y95" s="12" t="n">
        <x:v>75</x:v>
      </x:c>
      <x:c r="Z95" s="12" t="n">
        <x:f>ROUND(MAX(0,MIN(100,0.40*K95+0.20*L95+0.10*S95+0.15*V95+0.15*Y95)),0)</x:f>
        <x:v>74</x:v>
      </x:c>
      <x:c r="AA95" s="12" t="n">
        <x:f>ROUND(MAX(0,MIN(100,0.30*L95+0.20*K95+0.15*V95+0.15*W95+0.10*S95+0.10*(100-M95))),0)</x:f>
        <x:v>84</x:v>
      </x:c>
      <x:c r="AB95" s="12" t="n">
        <x:f>ROUND(MAX(0,MIN(100,0.30*M95+0.25*R95+0.20*Q95+0.15*K95+0.10*(100-T95))),0)</x:f>
        <x:v>19</x:v>
      </x:c>
      <x:c r="AC95" s="12" t="n">
        <x:f>ROUND(MAX(0,MIN(100,0.55*T95+0.15*S95+0.10*N95+0.10*V95+0.10*W95)),0)</x:f>
        <x:v>64</x:v>
      </x:c>
      <x:c r="AD95" s="12" t="n">
        <x:f>ROUND(MAX(0,MIN(100,0.25*O95+0.25*Q95+0.20*Y95+0.15*U95+0.15*(100-L95))),0)</x:f>
        <x:v>30</x:v>
      </x:c>
      <x:c r="AE95" s="12" t="n">
        <x:f>ROUND(MAX(0,MIN(100,0.30*Y95+0.25*S95+0.15*Q95+0.15*T95+0.15*X95)),0)</x:f>
        <x:v>73</x:v>
      </x:c>
      <x:c r="AF95" s="12" t="n">
        <x:f>ROUND(MAX(0,MIN(100,0.65*X95+0.35*Y95)),0)</x:f>
        <x:v>82</x:v>
      </x:c>
      <x:c r="AG95" s="12" t="str">
        <x:v>https://wikiwiki.jp/poke-unite/%E3%83%AA%E3%83%BC%E3%83%95%E3%82%A3%E3%82%A2</x:v>
      </x:c>
      <x:c r="AH95" s="12" t="str">
        <x:v>短い好機を見逃さず、相手の隙に一気に入り込むタイプ。深く踏み込んで勝負することと、短い好機を一気に取り切ることを楽しめる人ほど持ち味を出しやすい。</x:v>
      </x:c>
      <x:c r="AI95" s="12" t="str">
        <x:v>自分の仕事・瞬間決着・深い踏み込み</x:v>
      </x:c>
      <x:c r="AJ95" s="12" t="n">
        <x:v>0</x:v>
      </x:c>
    </x:row>
    <x:row r="96">
      <x:c r="A96" s="12" t="str">
        <x:v>イワパレス</x:v>
      </x:c>
      <x:c r="B96" s="12" t="str">
        <x:v>ディフェンス型</x:v>
      </x:c>
      <x:c r="C96" s="12" t="str">
        <x:v>イワパレス-1</x:v>
      </x:c>
      <x:c r="D96" s="12" t="str">
        <x:v>がんせきふうじ</x:v>
      </x:c>
      <x:c r="E96" s="12" t="str">
        <x:v>Vanguard</x:v>
      </x:c>
      <x:c r="F96" s="12" t="str">
        <x:v>Vanguard</x:v>
      </x:c>
      <x:c r="G96" s="12"/>
      <x:c r="H96" s="12" t="str">
        <x:v>立ち位置・戦闘距離・役割が大きく変わるため別プロファイル</x:v>
      </x:c>
      <x:c r="I96" s="12" t="str">
        <x:v>高</x:v>
      </x:c>
      <x:c r="J96" s="12" t="str">
        <x:v>2026-09-30</x:v>
      </x:c>
      <x:c r="K96" s="12" t="n">
        <x:v>100</x:v>
      </x:c>
      <x:c r="L96" s="12" t="n">
        <x:v>80</x:v>
      </x:c>
      <x:c r="M96" s="12" t="n">
        <x:v>60</x:v>
      </x:c>
      <x:c r="N96" s="12" t="n">
        <x:v>100</x:v>
      </x:c>
      <x:c r="O96" s="12" t="n">
        <x:v>20</x:v>
      </x:c>
      <x:c r="P96" s="12" t="n">
        <x:v>55</x:v>
      </x:c>
      <x:c r="Q96" s="12" t="n">
        <x:v>100</x:v>
      </x:c>
      <x:c r="R96" s="12" t="n">
        <x:v>10</x:v>
      </x:c>
      <x:c r="S96" s="12" t="n">
        <x:v>30</x:v>
      </x:c>
      <x:c r="T96" s="12" t="n">
        <x:v>50</x:v>
      </x:c>
      <x:c r="U96" s="12" t="n">
        <x:v>15</x:v>
      </x:c>
      <x:c r="V96" s="12" t="n">
        <x:v>40</x:v>
      </x:c>
      <x:c r="W96" s="12" t="n">
        <x:v>10</x:v>
      </x:c>
      <x:c r="X96" s="12" t="n">
        <x:v>55</x:v>
      </x:c>
      <x:c r="Y96" s="12" t="n">
        <x:v>75</x:v>
      </x:c>
      <x:c r="Z96" s="12" t="n">
        <x:f>ROUND(MAX(0,MIN(100,0.40*K96+0.20*L96+0.10*S96+0.15*V96+0.15*Y96)),0)</x:f>
        <x:v>76</x:v>
      </x:c>
      <x:c r="AA96" s="12" t="n">
        <x:f>ROUND(MAX(0,MIN(100,0.30*L96+0.20*K96+0.15*V96+0.15*W96+0.10*S96+0.10*(100-M96))),0)</x:f>
        <x:v>59</x:v>
      </x:c>
      <x:c r="AB96" s="12" t="n">
        <x:f>ROUND(MAX(0,MIN(100,0.30*M96+0.25*R96+0.20*Q96+0.15*K96+0.10*(100-T96))),0)</x:f>
        <x:v>61</x:v>
      </x:c>
      <x:c r="AC96" s="12" t="n">
        <x:f>ROUND(MAX(0,MIN(100,0.55*T96+0.15*S96+0.10*N96+0.10*V96+0.10*W96)),0)</x:f>
        <x:v>47</x:v>
      </x:c>
      <x:c r="AD96" s="12" t="n">
        <x:f>ROUND(MAX(0,MIN(100,0.25*O96+0.25*Q96+0.20*Y96+0.15*U96+0.15*(100-L96))),0)</x:f>
        <x:v>50</x:v>
      </x:c>
      <x:c r="AE96" s="12" t="n">
        <x:f>ROUND(MAX(0,MIN(100,0.30*Y96+0.25*S96+0.15*Q96+0.15*T96+0.15*X96)),0)</x:f>
        <x:v>61</x:v>
      </x:c>
      <x:c r="AF96" s="12" t="n">
        <x:f>ROUND(MAX(0,MIN(100,0.65*X96+0.35*Y96)),0)</x:f>
        <x:v>62</x:v>
      </x:c>
      <x:c r="AG96" s="12" t="str">
        <x:v>https://wikiwiki.jp/poke-unite/%E3%82%A4%E3%83%AF%E3%83%91%E3%83%AC%E3%82%B9</x:v>
      </x:c>
      <x:c r="AH96" s="12" t="str">
        <x:v>「がんせきふうじ」型は、先頭で接触を作り、相手の動きを止めて味方の道を開くタイプ。自分からきっかけを作ることと、前線で粘り続けることを楽しめる人ほど持ち味を出しやすい。</x:v>
      </x:c>
      <x:c r="AI96" s="12" t="str">
        <x:v>盤面制御・前線維持・仕掛け</x:v>
      </x:c>
      <x:c r="AJ96" s="12" t="n">
        <x:v>0</x:v>
      </x:c>
    </x:row>
    <x:row r="97">
      <x:c r="A97" s="12" t="str">
        <x:v>イワパレス</x:v>
      </x:c>
      <x:c r="B97" s="12" t="str">
        <x:v>ディフェンス型</x:v>
      </x:c>
      <x:c r="C97" s="12" t="str">
        <x:v>イワパレス-2</x:v>
      </x:c>
      <x:c r="D97" s="12" t="str">
        <x:v>からをやぶる</x:v>
      </x:c>
      <x:c r="E97" s="12" t="str">
        <x:v>Diver / Juggernaut</x:v>
      </x:c>
      <x:c r="F97" s="12" t="str">
        <x:v>Diver</x:v>
      </x:c>
      <x:c r="G97" s="12" t="str">
        <x:v>Juggernaut</x:v>
      </x:c>
      <x:c r="H97" s="12" t="str">
        <x:v>立ち位置・戦闘距離・役割が大きく変わるため別プロファイル</x:v>
      </x:c>
      <x:c r="I97" s="12" t="str">
        <x:v>高</x:v>
      </x:c>
      <x:c r="J97" s="12" t="str">
        <x:v>2026-09-30</x:v>
      </x:c>
      <x:c r="K97" s="12" t="n">
        <x:v>70</x:v>
      </x:c>
      <x:c r="L97" s="12" t="n">
        <x:v>70</x:v>
      </x:c>
      <x:c r="M97" s="12" t="n">
        <x:v>20</x:v>
      </x:c>
      <x:c r="N97" s="12" t="n">
        <x:v>85</x:v>
      </x:c>
      <x:c r="O97" s="12" t="n">
        <x:v>10</x:v>
      </x:c>
      <x:c r="P97" s="12" t="n">
        <x:v>45</x:v>
      </x:c>
      <x:c r="Q97" s="12" t="n">
        <x:v>45</x:v>
      </x:c>
      <x:c r="R97" s="12" t="n">
        <x:v>5</x:v>
      </x:c>
      <x:c r="S97" s="12" t="n">
        <x:v>65</x:v>
      </x:c>
      <x:c r="T97" s="12" t="n">
        <x:v>80</x:v>
      </x:c>
      <x:c r="U97" s="12" t="n">
        <x:v>50</x:v>
      </x:c>
      <x:c r="V97" s="12" t="n">
        <x:v>70</x:v>
      </x:c>
      <x:c r="W97" s="12" t="n">
        <x:v>65</x:v>
      </x:c>
      <x:c r="X97" s="12" t="n">
        <x:v>50</x:v>
      </x:c>
      <x:c r="Y97" s="12" t="n">
        <x:v>60</x:v>
      </x:c>
      <x:c r="Z97" s="12" t="n">
        <x:f>ROUND(MAX(0,MIN(100,0.40*K97+0.20*L97+0.10*S97+0.15*V97+0.15*Y97)),0)</x:f>
        <x:v>68</x:v>
      </x:c>
      <x:c r="AA97" s="12" t="n">
        <x:f>ROUND(MAX(0,MIN(100,0.30*L97+0.20*K97+0.15*V97+0.15*W97+0.10*S97+0.10*(100-M97))),0)</x:f>
        <x:v>70</x:v>
      </x:c>
      <x:c r="AB97" s="12" t="n">
        <x:f>ROUND(MAX(0,MIN(100,0.30*M97+0.25*R97+0.20*Q97+0.15*K97+0.10*(100-T97))),0)</x:f>
        <x:v>29</x:v>
      </x:c>
      <x:c r="AC97" s="12" t="n">
        <x:f>ROUND(MAX(0,MIN(100,0.55*T97+0.15*S97+0.10*N97+0.10*V97+0.10*W97)),0)</x:f>
        <x:v>76</x:v>
      </x:c>
      <x:c r="AD97" s="12" t="n">
        <x:f>ROUND(MAX(0,MIN(100,0.25*O97+0.25*Q97+0.20*Y97+0.15*U97+0.15*(100-L97))),0)</x:f>
        <x:v>38</x:v>
      </x:c>
      <x:c r="AE97" s="12" t="n">
        <x:f>ROUND(MAX(0,MIN(100,0.30*Y97+0.25*S97+0.15*Q97+0.15*T97+0.15*X97)),0)</x:f>
        <x:v>61</x:v>
      </x:c>
      <x:c r="AF97" s="12" t="n">
        <x:f>ROUND(MAX(0,MIN(100,0.65*X97+0.35*Y97)),0)</x:f>
        <x:v>54</x:v>
      </x:c>
      <x:c r="AG97" s="12" t="str">
        <x:v>https://wikiwiki.jp/poke-unite/%E3%82%A4%E3%83%AF%E3%83%91%E3%83%AC%E3%82%B9</x:v>
      </x:c>
      <x:c r="AH97" s="12" t="str">
        <x:v>「からをやぶる」型は、自分から踏み込んで戦線を動かし、相手の中心に圧をかけるタイプ。深く踏み込んで勝負することと、自分からきっかけを作ることを楽しめる人ほど持ち味を出しやすい。</x:v>
      </x:c>
      <x:c r="AI97" s="12" t="str">
        <x:v>自己遂行・接近戦・前線維持</x:v>
      </x:c>
      <x:c r="AJ97" s="12" t="n">
        <x:v>0</x:v>
      </x:c>
    </x:row>
    <x:row r="98">
      <x:c r="A98" s="12" t="str">
        <x:v>オーロット</x:v>
      </x:c>
      <x:c r="B98" s="12" t="str">
        <x:v>ディフェンス型</x:v>
      </x:c>
      <x:c r="C98" s="12" t="str">
        <x:v>オーロット-1</x:v>
      </x:c>
      <x:c r="D98" s="12" t="str">
        <x:v>ウッドハンマー</x:v>
      </x:c>
      <x:c r="E98" s="12" t="str">
        <x:v>Vanguard / Warden</x:v>
      </x:c>
      <x:c r="F98" s="12" t="str">
        <x:v>Vanguard</x:v>
      </x:c>
      <x:c r="G98" s="12" t="str">
        <x:v>Warden</x:v>
      </x:c>
      <x:c r="H98" s="12" t="str">
        <x:v>立ち位置・戦闘距離・役割が大きく変わるため別プロファイル</x:v>
      </x:c>
      <x:c r="I98" s="12" t="str">
        <x:v>高</x:v>
      </x:c>
      <x:c r="J98" s="12" t="str">
        <x:v>2026-09-30</x:v>
      </x:c>
      <x:c r="K98" s="12" t="n">
        <x:v>90</x:v>
      </x:c>
      <x:c r="L98" s="12" t="n">
        <x:v>45</x:v>
      </x:c>
      <x:c r="M98" s="12" t="n">
        <x:v>90</x:v>
      </x:c>
      <x:c r="N98" s="12" t="n">
        <x:v>100</x:v>
      </x:c>
      <x:c r="O98" s="12" t="n">
        <x:v>0</x:v>
      </x:c>
      <x:c r="P98" s="12" t="n">
        <x:v>65</x:v>
      </x:c>
      <x:c r="Q98" s="12" t="n">
        <x:v>100</x:v>
      </x:c>
      <x:c r="R98" s="12" t="n">
        <x:v>30</x:v>
      </x:c>
      <x:c r="S98" s="12" t="n">
        <x:v>30</x:v>
      </x:c>
      <x:c r="T98" s="12" t="n">
        <x:v>50</x:v>
      </x:c>
      <x:c r="U98" s="12" t="n">
        <x:v>15</x:v>
      </x:c>
      <x:c r="V98" s="12" t="n">
        <x:v>30</x:v>
      </x:c>
      <x:c r="W98" s="12" t="n">
        <x:v>10</x:v>
      </x:c>
      <x:c r="X98" s="12" t="n">
        <x:v>55</x:v>
      </x:c>
      <x:c r="Y98" s="12" t="n">
        <x:v>85</x:v>
      </x:c>
      <x:c r="Z98" s="12" t="n">
        <x:f>ROUND(MAX(0,MIN(100,0.40*K98+0.20*L98+0.10*S98+0.15*V98+0.15*Y98)),0)</x:f>
        <x:v>65</x:v>
      </x:c>
      <x:c r="AA98" s="12" t="n">
        <x:f>ROUND(MAX(0,MIN(100,0.30*L98+0.20*K98+0.15*V98+0.15*W98+0.10*S98+0.10*(100-M98))),0)</x:f>
        <x:v>42</x:v>
      </x:c>
      <x:c r="AB98" s="12" t="n">
        <x:f>ROUND(MAX(0,MIN(100,0.30*M98+0.25*R98+0.20*Q98+0.15*K98+0.10*(100-T98))),0)</x:f>
        <x:v>73</x:v>
      </x:c>
      <x:c r="AC98" s="12" t="n">
        <x:f>ROUND(MAX(0,MIN(100,0.55*T98+0.15*S98+0.10*N98+0.10*V98+0.10*W98)),0)</x:f>
        <x:v>46</x:v>
      </x:c>
      <x:c r="AD98" s="12" t="n">
        <x:f>ROUND(MAX(0,MIN(100,0.25*O98+0.25*Q98+0.20*Y98+0.15*U98+0.15*(100-L98))),0)</x:f>
        <x:v>53</x:v>
      </x:c>
      <x:c r="AE98" s="12" t="n">
        <x:f>ROUND(MAX(0,MIN(100,0.30*Y98+0.25*S98+0.15*Q98+0.15*T98+0.15*X98)),0)</x:f>
        <x:v>64</x:v>
      </x:c>
      <x:c r="AF98" s="12" t="n">
        <x:f>ROUND(MAX(0,MIN(100,0.65*X98+0.35*Y98)),0)</x:f>
        <x:v>66</x:v>
      </x:c>
      <x:c r="AG98" s="12" t="str">
        <x:v>https://wikiwiki.jp/poke-unite/%E3%82%AA%E3%83%BC%E3%83%AD%E3%83%83%E3%83%88</x:v>
      </x:c>
      <x:c r="AH98" s="12" t="str">
        <x:v>「ウッドハンマー」型は、先頭で接触を作り、相手の動きを止めて味方の道を開くタイプ。前線で粘り続けることと、相手の動きと位置を制限することを楽しめる人ほど持ち味を出しやすい。</x:v>
      </x:c>
      <x:c r="AI98" s="12" t="str">
        <x:v>盤面制御・接近戦・前線維持</x:v>
      </x:c>
      <x:c r="AJ98" s="12" t="n">
        <x:v>0</x:v>
      </x:c>
    </x:row>
    <x:row r="99">
      <x:c r="A99" s="12" t="str">
        <x:v>オーロット</x:v>
      </x:c>
      <x:c r="B99" s="12" t="str">
        <x:v>ディフェンス型</x:v>
      </x:c>
      <x:c r="C99" s="12" t="str">
        <x:v>オーロット-2</x:v>
      </x:c>
      <x:c r="D99" s="12" t="str">
        <x:v>のろい</x:v>
      </x:c>
      <x:c r="E99" s="12" t="str">
        <x:v>Juggernaut</x:v>
      </x:c>
      <x:c r="F99" s="12" t="str">
        <x:v>Juggernaut</x:v>
      </x:c>
      <x:c r="G99" s="12"/>
      <x:c r="H99" s="12" t="str">
        <x:v>立ち位置・戦闘距離・役割が大きく変わるため別プロファイル</x:v>
      </x:c>
      <x:c r="I99" s="12" t="str">
        <x:v>高</x:v>
      </x:c>
      <x:c r="J99" s="12" t="str">
        <x:v>2026-09-30</x:v>
      </x:c>
      <x:c r="K99" s="12" t="n">
        <x:v>55</x:v>
      </x:c>
      <x:c r="L99" s="12" t="n">
        <x:v>45</x:v>
      </x:c>
      <x:c r="M99" s="12" t="n">
        <x:v>45</x:v>
      </x:c>
      <x:c r="N99" s="12" t="n">
        <x:v>100</x:v>
      </x:c>
      <x:c r="O99" s="12" t="n">
        <x:v>10</x:v>
      </x:c>
      <x:c r="P99" s="12" t="n">
        <x:v>95</x:v>
      </x:c>
      <x:c r="Q99" s="12" t="n">
        <x:v>40</x:v>
      </x:c>
      <x:c r="R99" s="12" t="n">
        <x:v>0</x:v>
      </x:c>
      <x:c r="S99" s="12" t="n">
        <x:v>15</x:v>
      </x:c>
      <x:c r="T99" s="12" t="n">
        <x:v>65</x:v>
      </x:c>
      <x:c r="U99" s="12" t="n">
        <x:v>70</x:v>
      </x:c>
      <x:c r="V99" s="12" t="n">
        <x:v>75</x:v>
      </x:c>
      <x:c r="W99" s="12" t="n">
        <x:v>30</x:v>
      </x:c>
      <x:c r="X99" s="12" t="n">
        <x:v>50</x:v>
      </x:c>
      <x:c r="Y99" s="12" t="n">
        <x:v>50</x:v>
      </x:c>
      <x:c r="Z99" s="12" t="n">
        <x:f>ROUND(MAX(0,MIN(100,0.40*K99+0.20*L99+0.10*S99+0.15*V99+0.15*Y99)),0)</x:f>
        <x:v>51</x:v>
      </x:c>
      <x:c r="AA99" s="12" t="n">
        <x:f>ROUND(MAX(0,MIN(100,0.30*L99+0.20*K99+0.15*V99+0.15*W99+0.10*S99+0.10*(100-M99))),0)</x:f>
        <x:v>47</x:v>
      </x:c>
      <x:c r="AB99" s="12" t="n">
        <x:f>ROUND(MAX(0,MIN(100,0.30*M99+0.25*R99+0.20*Q99+0.15*K99+0.10*(100-T99))),0)</x:f>
        <x:v>33</x:v>
      </x:c>
      <x:c r="AC99" s="12" t="n">
        <x:f>ROUND(MAX(0,MIN(100,0.55*T99+0.15*S99+0.10*N99+0.10*V99+0.10*W99)),0)</x:f>
        <x:v>59</x:v>
      </x:c>
      <x:c r="AD99" s="12" t="n">
        <x:f>ROUND(MAX(0,MIN(100,0.25*O99+0.25*Q99+0.20*Y99+0.15*U99+0.15*(100-L99))),0)</x:f>
        <x:v>41</x:v>
      </x:c>
      <x:c r="AE99" s="12" t="n">
        <x:f>ROUND(MAX(0,MIN(100,0.30*Y99+0.25*S99+0.15*Q99+0.15*T99+0.15*X99)),0)</x:f>
        <x:v>42</x:v>
      </x:c>
      <x:c r="AF99" s="12" t="n">
        <x:f>ROUND(MAX(0,MIN(100,0.65*X99+0.35*Y99)),0)</x:f>
        <x:v>50</x:v>
      </x:c>
      <x:c r="AG99" s="12" t="str">
        <x:v>https://wikiwiki.jp/poke-unite/%E3%82%AA%E3%83%BC%E3%83%AD%E3%83%83%E3%83%88</x:v>
      </x:c>
      <x:c r="AH99" s="12" t="str">
        <x:v>「のろい」型は、前線で簡単には退かず、長い殴り合いで優位を作るタイプ。前線で粘り続けることと、長い戦いで圧を積み上げることを楽しめる人ほど持ち味を出しやすい。</x:v>
      </x:c>
      <x:c r="AI99" s="12" t="str">
        <x:v>自己遂行・前線維持・継続戦</x:v>
      </x:c>
      <x:c r="AJ99" s="12" t="n">
        <x:v>0</x:v>
      </x:c>
    </x:row>
    <x:row r="100">
      <x:c r="A100" s="12" t="str">
        <x:v>カビゴン</x:v>
      </x:c>
      <x:c r="B100" s="12" t="str">
        <x:v>ディフェンス型</x:v>
      </x:c>
      <x:c r="C100" s="12" t="str">
        <x:v>カビゴン-1</x:v>
      </x:c>
      <x:c r="D100" s="12" t="str">
        <x:v>ヘビーボンバー</x:v>
      </x:c>
      <x:c r="E100" s="12" t="str">
        <x:v>Vanguard / Warden</x:v>
      </x:c>
      <x:c r="F100" s="12" t="str">
        <x:v>Vanguard</x:v>
      </x:c>
      <x:c r="G100" s="12" t="str">
        <x:v>Warden</x:v>
      </x:c>
      <x:c r="H100" s="12" t="str">
        <x:v>立ち位置・戦闘距離・役割が大きく変わるため別プロファイル</x:v>
      </x:c>
      <x:c r="I100" s="12" t="str">
        <x:v>高</x:v>
      </x:c>
      <x:c r="J100" s="12" t="str">
        <x:v>2026-09-30</x:v>
      </x:c>
      <x:c r="K100" s="12" t="n">
        <x:v>100</x:v>
      </x:c>
      <x:c r="L100" s="12" t="n">
        <x:v>45</x:v>
      </x:c>
      <x:c r="M100" s="12" t="n">
        <x:v>95</x:v>
      </x:c>
      <x:c r="N100" s="12" t="n">
        <x:v>100</x:v>
      </x:c>
      <x:c r="O100" s="12" t="n">
        <x:v>0</x:v>
      </x:c>
      <x:c r="P100" s="12" t="n">
        <x:v>55</x:v>
      </x:c>
      <x:c r="Q100" s="12" t="n">
        <x:v>100</x:v>
      </x:c>
      <x:c r="R100" s="12" t="n">
        <x:v>30</x:v>
      </x:c>
      <x:c r="S100" s="12" t="n">
        <x:v>35</x:v>
      </x:c>
      <x:c r="T100" s="12" t="n">
        <x:v>40</x:v>
      </x:c>
      <x:c r="U100" s="12" t="n">
        <x:v>5</x:v>
      </x:c>
      <x:c r="V100" s="12" t="n">
        <x:v>30</x:v>
      </x:c>
      <x:c r="W100" s="12" t="n">
        <x:v>10</x:v>
      </x:c>
      <x:c r="X100" s="12" t="n">
        <x:v>45</x:v>
      </x:c>
      <x:c r="Y100" s="12" t="n">
        <x:v>85</x:v>
      </x:c>
      <x:c r="Z100" s="12" t="n">
        <x:f>ROUND(MAX(0,MIN(100,0.40*K100+0.20*L100+0.10*S100+0.15*V100+0.15*Y100)),0)</x:f>
        <x:v>70</x:v>
      </x:c>
      <x:c r="AA100" s="12" t="n">
        <x:f>ROUND(MAX(0,MIN(100,0.30*L100+0.20*K100+0.15*V100+0.15*W100+0.10*S100+0.10*(100-M100))),0)</x:f>
        <x:v>44</x:v>
      </x:c>
      <x:c r="AB100" s="12" t="n">
        <x:f>ROUND(MAX(0,MIN(100,0.30*M100+0.25*R100+0.20*Q100+0.15*K100+0.10*(100-T100))),0)</x:f>
        <x:v>77</x:v>
      </x:c>
      <x:c r="AC100" s="12" t="n">
        <x:f>ROUND(MAX(0,MIN(100,0.55*T100+0.15*S100+0.10*N100+0.10*V100+0.10*W100)),0)</x:f>
        <x:v>41</x:v>
      </x:c>
      <x:c r="AD100" s="12" t="n">
        <x:f>ROUND(MAX(0,MIN(100,0.25*O100+0.25*Q100+0.20*Y100+0.15*U100+0.15*(100-L100))),0)</x:f>
        <x:v>51</x:v>
      </x:c>
      <x:c r="AE100" s="12" t="n">
        <x:f>ROUND(MAX(0,MIN(100,0.30*Y100+0.25*S100+0.15*Q100+0.15*T100+0.15*X100)),0)</x:f>
        <x:v>62</x:v>
      </x:c>
      <x:c r="AF100" s="12" t="n">
        <x:f>ROUND(MAX(0,MIN(100,0.65*X100+0.35*Y100)),0)</x:f>
        <x:v>59</x:v>
      </x:c>
      <x:c r="AG100" s="12" t="str">
        <x:v>https://wikiwiki.jp/poke-unite/%E3%82%AB%E3%83%93%E3%82%B4%E3%83%B3</x:v>
      </x:c>
      <x:c r="AH100" s="12" t="str">
        <x:v>「ヘビーボンバー」型は、跳び込みから妨害を重ねて集団戦の起点を作るタンク型。自分で長く殴るより、相手の位置を崩して味方が動きやすい時間を作ることに向く。</x:v>
      </x:c>
      <x:c r="AI100" s="12" t="str">
        <x:v>盤面制御・接近戦・前線維持</x:v>
      </x:c>
      <x:c r="AJ100" s="12" t="n">
        <x:v>-0.1</x:v>
      </x:c>
    </x:row>
    <x:row r="101">
      <x:c r="A101" s="12" t="str">
        <x:v>カビゴン</x:v>
      </x:c>
      <x:c r="B101" s="12" t="str">
        <x:v>ディフェンス型</x:v>
      </x:c>
      <x:c r="C101" s="12" t="str">
        <x:v>カビゴン-2</x:v>
      </x:c>
      <x:c r="D101" s="12" t="str">
        <x:v>じたばた</x:v>
      </x:c>
      <x:c r="E101" s="12" t="str">
        <x:v>Juggernaut / Catcher</x:v>
      </x:c>
      <x:c r="F101" s="12" t="str">
        <x:v>Juggernaut</x:v>
      </x:c>
      <x:c r="G101" s="12" t="str">
        <x:v>Catcher</x:v>
      </x:c>
      <x:c r="H101" s="12" t="str">
        <x:v>立ち位置・戦闘距離・役割が大きく変わるため別プロファイル</x:v>
      </x:c>
      <x:c r="I101" s="12" t="str">
        <x:v>高</x:v>
      </x:c>
      <x:c r="J101" s="12" t="str">
        <x:v>2026-09-30</x:v>
      </x:c>
      <x:c r="K101" s="12" t="n">
        <x:v>70</x:v>
      </x:c>
      <x:c r="L101" s="12" t="n">
        <x:v>45</x:v>
      </x:c>
      <x:c r="M101" s="12" t="n">
        <x:v>35</x:v>
      </x:c>
      <x:c r="N101" s="12" t="n">
        <x:v>95</x:v>
      </x:c>
      <x:c r="O101" s="12" t="n">
        <x:v>35</x:v>
      </x:c>
      <x:c r="P101" s="12" t="n">
        <x:v>70</x:v>
      </x:c>
      <x:c r="Q101" s="12" t="n">
        <x:v>60</x:v>
      </x:c>
      <x:c r="R101" s="12" t="n">
        <x:v>5</x:v>
      </x:c>
      <x:c r="S101" s="12" t="n">
        <x:v>40</x:v>
      </x:c>
      <x:c r="T101" s="12" t="n">
        <x:v>70</x:v>
      </x:c>
      <x:c r="U101" s="12" t="n">
        <x:v>50</x:v>
      </x:c>
      <x:c r="V101" s="12" t="n">
        <x:v>55</x:v>
      </x:c>
      <x:c r="W101" s="12" t="n">
        <x:v>30</x:v>
      </x:c>
      <x:c r="X101" s="12" t="n">
        <x:v>60</x:v>
      </x:c>
      <x:c r="Y101" s="12" t="n">
        <x:v>75</x:v>
      </x:c>
      <x:c r="Z101" s="12" t="n">
        <x:f>ROUND(MAX(0,MIN(100,0.40*K101+0.20*L101+0.10*S101+0.15*V101+0.15*Y101)),0)</x:f>
        <x:v>61</x:v>
      </x:c>
      <x:c r="AA101" s="12" t="n">
        <x:f>ROUND(MAX(0,MIN(100,0.30*L101+0.20*K101+0.15*V101+0.15*W101+0.10*S101+0.10*(100-M101))),0)</x:f>
        <x:v>51</x:v>
      </x:c>
      <x:c r="AB101" s="12" t="n">
        <x:f>ROUND(MAX(0,MIN(100,0.30*M101+0.25*R101+0.20*Q101+0.15*K101+0.10*(100-T101))),0)</x:f>
        <x:v>37</x:v>
      </x:c>
      <x:c r="AC101" s="12" t="n">
        <x:f>ROUND(MAX(0,MIN(100,0.55*T101+0.15*S101+0.10*N101+0.10*V101+0.10*W101)),0)</x:f>
        <x:v>63</x:v>
      </x:c>
      <x:c r="AD101" s="12" t="n">
        <x:f>ROUND(MAX(0,MIN(100,0.25*O101+0.25*Q101+0.20*Y101+0.15*U101+0.15*(100-L101))),0)</x:f>
        <x:v>55</x:v>
      </x:c>
      <x:c r="AE101" s="12" t="n">
        <x:f>ROUND(MAX(0,MIN(100,0.30*Y101+0.25*S101+0.15*Q101+0.15*T101+0.15*X101)),0)</x:f>
        <x:v>61</x:v>
      </x:c>
      <x:c r="AF101" s="12" t="n">
        <x:f>ROUND(MAX(0,MIN(100,0.65*X101+0.35*Y101)),0)</x:f>
        <x:v>65</x:v>
      </x:c>
      <x:c r="AG101" s="12" t="str">
        <x:v>https://wikiwiki.jp/poke-unite/%E3%82%AB%E3%83%93%E3%82%B4%E3%83%B3</x:v>
      </x:c>
      <x:c r="AH101" s="12" t="str">
        <x:v>「じたばた」型は、耐久を活かして相手に張り付きながら継続火力を出すタンクファイター型。起点づくりより、自分で長く殴り合い続けるプレイを好む人に向く。</x:v>
      </x:c>
      <x:c r="AI101" s="12" t="str">
        <x:v>自己遂行・前線維持・状況判断</x:v>
      </x:c>
      <x:c r="AJ101" s="12" t="n">
        <x:v>-0.1</x:v>
      </x:c>
    </x:row>
    <x:row r="102">
      <x:c r="A102" s="12" t="str">
        <x:v>カメックス</x:v>
      </x:c>
      <x:c r="B102" s="12" t="str">
        <x:v>ディフェンス型</x:v>
      </x:c>
      <x:c r="C102" s="12" t="str">
        <x:v>カメックス-1</x:v>
      </x:c>
      <x:c r="D102" s="12" t="str">
        <x:v>なみのり</x:v>
      </x:c>
      <x:c r="E102" s="12" t="str">
        <x:v>Warden / Vanguard</x:v>
      </x:c>
      <x:c r="F102" s="12" t="str">
        <x:v>Warden</x:v>
      </x:c>
      <x:c r="G102" s="12" t="str">
        <x:v>Vanguard</x:v>
      </x:c>
      <x:c r="H102" s="12" t="str">
        <x:v>立ち位置・戦闘距離・役割が大きく変わるため別プロファイル</x:v>
      </x:c>
      <x:c r="I102" s="12" t="str">
        <x:v>高</x:v>
      </x:c>
      <x:c r="J102" s="12" t="str">
        <x:v>2026-09-30</x:v>
      </x:c>
      <x:c r="K102" s="12" t="n">
        <x:v>75</x:v>
      </x:c>
      <x:c r="L102" s="12" t="n">
        <x:v>40</x:v>
      </x:c>
      <x:c r="M102" s="12" t="n">
        <x:v>100</x:v>
      </x:c>
      <x:c r="N102" s="12" t="n">
        <x:v>100</x:v>
      </x:c>
      <x:c r="O102" s="12" t="n">
        <x:v>10</x:v>
      </x:c>
      <x:c r="P102" s="12" t="n">
        <x:v>45</x:v>
      </x:c>
      <x:c r="Q102" s="12" t="n">
        <x:v>100</x:v>
      </x:c>
      <x:c r="R102" s="12" t="n">
        <x:v>40</x:v>
      </x:c>
      <x:c r="S102" s="12" t="n">
        <x:v>30</x:v>
      </x:c>
      <x:c r="T102" s="12" t="n">
        <x:v>45</x:v>
      </x:c>
      <x:c r="U102" s="12" t="n">
        <x:v>10</x:v>
      </x:c>
      <x:c r="V102" s="12" t="n">
        <x:v>30</x:v>
      </x:c>
      <x:c r="W102" s="12" t="n">
        <x:v>20</x:v>
      </x:c>
      <x:c r="X102" s="12" t="n">
        <x:v>50</x:v>
      </x:c>
      <x:c r="Y102" s="12" t="n">
        <x:v>85</x:v>
      </x:c>
      <x:c r="Z102" s="12" t="n">
        <x:f>ROUND(MAX(0,MIN(100,0.40*K102+0.20*L102+0.10*S102+0.15*V102+0.15*Y102)),0)</x:f>
        <x:v>58</x:v>
      </x:c>
      <x:c r="AA102" s="12" t="n">
        <x:f>ROUND(MAX(0,MIN(100,0.30*L102+0.20*K102+0.15*V102+0.15*W102+0.10*S102+0.10*(100-M102))),0)</x:f>
        <x:v>38</x:v>
      </x:c>
      <x:c r="AB102" s="12" t="n">
        <x:f>ROUND(MAX(0,MIN(100,0.30*M102+0.25*R102+0.20*Q102+0.15*K102+0.10*(100-T102))),0)</x:f>
        <x:v>77</x:v>
      </x:c>
      <x:c r="AC102" s="12" t="n">
        <x:f>ROUND(MAX(0,MIN(100,0.55*T102+0.15*S102+0.10*N102+0.10*V102+0.10*W102)),0)</x:f>
        <x:v>44</x:v>
      </x:c>
      <x:c r="AD102" s="12" t="n">
        <x:f>ROUND(MAX(0,MIN(100,0.25*O102+0.25*Q102+0.20*Y102+0.15*U102+0.15*(100-L102))),0)</x:f>
        <x:v>55</x:v>
      </x:c>
      <x:c r="AE102" s="12" t="n">
        <x:f>ROUND(MAX(0,MIN(100,0.30*Y102+0.25*S102+0.15*Q102+0.15*T102+0.15*X102)),0)</x:f>
        <x:v>62</x:v>
      </x:c>
      <x:c r="AF102" s="12" t="n">
        <x:f>ROUND(MAX(0,MIN(100,0.65*X102+0.35*Y102)),0)</x:f>
        <x:v>62</x:v>
      </x:c>
      <x:c r="AG102" s="12" t="str">
        <x:v>https://wikiwiki.jp/poke-unite/%E3%82%AB%E3%83%A1%E3%83%83%E3%82%AF%E3%82%B9</x:v>
      </x:c>
      <x:c r="AH102" s="12" t="str">
        <x:v>「なみのり」型は、味方の近くで侵入を止め、安全に戦える空間を作るタイプ。味方が動きやすい空間を作ることと、前線で粘り続けることを楽しめる人ほど持ち味を出しやすい。</x:v>
      </x:c>
      <x:c r="AI102" s="12" t="str">
        <x:v>盤面制御・味方保護・前線維持</x:v>
      </x:c>
      <x:c r="AJ102" s="12" t="n">
        <x:v>0</x:v>
      </x:c>
    </x:row>
    <x:row r="103">
      <x:c r="A103" s="12" t="str">
        <x:v>カメックス</x:v>
      </x:c>
      <x:c r="B103" s="12" t="str">
        <x:v>ディフェンス型</x:v>
      </x:c>
      <x:c r="C103" s="12" t="str">
        <x:v>カメックス-2</x:v>
      </x:c>
      <x:c r="D103" s="12" t="str">
        <x:v>こうそくスピン</x:v>
      </x:c>
      <x:c r="E103" s="12" t="str">
        <x:v>Diver / Juggernaut</x:v>
      </x:c>
      <x:c r="F103" s="12" t="str">
        <x:v>Diver</x:v>
      </x:c>
      <x:c r="G103" s="12" t="str">
        <x:v>Juggernaut</x:v>
      </x:c>
      <x:c r="H103" s="12" t="str">
        <x:v>立ち位置・戦闘距離・役割が大きく変わるため別プロファイル</x:v>
      </x:c>
      <x:c r="I103" s="12" t="str">
        <x:v>高</x:v>
      </x:c>
      <x:c r="J103" s="12" t="str">
        <x:v>2026-09-30</x:v>
      </x:c>
      <x:c r="K103" s="12" t="n">
        <x:v>70</x:v>
      </x:c>
      <x:c r="L103" s="12" t="n">
        <x:v>75</x:v>
      </x:c>
      <x:c r="M103" s="12" t="n">
        <x:v>10</x:v>
      </x:c>
      <x:c r="N103" s="12" t="n">
        <x:v>85</x:v>
      </x:c>
      <x:c r="O103" s="12" t="n">
        <x:v>0</x:v>
      </x:c>
      <x:c r="P103" s="12" t="n">
        <x:v>65</x:v>
      </x:c>
      <x:c r="Q103" s="12" t="n">
        <x:v>45</x:v>
      </x:c>
      <x:c r="R103" s="12" t="n">
        <x:v>5</x:v>
      </x:c>
      <x:c r="S103" s="12" t="n">
        <x:v>65</x:v>
      </x:c>
      <x:c r="T103" s="12" t="n">
        <x:v>80</x:v>
      </x:c>
      <x:c r="U103" s="12" t="n">
        <x:v>50</x:v>
      </x:c>
      <x:c r="V103" s="12" t="n">
        <x:v>70</x:v>
      </x:c>
      <x:c r="W103" s="12" t="n">
        <x:v>40</x:v>
      </x:c>
      <x:c r="X103" s="12" t="n">
        <x:v>50</x:v>
      </x:c>
      <x:c r="Y103" s="12" t="n">
        <x:v>60</x:v>
      </x:c>
      <x:c r="Z103" s="12" t="n">
        <x:f>ROUND(MAX(0,MIN(100,0.40*K103+0.20*L103+0.10*S103+0.15*V103+0.15*Y103)),0)</x:f>
        <x:v>69</x:v>
      </x:c>
      <x:c r="AA103" s="12" t="n">
        <x:f>ROUND(MAX(0,MIN(100,0.30*L103+0.20*K103+0.15*V103+0.15*W103+0.10*S103+0.10*(100-M103))),0)</x:f>
        <x:v>69</x:v>
      </x:c>
      <x:c r="AB103" s="12" t="n">
        <x:f>ROUND(MAX(0,MIN(100,0.30*M103+0.25*R103+0.20*Q103+0.15*K103+0.10*(100-T103))),0)</x:f>
        <x:v>26</x:v>
      </x:c>
      <x:c r="AC103" s="12" t="n">
        <x:f>ROUND(MAX(0,MIN(100,0.55*T103+0.15*S103+0.10*N103+0.10*V103+0.10*W103)),0)</x:f>
        <x:v>73</x:v>
      </x:c>
      <x:c r="AD103" s="12" t="n">
        <x:f>ROUND(MAX(0,MIN(100,0.25*O103+0.25*Q103+0.20*Y103+0.15*U103+0.15*(100-L103))),0)</x:f>
        <x:v>35</x:v>
      </x:c>
      <x:c r="AE103" s="12" t="n">
        <x:f>ROUND(MAX(0,MIN(100,0.30*Y103+0.25*S103+0.15*Q103+0.15*T103+0.15*X103)),0)</x:f>
        <x:v>61</x:v>
      </x:c>
      <x:c r="AF103" s="12" t="n">
        <x:f>ROUND(MAX(0,MIN(100,0.65*X103+0.35*Y103)),0)</x:f>
        <x:v>54</x:v>
      </x:c>
      <x:c r="AG103" s="12" t="str">
        <x:v>https://wikiwiki.jp/poke-unite/%E3%82%AB%E3%83%A1%E3%83%83%E3%82%AF%E3%82%B9</x:v>
      </x:c>
      <x:c r="AH103" s="12" t="str">
        <x:v>「こうそくスピン」型は、自分から踏み込んで戦線を動かし、相手の中心に圧をかけるタイプ。深く踏み込んで勝負することと、長い戦いで圧を積み上げることを楽しめる人ほど持ち味を出しやすい。</x:v>
      </x:c>
      <x:c r="AI103" s="12" t="str">
        <x:v>接近戦・自己遂行・自分の仕事</x:v>
      </x:c>
      <x:c r="AJ103" s="12" t="n">
        <x:v>0</x:v>
      </x:c>
    </x:row>
    <x:row r="104">
      <x:c r="A104" s="12" t="str">
        <x:v>シャワーズ</x:v>
      </x:c>
      <x:c r="B104" s="12" t="str">
        <x:v>ディフェンス型</x:v>
      </x:c>
      <x:c r="C104" s="12" t="str">
        <x:v>シャワーズ-1</x:v>
      </x:c>
      <x:c r="D104" s="12" t="str">
        <x:v>アクアリング</x:v>
      </x:c>
      <x:c r="E104" s="12" t="str">
        <x:v>Enchanter / Warden</x:v>
      </x:c>
      <x:c r="F104" s="12" t="str">
        <x:v>Enchanter</x:v>
      </x:c>
      <x:c r="G104" s="12" t="str">
        <x:v>Warden</x:v>
      </x:c>
      <x:c r="H104" s="12" t="str">
        <x:v>立ち位置・戦闘距離・役割が大きく変わるため別プロファイル</x:v>
      </x:c>
      <x:c r="I104" s="12" t="str">
        <x:v>高</x:v>
      </x:c>
      <x:c r="J104" s="12" t="str">
        <x:v>2026-09-30</x:v>
      </x:c>
      <x:c r="K104" s="12" t="n">
        <x:v>30</x:v>
      </x:c>
      <x:c r="L104" s="12" t="n">
        <x:v>0</x:v>
      </x:c>
      <x:c r="M104" s="12" t="n">
        <x:v>100</x:v>
      </x:c>
      <x:c r="N104" s="12" t="n">
        <x:v>65</x:v>
      </x:c>
      <x:c r="O104" s="12" t="n">
        <x:v>25</x:v>
      </x:c>
      <x:c r="P104" s="12" t="n">
        <x:v>55</x:v>
      </x:c>
      <x:c r="Q104" s="12" t="n">
        <x:v>75</x:v>
      </x:c>
      <x:c r="R104" s="12" t="n">
        <x:v>100</x:v>
      </x:c>
      <x:c r="S104" s="12" t="n">
        <x:v>15</x:v>
      </x:c>
      <x:c r="T104" s="12" t="n">
        <x:v>40</x:v>
      </x:c>
      <x:c r="U104" s="12" t="n">
        <x:v>10</x:v>
      </x:c>
      <x:c r="V104" s="12" t="n">
        <x:v>25</x:v>
      </x:c>
      <x:c r="W104" s="12" t="n">
        <x:v>15</x:v>
      </x:c>
      <x:c r="X104" s="12" t="n">
        <x:v>50</x:v>
      </x:c>
      <x:c r="Y104" s="12" t="n">
        <x:v>95</x:v>
      </x:c>
      <x:c r="Z104" s="12" t="n">
        <x:f>ROUND(MAX(0,MIN(100,0.40*K104+0.20*L104+0.10*S104+0.15*V104+0.15*Y104)),0)</x:f>
        <x:v>32</x:v>
      </x:c>
      <x:c r="AA104" s="12" t="n">
        <x:f>ROUND(MAX(0,MIN(100,0.30*L104+0.20*K104+0.15*V104+0.15*W104+0.10*S104+0.10*(100-M104))),0)</x:f>
        <x:v>14</x:v>
      </x:c>
      <x:c r="AB104" s="12" t="n">
        <x:f>ROUND(MAX(0,MIN(100,0.30*M104+0.25*R104+0.20*Q104+0.15*K104+0.10*(100-T104))),0)</x:f>
        <x:v>81</x:v>
      </x:c>
      <x:c r="AC104" s="12" t="n">
        <x:f>ROUND(MAX(0,MIN(100,0.55*T104+0.15*S104+0.10*N104+0.10*V104+0.10*W104)),0)</x:f>
        <x:v>35</x:v>
      </x:c>
      <x:c r="AD104" s="12" t="n">
        <x:f>ROUND(MAX(0,MIN(100,0.25*O104+0.25*Q104+0.20*Y104+0.15*U104+0.15*(100-L104))),0)</x:f>
        <x:v>61</x:v>
      </x:c>
      <x:c r="AE104" s="12" t="n">
        <x:f>ROUND(MAX(0,MIN(100,0.30*Y104+0.25*S104+0.15*Q104+0.15*T104+0.15*X104)),0)</x:f>
        <x:v>57</x:v>
      </x:c>
      <x:c r="AF104" s="12" t="n">
        <x:f>ROUND(MAX(0,MIN(100,0.65*X104+0.35*Y104)),0)</x:f>
        <x:v>66</x:v>
      </x:c>
      <x:c r="AG104" s="12" t="str">
        <x:v>https://wikiwiki.jp/poke-unite/%E3%82%B7%E3%83%A3%E3%83%AF%E3%83%BC%E3%82%BA</x:v>
      </x:c>
      <x:c r="AH104" s="12" t="str">
        <x:v>「アクアリング」型は、味方の強みを引き出し、支援のタイミングで流れを変えるタイプ。味方が動きやすい空間を作ることと、味方の強みを引き出すことを楽しめる人ほど持ち味を出しやすい。</x:v>
      </x:c>
      <x:c r="AI104" s="12" t="str">
        <x:v>直接支援・安全ライン・味方保護</x:v>
      </x:c>
      <x:c r="AJ104" s="12" t="n">
        <x:v>0</x:v>
      </x:c>
    </x:row>
    <x:row r="105">
      <x:c r="A105" s="12" t="str">
        <x:v>シャワーズ</x:v>
      </x:c>
      <x:c r="B105" s="12" t="str">
        <x:v>ディフェンス型</x:v>
      </x:c>
      <x:c r="C105" s="12" t="str">
        <x:v>シャワーズ-2</x:v>
      </x:c>
      <x:c r="D105" s="12" t="str">
        <x:v>クイックターン</x:v>
      </x:c>
      <x:c r="E105" s="12" t="str">
        <x:v>Warden / Diver</x:v>
      </x:c>
      <x:c r="F105" s="12" t="str">
        <x:v>Warden</x:v>
      </x:c>
      <x:c r="G105" s="12" t="str">
        <x:v>Diver</x:v>
      </x:c>
      <x:c r="H105" s="12" t="str">
        <x:v>立ち位置・戦闘距離・役割が大きく変わるため別プロファイル</x:v>
      </x:c>
      <x:c r="I105" s="12" t="str">
        <x:v>高</x:v>
      </x:c>
      <x:c r="J105" s="12" t="str">
        <x:v>2026-09-30</x:v>
      </x:c>
      <x:c r="K105" s="12" t="n">
        <x:v>65</x:v>
      </x:c>
      <x:c r="L105" s="12" t="n">
        <x:v>45</x:v>
      </x:c>
      <x:c r="M105" s="12" t="n">
        <x:v>75</x:v>
      </x:c>
      <x:c r="N105" s="12" t="n">
        <x:v>85</x:v>
      </x:c>
      <x:c r="O105" s="12" t="n">
        <x:v>10</x:v>
      </x:c>
      <x:c r="P105" s="12" t="n">
        <x:v>45</x:v>
      </x:c>
      <x:c r="Q105" s="12" t="n">
        <x:v>90</x:v>
      </x:c>
      <x:c r="R105" s="12" t="n">
        <x:v>15</x:v>
      </x:c>
      <x:c r="S105" s="12" t="n">
        <x:v>55</x:v>
      </x:c>
      <x:c r="T105" s="12" t="n">
        <x:v>60</x:v>
      </x:c>
      <x:c r="U105" s="12" t="n">
        <x:v>30</x:v>
      </x:c>
      <x:c r="V105" s="12" t="n">
        <x:v>40</x:v>
      </x:c>
      <x:c r="W105" s="12" t="n">
        <x:v>30</x:v>
      </x:c>
      <x:c r="X105" s="12" t="n">
        <x:v>60</x:v>
      </x:c>
      <x:c r="Y105" s="12" t="n">
        <x:v>75</x:v>
      </x:c>
      <x:c r="Z105" s="12" t="n">
        <x:f>ROUND(MAX(0,MIN(100,0.40*K105+0.20*L105+0.10*S105+0.15*V105+0.15*Y105)),0)</x:f>
        <x:v>58</x:v>
      </x:c>
      <x:c r="AA105" s="12" t="n">
        <x:f>ROUND(MAX(0,MIN(100,0.30*L105+0.20*K105+0.15*V105+0.15*W105+0.10*S105+0.10*(100-M105))),0)</x:f>
        <x:v>45</x:v>
      </x:c>
      <x:c r="AB105" s="12" t="n">
        <x:f>ROUND(MAX(0,MIN(100,0.30*M105+0.25*R105+0.20*Q105+0.15*K105+0.10*(100-T105))),0)</x:f>
        <x:v>58</x:v>
      </x:c>
      <x:c r="AC105" s="12" t="n">
        <x:f>ROUND(MAX(0,MIN(100,0.55*T105+0.15*S105+0.10*N105+0.10*V105+0.10*W105)),0)</x:f>
        <x:v>57</x:v>
      </x:c>
      <x:c r="AD105" s="12" t="n">
        <x:f>ROUND(MAX(0,MIN(100,0.25*O105+0.25*Q105+0.20*Y105+0.15*U105+0.15*(100-L105))),0)</x:f>
        <x:v>53</x:v>
      </x:c>
      <x:c r="AE105" s="12" t="n">
        <x:f>ROUND(MAX(0,MIN(100,0.30*Y105+0.25*S105+0.15*Q105+0.15*T105+0.15*X105)),0)</x:f>
        <x:v>68</x:v>
      </x:c>
      <x:c r="AF105" s="12" t="n">
        <x:f>ROUND(MAX(0,MIN(100,0.65*X105+0.35*Y105)),0)</x:f>
        <x:v>65</x:v>
      </x:c>
      <x:c r="AG105" s="12" t="str">
        <x:v>https://wikiwiki.jp/poke-unite/%E3%82%B7%E3%83%A3%E3%83%AF%E3%83%BC%E3%82%BA</x:v>
      </x:c>
      <x:c r="AH105" s="12" t="str">
        <x:v>「クイックターン」型は、味方の近くで侵入を止め、安全に戦える空間を作るタイプ。相手の動きと位置を制限することと、前線で粘り続けることを楽しめる人ほど持ち味を出しやすい。</x:v>
      </x:c>
      <x:c r="AI105" s="12" t="str">
        <x:v>盤面制御・接近戦・自己遂行</x:v>
      </x:c>
      <x:c r="AJ105" s="12" t="n">
        <x:v>0</x:v>
      </x:c>
    </x:row>
    <x:row r="106">
      <x:c r="A106" s="12" t="str">
        <x:v>ヌメルゴン</x:v>
      </x:c>
      <x:c r="B106" s="12" t="str">
        <x:v>ディフェンス型</x:v>
      </x:c>
      <x:c r="C106" s="12" t="str">
        <x:v>ヌメルゴン-1</x:v>
      </x:c>
      <x:c r="D106" s="12" t="str">
        <x:v>共通</x:v>
      </x:c>
      <x:c r="E106" s="12" t="str">
        <x:v>Juggernaut</x:v>
      </x:c>
      <x:c r="F106" s="12" t="str">
        <x:v>Juggernaut</x:v>
      </x:c>
      <x:c r="G106" s="12"/>
      <x:c r="H106" s="12" t="str">
        <x:v>技で細部は変わるが、診断上のプレイ人格は大きく変わらないため統合</x:v>
      </x:c>
      <x:c r="I106" s="12" t="str">
        <x:v>高</x:v>
      </x:c>
      <x:c r="J106" s="12" t="str">
        <x:v>2026-09-30</x:v>
      </x:c>
      <x:c r="K106" s="12" t="n">
        <x:v>55</x:v>
      </x:c>
      <x:c r="L106" s="12" t="n">
        <x:v>45</x:v>
      </x:c>
      <x:c r="M106" s="12" t="n">
        <x:v>45</x:v>
      </x:c>
      <x:c r="N106" s="12" t="n">
        <x:v>100</x:v>
      </x:c>
      <x:c r="O106" s="12" t="n">
        <x:v>10</x:v>
      </x:c>
      <x:c r="P106" s="12" t="n">
        <x:v>90</x:v>
      </x:c>
      <x:c r="Q106" s="12" t="n">
        <x:v>20</x:v>
      </x:c>
      <x:c r="R106" s="12" t="n">
        <x:v>5</x:v>
      </x:c>
      <x:c r="S106" s="12" t="n">
        <x:v>20</x:v>
      </x:c>
      <x:c r="T106" s="12" t="n">
        <x:v>85</x:v>
      </x:c>
      <x:c r="U106" s="12" t="n">
        <x:v>70</x:v>
      </x:c>
      <x:c r="V106" s="12" t="n">
        <x:v>75</x:v>
      </x:c>
      <x:c r="W106" s="12" t="n">
        <x:v>30</x:v>
      </x:c>
      <x:c r="X106" s="12" t="n">
        <x:v>50</x:v>
      </x:c>
      <x:c r="Y106" s="12" t="n">
        <x:v>50</x:v>
      </x:c>
      <x:c r="Z106" s="12" t="n">
        <x:f>ROUND(MAX(0,MIN(100,0.40*K106+0.20*L106+0.10*S106+0.15*V106+0.15*Y106)),0)</x:f>
        <x:v>52</x:v>
      </x:c>
      <x:c r="AA106" s="12" t="n">
        <x:f>ROUND(MAX(0,MIN(100,0.30*L106+0.20*K106+0.15*V106+0.15*W106+0.10*S106+0.10*(100-M106))),0)</x:f>
        <x:v>48</x:v>
      </x:c>
      <x:c r="AB106" s="12" t="n">
        <x:f>ROUND(MAX(0,MIN(100,0.30*M106+0.25*R106+0.20*Q106+0.15*K106+0.10*(100-T106))),0)</x:f>
        <x:v>29</x:v>
      </x:c>
      <x:c r="AC106" s="12" t="n">
        <x:f>ROUND(MAX(0,MIN(100,0.55*T106+0.15*S106+0.10*N106+0.10*V106+0.10*W106)),0)</x:f>
        <x:v>70</x:v>
      </x:c>
      <x:c r="AD106" s="12" t="n">
        <x:f>ROUND(MAX(0,MIN(100,0.25*O106+0.25*Q106+0.20*Y106+0.15*U106+0.15*(100-L106))),0)</x:f>
        <x:v>36</x:v>
      </x:c>
      <x:c r="AE106" s="12" t="n">
        <x:f>ROUND(MAX(0,MIN(100,0.30*Y106+0.25*S106+0.15*Q106+0.15*T106+0.15*X106)),0)</x:f>
        <x:v>43</x:v>
      </x:c>
      <x:c r="AF106" s="12" t="n">
        <x:f>ROUND(MAX(0,MIN(100,0.65*X106+0.35*Y106)),0)</x:f>
        <x:v>50</x:v>
      </x:c>
      <x:c r="AG106" s="12" t="str">
        <x:v>https://wikiwiki.jp/poke-unite/%E3%83%8C%E3%83%A1%E3%83%AB%E3%82%B4%E3%83%B3</x:v>
      </x:c>
      <x:c r="AH106" s="12" t="str">
        <x:v>前線で簡単には退かず、長い殴り合いで優位を作るタイプ。前線で粘り続けることと、長い戦いで圧を積み上げることを楽しめる人ほど持ち味を出しやすい。</x:v>
      </x:c>
      <x:c r="AI106" s="12" t="str">
        <x:v>前線維持・自己遂行・継続戦</x:v>
      </x:c>
      <x:c r="AJ106" s="12" t="n">
        <x:v>0</x:v>
      </x:c>
    </x:row>
    <x:row r="107">
      <x:c r="A107" s="12" t="str">
        <x:v>フリーザー</x:v>
      </x:c>
      <x:c r="B107" s="12" t="str">
        <x:v>ディフェンス型</x:v>
      </x:c>
      <x:c r="C107" s="12" t="str">
        <x:v>フリーザー-1</x:v>
      </x:c>
      <x:c r="D107" s="12" t="str">
        <x:v>共通</x:v>
      </x:c>
      <x:c r="E107" s="12" t="str">
        <x:v>Warden</x:v>
      </x:c>
      <x:c r="F107" s="12" t="str">
        <x:v>Warden</x:v>
      </x:c>
      <x:c r="G107" s="12"/>
      <x:c r="H107" s="12" t="str">
        <x:v>技で細部は変わるが、診断上のプレイ人格は大きく変わらないため統合</x:v>
      </x:c>
      <x:c r="I107" s="12" t="str">
        <x:v>中</x:v>
      </x:c>
      <x:c r="J107" s="12" t="str">
        <x:v>2026-09-30</x:v>
      </x:c>
      <x:c r="K107" s="12" t="n">
        <x:v>35</x:v>
      </x:c>
      <x:c r="L107" s="12" t="n">
        <x:v>0</x:v>
      </x:c>
      <x:c r="M107" s="12" t="n">
        <x:v>100</x:v>
      </x:c>
      <x:c r="N107" s="12" t="n">
        <x:v>100</x:v>
      </x:c>
      <x:c r="O107" s="12" t="n">
        <x:v>30</x:v>
      </x:c>
      <x:c r="P107" s="12" t="n">
        <x:v>60</x:v>
      </x:c>
      <x:c r="Q107" s="12" t="n">
        <x:v>100</x:v>
      </x:c>
      <x:c r="R107" s="12" t="n">
        <x:v>50</x:v>
      </x:c>
      <x:c r="S107" s="12" t="n">
        <x:v>10</x:v>
      </x:c>
      <x:c r="T107" s="12" t="n">
        <x:v>45</x:v>
      </x:c>
      <x:c r="U107" s="12" t="n">
        <x:v>10</x:v>
      </x:c>
      <x:c r="V107" s="12" t="n">
        <x:v>30</x:v>
      </x:c>
      <x:c r="W107" s="12" t="n">
        <x:v>10</x:v>
      </x:c>
      <x:c r="X107" s="12" t="n">
        <x:v>50</x:v>
      </x:c>
      <x:c r="Y107" s="12" t="n">
        <x:v>85</x:v>
      </x:c>
      <x:c r="Z107" s="12" t="n">
        <x:f>ROUND(MAX(0,MIN(100,0.40*K107+0.20*L107+0.10*S107+0.15*V107+0.15*Y107)),0)</x:f>
        <x:v>32</x:v>
      </x:c>
      <x:c r="AA107" s="12" t="n">
        <x:f>ROUND(MAX(0,MIN(100,0.30*L107+0.20*K107+0.15*V107+0.15*W107+0.10*S107+0.10*(100-M107))),0)</x:f>
        <x:v>14</x:v>
      </x:c>
      <x:c r="AB107" s="12" t="n">
        <x:f>ROUND(MAX(0,MIN(100,0.30*M107+0.25*R107+0.20*Q107+0.15*K107+0.10*(100-T107))),0)</x:f>
        <x:v>73</x:v>
      </x:c>
      <x:c r="AC107" s="12" t="n">
        <x:f>ROUND(MAX(0,MIN(100,0.55*T107+0.15*S107+0.10*N107+0.10*V107+0.10*W107)),0)</x:f>
        <x:v>40</x:v>
      </x:c>
      <x:c r="AD107" s="12" t="n">
        <x:f>ROUND(MAX(0,MIN(100,0.25*O107+0.25*Q107+0.20*Y107+0.15*U107+0.15*(100-L107))),0)</x:f>
        <x:v>66</x:v>
      </x:c>
      <x:c r="AE107" s="12" t="n">
        <x:f>ROUND(MAX(0,MIN(100,0.30*Y107+0.25*S107+0.15*Q107+0.15*T107+0.15*X107)),0)</x:f>
        <x:v>57</x:v>
      </x:c>
      <x:c r="AF107" s="12" t="n">
        <x:f>ROUND(MAX(0,MIN(100,0.65*X107+0.35*Y107)),0)</x:f>
        <x:v>62</x:v>
      </x:c>
      <x:c r="AG107" s="12" t="str">
        <x:v>https://wikiwiki.jp/poke-unite/%E3%83%95%E3%83%AA%E3%83%BC%E3%82%B6%E3%83%BC</x:v>
      </x:c>
      <x:c r="AH107" s="12" t="str">
        <x:v>味方の近くで侵入を止め、安全に戦える空間を作るタイプ。味方が動きやすい空間を作ることと、前線で粘り続けることを楽しめる人ほど持ち味を出しやすい。</x:v>
      </x:c>
      <x:c r="AI107" s="12" t="str">
        <x:v>盤面制御・安全ライン・味方保護</x:v>
      </x:c>
      <x:c r="AJ107" s="12" t="n">
        <x:v>0</x:v>
      </x:c>
    </x:row>
    <x:row r="108">
      <x:c r="A108" s="12" t="str">
        <x:v>ブラッキー</x:v>
      </x:c>
      <x:c r="B108" s="12" t="str">
        <x:v>ディフェンス型</x:v>
      </x:c>
      <x:c r="C108" s="12" t="str">
        <x:v>ブラッキー-1</x:v>
      </x:c>
      <x:c r="D108" s="12" t="str">
        <x:v>ねがいごと</x:v>
      </x:c>
      <x:c r="E108" s="12" t="str">
        <x:v>Enchanter / Warden</x:v>
      </x:c>
      <x:c r="F108" s="12" t="str">
        <x:v>Enchanter</x:v>
      </x:c>
      <x:c r="G108" s="12" t="str">
        <x:v>Warden</x:v>
      </x:c>
      <x:c r="H108" s="12" t="str">
        <x:v>立ち位置・戦闘距離・役割が大きく変わるため別プロファイル</x:v>
      </x:c>
      <x:c r="I108" s="12" t="str">
        <x:v>高</x:v>
      </x:c>
      <x:c r="J108" s="12" t="str">
        <x:v>2026-09-30</x:v>
      </x:c>
      <x:c r="K108" s="12" t="n">
        <x:v>20</x:v>
      </x:c>
      <x:c r="L108" s="12" t="n">
        <x:v>0</x:v>
      </x:c>
      <x:c r="M108" s="12" t="n">
        <x:v>100</x:v>
      </x:c>
      <x:c r="N108" s="12" t="n">
        <x:v>60</x:v>
      </x:c>
      <x:c r="O108" s="12" t="n">
        <x:v>25</x:v>
      </x:c>
      <x:c r="P108" s="12" t="n">
        <x:v>55</x:v>
      </x:c>
      <x:c r="Q108" s="12" t="n">
        <x:v>80</x:v>
      </x:c>
      <x:c r="R108" s="12" t="n">
        <x:v>95</x:v>
      </x:c>
      <x:c r="S108" s="12" t="n">
        <x:v>20</x:v>
      </x:c>
      <x:c r="T108" s="12" t="n">
        <x:v>40</x:v>
      </x:c>
      <x:c r="U108" s="12" t="n">
        <x:v>10</x:v>
      </x:c>
      <x:c r="V108" s="12" t="n">
        <x:v>25</x:v>
      </x:c>
      <x:c r="W108" s="12" t="n">
        <x:v>15</x:v>
      </x:c>
      <x:c r="X108" s="12" t="n">
        <x:v>50</x:v>
      </x:c>
      <x:c r="Y108" s="12" t="n">
        <x:v>95</x:v>
      </x:c>
      <x:c r="Z108" s="12" t="n">
        <x:f>ROUND(MAX(0,MIN(100,0.40*K108+0.20*L108+0.10*S108+0.15*V108+0.15*Y108)),0)</x:f>
        <x:v>28</x:v>
      </x:c>
      <x:c r="AA108" s="12" t="n">
        <x:f>ROUND(MAX(0,MIN(100,0.30*L108+0.20*K108+0.15*V108+0.15*W108+0.10*S108+0.10*(100-M108))),0)</x:f>
        <x:v>12</x:v>
      </x:c>
      <x:c r="AB108" s="12" t="n">
        <x:f>ROUND(MAX(0,MIN(100,0.30*M108+0.25*R108+0.20*Q108+0.15*K108+0.10*(100-T108))),0)</x:f>
        <x:v>79</x:v>
      </x:c>
      <x:c r="AC108" s="12" t="n">
        <x:f>ROUND(MAX(0,MIN(100,0.55*T108+0.15*S108+0.10*N108+0.10*V108+0.10*W108)),0)</x:f>
        <x:v>35</x:v>
      </x:c>
      <x:c r="AD108" s="12" t="n">
        <x:f>ROUND(MAX(0,MIN(100,0.25*O108+0.25*Q108+0.20*Y108+0.15*U108+0.15*(100-L108))),0)</x:f>
        <x:v>62</x:v>
      </x:c>
      <x:c r="AE108" s="12" t="n">
        <x:f>ROUND(MAX(0,MIN(100,0.30*Y108+0.25*S108+0.15*Q108+0.15*T108+0.15*X108)),0)</x:f>
        <x:v>59</x:v>
      </x:c>
      <x:c r="AF108" s="12" t="n">
        <x:f>ROUND(MAX(0,MIN(100,0.65*X108+0.35*Y108)),0)</x:f>
        <x:v>66</x:v>
      </x:c>
      <x:c r="AG108" s="12" t="str">
        <x:v>https://wikiwiki.jp/poke-unite/%E3%83%96%E3%83%A9%E3%83%83%E3%82%AD%E3%83%BC</x:v>
      </x:c>
      <x:c r="AH108" s="12" t="str">
        <x:v>「ねがいごと」型は、味方の強みを引き出し、支援のタイミングで流れを変えるタイプ。味方が動きやすい空間を作ることと、味方の強みを引き出すことを楽しめる人ほど持ち味を出しやすい。</x:v>
      </x:c>
      <x:c r="AI108" s="12" t="str">
        <x:v>安全ライン・味方保護・直接支援</x:v>
      </x:c>
      <x:c r="AJ108" s="12" t="n">
        <x:v>0</x:v>
      </x:c>
    </x:row>
    <x:row r="109">
      <x:c r="A109" s="12" t="str">
        <x:v>ブラッキー</x:v>
      </x:c>
      <x:c r="B109" s="12" t="str">
        <x:v>ディフェンス型</x:v>
      </x:c>
      <x:c r="C109" s="12" t="str">
        <x:v>ブラッキー-2</x:v>
      </x:c>
      <x:c r="D109" s="12" t="str">
        <x:v>イカサマ</x:v>
      </x:c>
      <x:c r="E109" s="12" t="str">
        <x:v>Vanguard / Warden</x:v>
      </x:c>
      <x:c r="F109" s="12" t="str">
        <x:v>Vanguard</x:v>
      </x:c>
      <x:c r="G109" s="12" t="str">
        <x:v>Warden</x:v>
      </x:c>
      <x:c r="H109" s="12" t="str">
        <x:v>立ち位置・戦闘距離・役割が大きく変わるため別プロファイル</x:v>
      </x:c>
      <x:c r="I109" s="12" t="str">
        <x:v>高</x:v>
      </x:c>
      <x:c r="J109" s="12" t="str">
        <x:v>2026-09-30</x:v>
      </x:c>
      <x:c r="K109" s="12" t="n">
        <x:v>100</x:v>
      </x:c>
      <x:c r="L109" s="12" t="n">
        <x:v>45</x:v>
      </x:c>
      <x:c r="M109" s="12" t="n">
        <x:v>80</x:v>
      </x:c>
      <x:c r="N109" s="12" t="n">
        <x:v>100</x:v>
      </x:c>
      <x:c r="O109" s="12" t="n">
        <x:v>0</x:v>
      </x:c>
      <x:c r="P109" s="12" t="n">
        <x:v>55</x:v>
      </x:c>
      <x:c r="Q109" s="12" t="n">
        <x:v>100</x:v>
      </x:c>
      <x:c r="R109" s="12" t="n">
        <x:v>10</x:v>
      </x:c>
      <x:c r="S109" s="12" t="n">
        <x:v>35</x:v>
      </x:c>
      <x:c r="T109" s="12" t="n">
        <x:v>50</x:v>
      </x:c>
      <x:c r="U109" s="12" t="n">
        <x:v>15</x:v>
      </x:c>
      <x:c r="V109" s="12" t="n">
        <x:v>30</x:v>
      </x:c>
      <x:c r="W109" s="12" t="n">
        <x:v>10</x:v>
      </x:c>
      <x:c r="X109" s="12" t="n">
        <x:v>55</x:v>
      </x:c>
      <x:c r="Y109" s="12" t="n">
        <x:v>85</x:v>
      </x:c>
      <x:c r="Z109" s="12" t="n">
        <x:f>ROUND(MAX(0,MIN(100,0.40*K109+0.20*L109+0.10*S109+0.15*V109+0.15*Y109)),0)</x:f>
        <x:v>70</x:v>
      </x:c>
      <x:c r="AA109" s="12" t="n">
        <x:f>ROUND(MAX(0,MIN(100,0.30*L109+0.20*K109+0.15*V109+0.15*W109+0.10*S109+0.10*(100-M109))),0)</x:f>
        <x:v>45</x:v>
      </x:c>
      <x:c r="AB109" s="12" t="n">
        <x:f>ROUND(MAX(0,MIN(100,0.30*M109+0.25*R109+0.20*Q109+0.15*K109+0.10*(100-T109))),0)</x:f>
        <x:v>67</x:v>
      </x:c>
      <x:c r="AC109" s="12" t="n">
        <x:f>ROUND(MAX(0,MIN(100,0.55*T109+0.15*S109+0.10*N109+0.10*V109+0.10*W109)),0)</x:f>
        <x:v>47</x:v>
      </x:c>
      <x:c r="AD109" s="12" t="n">
        <x:f>ROUND(MAX(0,MIN(100,0.25*O109+0.25*Q109+0.20*Y109+0.15*U109+0.15*(100-L109))),0)</x:f>
        <x:v>53</x:v>
      </x:c>
      <x:c r="AE109" s="12" t="n">
        <x:f>ROUND(MAX(0,MIN(100,0.30*Y109+0.25*S109+0.15*Q109+0.15*T109+0.15*X109)),0)</x:f>
        <x:v>65</x:v>
      </x:c>
      <x:c r="AF109" s="12" t="n">
        <x:f>ROUND(MAX(0,MIN(100,0.65*X109+0.35*Y109)),0)</x:f>
        <x:v>66</x:v>
      </x:c>
      <x:c r="AG109" s="12" t="str">
        <x:v>https://wikiwiki.jp/poke-unite/%E3%83%96%E3%83%A9%E3%83%83%E3%82%AD%E3%83%BC</x:v>
      </x:c>
      <x:c r="AH109" s="12" t="str">
        <x:v>「イカサマ」型は、先頭で接触を作り、相手の動きを止めて味方の道を開くタイプ。前線で粘り続けることと、相手の動きと位置を制限することを楽しめる人ほど持ち味を出しやすい。</x:v>
      </x:c>
      <x:c r="AI109" s="12" t="str">
        <x:v>盤面制御・接近戦・前線維持</x:v>
      </x:c>
      <x:c r="AJ109" s="12" t="n">
        <x:v>0</x:v>
      </x:c>
    </x:row>
    <x:row r="110">
      <x:c r="A110" s="12" t="str">
        <x:v>ホウオウ</x:v>
      </x:c>
      <x:c r="B110" s="12" t="str">
        <x:v>ディフェンス型</x:v>
      </x:c>
      <x:c r="C110" s="12" t="str">
        <x:v>ホウオウ-1</x:v>
      </x:c>
      <x:c r="D110" s="12" t="str">
        <x:v>かえんほうしゃ</x:v>
      </x:c>
      <x:c r="E110" s="12" t="str">
        <x:v>Juggernaut / Enchanter</x:v>
      </x:c>
      <x:c r="F110" s="12" t="str">
        <x:v>Juggernaut</x:v>
      </x:c>
      <x:c r="G110" s="12" t="str">
        <x:v>Enchanter</x:v>
      </x:c>
      <x:c r="H110" s="12" t="str">
        <x:v>立ち位置・戦闘距離・役割が大きく変わるため別プロファイル</x:v>
      </x:c>
      <x:c r="I110" s="12" t="str">
        <x:v>高</x:v>
      </x:c>
      <x:c r="J110" s="12" t="str">
        <x:v>2026-09-30</x:v>
      </x:c>
      <x:c r="K110" s="12" t="n">
        <x:v>25</x:v>
      </x:c>
      <x:c r="L110" s="12" t="n">
        <x:v>10</x:v>
      </x:c>
      <x:c r="M110" s="12" t="n">
        <x:v>60</x:v>
      </x:c>
      <x:c r="N110" s="12" t="n">
        <x:v>95</x:v>
      </x:c>
      <x:c r="O110" s="12" t="n">
        <x:v>45</x:v>
      </x:c>
      <x:c r="P110" s="12" t="n">
        <x:v>95</x:v>
      </x:c>
      <x:c r="Q110" s="12" t="n">
        <x:v>50</x:v>
      </x:c>
      <x:c r="R110" s="12" t="n">
        <x:v>55</x:v>
      </x:c>
      <x:c r="S110" s="12" t="n">
        <x:v>10</x:v>
      </x:c>
      <x:c r="T110" s="12" t="n">
        <x:v>40</x:v>
      </x:c>
      <x:c r="U110" s="12" t="n">
        <x:v>5</x:v>
      </x:c>
      <x:c r="V110" s="12" t="n">
        <x:v>15</x:v>
      </x:c>
      <x:c r="W110" s="12" t="n">
        <x:v>10</x:v>
      </x:c>
      <x:c r="X110" s="12" t="n">
        <x:v>30</x:v>
      </x:c>
      <x:c r="Y110" s="12" t="n">
        <x:v>75</x:v>
      </x:c>
      <x:c r="Z110" s="12" t="n">
        <x:f>ROUND(MAX(0,MIN(100,0.40*K110+0.20*L110+0.10*S110+0.15*V110+0.15*Y110)),0)</x:f>
        <x:v>27</x:v>
      </x:c>
      <x:c r="AA110" s="12" t="n">
        <x:f>ROUND(MAX(0,MIN(100,0.30*L110+0.20*K110+0.15*V110+0.15*W110+0.10*S110+0.10*(100-M110))),0)</x:f>
        <x:v>17</x:v>
      </x:c>
      <x:c r="AB110" s="12" t="n">
        <x:f>ROUND(MAX(0,MIN(100,0.30*M110+0.25*R110+0.20*Q110+0.15*K110+0.10*(100-T110))),0)</x:f>
        <x:v>52</x:v>
      </x:c>
      <x:c r="AC110" s="12" t="n">
        <x:f>ROUND(MAX(0,MIN(100,0.55*T110+0.15*S110+0.10*N110+0.10*V110+0.10*W110)),0)</x:f>
        <x:v>36</x:v>
      </x:c>
      <x:c r="AD110" s="12" t="n">
        <x:f>ROUND(MAX(0,MIN(100,0.25*O110+0.25*Q110+0.20*Y110+0.15*U110+0.15*(100-L110))),0)</x:f>
        <x:v>53</x:v>
      </x:c>
      <x:c r="AE110" s="12" t="n">
        <x:f>ROUND(MAX(0,MIN(100,0.30*Y110+0.25*S110+0.15*Q110+0.15*T110+0.15*X110)),0)</x:f>
        <x:v>43</x:v>
      </x:c>
      <x:c r="AF110" s="12" t="n">
        <x:f>ROUND(MAX(0,MIN(100,0.65*X110+0.35*Y110)),0)</x:f>
        <x:v>46</x:v>
      </x:c>
      <x:c r="AG110" s="12" t="str">
        <x:v>https://wikiwiki.jp/poke-unite/%E3%83%9B%E3%82%A6%E3%82%AA%E3%82%A6</x:v>
      </x:c>
      <x:c r="AH110" s="12" t="str">
        <x:v>「かえんほうしゃ」型は、前線で簡単には退かず、長い殴り合いで優位を作るタイプ。前線で粘り続けることと、長い戦いで圧を積み上げることを楽しめる人ほど持ち味を出しやすい。</x:v>
      </x:c>
      <x:c r="AI110" s="12" t="str">
        <x:v>継続戦・序盤即応・前線維持</x:v>
      </x:c>
      <x:c r="AJ110" s="12" t="n">
        <x:v>-0.9</x:v>
      </x:c>
    </x:row>
    <x:row r="111">
      <x:c r="A111" s="12" t="str">
        <x:v>ホウオウ</x:v>
      </x:c>
      <x:c r="B111" s="12" t="str">
        <x:v>ディフェンス型</x:v>
      </x:c>
      <x:c r="C111" s="12" t="str">
        <x:v>ホウオウ-2</x:v>
      </x:c>
      <x:c r="D111" s="12" t="str">
        <x:v>ゴッドバード</x:v>
      </x:c>
      <x:c r="E111" s="12" t="str">
        <x:v>Vanguard / Specialist</x:v>
      </x:c>
      <x:c r="F111" s="12" t="str">
        <x:v>Vanguard</x:v>
      </x:c>
      <x:c r="G111" s="12" t="str">
        <x:v>Specialist</x:v>
      </x:c>
      <x:c r="H111" s="12" t="str">
        <x:v>立ち位置・戦闘距離・役割が大きく変わるため別プロファイル</x:v>
      </x:c>
      <x:c r="I111" s="12" t="str">
        <x:v>高</x:v>
      </x:c>
      <x:c r="J111" s="12" t="str">
        <x:v>2026-09-30</x:v>
      </x:c>
      <x:c r="K111" s="12" t="n">
        <x:v>60</x:v>
      </x:c>
      <x:c r="L111" s="12" t="n">
        <x:v>70</x:v>
      </x:c>
      <x:c r="M111" s="12" t="n">
        <x:v>35</x:v>
      </x:c>
      <x:c r="N111" s="12" t="n">
        <x:v>35</x:v>
      </x:c>
      <x:c r="O111" s="12" t="n">
        <x:v>45</x:v>
      </x:c>
      <x:c r="P111" s="12" t="n">
        <x:v>55</x:v>
      </x:c>
      <x:c r="Q111" s="12" t="n">
        <x:v>50</x:v>
      </x:c>
      <x:c r="R111" s="12" t="n">
        <x:v>60</x:v>
      </x:c>
      <x:c r="S111" s="12" t="n">
        <x:v>100</x:v>
      </x:c>
      <x:c r="T111" s="12" t="n">
        <x:v>50</x:v>
      </x:c>
      <x:c r="U111" s="12" t="n">
        <x:v>15</x:v>
      </x:c>
      <x:c r="V111" s="12" t="n">
        <x:v>20</x:v>
      </x:c>
      <x:c r="W111" s="12" t="n">
        <x:v>90</x:v>
      </x:c>
      <x:c r="X111" s="12" t="n">
        <x:v>55</x:v>
      </x:c>
      <x:c r="Y111" s="12" t="n">
        <x:v>85</x:v>
      </x:c>
      <x:c r="Z111" s="12" t="n">
        <x:f>ROUND(MAX(0,MIN(100,0.40*K111+0.20*L111+0.10*S111+0.15*V111+0.15*Y111)),0)</x:f>
        <x:v>64</x:v>
      </x:c>
      <x:c r="AA111" s="12" t="n">
        <x:f>ROUND(MAX(0,MIN(100,0.30*L111+0.20*K111+0.15*V111+0.15*W111+0.10*S111+0.10*(100-M111))),0)</x:f>
        <x:v>66</x:v>
      </x:c>
      <x:c r="AB111" s="12" t="n">
        <x:f>ROUND(MAX(0,MIN(100,0.30*M111+0.25*R111+0.20*Q111+0.15*K111+0.10*(100-T111))),0)</x:f>
        <x:v>50</x:v>
      </x:c>
      <x:c r="AC111" s="12" t="n">
        <x:f>ROUND(MAX(0,MIN(100,0.55*T111+0.15*S111+0.10*N111+0.10*V111+0.10*W111)),0)</x:f>
        <x:v>57</x:v>
      </x:c>
      <x:c r="AD111" s="12" t="n">
        <x:f>ROUND(MAX(0,MIN(100,0.25*O111+0.25*Q111+0.20*Y111+0.15*U111+0.15*(100-L111))),0)</x:f>
        <x:v>48</x:v>
      </x:c>
      <x:c r="AE111" s="12" t="n">
        <x:f>ROUND(MAX(0,MIN(100,0.30*Y111+0.25*S111+0.15*Q111+0.15*T111+0.15*X111)),0)</x:f>
        <x:v>74</x:v>
      </x:c>
      <x:c r="AF111" s="12" t="n">
        <x:f>ROUND(MAX(0,MIN(100,0.65*X111+0.35*Y111)),0)</x:f>
        <x:v>66</x:v>
      </x:c>
      <x:c r="AG111" s="12" t="str">
        <x:v>https://wikiwiki.jp/poke-unite/%E3%83%9B%E3%82%A6%E3%82%AA%E3%82%A6</x:v>
      </x:c>
      <x:c r="AH111" s="12" t="str">
        <x:v>「ゴッドバード」型は、先頭で接触を作り、相手の動きを止めて味方の道を開くタイプ。場所を変えながら揺さぶることと、状況に応じて選択を切り替えることを楽しめる人ほど持ち味を出しやすい。</x:v>
      </x:c>
      <x:c r="AI111" s="12" t="str">
        <x:v>機動力・サイド得点・状況判断</x:v>
      </x:c>
      <x:c r="AJ111" s="12" t="n">
        <x:v>-0.9</x:v>
      </x:c>
    </x:row>
    <x:row r="112">
      <x:c r="A112" s="12" t="str">
        <x:v>マンムー</x:v>
      </x:c>
      <x:c r="B112" s="12" t="str">
        <x:v>ディフェンス型</x:v>
      </x:c>
      <x:c r="C112" s="12" t="str">
        <x:v>マンムー-1</x:v>
      </x:c>
      <x:c r="D112" s="12" t="str">
        <x:v>共通</x:v>
      </x:c>
      <x:c r="E112" s="12" t="str">
        <x:v>Vanguard</x:v>
      </x:c>
      <x:c r="F112" s="12" t="str">
        <x:v>Vanguard</x:v>
      </x:c>
      <x:c r="G112" s="12"/>
      <x:c r="H112" s="12" t="str">
        <x:v>技で細部は変わるが、診断上のプレイ人格は大きく変わらないため統合</x:v>
      </x:c>
      <x:c r="I112" s="12" t="str">
        <x:v>高</x:v>
      </x:c>
      <x:c r="J112" s="12" t="str">
        <x:v>2026-09-30</x:v>
      </x:c>
      <x:c r="K112" s="12" t="n">
        <x:v>100</x:v>
      </x:c>
      <x:c r="L112" s="12" t="n">
        <x:v>80</x:v>
      </x:c>
      <x:c r="M112" s="12" t="n">
        <x:v>60</x:v>
      </x:c>
      <x:c r="N112" s="12" t="n">
        <x:v>100</x:v>
      </x:c>
      <x:c r="O112" s="12" t="n">
        <x:v>0</x:v>
      </x:c>
      <x:c r="P112" s="12" t="n">
        <x:v>35</x:v>
      </x:c>
      <x:c r="Q112" s="12" t="n">
        <x:v>100</x:v>
      </x:c>
      <x:c r="R112" s="12" t="n">
        <x:v>10</x:v>
      </x:c>
      <x:c r="S112" s="12" t="n">
        <x:v>45</x:v>
      </x:c>
      <x:c r="T112" s="12" t="n">
        <x:v>60</x:v>
      </x:c>
      <x:c r="U112" s="12" t="n">
        <x:v>15</x:v>
      </x:c>
      <x:c r="V112" s="12" t="n">
        <x:v>40</x:v>
      </x:c>
      <x:c r="W112" s="12" t="n">
        <x:v>10</x:v>
      </x:c>
      <x:c r="X112" s="12" t="n">
        <x:v>55</x:v>
      </x:c>
      <x:c r="Y112" s="12" t="n">
        <x:v>75</x:v>
      </x:c>
      <x:c r="Z112" s="12" t="n">
        <x:f>ROUND(MAX(0,MIN(100,0.40*K112+0.20*L112+0.10*S112+0.15*V112+0.15*Y112)),0)</x:f>
        <x:v>78</x:v>
      </x:c>
      <x:c r="AA112" s="12" t="n">
        <x:f>ROUND(MAX(0,MIN(100,0.30*L112+0.20*K112+0.15*V112+0.15*W112+0.10*S112+0.10*(100-M112))),0)</x:f>
        <x:v>60</x:v>
      </x:c>
      <x:c r="AB112" s="12" t="n">
        <x:f>ROUND(MAX(0,MIN(100,0.30*M112+0.25*R112+0.20*Q112+0.15*K112+0.10*(100-T112))),0)</x:f>
        <x:v>60</x:v>
      </x:c>
      <x:c r="AC112" s="12" t="n">
        <x:f>ROUND(MAX(0,MIN(100,0.55*T112+0.15*S112+0.10*N112+0.10*V112+0.10*W112)),0)</x:f>
        <x:v>55</x:v>
      </x:c>
      <x:c r="AD112" s="12" t="n">
        <x:f>ROUND(MAX(0,MIN(100,0.25*O112+0.25*Q112+0.20*Y112+0.15*U112+0.15*(100-L112))),0)</x:f>
        <x:v>45</x:v>
      </x:c>
      <x:c r="AE112" s="12" t="n">
        <x:f>ROUND(MAX(0,MIN(100,0.30*Y112+0.25*S112+0.15*Q112+0.15*T112+0.15*X112)),0)</x:f>
        <x:v>66</x:v>
      </x:c>
      <x:c r="AF112" s="12" t="n">
        <x:f>ROUND(MAX(0,MIN(100,0.65*X112+0.35*Y112)),0)</x:f>
        <x:v>62</x:v>
      </x:c>
      <x:c r="AG112" s="12" t="str">
        <x:v>https://wikiwiki.jp/poke-unite/%E3%83%9E%E3%83%B3%E3%83%A0%E3%83%BC</x:v>
      </x:c>
      <x:c r="AH112" s="12" t="str">
        <x:v>先頭で接触を作り、相手の動きを止めて味方の道を開くタイプ。自分からきっかけを作ることと、前線で粘り続けることを楽しめる人ほど持ち味を出しやすい。</x:v>
      </x:c>
      <x:c r="AI112" s="12" t="str">
        <x:v>盤面制御・接近戦・前線維持</x:v>
      </x:c>
      <x:c r="AJ112" s="12" t="n">
        <x:v>0</x:v>
      </x:c>
    </x:row>
    <x:row r="113">
      <x:c r="A113" s="12" t="str">
        <x:v>ヤドラン</x:v>
      </x:c>
      <x:c r="B113" s="12" t="str">
        <x:v>ディフェンス型</x:v>
      </x:c>
      <x:c r="C113" s="12" t="str">
        <x:v>ヤドラン-1</x:v>
      </x:c>
      <x:c r="D113" s="12" t="str">
        <x:v>ドわすれ</x:v>
      </x:c>
      <x:c r="E113" s="12" t="str">
        <x:v>Juggernaut / BattleMage</x:v>
      </x:c>
      <x:c r="F113" s="12" t="str">
        <x:v>Juggernaut</x:v>
      </x:c>
      <x:c r="G113" s="12" t="str">
        <x:v>BattleMage</x:v>
      </x:c>
      <x:c r="H113" s="12" t="str">
        <x:v>立ち位置・戦闘距離・役割が大きく変わるため別プロファイル</x:v>
      </x:c>
      <x:c r="I113" s="12" t="str">
        <x:v>高</x:v>
      </x:c>
      <x:c r="J113" s="12" t="str">
        <x:v>2026-09-30</x:v>
      </x:c>
      <x:c r="K113" s="12" t="n">
        <x:v>45</x:v>
      </x:c>
      <x:c r="L113" s="12" t="n">
        <x:v>35</x:v>
      </x:c>
      <x:c r="M113" s="12" t="n">
        <x:v>15</x:v>
      </x:c>
      <x:c r="N113" s="12" t="n">
        <x:v>85</x:v>
      </x:c>
      <x:c r="O113" s="12" t="n">
        <x:v>40</x:v>
      </x:c>
      <x:c r="P113" s="12" t="n">
        <x:v>65</x:v>
      </x:c>
      <x:c r="Q113" s="12" t="n">
        <x:v>20</x:v>
      </x:c>
      <x:c r="R113" s="12" t="n">
        <x:v>5</x:v>
      </x:c>
      <x:c r="S113" s="12" t="n">
        <x:v>40</x:v>
      </x:c>
      <x:c r="T113" s="12" t="n">
        <x:v>70</x:v>
      </x:c>
      <x:c r="U113" s="12" t="n">
        <x:v>60</x:v>
      </x:c>
      <x:c r="V113" s="12" t="n">
        <x:v>75</x:v>
      </x:c>
      <x:c r="W113" s="12" t="n">
        <x:v>40</x:v>
      </x:c>
      <x:c r="X113" s="12" t="n">
        <x:v>60</x:v>
      </x:c>
      <x:c r="Y113" s="12" t="n">
        <x:v>60</x:v>
      </x:c>
      <x:c r="Z113" s="12" t="n">
        <x:f>ROUND(MAX(0,MIN(100,0.40*K113+0.20*L113+0.10*S113+0.15*V113+0.15*Y113)),0)</x:f>
        <x:v>49</x:v>
      </x:c>
      <x:c r="AA113" s="12" t="n">
        <x:f>ROUND(MAX(0,MIN(100,0.30*L113+0.20*K113+0.15*V113+0.15*W113+0.10*S113+0.10*(100-M113))),0)</x:f>
        <x:v>49</x:v>
      </x:c>
      <x:c r="AB113" s="12" t="n">
        <x:f>ROUND(MAX(0,MIN(100,0.30*M113+0.25*R113+0.20*Q113+0.15*K113+0.10*(100-T113))),0)</x:f>
        <x:v>20</x:v>
      </x:c>
      <x:c r="AC113" s="12" t="n">
        <x:f>ROUND(MAX(0,MIN(100,0.55*T113+0.15*S113+0.10*N113+0.10*V113+0.10*W113)),0)</x:f>
        <x:v>65</x:v>
      </x:c>
      <x:c r="AD113" s="12" t="n">
        <x:f>ROUND(MAX(0,MIN(100,0.25*O113+0.25*Q113+0.20*Y113+0.15*U113+0.15*(100-L113))),0)</x:f>
        <x:v>46</x:v>
      </x:c>
      <x:c r="AE113" s="12" t="n">
        <x:f>ROUND(MAX(0,MIN(100,0.30*Y113+0.25*S113+0.15*Q113+0.15*T113+0.15*X113)),0)</x:f>
        <x:v>51</x:v>
      </x:c>
      <x:c r="AF113" s="12" t="n">
        <x:f>ROUND(MAX(0,MIN(100,0.65*X113+0.35*Y113)),0)</x:f>
        <x:v>60</x:v>
      </x:c>
      <x:c r="AG113" s="12" t="str">
        <x:v>https://wikiwiki.jp/poke-unite/%E3%83%A4%E3%83%89%E3%83%A9%E3%83%B3</x:v>
      </x:c>
      <x:c r="AH113" s="12" t="str">
        <x:v>「ドわすれ」型は、前線で簡単には退かず、長い殴り合いで優位を作るタイプ。長い戦いで圧を積み上げることと、前線で粘り続けることを楽しめる人ほど持ち味を出しやすい。</x:v>
      </x:c>
      <x:c r="AI113" s="12" t="str">
        <x:v>自己遂行・自分の仕事・前線維持</x:v>
      </x:c>
      <x:c r="AJ113" s="12" t="n">
        <x:v>0</x:v>
      </x:c>
    </x:row>
    <x:row r="114">
      <x:c r="A114" s="12" t="str">
        <x:v>ヤドラン</x:v>
      </x:c>
      <x:c r="B114" s="12" t="str">
        <x:v>ディフェンス型</x:v>
      </x:c>
      <x:c r="C114" s="12" t="str">
        <x:v>ヤドラン-2</x:v>
      </x:c>
      <x:c r="D114" s="12" t="str">
        <x:v>テレキネシス</x:v>
      </x:c>
      <x:c r="E114" s="12" t="str">
        <x:v>Warden / Catcher</x:v>
      </x:c>
      <x:c r="F114" s="12" t="str">
        <x:v>Warden</x:v>
      </x:c>
      <x:c r="G114" s="12" t="str">
        <x:v>Catcher</x:v>
      </x:c>
      <x:c r="H114" s="12" t="str">
        <x:v>立ち位置・戦闘距離・役割が大きく変わるため別プロファイル</x:v>
      </x:c>
      <x:c r="I114" s="12" t="str">
        <x:v>高</x:v>
      </x:c>
      <x:c r="J114" s="12" t="str">
        <x:v>2026-09-30</x:v>
      </x:c>
      <x:c r="K114" s="12" t="n">
        <x:v>55</x:v>
      </x:c>
      <x:c r="L114" s="12" t="n">
        <x:v>20</x:v>
      </x:c>
      <x:c r="M114" s="12" t="n">
        <x:v>100</x:v>
      </x:c>
      <x:c r="N114" s="12" t="n">
        <x:v>85</x:v>
      </x:c>
      <x:c r="O114" s="12" t="n">
        <x:v>30</x:v>
      </x:c>
      <x:c r="P114" s="12" t="n">
        <x:v>60</x:v>
      </x:c>
      <x:c r="Q114" s="12" t="n">
        <x:v>100</x:v>
      </x:c>
      <x:c r="R114" s="12" t="n">
        <x:v>40</x:v>
      </x:c>
      <x:c r="S114" s="12" t="n">
        <x:v>30</x:v>
      </x:c>
      <x:c r="T114" s="12" t="n">
        <x:v>35</x:v>
      </x:c>
      <x:c r="U114" s="12" t="n">
        <x:v>20</x:v>
      </x:c>
      <x:c r="V114" s="12" t="n">
        <x:v>30</x:v>
      </x:c>
      <x:c r="W114" s="12" t="n">
        <x:v>20</x:v>
      </x:c>
      <x:c r="X114" s="12" t="n">
        <x:v>60</x:v>
      </x:c>
      <x:c r="Y114" s="12" t="n">
        <x:v>85</x:v>
      </x:c>
      <x:c r="Z114" s="12" t="n">
        <x:f>ROUND(MAX(0,MIN(100,0.40*K114+0.20*L114+0.10*S114+0.15*V114+0.15*Y114)),0)</x:f>
        <x:v>46</x:v>
      </x:c>
      <x:c r="AA114" s="12" t="n">
        <x:f>ROUND(MAX(0,MIN(100,0.30*L114+0.20*K114+0.15*V114+0.15*W114+0.10*S114+0.10*(100-M114))),0)</x:f>
        <x:v>28</x:v>
      </x:c>
      <x:c r="AB114" s="12" t="n">
        <x:f>ROUND(MAX(0,MIN(100,0.30*M114+0.25*R114+0.20*Q114+0.15*K114+0.10*(100-T114))),0)</x:f>
        <x:v>75</x:v>
      </x:c>
      <x:c r="AC114" s="12" t="n">
        <x:f>ROUND(MAX(0,MIN(100,0.55*T114+0.15*S114+0.10*N114+0.10*V114+0.10*W114)),0)</x:f>
        <x:v>37</x:v>
      </x:c>
      <x:c r="AD114" s="12" t="n">
        <x:f>ROUND(MAX(0,MIN(100,0.25*O114+0.25*Q114+0.20*Y114+0.15*U114+0.15*(100-L114))),0)</x:f>
        <x:v>65</x:v>
      </x:c>
      <x:c r="AE114" s="12" t="n">
        <x:f>ROUND(MAX(0,MIN(100,0.30*Y114+0.25*S114+0.15*Q114+0.15*T114+0.15*X114)),0)</x:f>
        <x:v>62</x:v>
      </x:c>
      <x:c r="AF114" s="12" t="n">
        <x:f>ROUND(MAX(0,MIN(100,0.65*X114+0.35*Y114)),0)</x:f>
        <x:v>69</x:v>
      </x:c>
      <x:c r="AG114" s="12" t="str">
        <x:v>https://wikiwiki.jp/poke-unite/%E3%83%A4%E3%83%89%E3%83%A9%E3%83%B3</x:v>
      </x:c>
      <x:c r="AH114" s="12" t="str">
        <x:v>「テレキネシス」型は、味方の近くで侵入を止め、安全に戦える空間を作るタイプ。味方が動きやすい空間を作ることと、相手の動きと位置を制限することを楽しめる人ほど持ち味を出しやすい。</x:v>
      </x:c>
      <x:c r="AI114" s="12" t="str">
        <x:v>盤面制御・味方保護・状況判断</x:v>
      </x:c>
      <x:c r="AJ114" s="12" t="n">
        <x:v>0</x:v>
      </x:c>
    </x:row>
    <x:row r="115">
      <x:c r="A115" s="12" t="str">
        <x:v>ヨクバリス</x:v>
      </x:c>
      <x:c r="B115" s="12" t="str">
        <x:v>ディフェンス型</x:v>
      </x:c>
      <x:c r="C115" s="12" t="str">
        <x:v>ヨクバリス-1</x:v>
      </x:c>
      <x:c r="D115" s="12" t="str">
        <x:v>ほおばる</x:v>
      </x:c>
      <x:c r="E115" s="12" t="str">
        <x:v>Juggernaut / Skirmisher</x:v>
      </x:c>
      <x:c r="F115" s="12" t="str">
        <x:v>Juggernaut</x:v>
      </x:c>
      <x:c r="G115" s="12" t="str">
        <x:v>Skirmisher</x:v>
      </x:c>
      <x:c r="H115" s="12" t="str">
        <x:v>立ち位置・戦闘距離・役割が大きく変わるため別プロファイル</x:v>
      </x:c>
      <x:c r="I115" s="12" t="str">
        <x:v>高</x:v>
      </x:c>
      <x:c r="J115" s="12" t="str">
        <x:v>2026-09-30</x:v>
      </x:c>
      <x:c r="K115" s="12" t="n">
        <x:v>55</x:v>
      </x:c>
      <x:c r="L115" s="12" t="n">
        <x:v>65</x:v>
      </x:c>
      <x:c r="M115" s="12" t="n">
        <x:v>35</x:v>
      </x:c>
      <x:c r="N115" s="12" t="n">
        <x:v>100</x:v>
      </x:c>
      <x:c r="O115" s="12" t="n">
        <x:v>10</x:v>
      </x:c>
      <x:c r="P115" s="12" t="n">
        <x:v>75</x:v>
      </x:c>
      <x:c r="Q115" s="12" t="n">
        <x:v>25</x:v>
      </x:c>
      <x:c r="R115" s="12" t="n">
        <x:v>5</x:v>
      </x:c>
      <x:c r="S115" s="12" t="n">
        <x:v>55</x:v>
      </x:c>
      <x:c r="T115" s="12" t="n">
        <x:v>85</x:v>
      </x:c>
      <x:c r="U115" s="12" t="n">
        <x:v>60</x:v>
      </x:c>
      <x:c r="V115" s="12" t="n">
        <x:v>75</x:v>
      </x:c>
      <x:c r="W115" s="12" t="n">
        <x:v>55</x:v>
      </x:c>
      <x:c r="X115" s="12" t="n">
        <x:v>60</x:v>
      </x:c>
      <x:c r="Y115" s="12" t="n">
        <x:v>50</x:v>
      </x:c>
      <x:c r="Z115" s="12" t="n">
        <x:f>ROUND(MAX(0,MIN(100,0.40*K115+0.20*L115+0.10*S115+0.15*V115+0.15*Y115)),0)</x:f>
        <x:v>59</x:v>
      </x:c>
      <x:c r="AA115" s="12" t="n">
        <x:f>ROUND(MAX(0,MIN(100,0.30*L115+0.20*K115+0.15*V115+0.15*W115+0.10*S115+0.10*(100-M115))),0)</x:f>
        <x:v>62</x:v>
      </x:c>
      <x:c r="AB115" s="12" t="n">
        <x:f>ROUND(MAX(0,MIN(100,0.30*M115+0.25*R115+0.20*Q115+0.15*K115+0.10*(100-T115))),0)</x:f>
        <x:v>27</x:v>
      </x:c>
      <x:c r="AC115" s="12" t="n">
        <x:f>ROUND(MAX(0,MIN(100,0.55*T115+0.15*S115+0.10*N115+0.10*V115+0.10*W115)),0)</x:f>
        <x:v>78</x:v>
      </x:c>
      <x:c r="AD115" s="12" t="n">
        <x:f>ROUND(MAX(0,MIN(100,0.25*O115+0.25*Q115+0.20*Y115+0.15*U115+0.15*(100-L115))),0)</x:f>
        <x:v>33</x:v>
      </x:c>
      <x:c r="AE115" s="12" t="n">
        <x:f>ROUND(MAX(0,MIN(100,0.30*Y115+0.25*S115+0.15*Q115+0.15*T115+0.15*X115)),0)</x:f>
        <x:v>54</x:v>
      </x:c>
      <x:c r="AF115" s="12" t="n">
        <x:f>ROUND(MAX(0,MIN(100,0.65*X115+0.35*Y115)),0)</x:f>
        <x:v>57</x:v>
      </x:c>
      <x:c r="AG115" s="12" t="str">
        <x:v>https://wikiwiki.jp/poke-unite/%E3%83%A8%E3%82%AF%E3%83%90%E3%83%AA%E3%82%B9</x:v>
      </x:c>
      <x:c r="AH115" s="12" t="str">
        <x:v>「ほおばる」型は、前線で簡単には退かず、長い殴り合いで優位を作るタイプ。前線で粘り続けることと、長い戦いで圧を積み上げることを楽しめる人ほど持ち味を出しやすい。</x:v>
      </x:c>
      <x:c r="AI115" s="12" t="str">
        <x:v>前線維持・自己遂行・接近戦</x:v>
      </x:c>
      <x:c r="AJ115" s="12" t="n">
        <x:v>0</x:v>
      </x:c>
    </x:row>
    <x:row r="116">
      <x:c r="A116" s="12" t="str">
        <x:v>ヨクバリス</x:v>
      </x:c>
      <x:c r="B116" s="12" t="str">
        <x:v>ディフェンス型</x:v>
      </x:c>
      <x:c r="C116" s="12" t="str">
        <x:v>ヨクバリス-2</x:v>
      </x:c>
      <x:c r="D116" s="12" t="str">
        <x:v>ほしがる</x:v>
      </x:c>
      <x:c r="E116" s="12" t="str">
        <x:v>Diver / Specialist</x:v>
      </x:c>
      <x:c r="F116" s="12" t="str">
        <x:v>Diver</x:v>
      </x:c>
      <x:c r="G116" s="12" t="str">
        <x:v>Specialist</x:v>
      </x:c>
      <x:c r="H116" s="12" t="str">
        <x:v>立ち位置・戦闘距離・役割が大きく変わるため別プロファイル</x:v>
      </x:c>
      <x:c r="I116" s="12" t="str">
        <x:v>高</x:v>
      </x:c>
      <x:c r="J116" s="12" t="str">
        <x:v>2026-09-30</x:v>
      </x:c>
      <x:c r="K116" s="12" t="n">
        <x:v>70</x:v>
      </x:c>
      <x:c r="L116" s="12" t="n">
        <x:v>65</x:v>
      </x:c>
      <x:c r="M116" s="12" t="n">
        <x:v>40</x:v>
      </x:c>
      <x:c r="N116" s="12" t="n">
        <x:v>45</x:v>
      </x:c>
      <x:c r="O116" s="12" t="n">
        <x:v>30</x:v>
      </x:c>
      <x:c r="P116" s="12" t="n">
        <x:v>35</x:v>
      </x:c>
      <x:c r="Q116" s="12" t="n">
        <x:v>70</x:v>
      </x:c>
      <x:c r="R116" s="12" t="n">
        <x:v>35</x:v>
      </x:c>
      <x:c r="S116" s="12" t="n">
        <x:v>100</x:v>
      </x:c>
      <x:c r="T116" s="12" t="n">
        <x:v>60</x:v>
      </x:c>
      <x:c r="U116" s="12" t="n">
        <x:v>40</x:v>
      </x:c>
      <x:c r="V116" s="12" t="n">
        <x:v>45</x:v>
      </x:c>
      <x:c r="W116" s="12" t="n">
        <x:v>75</x:v>
      </x:c>
      <x:c r="X116" s="12" t="n">
        <x:v>75</x:v>
      </x:c>
      <x:c r="Y116" s="12" t="n">
        <x:v>90</x:v>
      </x:c>
      <x:c r="Z116" s="12" t="n">
        <x:f>ROUND(MAX(0,MIN(100,0.40*K116+0.20*L116+0.10*S116+0.15*V116+0.15*Y116)),0)</x:f>
        <x:v>71</x:v>
      </x:c>
      <x:c r="AA116" s="12" t="n">
        <x:f>ROUND(MAX(0,MIN(100,0.30*L116+0.20*K116+0.15*V116+0.15*W116+0.10*S116+0.10*(100-M116))),0)</x:f>
        <x:v>68</x:v>
      </x:c>
      <x:c r="AB116" s="12" t="n">
        <x:f>ROUND(MAX(0,MIN(100,0.30*M116+0.25*R116+0.20*Q116+0.15*K116+0.10*(100-T116))),0)</x:f>
        <x:v>49</x:v>
      </x:c>
      <x:c r="AC116" s="12" t="n">
        <x:f>ROUND(MAX(0,MIN(100,0.55*T116+0.15*S116+0.10*N116+0.10*V116+0.10*W116)),0)</x:f>
        <x:v>65</x:v>
      </x:c>
      <x:c r="AD116" s="12" t="n">
        <x:f>ROUND(MAX(0,MIN(100,0.25*O116+0.25*Q116+0.20*Y116+0.15*U116+0.15*(100-L116))),0)</x:f>
        <x:v>54</x:v>
      </x:c>
      <x:c r="AE116" s="12" t="n">
        <x:f>ROUND(MAX(0,MIN(100,0.30*Y116+0.25*S116+0.15*Q116+0.15*T116+0.15*X116)),0)</x:f>
        <x:v>83</x:v>
      </x:c>
      <x:c r="AF116" s="12" t="n">
        <x:f>ROUND(MAX(0,MIN(100,0.65*X116+0.35*Y116)),0)</x:f>
        <x:v>80</x:v>
      </x:c>
      <x:c r="AG116" s="12" t="str">
        <x:v>https://wikiwiki.jp/poke-unite/%E3%83%A8%E3%82%AF%E3%83%90%E3%83%AA%E3%82%B9</x:v>
      </x:c>
      <x:c r="AH116" s="12" t="str">
        <x:v>「ほしがる」型は、自分から踏み込んで戦線を動かし、相手の中心に圧をかけるタイプ。場所を変えながら揺さぶることと、状況に応じて選択を切り替えることを楽しめる人ほど持ち味を出しやすい。</x:v>
      </x:c>
      <x:c r="AI116" s="12" t="str">
        <x:v>機動力・状況判断・操作精度</x:v>
      </x:c>
      <x:c r="AJ116" s="12" t="n">
        <x:v>0</x:v>
      </x:c>
    </x:row>
    <x:row r="117">
      <x:c r="A117" s="12" t="str">
        <x:v>ラプラス</x:v>
      </x:c>
      <x:c r="B117" s="12" t="str">
        <x:v>ディフェンス型</x:v>
      </x:c>
      <x:c r="C117" s="12" t="str">
        <x:v>ラプラス-1</x:v>
      </x:c>
      <x:c r="D117" s="12" t="str">
        <x:v>共通</x:v>
      </x:c>
      <x:c r="E117" s="12" t="str">
        <x:v>Juggernaut / Warden</x:v>
      </x:c>
      <x:c r="F117" s="12" t="str">
        <x:v>Juggernaut</x:v>
      </x:c>
      <x:c r="G117" s="12" t="str">
        <x:v>Warden</x:v>
      </x:c>
      <x:c r="H117" s="12" t="str">
        <x:v>技で細部は変わるが、診断上のプレイ人格は大きく変わらないため統合</x:v>
      </x:c>
      <x:c r="I117" s="12" t="str">
        <x:v>高</x:v>
      </x:c>
      <x:c r="J117" s="12" t="str">
        <x:v>2026-09-30</x:v>
      </x:c>
      <x:c r="K117" s="12" t="n">
        <x:v>35</x:v>
      </x:c>
      <x:c r="L117" s="12" t="n">
        <x:v>15</x:v>
      </x:c>
      <x:c r="M117" s="12" t="n">
        <x:v>65</x:v>
      </x:c>
      <x:c r="N117" s="12" t="n">
        <x:v>85</x:v>
      </x:c>
      <x:c r="O117" s="12" t="n">
        <x:v>45</x:v>
      </x:c>
      <x:c r="P117" s="12" t="n">
        <x:v>75</x:v>
      </x:c>
      <x:c r="Q117" s="12" t="n">
        <x:v>70</x:v>
      </x:c>
      <x:c r="R117" s="12" t="n">
        <x:v>45</x:v>
      </x:c>
      <x:c r="S117" s="12" t="n">
        <x:v>55</x:v>
      </x:c>
      <x:c r="T117" s="12" t="n">
        <x:v>45</x:v>
      </x:c>
      <x:c r="U117" s="12" t="n">
        <x:v>10</x:v>
      </x:c>
      <x:c r="V117" s="12" t="n">
        <x:v>25</x:v>
      </x:c>
      <x:c r="W117" s="12" t="n">
        <x:v>40</x:v>
      </x:c>
      <x:c r="X117" s="12" t="n">
        <x:v>30</x:v>
      </x:c>
      <x:c r="Y117" s="12" t="n">
        <x:v>80</x:v>
      </x:c>
      <x:c r="Z117" s="12" t="n">
        <x:f>ROUND(MAX(0,MIN(100,0.40*K117+0.20*L117+0.10*S117+0.15*V117+0.15*Y117)),0)</x:f>
        <x:v>38</x:v>
      </x:c>
      <x:c r="AA117" s="12" t="n">
        <x:f>ROUND(MAX(0,MIN(100,0.30*L117+0.20*K117+0.15*V117+0.15*W117+0.10*S117+0.10*(100-M117))),0)</x:f>
        <x:v>30</x:v>
      </x:c>
      <x:c r="AB117" s="12" t="n">
        <x:f>ROUND(MAX(0,MIN(100,0.30*M117+0.25*R117+0.20*Q117+0.15*K117+0.10*(100-T117))),0)</x:f>
        <x:v>56</x:v>
      </x:c>
      <x:c r="AC117" s="12" t="n">
        <x:f>ROUND(MAX(0,MIN(100,0.55*T117+0.15*S117+0.10*N117+0.10*V117+0.10*W117)),0)</x:f>
        <x:v>48</x:v>
      </x:c>
      <x:c r="AD117" s="12" t="n">
        <x:f>ROUND(MAX(0,MIN(100,0.25*O117+0.25*Q117+0.20*Y117+0.15*U117+0.15*(100-L117))),0)</x:f>
        <x:v>59</x:v>
      </x:c>
      <x:c r="AE117" s="12" t="n">
        <x:f>ROUND(MAX(0,MIN(100,0.30*Y117+0.25*S117+0.15*Q117+0.15*T117+0.15*X117)),0)</x:f>
        <x:v>60</x:v>
      </x:c>
      <x:c r="AF117" s="12" t="n">
        <x:f>ROUND(MAX(0,MIN(100,0.65*X117+0.35*Y117)),0)</x:f>
        <x:v>48</x:v>
      </x:c>
      <x:c r="AG117" s="12" t="str">
        <x:v>https://wikiwiki.jp/poke-unite/%E3%83%A9%E3%83%97%E3%83%A9%E3%82%B9</x:v>
      </x:c>
      <x:c r="AH117" s="12" t="str">
        <x:v>前線で簡単には退かず、長い殴り合いで優位を作るタイプ。前線で粘り続けることと、長い戦いで圧を積み上げることを楽しめる人ほど持ち味を出しやすい。</x:v>
      </x:c>
      <x:c r="AI117" s="12" t="str">
        <x:v>序盤即応・安全ライン・前線維持</x:v>
      </x:c>
      <x:c r="AJ117" s="12" t="n">
        <x:v>-0.1</x:v>
      </x:c>
    </x:row>
    <x:row r="118">
      <x:c r="A118" s="12" t="str">
        <x:v>キュワワー</x:v>
      </x:c>
      <x:c r="B118" s="12" t="str">
        <x:v>サポート型</x:v>
      </x:c>
      <x:c r="C118" s="12" t="str">
        <x:v>キュワワー-1</x:v>
      </x:c>
      <x:c r="D118" s="12" t="str">
        <x:v>共通</x:v>
      </x:c>
      <x:c r="E118" s="12" t="str">
        <x:v>Enchanter</x:v>
      </x:c>
      <x:c r="F118" s="12" t="str">
        <x:v>Enchanter</x:v>
      </x:c>
      <x:c r="G118" s="12"/>
      <x:c r="H118" s="12" t="str">
        <x:v>技で細部は変わるが、診断上のプレイ人格は大きく変わらないため統合</x:v>
      </x:c>
      <x:c r="I118" s="12" t="str">
        <x:v>高</x:v>
      </x:c>
      <x:c r="J118" s="12" t="str">
        <x:v>2026-09-30</x:v>
      </x:c>
      <x:c r="K118" s="12" t="n">
        <x:v>0</x:v>
      </x:c>
      <x:c r="L118" s="12" t="n">
        <x:v>0</x:v>
      </x:c>
      <x:c r="M118" s="12" t="n">
        <x:v>70</x:v>
      </x:c>
      <x:c r="N118" s="12" t="n">
        <x:v>0</x:v>
      </x:c>
      <x:c r="O118" s="12" t="n">
        <x:v>10</x:v>
      </x:c>
      <x:c r="P118" s="12" t="n">
        <x:v>45</x:v>
      </x:c>
      <x:c r="Q118" s="12" t="n">
        <x:v>35</x:v>
      </x:c>
      <x:c r="R118" s="12" t="n">
        <x:v>100</x:v>
      </x:c>
      <x:c r="S118" s="12" t="n">
        <x:v>75</x:v>
      </x:c>
      <x:c r="T118" s="12" t="n">
        <x:v>15</x:v>
      </x:c>
      <x:c r="U118" s="12" t="n">
        <x:v>0</x:v>
      </x:c>
      <x:c r="V118" s="12" t="n">
        <x:v>5</x:v>
      </x:c>
      <x:c r="W118" s="12" t="n">
        <x:v>0</x:v>
      </x:c>
      <x:c r="X118" s="12" t="n">
        <x:v>30</x:v>
      </x:c>
      <x:c r="Y118" s="12" t="n">
        <x:v>95</x:v>
      </x:c>
      <x:c r="Z118" s="12" t="n">
        <x:f>ROUND(MAX(0,MIN(100,0.40*K118+0.20*L118+0.10*S118+0.15*V118+0.15*Y118)),0)</x:f>
        <x:v>23</x:v>
      </x:c>
      <x:c r="AA118" s="12" t="n">
        <x:f>ROUND(MAX(0,MIN(100,0.30*L118+0.20*K118+0.15*V118+0.15*W118+0.10*S118+0.10*(100-M118))),0)</x:f>
        <x:v>11</x:v>
      </x:c>
      <x:c r="AB118" s="12" t="n">
        <x:f>ROUND(MAX(0,MIN(100,0.30*M118+0.25*R118+0.20*Q118+0.15*K118+0.10*(100-T118))),0)</x:f>
        <x:v>62</x:v>
      </x:c>
      <x:c r="AC118" s="12" t="n">
        <x:f>ROUND(MAX(0,MIN(100,0.55*T118+0.15*S118+0.10*N118+0.10*V118+0.10*W118)),0)</x:f>
        <x:v>20</x:v>
      </x:c>
      <x:c r="AD118" s="12" t="n">
        <x:f>ROUND(MAX(0,MIN(100,0.25*O118+0.25*Q118+0.20*Y118+0.15*U118+0.15*(100-L118))),0)</x:f>
        <x:v>45</x:v>
      </x:c>
      <x:c r="AE118" s="12" t="n">
        <x:f>ROUND(MAX(0,MIN(100,0.30*Y118+0.25*S118+0.15*Q118+0.15*T118+0.15*X118)),0)</x:f>
        <x:v>59</x:v>
      </x:c>
      <x:c r="AF118" s="12" t="n">
        <x:f>ROUND(MAX(0,MIN(100,0.65*X118+0.35*Y118)),0)</x:f>
        <x:v>53</x:v>
      </x:c>
      <x:c r="AG118" s="12" t="str">
        <x:v>https://wikiwiki.jp/poke-unite/%E3%82%AD%E3%83%A5%E3%83%AF%E3%83%AF%E3%83%BC</x:v>
      </x:c>
      <x:c r="AH118" s="12" t="str">
        <x:v>味方の強みを引き出し、支援のタイミングで流れを変えるタイプ。味方の強みを引き出すことと、状況に応じて選択を切り替えることを楽しめる人ほど持ち味を出しやすい。</x:v>
      </x:c>
      <x:c r="AI118" s="12" t="str">
        <x:v>集団戦重視・直接支援・後方位置</x:v>
      </x:c>
      <x:c r="AJ118" s="12" t="n">
        <x:v>0</x:v>
      </x:c>
    </x:row>
    <x:row r="119">
      <x:c r="A119" s="12" t="str">
        <x:v>コダック</x:v>
      </x:c>
      <x:c r="B119" s="12" t="str">
        <x:v>サポート型</x:v>
      </x:c>
      <x:c r="C119" s="12" t="str">
        <x:v>コダック-1</x:v>
      </x:c>
      <x:c r="D119" s="12" t="str">
        <x:v>共通</x:v>
      </x:c>
      <x:c r="E119" s="12" t="str">
        <x:v>Catcher / Warden</x:v>
      </x:c>
      <x:c r="F119" s="12" t="str">
        <x:v>Catcher</x:v>
      </x:c>
      <x:c r="G119" s="12" t="str">
        <x:v>Warden</x:v>
      </x:c>
      <x:c r="H119" s="12" t="str">
        <x:v>技で細部は変わるが、診断上のプレイ人格は大きく変わらないため統合</x:v>
      </x:c>
      <x:c r="I119" s="12" t="str">
        <x:v>高</x:v>
      </x:c>
      <x:c r="J119" s="12" t="str">
        <x:v>2026-09-30</x:v>
      </x:c>
      <x:c r="K119" s="12" t="n">
        <x:v>65</x:v>
      </x:c>
      <x:c r="L119" s="12" t="n">
        <x:v>20</x:v>
      </x:c>
      <x:c r="M119" s="12" t="n">
        <x:v>80</x:v>
      </x:c>
      <x:c r="N119" s="12" t="n">
        <x:v>70</x:v>
      </x:c>
      <x:c r="O119" s="12" t="n">
        <x:v>40</x:v>
      </x:c>
      <x:c r="P119" s="12" t="n">
        <x:v>40</x:v>
      </x:c>
      <x:c r="Q119" s="12" t="n">
        <x:v>100</x:v>
      </x:c>
      <x:c r="R119" s="12" t="n">
        <x:v>30</x:v>
      </x:c>
      <x:c r="S119" s="12" t="n">
        <x:v>50</x:v>
      </x:c>
      <x:c r="T119" s="12" t="n">
        <x:v>45</x:v>
      </x:c>
      <x:c r="U119" s="12" t="n">
        <x:v>5</x:v>
      </x:c>
      <x:c r="V119" s="12" t="n">
        <x:v>30</x:v>
      </x:c>
      <x:c r="W119" s="12" t="n">
        <x:v>25</x:v>
      </x:c>
      <x:c r="X119" s="12" t="n">
        <x:v>55</x:v>
      </x:c>
      <x:c r="Y119" s="12" t="n">
        <x:v>80</x:v>
      </x:c>
      <x:c r="Z119" s="12" t="n">
        <x:f>ROUND(MAX(0,MIN(100,0.40*K119+0.20*L119+0.10*S119+0.15*V119+0.15*Y119)),0)</x:f>
        <x:v>52</x:v>
      </x:c>
      <x:c r="AA119" s="12" t="n">
        <x:f>ROUND(MAX(0,MIN(100,0.30*L119+0.20*K119+0.15*V119+0.15*W119+0.10*S119+0.10*(100-M119))),0)</x:f>
        <x:v>34</x:v>
      </x:c>
      <x:c r="AB119" s="12" t="n">
        <x:f>ROUND(MAX(0,MIN(100,0.30*M119+0.25*R119+0.20*Q119+0.15*K119+0.10*(100-T119))),0)</x:f>
        <x:v>67</x:v>
      </x:c>
      <x:c r="AC119" s="12" t="n">
        <x:f>ROUND(MAX(0,MIN(100,0.55*T119+0.15*S119+0.10*N119+0.10*V119+0.10*W119)),0)</x:f>
        <x:v>45</x:v>
      </x:c>
      <x:c r="AD119" s="12" t="n">
        <x:f>ROUND(MAX(0,MIN(100,0.25*O119+0.25*Q119+0.20*Y119+0.15*U119+0.15*(100-L119))),0)</x:f>
        <x:v>64</x:v>
      </x:c>
      <x:c r="AE119" s="12" t="n">
        <x:f>ROUND(MAX(0,MIN(100,0.30*Y119+0.25*S119+0.15*Q119+0.15*T119+0.15*X119)),0)</x:f>
        <x:v>67</x:v>
      </x:c>
      <x:c r="AF119" s="12" t="n">
        <x:f>ROUND(MAX(0,MIN(100,0.65*X119+0.35*Y119)),0)</x:f>
        <x:v>64</x:v>
      </x:c>
      <x:c r="AG119" s="12" t="str">
        <x:v>https://wikiwiki.jp/poke-unite/%E3%82%B3%E3%83%80%E3%83%83%E3%82%AF</x:v>
      </x:c>
      <x:c r="AH119" s="12" t="str">
        <x:v>相手の一瞬の隙を捕まえ、拘束から展開を作るタイプ。相手の動きと位置を制限することと、状況に応じて選択を切り替えることを楽しめる人ほど持ち味を出しやすい。</x:v>
      </x:c>
      <x:c r="AI119" s="12" t="str">
        <x:v>盤面制御・序盤即応・状況判断</x:v>
      </x:c>
      <x:c r="AJ119" s="12" t="n">
        <x:v>0</x:v>
      </x:c>
    </x:row>
    <x:row r="120">
      <x:c r="A120" s="12" t="str">
        <x:v>ハピナス</x:v>
      </x:c>
      <x:c r="B120" s="12" t="str">
        <x:v>サポート型</x:v>
      </x:c>
      <x:c r="C120" s="12" t="str">
        <x:v>ハピナス-1</x:v>
      </x:c>
      <x:c r="D120" s="12" t="str">
        <x:v>共通</x:v>
      </x:c>
      <x:c r="E120" s="12" t="str">
        <x:v>Enchanter / Specialist</x:v>
      </x:c>
      <x:c r="F120" s="12" t="str">
        <x:v>Enchanter</x:v>
      </x:c>
      <x:c r="G120" s="12" t="str">
        <x:v>Specialist</x:v>
      </x:c>
      <x:c r="H120" s="12" t="str">
        <x:v>技で細部は変わるが、診断上のプレイ人格は大きく変わらないため統合</x:v>
      </x:c>
      <x:c r="I120" s="12" t="str">
        <x:v>高</x:v>
      </x:c>
      <x:c r="J120" s="12" t="str">
        <x:v>2026-09-30</x:v>
      </x:c>
      <x:c r="K120" s="12" t="n">
        <x:v>30</x:v>
      </x:c>
      <x:c r="L120" s="12" t="n">
        <x:v>0</x:v>
      </x:c>
      <x:c r="M120" s="12" t="n">
        <x:v>95</x:v>
      </x:c>
      <x:c r="N120" s="12" t="n">
        <x:v>15</x:v>
      </x:c>
      <x:c r="O120" s="12" t="n">
        <x:v>35</x:v>
      </x:c>
      <x:c r="P120" s="12" t="n">
        <x:v>55</x:v>
      </x:c>
      <x:c r="Q120" s="12" t="n">
        <x:v>55</x:v>
      </x:c>
      <x:c r="R120" s="12" t="n">
        <x:v>100</x:v>
      </x:c>
      <x:c r="S120" s="12" t="n">
        <x:v>50</x:v>
      </x:c>
      <x:c r="T120" s="12" t="n">
        <x:v>25</x:v>
      </x:c>
      <x:c r="U120" s="12" t="n">
        <x:v>10</x:v>
      </x:c>
      <x:c r="V120" s="12" t="n">
        <x:v>25</x:v>
      </x:c>
      <x:c r="W120" s="12" t="n">
        <x:v>45</x:v>
      </x:c>
      <x:c r="X120" s="12" t="n">
        <x:v>60</x:v>
      </x:c>
      <x:c r="Y120" s="12" t="n">
        <x:v>95</x:v>
      </x:c>
      <x:c r="Z120" s="12" t="n">
        <x:f>ROUND(MAX(0,MIN(100,0.40*K120+0.20*L120+0.10*S120+0.15*V120+0.15*Y120)),0)</x:f>
        <x:v>35</x:v>
      </x:c>
      <x:c r="AA120" s="12" t="n">
        <x:f>ROUND(MAX(0,MIN(100,0.30*L120+0.20*K120+0.15*V120+0.15*W120+0.10*S120+0.10*(100-M120))),0)</x:f>
        <x:v>22</x:v>
      </x:c>
      <x:c r="AB120" s="12" t="n">
        <x:f>ROUND(MAX(0,MIN(100,0.30*M120+0.25*R120+0.20*Q120+0.15*K120+0.10*(100-T120))),0)</x:f>
        <x:v>77</x:v>
      </x:c>
      <x:c r="AC120" s="12" t="n">
        <x:f>ROUND(MAX(0,MIN(100,0.55*T120+0.15*S120+0.10*N120+0.10*V120+0.10*W120)),0)</x:f>
        <x:v>30</x:v>
      </x:c>
      <x:c r="AD120" s="12" t="n">
        <x:f>ROUND(MAX(0,MIN(100,0.25*O120+0.25*Q120+0.20*Y120+0.15*U120+0.15*(100-L120))),0)</x:f>
        <x:v>58</x:v>
      </x:c>
      <x:c r="AE120" s="12" t="n">
        <x:f>ROUND(MAX(0,MIN(100,0.30*Y120+0.25*S120+0.15*Q120+0.15*T120+0.15*X120)),0)</x:f>
        <x:v>62</x:v>
      </x:c>
      <x:c r="AF120" s="12" t="n">
        <x:f>ROUND(MAX(0,MIN(100,0.65*X120+0.35*Y120)),0)</x:f>
        <x:v>72</x:v>
      </x:c>
      <x:c r="AG120" s="12" t="str">
        <x:v>https://wikiwiki.jp/poke-unite/%E3%83%8F%E3%83%94%E3%83%8A%E3%82%B9</x:v>
      </x:c>
      <x:c r="AH120" s="12" t="str">
        <x:v>味方の強みを引き出し、支援のタイミングで流れを変えるタイプ。味方の強みを引き出すことと、味方が動きやすい空間を作ることを楽しめる人ほど持ち味を出しやすい。</x:v>
      </x:c>
      <x:c r="AI120" s="12" t="str">
        <x:v>直接支援・安全ライン・状況判断</x:v>
      </x:c>
      <x:c r="AJ120" s="12" t="n">
        <x:v>0</x:v>
      </x:c>
    </x:row>
    <x:row r="121">
      <x:c r="A121" s="12" t="str">
        <x:v>バリヤード</x:v>
      </x:c>
      <x:c r="B121" s="12" t="str">
        <x:v>サポート型</x:v>
      </x:c>
      <x:c r="C121" s="12" t="str">
        <x:v>バリヤード-1</x:v>
      </x:c>
      <x:c r="D121" s="12" t="str">
        <x:v>バリアー</x:v>
      </x:c>
      <x:c r="E121" s="12" t="str">
        <x:v>Catcher / Vanguard</x:v>
      </x:c>
      <x:c r="F121" s="12" t="str">
        <x:v>Catcher</x:v>
      </x:c>
      <x:c r="G121" s="12" t="str">
        <x:v>Vanguard</x:v>
      </x:c>
      <x:c r="H121" s="12" t="str">
        <x:v>立ち位置・戦闘距離・役割が大きく変わるため別プロファイル</x:v>
      </x:c>
      <x:c r="I121" s="12" t="str">
        <x:v>高</x:v>
      </x:c>
      <x:c r="J121" s="12" t="str">
        <x:v>2026-09-30</x:v>
      </x:c>
      <x:c r="K121" s="12" t="n">
        <x:v>85</x:v>
      </x:c>
      <x:c r="L121" s="12" t="n">
        <x:v>60</x:v>
      </x:c>
      <x:c r="M121" s="12" t="n">
        <x:v>60</x:v>
      </x:c>
      <x:c r="N121" s="12" t="n">
        <x:v>70</x:v>
      </x:c>
      <x:c r="O121" s="12" t="n">
        <x:v>25</x:v>
      </x:c>
      <x:c r="P121" s="12" t="n">
        <x:v>40</x:v>
      </x:c>
      <x:c r="Q121" s="12" t="n">
        <x:v>100</x:v>
      </x:c>
      <x:c r="R121" s="12" t="n">
        <x:v>20</x:v>
      </x:c>
      <x:c r="S121" s="12" t="n">
        <x:v>50</x:v>
      </x:c>
      <x:c r="T121" s="12" t="n">
        <x:v>45</x:v>
      </x:c>
      <x:c r="U121" s="12" t="n">
        <x:v>20</x:v>
      </x:c>
      <x:c r="V121" s="12" t="n">
        <x:v>30</x:v>
      </x:c>
      <x:c r="W121" s="12" t="n">
        <x:v>25</x:v>
      </x:c>
      <x:c r="X121" s="12" t="n">
        <x:v>65</x:v>
      </x:c>
      <x:c r="Y121" s="12" t="n">
        <x:v>80</x:v>
      </x:c>
      <x:c r="Z121" s="12" t="n">
        <x:f>ROUND(MAX(0,MIN(100,0.40*K121+0.20*L121+0.10*S121+0.15*V121+0.15*Y121)),0)</x:f>
        <x:v>68</x:v>
      </x:c>
      <x:c r="AA121" s="12" t="n">
        <x:f>ROUND(MAX(0,MIN(100,0.30*L121+0.20*K121+0.15*V121+0.15*W121+0.10*S121+0.10*(100-M121))),0)</x:f>
        <x:v>52</x:v>
      </x:c>
      <x:c r="AB121" s="12" t="n">
        <x:f>ROUND(MAX(0,MIN(100,0.30*M121+0.25*R121+0.20*Q121+0.15*K121+0.10*(100-T121))),0)</x:f>
        <x:v>61</x:v>
      </x:c>
      <x:c r="AC121" s="12" t="n">
        <x:f>ROUND(MAX(0,MIN(100,0.55*T121+0.15*S121+0.10*N121+0.10*V121+0.10*W121)),0)</x:f>
        <x:v>45</x:v>
      </x:c>
      <x:c r="AD121" s="12" t="n">
        <x:f>ROUND(MAX(0,MIN(100,0.25*O121+0.25*Q121+0.20*Y121+0.15*U121+0.15*(100-L121))),0)</x:f>
        <x:v>56</x:v>
      </x:c>
      <x:c r="AE121" s="12" t="n">
        <x:f>ROUND(MAX(0,MIN(100,0.30*Y121+0.25*S121+0.15*Q121+0.15*T121+0.15*X121)),0)</x:f>
        <x:v>68</x:v>
      </x:c>
      <x:c r="AF121" s="12" t="n">
        <x:f>ROUND(MAX(0,MIN(100,0.65*X121+0.35*Y121)),0)</x:f>
        <x:v>70</x:v>
      </x:c>
      <x:c r="AG121" s="12" t="str">
        <x:v>https://wikiwiki.jp/poke-unite/%E3%83%90%E3%83%AA%E3%83%A4%E3%83%BC%E3%83%89</x:v>
      </x:c>
      <x:c r="AH121" s="12" t="str">
        <x:v>「バリアー」型は、相手の一瞬の隙を捕まえ、拘束から展開を作るタイプ。相手の動きと位置を制限することと、状況に応じて選択を切り替えることを楽しめる人ほど持ち味を出しやすい。</x:v>
      </x:c>
      <x:c r="AI121" s="12" t="str">
        <x:v>盤面制御・仕掛け・自己遂行</x:v>
      </x:c>
      <x:c r="AJ121" s="12" t="n">
        <x:v>0</x:v>
      </x:c>
    </x:row>
    <x:row r="122">
      <x:c r="A122" s="12" t="str">
        <x:v>バリヤード</x:v>
      </x:c>
      <x:c r="B122" s="12" t="str">
        <x:v>サポート型</x:v>
      </x:c>
      <x:c r="C122" s="12" t="str">
        <x:v>バリヤード-2</x:v>
      </x:c>
      <x:c r="D122" s="12" t="str">
        <x:v>パワースワップ</x:v>
      </x:c>
      <x:c r="E122" s="12" t="str">
        <x:v>Enchanter / BattleMage</x:v>
      </x:c>
      <x:c r="F122" s="12" t="str">
        <x:v>Enchanter</x:v>
      </x:c>
      <x:c r="G122" s="12" t="str">
        <x:v>BattleMage</x:v>
      </x:c>
      <x:c r="H122" s="12" t="str">
        <x:v>立ち位置・戦闘距離・役割が大きく変わるため別プロファイル</x:v>
      </x:c>
      <x:c r="I122" s="12" t="str">
        <x:v>高</x:v>
      </x:c>
      <x:c r="J122" s="12" t="str">
        <x:v>2026-09-30</x:v>
      </x:c>
      <x:c r="K122" s="12" t="n">
        <x:v>30</x:v>
      </x:c>
      <x:c r="L122" s="12" t="n">
        <x:v>15</x:v>
      </x:c>
      <x:c r="M122" s="12" t="n">
        <x:v>65</x:v>
      </x:c>
      <x:c r="N122" s="12" t="n">
        <x:v>25</x:v>
      </x:c>
      <x:c r="O122" s="12" t="n">
        <x:v>35</x:v>
      </x:c>
      <x:c r="P122" s="12" t="n">
        <x:v>65</x:v>
      </x:c>
      <x:c r="Q122" s="12" t="n">
        <x:v>70</x:v>
      </x:c>
      <x:c r="R122" s="12" t="n">
        <x:v>90</x:v>
      </x:c>
      <x:c r="S122" s="12" t="n">
        <x:v>40</x:v>
      </x:c>
      <x:c r="T122" s="12" t="n">
        <x:v>35</x:v>
      </x:c>
      <x:c r="U122" s="12" t="n">
        <x:v>30</x:v>
      </x:c>
      <x:c r="V122" s="12" t="n">
        <x:v>40</x:v>
      </x:c>
      <x:c r="W122" s="12" t="n">
        <x:v>35</x:v>
      </x:c>
      <x:c r="X122" s="12" t="n">
        <x:v>70</x:v>
      </x:c>
      <x:c r="Y122" s="12" t="n">
        <x:v>70</x:v>
      </x:c>
      <x:c r="Z122" s="12" t="n">
        <x:f>ROUND(MAX(0,MIN(100,0.40*K122+0.20*L122+0.10*S122+0.15*V122+0.15*Y122)),0)</x:f>
        <x:v>36</x:v>
      </x:c>
      <x:c r="AA122" s="12" t="n">
        <x:f>ROUND(MAX(0,MIN(100,0.30*L122+0.20*K122+0.15*V122+0.15*W122+0.10*S122+0.10*(100-M122))),0)</x:f>
        <x:v>29</x:v>
      </x:c>
      <x:c r="AB122" s="12" t="n">
        <x:f>ROUND(MAX(0,MIN(100,0.30*M122+0.25*R122+0.20*Q122+0.15*K122+0.10*(100-T122))),0)</x:f>
        <x:v>67</x:v>
      </x:c>
      <x:c r="AC122" s="12" t="n">
        <x:f>ROUND(MAX(0,MIN(100,0.55*T122+0.15*S122+0.10*N122+0.10*V122+0.10*W122)),0)</x:f>
        <x:v>35</x:v>
      </x:c>
      <x:c r="AD122" s="12" t="n">
        <x:f>ROUND(MAX(0,MIN(100,0.25*O122+0.25*Q122+0.20*Y122+0.15*U122+0.15*(100-L122))),0)</x:f>
        <x:v>58</x:v>
      </x:c>
      <x:c r="AE122" s="12" t="n">
        <x:f>ROUND(MAX(0,MIN(100,0.30*Y122+0.25*S122+0.15*Q122+0.15*T122+0.15*X122)),0)</x:f>
        <x:v>57</x:v>
      </x:c>
      <x:c r="AF122" s="12" t="n">
        <x:f>ROUND(MAX(0,MIN(100,0.65*X122+0.35*Y122)),0)</x:f>
        <x:v>70</x:v>
      </x:c>
      <x:c r="AG122" s="12" t="str">
        <x:v>https://wikiwiki.jp/poke-unite/%E3%83%90%E3%83%AA%E3%83%A4%E3%83%BC%E3%83%89</x:v>
      </x:c>
      <x:c r="AH122" s="12" t="str">
        <x:v>「パワースワップ」型は、味方の強みを引き出し、支援のタイミングで流れを変えるタイプ。味方の強みを引き出すことと、状況に応じて選択を切り替えることを楽しめる人ほど持ち味を出しやすい。</x:v>
      </x:c>
      <x:c r="AI122" s="12" t="str">
        <x:v>直接支援・安全ライン・後方位置</x:v>
      </x:c>
      <x:c r="AJ122" s="12" t="n">
        <x:v>0</x:v>
      </x:c>
    </x:row>
    <x:row r="123">
      <x:c r="A123" s="12" t="str">
        <x:v>ピクシー</x:v>
      </x:c>
      <x:c r="B123" s="12" t="str">
        <x:v>サポート型</x:v>
      </x:c>
      <x:c r="C123" s="12" t="str">
        <x:v>ピクシー-1</x:v>
      </x:c>
      <x:c r="D123" s="12" t="str">
        <x:v>共通</x:v>
      </x:c>
      <x:c r="E123" s="12" t="str">
        <x:v>Enchanter</x:v>
      </x:c>
      <x:c r="F123" s="12" t="str">
        <x:v>Enchanter</x:v>
      </x:c>
      <x:c r="G123" s="12"/>
      <x:c r="H123" s="12" t="str">
        <x:v>技で細部は変わるが、診断上のプレイ人格は大きく変わらないため統合</x:v>
      </x:c>
      <x:c r="I123" s="12" t="str">
        <x:v>高</x:v>
      </x:c>
      <x:c r="J123" s="12" t="str">
        <x:v>2026-09-30</x:v>
      </x:c>
      <x:c r="K123" s="12" t="n">
        <x:v>20</x:v>
      </x:c>
      <x:c r="L123" s="12" t="n">
        <x:v>0</x:v>
      </x:c>
      <x:c r="M123" s="12" t="n">
        <x:v>100</x:v>
      </x:c>
      <x:c r="N123" s="12" t="n">
        <x:v>15</x:v>
      </x:c>
      <x:c r="O123" s="12" t="n">
        <x:v>35</x:v>
      </x:c>
      <x:c r="P123" s="12" t="n">
        <x:v>55</x:v>
      </x:c>
      <x:c r="Q123" s="12" t="n">
        <x:v>60</x:v>
      </x:c>
      <x:c r="R123" s="12" t="n">
        <x:v>100</x:v>
      </x:c>
      <x:c r="S123" s="12" t="n">
        <x:v>30</x:v>
      </x:c>
      <x:c r="T123" s="12" t="n">
        <x:v>5</x:v>
      </x:c>
      <x:c r="U123" s="12" t="n">
        <x:v>0</x:v>
      </x:c>
      <x:c r="V123" s="12" t="n">
        <x:v>15</x:v>
      </x:c>
      <x:c r="W123" s="12" t="n">
        <x:v>25</x:v>
      </x:c>
      <x:c r="X123" s="12" t="n">
        <x:v>50</x:v>
      </x:c>
      <x:c r="Y123" s="12" t="n">
        <x:v>95</x:v>
      </x:c>
      <x:c r="Z123" s="12" t="n">
        <x:f>ROUND(MAX(0,MIN(100,0.40*K123+0.20*L123+0.10*S123+0.15*V123+0.15*Y123)),0)</x:f>
        <x:v>28</x:v>
      </x:c>
      <x:c r="AA123" s="12" t="n">
        <x:f>ROUND(MAX(0,MIN(100,0.30*L123+0.20*K123+0.15*V123+0.15*W123+0.10*S123+0.10*(100-M123))),0)</x:f>
        <x:v>13</x:v>
      </x:c>
      <x:c r="AB123" s="12" t="n">
        <x:f>ROUND(MAX(0,MIN(100,0.30*M123+0.25*R123+0.20*Q123+0.15*K123+0.10*(100-T123))),0)</x:f>
        <x:v>80</x:v>
      </x:c>
      <x:c r="AC123" s="12" t="n">
        <x:f>ROUND(MAX(0,MIN(100,0.55*T123+0.15*S123+0.10*N123+0.10*V123+0.10*W123)),0)</x:f>
        <x:v>13</x:v>
      </x:c>
      <x:c r="AD123" s="12" t="n">
        <x:f>ROUND(MAX(0,MIN(100,0.25*O123+0.25*Q123+0.20*Y123+0.15*U123+0.15*(100-L123))),0)</x:f>
        <x:v>58</x:v>
      </x:c>
      <x:c r="AE123" s="12" t="n">
        <x:f>ROUND(MAX(0,MIN(100,0.30*Y123+0.25*S123+0.15*Q123+0.15*T123+0.15*X123)),0)</x:f>
        <x:v>53</x:v>
      </x:c>
      <x:c r="AF123" s="12" t="n">
        <x:f>ROUND(MAX(0,MIN(100,0.65*X123+0.35*Y123)),0)</x:f>
        <x:v>66</x:v>
      </x:c>
      <x:c r="AG123" s="12" t="str">
        <x:v>https://wikiwiki.jp/poke-unite/%E3%83%94%E3%82%AF%E3%82%B7%E3%83%BC</x:v>
      </x:c>
      <x:c r="AH123" s="12" t="str">
        <x:v>味方の強みを引き出し、支援のタイミングで流れを変えるタイプ。味方の強みを引き出すことと、味方が動きやすい空間を作ることを楽しめる人ほど持ち味を出しやすい。</x:v>
      </x:c>
      <x:c r="AI123" s="12" t="str">
        <x:v>直接支援・序盤即応・安全ライン</x:v>
      </x:c>
      <x:c r="AJ123" s="12" t="n">
        <x:v>0</x:v>
      </x:c>
    </x:row>
    <x:row r="124">
      <x:c r="A124" s="12" t="str">
        <x:v>フーパ</x:v>
      </x:c>
      <x:c r="B124" s="12" t="str">
        <x:v>サポート型</x:v>
      </x:c>
      <x:c r="C124" s="12" t="str">
        <x:v>フーパ-1</x:v>
      </x:c>
      <x:c r="D124" s="12" t="str">
        <x:v>いじげんホール</x:v>
      </x:c>
      <x:c r="E124" s="12" t="str">
        <x:v>Specialist / Enchanter</x:v>
      </x:c>
      <x:c r="F124" s="12" t="str">
        <x:v>Specialist</x:v>
      </x:c>
      <x:c r="G124" s="12" t="str">
        <x:v>Enchanter</x:v>
      </x:c>
      <x:c r="H124" s="12" t="str">
        <x:v>立ち位置・戦闘距離・役割が大きく変わるため別プロファイル</x:v>
      </x:c>
      <x:c r="I124" s="12" t="str">
        <x:v>高</x:v>
      </x:c>
      <x:c r="J124" s="12" t="str">
        <x:v>2026-09-30</x:v>
      </x:c>
      <x:c r="K124" s="12" t="n">
        <x:v>10</x:v>
      </x:c>
      <x:c r="L124" s="12" t="n">
        <x:v>0</x:v>
      </x:c>
      <x:c r="M124" s="12" t="n">
        <x:v>85</x:v>
      </x:c>
      <x:c r="N124" s="12" t="n">
        <x:v>15</x:v>
      </x:c>
      <x:c r="O124" s="12" t="n">
        <x:v>25</x:v>
      </x:c>
      <x:c r="P124" s="12" t="n">
        <x:v>45</x:v>
      </x:c>
      <x:c r="Q124" s="12" t="n">
        <x:v>45</x:v>
      </x:c>
      <x:c r="R124" s="12" t="n">
        <x:v>100</x:v>
      </x:c>
      <x:c r="S124" s="12" t="n">
        <x:v>100</x:v>
      </x:c>
      <x:c r="T124" s="12" t="n">
        <x:v>25</x:v>
      </x:c>
      <x:c r="U124" s="12" t="n">
        <x:v>0</x:v>
      </x:c>
      <x:c r="V124" s="12" t="n">
        <x:v>10</x:v>
      </x:c>
      <x:c r="W124" s="12" t="n">
        <x:v>100</x:v>
      </x:c>
      <x:c r="X124" s="12" t="n">
        <x:v>60</x:v>
      </x:c>
      <x:c r="Y124" s="12" t="n">
        <x:v>100</x:v>
      </x:c>
      <x:c r="Z124" s="12" t="n">
        <x:f>ROUND(MAX(0,MIN(100,0.40*K124+0.20*L124+0.10*S124+0.15*V124+0.15*Y124)),0)</x:f>
        <x:v>31</x:v>
      </x:c>
      <x:c r="AA124" s="12" t="n">
        <x:f>ROUND(MAX(0,MIN(100,0.30*L124+0.20*K124+0.15*V124+0.15*W124+0.10*S124+0.10*(100-M124))),0)</x:f>
        <x:v>30</x:v>
      </x:c>
      <x:c r="AB124" s="12" t="n">
        <x:f>ROUND(MAX(0,MIN(100,0.30*M124+0.25*R124+0.20*Q124+0.15*K124+0.10*(100-T124))),0)</x:f>
        <x:v>69</x:v>
      </x:c>
      <x:c r="AC124" s="12" t="n">
        <x:f>ROUND(MAX(0,MIN(100,0.55*T124+0.15*S124+0.10*N124+0.10*V124+0.10*W124)),0)</x:f>
        <x:v>41</x:v>
      </x:c>
      <x:c r="AD124" s="12" t="n">
        <x:f>ROUND(MAX(0,MIN(100,0.25*O124+0.25*Q124+0.20*Y124+0.15*U124+0.15*(100-L124))),0)</x:f>
        <x:v>53</x:v>
      </x:c>
      <x:c r="AE124" s="12" t="n">
        <x:f>ROUND(MAX(0,MIN(100,0.30*Y124+0.25*S124+0.15*Q124+0.15*T124+0.15*X124)),0)</x:f>
        <x:v>75</x:v>
      </x:c>
      <x:c r="AF124" s="12" t="n">
        <x:f>ROUND(MAX(0,MIN(100,0.65*X124+0.35*Y124)),0)</x:f>
        <x:v>74</x:v>
      </x:c>
      <x:c r="AG124" s="12" t="str">
        <x:v>https://wikiwiki.jp/poke-unite/%E3%83%95%E3%83%BC%E3%83%91</x:v>
      </x:c>
      <x:c r="AH124" s="12" t="str">
        <x:v>目の前の戦闘だけでなく、味方の移動・復帰・集合まで含めて盤面を動かすタイプ。操作よりも先読みとチーム全体の時間管理が大きく効く。</x:v>
      </x:c>
      <x:c r="AI124" s="12" t="str">
        <x:v>直接支援・状況判断・機動力</x:v>
      </x:c>
      <x:c r="AJ124" s="12" t="n">
        <x:v>0</x:v>
      </x:c>
    </x:row>
    <x:row r="125">
      <x:c r="A125" s="12" t="str">
        <x:v>フーパ</x:v>
      </x:c>
      <x:c r="B125" s="12" t="str">
        <x:v>サポート型</x:v>
      </x:c>
      <x:c r="C125" s="12" t="str">
        <x:v>フーパ-2</x:v>
      </x:c>
      <x:c r="D125" s="12" t="str">
        <x:v>トリック</x:v>
      </x:c>
      <x:c r="E125" s="12" t="str">
        <x:v>Enchanter / BattleMage</x:v>
      </x:c>
      <x:c r="F125" s="12" t="str">
        <x:v>Enchanter</x:v>
      </x:c>
      <x:c r="G125" s="12" t="str">
        <x:v>BattleMage</x:v>
      </x:c>
      <x:c r="H125" s="12" t="str">
        <x:v>立ち位置・戦闘距離・役割が大きく変わるため別プロファイル</x:v>
      </x:c>
      <x:c r="I125" s="12" t="str">
        <x:v>高</x:v>
      </x:c>
      <x:c r="J125" s="12" t="str">
        <x:v>2026-09-30</x:v>
      </x:c>
      <x:c r="K125" s="12" t="n">
        <x:v>30</x:v>
      </x:c>
      <x:c r="L125" s="12" t="n">
        <x:v>25</x:v>
      </x:c>
      <x:c r="M125" s="12" t="n">
        <x:v>80</x:v>
      </x:c>
      <x:c r="N125" s="12" t="n">
        <x:v>15</x:v>
      </x:c>
      <x:c r="O125" s="12" t="n">
        <x:v>50</x:v>
      </x:c>
      <x:c r="P125" s="12" t="n">
        <x:v>45</x:v>
      </x:c>
      <x:c r="Q125" s="12" t="n">
        <x:v>55</x:v>
      </x:c>
      <x:c r="R125" s="12" t="n">
        <x:v>100</x:v>
      </x:c>
      <x:c r="S125" s="12" t="n">
        <x:v>70</x:v>
      </x:c>
      <x:c r="T125" s="12" t="n">
        <x:v>35</x:v>
      </x:c>
      <x:c r="U125" s="12" t="n">
        <x:v>10</x:v>
      </x:c>
      <x:c r="V125" s="12" t="n">
        <x:v>25</x:v>
      </x:c>
      <x:c r="W125" s="12" t="n">
        <x:v>45</x:v>
      </x:c>
      <x:c r="X125" s="12" t="n">
        <x:v>60</x:v>
      </x:c>
      <x:c r="Y125" s="12" t="n">
        <x:v>85</x:v>
      </x:c>
      <x:c r="Z125" s="12" t="n">
        <x:f>ROUND(MAX(0,MIN(100,0.40*K125+0.20*L125+0.10*S125+0.15*V125+0.15*Y125)),0)</x:f>
        <x:v>41</x:v>
      </x:c>
      <x:c r="AA125" s="12" t="n">
        <x:f>ROUND(MAX(0,MIN(100,0.30*L125+0.20*K125+0.15*V125+0.15*W125+0.10*S125+0.10*(100-M125))),0)</x:f>
        <x:v>33</x:v>
      </x:c>
      <x:c r="AB125" s="12" t="n">
        <x:f>ROUND(MAX(0,MIN(100,0.30*M125+0.25*R125+0.20*Q125+0.15*K125+0.10*(100-T125))),0)</x:f>
        <x:v>71</x:v>
      </x:c>
      <x:c r="AC125" s="12" t="n">
        <x:f>ROUND(MAX(0,MIN(100,0.55*T125+0.15*S125+0.10*N125+0.10*V125+0.10*W125)),0)</x:f>
        <x:v>38</x:v>
      </x:c>
      <x:c r="AD125" s="12" t="n">
        <x:f>ROUND(MAX(0,MIN(100,0.25*O125+0.25*Q125+0.20*Y125+0.15*U125+0.15*(100-L125))),0)</x:f>
        <x:v>56</x:v>
      </x:c>
      <x:c r="AE125" s="12" t="n">
        <x:f>ROUND(MAX(0,MIN(100,0.30*Y125+0.25*S125+0.15*Q125+0.15*T125+0.15*X125)),0)</x:f>
        <x:v>66</x:v>
      </x:c>
      <x:c r="AF125" s="12" t="n">
        <x:f>ROUND(MAX(0,MIN(100,0.65*X125+0.35*Y125)),0)</x:f>
        <x:v>69</x:v>
      </x:c>
      <x:c r="AG125" s="12" t="str">
        <x:v>https://wikiwiki.jp/poke-unite/%E3%83%95%E3%83%BC%E3%83%91</x:v>
      </x:c>
      <x:c r="AH125" s="12" t="str">
        <x:v>味方ひとりを強く支えつつ、自分も攻撃と位置調整に参加するタイプ。誰を支えるかを素早く選び続ける感覚が合う人向け。</x:v>
      </x:c>
      <x:c r="AI125" s="12" t="str">
        <x:v>直接支援・序盤即応・状況判断</x:v>
      </x:c>
      <x:c r="AJ125" s="12" t="n">
        <x:v>0</x:v>
      </x:c>
    </x:row>
    <x:row r="126">
      <x:c r="A126" s="12" t="str">
        <x:v>プクリン</x:v>
      </x:c>
      <x:c r="B126" s="12" t="str">
        <x:v>サポート型</x:v>
      </x:c>
      <x:c r="C126" s="12" t="str">
        <x:v>プクリン-1</x:v>
      </x:c>
      <x:c r="D126" s="12" t="str">
        <x:v>共通</x:v>
      </x:c>
      <x:c r="E126" s="12" t="str">
        <x:v>Warden</x:v>
      </x:c>
      <x:c r="F126" s="12" t="str">
        <x:v>Warden</x:v>
      </x:c>
      <x:c r="G126" s="12"/>
      <x:c r="H126" s="12" t="str">
        <x:v>技で細部は変わるが、診断上のプレイ人格は大きく変わらないため統合</x:v>
      </x:c>
      <x:c r="I126" s="12" t="str">
        <x:v>高</x:v>
      </x:c>
      <x:c r="J126" s="12" t="str">
        <x:v>2026-09-30</x:v>
      </x:c>
      <x:c r="K126" s="12" t="n">
        <x:v>45</x:v>
      </x:c>
      <x:c r="L126" s="12" t="n">
        <x:v>0</x:v>
      </x:c>
      <x:c r="M126" s="12" t="n">
        <x:v>100</x:v>
      </x:c>
      <x:c r="N126" s="12" t="n">
        <x:v>95</x:v>
      </x:c>
      <x:c r="O126" s="12" t="n">
        <x:v>20</x:v>
      </x:c>
      <x:c r="P126" s="12" t="n">
        <x:v>60</x:v>
      </x:c>
      <x:c r="Q126" s="12" t="n">
        <x:v>100</x:v>
      </x:c>
      <x:c r="R126" s="12" t="n">
        <x:v>50</x:v>
      </x:c>
      <x:c r="S126" s="12" t="n">
        <x:v>20</x:v>
      </x:c>
      <x:c r="T126" s="12" t="n">
        <x:v>35</x:v>
      </x:c>
      <x:c r="U126" s="12" t="n">
        <x:v>0</x:v>
      </x:c>
      <x:c r="V126" s="12" t="n">
        <x:v>20</x:v>
      </x:c>
      <x:c r="W126" s="12" t="n">
        <x:v>20</x:v>
      </x:c>
      <x:c r="X126" s="12" t="n">
        <x:v>50</x:v>
      </x:c>
      <x:c r="Y126" s="12" t="n">
        <x:v>85</x:v>
      </x:c>
      <x:c r="Z126" s="12" t="n">
        <x:f>ROUND(MAX(0,MIN(100,0.40*K126+0.20*L126+0.10*S126+0.15*V126+0.15*Y126)),0)</x:f>
        <x:v>36</x:v>
      </x:c>
      <x:c r="AA126" s="12" t="n">
        <x:f>ROUND(MAX(0,MIN(100,0.30*L126+0.20*K126+0.15*V126+0.15*W126+0.10*S126+0.10*(100-M126))),0)</x:f>
        <x:v>17</x:v>
      </x:c>
      <x:c r="AB126" s="12" t="n">
        <x:f>ROUND(MAX(0,MIN(100,0.30*M126+0.25*R126+0.20*Q126+0.15*K126+0.10*(100-T126))),0)</x:f>
        <x:v>76</x:v>
      </x:c>
      <x:c r="AC126" s="12" t="n">
        <x:f>ROUND(MAX(0,MIN(100,0.55*T126+0.15*S126+0.10*N126+0.10*V126+0.10*W126)),0)</x:f>
        <x:v>36</x:v>
      </x:c>
      <x:c r="AD126" s="12" t="n">
        <x:f>ROUND(MAX(0,MIN(100,0.25*O126+0.25*Q126+0.20*Y126+0.15*U126+0.15*(100-L126))),0)</x:f>
        <x:v>62</x:v>
      </x:c>
      <x:c r="AE126" s="12" t="n">
        <x:f>ROUND(MAX(0,MIN(100,0.30*Y126+0.25*S126+0.15*Q126+0.15*T126+0.15*X126)),0)</x:f>
        <x:v>58</x:v>
      </x:c>
      <x:c r="AF126" s="12" t="n">
        <x:f>ROUND(MAX(0,MIN(100,0.65*X126+0.35*Y126)),0)</x:f>
        <x:v>62</x:v>
      </x:c>
      <x:c r="AG126" s="12" t="str">
        <x:v>https://wikiwiki.jp/poke-unite/%E3%83%97%E3%82%AF%E3%83%AA%E3%83%B3</x:v>
      </x:c>
      <x:c r="AH126" s="12" t="str">
        <x:v>味方の近くで侵入を止め、安全に戦える空間を作るタイプ。味方が動きやすい空間を作ることと、相手の動きと位置を制限することを楽しめる人ほど持ち味を出しやすい。</x:v>
      </x:c>
      <x:c r="AI126" s="12" t="str">
        <x:v>盤面制御・序盤即応・安全ライン</x:v>
      </x:c>
      <x:c r="AJ126" s="12" t="n">
        <x:v>0</x:v>
      </x:c>
    </x:row>
    <x:row r="127">
      <x:c r="A127" s="12" t="str">
        <x:v>マホイップ</x:v>
      </x:c>
      <x:c r="B127" s="12" t="str">
        <x:v>サポート型</x:v>
      </x:c>
      <x:c r="C127" s="12" t="str">
        <x:v>マホイップ-1</x:v>
      </x:c>
      <x:c r="D127" s="12" t="str">
        <x:v>共通</x:v>
      </x:c>
      <x:c r="E127" s="12" t="str">
        <x:v>Enchanter</x:v>
      </x:c>
      <x:c r="F127" s="12" t="str">
        <x:v>Enchanter</x:v>
      </x:c>
      <x:c r="G127" s="12"/>
      <x:c r="H127" s="12" t="str">
        <x:v>技で細部は変わるが、診断上のプレイ人格は大きく変わらないため統合</x:v>
      </x:c>
      <x:c r="I127" s="12" t="str">
        <x:v>高</x:v>
      </x:c>
      <x:c r="J127" s="12" t="str">
        <x:v>2026-09-30</x:v>
      </x:c>
      <x:c r="K127" s="12" t="n">
        <x:v>5</x:v>
      </x:c>
      <x:c r="L127" s="12" t="n">
        <x:v>0</x:v>
      </x:c>
      <x:c r="M127" s="12" t="n">
        <x:v>95</x:v>
      </x:c>
      <x:c r="N127" s="12" t="n">
        <x:v>0</x:v>
      </x:c>
      <x:c r="O127" s="12" t="n">
        <x:v>25</x:v>
      </x:c>
      <x:c r="P127" s="12" t="n">
        <x:v>55</x:v>
      </x:c>
      <x:c r="Q127" s="12" t="n">
        <x:v>35</x:v>
      </x:c>
      <x:c r="R127" s="12" t="n">
        <x:v>100</x:v>
      </x:c>
      <x:c r="S127" s="12" t="n">
        <x:v>5</x:v>
      </x:c>
      <x:c r="T127" s="12" t="n">
        <x:v>5</x:v>
      </x:c>
      <x:c r="U127" s="12" t="n">
        <x:v>10</x:v>
      </x:c>
      <x:c r="V127" s="12" t="n">
        <x:v>5</x:v>
      </x:c>
      <x:c r="W127" s="12" t="n">
        <x:v>5</x:v>
      </x:c>
      <x:c r="X127" s="12" t="n">
        <x:v>40</x:v>
      </x:c>
      <x:c r="Y127" s="12" t="n">
        <x:v>85</x:v>
      </x:c>
      <x:c r="Z127" s="12" t="n">
        <x:f>ROUND(MAX(0,MIN(100,0.40*K127+0.20*L127+0.10*S127+0.15*V127+0.15*Y127)),0)</x:f>
        <x:v>16</x:v>
      </x:c>
      <x:c r="AA127" s="12" t="n">
        <x:f>ROUND(MAX(0,MIN(100,0.30*L127+0.20*K127+0.15*V127+0.15*W127+0.10*S127+0.10*(100-M127))),0)</x:f>
        <x:v>4</x:v>
      </x:c>
      <x:c r="AB127" s="12" t="n">
        <x:f>ROUND(MAX(0,MIN(100,0.30*M127+0.25*R127+0.20*Q127+0.15*K127+0.10*(100-T127))),0)</x:f>
        <x:v>71</x:v>
      </x:c>
      <x:c r="AC127" s="12" t="n">
        <x:f>ROUND(MAX(0,MIN(100,0.55*T127+0.15*S127+0.10*N127+0.10*V127+0.10*W127)),0)</x:f>
        <x:v>5</x:v>
      </x:c>
      <x:c r="AD127" s="12" t="n">
        <x:f>ROUND(MAX(0,MIN(100,0.25*O127+0.25*Q127+0.20*Y127+0.15*U127+0.15*(100-L127))),0)</x:f>
        <x:v>49</x:v>
      </x:c>
      <x:c r="AE127" s="12" t="n">
        <x:f>ROUND(MAX(0,MIN(100,0.30*Y127+0.25*S127+0.15*Q127+0.15*T127+0.15*X127)),0)</x:f>
        <x:v>39</x:v>
      </x:c>
      <x:c r="AF127" s="12" t="n">
        <x:f>ROUND(MAX(0,MIN(100,0.65*X127+0.35*Y127)),0)</x:f>
        <x:v>56</x:v>
      </x:c>
      <x:c r="AG127" s="12" t="str">
        <x:v>https://wikiwiki.jp/poke-unite/%E3%83%9E%E3%83%9B%E3%82%A4%E3%83%83%E3%83%97</x:v>
      </x:c>
      <x:c r="AH127" s="12" t="str">
        <x:v>味方の強みを引き出し、支援のタイミングで流れを変えるタイプ。味方の強みを引き出すことと、味方が動きやすい空間を作ることを楽しめる人ほど持ち味を出しやすい。</x:v>
      </x:c>
      <x:c r="AI127" s="12" t="str">
        <x:v>直接支援・後方位置・安全ライン</x:v>
      </x:c>
      <x:c r="AJ127" s="12" t="n">
        <x:v>0</x:v>
      </x:c>
    </x:row>
    <x:row r="128">
      <x:c r="A128" s="12" t="str">
        <x:v>メガニウム</x:v>
      </x:c>
      <x:c r="B128" s="12" t="str">
        <x:v>サポート型</x:v>
      </x:c>
      <x:c r="C128" s="12" t="str">
        <x:v>メガニウム-1</x:v>
      </x:c>
      <x:c r="D128" s="12" t="str">
        <x:v>共通</x:v>
      </x:c>
      <x:c r="E128" s="12" t="str">
        <x:v>Enchanter</x:v>
      </x:c>
      <x:c r="F128" s="12" t="str">
        <x:v>Enchanter</x:v>
      </x:c>
      <x:c r="G128" s="12"/>
      <x:c r="H128" s="12" t="str">
        <x:v>技で細部は変わるが、診断上のプレイ人格は大きく変わらないため統合</x:v>
      </x:c>
      <x:c r="I128" s="12" t="str">
        <x:v>中</x:v>
      </x:c>
      <x:c r="J128" s="12" t="str">
        <x:v>2026-09-30</x:v>
      </x:c>
      <x:c r="K128" s="12" t="n">
        <x:v>20</x:v>
      </x:c>
      <x:c r="L128" s="12" t="n">
        <x:v>0</x:v>
      </x:c>
      <x:c r="M128" s="12" t="n">
        <x:v>95</x:v>
      </x:c>
      <x:c r="N128" s="12" t="n">
        <x:v>15</x:v>
      </x:c>
      <x:c r="O128" s="12" t="n">
        <x:v>35</x:v>
      </x:c>
      <x:c r="P128" s="12" t="n">
        <x:v>70</x:v>
      </x:c>
      <x:c r="Q128" s="12" t="n">
        <x:v>65</x:v>
      </x:c>
      <x:c r="R128" s="12" t="n">
        <x:v>100</x:v>
      </x:c>
      <x:c r="S128" s="12" t="n">
        <x:v>35</x:v>
      </x:c>
      <x:c r="T128" s="12" t="n">
        <x:v>15</x:v>
      </x:c>
      <x:c r="U128" s="12" t="n">
        <x:v>10</x:v>
      </x:c>
      <x:c r="V128" s="12" t="n">
        <x:v>15</x:v>
      </x:c>
      <x:c r="W128" s="12" t="n">
        <x:v>25</x:v>
      </x:c>
      <x:c r="X128" s="12" t="n">
        <x:v>45</x:v>
      </x:c>
      <x:c r="Y128" s="12" t="n">
        <x:v>85</x:v>
      </x:c>
      <x:c r="Z128" s="12" t="n">
        <x:f>ROUND(MAX(0,MIN(100,0.40*K128+0.20*L128+0.10*S128+0.15*V128+0.15*Y128)),0)</x:f>
        <x:v>27</x:v>
      </x:c>
      <x:c r="AA128" s="12" t="n">
        <x:f>ROUND(MAX(0,MIN(100,0.30*L128+0.20*K128+0.15*V128+0.15*W128+0.10*S128+0.10*(100-M128))),0)</x:f>
        <x:v>14</x:v>
      </x:c>
      <x:c r="AB128" s="12" t="n">
        <x:f>ROUND(MAX(0,MIN(100,0.30*M128+0.25*R128+0.20*Q128+0.15*K128+0.10*(100-T128))),0)</x:f>
        <x:v>78</x:v>
      </x:c>
      <x:c r="AC128" s="12" t="n">
        <x:f>ROUND(MAX(0,MIN(100,0.55*T128+0.15*S128+0.10*N128+0.10*V128+0.10*W128)),0)</x:f>
        <x:v>19</x:v>
      </x:c>
      <x:c r="AD128" s="12" t="n">
        <x:f>ROUND(MAX(0,MIN(100,0.25*O128+0.25*Q128+0.20*Y128+0.15*U128+0.15*(100-L128))),0)</x:f>
        <x:v>59</x:v>
      </x:c>
      <x:c r="AE128" s="12" t="n">
        <x:f>ROUND(MAX(0,MIN(100,0.30*Y128+0.25*S128+0.15*Q128+0.15*T128+0.15*X128)),0)</x:f>
        <x:v>53</x:v>
      </x:c>
      <x:c r="AF128" s="12" t="n">
        <x:f>ROUND(MAX(0,MIN(100,0.65*X128+0.35*Y128)),0)</x:f>
        <x:v>59</x:v>
      </x:c>
      <x:c r="AG128" s="12" t="str">
        <x:v>https://wikiwiki.jp/poke-unite/%E3%83%A1%E3%82%AC%E3%83%8B%E3%82%A6%E3%83%A0</x:v>
      </x:c>
      <x:c r="AH128" s="12" t="str">
        <x:v>味方の強みを引き出し、支援のタイミングで流れを変えるタイプ。味方の強みを引き出すことと、味方が動きやすい空間を作ることを楽しめる人ほど持ち味を出しやすい。</x:v>
      </x:c>
      <x:c r="AI128" s="12" t="str">
        <x:v>直接支援・安全ライン・味方保護</x:v>
      </x:c>
      <x:c r="AJ128" s="12" t="n">
        <x:v>0</x:v>
      </x:c>
    </x:row>
    <x:row r="129">
      <x:c r="A129" s="12" t="str">
        <x:v>ヤミラミ</x:v>
      </x:c>
      <x:c r="B129" s="12" t="str">
        <x:v>サポート型</x:v>
      </x:c>
      <x:c r="C129" s="12" t="str">
        <x:v>ヤミラミ-1</x:v>
      </x:c>
      <x:c r="D129" s="12" t="str">
        <x:v>共通</x:v>
      </x:c>
      <x:c r="E129" s="12" t="str">
        <x:v>Specialist</x:v>
      </x:c>
      <x:c r="F129" s="12" t="str">
        <x:v>Specialist</x:v>
      </x:c>
      <x:c r="G129" s="12"/>
      <x:c r="H129" s="12" t="str">
        <x:v>技で細部は変わるが、診断上のプレイ人格は大きく変わらないため統合</x:v>
      </x:c>
      <x:c r="I129" s="12" t="str">
        <x:v>高</x:v>
      </x:c>
      <x:c r="J129" s="12" t="str">
        <x:v>2026-09-30</x:v>
      </x:c>
      <x:c r="K129" s="12" t="n">
        <x:v>55</x:v>
      </x:c>
      <x:c r="L129" s="12" t="n">
        <x:v>45</x:v>
      </x:c>
      <x:c r="M129" s="12" t="n">
        <x:v>25</x:v>
      </x:c>
      <x:c r="N129" s="12" t="n">
        <x:v>35</x:v>
      </x:c>
      <x:c r="O129" s="12" t="n">
        <x:v>5</x:v>
      </x:c>
      <x:c r="P129" s="12" t="n">
        <x:v>45</x:v>
      </x:c>
      <x:c r="Q129" s="12" t="n">
        <x:v>100</x:v>
      </x:c>
      <x:c r="R129" s="12" t="n">
        <x:v>35</x:v>
      </x:c>
      <x:c r="S129" s="12" t="n">
        <x:v>100</x:v>
      </x:c>
      <x:c r="T129" s="12" t="n">
        <x:v>40</x:v>
      </x:c>
      <x:c r="U129" s="12" t="n">
        <x:v>5</x:v>
      </x:c>
      <x:c r="V129" s="12" t="n">
        <x:v>25</x:v>
      </x:c>
      <x:c r="W129" s="12" t="n">
        <x:v>100</x:v>
      </x:c>
      <x:c r="X129" s="12" t="n">
        <x:v>60</x:v>
      </x:c>
      <x:c r="Y129" s="12" t="n">
        <x:v>90</x:v>
      </x:c>
      <x:c r="Z129" s="12" t="n">
        <x:f>ROUND(MAX(0,MIN(100,0.40*K129+0.20*L129+0.10*S129+0.15*V129+0.15*Y129)),0)</x:f>
        <x:v>58</x:v>
      </x:c>
      <x:c r="AA129" s="12" t="n">
        <x:f>ROUND(MAX(0,MIN(100,0.30*L129+0.20*K129+0.15*V129+0.15*W129+0.10*S129+0.10*(100-M129))),0)</x:f>
        <x:v>61</x:v>
      </x:c>
      <x:c r="AB129" s="12" t="n">
        <x:f>ROUND(MAX(0,MIN(100,0.30*M129+0.25*R129+0.20*Q129+0.15*K129+0.10*(100-T129))),0)</x:f>
        <x:v>51</x:v>
      </x:c>
      <x:c r="AC129" s="12" t="n">
        <x:f>ROUND(MAX(0,MIN(100,0.55*T129+0.15*S129+0.10*N129+0.10*V129+0.10*W129)),0)</x:f>
        <x:v>53</x:v>
      </x:c>
      <x:c r="AD129" s="12" t="n">
        <x:f>ROUND(MAX(0,MIN(100,0.25*O129+0.25*Q129+0.20*Y129+0.15*U129+0.15*(100-L129))),0)</x:f>
        <x:v>53</x:v>
      </x:c>
      <x:c r="AE129" s="12" t="n">
        <x:f>ROUND(MAX(0,MIN(100,0.30*Y129+0.25*S129+0.15*Q129+0.15*T129+0.15*X129)),0)</x:f>
        <x:v>82</x:v>
      </x:c>
      <x:c r="AF129" s="12" t="n">
        <x:f>ROUND(MAX(0,MIN(100,0.65*X129+0.35*Y129)),0)</x:f>
        <x:v>71</x:v>
      </x:c>
      <x:c r="AG129" s="12" t="str">
        <x:v>https://wikiwiki.jp/poke-unite/%E3%83%A4%E3%83%9F%E3%83%A9%E3%83%9F</x:v>
      </x:c>
      <x:c r="AH129" s="12" t="str">
        <x:v>正面から殴り合うより、視界外や空いた場所から相手の判断を崩していくタイプ。戦闘そのものより『相手を困らせる順番』を考えるのが好きな人向け。</x:v>
      </x:c>
      <x:c r="AI129" s="12" t="str">
        <x:v>盤面制御・機動力・サイド得点</x:v>
      </x:c>
      <x:c r="AJ129" s="12" t="n">
        <x:v>0</x:v>
      </x:c>
    </x:row>
    <x:row r="130">
      <x:c r="A130" s="12" t="str">
        <x:v>ラティアス</x:v>
      </x:c>
      <x:c r="B130" s="12" t="str">
        <x:v>サポート型</x:v>
      </x:c>
      <x:c r="C130" s="12" t="str">
        <x:v>ラティアス-1</x:v>
      </x:c>
      <x:c r="D130" s="12" t="str">
        <x:v>共通</x:v>
      </x:c>
      <x:c r="E130" s="12" t="str">
        <x:v>Enchanter / BattleMage</x:v>
      </x:c>
      <x:c r="F130" s="12" t="str">
        <x:v>Enchanter</x:v>
      </x:c>
      <x:c r="G130" s="12" t="str">
        <x:v>BattleMage</x:v>
      </x:c>
      <x:c r="H130" s="12" t="str">
        <x:v>技で細部は変わるが、診断上のプレイ人格は大きく変わらないため統合</x:v>
      </x:c>
      <x:c r="I130" s="12" t="str">
        <x:v>高</x:v>
      </x:c>
      <x:c r="J130" s="12" t="str">
        <x:v>2026-09-30</x:v>
      </x:c>
      <x:c r="K130" s="12" t="n">
        <x:v>30</x:v>
      </x:c>
      <x:c r="L130" s="12" t="n">
        <x:v>15</x:v>
      </x:c>
      <x:c r="M130" s="12" t="n">
        <x:v>65</x:v>
      </x:c>
      <x:c r="N130" s="12" t="n">
        <x:v>25</x:v>
      </x:c>
      <x:c r="O130" s="12" t="n">
        <x:v>50</x:v>
      </x:c>
      <x:c r="P130" s="12" t="n">
        <x:v>65</x:v>
      </x:c>
      <x:c r="Q130" s="12" t="n">
        <x:v>40</x:v>
      </x:c>
      <x:c r="R130" s="12" t="n">
        <x:v>90</x:v>
      </x:c>
      <x:c r="S130" s="12" t="n">
        <x:v>65</x:v>
      </x:c>
      <x:c r="T130" s="12" t="n">
        <x:v>50</x:v>
      </x:c>
      <x:c r="U130" s="12" t="n">
        <x:v>30</x:v>
      </x:c>
      <x:c r="V130" s="12" t="n">
        <x:v>40</x:v>
      </x:c>
      <x:c r="W130" s="12" t="n">
        <x:v>35</x:v>
      </x:c>
      <x:c r="X130" s="12" t="n">
        <x:v>60</x:v>
      </x:c>
      <x:c r="Y130" s="12" t="n">
        <x:v>70</x:v>
      </x:c>
      <x:c r="Z130" s="12" t="n">
        <x:f>ROUND(MAX(0,MIN(100,0.40*K130+0.20*L130+0.10*S130+0.15*V130+0.15*Y130)),0)</x:f>
        <x:v>38</x:v>
      </x:c>
      <x:c r="AA130" s="12" t="n">
        <x:f>ROUND(MAX(0,MIN(100,0.30*L130+0.20*K130+0.15*V130+0.15*W130+0.10*S130+0.10*(100-M130))),0)</x:f>
        <x:v>32</x:v>
      </x:c>
      <x:c r="AB130" s="12" t="n">
        <x:f>ROUND(MAX(0,MIN(100,0.30*M130+0.25*R130+0.20*Q130+0.15*K130+0.10*(100-T130))),0)</x:f>
        <x:v>60</x:v>
      </x:c>
      <x:c r="AC130" s="12" t="n">
        <x:f>ROUND(MAX(0,MIN(100,0.55*T130+0.15*S130+0.10*N130+0.10*V130+0.10*W130)),0)</x:f>
        <x:v>47</x:v>
      </x:c>
      <x:c r="AD130" s="12" t="n">
        <x:f>ROUND(MAX(0,MIN(100,0.25*O130+0.25*Q130+0.20*Y130+0.15*U130+0.15*(100-L130))),0)</x:f>
        <x:v>54</x:v>
      </x:c>
      <x:c r="AE130" s="12" t="n">
        <x:f>ROUND(MAX(0,MIN(100,0.30*Y130+0.25*S130+0.15*Q130+0.15*T130+0.15*X130)),0)</x:f>
        <x:v>60</x:v>
      </x:c>
      <x:c r="AF130" s="12" t="n">
        <x:f>ROUND(MAX(0,MIN(100,0.65*X130+0.35*Y130)),0)</x:f>
        <x:v>64</x:v>
      </x:c>
      <x:c r="AG130" s="12" t="str">
        <x:v>https://wikiwiki.jp/poke-unite/%E3%83%A9%E3%83%86%E3%82%A3%E3%82%A2%E3%82%B9</x:v>
      </x:c>
      <x:c r="AH130" s="12" t="str">
        <x:v>味方の強みを引き出し、支援のタイミングで流れを変えるタイプ。味方の強みを引き出すことと、状況に応じて選択を切り替えることを楽しめる人ほど持ち味を出しやすい。</x:v>
      </x:c>
      <x:c r="AI130" s="12" t="str">
        <x:v>直接支援・安全ライン・後方位置</x:v>
      </x:c>
      <x:c r="AJ130" s="12" t="n">
        <x:v>0</x:v>
      </x:c>
    </x:row>
    <x:row r="131">
      <x:c r="A131" s="12" t="str">
        <x:v>ワタシラガ</x:v>
      </x:c>
      <x:c r="B131" s="12" t="str">
        <x:v>サポート型</x:v>
      </x:c>
      <x:c r="C131" s="12" t="str">
        <x:v>ワタシラガ-1</x:v>
      </x:c>
      <x:c r="D131" s="12" t="str">
        <x:v>共通</x:v>
      </x:c>
      <x:c r="E131" s="12" t="str">
        <x:v>Enchanter / BattleMage</x:v>
      </x:c>
      <x:c r="F131" s="12" t="str">
        <x:v>Enchanter</x:v>
      </x:c>
      <x:c r="G131" s="12" t="str">
        <x:v>BattleMage</x:v>
      </x:c>
      <x:c r="H131" s="12" t="str">
        <x:v>技で細部は変わるが、診断上のプレイ人格は大きく変わらないため統合</x:v>
      </x:c>
      <x:c r="I131" s="12" t="str">
        <x:v>高</x:v>
      </x:c>
      <x:c r="J131" s="12" t="str">
        <x:v>2026-09-30</x:v>
      </x:c>
      <x:c r="K131" s="12" t="n">
        <x:v>30</x:v>
      </x:c>
      <x:c r="L131" s="12" t="n">
        <x:v>15</x:v>
      </x:c>
      <x:c r="M131" s="12" t="n">
        <x:v>70</x:v>
      </x:c>
      <x:c r="N131" s="12" t="n">
        <x:v>15</x:v>
      </x:c>
      <x:c r="O131" s="12" t="n">
        <x:v>50</x:v>
      </x:c>
      <x:c r="P131" s="12" t="n">
        <x:v>65</x:v>
      </x:c>
      <x:c r="Q131" s="12" t="n">
        <x:v>55</x:v>
      </x:c>
      <x:c r="R131" s="12" t="n">
        <x:v>70</x:v>
      </x:c>
      <x:c r="S131" s="12" t="n">
        <x:v>50</x:v>
      </x:c>
      <x:c r="T131" s="12" t="n">
        <x:v>35</x:v>
      </x:c>
      <x:c r="U131" s="12" t="n">
        <x:v>20</x:v>
      </x:c>
      <x:c r="V131" s="12" t="n">
        <x:v>40</x:v>
      </x:c>
      <x:c r="W131" s="12" t="n">
        <x:v>35</x:v>
      </x:c>
      <x:c r="X131" s="12" t="n">
        <x:v>60</x:v>
      </x:c>
      <x:c r="Y131" s="12" t="n">
        <x:v>85</x:v>
      </x:c>
      <x:c r="Z131" s="12" t="n">
        <x:f>ROUND(MAX(0,MIN(100,0.40*K131+0.20*L131+0.10*S131+0.15*V131+0.15*Y131)),0)</x:f>
        <x:v>39</x:v>
      </x:c>
      <x:c r="AA131" s="12" t="n">
        <x:f>ROUND(MAX(0,MIN(100,0.30*L131+0.20*K131+0.15*V131+0.15*W131+0.10*S131+0.10*(100-M131))),0)</x:f>
        <x:v>30</x:v>
      </x:c>
      <x:c r="AB131" s="12" t="n">
        <x:f>ROUND(MAX(0,MIN(100,0.30*M131+0.25*R131+0.20*Q131+0.15*K131+0.10*(100-T131))),0)</x:f>
        <x:v>61</x:v>
      </x:c>
      <x:c r="AC131" s="12" t="n">
        <x:f>ROUND(MAX(0,MIN(100,0.55*T131+0.15*S131+0.10*N131+0.10*V131+0.10*W131)),0)</x:f>
        <x:v>36</x:v>
      </x:c>
      <x:c r="AD131" s="12" t="n">
        <x:f>ROUND(MAX(0,MIN(100,0.25*O131+0.25*Q131+0.20*Y131+0.15*U131+0.15*(100-L131))),0)</x:f>
        <x:v>59</x:v>
      </x:c>
      <x:c r="AE131" s="12" t="n">
        <x:f>ROUND(MAX(0,MIN(100,0.30*Y131+0.25*S131+0.15*Q131+0.15*T131+0.15*X131)),0)</x:f>
        <x:v>61</x:v>
      </x:c>
      <x:c r="AF131" s="12" t="n">
        <x:f>ROUND(MAX(0,MIN(100,0.65*X131+0.35*Y131)),0)</x:f>
        <x:v>69</x:v>
      </x:c>
      <x:c r="AG131" s="12" t="str">
        <x:v>https://wikiwiki.jp/poke-unite/%E3%83%AF%E3%82%BF%E3%82%B7%E3%83%A9%E3%82%AC</x:v>
      </x:c>
      <x:c r="AH131" s="12" t="str">
        <x:v>味方の強みを引き出し、支援のタイミングで流れを変えるタイプ。状況に応じて選択を切り替えることと、味方が動きやすい空間を作ることを楽しめる人ほど持ち味を出しやすい。</x:v>
      </x:c>
      <x:c r="AI131" s="12" t="str">
        <x:v>状況判断・後方位置・安全ライン</x:v>
      </x:c>
      <x:c r="AJ131" s="12" t="n">
        <x:v>0</x:v>
      </x:c>
    </x:row>
    <x:row r="132">
      <x:c r="A132" s="12"/>
      <x:c r="B132" s="12"/>
      <x:c r="C132" s="12"/>
      <x:c r="D132" s="12"/>
      <x:c r="E132" s="12"/>
      <x:c r="F132" s="12"/>
      <x:c r="G132" s="12"/>
      <x:c r="H132" s="12"/>
      <x:c r="I132" s="12"/>
      <x:c r="J132" s="12"/>
      <x:c r="K132" s="12"/>
      <x:c r="L132" s="12"/>
      <x:c r="M132" s="12"/>
      <x:c r="N132" s="12"/>
      <x:c r="O132" s="12"/>
      <x:c r="P132" s="12"/>
      <x:c r="Q132" s="12"/>
      <x:c r="R132" s="12"/>
      <x:c r="S132" s="12"/>
      <x:c r="T132" s="12"/>
      <x:c r="U132" s="12"/>
      <x:c r="V132" s="12"/>
      <x:c r="W132" s="12"/>
      <x:c r="X132" s="12"/>
      <x:c r="Y132" s="12"/>
      <x:c r="Z132" s="12"/>
      <x:c r="AA132" s="12"/>
      <x:c r="AB132" s="12"/>
      <x:c r="AC132" s="12"/>
      <x:c r="AD132" s="12"/>
      <x:c r="AE132" s="12"/>
      <x:c r="AF132" s="12"/>
      <x:c r="AG132" s="12"/>
      <x:c r="AH132"/>
      <x:c r="AI132"/>
      <x:c r="AJ132"/>
    </x:row>
    <x:row r="133">
      <x:c r="A133" s="12"/>
      <x:c r="B133" s="12"/>
      <x:c r="C133" s="12"/>
      <x:c r="D133" s="12"/>
      <x:c r="E133" s="12"/>
      <x:c r="F133" s="12"/>
      <x:c r="G133" s="12"/>
      <x:c r="H133" s="12"/>
      <x:c r="I133" s="12"/>
      <x:c r="J133" s="12"/>
      <x:c r="K133" s="12"/>
      <x:c r="L133" s="12"/>
      <x:c r="M133" s="12"/>
      <x:c r="N133" s="12"/>
      <x:c r="O133" s="12"/>
      <x:c r="P133" s="12"/>
      <x:c r="Q133" s="12"/>
      <x:c r="R133" s="12"/>
      <x:c r="S133" s="12"/>
      <x:c r="T133" s="12"/>
      <x:c r="U133" s="12"/>
      <x:c r="V133" s="12"/>
      <x:c r="W133" s="12"/>
      <x:c r="X133" s="12"/>
      <x:c r="Y133" s="12"/>
      <x:c r="Z133" s="12"/>
      <x:c r="AA133" s="12"/>
      <x:c r="AB133" s="12"/>
      <x:c r="AC133" s="12"/>
      <x:c r="AD133" s="12"/>
      <x:c r="AE133" s="12"/>
      <x:c r="AF133" s="12"/>
      <x:c r="AG133" s="12"/>
      <x:c r="AH133"/>
      <x:c r="AI133"/>
      <x:c r="AJ133"/>
    </x:row>
    <x:row r="134">
      <x:c r="A134" s="12"/>
      <x:c r="B134" s="12"/>
      <x:c r="C134" s="12"/>
      <x:c r="D134" s="12"/>
      <x:c r="E134" s="12"/>
      <x:c r="F134" s="12"/>
      <x:c r="G134" s="12"/>
      <x:c r="H134" s="12"/>
      <x:c r="I134" s="12"/>
      <x:c r="J134" s="12"/>
      <x:c r="K134" s="12"/>
      <x:c r="L134" s="12"/>
      <x:c r="M134" s="12"/>
      <x:c r="N134" s="12"/>
      <x:c r="O134" s="12"/>
      <x:c r="P134" s="12"/>
      <x:c r="Q134" s="12"/>
      <x:c r="R134" s="12"/>
      <x:c r="S134" s="12"/>
      <x:c r="T134" s="12"/>
      <x:c r="U134" s="12"/>
      <x:c r="V134" s="12"/>
      <x:c r="W134" s="12"/>
      <x:c r="X134" s="12"/>
      <x:c r="Y134" s="12"/>
      <x:c r="Z134" s="12"/>
      <x:c r="AA134" s="12"/>
      <x:c r="AB134" s="12"/>
      <x:c r="AC134" s="12"/>
      <x:c r="AD134" s="12"/>
      <x:c r="AE134" s="12"/>
      <x:c r="AF134" s="12"/>
      <x:c r="AG134" s="12"/>
      <x:c r="AH134"/>
      <x:c r="AI134"/>
      <x:c r="AJ134"/>
    </x:row>
    <x:row r="135">
      <x:c r="A135" s="12"/>
      <x:c r="B135" s="12"/>
      <x:c r="C135" s="12"/>
      <x:c r="D135" s="12"/>
      <x:c r="E135" s="12"/>
      <x:c r="F135" s="12"/>
      <x:c r="G135" s="12"/>
      <x:c r="H135" s="12"/>
      <x:c r="I135" s="12"/>
      <x:c r="J135" s="12"/>
      <x:c r="K135" s="12"/>
      <x:c r="L135" s="12"/>
      <x:c r="M135" s="12"/>
      <x:c r="N135" s="12"/>
      <x:c r="O135" s="12"/>
      <x:c r="P135" s="12"/>
      <x:c r="Q135" s="12"/>
      <x:c r="R135" s="12"/>
      <x:c r="S135" s="12"/>
      <x:c r="T135" s="12"/>
      <x:c r="U135" s="12"/>
      <x:c r="V135" s="12"/>
      <x:c r="W135" s="12"/>
      <x:c r="X135" s="12"/>
      <x:c r="Y135" s="12"/>
      <x:c r="Z135" s="12"/>
      <x:c r="AA135" s="12"/>
      <x:c r="AB135" s="12"/>
      <x:c r="AC135" s="12"/>
      <x:c r="AD135" s="12"/>
      <x:c r="AE135" s="12"/>
      <x:c r="AF135" s="12"/>
      <x:c r="AG135" s="12"/>
      <x:c r="AH135"/>
      <x:c r="AI135"/>
      <x:c r="AJ135"/>
    </x:row>
    <x:row r="136">
      <x:c r="A136" s="12"/>
      <x:c r="B136" s="12"/>
      <x:c r="C136" s="12"/>
      <x:c r="D136" s="12"/>
      <x:c r="E136" s="12"/>
      <x:c r="F136" s="12"/>
      <x:c r="G136" s="12"/>
      <x:c r="H136" s="12"/>
      <x:c r="I136" s="12"/>
      <x:c r="J136" s="12"/>
      <x:c r="K136" s="12"/>
      <x:c r="L136" s="12"/>
      <x:c r="M136" s="12"/>
      <x:c r="N136" s="12"/>
      <x:c r="O136" s="12"/>
      <x:c r="P136" s="12"/>
      <x:c r="Q136" s="12"/>
      <x:c r="R136" s="12"/>
      <x:c r="S136" s="12"/>
      <x:c r="T136" s="12"/>
      <x:c r="U136" s="12"/>
      <x:c r="V136" s="12"/>
      <x:c r="W136" s="12"/>
      <x:c r="X136" s="12"/>
      <x:c r="Y136" s="12"/>
      <x:c r="Z136" s="12"/>
      <x:c r="AA136" s="12"/>
      <x:c r="AB136" s="12"/>
      <x:c r="AC136" s="12"/>
      <x:c r="AD136" s="12"/>
      <x:c r="AE136" s="12"/>
      <x:c r="AF136" s="12"/>
      <x:c r="AG136" s="12"/>
      <x:c r="AH136"/>
      <x:c r="AI136"/>
      <x:c r="AJ136"/>
    </x:row>
    <x:row r="137">
      <x:c r="A137" s="12"/>
      <x:c r="B137" s="12"/>
      <x:c r="C137" s="12"/>
      <x:c r="D137" s="12"/>
      <x:c r="E137" s="12"/>
      <x:c r="F137" s="12"/>
      <x:c r="G137" s="12"/>
      <x:c r="H137" s="12"/>
      <x:c r="I137" s="12"/>
      <x:c r="J137" s="12"/>
      <x:c r="K137" s="12"/>
      <x:c r="L137" s="12"/>
      <x:c r="M137" s="12"/>
      <x:c r="N137" s="12"/>
      <x:c r="O137" s="12"/>
      <x:c r="P137" s="12"/>
      <x:c r="Q137" s="12"/>
      <x:c r="R137" s="12"/>
      <x:c r="S137" s="12"/>
      <x:c r="T137" s="12"/>
      <x:c r="U137" s="12"/>
      <x:c r="V137" s="12"/>
      <x:c r="W137" s="12"/>
      <x:c r="X137" s="12"/>
      <x:c r="Y137" s="12"/>
      <x:c r="Z137" s="12"/>
      <x:c r="AA137" s="12"/>
      <x:c r="AB137" s="12"/>
      <x:c r="AC137" s="12"/>
      <x:c r="AD137" s="12"/>
      <x:c r="AE137" s="12"/>
      <x:c r="AF137" s="12"/>
      <x:c r="AG137" s="12"/>
      <x:c r="AH137"/>
      <x:c r="AI137"/>
      <x:c r="AJ137"/>
    </x:row>
    <x:row r="138">
      <x:c r="A138" s="12"/>
      <x:c r="B138" s="12"/>
      <x:c r="C138" s="12"/>
      <x:c r="D138" s="12"/>
      <x:c r="E138" s="12"/>
      <x:c r="F138" s="12"/>
      <x:c r="G138" s="12"/>
      <x:c r="H138" s="12"/>
      <x:c r="I138" s="12"/>
      <x:c r="J138" s="12"/>
      <x:c r="K138" s="12"/>
      <x:c r="L138" s="12"/>
      <x:c r="M138" s="12"/>
      <x:c r="N138" s="12"/>
      <x:c r="O138" s="12"/>
      <x:c r="P138" s="12"/>
      <x:c r="Q138" s="12"/>
      <x:c r="R138" s="12"/>
      <x:c r="S138" s="12"/>
      <x:c r="T138" s="12"/>
      <x:c r="U138" s="12"/>
      <x:c r="V138" s="12"/>
      <x:c r="W138" s="12"/>
      <x:c r="X138" s="12"/>
      <x:c r="Y138" s="12"/>
      <x:c r="Z138" s="12"/>
      <x:c r="AA138" s="12"/>
      <x:c r="AB138" s="12"/>
      <x:c r="AC138" s="12"/>
      <x:c r="AD138" s="12"/>
      <x:c r="AE138" s="12"/>
      <x:c r="AF138" s="12"/>
      <x:c r="AG138" s="12"/>
      <x:c r="AH138"/>
      <x:c r="AI138"/>
      <x:c r="AJ138"/>
    </x:row>
    <x:row r="139">
      <x:c r="A139" s="12"/>
      <x:c r="B139" s="12"/>
      <x:c r="C139" s="12"/>
      <x:c r="D139" s="12"/>
      <x:c r="E139" s="12"/>
      <x:c r="F139" s="12"/>
      <x:c r="G139" s="12"/>
      <x:c r="H139" s="12"/>
      <x:c r="I139" s="12"/>
      <x:c r="J139" s="12"/>
      <x:c r="K139" s="12"/>
      <x:c r="L139" s="12"/>
      <x:c r="M139" s="12"/>
      <x:c r="N139" s="12"/>
      <x:c r="O139" s="12"/>
      <x:c r="P139" s="12"/>
      <x:c r="Q139" s="12"/>
      <x:c r="R139" s="12"/>
      <x:c r="S139" s="12"/>
      <x:c r="T139" s="12"/>
      <x:c r="U139" s="12"/>
      <x:c r="V139" s="12"/>
      <x:c r="W139" s="12"/>
      <x:c r="X139" s="12"/>
      <x:c r="Y139" s="12"/>
      <x:c r="Z139" s="12"/>
      <x:c r="AA139" s="12"/>
      <x:c r="AB139" s="12"/>
      <x:c r="AC139" s="12"/>
      <x:c r="AD139" s="12"/>
      <x:c r="AE139" s="12"/>
      <x:c r="AF139" s="12"/>
      <x:c r="AG139" s="12"/>
      <x:c r="AH139"/>
      <x:c r="AI139"/>
      <x:c r="AJ139"/>
    </x:row>
    <x:row r="140">
      <x:c r="A140" s="12"/>
      <x:c r="B140" s="12"/>
      <x:c r="C140" s="12"/>
      <x:c r="D140" s="12"/>
      <x:c r="E140" s="12"/>
      <x:c r="F140" s="12"/>
      <x:c r="G140" s="12"/>
      <x:c r="H140" s="12"/>
      <x:c r="I140" s="12"/>
      <x:c r="J140" s="12"/>
      <x:c r="K140" s="12"/>
      <x:c r="L140" s="12"/>
      <x:c r="M140" s="12"/>
      <x:c r="N140" s="12"/>
      <x:c r="O140" s="12"/>
      <x:c r="P140" s="12"/>
      <x:c r="Q140" s="12"/>
      <x:c r="R140" s="12"/>
      <x:c r="S140" s="12"/>
      <x:c r="T140" s="12"/>
      <x:c r="U140" s="12"/>
      <x:c r="V140" s="12"/>
      <x:c r="W140" s="12"/>
      <x:c r="X140" s="12"/>
      <x:c r="Y140" s="12"/>
      <x:c r="Z140" s="12"/>
      <x:c r="AA140" s="12"/>
      <x:c r="AB140" s="12"/>
      <x:c r="AC140" s="12"/>
      <x:c r="AD140" s="12"/>
      <x:c r="AE140" s="12"/>
      <x:c r="AF140" s="12"/>
      <x:c r="AG140" s="12"/>
      <x:c r="AH140"/>
      <x:c r="AI140"/>
      <x:c r="AJ140"/>
    </x:row>
    <x:row r="141">
      <x:c r="A141" s="12"/>
      <x:c r="B141" s="12"/>
      <x:c r="C141" s="12"/>
      <x:c r="D141" s="12"/>
      <x:c r="E141" s="12"/>
      <x:c r="F141" s="12"/>
      <x:c r="G141" s="12"/>
      <x:c r="H141" s="12"/>
      <x:c r="I141" s="12"/>
      <x:c r="J141" s="12"/>
      <x:c r="K141" s="12"/>
      <x:c r="L141" s="12"/>
      <x:c r="M141" s="12"/>
      <x:c r="N141" s="12"/>
      <x:c r="O141" s="12"/>
      <x:c r="P141" s="12"/>
      <x:c r="Q141" s="12"/>
      <x:c r="R141" s="12"/>
      <x:c r="S141" s="12"/>
      <x:c r="T141" s="12"/>
      <x:c r="U141" s="12"/>
      <x:c r="V141" s="12"/>
      <x:c r="W141" s="12"/>
      <x:c r="X141" s="12"/>
      <x:c r="Y141" s="12"/>
      <x:c r="Z141" s="12"/>
      <x:c r="AA141" s="12"/>
      <x:c r="AB141" s="12"/>
      <x:c r="AC141" s="12"/>
      <x:c r="AD141" s="12"/>
      <x:c r="AE141" s="12"/>
      <x:c r="AF141" s="12"/>
      <x:c r="AG141" s="12"/>
      <x:c r="AH141"/>
      <x:c r="AI141"/>
      <x:c r="AJ141"/>
    </x:row>
  </x:sheetData>
  <x:conditionalFormatting sqref="K2:K141">
    <x:cfRule type="dataBar" priority="1">
      <x:dataBar>
        <x:cfvo type="min"/>
        <x:cfvo type="max"/>
        <x:color rgb="FFA02B93"/>
      </x:dataBar>
      <x:extLst>
        <x:ext xmlns:x14="http://schemas.microsoft.com/office/spreadsheetml/2009/9/main" uri="{B025F937-C7B1-47D3-B67F-A62EFF666E3E}">
          <x14:id>{FCE6F1FB-DB38-6008-2848-868EEB71B62D}</x14:id>
        </x:ext>
      </x:extLst>
    </x:cfRule>
  </x:conditionalFormatting>
  <x:conditionalFormatting sqref="L2:L141">
    <x:cfRule type="dataBar" priority="2">
      <x:dataBar>
        <x:cfvo type="min"/>
        <x:cfvo type="max"/>
        <x:color rgb="FFA02B93"/>
      </x:dataBar>
      <x:extLst>
        <x:ext xmlns:x14="http://schemas.microsoft.com/office/spreadsheetml/2009/9/main" uri="{B025F937-C7B1-47D3-B67F-A62EFF666E3E}">
          <x14:id>{288F886F-EFED-CA9A-4CA1-CA120D8D1F06}</x14:id>
        </x:ext>
      </x:extLst>
    </x:cfRule>
  </x:conditionalFormatting>
  <x:conditionalFormatting sqref="M2:M141">
    <x:cfRule type="dataBar" priority="3">
      <x:dataBar>
        <x:cfvo type="min"/>
        <x:cfvo type="max"/>
        <x:color rgb="FFA02B93"/>
      </x:dataBar>
      <x:extLst>
        <x:ext xmlns:x14="http://schemas.microsoft.com/office/spreadsheetml/2009/9/main" uri="{B025F937-C7B1-47D3-B67F-A62EFF666E3E}">
          <x14:id>{8DC16409-DD79-4289-D9AC-1EA0FD7E17F4}</x14:id>
        </x:ext>
      </x:extLst>
    </x:cfRule>
  </x:conditionalFormatting>
  <x:conditionalFormatting sqref="N2:N141">
    <x:cfRule type="dataBar" priority="4">
      <x:dataBar>
        <x:cfvo type="min"/>
        <x:cfvo type="max"/>
        <x:color rgb="FFA02B93"/>
      </x:dataBar>
      <x:extLst>
        <x:ext xmlns:x14="http://schemas.microsoft.com/office/spreadsheetml/2009/9/main" uri="{B025F937-C7B1-47D3-B67F-A62EFF666E3E}">
          <x14:id>{60BD451E-7589-6B56-B36F-C39177733338}</x14:id>
        </x:ext>
      </x:extLst>
    </x:cfRule>
  </x:conditionalFormatting>
  <x:conditionalFormatting sqref="O2:O141">
    <x:cfRule type="dataBar" priority="5">
      <x:dataBar>
        <x:cfvo type="min"/>
        <x:cfvo type="max"/>
        <x:color rgb="FFA02B93"/>
      </x:dataBar>
      <x:extLst>
        <x:ext xmlns:x14="http://schemas.microsoft.com/office/spreadsheetml/2009/9/main" uri="{B025F937-C7B1-47D3-B67F-A62EFF666E3E}">
          <x14:id>{0397D2C9-8DB5-0D54-A905-988BD26CBB94}</x14:id>
        </x:ext>
      </x:extLst>
    </x:cfRule>
  </x:conditionalFormatting>
  <x:conditionalFormatting sqref="P2:P141">
    <x:cfRule type="dataBar" priority="6">
      <x:dataBar>
        <x:cfvo type="min"/>
        <x:cfvo type="max"/>
        <x:color rgb="FFA02B93"/>
      </x:dataBar>
      <x:extLst>
        <x:ext xmlns:x14="http://schemas.microsoft.com/office/spreadsheetml/2009/9/main" uri="{B025F937-C7B1-47D3-B67F-A62EFF666E3E}">
          <x14:id>{69BCA2D8-00BC-A86E-7FD7-57092C57EF1C}</x14:id>
        </x:ext>
      </x:extLst>
    </x:cfRule>
  </x:conditionalFormatting>
  <x:conditionalFormatting sqref="Q2:Q141">
    <x:cfRule type="dataBar" priority="7">
      <x:dataBar>
        <x:cfvo type="min"/>
        <x:cfvo type="max"/>
        <x:color rgb="FFA02B93"/>
      </x:dataBar>
      <x:extLst>
        <x:ext xmlns:x14="http://schemas.microsoft.com/office/spreadsheetml/2009/9/main" uri="{B025F937-C7B1-47D3-B67F-A62EFF666E3E}">
          <x14:id>{47C9B1CE-4873-7C2A-891B-CDB6E84FFF0C}</x14:id>
        </x:ext>
      </x:extLst>
    </x:cfRule>
  </x:conditionalFormatting>
  <x:conditionalFormatting sqref="R2:R141">
    <x:cfRule type="dataBar" priority="8">
      <x:dataBar>
        <x:cfvo type="min"/>
        <x:cfvo type="max"/>
        <x:color rgb="FFA02B93"/>
      </x:dataBar>
      <x:extLst>
        <x:ext xmlns:x14="http://schemas.microsoft.com/office/spreadsheetml/2009/9/main" uri="{B025F937-C7B1-47D3-B67F-A62EFF666E3E}">
          <x14:id>{57867675-A140-5432-358A-54773F633031}</x14:id>
        </x:ext>
      </x:extLst>
    </x:cfRule>
  </x:conditionalFormatting>
  <x:conditionalFormatting sqref="S2:S141">
    <x:cfRule type="dataBar" priority="9">
      <x:dataBar>
        <x:cfvo type="min"/>
        <x:cfvo type="max"/>
        <x:color rgb="FFA02B93"/>
      </x:dataBar>
      <x:extLst>
        <x:ext xmlns:x14="http://schemas.microsoft.com/office/spreadsheetml/2009/9/main" uri="{B025F937-C7B1-47D3-B67F-A62EFF666E3E}">
          <x14:id>{CCBC7E36-73DF-B1C5-D2F1-1C4268B4038C}</x14:id>
        </x:ext>
      </x:extLst>
    </x:cfRule>
  </x:conditionalFormatting>
  <x:conditionalFormatting sqref="T2:T141">
    <x:cfRule type="dataBar" priority="10">
      <x:dataBar>
        <x:cfvo type="min"/>
        <x:cfvo type="max"/>
        <x:color rgb="FFA02B93"/>
      </x:dataBar>
      <x:extLst>
        <x:ext xmlns:x14="http://schemas.microsoft.com/office/spreadsheetml/2009/9/main" uri="{B025F937-C7B1-47D3-B67F-A62EFF666E3E}">
          <x14:id>{6667D22E-2EEA-D952-DC02-0A18E09A37A3}</x14:id>
        </x:ext>
      </x:extLst>
    </x:cfRule>
  </x:conditionalFormatting>
  <x:conditionalFormatting sqref="U2:U141">
    <x:cfRule type="dataBar" priority="11">
      <x:dataBar>
        <x:cfvo type="min"/>
        <x:cfvo type="max"/>
        <x:color rgb="FFA02B93"/>
      </x:dataBar>
      <x:extLst>
        <x:ext xmlns:x14="http://schemas.microsoft.com/office/spreadsheetml/2009/9/main" uri="{B025F937-C7B1-47D3-B67F-A62EFF666E3E}">
          <x14:id>{4E4DDCFB-889C-7BA1-D12B-02BD06698C2D}</x14:id>
        </x:ext>
      </x:extLst>
    </x:cfRule>
  </x:conditionalFormatting>
  <x:conditionalFormatting sqref="V2:V141">
    <x:cfRule type="dataBar" priority="12">
      <x:dataBar>
        <x:cfvo type="min"/>
        <x:cfvo type="max"/>
        <x:color rgb="FFA02B93"/>
      </x:dataBar>
      <x:extLst>
        <x:ext xmlns:x14="http://schemas.microsoft.com/office/spreadsheetml/2009/9/main" uri="{B025F937-C7B1-47D3-B67F-A62EFF666E3E}">
          <x14:id>{2912A0C4-0510-7D76-3D32-01213811C799}</x14:id>
        </x:ext>
      </x:extLst>
    </x:cfRule>
  </x:conditionalFormatting>
  <x:conditionalFormatting sqref="W2:W141">
    <x:cfRule type="dataBar" priority="13">
      <x:dataBar>
        <x:cfvo type="min"/>
        <x:cfvo type="max"/>
        <x:color rgb="FFA02B93"/>
      </x:dataBar>
      <x:extLst>
        <x:ext xmlns:x14="http://schemas.microsoft.com/office/spreadsheetml/2009/9/main" uri="{B025F937-C7B1-47D3-B67F-A62EFF666E3E}">
          <x14:id>{A17140C3-2FEB-B135-8A30-50487E51C541}</x14:id>
        </x:ext>
      </x:extLst>
    </x:cfRule>
  </x:conditionalFormatting>
  <x:conditionalFormatting sqref="X2:X141">
    <x:cfRule type="dataBar" priority="14">
      <x:dataBar>
        <x:cfvo type="min"/>
        <x:cfvo type="max"/>
        <x:color rgb="FFA02B93"/>
      </x:dataBar>
      <x:extLst>
        <x:ext xmlns:x14="http://schemas.microsoft.com/office/spreadsheetml/2009/9/main" uri="{B025F937-C7B1-47D3-B67F-A62EFF666E3E}">
          <x14:id>{3ECE9AD2-281C-862D-40B2-B36ABDC1F51C}</x14:id>
        </x:ext>
      </x:extLst>
    </x:cfRule>
  </x:conditionalFormatting>
  <x:conditionalFormatting sqref="Y2:Y141">
    <x:cfRule type="dataBar" priority="15">
      <x:dataBar>
        <x:cfvo type="min"/>
        <x:cfvo type="max"/>
        <x:color rgb="FFA02B93"/>
      </x:dataBar>
      <x:extLst>
        <x:ext xmlns:x14="http://schemas.microsoft.com/office/spreadsheetml/2009/9/main" uri="{B025F937-C7B1-47D3-B67F-A62EFF666E3E}">
          <x14:id>{C87C2AF5-5DDA-436D-5C9A-AE7E347C255D}</x14:id>
        </x:ext>
      </x:extLst>
    </x:cfRule>
  </x:conditionalFormatting>
  <x:conditionalFormatting sqref="Z2:Z141">
    <x:cfRule type="dataBar" priority="16">
      <x:dataBar>
        <x:cfvo type="min"/>
        <x:cfvo type="max"/>
        <x:color rgb="FFA02B93"/>
      </x:dataBar>
      <x:extLst>
        <x:ext xmlns:x14="http://schemas.microsoft.com/office/spreadsheetml/2009/9/main" uri="{B025F937-C7B1-47D3-B67F-A62EFF666E3E}">
          <x14:id>{29AC2AEA-2A95-5E3F-C944-D440D1AEF282}</x14:id>
        </x:ext>
      </x:extLst>
    </x:cfRule>
  </x:conditionalFormatting>
  <x:conditionalFormatting sqref="AA2:AA141">
    <x:cfRule type="dataBar" priority="17">
      <x:dataBar>
        <x:cfvo type="min"/>
        <x:cfvo type="max"/>
        <x:color rgb="FFA02B93"/>
      </x:dataBar>
      <x:extLst>
        <x:ext xmlns:x14="http://schemas.microsoft.com/office/spreadsheetml/2009/9/main" uri="{B025F937-C7B1-47D3-B67F-A62EFF666E3E}">
          <x14:id>{6228F0A4-7761-09A5-FE34-C1286539BABF}</x14:id>
        </x:ext>
      </x:extLst>
    </x:cfRule>
  </x:conditionalFormatting>
  <x:conditionalFormatting sqref="AB2:AB141">
    <x:cfRule type="dataBar" priority="18">
      <x:dataBar>
        <x:cfvo type="min"/>
        <x:cfvo type="max"/>
        <x:color rgb="FFA02B93"/>
      </x:dataBar>
      <x:extLst>
        <x:ext xmlns:x14="http://schemas.microsoft.com/office/spreadsheetml/2009/9/main" uri="{B025F937-C7B1-47D3-B67F-A62EFF666E3E}">
          <x14:id>{BB551D94-D8F9-A194-A10B-64BFE87CD06E}</x14:id>
        </x:ext>
      </x:extLst>
    </x:cfRule>
  </x:conditionalFormatting>
  <x:conditionalFormatting sqref="AC2:AC141">
    <x:cfRule type="dataBar" priority="19">
      <x:dataBar>
        <x:cfvo type="min"/>
        <x:cfvo type="max"/>
        <x:color rgb="FFA02B93"/>
      </x:dataBar>
      <x:extLst>
        <x:ext xmlns:x14="http://schemas.microsoft.com/office/spreadsheetml/2009/9/main" uri="{B025F937-C7B1-47D3-B67F-A62EFF666E3E}">
          <x14:id>{72E5AF9F-5709-C1C4-DAD6-12A1D66F42A7}</x14:id>
        </x:ext>
      </x:extLst>
    </x:cfRule>
  </x:conditionalFormatting>
  <x:conditionalFormatting sqref="AD2:AD141">
    <x:cfRule type="dataBar" priority="20">
      <x:dataBar>
        <x:cfvo type="min"/>
        <x:cfvo type="max"/>
        <x:color rgb="FFA02B93"/>
      </x:dataBar>
      <x:extLst>
        <x:ext xmlns:x14="http://schemas.microsoft.com/office/spreadsheetml/2009/9/main" uri="{B025F937-C7B1-47D3-B67F-A62EFF666E3E}">
          <x14:id>{F32B9A28-841E-A288-F402-A0D1C03B00CB}</x14:id>
        </x:ext>
      </x:extLst>
    </x:cfRule>
  </x:conditionalFormatting>
  <x:conditionalFormatting sqref="AE2:AE141">
    <x:cfRule type="dataBar" priority="21">
      <x:dataBar>
        <x:cfvo type="min"/>
        <x:cfvo type="max"/>
        <x:color rgb="FFA02B93"/>
      </x:dataBar>
      <x:extLst>
        <x:ext xmlns:x14="http://schemas.microsoft.com/office/spreadsheetml/2009/9/main" uri="{B025F937-C7B1-47D3-B67F-A62EFF666E3E}">
          <x14:id>{FDDAB6B2-4EEC-4C00-666A-31BBD64E1E8F}</x14:id>
        </x:ext>
      </x:extLst>
    </x:cfRule>
  </x:conditionalFormatting>
  <x:conditionalFormatting sqref="AF2:AF141">
    <x:cfRule type="dataBar" priority="22">
      <x:dataBar>
        <x:cfvo type="min"/>
        <x:cfvo type="max"/>
        <x:color rgb="FFA02B93"/>
      </x:dataBar>
      <x:extLst>
        <x:ext xmlns:x14="http://schemas.microsoft.com/office/spreadsheetml/2009/9/main" uri="{B025F937-C7B1-47D3-B67F-A62EFF666E3E}">
          <x14:id>{5DEB7F29-7DD9-5FC6-E632-80AE189E5405}</x14:id>
        </x:ext>
      </x:extLst>
    </x:cfRule>
  </x:conditionalFormatting>
  <x:conditionalFormatting sqref="I2:I141">
    <x:cfRule type="expression" dxfId="3" priority="23">
      <x:formula>I2="低"</x:formula>
    </x:cfRule>
    <x:cfRule type="expression" dxfId="4" priority="24">
      <x:formula>I2="中"</x:formula>
    </x:cfRule>
  </x:conditionalFormatting>
  <x:conditionalFormatting sqref="Z2:Z131">
    <x:cfRule type="dataBar" priority="40">
      <x:dataBar>
        <x:cfvo type="min"/>
        <x:cfvo type="max"/>
        <x:color rgb="FFA02B93"/>
      </x:dataBar>
      <x:extLst>
        <x:ext xmlns:x14="http://schemas.microsoft.com/office/spreadsheetml/2009/9/main" uri="{B025F937-C7B1-47D3-B67F-A62EFF666E3E}">
          <x14:id>{FF212818-8A2A-018D-6067-20C53AE6F84D}</x14:id>
        </x:ext>
      </x:extLst>
    </x:cfRule>
  </x:conditionalFormatting>
  <x:conditionalFormatting sqref="AA2:AA131">
    <x:cfRule type="dataBar" priority="41">
      <x:dataBar>
        <x:cfvo type="min"/>
        <x:cfvo type="max"/>
        <x:color rgb="FFA02B93"/>
      </x:dataBar>
      <x:extLst>
        <x:ext xmlns:x14="http://schemas.microsoft.com/office/spreadsheetml/2009/9/main" uri="{B025F937-C7B1-47D3-B67F-A62EFF666E3E}">
          <x14:id>{58B961F2-E7C2-3CC6-9622-76FC6F7A216B}</x14:id>
        </x:ext>
      </x:extLst>
    </x:cfRule>
  </x:conditionalFormatting>
  <x:conditionalFormatting sqref="AB2:AB131">
    <x:cfRule type="dataBar" priority="42">
      <x:dataBar>
        <x:cfvo type="min"/>
        <x:cfvo type="max"/>
        <x:color rgb="FFA02B93"/>
      </x:dataBar>
      <x:extLst>
        <x:ext xmlns:x14="http://schemas.microsoft.com/office/spreadsheetml/2009/9/main" uri="{B025F937-C7B1-47D3-B67F-A62EFF666E3E}">
          <x14:id>{9EA2158F-DACD-5C5B-C393-62C1250BDB2B}</x14:id>
        </x:ext>
      </x:extLst>
    </x:cfRule>
  </x:conditionalFormatting>
  <x:conditionalFormatting sqref="AC2:AC131">
    <x:cfRule type="dataBar" priority="43">
      <x:dataBar>
        <x:cfvo type="min"/>
        <x:cfvo type="max"/>
        <x:color rgb="FFA02B93"/>
      </x:dataBar>
      <x:extLst>
        <x:ext xmlns:x14="http://schemas.microsoft.com/office/spreadsheetml/2009/9/main" uri="{B025F937-C7B1-47D3-B67F-A62EFF666E3E}">
          <x14:id>{6BD1A7D9-4A16-3263-6DF0-CF600D253376}</x14:id>
        </x:ext>
      </x:extLst>
    </x:cfRule>
  </x:conditionalFormatting>
  <x:conditionalFormatting sqref="AD2:AD131">
    <x:cfRule type="dataBar" priority="44">
      <x:dataBar>
        <x:cfvo type="min"/>
        <x:cfvo type="max"/>
        <x:color rgb="FFA02B93"/>
      </x:dataBar>
      <x:extLst>
        <x:ext xmlns:x14="http://schemas.microsoft.com/office/spreadsheetml/2009/9/main" uri="{B025F937-C7B1-47D3-B67F-A62EFF666E3E}">
          <x14:id>{7E298955-D6D4-33E1-E4AD-89161B79F30A}</x14:id>
        </x:ext>
      </x:extLst>
    </x:cfRule>
  </x:conditionalFormatting>
  <x:conditionalFormatting sqref="AE2:AE131">
    <x:cfRule type="dataBar" priority="45">
      <x:dataBar>
        <x:cfvo type="min"/>
        <x:cfvo type="max"/>
        <x:color rgb="FFA02B93"/>
      </x:dataBar>
      <x:extLst>
        <x:ext xmlns:x14="http://schemas.microsoft.com/office/spreadsheetml/2009/9/main" uri="{B025F937-C7B1-47D3-B67F-A62EFF666E3E}">
          <x14:id>{3D708130-DE87-4E85-018E-1A4720F4C6F0}</x14:id>
        </x:ext>
      </x:extLst>
    </x:cfRule>
  </x:conditionalFormatting>
  <x:conditionalFormatting sqref="AF2:AF131">
    <x:cfRule type="dataBar" priority="46">
      <x:dataBar>
        <x:cfvo type="min"/>
        <x:cfvo type="max"/>
        <x:color rgb="FFA02B93"/>
      </x:dataBar>
      <x:extLst>
        <x:ext xmlns:x14="http://schemas.microsoft.com/office/spreadsheetml/2009/9/main" uri="{B025F937-C7B1-47D3-B67F-A62EFF666E3E}">
          <x14:id>{DD048C62-56F9-6A5F-3F9A-5C973519F002}</x14:id>
        </x:ext>
      </x:extLst>
    </x:cfRule>
  </x:conditionalFormatting>
  <x:conditionalFormatting sqref="K2:K131">
    <x:cfRule type="dataBar" priority="47">
      <x:dataBar>
        <x:cfvo type="min"/>
        <x:cfvo type="max"/>
        <x:color rgb="FFA02B93"/>
      </x:dataBar>
      <x:extLst>
        <x:ext xmlns:x14="http://schemas.microsoft.com/office/spreadsheetml/2009/9/main" uri="{B025F937-C7B1-47D3-B67F-A62EFF666E3E}">
          <x14:id>{E5135CBE-1FB8-500C-7E86-00476F0DBC3B}</x14:id>
        </x:ext>
      </x:extLst>
    </x:cfRule>
  </x:conditionalFormatting>
  <x:conditionalFormatting sqref="L2:L131">
    <x:cfRule type="dataBar" priority="48">
      <x:dataBar>
        <x:cfvo type="min"/>
        <x:cfvo type="max"/>
        <x:color rgb="FFA02B93"/>
      </x:dataBar>
      <x:extLst>
        <x:ext xmlns:x14="http://schemas.microsoft.com/office/spreadsheetml/2009/9/main" uri="{B025F937-C7B1-47D3-B67F-A62EFF666E3E}">
          <x14:id>{2830F9D9-765F-871C-5726-9A7E9AD7E9C0}</x14:id>
        </x:ext>
      </x:extLst>
    </x:cfRule>
  </x:conditionalFormatting>
  <x:conditionalFormatting sqref="M2:M131">
    <x:cfRule type="dataBar" priority="49">
      <x:dataBar>
        <x:cfvo type="min"/>
        <x:cfvo type="max"/>
        <x:color rgb="FFA02B93"/>
      </x:dataBar>
      <x:extLst>
        <x:ext xmlns:x14="http://schemas.microsoft.com/office/spreadsheetml/2009/9/main" uri="{B025F937-C7B1-47D3-B67F-A62EFF666E3E}">
          <x14:id>{A4DB08FD-E34C-9573-F788-1E4AF2F7E461}</x14:id>
        </x:ext>
      </x:extLst>
    </x:cfRule>
  </x:conditionalFormatting>
  <x:conditionalFormatting sqref="N2:N131">
    <x:cfRule type="dataBar" priority="50">
      <x:dataBar>
        <x:cfvo type="min"/>
        <x:cfvo type="max"/>
        <x:color rgb="FFA02B93"/>
      </x:dataBar>
      <x:extLst>
        <x:ext xmlns:x14="http://schemas.microsoft.com/office/spreadsheetml/2009/9/main" uri="{B025F937-C7B1-47D3-B67F-A62EFF666E3E}">
          <x14:id>{E63CE1A3-B8D9-CFBA-867C-7FF8A19FF740}</x14:id>
        </x:ext>
      </x:extLst>
    </x:cfRule>
  </x:conditionalFormatting>
  <x:conditionalFormatting sqref="O2:O131">
    <x:cfRule type="dataBar" priority="51">
      <x:dataBar>
        <x:cfvo type="min"/>
        <x:cfvo type="max"/>
        <x:color rgb="FFA02B93"/>
      </x:dataBar>
      <x:extLst>
        <x:ext xmlns:x14="http://schemas.microsoft.com/office/spreadsheetml/2009/9/main" uri="{B025F937-C7B1-47D3-B67F-A62EFF666E3E}">
          <x14:id>{822755B6-6F6E-49E3-9889-AAFABB8DE8A1}</x14:id>
        </x:ext>
      </x:extLst>
    </x:cfRule>
  </x:conditionalFormatting>
  <x:conditionalFormatting sqref="P2:P131">
    <x:cfRule type="dataBar" priority="52">
      <x:dataBar>
        <x:cfvo type="min"/>
        <x:cfvo type="max"/>
        <x:color rgb="FFA02B93"/>
      </x:dataBar>
      <x:extLst>
        <x:ext xmlns:x14="http://schemas.microsoft.com/office/spreadsheetml/2009/9/main" uri="{B025F937-C7B1-47D3-B67F-A62EFF666E3E}">
          <x14:id>{98801423-B1A7-C1A6-DB38-1E4F6B11B807}</x14:id>
        </x:ext>
      </x:extLst>
    </x:cfRule>
  </x:conditionalFormatting>
  <x:conditionalFormatting sqref="Q2:Q131">
    <x:cfRule type="dataBar" priority="53">
      <x:dataBar>
        <x:cfvo type="min"/>
        <x:cfvo type="max"/>
        <x:color rgb="FFA02B93"/>
      </x:dataBar>
      <x:extLst>
        <x:ext xmlns:x14="http://schemas.microsoft.com/office/spreadsheetml/2009/9/main" uri="{B025F937-C7B1-47D3-B67F-A62EFF666E3E}">
          <x14:id>{F852861F-B992-CFCC-ED68-1EB7B393BE1C}</x14:id>
        </x:ext>
      </x:extLst>
    </x:cfRule>
  </x:conditionalFormatting>
  <x:conditionalFormatting sqref="R2:R131">
    <x:cfRule type="dataBar" priority="54">
      <x:dataBar>
        <x:cfvo type="min"/>
        <x:cfvo type="max"/>
        <x:color rgb="FFA02B93"/>
      </x:dataBar>
      <x:extLst>
        <x:ext xmlns:x14="http://schemas.microsoft.com/office/spreadsheetml/2009/9/main" uri="{B025F937-C7B1-47D3-B67F-A62EFF666E3E}">
          <x14:id>{51E31A1D-AA00-D50B-DC2F-C3F6D13FD660}</x14:id>
        </x:ext>
      </x:extLst>
    </x:cfRule>
  </x:conditionalFormatting>
  <x:conditionalFormatting sqref="S2:S131">
    <x:cfRule type="dataBar" priority="55">
      <x:dataBar>
        <x:cfvo type="min"/>
        <x:cfvo type="max"/>
        <x:color rgb="FFA02B93"/>
      </x:dataBar>
      <x:extLst>
        <x:ext xmlns:x14="http://schemas.microsoft.com/office/spreadsheetml/2009/9/main" uri="{B025F937-C7B1-47D3-B67F-A62EFF666E3E}">
          <x14:id>{FF212818-8A2A-018D-6067-20C53AE6F84D}</x14:id>
        </x:ext>
      </x:extLst>
    </x:cfRule>
  </x:conditionalFormatting>
  <x:conditionalFormatting sqref="T2:T131">
    <x:cfRule type="dataBar" priority="56">
      <x:dataBar>
        <x:cfvo type="min"/>
        <x:cfvo type="max"/>
        <x:color rgb="FFA02B93"/>
      </x:dataBar>
      <x:extLst>
        <x:ext xmlns:x14="http://schemas.microsoft.com/office/spreadsheetml/2009/9/main" uri="{B025F937-C7B1-47D3-B67F-A62EFF666E3E}">
          <x14:id>{58B961F2-E7C2-3CC6-9622-76FC6F7A216B}</x14:id>
        </x:ext>
      </x:extLst>
    </x:cfRule>
  </x:conditionalFormatting>
  <x:conditionalFormatting sqref="U2:U131">
    <x:cfRule type="dataBar" priority="57">
      <x:dataBar>
        <x:cfvo type="min"/>
        <x:cfvo type="max"/>
        <x:color rgb="FFA02B93"/>
      </x:dataBar>
      <x:extLst>
        <x:ext xmlns:x14="http://schemas.microsoft.com/office/spreadsheetml/2009/9/main" uri="{B025F937-C7B1-47D3-B67F-A62EFF666E3E}">
          <x14:id>{9EA2158F-DACD-5C5B-C393-62C1250BDB2B}</x14:id>
        </x:ext>
      </x:extLst>
    </x:cfRule>
  </x:conditionalFormatting>
  <x:conditionalFormatting sqref="V2:V131">
    <x:cfRule type="dataBar" priority="58">
      <x:dataBar>
        <x:cfvo type="min"/>
        <x:cfvo type="max"/>
        <x:color rgb="FFA02B93"/>
      </x:dataBar>
      <x:extLst>
        <x:ext xmlns:x14="http://schemas.microsoft.com/office/spreadsheetml/2009/9/main" uri="{B025F937-C7B1-47D3-B67F-A62EFF666E3E}">
          <x14:id>{6BD1A7D9-4A16-3263-6DF0-CF600D253376}</x14:id>
        </x:ext>
      </x:extLst>
    </x:cfRule>
  </x:conditionalFormatting>
  <x:conditionalFormatting sqref="W2:W131">
    <x:cfRule type="dataBar" priority="59">
      <x:dataBar>
        <x:cfvo type="min"/>
        <x:cfvo type="max"/>
        <x:color rgb="FFA02B93"/>
      </x:dataBar>
      <x:extLst>
        <x:ext xmlns:x14="http://schemas.microsoft.com/office/spreadsheetml/2009/9/main" uri="{B025F937-C7B1-47D3-B67F-A62EFF666E3E}">
          <x14:id>{7E298955-D6D4-33E1-E4AD-89161B79F30A}</x14:id>
        </x:ext>
      </x:extLst>
    </x:cfRule>
  </x:conditionalFormatting>
  <x:conditionalFormatting sqref="X2:X131">
    <x:cfRule type="dataBar" priority="60">
      <x:dataBar>
        <x:cfvo type="min"/>
        <x:cfvo type="max"/>
        <x:color rgb="FFA02B93"/>
      </x:dataBar>
      <x:extLst>
        <x:ext xmlns:x14="http://schemas.microsoft.com/office/spreadsheetml/2009/9/main" uri="{B025F937-C7B1-47D3-B67F-A62EFF666E3E}">
          <x14:id>{3D708130-DE87-4E85-018E-1A4720F4C6F0}</x14:id>
        </x:ext>
      </x:extLst>
    </x:cfRule>
  </x:conditionalFormatting>
  <x:conditionalFormatting sqref="Y2:Y131">
    <x:cfRule type="dataBar" priority="61">
      <x:dataBar>
        <x:cfvo type="min"/>
        <x:cfvo type="max"/>
        <x:color rgb="FFA02B93"/>
      </x:dataBar>
      <x:extLst>
        <x:ext xmlns:x14="http://schemas.microsoft.com/office/spreadsheetml/2009/9/main" uri="{B025F937-C7B1-47D3-B67F-A62EFF666E3E}">
          <x14:id>{DD048C62-56F9-6A5F-3F9A-5C973519F002}</x14:id>
        </x:ext>
      </x:extLst>
    </x:cfRule>
  </x:conditionalFormatting>
  <x:pageMargins left="0.7" right="0.7" top="0.75" bottom="0.75" header="0.3" footer="0.3"/>
  <x:tableParts count="1">
    <x:tablePart xmlns:r="http://schemas.openxmlformats.org/officeDocument/2006/relationships" r:id="R63eb27a192f54c49"/>
  </x:tableParts>
  <x:extLst>
    <x:ext xmlns:x14="http://schemas.microsoft.com/office/spreadsheetml/2009/9/main" xmlns:xm="http://schemas.microsoft.com/office/excel/2006/main" uri="{78C0D931-6437-407d-A8EE-F0AAD7539E65}">
      <x14:conditionalFormattings>
        <x14:conditionalFormatting>
          <x14:cfRule type="dataBar" priority="1" id="{FCE6F1FB-DB38-6008-2848-868EEB71B62D}">
            <x14:dataBar gradient="1">
              <x14:cfvo type="min"/>
              <x14:cfvo type="max"/>
              <x14:fillColor rgb="FFA02B93"/>
            </x14:dataBar>
          </x14:cfRule>
          <xm:sqref>K2:K141</xm:sqref>
        </x14:conditionalFormatting>
        <x14:conditionalFormatting>
          <x14:cfRule type="dataBar" priority="2" id="{288F886F-EFED-CA9A-4CA1-CA120D8D1F06}">
            <x14:dataBar gradient="1">
              <x14:cfvo type="min"/>
              <x14:cfvo type="max"/>
              <x14:fillColor rgb="FFA02B93"/>
            </x14:dataBar>
          </x14:cfRule>
          <xm:sqref>L2:L141</xm:sqref>
        </x14:conditionalFormatting>
        <x14:conditionalFormatting>
          <x14:cfRule type="dataBar" priority="3" id="{8DC16409-DD79-4289-D9AC-1EA0FD7E17F4}">
            <x14:dataBar gradient="1">
              <x14:cfvo type="min"/>
              <x14:cfvo type="max"/>
              <x14:fillColor rgb="FFA02B93"/>
            </x14:dataBar>
          </x14:cfRule>
          <xm:sqref>M2:M141</xm:sqref>
        </x14:conditionalFormatting>
        <x14:conditionalFormatting>
          <x14:cfRule type="dataBar" priority="4" id="{60BD451E-7589-6B56-B36F-C39177733338}">
            <x14:dataBar gradient="1">
              <x14:cfvo type="min"/>
              <x14:cfvo type="max"/>
              <x14:fillColor rgb="FFA02B93"/>
            </x14:dataBar>
          </x14:cfRule>
          <xm:sqref>N2:N141</xm:sqref>
        </x14:conditionalFormatting>
        <x14:conditionalFormatting>
          <x14:cfRule type="dataBar" priority="5" id="{0397D2C9-8DB5-0D54-A905-988BD26CBB94}">
            <x14:dataBar gradient="1">
              <x14:cfvo type="min"/>
              <x14:cfvo type="max"/>
              <x14:fillColor rgb="FFA02B93"/>
            </x14:dataBar>
          </x14:cfRule>
          <xm:sqref>O2:O141</xm:sqref>
        </x14:conditionalFormatting>
        <x14:conditionalFormatting>
          <x14:cfRule type="dataBar" priority="6" id="{69BCA2D8-00BC-A86E-7FD7-57092C57EF1C}">
            <x14:dataBar gradient="1">
              <x14:cfvo type="min"/>
              <x14:cfvo type="max"/>
              <x14:fillColor rgb="FFA02B93"/>
            </x14:dataBar>
          </x14:cfRule>
          <xm:sqref>P2:P141</xm:sqref>
        </x14:conditionalFormatting>
        <x14:conditionalFormatting>
          <x14:cfRule type="dataBar" priority="7" id="{47C9B1CE-4873-7C2A-891B-CDB6E84FFF0C}">
            <x14:dataBar gradient="1">
              <x14:cfvo type="min"/>
              <x14:cfvo type="max"/>
              <x14:fillColor rgb="FFA02B93"/>
            </x14:dataBar>
          </x14:cfRule>
          <xm:sqref>Q2:Q141</xm:sqref>
        </x14:conditionalFormatting>
        <x14:conditionalFormatting>
          <x14:cfRule type="dataBar" priority="8" id="{57867675-A140-5432-358A-54773F633031}">
            <x14:dataBar gradient="1">
              <x14:cfvo type="min"/>
              <x14:cfvo type="max"/>
              <x14:fillColor rgb="FFA02B93"/>
            </x14:dataBar>
          </x14:cfRule>
          <xm:sqref>R2:R141</xm:sqref>
        </x14:conditionalFormatting>
        <x14:conditionalFormatting>
          <x14:cfRule type="dataBar" priority="9" id="{CCBC7E36-73DF-B1C5-D2F1-1C4268B4038C}">
            <x14:dataBar gradient="1">
              <x14:cfvo type="min"/>
              <x14:cfvo type="max"/>
              <x14:fillColor rgb="FFA02B93"/>
            </x14:dataBar>
          </x14:cfRule>
          <xm:sqref>S2:S141</xm:sqref>
        </x14:conditionalFormatting>
        <x14:conditionalFormatting>
          <x14:cfRule type="dataBar" priority="10" id="{6667D22E-2EEA-D952-DC02-0A18E09A37A3}">
            <x14:dataBar gradient="1">
              <x14:cfvo type="min"/>
              <x14:cfvo type="max"/>
              <x14:fillColor rgb="FFA02B93"/>
            </x14:dataBar>
          </x14:cfRule>
          <xm:sqref>T2:T141</xm:sqref>
        </x14:conditionalFormatting>
        <x14:conditionalFormatting>
          <x14:cfRule type="dataBar" priority="11" id="{4E4DDCFB-889C-7BA1-D12B-02BD06698C2D}">
            <x14:dataBar gradient="1">
              <x14:cfvo type="min"/>
              <x14:cfvo type="max"/>
              <x14:fillColor rgb="FFA02B93"/>
            </x14:dataBar>
          </x14:cfRule>
          <xm:sqref>U2:U141</xm:sqref>
        </x14:conditionalFormatting>
        <x14:conditionalFormatting>
          <x14:cfRule type="dataBar" priority="12" id="{2912A0C4-0510-7D76-3D32-01213811C799}">
            <x14:dataBar gradient="1">
              <x14:cfvo type="min"/>
              <x14:cfvo type="max"/>
              <x14:fillColor rgb="FFA02B93"/>
            </x14:dataBar>
          </x14:cfRule>
          <xm:sqref>V2:V141</xm:sqref>
        </x14:conditionalFormatting>
        <x14:conditionalFormatting>
          <x14:cfRule type="dataBar" priority="13" id="{A17140C3-2FEB-B135-8A30-50487E51C541}">
            <x14:dataBar gradient="1">
              <x14:cfvo type="min"/>
              <x14:cfvo type="max"/>
              <x14:fillColor rgb="FFA02B93"/>
            </x14:dataBar>
          </x14:cfRule>
          <xm:sqref>W2:W141</xm:sqref>
        </x14:conditionalFormatting>
        <x14:conditionalFormatting>
          <x14:cfRule type="dataBar" priority="14" id="{3ECE9AD2-281C-862D-40B2-B36ABDC1F51C}">
            <x14:dataBar gradient="1">
              <x14:cfvo type="min"/>
              <x14:cfvo type="max"/>
              <x14:fillColor rgb="FFA02B93"/>
            </x14:dataBar>
          </x14:cfRule>
          <xm:sqref>X2:X141</xm:sqref>
        </x14:conditionalFormatting>
        <x14:conditionalFormatting>
          <x14:cfRule type="dataBar" priority="15" id="{C87C2AF5-5DDA-436D-5C9A-AE7E347C255D}">
            <x14:dataBar gradient="1">
              <x14:cfvo type="min"/>
              <x14:cfvo type="max"/>
              <x14:fillColor rgb="FFA02B93"/>
            </x14:dataBar>
          </x14:cfRule>
          <xm:sqref>Y2:Y141</xm:sqref>
        </x14:conditionalFormatting>
        <x14:conditionalFormatting>
          <x14:cfRule type="dataBar" priority="16" id="{29AC2AEA-2A95-5E3F-C944-D440D1AEF282}">
            <x14:dataBar gradient="1">
              <x14:cfvo type="min"/>
              <x14:cfvo type="max"/>
              <x14:fillColor rgb="FFA02B93"/>
            </x14:dataBar>
          </x14:cfRule>
          <xm:sqref>Z2:Z141</xm:sqref>
        </x14:conditionalFormatting>
        <x14:conditionalFormatting>
          <x14:cfRule type="dataBar" priority="17" id="{6228F0A4-7761-09A5-FE34-C1286539BABF}">
            <x14:dataBar gradient="1">
              <x14:cfvo type="min"/>
              <x14:cfvo type="max"/>
              <x14:fillColor rgb="FFA02B93"/>
            </x14:dataBar>
          </x14:cfRule>
          <xm:sqref>AA2:AA141</xm:sqref>
        </x14:conditionalFormatting>
        <x14:conditionalFormatting>
          <x14:cfRule type="dataBar" priority="18" id="{BB551D94-D8F9-A194-A10B-64BFE87CD06E}">
            <x14:dataBar gradient="1">
              <x14:cfvo type="min"/>
              <x14:cfvo type="max"/>
              <x14:fillColor rgb="FFA02B93"/>
            </x14:dataBar>
          </x14:cfRule>
          <xm:sqref>AB2:AB141</xm:sqref>
        </x14:conditionalFormatting>
        <x14:conditionalFormatting>
          <x14:cfRule type="dataBar" priority="19" id="{72E5AF9F-5709-C1C4-DAD6-12A1D66F42A7}">
            <x14:dataBar gradient="1">
              <x14:cfvo type="min"/>
              <x14:cfvo type="max"/>
              <x14:fillColor rgb="FFA02B93"/>
            </x14:dataBar>
          </x14:cfRule>
          <xm:sqref>AC2:AC141</xm:sqref>
        </x14:conditionalFormatting>
        <x14:conditionalFormatting>
          <x14:cfRule type="dataBar" priority="20" id="{F32B9A28-841E-A288-F402-A0D1C03B00CB}">
            <x14:dataBar gradient="1">
              <x14:cfvo type="min"/>
              <x14:cfvo type="max"/>
              <x14:fillColor rgb="FFA02B93"/>
            </x14:dataBar>
          </x14:cfRule>
          <xm:sqref>AD2:AD141</xm:sqref>
        </x14:conditionalFormatting>
        <x14:conditionalFormatting>
          <x14:cfRule type="dataBar" priority="21" id="{FDDAB6B2-4EEC-4C00-666A-31BBD64E1E8F}">
            <x14:dataBar gradient="1">
              <x14:cfvo type="min"/>
              <x14:cfvo type="max"/>
              <x14:fillColor rgb="FFA02B93"/>
            </x14:dataBar>
          </x14:cfRule>
          <xm:sqref>AE2:AE141</xm:sqref>
        </x14:conditionalFormatting>
        <x14:conditionalFormatting>
          <x14:cfRule type="dataBar" priority="22" id="{5DEB7F29-7DD9-5FC6-E632-80AE189E5405}">
            <x14:dataBar gradient="1">
              <x14:cfvo type="min"/>
              <x14:cfvo type="max"/>
              <x14:fillColor rgb="FFA02B93"/>
            </x14:dataBar>
          </x14:cfRule>
          <xm:sqref>AF2:AF141</xm:sqref>
        </x14:conditionalFormatting>
        <x14:conditionalFormatting>
          <x14:cfRule type="dataBar" priority="40" id="{FF212818-8A2A-018D-6067-20C53AE6F84D}">
            <x14:dataBar gradient="1">
              <x14:cfvo type="min"/>
              <x14:cfvo type="max"/>
              <x14:fillColor rgb="FFA02B93"/>
            </x14:dataBar>
          </x14:cfRule>
          <xm:sqref>Z2:Z131</xm:sqref>
        </x14:conditionalFormatting>
        <x14:conditionalFormatting>
          <x14:cfRule type="dataBar" priority="41" id="{58B961F2-E7C2-3CC6-9622-76FC6F7A216B}">
            <x14:dataBar gradient="1">
              <x14:cfvo type="min"/>
              <x14:cfvo type="max"/>
              <x14:fillColor rgb="FFA02B93"/>
            </x14:dataBar>
          </x14:cfRule>
          <xm:sqref>AA2:AA131</xm:sqref>
        </x14:conditionalFormatting>
        <x14:conditionalFormatting>
          <x14:cfRule type="dataBar" priority="42" id="{9EA2158F-DACD-5C5B-C393-62C1250BDB2B}">
            <x14:dataBar gradient="1">
              <x14:cfvo type="min"/>
              <x14:cfvo type="max"/>
              <x14:fillColor rgb="FFA02B93"/>
            </x14:dataBar>
          </x14:cfRule>
          <xm:sqref>AB2:AB131</xm:sqref>
        </x14:conditionalFormatting>
        <x14:conditionalFormatting>
          <x14:cfRule type="dataBar" priority="43" id="{6BD1A7D9-4A16-3263-6DF0-CF600D253376}">
            <x14:dataBar gradient="1">
              <x14:cfvo type="min"/>
              <x14:cfvo type="max"/>
              <x14:fillColor rgb="FFA02B93"/>
            </x14:dataBar>
          </x14:cfRule>
          <xm:sqref>AC2:AC131</xm:sqref>
        </x14:conditionalFormatting>
        <x14:conditionalFormatting>
          <x14:cfRule type="dataBar" priority="44" id="{7E298955-D6D4-33E1-E4AD-89161B79F30A}">
            <x14:dataBar gradient="1">
              <x14:cfvo type="min"/>
              <x14:cfvo type="max"/>
              <x14:fillColor rgb="FFA02B93"/>
            </x14:dataBar>
          </x14:cfRule>
          <xm:sqref>AD2:AD131</xm:sqref>
        </x14:conditionalFormatting>
        <x14:conditionalFormatting>
          <x14:cfRule type="dataBar" priority="45" id="{3D708130-DE87-4E85-018E-1A4720F4C6F0}">
            <x14:dataBar gradient="1">
              <x14:cfvo type="min"/>
              <x14:cfvo type="max"/>
              <x14:fillColor rgb="FFA02B93"/>
            </x14:dataBar>
          </x14:cfRule>
          <xm:sqref>AE2:AE131</xm:sqref>
        </x14:conditionalFormatting>
        <x14:conditionalFormatting>
          <x14:cfRule type="dataBar" priority="46" id="{DD048C62-56F9-6A5F-3F9A-5C973519F002}">
            <x14:dataBar gradient="1">
              <x14:cfvo type="min"/>
              <x14:cfvo type="max"/>
              <x14:fillColor rgb="FFA02B93"/>
            </x14:dataBar>
          </x14:cfRule>
          <xm:sqref>AF2:AF131</xm:sqref>
        </x14:conditionalFormatting>
        <x14:conditionalFormatting>
          <x14:cfRule type="dataBar" priority="47" id="{E5135CBE-1FB8-500C-7E86-00476F0DBC3B}">
            <x14:dataBar gradient="1">
              <x14:cfvo type="min"/>
              <x14:cfvo type="max"/>
              <x14:fillColor rgb="FFA02B93"/>
            </x14:dataBar>
          </x14:cfRule>
          <xm:sqref>K2:K131</xm:sqref>
        </x14:conditionalFormatting>
        <x14:conditionalFormatting>
          <x14:cfRule type="dataBar" priority="48" id="{2830F9D9-765F-871C-5726-9A7E9AD7E9C0}">
            <x14:dataBar gradient="1">
              <x14:cfvo type="min"/>
              <x14:cfvo type="max"/>
              <x14:fillColor rgb="FFA02B93"/>
            </x14:dataBar>
          </x14:cfRule>
          <xm:sqref>L2:L131</xm:sqref>
        </x14:conditionalFormatting>
        <x14:conditionalFormatting>
          <x14:cfRule type="dataBar" priority="49" id="{A4DB08FD-E34C-9573-F788-1E4AF2F7E461}">
            <x14:dataBar gradient="1">
              <x14:cfvo type="min"/>
              <x14:cfvo type="max"/>
              <x14:fillColor rgb="FFA02B93"/>
            </x14:dataBar>
          </x14:cfRule>
          <xm:sqref>M2:M131</xm:sqref>
        </x14:conditionalFormatting>
        <x14:conditionalFormatting>
          <x14:cfRule type="dataBar" priority="50" id="{E63CE1A3-B8D9-CFBA-867C-7FF8A19FF740}">
            <x14:dataBar gradient="1">
              <x14:cfvo type="min"/>
              <x14:cfvo type="max"/>
              <x14:fillColor rgb="FFA02B93"/>
            </x14:dataBar>
          </x14:cfRule>
          <xm:sqref>N2:N131</xm:sqref>
        </x14:conditionalFormatting>
        <x14:conditionalFormatting>
          <x14:cfRule type="dataBar" priority="51" id="{822755B6-6F6E-49E3-9889-AAFABB8DE8A1}">
            <x14:dataBar gradient="1">
              <x14:cfvo type="min"/>
              <x14:cfvo type="max"/>
              <x14:fillColor rgb="FFA02B93"/>
            </x14:dataBar>
          </x14:cfRule>
          <xm:sqref>O2:O131</xm:sqref>
        </x14:conditionalFormatting>
        <x14:conditionalFormatting>
          <x14:cfRule type="dataBar" priority="52" id="{98801423-B1A7-C1A6-DB38-1E4F6B11B807}">
            <x14:dataBar gradient="1">
              <x14:cfvo type="min"/>
              <x14:cfvo type="max"/>
              <x14:fillColor rgb="FFA02B93"/>
            </x14:dataBar>
          </x14:cfRule>
          <xm:sqref>P2:P131</xm:sqref>
        </x14:conditionalFormatting>
        <x14:conditionalFormatting>
          <x14:cfRule type="dataBar" priority="53" id="{F852861F-B992-CFCC-ED68-1EB7B393BE1C}">
            <x14:dataBar gradient="1">
              <x14:cfvo type="min"/>
              <x14:cfvo type="max"/>
              <x14:fillColor rgb="FFA02B93"/>
            </x14:dataBar>
          </x14:cfRule>
          <xm:sqref>Q2:Q131</xm:sqref>
        </x14:conditionalFormatting>
        <x14:conditionalFormatting>
          <x14:cfRule type="dataBar" priority="54" id="{51E31A1D-AA00-D50B-DC2F-C3F6D13FD660}">
            <x14:dataBar gradient="1">
              <x14:cfvo type="min"/>
              <x14:cfvo type="max"/>
              <x14:fillColor rgb="FFA02B93"/>
            </x14:dataBar>
          </x14:cfRule>
          <xm:sqref>R2:R131</xm:sqref>
        </x14:conditionalFormatting>
        <x14:conditionalFormatting>
          <x14:cfRule type="dataBar" priority="55" id="{FF212818-8A2A-018D-6067-20C53AE6F84D}">
            <x14:dataBar gradient="1">
              <x14:cfvo type="min"/>
              <x14:cfvo type="max"/>
              <x14:fillColor rgb="FFA02B93"/>
            </x14:dataBar>
          </x14:cfRule>
          <xm:sqref>S2:S131</xm:sqref>
        </x14:conditionalFormatting>
        <x14:conditionalFormatting>
          <x14:cfRule type="dataBar" priority="56" id="{58B961F2-E7C2-3CC6-9622-76FC6F7A216B}">
            <x14:dataBar gradient="1">
              <x14:cfvo type="min"/>
              <x14:cfvo type="max"/>
              <x14:fillColor rgb="FFA02B93"/>
            </x14:dataBar>
          </x14:cfRule>
          <xm:sqref>T2:T131</xm:sqref>
        </x14:conditionalFormatting>
        <x14:conditionalFormatting>
          <x14:cfRule type="dataBar" priority="57" id="{9EA2158F-DACD-5C5B-C393-62C1250BDB2B}">
            <x14:dataBar gradient="1">
              <x14:cfvo type="min"/>
              <x14:cfvo type="max"/>
              <x14:fillColor rgb="FFA02B93"/>
            </x14:dataBar>
          </x14:cfRule>
          <xm:sqref>U2:U131</xm:sqref>
        </x14:conditionalFormatting>
        <x14:conditionalFormatting>
          <x14:cfRule type="dataBar" priority="58" id="{6BD1A7D9-4A16-3263-6DF0-CF600D253376}">
            <x14:dataBar gradient="1">
              <x14:cfvo type="min"/>
              <x14:cfvo type="max"/>
              <x14:fillColor rgb="FFA02B93"/>
            </x14:dataBar>
          </x14:cfRule>
          <xm:sqref>V2:V131</xm:sqref>
        </x14:conditionalFormatting>
        <x14:conditionalFormatting>
          <x14:cfRule type="dataBar" priority="59" id="{7E298955-D6D4-33E1-E4AD-89161B79F30A}">
            <x14:dataBar gradient="1">
              <x14:cfvo type="min"/>
              <x14:cfvo type="max"/>
              <x14:fillColor rgb="FFA02B93"/>
            </x14:dataBar>
          </x14:cfRule>
          <xm:sqref>W2:W131</xm:sqref>
        </x14:conditionalFormatting>
        <x14:conditionalFormatting>
          <x14:cfRule type="dataBar" priority="60" id="{3D708130-DE87-4E85-018E-1A4720F4C6F0}">
            <x14:dataBar gradient="1">
              <x14:cfvo type="min"/>
              <x14:cfvo type="max"/>
              <x14:fillColor rgb="FFA02B93"/>
            </x14:dataBar>
          </x14:cfRule>
          <xm:sqref>X2:X131</xm:sqref>
        </x14:conditionalFormatting>
        <x14:conditionalFormatting>
          <x14:cfRule type="dataBar" priority="61" id="{DD048C62-56F9-6A5F-3F9A-5C973519F002}">
            <x14:dataBar gradient="1">
              <x14:cfvo type="min"/>
              <x14:cfvo type="max"/>
              <x14:fillColor rgb="FFA02B93"/>
            </x14:dataBar>
          </x14:cfRule>
          <xm:sqref>Y2:Y131</xm:sqref>
        </x14:conditionalFormatting>
      </x14:conditionalFormattings>
    </x:ext>
  </x:extLst>
</x:worksheet>
</file>

<file path=xl/worksheets/sheet4.xml><?xml version="1.0" encoding="utf-8"?>
<x:worksheet xmlns:x="http://schemas.openxmlformats.org/spreadsheetml/2006/main">
  <x:sheetFormatPr defaultRowHeight="15"/>
  <x:cols>
    <x:col min="1" max="1" width="22" hidden="0" customWidth="1"/>
    <x:col min="2" max="2" width="22" hidden="0" customWidth="1"/>
    <x:col min="3" max="3" width="12" hidden="0" customWidth="1"/>
    <x:col min="5" max="5" width="22" hidden="0" customWidth="1"/>
    <x:col min="6" max="6" width="68" hidden="0" customWidth="1"/>
    <x:col min="7" max="7" width="58" hidden="0" customWidth="1"/>
    <x:col min="4" max="4" width="22" hidden="0" customWidth="1"/>
  </x:cols>
  <x:sheetData>
    <x:row r="1">
      <x:c r="A1" s="162" t="str">
        <x:v>Code</x:v>
      </x:c>
      <x:c r="B1" s="162" t="str">
        <x:v>表示名</x:v>
      </x:c>
      <x:c r="C1" s="162" t="str">
        <x:v>区分</x:v>
      </x:c>
      <x:c r="D1" s="162" t="str">
        <x:v>0側</x:v>
      </x:c>
      <x:c r="E1" s="162" t="str">
        <x:v>100側</x:v>
      </x:c>
      <x:c r="F1" s="162" t="str">
        <x:v>定義</x:v>
      </x:c>
      <x:c r="G1" s="18"/>
      <x:c r="H1" s="18"/>
    </x:row>
    <x:row r="2">
      <x:c r="A2" s="12" t="str">
        <x:v>Engage</x:v>
      </x:c>
      <x:c r="B2" s="12" t="str">
        <x:v>仕掛け</x:v>
      </x:c>
      <x:c r="C2" s="12" t="str">
        <x:v>コア</x:v>
      </x:c>
      <x:c r="D2" s="12" t="str">
        <x:v>待ち受け</x:v>
      </x:c>
      <x:c r="E2" s="18" t="str">
        <x:v>仕掛け</x:v>
      </x:c>
      <x:c r="F2" s="18" t="str">
        <x:v>自分から接触や集団戦のきっかけを作る度合い。</x:v>
      </x:c>
      <x:c r="G2" s="18" t="str">
        <x:v>開戦・突入・瞬間火力・判断負荷が高いほど上がる</x:v>
      </x:c>
    </x:row>
    <x:row r="3">
      <x:c r="A3" s="12" t="str">
        <x:v>Dive</x:v>
      </x:c>
      <x:c r="B3" s="12" t="str">
        <x:v>踏み込み</x:v>
      </x:c>
      <x:c r="C3" s="12" t="str">
        <x:v>コア</x:v>
      </x:c>
      <x:c r="D3" s="12" t="str">
        <x:v>安全ライン</x:v>
      </x:c>
      <x:c r="E3" s="12" t="str">
        <x:v>深い踏み込み</x:v>
      </x:c>
      <x:c r="F3" s="12" t="str">
        <x:v>危険を承知で相手側へ深く入り、攻め切る度合い。</x:v>
      </x:c>
      <x:c r="G3" s="12" t="str">
        <x:v>突入・瞬間火力・機動が高く、味方保護依存が低いほど上がる</x:v>
      </x:c>
    </x:row>
    <x:row r="4">
      <x:c r="A4" s="12" t="str">
        <x:v>Peel</x:v>
      </x:c>
      <x:c r="B4" s="12" t="str">
        <x:v>味方保護</x:v>
      </x:c>
      <x:c r="C4" s="12" t="str">
        <x:v>コア</x:v>
      </x:c>
      <x:c r="D4" s="12" t="str">
        <x:v>自分の仕事</x:v>
      </x:c>
      <x:c r="E4" s="12" t="str">
        <x:v>味方保護</x:v>
      </x:c>
      <x:c r="F4" s="12" t="str">
        <x:v>味方へ近づく相手を止め、安全な時間や場所を作る度合い。</x:v>
      </x:c>
      <x:c r="G4" s="12" t="str">
        <x:v>Peel・Support・Control・Engageを重視</x:v>
      </x:c>
    </x:row>
    <x:row r="5">
      <x:c r="A5" s="12" t="str">
        <x:v>Frontline</x:v>
      </x:c>
      <x:c r="B5" s="12" t="str">
        <x:v>前線維持</x:v>
      </x:c>
      <x:c r="C5" s="12" t="str">
        <x:v>コア</x:v>
      </x:c>
      <x:c r="D5" s="12" t="str">
        <x:v>後方位置</x:v>
      </x:c>
      <x:c r="E5" s="12" t="str">
        <x:v>前線維持</x:v>
      </x:c>
      <x:c r="F5" s="12" t="str">
        <x:v>相手に近い位置へ長く残り、戦う場所を維持する度合い。</x:v>
      </x:c>
      <x:c r="G5" s="12" t="str">
        <x:v>継続火力・機動・前線・瞬間火力・オブジェクトを重視</x:v>
      </x:c>
    </x:row>
    <x:row r="6">
      <x:c r="A6" s="12" t="str">
        <x:v>Poke</x:v>
      </x:c>
      <x:c r="B6" s="12" t="str">
        <x:v>間合い管理</x:v>
      </x:c>
      <x:c r="C6" s="12" t="str">
        <x:v>コア</x:v>
      </x:c>
      <x:c r="D6" s="12" t="str">
        <x:v>接近戦</x:v>
      </x:c>
      <x:c r="E6" s="12" t="str">
        <x:v>間合い管理</x:v>
      </x:c>
      <x:c r="F6" s="12" t="str">
        <x:v>距離を保ちながら先に削る・牽制する度合い。</x:v>
      </x:c>
      <x:c r="G6" s="12" t="str">
        <x:v>Poke・Control・Decisionを重視し、Dive過多はやや下げる</x:v>
      </x:c>
    </x:row>
    <x:row r="7">
      <x:c r="A7" s="12" t="str">
        <x:v>FightTempo</x:v>
      </x:c>
      <x:c r="B7" s="12" t="str">
        <x:v>戦闘テンポ</x:v>
      </x:c>
      <x:c r="C7" s="12" t="str">
        <x:v>コア</x:v>
      </x:c>
      <x:c r="D7" s="12" t="str">
        <x:v>瞬間決着</x:v>
      </x:c>
      <x:c r="E7" s="12" t="str">
        <x:v>継続戦</x:v>
      </x:c>
      <x:c r="F7" s="12" t="str">
        <x:v>0=短い一撃勝負、100=長い継続戦。どちらを得意とするか。</x:v>
      </x:c>
      <x:c r="G7" s="12" t="str">
        <x:v>Decision・Mobility・Control・Support・Executionを重視</x:v>
      </x:c>
    </x:row>
    <x:row r="8">
      <x:c r="A8" s="12" t="str">
        <x:v>Control</x:v>
      </x:c>
      <x:c r="B8" s="12" t="str">
        <x:v>盤面制御</x:v>
      </x:c>
      <x:c r="C8" s="12" t="str">
        <x:v>コア</x:v>
      </x:c>
      <x:c r="D8" s="12" t="str">
        <x:v>シンプル攻め</x:v>
      </x:c>
      <x:c r="E8" s="12" t="str">
        <x:v>盤面制御</x:v>
      </x:c>
      <x:c r="F8" s="12" t="str">
        <x:v>妨害・設置・位置取りで、相手の行動や移動を制限する度合い。</x:v>
      </x:c>
      <x:c r="G8" s="12" t="str">
        <x:v>操作負荷と判断負荷を重視</x:v>
      </x:c>
    </x:row>
    <x:row r="9">
      <x:c r="A9" s="12" t="str">
        <x:v>Support</x:v>
      </x:c>
      <x:c r="B9" s="12" t="str">
        <x:v>直接支援</x:v>
      </x:c>
      <x:c r="C9" s="12" t="str">
        <x:v>コア</x:v>
      </x:c>
      <x:c r="D9" s="12" t="str">
        <x:v>自己遂行</x:v>
      </x:c>
      <x:c r="E9" s="12" t="str">
        <x:v>直接支援</x:v>
      </x:c>
      <x:c r="F9" s="12" t="str">
        <x:v>回復・シールド・バフ等で、味方を直接強くする度合い。</x:v>
      </x:c>
    </x:row>
    <x:row r="10">
      <x:c r="A10" s="12" t="str">
        <x:v>Mobility</x:v>
      </x:c>
      <x:c r="B10" s="12" t="str">
        <x:v>機動力</x:v>
      </x:c>
      <x:c r="C10" s="12" t="str">
        <x:v>コア</x:v>
      </x:c>
      <x:c r="D10" s="12" t="str">
        <x:v>定位置</x:v>
      </x:c>
      <x:c r="E10" s="12" t="str">
        <x:v>機動力</x:v>
      </x:c>
      <x:c r="F10" s="12" t="str">
        <x:v>場所を変えながら広く影響を出す度合い。</x:v>
      </x:c>
    </x:row>
    <x:row r="11">
      <x:c r="A11" s="12" t="str">
        <x:v>SelfSufficiency</x:v>
      </x:c>
      <x:c r="B11" s="12" t="str">
        <x:v>自己完結性</x:v>
      </x:c>
      <x:c r="C11" s="12" t="str">
        <x:v>コア</x:v>
      </x:c>
      <x:c r="D11" s="12" t="str">
        <x:v>連携依存</x:v>
      </x:c>
      <x:c r="E11" s="12" t="str">
        <x:v>自己完結</x:v>
      </x:c>
      <x:c r="F11" s="12" t="str">
        <x:v>味方の助けが少なくても、自分で仕事を成立させやすい度合い。</x:v>
      </x:c>
    </x:row>
    <x:row r="12">
      <x:c r="A12" s="12" t="str">
        <x:v>FarmScaling</x:v>
      </x:c>
      <x:c r="B12" s="12" t="str">
        <x:v>成長・スケール</x:v>
      </x:c>
      <x:c r="C12" s="12" t="str">
        <x:v>補助</x:v>
      </x:c>
      <x:c r="D12" s="12" t="str">
        <x:v>序盤即応</x:v>
      </x:c>
      <x:c r="E12" s="12" t="str">
        <x:v>大器晩成</x:v>
      </x:c>
      <x:c r="F12" s="12" t="str">
        <x:v>序盤の即効性より、経験値や時間を経て強くなる性質。</x:v>
      </x:c>
    </x:row>
    <x:row r="13">
      <x:c r="A13" s="12" t="str">
        <x:v>ObjectiveSecure</x:v>
      </x:c>
      <x:c r="B13" s="12" t="str">
        <x:v>取り切り</x:v>
      </x:c>
      <x:c r="C13" s="12" t="str">
        <x:v>補助</x:v>
      </x:c>
      <x:c r="D13" s="12" t="str">
        <x:v>別仕事</x:v>
      </x:c>
      <x:c r="E13" s="12" t="str">
        <x:v>取り切り</x:v>
      </x:c>
      <x:c r="F13" s="12" t="str">
        <x:v>重要な野生ポケモンや最後の一撃を自分で担いやすい性質。</x:v>
      </x:c>
    </x:row>
    <x:row r="14">
      <x:c r="A14" s="12" t="str">
        <x:v>ScoringSide</x:v>
      </x:c>
      <x:c r="B14" s="12" t="str">
        <x:v>サイド・得点</x:v>
      </x:c>
      <x:c r="C14" s="12" t="str">
        <x:v>補助</x:v>
      </x:c>
      <x:c r="D14" s="12" t="str">
        <x:v>集団戦重視</x:v>
      </x:c>
      <x:c r="E14" s="12" t="str">
        <x:v>サイド得点</x:v>
      </x:c>
      <x:c r="F14" s="12" t="str">
        <x:v>集団から離れて空いた場所やゴールへ圧を出す性質。</x:v>
      </x:c>
    </x:row>
    <x:row r="15">
      <x:c r="A15" s="12" t="str">
        <x:v>Execution</x:v>
      </x:c>
      <x:c r="B15" s="12" t="str">
        <x:v>操作精度</x:v>
      </x:c>
      <x:c r="C15" s="12" t="str">
        <x:v>コア</x:v>
      </x:c>
      <x:c r="D15" s="12" t="str">
        <x:v>シンプル操作</x:v>
      </x:c>
      <x:c r="E15" s="12" t="str">
        <x:v>操作精度</x:v>
      </x:c>
      <x:c r="F15" s="12" t="str">
        <x:v>エイム・コンボ・入力速度・細かな位置調整への要求度。</x:v>
      </x:c>
    </x:row>
    <x:row r="16">
      <x:c r="A16" s="12" t="str">
        <x:v>Decision</x:v>
      </x:c>
      <x:c r="B16" s="12" t="str">
        <x:v>状況判断</x:v>
      </x:c>
      <x:c r="C16" s="12" t="str">
        <x:v>コア</x:v>
      </x:c>
      <x:c r="D16" s="12" t="str">
        <x:v>直感勝負</x:v>
      </x:c>
      <x:c r="E16" s="12" t="str">
        <x:v>状況判断</x:v>
      </x:c>
      <x:c r="F16" s="12" t="str">
        <x:v>選択肢の多さ、先読み、対象選択、使い分けへの要求度。</x:v>
      </x:c>
    </x:row>
  </x:sheetData>
  <x:mergeCells>
    <x:mergeCell ref="E1:H1"/>
  </x:mergeCells>
  <x:pageMargins left="0.7" right="0.7" top="0.75" bottom="0.75" header="0.3" footer="0.3"/>
  <x:tableParts count="1">
    <x:tablePart xmlns:r="http://schemas.openxmlformats.org/officeDocument/2006/relationships" r:id="R2be7176b008b41ed"/>
  </x:tableParts>
</x:worksheet>
</file>

<file path=xl/worksheets/sheet5.xml><?xml version="1.0" encoding="utf-8"?>
<x:worksheet xmlns:x="http://schemas.openxmlformats.org/spreadsheetml/2006/main">
  <x:sheetFormatPr defaultRowHeight="15"/>
  <x:cols>
    <x:col min="1" max="1" width="18"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1">
      <x:c r="A1" s="162" t="str">
        <x:v>Archetype</x:v>
      </x:c>
      <x:c r="B1" s="162" t="str">
        <x:v>Engage</x:v>
      </x:c>
      <x:c r="C1" s="162" t="str">
        <x:v>Dive</x:v>
      </x:c>
      <x:c r="D1" s="162" t="str">
        <x:v>Peel</x:v>
      </x:c>
      <x:c r="E1" s="162" t="str">
        <x:v>Frontline</x:v>
      </x:c>
      <x:c r="F1" s="162" t="str">
        <x:v>Poke</x:v>
      </x:c>
      <x:c r="G1" s="162" t="str">
        <x:v>FightTempo</x:v>
      </x:c>
      <x:c r="H1" s="162" t="str">
        <x:v>Control</x:v>
      </x:c>
      <x:c r="I1" s="162" t="str">
        <x:v>Support</x:v>
      </x:c>
      <x:c r="J1" s="162" t="str">
        <x:v>Mobility</x:v>
      </x:c>
      <x:c r="K1" s="162" t="str">
        <x:v>SelfSufficiency</x:v>
      </x:c>
      <x:c r="L1" s="162" t="str">
        <x:v>FarmScaling</x:v>
      </x:c>
      <x:c r="M1" s="162" t="str">
        <x:v>ObjectiveSecure</x:v>
      </x:c>
      <x:c r="N1" s="162" t="str">
        <x:v>ScoringSide</x:v>
      </x:c>
      <x:c r="O1" s="162" t="str">
        <x:v>Execution</x:v>
      </x:c>
      <x:c r="P1" s="162" t="str">
        <x:v>Decision</x:v>
      </x:c>
    </x:row>
    <x:row r="2">
      <x:c r="A2" t="str">
        <x:v>Assassin</x:v>
      </x:c>
      <x:c r="B2" t="n">
        <x:v>55</x:v>
      </x:c>
      <x:c r="C2" t="n">
        <x:v>95</x:v>
      </x:c>
      <x:c r="D2" t="n">
        <x:v>10</x:v>
      </x:c>
      <x:c r="E2" t="n">
        <x:v>15</x:v>
      </x:c>
      <x:c r="F2" t="n">
        <x:v>15</x:v>
      </x:c>
      <x:c r="G2" t="n">
        <x:v>15</x:v>
      </x:c>
      <x:c r="H2" t="n">
        <x:v>25</x:v>
      </x:c>
      <x:c r="I2" t="n">
        <x:v>5</x:v>
      </x:c>
      <x:c r="J2" t="n">
        <x:v>95</x:v>
      </x:c>
      <x:c r="K2" t="n">
        <x:v>70</x:v>
      </x:c>
      <x:c r="L2" t="n">
        <x:v>55</x:v>
      </x:c>
      <x:c r="M2" t="n">
        <x:v>70</x:v>
      </x:c>
      <x:c r="N2" t="n">
        <x:v>80</x:v>
      </x:c>
      <x:c r="O2" t="n">
        <x:v>80</x:v>
      </x:c>
      <x:c r="P2" t="n">
        <x:v>75</x:v>
      </x:c>
    </x:row>
    <x:row r="3">
      <x:c r="A3" t="str">
        <x:v>Skirmisher</x:v>
      </x:c>
      <x:c r="B3" t="n">
        <x:v>60</x:v>
      </x:c>
      <x:c r="C3" t="n">
        <x:v>75</x:v>
      </x:c>
      <x:c r="D3" t="n">
        <x:v>25</x:v>
      </x:c>
      <x:c r="E3" t="n">
        <x:v>65</x:v>
      </x:c>
      <x:c r="F3" t="n">
        <x:v>20</x:v>
      </x:c>
      <x:c r="G3" t="n">
        <x:v>65</x:v>
      </x:c>
      <x:c r="H3" t="n">
        <x:v>35</x:v>
      </x:c>
      <x:c r="I3" t="n">
        <x:v>10</x:v>
      </x:c>
      <x:c r="J3" t="n">
        <x:v>75</x:v>
      </x:c>
      <x:c r="K3" t="n">
        <x:v>75</x:v>
      </x:c>
      <x:c r="L3" t="n">
        <x:v>60</x:v>
      </x:c>
      <x:c r="M3" t="n">
        <x:v>65</x:v>
      </x:c>
      <x:c r="N3" t="n">
        <x:v>65</x:v>
      </x:c>
      <x:c r="O3" t="n">
        <x:v>70</x:v>
      </x:c>
      <x:c r="P3" t="n">
        <x:v>65</x:v>
      </x:c>
    </x:row>
    <x:row r="4">
      <x:c r="A4" t="str">
        <x:v>Diver</x:v>
      </x:c>
      <x:c r="B4" t="n">
        <x:v>80</x:v>
      </x:c>
      <x:c r="C4" t="n">
        <x:v>90</x:v>
      </x:c>
      <x:c r="D4" t="n">
        <x:v>20</x:v>
      </x:c>
      <x:c r="E4" t="n">
        <x:v>60</x:v>
      </x:c>
      <x:c r="F4" t="n">
        <x:v>10</x:v>
      </x:c>
      <x:c r="G4" t="n">
        <x:v>45</x:v>
      </x:c>
      <x:c r="H4" t="n">
        <x:v>45</x:v>
      </x:c>
      <x:c r="I4" t="n">
        <x:v>5</x:v>
      </x:c>
      <x:c r="J4" t="n">
        <x:v>80</x:v>
      </x:c>
      <x:c r="K4" t="n">
        <x:v>75</x:v>
      </x:c>
      <x:c r="L4" t="n">
        <x:v>55</x:v>
      </x:c>
      <x:c r="M4" t="n">
        <x:v>60</x:v>
      </x:c>
      <x:c r="N4" t="n">
        <x:v>55</x:v>
      </x:c>
      <x:c r="O4" t="n">
        <x:v>65</x:v>
      </x:c>
      <x:c r="P4" t="n">
        <x:v>70</x:v>
      </x:c>
    </x:row>
    <x:row r="5">
      <x:c r="A5" t="str">
        <x:v>Juggernaut</x:v>
      </x:c>
      <x:c r="B5" t="n">
        <x:v>55</x:v>
      </x:c>
      <x:c r="C5" t="n">
        <x:v>45</x:v>
      </x:c>
      <x:c r="D5" t="n">
        <x:v>35</x:v>
      </x:c>
      <x:c r="E5" t="n">
        <x:v>95</x:v>
      </x:c>
      <x:c r="F5" t="n">
        <x:v>15</x:v>
      </x:c>
      <x:c r="G5" t="n">
        <x:v>70</x:v>
      </x:c>
      <x:c r="H5" t="n">
        <x:v>40</x:v>
      </x:c>
      <x:c r="I5" t="n">
        <x:v>10</x:v>
      </x:c>
      <x:c r="J5" t="n">
        <x:v>30</x:v>
      </x:c>
      <x:c r="K5" t="n">
        <x:v>75</x:v>
      </x:c>
      <x:c r="L5" t="n">
        <x:v>65</x:v>
      </x:c>
      <x:c r="M5" t="n">
        <x:v>70</x:v>
      </x:c>
      <x:c r="N5" t="n">
        <x:v>40</x:v>
      </x:c>
      <x:c r="O5" t="n">
        <x:v>50</x:v>
      </x:c>
      <x:c r="P5" t="n">
        <x:v>55</x:v>
      </x:c>
    </x:row>
    <x:row r="6">
      <x:c r="A6" t="str">
        <x:v>Marksman</x:v>
      </x:c>
      <x:c r="B6" t="n">
        <x:v>20</x:v>
      </x:c>
      <x:c r="C6" t="n">
        <x:v>10</x:v>
      </x:c>
      <x:c r="D6" t="n">
        <x:v>15</x:v>
      </x:c>
      <x:c r="E6" t="n">
        <x:v>10</x:v>
      </x:c>
      <x:c r="F6" t="n">
        <x:v>65</x:v>
      </x:c>
      <x:c r="G6" t="n">
        <x:v>85</x:v>
      </x:c>
      <x:c r="H6" t="n">
        <x:v>15</x:v>
      </x:c>
      <x:c r="I6" t="n">
        <x:v>5</x:v>
      </x:c>
      <x:c r="J6" t="n">
        <x:v>45</x:v>
      </x:c>
      <x:c r="K6" t="n">
        <x:v>65</x:v>
      </x:c>
      <x:c r="L6" t="n">
        <x:v>80</x:v>
      </x:c>
      <x:c r="M6" t="n">
        <x:v>85</x:v>
      </x:c>
      <x:c r="N6" t="n">
        <x:v>50</x:v>
      </x:c>
      <x:c r="O6" t="n">
        <x:v>65</x:v>
      </x:c>
      <x:c r="P6" t="n">
        <x:v>65</x:v>
      </x:c>
    </x:row>
    <x:row r="7">
      <x:c r="A7" t="str">
        <x:v>BurstMage</x:v>
      </x:c>
      <x:c r="B7" t="n">
        <x:v>30</x:v>
      </x:c>
      <x:c r="C7" t="n">
        <x:v>10</x:v>
      </x:c>
      <x:c r="D7" t="n">
        <x:v>35</x:v>
      </x:c>
      <x:c r="E7" t="n">
        <x:v>10</x:v>
      </x:c>
      <x:c r="F7" t="n">
        <x:v>85</x:v>
      </x:c>
      <x:c r="G7" t="n">
        <x:v>20</x:v>
      </x:c>
      <x:c r="H7" t="n">
        <x:v>70</x:v>
      </x:c>
      <x:c r="I7" t="n">
        <x:v>10</x:v>
      </x:c>
      <x:c r="J7" t="n">
        <x:v>25</x:v>
      </x:c>
      <x:c r="K7" t="n">
        <x:v>55</x:v>
      </x:c>
      <x:c r="L7" t="n">
        <x:v>55</x:v>
      </x:c>
      <x:c r="M7" t="n">
        <x:v>55</x:v>
      </x:c>
      <x:c r="N7" t="n">
        <x:v>25</x:v>
      </x:c>
      <x:c r="O7" t="n">
        <x:v>60</x:v>
      </x:c>
      <x:c r="P7" t="n">
        <x:v>70</x:v>
      </x:c>
    </x:row>
    <x:row r="8">
      <x:c r="A8" t="str">
        <x:v>BattleMage</x:v>
      </x:c>
      <x:c r="B8" t="n">
        <x:v>45</x:v>
      </x:c>
      <x:c r="C8" t="n">
        <x:v>35</x:v>
      </x:c>
      <x:c r="D8" t="n">
        <x:v>30</x:v>
      </x:c>
      <x:c r="E8" t="n">
        <x:v>35</x:v>
      </x:c>
      <x:c r="F8" t="n">
        <x:v>55</x:v>
      </x:c>
      <x:c r="G8" t="n">
        <x:v>65</x:v>
      </x:c>
      <x:c r="H8" t="n">
        <x:v>45</x:v>
      </x:c>
      <x:c r="I8" t="n">
        <x:v>10</x:v>
      </x:c>
      <x:c r="J8" t="n">
        <x:v>55</x:v>
      </x:c>
      <x:c r="K8" t="n">
        <x:v>65</x:v>
      </x:c>
      <x:c r="L8" t="n">
        <x:v>60</x:v>
      </x:c>
      <x:c r="M8" t="n">
        <x:v>60</x:v>
      </x:c>
      <x:c r="N8" t="n">
        <x:v>45</x:v>
      </x:c>
      <x:c r="O8" t="n">
        <x:v>65</x:v>
      </x:c>
      <x:c r="P8" t="n">
        <x:v>65</x:v>
      </x:c>
    </x:row>
    <x:row r="9">
      <x:c r="A9" t="str">
        <x:v>Artillery</x:v>
      </x:c>
      <x:c r="B9" t="n">
        <x:v>15</x:v>
      </x:c>
      <x:c r="C9" t="n">
        <x:v>5</x:v>
      </x:c>
      <x:c r="D9" t="n">
        <x:v>20</x:v>
      </x:c>
      <x:c r="E9" t="n">
        <x:v>5</x:v>
      </x:c>
      <x:c r="F9" t="n">
        <x:v>100</x:v>
      </x:c>
      <x:c r="G9" t="n">
        <x:v>30</x:v>
      </x:c>
      <x:c r="H9" t="n">
        <x:v>45</x:v>
      </x:c>
      <x:c r="I9" t="n">
        <x:v>5</x:v>
      </x:c>
      <x:c r="J9" t="n">
        <x:v>20</x:v>
      </x:c>
      <x:c r="K9" t="n">
        <x:v>50</x:v>
      </x:c>
      <x:c r="L9" t="n">
        <x:v>65</x:v>
      </x:c>
      <x:c r="M9" t="n">
        <x:v>75</x:v>
      </x:c>
      <x:c r="N9" t="n">
        <x:v>20</x:v>
      </x:c>
      <x:c r="O9" t="n">
        <x:v>85</x:v>
      </x:c>
      <x:c r="P9" t="n">
        <x:v>80</x:v>
      </x:c>
    </x:row>
    <x:row r="10">
      <x:c r="A10" t="str">
        <x:v>Vanguard</x:v>
      </x:c>
      <x:c r="B10" t="n">
        <x:v>100</x:v>
      </x:c>
      <x:c r="C10" t="n">
        <x:v>70</x:v>
      </x:c>
      <x:c r="D10" t="n">
        <x:v>60</x:v>
      </x:c>
      <x:c r="E10" t="n">
        <x:v>95</x:v>
      </x:c>
      <x:c r="F10" t="n">
        <x:v>5</x:v>
      </x:c>
      <x:c r="G10" t="n">
        <x:v>55</x:v>
      </x:c>
      <x:c r="H10" t="n">
        <x:v>95</x:v>
      </x:c>
      <x:c r="I10" t="n">
        <x:v>20</x:v>
      </x:c>
      <x:c r="J10" t="n">
        <x:v>50</x:v>
      </x:c>
      <x:c r="K10" t="n">
        <x:v>60</x:v>
      </x:c>
      <x:c r="L10" t="n">
        <x:v>20</x:v>
      </x:c>
      <x:c r="M10" t="n">
        <x:v>35</x:v>
      </x:c>
      <x:c r="N10" t="n">
        <x:v>25</x:v>
      </x:c>
      <x:c r="O10" t="n">
        <x:v>55</x:v>
      </x:c>
      <x:c r="P10" t="n">
        <x:v>80</x:v>
      </x:c>
    </x:row>
    <x:row r="11">
      <x:c r="A11" t="str">
        <x:v>Warden</x:v>
      </x:c>
      <x:c r="B11" t="n">
        <x:v>45</x:v>
      </x:c>
      <x:c r="C11" t="n">
        <x:v>15</x:v>
      </x:c>
      <x:c r="D11" t="n">
        <x:v>100</x:v>
      </x:c>
      <x:c r="E11" t="n">
        <x:v>95</x:v>
      </x:c>
      <x:c r="F11" t="n">
        <x:v>20</x:v>
      </x:c>
      <x:c r="G11" t="n">
        <x:v>55</x:v>
      </x:c>
      <x:c r="H11" t="n">
        <x:v>95</x:v>
      </x:c>
      <x:c r="I11" t="n">
        <x:v>45</x:v>
      </x:c>
      <x:c r="J11" t="n">
        <x:v>25</x:v>
      </x:c>
      <x:c r="K11" t="n">
        <x:v>50</x:v>
      </x:c>
      <x:c r="L11" t="n">
        <x:v>15</x:v>
      </x:c>
      <x:c r="M11" t="n">
        <x:v>30</x:v>
      </x:c>
      <x:c r="N11" t="n">
        <x:v>20</x:v>
      </x:c>
      <x:c r="O11" t="n">
        <x:v>50</x:v>
      </x:c>
      <x:c r="P11" t="n">
        <x:v>85</x:v>
      </x:c>
    </x:row>
    <x:row r="12">
      <x:c r="A12" t="str">
        <x:v>Catcher</x:v>
      </x:c>
      <x:c r="B12" t="n">
        <x:v>75</x:v>
      </x:c>
      <x:c r="C12" t="n">
        <x:v>40</x:v>
      </x:c>
      <x:c r="D12" t="n">
        <x:v>55</x:v>
      </x:c>
      <x:c r="E12" t="n">
        <x:v>50</x:v>
      </x:c>
      <x:c r="F12" t="n">
        <x:v>45</x:v>
      </x:c>
      <x:c r="G12" t="n">
        <x:v>40</x:v>
      </x:c>
      <x:c r="H12" t="n">
        <x:v>100</x:v>
      </x:c>
      <x:c r="I12" t="n">
        <x:v>20</x:v>
      </x:c>
      <x:c r="J12" t="n">
        <x:v>45</x:v>
      </x:c>
      <x:c r="K12" t="n">
        <x:v>50</x:v>
      </x:c>
      <x:c r="L12" t="n">
        <x:v>25</x:v>
      </x:c>
      <x:c r="M12" t="n">
        <x:v>40</x:v>
      </x:c>
      <x:c r="N12" t="n">
        <x:v>25</x:v>
      </x:c>
      <x:c r="O12" t="n">
        <x:v>65</x:v>
      </x:c>
      <x:c r="P12" t="n">
        <x:v>85</x:v>
      </x:c>
    </x:row>
    <x:row r="13">
      <x:c r="A13" t="str">
        <x:v>Enchanter</x:v>
      </x:c>
      <x:c r="B13" t="n">
        <x:v>20</x:v>
      </x:c>
      <x:c r="C13" t="n">
        <x:v>5</x:v>
      </x:c>
      <x:c r="D13" t="n">
        <x:v>85</x:v>
      </x:c>
      <x:c r="E13" t="n">
        <x:v>20</x:v>
      </x:c>
      <x:c r="F13" t="n">
        <x:v>35</x:v>
      </x:c>
      <x:c r="G13" t="n">
        <x:v>55</x:v>
      </x:c>
      <x:c r="H13" t="n">
        <x:v>50</x:v>
      </x:c>
      <x:c r="I13" t="n">
        <x:v>100</x:v>
      </x:c>
      <x:c r="J13" t="n">
        <x:v>40</x:v>
      </x:c>
      <x:c r="K13" t="n">
        <x:v>20</x:v>
      </x:c>
      <x:c r="L13" t="n">
        <x:v>15</x:v>
      </x:c>
      <x:c r="M13" t="n">
        <x:v>25</x:v>
      </x:c>
      <x:c r="N13" t="n">
        <x:v>25</x:v>
      </x:c>
      <x:c r="O13" t="n">
        <x:v>50</x:v>
      </x:c>
      <x:c r="P13" t="n">
        <x:v>85</x:v>
      </x:c>
    </x:row>
    <x:row r="14">
      <x:c r="A14" t="str">
        <x:v>Specialist</x:v>
      </x:c>
      <x:c r="B14" t="n">
        <x:v>50</x:v>
      </x:c>
      <x:c r="C14" t="n">
        <x:v>35</x:v>
      </x:c>
      <x:c r="D14" t="n">
        <x:v>55</x:v>
      </x:c>
      <x:c r="E14" t="n">
        <x:v>40</x:v>
      </x:c>
      <x:c r="F14" t="n">
        <x:v>45</x:v>
      </x:c>
      <x:c r="G14" t="n">
        <x:v>50</x:v>
      </x:c>
      <x:c r="H14" t="n">
        <x:v>75</x:v>
      </x:c>
      <x:c r="I14" t="n">
        <x:v>70</x:v>
      </x:c>
      <x:c r="J14" t="n">
        <x:v>70</x:v>
      </x:c>
      <x:c r="K14" t="n">
        <x:v>45</x:v>
      </x:c>
      <x:c r="L14" t="n">
        <x:v>35</x:v>
      </x:c>
      <x:c r="M14" t="n">
        <x:v>45</x:v>
      </x:c>
      <x:c r="N14" t="n">
        <x:v>70</x:v>
      </x:c>
      <x:c r="O14" t="n">
        <x:v>75</x:v>
      </x:c>
      <x:c r="P14" t="n">
        <x:v>100</x:v>
      </x:c>
    </x:row>
  </x:sheetData>
  <x:conditionalFormatting sqref="B2:B14">
    <x:cfRule type="colorScale" priority="31">
      <x:colorScale>
        <x:cfvo type="min"/>
        <x:cfvo type="percentile" val="50"/>
        <x:cfvo type="max"/>
        <x:color rgb="FFEFF6FF"/>
        <x:color rgb="FF93C5FD"/>
        <x:color rgb="FF1D4ED8"/>
      </x:colorScale>
    </x:cfRule>
  </x:conditionalFormatting>
  <x:conditionalFormatting sqref="C2:C14">
    <x:cfRule type="colorScale" priority="32">
      <x:colorScale>
        <x:cfvo type="min"/>
        <x:cfvo type="percentile" val="50"/>
        <x:cfvo type="max"/>
        <x:color rgb="FFEFF6FF"/>
        <x:color rgb="FF93C5FD"/>
        <x:color rgb="FF1D4ED8"/>
      </x:colorScale>
    </x:cfRule>
  </x:conditionalFormatting>
  <x:conditionalFormatting sqref="D2:D14">
    <x:cfRule type="colorScale" priority="33">
      <x:colorScale>
        <x:cfvo type="min"/>
        <x:cfvo type="percentile" val="50"/>
        <x:cfvo type="max"/>
        <x:color rgb="FFEFF6FF"/>
        <x:color rgb="FF93C5FD"/>
        <x:color rgb="FF1D4ED8"/>
      </x:colorScale>
    </x:cfRule>
  </x:conditionalFormatting>
  <x:conditionalFormatting sqref="E2:E14">
    <x:cfRule type="colorScale" priority="34">
      <x:colorScale>
        <x:cfvo type="min"/>
        <x:cfvo type="percentile" val="50"/>
        <x:cfvo type="max"/>
        <x:color rgb="FFEFF6FF"/>
        <x:color rgb="FF93C5FD"/>
        <x:color rgb="FF1D4ED8"/>
      </x:colorScale>
    </x:cfRule>
  </x:conditionalFormatting>
  <x:conditionalFormatting sqref="F2:F14">
    <x:cfRule type="colorScale" priority="35">
      <x:colorScale>
        <x:cfvo type="min"/>
        <x:cfvo type="percentile" val="50"/>
        <x:cfvo type="max"/>
        <x:color rgb="FFEFF6FF"/>
        <x:color rgb="FF93C5FD"/>
        <x:color rgb="FF1D4ED8"/>
      </x:colorScale>
    </x:cfRule>
  </x:conditionalFormatting>
  <x:conditionalFormatting sqref="G2:G14">
    <x:cfRule type="colorScale" priority="36">
      <x:colorScale>
        <x:cfvo type="min"/>
        <x:cfvo type="percentile" val="50"/>
        <x:cfvo type="max"/>
        <x:color rgb="FFEFF6FF"/>
        <x:color rgb="FF93C5FD"/>
        <x:color rgb="FF1D4ED8"/>
      </x:colorScale>
    </x:cfRule>
  </x:conditionalFormatting>
  <x:conditionalFormatting sqref="H2:H14">
    <x:cfRule type="colorScale" priority="37">
      <x:colorScale>
        <x:cfvo type="min"/>
        <x:cfvo type="percentile" val="50"/>
        <x:cfvo type="max"/>
        <x:color rgb="FFEFF6FF"/>
        <x:color rgb="FF93C5FD"/>
        <x:color rgb="FF1D4ED8"/>
      </x:colorScale>
    </x:cfRule>
  </x:conditionalFormatting>
  <x:conditionalFormatting sqref="I2:I14">
    <x:cfRule type="colorScale" priority="38">
      <x:colorScale>
        <x:cfvo type="min"/>
        <x:cfvo type="percentile" val="50"/>
        <x:cfvo type="max"/>
        <x:color rgb="FFEFF6FF"/>
        <x:color rgb="FF93C5FD"/>
        <x:color rgb="FF1D4ED8"/>
      </x:colorScale>
    </x:cfRule>
  </x:conditionalFormatting>
  <x:conditionalFormatting sqref="J2:J14">
    <x:cfRule type="colorScale" priority="39">
      <x:colorScale>
        <x:cfvo type="min"/>
        <x:cfvo type="percentile" val="50"/>
        <x:cfvo type="max"/>
        <x:color rgb="FFEFF6FF"/>
        <x:color rgb="FF93C5FD"/>
        <x:color rgb="FF1D4ED8"/>
      </x:colorScale>
    </x:cfRule>
  </x:conditionalFormatting>
  <x:conditionalFormatting sqref="K2:K14">
    <x:cfRule type="colorScale" priority="40">
      <x:colorScale>
        <x:cfvo type="min"/>
        <x:cfvo type="percentile" val="50"/>
        <x:cfvo type="max"/>
        <x:color rgb="FFEFF6FF"/>
        <x:color rgb="FF93C5FD"/>
        <x:color rgb="FF1D4ED8"/>
      </x:colorScale>
    </x:cfRule>
  </x:conditionalFormatting>
  <x:conditionalFormatting sqref="L2:L14">
    <x:cfRule type="colorScale" priority="41">
      <x:colorScale>
        <x:cfvo type="min"/>
        <x:cfvo type="percentile" val="50"/>
        <x:cfvo type="max"/>
        <x:color rgb="FFEFF6FF"/>
        <x:color rgb="FF93C5FD"/>
        <x:color rgb="FF1D4ED8"/>
      </x:colorScale>
    </x:cfRule>
  </x:conditionalFormatting>
  <x:conditionalFormatting sqref="M2:M14">
    <x:cfRule type="colorScale" priority="42">
      <x:colorScale>
        <x:cfvo type="min"/>
        <x:cfvo type="percentile" val="50"/>
        <x:cfvo type="max"/>
        <x:color rgb="FFEFF6FF"/>
        <x:color rgb="FF93C5FD"/>
        <x:color rgb="FF1D4ED8"/>
      </x:colorScale>
    </x:cfRule>
  </x:conditionalFormatting>
  <x:conditionalFormatting sqref="N2:N14">
    <x:cfRule type="colorScale" priority="43">
      <x:colorScale>
        <x:cfvo type="min"/>
        <x:cfvo type="percentile" val="50"/>
        <x:cfvo type="max"/>
        <x:color rgb="FFEFF6FF"/>
        <x:color rgb="FF93C5FD"/>
        <x:color rgb="FF1D4ED8"/>
      </x:colorScale>
    </x:cfRule>
  </x:conditionalFormatting>
  <x:conditionalFormatting sqref="O2:O14">
    <x:cfRule type="colorScale" priority="44">
      <x:colorScale>
        <x:cfvo type="min"/>
        <x:cfvo type="percentile" val="50"/>
        <x:cfvo type="max"/>
        <x:color rgb="FFEFF6FF"/>
        <x:color rgb="FF93C5FD"/>
        <x:color rgb="FF1D4ED8"/>
      </x:colorScale>
    </x:cfRule>
  </x:conditionalFormatting>
  <x:conditionalFormatting sqref="P2:P14">
    <x:cfRule type="colorScale" priority="45">
      <x:colorScale>
        <x:cfvo type="min"/>
        <x:cfvo type="percentile" val="50"/>
        <x:cfvo type="max"/>
        <x:color rgb="FFEFF6FF"/>
        <x:color rgb="FF93C5FD"/>
        <x:color rgb="FF1D4ED8"/>
      </x:colorScale>
    </x:cfRule>
  </x:conditionalFormatting>
  <x:pageMargins left="0.7" right="0.7" top="0.75" bottom="0.75" header="0.3" footer="0.3"/>
  <x:tableParts count="1">
    <x:tablePart xmlns:r="http://schemas.openxmlformats.org/officeDocument/2006/relationships" r:id="R7776b53cc64e4fd0"/>
  </x:tableParts>
</x:worksheet>
</file>

<file path=xl/worksheets/sheet6.xml><?xml version="1.0" encoding="utf-8"?>
<x:worksheet xmlns:x="http://schemas.openxmlformats.org/spreadsheetml/2006/main">
  <x:sheetFormatPr defaultRowHeight="15"/>
  <x:cols>
    <x:col min="1" max="1" width="18" hidden="0" customWidth="1"/>
    <x:col min="2" max="2" width="13" hidden="0" customWidth="1"/>
    <x:col min="3" max="3" width="18" hidden="0" customWidth="1"/>
    <x:col min="4" max="4" width="24" hidden="0" customWidth="1"/>
    <x:col min="5" max="5" width="18" hidden="0" customWidth="1"/>
    <x:col min="6" max="6" width="18" hidden="0" customWidth="1"/>
    <x:col min="7" max="7" width="42" hidden="0" customWidth="1"/>
    <x:col min="8" max="8" width="12" hidden="0" customWidth="1"/>
    <x:col min="9" max="9" width="44" hidden="0" customWidth="1"/>
  </x:cols>
  <x:sheetData>
    <x:row r="1">
      <x:c r="A1" s="100" t="str">
        <x:v>Pokemon</x:v>
      </x:c>
      <x:c r="B1" s="100" t="str">
        <x:v>OfficialRole</x:v>
      </x:c>
      <x:c r="C1" s="100" t="str">
        <x:v>ProfileName</x:v>
      </x:c>
      <x:c r="D1" s="100" t="str">
        <x:v>ProfileLabel</x:v>
      </x:c>
      <x:c r="E1" s="100" t="str">
        <x:v>PrimaryArchetype</x:v>
      </x:c>
      <x:c r="F1" s="100" t="str">
        <x:v>SecondaryArchetype</x:v>
      </x:c>
      <x:c r="G1" s="100" t="str">
        <x:v>SplitReason</x:v>
      </x:c>
      <x:c r="H1" s="100" t="str">
        <x:v>Confidence</x:v>
      </x:c>
      <x:c r="I1" s="100" t="str">
        <x:v>SourceURL</x:v>
      </x:c>
    </x:row>
    <x:row r="2">
      <x:c r="A2" s="12" t="str">
        <x:v>アローラキュウコン</x:v>
      </x:c>
      <x:c r="B2" s="12" t="str">
        <x:v>アタック型</x:v>
      </x:c>
      <x:c r="C2" s="12" t="str">
        <x:v>ふぶき</x:v>
      </x:c>
      <x:c r="D2" s="12" t="str">
        <x:v>BurstMage</x:v>
      </x:c>
      <x:c r="E2" s="12" t="str">
        <x:v>BurstMage</x:v>
      </x:c>
      <x:c r="F2" s="12"/>
      <x:c r="G2" s="12" t="str">
        <x:v>立ち位置・戦闘距離・役割が大きく変わるため別プロファイル</x:v>
      </x:c>
      <x:c r="H2" s="12" t="str">
        <x:v>高</x:v>
      </x:c>
      <x:c r="I2" s="12" t="str">
        <x:v>https://wikiwiki.jp/poke-unite/%E3%82%A2%E3%83%AD%E3%83%BC%E3%83%A9%E3%82%AD%E3%83%A5%E3%82%A6%E3%82%B3%E3%83%B3</x:v>
      </x:c>
    </x:row>
    <x:row r="3">
      <x:c r="A3" s="12" t="str">
        <x:v>アローラキュウコン</x:v>
      </x:c>
      <x:c r="B3" s="12" t="str">
        <x:v>アタック型</x:v>
      </x:c>
      <x:c r="C3" s="12" t="str">
        <x:v>オーロラベール</x:v>
      </x:c>
      <x:c r="D3" s="12" t="str">
        <x:v>Marksman / Warden</x:v>
      </x:c>
      <x:c r="E3" s="12" t="str">
        <x:v>Marksman</x:v>
      </x:c>
      <x:c r="F3" s="12" t="str">
        <x:v>Warden</x:v>
      </x:c>
      <x:c r="G3" s="12" t="str">
        <x:v>立ち位置・戦闘距離・役割が大きく変わるため別プロファイル</x:v>
      </x:c>
      <x:c r="H3" s="12" t="str">
        <x:v>高</x:v>
      </x:c>
      <x:c r="I3" s="12" t="str">
        <x:v>https://wikiwiki.jp/poke-unite/%E3%82%A2%E3%83%AD%E3%83%BC%E3%83%A9%E3%82%AD%E3%83%A5%E3%82%A6%E3%82%B3%E3%83%B3</x:v>
      </x:c>
    </x:row>
    <x:row r="4">
      <x:c r="A4" s="12" t="str">
        <x:v>インテレオン</x:v>
      </x:c>
      <x:c r="B4" s="12" t="str">
        <x:v>アタック型</x:v>
      </x:c>
      <x:c r="C4" s="12" t="str">
        <x:v>ねらいうち</x:v>
      </x:c>
      <x:c r="D4" s="12" t="str">
        <x:v>Artillery</x:v>
      </x:c>
      <x:c r="E4" s="12" t="str">
        <x:v>Artillery</x:v>
      </x:c>
      <x:c r="F4" s="12"/>
      <x:c r="G4" s="12" t="str">
        <x:v>立ち位置・戦闘距離・役割が大きく変わるため別プロファイル</x:v>
      </x:c>
      <x:c r="H4" s="12" t="str">
        <x:v>高</x:v>
      </x:c>
      <x:c r="I4" s="12" t="str">
        <x:v>https://wikiwiki.jp/poke-unite/%E3%82%A4%E3%83%B3%E3%83%86%E3%83%AC%E3%82%AA%E3%83%B3</x:v>
      </x:c>
    </x:row>
    <x:row r="5">
      <x:c r="A5" s="12" t="str">
        <x:v>インテレオン</x:v>
      </x:c>
      <x:c r="B5" s="12" t="str">
        <x:v>アタック型</x:v>
      </x:c>
      <x:c r="C5" s="12" t="str">
        <x:v>アクアブレイク</x:v>
      </x:c>
      <x:c r="D5" s="12" t="str">
        <x:v>BattleMage / Marksman</x:v>
      </x:c>
      <x:c r="E5" s="12" t="str">
        <x:v>BattleMage</x:v>
      </x:c>
      <x:c r="F5" s="12" t="str">
        <x:v>Marksman</x:v>
      </x:c>
      <x:c r="G5" s="12" t="str">
        <x:v>立ち位置・戦闘距離・役割が大きく変わるため別プロファイル</x:v>
      </x:c>
      <x:c r="H5" s="12" t="str">
        <x:v>高</x:v>
      </x:c>
      <x:c r="I5" s="12" t="str">
        <x:v>https://wikiwiki.jp/poke-unite/%E3%82%A4%E3%83%B3%E3%83%86%E3%83%AC%E3%82%AA%E3%83%B3</x:v>
      </x:c>
    </x:row>
    <x:row r="6">
      <x:c r="A6" s="12" t="str">
        <x:v>ウッウ</x:v>
      </x:c>
      <x:c r="B6" s="12" t="str">
        <x:v>アタック型</x:v>
      </x:c>
      <x:c r="C6" s="12" t="str">
        <x:v>なみのり</x:v>
      </x:c>
      <x:c r="D6" s="12" t="str">
        <x:v>BurstMage</x:v>
      </x:c>
      <x:c r="E6" s="12" t="str">
        <x:v>BurstMage</x:v>
      </x:c>
      <x:c r="F6" s="12"/>
      <x:c r="G6" s="12" t="str">
        <x:v>立ち位置・戦闘距離・役割が大きく変わるため別プロファイル</x:v>
      </x:c>
      <x:c r="H6" s="12" t="str">
        <x:v>高</x:v>
      </x:c>
      <x:c r="I6" s="12" t="str">
        <x:v>https://wikiwiki.jp/poke-unite/%E3%82%A6%E3%83%83%E3%82%A6</x:v>
      </x:c>
    </x:row>
    <x:row r="7">
      <x:c r="A7" s="12" t="str">
        <x:v>ウッウ</x:v>
      </x:c>
      <x:c r="B7" s="12" t="str">
        <x:v>アタック型</x:v>
      </x:c>
      <x:c r="C7" s="12" t="str">
        <x:v>ダイビング</x:v>
      </x:c>
      <x:c r="D7" s="12" t="str">
        <x:v>BattleMage</x:v>
      </x:c>
      <x:c r="E7" s="12" t="str">
        <x:v>BattleMage</x:v>
      </x:c>
      <x:c r="F7" s="12"/>
      <x:c r="G7" s="12" t="str">
        <x:v>立ち位置・戦闘距離・役割が大きく変わるため別プロファイル</x:v>
      </x:c>
      <x:c r="H7" s="12" t="str">
        <x:v>高</x:v>
      </x:c>
      <x:c r="I7" s="12" t="str">
        <x:v>https://wikiwiki.jp/poke-unite/%E3%82%A6%E3%83%83%E3%82%A6</x:v>
      </x:c>
    </x:row>
    <x:row r="8">
      <x:c r="A8" s="12" t="str">
        <x:v>グレンアルマ</x:v>
      </x:c>
      <x:c r="B8" s="12" t="str">
        <x:v>アタック型</x:v>
      </x:c>
      <x:c r="C8" s="12" t="str">
        <x:v>ほのおのうず</x:v>
      </x:c>
      <x:c r="D8" s="12" t="str">
        <x:v>Juggernaut / BattleMage</x:v>
      </x:c>
      <x:c r="E8" s="12" t="str">
        <x:v>Juggernaut</x:v>
      </x:c>
      <x:c r="F8" s="12" t="str">
        <x:v>BattleMage</x:v>
      </x:c>
      <x:c r="G8" s="12" t="str">
        <x:v>立ち位置・戦闘距離・役割が大きく変わるため別プロファイル</x:v>
      </x:c>
      <x:c r="H8" s="12" t="str">
        <x:v>高</x:v>
      </x:c>
      <x:c r="I8" s="12" t="str">
        <x:v>https://wikiwiki.jp/poke-unite/%E3%82%B0%E3%83%AC%E3%83%B3%E3%82%A2%E3%83%AB%E3%83%9E</x:v>
      </x:c>
    </x:row>
    <x:row r="9">
      <x:c r="A9" s="12" t="str">
        <x:v>グレンアルマ</x:v>
      </x:c>
      <x:c r="B9" s="12" t="str">
        <x:v>アタック型</x:v>
      </x:c>
      <x:c r="C9" s="12" t="str">
        <x:v>アーマーキャノン</x:v>
      </x:c>
      <x:c r="D9" s="12" t="str">
        <x:v>BurstMage</x:v>
      </x:c>
      <x:c r="E9" s="12" t="str">
        <x:v>BurstMage</x:v>
      </x:c>
      <x:c r="F9" s="12"/>
      <x:c r="G9" s="12" t="str">
        <x:v>立ち位置・戦闘距離・役割が大きく変わるため別プロファイル</x:v>
      </x:c>
      <x:c r="H9" s="12" t="str">
        <x:v>高</x:v>
      </x:c>
      <x:c r="I9" s="12" t="str">
        <x:v>https://wikiwiki.jp/poke-unite/%E3%82%B0%E3%83%AC%E3%83%B3%E3%82%A2%E3%83%AB%E3%83%9E</x:v>
      </x:c>
    </x:row>
    <x:row r="10">
      <x:c r="A10" s="12" t="str">
        <x:v>ゲッコウガ</x:v>
      </x:c>
      <x:c r="B10" s="12" t="str">
        <x:v>アタック型</x:v>
      </x:c>
      <x:c r="C10" s="12" t="str">
        <x:v>みずしゅりけん</x:v>
      </x:c>
      <x:c r="D10" s="12" t="str">
        <x:v>Marksman</x:v>
      </x:c>
      <x:c r="E10" s="12" t="str">
        <x:v>Marksman</x:v>
      </x:c>
      <x:c r="F10" s="12"/>
      <x:c r="G10" s="12" t="str">
        <x:v>立ち位置・戦闘距離・役割が大きく変わるため別プロファイル</x:v>
      </x:c>
      <x:c r="H10" s="12" t="str">
        <x:v>高</x:v>
      </x:c>
      <x:c r="I10" s="12" t="str">
        <x:v>https://wikiwiki.jp/poke-unite/%E3%82%B2%E3%83%83%E3%82%B3%E3%82%A6%E3%82%AC</x:v>
      </x:c>
    </x:row>
    <x:row r="11">
      <x:c r="A11" s="12" t="str">
        <x:v>ゲッコウガ</x:v>
      </x:c>
      <x:c r="B11" s="12" t="str">
        <x:v>アタック型</x:v>
      </x:c>
      <x:c r="C11" s="12" t="str">
        <x:v>なみのり</x:v>
      </x:c>
      <x:c r="D11" s="12" t="str">
        <x:v>Assassin</x:v>
      </x:c>
      <x:c r="E11" s="12" t="str">
        <x:v>Assassin</x:v>
      </x:c>
      <x:c r="F11" s="12"/>
      <x:c r="G11" s="12" t="str">
        <x:v>立ち位置・戦闘距離・役割が大きく変わるため別プロファイル</x:v>
      </x:c>
      <x:c r="H11" s="12" t="str">
        <x:v>高</x:v>
      </x:c>
      <x:c r="I11" s="12" t="str">
        <x:v>https://wikiwiki.jp/poke-unite/%E3%82%B2%E3%83%83%E3%82%B3%E3%82%A6%E3%82%AC</x:v>
      </x:c>
    </x:row>
    <x:row r="12">
      <x:c r="A12" s="12" t="str">
        <x:v>ジュナイパー</x:v>
      </x:c>
      <x:c r="B12" s="12" t="str">
        <x:v>アタック型</x:v>
      </x:c>
      <x:c r="C12" s="12" t="str">
        <x:v>かげぬい</x:v>
      </x:c>
      <x:c r="D12" s="12" t="str">
        <x:v>Artillery</x:v>
      </x:c>
      <x:c r="E12" s="12" t="str">
        <x:v>Artillery</x:v>
      </x:c>
      <x:c r="F12" s="12"/>
      <x:c r="G12" s="12" t="str">
        <x:v>立ち位置・戦闘距離・役割が大きく変わるため別プロファイル</x:v>
      </x:c>
      <x:c r="H12" s="12" t="str">
        <x:v>高</x:v>
      </x:c>
      <x:c r="I12" s="12" t="str">
        <x:v>https://wikiwiki.jp/poke-unite/%E3%82%B8%E3%83%A5%E3%83%8A%E3%82%A4%E3%83%91%E3%83%BC</x:v>
      </x:c>
    </x:row>
    <x:row r="13">
      <x:c r="A13" s="12" t="str">
        <x:v>ジュナイパー</x:v>
      </x:c>
      <x:c r="B13" s="12" t="str">
        <x:v>アタック型</x:v>
      </x:c>
      <x:c r="C13" s="12" t="str">
        <x:v>はっぱカッター</x:v>
      </x:c>
      <x:c r="D13" s="12" t="str">
        <x:v>Marksman</x:v>
      </x:c>
      <x:c r="E13" s="12" t="str">
        <x:v>Marksman</x:v>
      </x:c>
      <x:c r="F13" s="12"/>
      <x:c r="G13" s="12" t="str">
        <x:v>立ち位置・戦闘距離・役割が大きく変わるため別プロファイル</x:v>
      </x:c>
      <x:c r="H13" s="12" t="str">
        <x:v>高</x:v>
      </x:c>
      <x:c r="I13" s="12" t="str">
        <x:v>https://wikiwiki.jp/poke-unite/%E3%82%B8%E3%83%A5%E3%83%8A%E3%82%A4%E3%83%91%E3%83%BC</x:v>
      </x:c>
    </x:row>
    <x:row r="14">
      <x:c r="A14" s="12" t="str">
        <x:v>ドラパルト</x:v>
      </x:c>
      <x:c r="B14" s="12" t="str">
        <x:v>アタック型</x:v>
      </x:c>
      <x:c r="C14" s="12" t="str">
        <x:v>りゅうのまい</x:v>
      </x:c>
      <x:c r="D14" s="12" t="str">
        <x:v>Marksman / Diver</x:v>
      </x:c>
      <x:c r="E14" s="12" t="str">
        <x:v>Marksman</x:v>
      </x:c>
      <x:c r="F14" s="12" t="str">
        <x:v>Diver</x:v>
      </x:c>
      <x:c r="G14" s="12" t="str">
        <x:v>立ち位置・戦闘距離・役割が大きく変わるため別プロファイル</x:v>
      </x:c>
      <x:c r="H14" s="12" t="str">
        <x:v>高</x:v>
      </x:c>
      <x:c r="I14" s="12" t="str">
        <x:v>https://wikiwiki.jp/poke-unite/%E3%83%89%E3%83%A9%E3%83%91%E3%83%AB%E3%83%88</x:v>
      </x:c>
    </x:row>
    <x:row r="15">
      <x:c r="A15" s="12" t="str">
        <x:v>ドラパルト</x:v>
      </x:c>
      <x:c r="B15" s="12" t="str">
        <x:v>アタック型</x:v>
      </x:c>
      <x:c r="C15" s="12" t="str">
        <x:v>ゴーストダイブ</x:v>
      </x:c>
      <x:c r="D15" s="12" t="str">
        <x:v>Assassin / Marksman</x:v>
      </x:c>
      <x:c r="E15" s="12" t="str">
        <x:v>Assassin</x:v>
      </x:c>
      <x:c r="F15" s="12" t="str">
        <x:v>Marksman</x:v>
      </x:c>
      <x:c r="G15" s="12" t="str">
        <x:v>立ち位置・戦闘距離・役割が大きく変わるため別プロファイル</x:v>
      </x:c>
      <x:c r="H15" s="12" t="str">
        <x:v>高</x:v>
      </x:c>
      <x:c r="I15" s="12" t="str">
        <x:v>https://wikiwiki.jp/poke-unite/%E3%83%89%E3%83%A9%E3%83%91%E3%83%AB%E3%83%88</x:v>
      </x:c>
    </x:row>
    <x:row r="16">
      <x:c r="A16" s="12" t="str">
        <x:v>フシギバナ</x:v>
      </x:c>
      <x:c r="B16" s="12" t="str">
        <x:v>アタック型</x:v>
      </x:c>
      <x:c r="C16" s="12" t="str">
        <x:v>ソーラービーム</x:v>
      </x:c>
      <x:c r="D16" s="12" t="str">
        <x:v>Artillery</x:v>
      </x:c>
      <x:c r="E16" s="12" t="str">
        <x:v>Artillery</x:v>
      </x:c>
      <x:c r="F16" s="12"/>
      <x:c r="G16" s="12" t="str">
        <x:v>立ち位置・戦闘距離・役割が大きく変わるため別プロファイル</x:v>
      </x:c>
      <x:c r="H16" s="12" t="str">
        <x:v>高</x:v>
      </x:c>
      <x:c r="I16" s="12" t="str">
        <x:v>https://wikiwiki.jp/poke-unite/%E3%83%95%E3%82%B7%E3%82%AE%E3%83%90%E3%83%8A</x:v>
      </x:c>
    </x:row>
    <x:row r="17">
      <x:c r="A17" s="12" t="str">
        <x:v>フシギバナ</x:v>
      </x:c>
      <x:c r="B17" s="12" t="str">
        <x:v>アタック型</x:v>
      </x:c>
      <x:c r="C17" s="12" t="str">
        <x:v>はなびらのまい</x:v>
      </x:c>
      <x:c r="D17" s="12" t="str">
        <x:v>Juggernaut / BattleMage</x:v>
      </x:c>
      <x:c r="E17" s="12" t="str">
        <x:v>Juggernaut</x:v>
      </x:c>
      <x:c r="F17" s="12" t="str">
        <x:v>BattleMage</x:v>
      </x:c>
      <x:c r="G17" s="12" t="str">
        <x:v>立ち位置・戦闘距離・役割が大きく変わるため別プロファイル</x:v>
      </x:c>
      <x:c r="H17" s="12" t="str">
        <x:v>高</x:v>
      </x:c>
      <x:c r="I17" s="12" t="str">
        <x:v>https://wikiwiki.jp/poke-unite/%E3%83%95%E3%82%B7%E3%82%AE%E3%83%90%E3%83%8A</x:v>
      </x:c>
    </x:row>
    <x:row r="18">
      <x:c r="A18" s="12" t="str">
        <x:v>マフォクシー</x:v>
      </x:c>
      <x:c r="B18" s="12" t="str">
        <x:v>アタック型</x:v>
      </x:c>
      <x:c r="C18" s="12" t="str">
        <x:v>ほのおのうず</x:v>
      </x:c>
      <x:c r="D18" s="12" t="str">
        <x:v>BurstMage</x:v>
      </x:c>
      <x:c r="E18" s="12" t="str">
        <x:v>BurstMage</x:v>
      </x:c>
      <x:c r="F18" s="12"/>
      <x:c r="G18" s="12" t="str">
        <x:v>立ち位置・戦闘距離・役割が大きく変わるため別プロファイル</x:v>
      </x:c>
      <x:c r="H18" s="12" t="str">
        <x:v>高</x:v>
      </x:c>
      <x:c r="I18" s="12" t="str">
        <x:v>https://wikiwiki.jp/poke-unite/%E3%83%9E%E3%83%95%E3%82%A9%E3%82%AF%E3%82%B7%E3%83%BC</x:v>
      </x:c>
    </x:row>
    <x:row r="19">
      <x:c r="A19" s="12" t="str">
        <x:v>マフォクシー</x:v>
      </x:c>
      <x:c r="B19" s="12" t="str">
        <x:v>アタック型</x:v>
      </x:c>
      <x:c r="C19" s="12" t="str">
        <x:v>ニトロチャージ</x:v>
      </x:c>
      <x:c r="D19" s="12" t="str">
        <x:v>BattleMage</x:v>
      </x:c>
      <x:c r="E19" s="12" t="str">
        <x:v>BattleMage</x:v>
      </x:c>
      <x:c r="F19" s="12"/>
      <x:c r="G19" s="12" t="str">
        <x:v>立ち位置・戦闘距離・役割が大きく変わるため別プロファイル</x:v>
      </x:c>
      <x:c r="H19" s="12" t="str">
        <x:v>高</x:v>
      </x:c>
      <x:c r="I19" s="12" t="str">
        <x:v>https://wikiwiki.jp/poke-unite/%E3%83%9E%E3%83%95%E3%82%A9%E3%82%AF%E3%82%B7%E3%83%BC</x:v>
      </x:c>
    </x:row>
    <x:row r="20">
      <x:c r="A20" s="12" t="str">
        <x:v>ミライドン</x:v>
      </x:c>
      <x:c r="B20" s="12" t="str">
        <x:v>アタック型</x:v>
      </x:c>
      <x:c r="C20" s="12" t="str">
        <x:v>チャージビーム</x:v>
      </x:c>
      <x:c r="D20" s="12" t="str">
        <x:v>Artillery</x:v>
      </x:c>
      <x:c r="E20" s="12" t="str">
        <x:v>Artillery</x:v>
      </x:c>
      <x:c r="F20" s="12"/>
      <x:c r="G20" s="12" t="str">
        <x:v>立ち位置・戦闘距離・役割が大きく変わるため別プロファイル</x:v>
      </x:c>
      <x:c r="H20" s="12" t="str">
        <x:v>高</x:v>
      </x:c>
      <x:c r="I20" s="12" t="str">
        <x:v>https://wikiwiki.jp/poke-unite/%E3%83%9F%E3%83%A9%E3%82%A4%E3%83%89%E3%83%B3</x:v>
      </x:c>
    </x:row>
    <x:row r="21">
      <x:c r="A21" s="12" t="str">
        <x:v>ミライドン</x:v>
      </x:c>
      <x:c r="B21" s="12" t="str">
        <x:v>アタック型</x:v>
      </x:c>
      <x:c r="C21" s="12" t="str">
        <x:v>イナズマドライブ</x:v>
      </x:c>
      <x:c r="D21" s="12" t="str">
        <x:v>Skirmisher / Assassin</x:v>
      </x:c>
      <x:c r="E21" s="12" t="str">
        <x:v>Skirmisher</x:v>
      </x:c>
      <x:c r="F21" s="12" t="str">
        <x:v>Assassin</x:v>
      </x:c>
      <x:c r="G21" s="12" t="str">
        <x:v>立ち位置・戦闘距離・役割が大きく変わるため別プロファイル</x:v>
      </x:c>
      <x:c r="H21" s="12" t="str">
        <x:v>高</x:v>
      </x:c>
      <x:c r="I21" s="12" t="str">
        <x:v>https://wikiwiki.jp/poke-unite/%E3%83%9F%E3%83%A9%E3%82%A4%E3%83%89%E3%83%B3</x:v>
      </x:c>
    </x:row>
    <x:row r="22">
      <x:c r="A22" s="12" t="str">
        <x:v>ウーラオス</x:v>
      </x:c>
      <x:c r="B22" s="12" t="str">
        <x:v>バランス型</x:v>
      </x:c>
      <x:c r="C22" s="12" t="str">
        <x:v>あんこくきょうだ</x:v>
      </x:c>
      <x:c r="D22" s="12" t="str">
        <x:v>Diver / Assassin</x:v>
      </x:c>
      <x:c r="E22" s="12" t="str">
        <x:v>Diver</x:v>
      </x:c>
      <x:c r="F22" s="12" t="str">
        <x:v>Assassin</x:v>
      </x:c>
      <x:c r="G22" s="12" t="str">
        <x:v>立ち位置・戦闘距離・役割が大きく変わるため別プロファイル</x:v>
      </x:c>
      <x:c r="H22" s="12" t="str">
        <x:v>高</x:v>
      </x:c>
      <x:c r="I22" s="12" t="str">
        <x:v>https://wikiwiki.jp/poke-unite/%E3%82%A6%E3%83%BC%E3%83%A9%E3%82%AA%E3%82%B9</x:v>
      </x:c>
    </x:row>
    <x:row r="23">
      <x:c r="A23" s="12" t="str">
        <x:v>ウーラオス</x:v>
      </x:c>
      <x:c r="B23" s="12" t="str">
        <x:v>バランス型</x:v>
      </x:c>
      <x:c r="C23" s="12" t="str">
        <x:v>すいりゅうれんだ</x:v>
      </x:c>
      <x:c r="D23" s="12" t="str">
        <x:v>Skirmisher / Diver</x:v>
      </x:c>
      <x:c r="E23" s="12" t="str">
        <x:v>Skirmisher</x:v>
      </x:c>
      <x:c r="F23" s="12" t="str">
        <x:v>Diver</x:v>
      </x:c>
      <x:c r="G23" s="12" t="str">
        <x:v>立ち位置・戦闘距離・役割が大きく変わるため別プロファイル</x:v>
      </x:c>
      <x:c r="H23" s="12" t="str">
        <x:v>高</x:v>
      </x:c>
      <x:c r="I23" s="12" t="str">
        <x:v>https://wikiwiki.jp/poke-unite/%E3%82%A6%E3%83%BC%E3%83%A9%E3%82%AA%E3%82%B9</x:v>
      </x:c>
    </x:row>
    <x:row r="24">
      <x:c r="A24" s="12" t="str">
        <x:v>カイリュー</x:v>
      </x:c>
      <x:c r="B24" s="12" t="str">
        <x:v>バランス型</x:v>
      </x:c>
      <x:c r="C24" s="12" t="str">
        <x:v>はかいこうせん</x:v>
      </x:c>
      <x:c r="D24" s="12" t="str">
        <x:v>Marksman</x:v>
      </x:c>
      <x:c r="E24" s="12" t="str">
        <x:v>Marksman</x:v>
      </x:c>
      <x:c r="F24" s="12"/>
      <x:c r="G24" s="12" t="str">
        <x:v>立ち位置・戦闘距離・役割が大きく変わるため別プロファイル</x:v>
      </x:c>
      <x:c r="H24" s="12" t="str">
        <x:v>高</x:v>
      </x:c>
      <x:c r="I24" s="12" t="str">
        <x:v>https://wikiwiki.jp/poke-unite/%E3%82%AB%E3%82%A4%E3%83%AA%E3%83%A5%E3%83%BC</x:v>
      </x:c>
    </x:row>
    <x:row r="25">
      <x:c r="A25" s="12" t="str">
        <x:v>カイリュー</x:v>
      </x:c>
      <x:c r="B25" s="12" t="str">
        <x:v>バランス型</x:v>
      </x:c>
      <x:c r="C25" s="12" t="str">
        <x:v>げきりん</x:v>
      </x:c>
      <x:c r="D25" s="12" t="str">
        <x:v>Juggernaut / Diver</x:v>
      </x:c>
      <x:c r="E25" s="12" t="str">
        <x:v>Juggernaut</x:v>
      </x:c>
      <x:c r="F25" s="12" t="str">
        <x:v>Diver</x:v>
      </x:c>
      <x:c r="G25" s="12" t="str">
        <x:v>立ち位置・戦闘距離・役割が大きく変わるため別プロファイル</x:v>
      </x:c>
      <x:c r="H25" s="12" t="str">
        <x:v>高</x:v>
      </x:c>
      <x:c r="I25" s="12" t="str">
        <x:v>https://wikiwiki.jp/poke-unite/%E3%82%AB%E3%82%A4%E3%83%AA%E3%83%A5%E3%83%BC</x:v>
      </x:c>
    </x:row>
    <x:row r="26">
      <x:c r="A26" s="12" t="str">
        <x:v>タイレーツ</x:v>
      </x:c>
      <x:c r="B26" s="12" t="str">
        <x:v>バランス型</x:v>
      </x:c>
      <x:c r="C26" s="12" t="str">
        <x:v>はいすいのじん</x:v>
      </x:c>
      <x:c r="D26" s="12" t="str">
        <x:v>Juggernaut</x:v>
      </x:c>
      <x:c r="E26" s="12" t="str">
        <x:v>Juggernaut</x:v>
      </x:c>
      <x:c r="F26" s="12"/>
      <x:c r="G26" s="12" t="str">
        <x:v>立ち位置・戦闘距離・役割が大きく変わるため別プロファイル</x:v>
      </x:c>
      <x:c r="H26" s="12" t="str">
        <x:v>高</x:v>
      </x:c>
      <x:c r="I26" s="12" t="str">
        <x:v>https://wikiwiki.jp/poke-unite/%E3%82%BF%E3%82%A4%E3%83%AC%E3%83%BC%E3%83%84</x:v>
      </x:c>
    </x:row>
    <x:row r="27">
      <x:c r="A27" s="12" t="str">
        <x:v>タイレーツ</x:v>
      </x:c>
      <x:c r="B27" s="12" t="str">
        <x:v>バランス型</x:v>
      </x:c>
      <x:c r="C27" s="12" t="str">
        <x:v>ふくろだたき</x:v>
      </x:c>
      <x:c r="D27" s="12" t="str">
        <x:v>Diver / Skirmisher</x:v>
      </x:c>
      <x:c r="E27" s="12" t="str">
        <x:v>Diver</x:v>
      </x:c>
      <x:c r="F27" s="12" t="str">
        <x:v>Skirmisher</x:v>
      </x:c>
      <x:c r="G27" s="12" t="str">
        <x:v>立ち位置・戦闘距離・役割が大きく変わるため別プロファイル</x:v>
      </x:c>
      <x:c r="H27" s="12" t="str">
        <x:v>高</x:v>
      </x:c>
      <x:c r="I27" s="12" t="str">
        <x:v>https://wikiwiki.jp/poke-unite/%E3%82%BF%E3%82%A4%E3%83%AC%E3%83%BC%E3%83%84</x:v>
      </x:c>
    </x:row>
    <x:row r="28">
      <x:c r="A28" s="12" t="str">
        <x:v>ハッサム</x:v>
      </x:c>
      <x:c r="B28" s="12" t="str">
        <x:v>バランス型</x:v>
      </x:c>
      <x:c r="C28" s="12" t="str">
        <x:v>ストライク</x:v>
      </x:c>
      <x:c r="D28" s="12" t="str">
        <x:v>Assassin</x:v>
      </x:c>
      <x:c r="E28" s="12" t="str">
        <x:v>Assassin</x:v>
      </x:c>
      <x:c r="F28" s="12"/>
      <x:c r="G28" s="12" t="str">
        <x:v>立ち位置・戦闘距離・役割が大きく変わるため別プロファイル</x:v>
      </x:c>
      <x:c r="H28" s="12" t="str">
        <x:v>高</x:v>
      </x:c>
      <x:c r="I28" s="12" t="str">
        <x:v>https://wikiwiki.jp/poke-unite/%E3%83%8F%E3%83%83%E3%82%B5%E3%83%A0</x:v>
      </x:c>
    </x:row>
    <x:row r="29">
      <x:c r="A29" s="12" t="str">
        <x:v>ハッサム</x:v>
      </x:c>
      <x:c r="B29" s="12" t="str">
        <x:v>バランス型</x:v>
      </x:c>
      <x:c r="C29" s="12" t="str">
        <x:v>ハッサム</x:v>
      </x:c>
      <x:c r="D29" s="12" t="str">
        <x:v>Skirmisher / Juggernaut</x:v>
      </x:c>
      <x:c r="E29" s="12" t="str">
        <x:v>Skirmisher</x:v>
      </x:c>
      <x:c r="F29" s="12" t="str">
        <x:v>Juggernaut</x:v>
      </x:c>
      <x:c r="G29" s="12" t="str">
        <x:v>立ち位置・戦闘距離・役割が大きく変わるため別プロファイル</x:v>
      </x:c>
      <x:c r="H29" s="12" t="str">
        <x:v>高</x:v>
      </x:c>
      <x:c r="I29" s="12" t="str">
        <x:v>https://wikiwiki.jp/poke-unite/%E3%83%8F%E3%83%83%E3%82%B5%E3%83%A0</x:v>
      </x:c>
    </x:row>
    <x:row r="30">
      <x:c r="A30" s="12" t="str">
        <x:v>ミミッキュ</x:v>
      </x:c>
      <x:c r="B30" s="12" t="str">
        <x:v>バランス型</x:v>
      </x:c>
      <x:c r="C30" s="12" t="str">
        <x:v>じゃれつく</x:v>
      </x:c>
      <x:c r="D30" s="12" t="str">
        <x:v>Assassin</x:v>
      </x:c>
      <x:c r="E30" s="12" t="str">
        <x:v>Assassin</x:v>
      </x:c>
      <x:c r="F30" s="12"/>
      <x:c r="G30" s="12" t="str">
        <x:v>立ち位置・戦闘距離・役割が大きく変わるため別プロファイル</x:v>
      </x:c>
      <x:c r="H30" s="12" t="str">
        <x:v>高</x:v>
      </x:c>
      <x:c r="I30" s="12" t="str">
        <x:v>https://wikiwiki.jp/poke-unite/%E3%83%9F%E3%83%9F%E3%83%83%E3%82%AD%E3%83%A5</x:v>
      </x:c>
    </x:row>
    <x:row r="31">
      <x:c r="A31" s="12" t="str">
        <x:v>ミミッキュ</x:v>
      </x:c>
      <x:c r="B31" s="12" t="str">
        <x:v>バランス型</x:v>
      </x:c>
      <x:c r="C31" s="12" t="str">
        <x:v>シャドークロー</x:v>
      </x:c>
      <x:c r="D31" s="12" t="str">
        <x:v>Skirmisher</x:v>
      </x:c>
      <x:c r="E31" s="12" t="str">
        <x:v>Skirmisher</x:v>
      </x:c>
      <x:c r="F31" s="12"/>
      <x:c r="G31" s="12" t="str">
        <x:v>立ち位置・戦闘距離・役割が大きく変わるため別プロファイル</x:v>
      </x:c>
      <x:c r="H31" s="12" t="str">
        <x:v>高</x:v>
      </x:c>
      <x:c r="I31" s="12" t="str">
        <x:v>https://wikiwiki.jp/poke-unite/%E3%83%9F%E3%83%9F%E3%83%83%E3%82%AD%E3%83%A5</x:v>
      </x:c>
    </x:row>
    <x:row r="32">
      <x:c r="A32" s="12" t="str">
        <x:v>リザードン</x:v>
      </x:c>
      <x:c r="B32" s="12" t="str">
        <x:v>バランス型</x:v>
      </x:c>
      <x:c r="C32" s="12" t="str">
        <x:v>だいもんじ</x:v>
      </x:c>
      <x:c r="D32" s="12" t="str">
        <x:v>BattleMage / Marksman</x:v>
      </x:c>
      <x:c r="E32" s="12" t="str">
        <x:v>BattleMage</x:v>
      </x:c>
      <x:c r="F32" s="12" t="str">
        <x:v>Marksman</x:v>
      </x:c>
      <x:c r="G32" s="12" t="str">
        <x:v>立ち位置・戦闘距離・役割が大きく変わるため別プロファイル</x:v>
      </x:c>
      <x:c r="H32" s="12" t="str">
        <x:v>高</x:v>
      </x:c>
      <x:c r="I32" s="12" t="str">
        <x:v>https://wikiwiki.jp/poke-unite/%E3%83%AA%E3%82%B6%E3%83%BC%E3%83%89%E3%83%B3</x:v>
      </x:c>
    </x:row>
    <x:row r="33">
      <x:c r="A33" s="12" t="str">
        <x:v>リザードン</x:v>
      </x:c>
      <x:c r="B33" s="12" t="str">
        <x:v>バランス型</x:v>
      </x:c>
      <x:c r="C33" s="12" t="str">
        <x:v>フレアドライブ</x:v>
      </x:c>
      <x:c r="D33" s="12" t="str">
        <x:v>Diver / Skirmisher</x:v>
      </x:c>
      <x:c r="E33" s="12" t="str">
        <x:v>Diver</x:v>
      </x:c>
      <x:c r="F33" s="12" t="str">
        <x:v>Skirmisher</x:v>
      </x:c>
      <x:c r="G33" s="12" t="str">
        <x:v>立ち位置・戦闘距離・役割が大きく変わるため別プロファイル</x:v>
      </x:c>
      <x:c r="H33" s="12" t="str">
        <x:v>高</x:v>
      </x:c>
      <x:c r="I33" s="12" t="str">
        <x:v>https://wikiwiki.jp/poke-unite/%E3%83%AA%E3%82%B6%E3%83%BC%E3%83%89%E3%83%B3</x:v>
      </x:c>
    </x:row>
    <x:row r="34">
      <x:c r="A34" s="12" t="str">
        <x:v>ルカリオ</x:v>
      </x:c>
      <x:c r="B34" s="12" t="str">
        <x:v>バランス型</x:v>
      </x:c>
      <x:c r="C34" s="12" t="str">
        <x:v>しんそく</x:v>
      </x:c>
      <x:c r="D34" s="12" t="str">
        <x:v>Assassin / Skirmisher</x:v>
      </x:c>
      <x:c r="E34" s="12" t="str">
        <x:v>Assassin</x:v>
      </x:c>
      <x:c r="F34" s="12" t="str">
        <x:v>Skirmisher</x:v>
      </x:c>
      <x:c r="G34" s="12" t="str">
        <x:v>立ち位置・戦闘距離・役割が大きく変わるため別プロファイル</x:v>
      </x:c>
      <x:c r="H34" s="12" t="str">
        <x:v>高</x:v>
      </x:c>
      <x:c r="I34" s="12" t="str">
        <x:v>https://wikiwiki.jp/poke-unite/%E3%83%AB%E3%82%AB%E3%83%AA%E3%82%AA</x:v>
      </x:c>
    </x:row>
    <x:row r="35">
      <x:c r="A35" s="12" t="str">
        <x:v>ルカリオ</x:v>
      </x:c>
      <x:c r="B35" s="12" t="str">
        <x:v>バランス型</x:v>
      </x:c>
      <x:c r="C35" s="12" t="str">
        <x:v>グロウパンチ</x:v>
      </x:c>
      <x:c r="D35" s="12" t="str">
        <x:v>Diver / Skirmisher</x:v>
      </x:c>
      <x:c r="E35" s="12" t="str">
        <x:v>Diver</x:v>
      </x:c>
      <x:c r="F35" s="12" t="str">
        <x:v>Skirmisher</x:v>
      </x:c>
      <x:c r="G35" s="12" t="str">
        <x:v>立ち位置・戦闘距離・役割が大きく変わるため別プロファイル</x:v>
      </x:c>
      <x:c r="H35" s="12" t="str">
        <x:v>高</x:v>
      </x:c>
      <x:c r="I35" s="12" t="str">
        <x:v>https://wikiwiki.jp/poke-unite/%E3%83%AB%E3%82%AB%E3%83%AA%E3%82%AA</x:v>
      </x:c>
    </x:row>
    <x:row r="36">
      <x:c r="A36" s="12" t="str">
        <x:v>ゼラオラ</x:v>
      </x:c>
      <x:c r="B36" s="12" t="str">
        <x:v>スピード型</x:v>
      </x:c>
      <x:c r="C36" s="12" t="str">
        <x:v>ほうでん</x:v>
      </x:c>
      <x:c r="D36" s="12" t="str">
        <x:v>Skirmisher</x:v>
      </x:c>
      <x:c r="E36" s="12" t="str">
        <x:v>Skirmisher</x:v>
      </x:c>
      <x:c r="F36" s="12"/>
      <x:c r="G36" s="12" t="str">
        <x:v>立ち位置・戦闘距離・役割が大きく変わるため別プロファイル</x:v>
      </x:c>
      <x:c r="H36" s="12" t="str">
        <x:v>高</x:v>
      </x:c>
      <x:c r="I36" s="12" t="str">
        <x:v>https://wikiwiki.jp/poke-unite/%E3%82%BC%E3%83%A9%E3%82%AA%E3%83%A9</x:v>
      </x:c>
    </x:row>
    <x:row r="37">
      <x:c r="A37" s="12" t="str">
        <x:v>ゼラオラ</x:v>
      </x:c>
      <x:c r="B37" s="12" t="str">
        <x:v>スピード型</x:v>
      </x:c>
      <x:c r="C37" s="12" t="str">
        <x:v>ワイルドボルト</x:v>
      </x:c>
      <x:c r="D37" s="12" t="str">
        <x:v>Assassin / Diver</x:v>
      </x:c>
      <x:c r="E37" s="12" t="str">
        <x:v>Assassin</x:v>
      </x:c>
      <x:c r="F37" s="12" t="str">
        <x:v>Diver</x:v>
      </x:c>
      <x:c r="G37" s="12" t="str">
        <x:v>立ち位置・戦闘距離・役割が大きく変わるため別プロファイル</x:v>
      </x:c>
      <x:c r="H37" s="12" t="str">
        <x:v>高</x:v>
      </x:c>
      <x:c r="I37" s="12" t="str">
        <x:v>https://wikiwiki.jp/poke-unite/%E3%82%BC%E3%83%A9%E3%82%AA%E3%83%A9</x:v>
      </x:c>
    </x:row>
    <x:row r="38">
      <x:c r="A38" s="12" t="str">
        <x:v>マスカーニャ</x:v>
      </x:c>
      <x:c r="B38" s="12" t="str">
        <x:v>スピード型</x:v>
      </x:c>
      <x:c r="C38" s="12" t="str">
        <x:v>トリックフラワー</x:v>
      </x:c>
      <x:c r="D38" s="12" t="str">
        <x:v>Assassin / Specialist</x:v>
      </x:c>
      <x:c r="E38" s="12" t="str">
        <x:v>Assassin</x:v>
      </x:c>
      <x:c r="F38" s="12" t="str">
        <x:v>Specialist</x:v>
      </x:c>
      <x:c r="G38" s="12" t="str">
        <x:v>立ち位置・戦闘距離・役割が大きく変わるため別プロファイル</x:v>
      </x:c>
      <x:c r="H38" s="12" t="str">
        <x:v>高</x:v>
      </x:c>
      <x:c r="I38" s="12" t="str">
        <x:v>https://wikiwiki.jp/poke-unite/%E3%83%9E%E3%82%B9%E3%82%AB%E3%83%BC%E3%83%8B%...</x:v>
      </x:c>
    </x:row>
    <x:row r="39">
      <x:c r="A39" s="12" t="str">
        <x:v>マスカーニャ</x:v>
      </x:c>
      <x:c r="B39" s="12" t="str">
        <x:v>スピード型</x:v>
      </x:c>
      <x:c r="C39" s="12" t="str">
        <x:v>つじぎり</x:v>
      </x:c>
      <x:c r="D39" s="12" t="str">
        <x:v>Skirmisher / Assassin</x:v>
      </x:c>
      <x:c r="E39" s="12" t="str">
        <x:v>Skirmisher</x:v>
      </x:c>
      <x:c r="F39" s="12" t="str">
        <x:v>Assassin</x:v>
      </x:c>
      <x:c r="G39" s="12" t="str">
        <x:v>立ち位置・戦闘距離・役割が大きく変わるため別プロファイル</x:v>
      </x:c>
      <x:c r="H39" s="12" t="str">
        <x:v>高</x:v>
      </x:c>
      <x:c r="I39" s="12" t="str">
        <x:v>https://wikiwiki.jp/poke-unite/%E3%83%9E%E3%82%B9%E3%82%AB%E3%83%BC%E3%83%8B%...</x:v>
      </x:c>
    </x:row>
    <x:row r="40">
      <x:c r="A40" s="12" t="str">
        <x:v>イワパレス</x:v>
      </x:c>
      <x:c r="B40" s="12" t="str">
        <x:v>ディフェンス型</x:v>
      </x:c>
      <x:c r="C40" s="12" t="str">
        <x:v>がんせきふうじ</x:v>
      </x:c>
      <x:c r="D40" s="12" t="str">
        <x:v>Vanguard</x:v>
      </x:c>
      <x:c r="E40" s="12" t="str">
        <x:v>Vanguard</x:v>
      </x:c>
      <x:c r="F40" s="12"/>
      <x:c r="G40" s="12" t="str">
        <x:v>立ち位置・戦闘距離・役割が大きく変わるため別プロファイル</x:v>
      </x:c>
      <x:c r="H40" s="12" t="str">
        <x:v>高</x:v>
      </x:c>
      <x:c r="I40" s="12" t="str">
        <x:v>https://wikiwiki.jp/poke-unite/%E3%82%A4%E3%83%AF%E3%83%91%E3%83%AC%E3%82%B9</x:v>
      </x:c>
    </x:row>
    <x:row r="41">
      <x:c r="A41" s="12" t="str">
        <x:v>イワパレス</x:v>
      </x:c>
      <x:c r="B41" s="12" t="str">
        <x:v>ディフェンス型</x:v>
      </x:c>
      <x:c r="C41" s="12" t="str">
        <x:v>からをやぶる</x:v>
      </x:c>
      <x:c r="D41" s="12" t="str">
        <x:v>Diver / Juggernaut</x:v>
      </x:c>
      <x:c r="E41" s="12" t="str">
        <x:v>Diver</x:v>
      </x:c>
      <x:c r="F41" s="12" t="str">
        <x:v>Juggernaut</x:v>
      </x:c>
      <x:c r="G41" s="12" t="str">
        <x:v>立ち位置・戦闘距離・役割が大きく変わるため別プロファイル</x:v>
      </x:c>
      <x:c r="H41" s="12" t="str">
        <x:v>高</x:v>
      </x:c>
      <x:c r="I41" s="12" t="str">
        <x:v>https://wikiwiki.jp/poke-unite/%E3%82%A4%E3%83%AF%E3%83%91%E3%83%AC%E3%82%B9</x:v>
      </x:c>
    </x:row>
    <x:row r="42">
      <x:c r="A42" s="12" t="str">
        <x:v>オーロット</x:v>
      </x:c>
      <x:c r="B42" s="12" t="str">
        <x:v>ディフェンス型</x:v>
      </x:c>
      <x:c r="C42" s="12" t="str">
        <x:v>ウッドハンマー</x:v>
      </x:c>
      <x:c r="D42" s="12" t="str">
        <x:v>Vanguard / Warden</x:v>
      </x:c>
      <x:c r="E42" s="12" t="str">
        <x:v>Vanguard</x:v>
      </x:c>
      <x:c r="F42" s="12" t="str">
        <x:v>Warden</x:v>
      </x:c>
      <x:c r="G42" s="12" t="str">
        <x:v>立ち位置・戦闘距離・役割が大きく変わるため別プロファイル</x:v>
      </x:c>
      <x:c r="H42" s="12" t="str">
        <x:v>高</x:v>
      </x:c>
      <x:c r="I42" s="12" t="str">
        <x:v>https://wikiwiki.jp/poke-unite/%E3%82%AA%E3%83%BC%E3%83%AD%E3%83%83%E3%83%88</x:v>
      </x:c>
    </x:row>
    <x:row r="43">
      <x:c r="A43" s="12" t="str">
        <x:v>オーロット</x:v>
      </x:c>
      <x:c r="B43" s="12" t="str">
        <x:v>ディフェンス型</x:v>
      </x:c>
      <x:c r="C43" s="12" t="str">
        <x:v>のろい</x:v>
      </x:c>
      <x:c r="D43" s="12" t="str">
        <x:v>Juggernaut</x:v>
      </x:c>
      <x:c r="E43" s="12" t="str">
        <x:v>Juggernaut</x:v>
      </x:c>
      <x:c r="F43" s="12"/>
      <x:c r="G43" s="12" t="str">
        <x:v>立ち位置・戦闘距離・役割が大きく変わるため別プロファイル</x:v>
      </x:c>
      <x:c r="H43" s="12" t="str">
        <x:v>高</x:v>
      </x:c>
      <x:c r="I43" s="12" t="str">
        <x:v>https://wikiwiki.jp/poke-unite/%E3%82%AA%E3%83%BC%E3%83%AD%E3%83%83%E3%83%88</x:v>
      </x:c>
    </x:row>
    <x:row r="44">
      <x:c r="A44" s="12" t="str">
        <x:v>カビゴン</x:v>
      </x:c>
      <x:c r="B44" s="12" t="str">
        <x:v>ディフェンス型</x:v>
      </x:c>
      <x:c r="C44" s="12" t="str">
        <x:v>ヘビーボンバー</x:v>
      </x:c>
      <x:c r="D44" s="12" t="str">
        <x:v>Vanguard / Warden</x:v>
      </x:c>
      <x:c r="E44" s="12" t="str">
        <x:v>Vanguard</x:v>
      </x:c>
      <x:c r="F44" s="12" t="str">
        <x:v>Warden</x:v>
      </x:c>
      <x:c r="G44" s="12" t="str">
        <x:v>立ち位置・戦闘距離・役割が大きく変わるため別プロファイル</x:v>
      </x:c>
      <x:c r="H44" s="12" t="str">
        <x:v>高</x:v>
      </x:c>
      <x:c r="I44" s="12" t="str">
        <x:v>https://wikiwiki.jp/poke-unite/%E3%82%AB%E3%83%93%E3%82%B4%E3%83%B3</x:v>
      </x:c>
    </x:row>
    <x:row r="45">
      <x:c r="A45" s="12" t="str">
        <x:v>カビゴン</x:v>
      </x:c>
      <x:c r="B45" s="12" t="str">
        <x:v>ディフェンス型</x:v>
      </x:c>
      <x:c r="C45" s="12" t="str">
        <x:v>じたばた</x:v>
      </x:c>
      <x:c r="D45" s="12" t="str">
        <x:v>Juggernaut / Catcher</x:v>
      </x:c>
      <x:c r="E45" s="12" t="str">
        <x:v>Juggernaut</x:v>
      </x:c>
      <x:c r="F45" s="12" t="str">
        <x:v>Catcher</x:v>
      </x:c>
      <x:c r="G45" s="12" t="str">
        <x:v>立ち位置・戦闘距離・役割が大きく変わるため別プロファイル</x:v>
      </x:c>
      <x:c r="H45" s="12" t="str">
        <x:v>高</x:v>
      </x:c>
      <x:c r="I45" s="12" t="str">
        <x:v>https://wikiwiki.jp/poke-unite/%E3%82%AB%E3%83%93%E3%82%B4%E3%83%B3</x:v>
      </x:c>
    </x:row>
    <x:row r="46">
      <x:c r="A46" s="12" t="str">
        <x:v>カメックス</x:v>
      </x:c>
      <x:c r="B46" s="12" t="str">
        <x:v>ディフェンス型</x:v>
      </x:c>
      <x:c r="C46" s="12" t="str">
        <x:v>なみのり</x:v>
      </x:c>
      <x:c r="D46" s="12" t="str">
        <x:v>Warden / Vanguard</x:v>
      </x:c>
      <x:c r="E46" s="12" t="str">
        <x:v>Warden</x:v>
      </x:c>
      <x:c r="F46" s="12" t="str">
        <x:v>Vanguard</x:v>
      </x:c>
      <x:c r="G46" s="12" t="str">
        <x:v>立ち位置・戦闘距離・役割が大きく変わるため別プロファイル</x:v>
      </x:c>
      <x:c r="H46" s="12" t="str">
        <x:v>高</x:v>
      </x:c>
      <x:c r="I46" s="12" t="str">
        <x:v>https://wikiwiki.jp/poke-unite/%E3%82%AB%E3%83%A1%E3%83%83%E3%82%AF%E3%82%B9</x:v>
      </x:c>
    </x:row>
    <x:row r="47">
      <x:c r="A47" s="12" t="str">
        <x:v>カメックス</x:v>
      </x:c>
      <x:c r="B47" s="12" t="str">
        <x:v>ディフェンス型</x:v>
      </x:c>
      <x:c r="C47" s="12" t="str">
        <x:v>こうそくスピン</x:v>
      </x:c>
      <x:c r="D47" s="12" t="str">
        <x:v>Diver / Juggernaut</x:v>
      </x:c>
      <x:c r="E47" s="12" t="str">
        <x:v>Diver</x:v>
      </x:c>
      <x:c r="F47" s="12" t="str">
        <x:v>Juggernaut</x:v>
      </x:c>
      <x:c r="G47" s="12" t="str">
        <x:v>立ち位置・戦闘距離・役割が大きく変わるため別プロファイル</x:v>
      </x:c>
      <x:c r="H47" s="12" t="str">
        <x:v>高</x:v>
      </x:c>
      <x:c r="I47" s="12" t="str">
        <x:v>https://wikiwiki.jp/poke-unite/%E3%82%AB%E3%83%A1%E3%83%83%E3%82%AF%E3%82%B9</x:v>
      </x:c>
    </x:row>
    <x:row r="48">
      <x:c r="A48" s="12" t="str">
        <x:v>シャワーズ</x:v>
      </x:c>
      <x:c r="B48" s="12" t="str">
        <x:v>ディフェンス型</x:v>
      </x:c>
      <x:c r="C48" s="12" t="str">
        <x:v>アクアリング</x:v>
      </x:c>
      <x:c r="D48" s="12" t="str">
        <x:v>Enchanter / Warden</x:v>
      </x:c>
      <x:c r="E48" s="12" t="str">
        <x:v>Enchanter</x:v>
      </x:c>
      <x:c r="F48" s="12" t="str">
        <x:v>Warden</x:v>
      </x:c>
      <x:c r="G48" s="12" t="str">
        <x:v>立ち位置・戦闘距離・役割が大きく変わるため別プロファイル</x:v>
      </x:c>
      <x:c r="H48" s="12" t="str">
        <x:v>高</x:v>
      </x:c>
      <x:c r="I48" s="12" t="str">
        <x:v>https://wikiwiki.jp/poke-unite/%E3%82%B7%E3%83%A3%E3%83%AF%E3%83%BC%E3%82%BA</x:v>
      </x:c>
    </x:row>
    <x:row r="49">
      <x:c r="A49" s="12" t="str">
        <x:v>シャワーズ</x:v>
      </x:c>
      <x:c r="B49" s="12" t="str">
        <x:v>ディフェンス型</x:v>
      </x:c>
      <x:c r="C49" s="12" t="str">
        <x:v>クイックターン</x:v>
      </x:c>
      <x:c r="D49" s="12" t="str">
        <x:v>Warden / Diver</x:v>
      </x:c>
      <x:c r="E49" s="12" t="str">
        <x:v>Warden</x:v>
      </x:c>
      <x:c r="F49" s="12" t="str">
        <x:v>Diver</x:v>
      </x:c>
      <x:c r="G49" s="12" t="str">
        <x:v>立ち位置・戦闘距離・役割が大きく変わるため別プロファイル</x:v>
      </x:c>
      <x:c r="H49" s="12" t="str">
        <x:v>高</x:v>
      </x:c>
      <x:c r="I49" s="12" t="str">
        <x:v>https://wikiwiki.jp/poke-unite/%E3%82%B7%E3%83%A3%E3%83%AF%E3%83%BC%E3%82%BA</x:v>
      </x:c>
    </x:row>
    <x:row r="50">
      <x:c r="A50" s="12" t="str">
        <x:v>ブラッキー</x:v>
      </x:c>
      <x:c r="B50" s="12" t="str">
        <x:v>ディフェンス型</x:v>
      </x:c>
      <x:c r="C50" s="12" t="str">
        <x:v>ねがいごと</x:v>
      </x:c>
      <x:c r="D50" s="12" t="str">
        <x:v>Enchanter / Warden</x:v>
      </x:c>
      <x:c r="E50" s="12" t="str">
        <x:v>Enchanter</x:v>
      </x:c>
      <x:c r="F50" s="12" t="str">
        <x:v>Warden</x:v>
      </x:c>
      <x:c r="G50" s="12" t="str">
        <x:v>立ち位置・戦闘距離・役割が大きく変わるため別プロファイル</x:v>
      </x:c>
      <x:c r="H50" s="12" t="str">
        <x:v>高</x:v>
      </x:c>
      <x:c r="I50" s="12" t="str">
        <x:v>https://wikiwiki.jp/poke-unite/%E3%83%96%E3%83%A9%E3%83%83%E3%82%AD%E3%83%BC</x:v>
      </x:c>
    </x:row>
    <x:row r="51">
      <x:c r="A51" s="12" t="str">
        <x:v>ブラッキー</x:v>
      </x:c>
      <x:c r="B51" s="12" t="str">
        <x:v>ディフェンス型</x:v>
      </x:c>
      <x:c r="C51" s="12" t="str">
        <x:v>イカサマ</x:v>
      </x:c>
      <x:c r="D51" s="12" t="str">
        <x:v>Vanguard / Warden</x:v>
      </x:c>
      <x:c r="E51" s="12" t="str">
        <x:v>Vanguard</x:v>
      </x:c>
      <x:c r="F51" s="12" t="str">
        <x:v>Warden</x:v>
      </x:c>
      <x:c r="G51" s="12" t="str">
        <x:v>立ち位置・戦闘距離・役割が大きく変わるため別プロファイル</x:v>
      </x:c>
      <x:c r="H51" s="12" t="str">
        <x:v>高</x:v>
      </x:c>
      <x:c r="I51" s="12" t="str">
        <x:v>https://wikiwiki.jp/poke-unite/%E3%83%96%E3%83%A9%E3%83%83%E3%82%AD%E3%83%BC</x:v>
      </x:c>
    </x:row>
    <x:row r="52">
      <x:c r="A52" s="12" t="str">
        <x:v>ホウオウ</x:v>
      </x:c>
      <x:c r="B52" s="12" t="str">
        <x:v>ディフェンス型</x:v>
      </x:c>
      <x:c r="C52" s="12" t="str">
        <x:v>かえんほうしゃ</x:v>
      </x:c>
      <x:c r="D52" s="12" t="str">
        <x:v>Juggernaut / Enchanter</x:v>
      </x:c>
      <x:c r="E52" s="12" t="str">
        <x:v>Juggernaut</x:v>
      </x:c>
      <x:c r="F52" s="12" t="str">
        <x:v>Enchanter</x:v>
      </x:c>
      <x:c r="G52" s="12" t="str">
        <x:v>立ち位置・戦闘距離・役割が大きく変わるため別プロファイル</x:v>
      </x:c>
      <x:c r="H52" s="12" t="str">
        <x:v>高</x:v>
      </x:c>
      <x:c r="I52" s="12" t="str">
        <x:v>https://wikiwiki.jp/poke-unite/%E3%83%9B%E3%82%A6%E3%82%AA%E3%82%A6</x:v>
      </x:c>
    </x:row>
    <x:row r="53">
      <x:c r="A53" s="12" t="str">
        <x:v>ホウオウ</x:v>
      </x:c>
      <x:c r="B53" s="12" t="str">
        <x:v>ディフェンス型</x:v>
      </x:c>
      <x:c r="C53" s="12" t="str">
        <x:v>ゴッドバード</x:v>
      </x:c>
      <x:c r="D53" s="12" t="str">
        <x:v>Vanguard / Specialist</x:v>
      </x:c>
      <x:c r="E53" s="12" t="str">
        <x:v>Vanguard</x:v>
      </x:c>
      <x:c r="F53" s="12" t="str">
        <x:v>Specialist</x:v>
      </x:c>
      <x:c r="G53" s="12" t="str">
        <x:v>立ち位置・戦闘距離・役割が大きく変わるため別プロファイル</x:v>
      </x:c>
      <x:c r="H53" s="12" t="str">
        <x:v>高</x:v>
      </x:c>
      <x:c r="I53" s="12" t="str">
        <x:v>https://wikiwiki.jp/poke-unite/%E3%83%9B%E3%82%A6%E3%82%AA%E3%82%A6</x:v>
      </x:c>
    </x:row>
    <x:row r="54">
      <x:c r="A54" s="12" t="str">
        <x:v>ヤドラン</x:v>
      </x:c>
      <x:c r="B54" s="12" t="str">
        <x:v>ディフェンス型</x:v>
      </x:c>
      <x:c r="C54" s="12" t="str">
        <x:v>ドわすれ</x:v>
      </x:c>
      <x:c r="D54" s="12" t="str">
        <x:v>Juggernaut / BattleMage</x:v>
      </x:c>
      <x:c r="E54" s="12" t="str">
        <x:v>Juggernaut</x:v>
      </x:c>
      <x:c r="F54" s="12" t="str">
        <x:v>BattleMage</x:v>
      </x:c>
      <x:c r="G54" s="12" t="str">
        <x:v>立ち位置・戦闘距離・役割が大きく変わるため別プロファイル</x:v>
      </x:c>
      <x:c r="H54" s="12" t="str">
        <x:v>高</x:v>
      </x:c>
      <x:c r="I54" s="12" t="str">
        <x:v>https://wikiwiki.jp/poke-unite/%E3%83%A4%E3%83%89%E3%83%A9%E3%83%B3</x:v>
      </x:c>
    </x:row>
    <x:row r="55">
      <x:c r="A55" s="12" t="str">
        <x:v>ヤドラン</x:v>
      </x:c>
      <x:c r="B55" s="12" t="str">
        <x:v>ディフェンス型</x:v>
      </x:c>
      <x:c r="C55" s="12" t="str">
        <x:v>テレキネシス</x:v>
      </x:c>
      <x:c r="D55" s="12" t="str">
        <x:v>Warden / Catcher</x:v>
      </x:c>
      <x:c r="E55" s="12" t="str">
        <x:v>Warden</x:v>
      </x:c>
      <x:c r="F55" s="12" t="str">
        <x:v>Catcher</x:v>
      </x:c>
      <x:c r="G55" s="12" t="str">
        <x:v>立ち位置・戦闘距離・役割が大きく変わるため別プロファイル</x:v>
      </x:c>
      <x:c r="H55" s="12" t="str">
        <x:v>高</x:v>
      </x:c>
      <x:c r="I55" s="12" t="str">
        <x:v>https://wikiwiki.jp/poke-unite/%E3%83%A4%E3%83%89%E3%83%A9%E3%83%B3</x:v>
      </x:c>
    </x:row>
    <x:row r="56">
      <x:c r="A56" s="12" t="str">
        <x:v>ヨクバリス</x:v>
      </x:c>
      <x:c r="B56" s="12" t="str">
        <x:v>ディフェンス型</x:v>
      </x:c>
      <x:c r="C56" s="12" t="str">
        <x:v>ほおばる</x:v>
      </x:c>
      <x:c r="D56" s="12" t="str">
        <x:v>Juggernaut / Skirmisher</x:v>
      </x:c>
      <x:c r="E56" s="12" t="str">
        <x:v>Juggernaut</x:v>
      </x:c>
      <x:c r="F56" s="12" t="str">
        <x:v>Skirmisher</x:v>
      </x:c>
      <x:c r="G56" s="12" t="str">
        <x:v>立ち位置・戦闘距離・役割が大きく変わるため別プロファイル</x:v>
      </x:c>
      <x:c r="H56" s="12" t="str">
        <x:v>高</x:v>
      </x:c>
      <x:c r="I56" s="12" t="str">
        <x:v>https://wikiwiki.jp/poke-unite/%E3%83%A8%E3%82%AF%E3%83%90%E3%83%AA%E3%82%B9</x:v>
      </x:c>
    </x:row>
    <x:row r="57">
      <x:c r="A57" s="12" t="str">
        <x:v>ヨクバリス</x:v>
      </x:c>
      <x:c r="B57" s="12" t="str">
        <x:v>ディフェンス型</x:v>
      </x:c>
      <x:c r="C57" s="12" t="str">
        <x:v>ほしがる</x:v>
      </x:c>
      <x:c r="D57" s="12" t="str">
        <x:v>Diver / Specialist</x:v>
      </x:c>
      <x:c r="E57" s="12" t="str">
        <x:v>Diver</x:v>
      </x:c>
      <x:c r="F57" s="12" t="str">
        <x:v>Specialist</x:v>
      </x:c>
      <x:c r="G57" s="12" t="str">
        <x:v>立ち位置・戦闘距離・役割が大きく変わるため別プロファイル</x:v>
      </x:c>
      <x:c r="H57" s="12" t="str">
        <x:v>高</x:v>
      </x:c>
      <x:c r="I57" s="12" t="str">
        <x:v>https://wikiwiki.jp/poke-unite/%E3%83%A8%E3%82%AF%E3%83%90%E3%83%AA%E3%82%B9</x:v>
      </x:c>
    </x:row>
    <x:row r="58">
      <x:c r="A58" s="12" t="str">
        <x:v>バリヤード</x:v>
      </x:c>
      <x:c r="B58" s="12" t="str">
        <x:v>サポート型</x:v>
      </x:c>
      <x:c r="C58" s="12" t="str">
        <x:v>バリアー</x:v>
      </x:c>
      <x:c r="D58" s="12" t="str">
        <x:v>Catcher / Vanguard</x:v>
      </x:c>
      <x:c r="E58" s="12" t="str">
        <x:v>Catcher</x:v>
      </x:c>
      <x:c r="F58" s="12" t="str">
        <x:v>Vanguard</x:v>
      </x:c>
      <x:c r="G58" s="12" t="str">
        <x:v>立ち位置・戦闘距離・役割が大きく変わるため別プロファイル</x:v>
      </x:c>
      <x:c r="H58" s="12" t="str">
        <x:v>高</x:v>
      </x:c>
      <x:c r="I58" s="12" t="str">
        <x:v>https://wikiwiki.jp/poke-unite/%E3%83%90%E3%83%AA%E3%83%A4%E3%83%BC%E3%83%89</x:v>
      </x:c>
    </x:row>
    <x:row r="59">
      <x:c r="A59" s="12" t="str">
        <x:v>バリヤード</x:v>
      </x:c>
      <x:c r="B59" s="12" t="str">
        <x:v>サポート型</x:v>
      </x:c>
      <x:c r="C59" s="12" t="str">
        <x:v>パワースワップ</x:v>
      </x:c>
      <x:c r="D59" s="12" t="str">
        <x:v>Enchanter / BattleMage</x:v>
      </x:c>
      <x:c r="E59" s="12" t="str">
        <x:v>Enchanter</x:v>
      </x:c>
      <x:c r="F59" s="12" t="str">
        <x:v>BattleMage</x:v>
      </x:c>
      <x:c r="G59" s="12" t="str">
        <x:v>立ち位置・戦闘距離・役割が大きく変わるため別プロファイル</x:v>
      </x:c>
      <x:c r="H59" s="12" t="str">
        <x:v>高</x:v>
      </x:c>
      <x:c r="I59" s="12" t="str">
        <x:v>https://wikiwiki.jp/poke-unite/%E3%83%90%E3%83%AA%E3%83%A4%E3%83%BC%E3%83%89</x:v>
      </x:c>
    </x:row>
    <x:row r="60">
      <x:c r="A60" s="12" t="str">
        <x:v>フーパ</x:v>
      </x:c>
      <x:c r="B60" s="12" t="str">
        <x:v>サポート型</x:v>
      </x:c>
      <x:c r="C60" s="12" t="str">
        <x:v>いじげんホール</x:v>
      </x:c>
      <x:c r="D60" s="12" t="str">
        <x:v>Specialist / Enchanter</x:v>
      </x:c>
      <x:c r="E60" s="12" t="str">
        <x:v>Specialist</x:v>
      </x:c>
      <x:c r="F60" s="12" t="str">
        <x:v>Enchanter</x:v>
      </x:c>
      <x:c r="G60" s="12" t="str">
        <x:v>立ち位置・戦闘距離・役割が大きく変わるため別プロファイル</x:v>
      </x:c>
      <x:c r="H60" s="12" t="str">
        <x:v>高</x:v>
      </x:c>
      <x:c r="I60" s="12" t="str">
        <x:v>https://wikiwiki.jp/poke-unite/%E3%83%95%E3%83%BC%E3%83%91</x:v>
      </x:c>
    </x:row>
    <x:row r="61">
      <x:c r="A61" s="12" t="str">
        <x:v>フーパ</x:v>
      </x:c>
      <x:c r="B61" s="12" t="str">
        <x:v>サポート型</x:v>
      </x:c>
      <x:c r="C61" s="12" t="str">
        <x:v>トリック</x:v>
      </x:c>
      <x:c r="D61" s="12" t="str">
        <x:v>Enchanter / BattleMage</x:v>
      </x:c>
      <x:c r="E61" s="12" t="str">
        <x:v>Enchanter</x:v>
      </x:c>
      <x:c r="F61" s="12" t="str">
        <x:v>BattleMage</x:v>
      </x:c>
      <x:c r="G61" s="12" t="str">
        <x:v>立ち位置・戦闘距離・役割が大きく変わるため別プロファイル</x:v>
      </x:c>
      <x:c r="H61" s="12" t="str">
        <x:v>高</x:v>
      </x:c>
      <x:c r="I61" s="12" t="str">
        <x:v>https://wikiwiki.jp/poke-unite/%E3%83%95%E3%83%BC%E3%83%91</x:v>
      </x:c>
    </x:row>
    <x:row r="62">
      <x:c r="A62" s="12"/>
      <x:c r="B62" s="12"/>
      <x:c r="C62" s="12"/>
      <x:c r="D62" s="12"/>
      <x:c r="E62" s="12"/>
      <x:c r="F62" s="12"/>
      <x:c r="G62" s="12"/>
      <x:c r="H62" s="12"/>
      <x:c r="I62" s="12"/>
    </x:row>
    <x:row r="63">
      <x:c r="A63" s="12"/>
      <x:c r="B63" s="12"/>
      <x:c r="C63" s="12"/>
      <x:c r="D63" s="12"/>
      <x:c r="E63" s="12"/>
      <x:c r="F63" s="12"/>
      <x:c r="G63" s="12"/>
      <x:c r="H63" s="12"/>
      <x:c r="I63" s="12"/>
    </x:row>
    <x:row r="64">
      <x:c r="A64" s="12"/>
      <x:c r="B64" s="12"/>
      <x:c r="C64" s="12"/>
      <x:c r="D64" s="12"/>
      <x:c r="E64" s="12"/>
      <x:c r="F64" s="12"/>
      <x:c r="G64" s="12"/>
      <x:c r="H64" s="12"/>
      <x:c r="I64" s="12"/>
    </x:row>
    <x:row r="65">
      <x:c r="A65" s="12"/>
      <x:c r="B65" s="12"/>
      <x:c r="C65" s="12"/>
      <x:c r="D65" s="12"/>
      <x:c r="E65" s="12"/>
      <x:c r="F65" s="12"/>
      <x:c r="G65" s="12"/>
      <x:c r="H65" s="12"/>
      <x:c r="I65" s="12"/>
    </x:row>
    <x:row r="66">
      <x:c r="A66" s="12"/>
      <x:c r="B66" s="12"/>
      <x:c r="C66" s="12"/>
      <x:c r="D66" s="12"/>
      <x:c r="E66" s="12"/>
      <x:c r="F66" s="12"/>
      <x:c r="G66" s="12"/>
      <x:c r="H66" s="12"/>
      <x:c r="I66" s="12"/>
    </x:row>
    <x:row r="67">
      <x:c r="A67" s="12"/>
      <x:c r="B67" s="12"/>
      <x:c r="C67" s="12"/>
      <x:c r="D67" s="12"/>
      <x:c r="E67" s="12"/>
      <x:c r="F67" s="12"/>
      <x:c r="G67" s="12"/>
      <x:c r="H67" s="12"/>
      <x:c r="I67" s="12"/>
    </x:row>
    <x:row r="68">
      <x:c r="A68" s="12"/>
      <x:c r="B68" s="12"/>
      <x:c r="C68" s="12"/>
      <x:c r="D68" s="12"/>
      <x:c r="E68" s="12"/>
      <x:c r="F68" s="12"/>
      <x:c r="G68" s="12"/>
      <x:c r="H68" s="12"/>
      <x:c r="I68" s="12"/>
    </x:row>
    <x:row r="69">
      <x:c r="A69" s="12"/>
      <x:c r="B69" s="12"/>
      <x:c r="C69" s="12"/>
      <x:c r="D69" s="12"/>
      <x:c r="E69" s="12"/>
      <x:c r="F69" s="12"/>
      <x:c r="G69" s="12"/>
      <x:c r="H69" s="12"/>
      <x:c r="I69" s="12"/>
    </x:row>
    <x:row r="70">
      <x:c r="A70" s="12"/>
      <x:c r="B70" s="12"/>
      <x:c r="C70" s="12"/>
      <x:c r="D70" s="12"/>
      <x:c r="E70" s="12"/>
      <x:c r="F70" s="12"/>
      <x:c r="G70" s="12"/>
      <x:c r="H70" s="12"/>
      <x:c r="I70" s="12"/>
    </x:row>
    <x:row r="71">
      <x:c r="A71" s="12"/>
      <x:c r="B71" s="12"/>
      <x:c r="C71" s="12"/>
      <x:c r="D71" s="12"/>
      <x:c r="E71" s="12"/>
      <x:c r="F71" s="12"/>
      <x:c r="G71" s="12"/>
      <x:c r="H71" s="12"/>
      <x:c r="I71" s="12"/>
    </x:row>
    <x:row r="72">
      <x:c r="A72" s="12"/>
      <x:c r="B72" s="12"/>
      <x:c r="C72" s="12"/>
      <x:c r="D72" s="12"/>
      <x:c r="E72" s="12"/>
      <x:c r="F72" s="12"/>
      <x:c r="G72" s="12"/>
      <x:c r="H72" s="12"/>
      <x:c r="I72" s="12"/>
    </x:row>
    <x:row r="73">
      <x:c r="A73" s="12"/>
      <x:c r="B73" s="12"/>
      <x:c r="C73" s="12"/>
      <x:c r="D73" s="12"/>
      <x:c r="E73" s="12"/>
      <x:c r="F73" s="12"/>
      <x:c r="G73" s="12"/>
      <x:c r="H73" s="12"/>
      <x:c r="I73" s="12"/>
    </x:row>
    <x:row r="74">
      <x:c r="A74" s="12"/>
      <x:c r="B74" s="12"/>
      <x:c r="C74" s="12"/>
      <x:c r="D74" s="12"/>
      <x:c r="E74" s="12"/>
      <x:c r="F74" s="12"/>
      <x:c r="G74" s="12"/>
      <x:c r="H74" s="12"/>
      <x:c r="I74" s="12"/>
    </x:row>
    <x:row r="75">
      <x:c r="A75" s="12"/>
      <x:c r="B75" s="12"/>
      <x:c r="C75" s="12"/>
      <x:c r="D75" s="12"/>
      <x:c r="E75" s="12"/>
      <x:c r="F75" s="12"/>
      <x:c r="G75" s="12"/>
      <x:c r="H75" s="12"/>
      <x:c r="I75" s="12"/>
    </x:row>
    <x:row r="76">
      <x:c r="A76" s="12"/>
      <x:c r="B76" s="12"/>
      <x:c r="C76" s="12"/>
      <x:c r="D76" s="12"/>
      <x:c r="E76" s="12"/>
      <x:c r="F76" s="12"/>
      <x:c r="G76" s="12"/>
      <x:c r="H76" s="12"/>
      <x:c r="I76" s="12"/>
    </x:row>
    <x:row r="77">
      <x:c r="A77" s="12"/>
      <x:c r="B77" s="12"/>
      <x:c r="C77" s="12"/>
      <x:c r="D77" s="12"/>
      <x:c r="E77" s="12"/>
      <x:c r="F77" s="12"/>
      <x:c r="G77" s="12"/>
      <x:c r="H77" s="12"/>
      <x:c r="I77" s="12"/>
    </x:row>
    <x:row r="78">
      <x:c r="A78" s="12"/>
      <x:c r="B78" s="12"/>
      <x:c r="C78" s="12"/>
      <x:c r="D78" s="12"/>
      <x:c r="E78" s="12"/>
      <x:c r="F78" s="12"/>
      <x:c r="G78" s="12"/>
      <x:c r="H78" s="12"/>
      <x:c r="I78" s="12"/>
    </x:row>
    <x:row r="79">
      <x:c r="A79" s="12"/>
      <x:c r="B79" s="12"/>
      <x:c r="C79" s="12"/>
      <x:c r="D79" s="12"/>
      <x:c r="E79" s="12"/>
      <x:c r="F79" s="12"/>
      <x:c r="G79" s="12"/>
      <x:c r="H79" s="12"/>
      <x:c r="I79" s="12"/>
    </x:row>
    <x:row r="80">
      <x:c r="A80" s="12"/>
      <x:c r="B80" s="12"/>
      <x:c r="C80" s="12"/>
      <x:c r="D80" s="12"/>
      <x:c r="E80" s="12"/>
      <x:c r="F80" s="12"/>
      <x:c r="G80" s="12"/>
      <x:c r="H80" s="12"/>
      <x:c r="I80" s="12"/>
    </x:row>
    <x:row r="81">
      <x:c r="A81" s="12"/>
      <x:c r="B81" s="12"/>
      <x:c r="C81" s="12"/>
      <x:c r="D81" s="12"/>
      <x:c r="E81" s="12"/>
      <x:c r="F81" s="12"/>
      <x:c r="G81" s="12"/>
      <x:c r="H81" s="12"/>
      <x:c r="I81" s="12"/>
    </x:row>
  </x:sheetData>
  <x:pageMargins left="0.7" right="0.7" top="0.75" bottom="0.75" header="0.3" footer="0.3"/>
  <x:tableParts count="1">
    <x:tablePart xmlns:r="http://schemas.openxmlformats.org/officeDocument/2006/relationships" r:id="R157e393895804846"/>
  </x:tableParts>
</x:worksheet>
</file>

<file path=xl/worksheets/sheet7.xml><?xml version="1.0" encoding="utf-8"?>
<x:worksheet xmlns:x="http://schemas.openxmlformats.org/spreadsheetml/2006/main">
  <x:sheetFormatPr defaultRowHeight="15"/>
  <x:cols>
    <x:col min="1" max="1" width="34" hidden="0" customWidth="1"/>
    <x:col min="2" max="2" width="62" hidden="0" customWidth="1"/>
    <x:col min="3" max="3" width="82" hidden="0" customWidth="1"/>
  </x:cols>
  <x:sheetData>
    <x:row r="1">
      <x:c r="A1" s="214" t="str">
        <x:v>Source</x:v>
      </x:c>
      <x:c r="B1" s="214" t="str">
        <x:v>URL</x:v>
      </x:c>
      <x:c r="C1" s="214" t="str">
        <x:v>How used</x:v>
      </x:c>
    </x:row>
    <x:row r="2">
      <x:c r="A2" s="12" t="str">
        <x:v>Pokémon UNITE Wiki ポケモン一覧</x:v>
      </x:c>
      <x:c r="B2" s="12" t="str">
        <x:v>https://wikiwiki.jp/poke-unite/%E4%B8%80%E8%A6%A7</x:v>
      </x:c>
      <x:c r="C2" s="12" t="str">
        <x:v>全体のロール、長所/短所、成長ペース、難易度を横断比較。個性補正の主資料。</x:v>
      </x:c>
    </x:row>
    <x:row r="3">
      <x:c r="A3" s="12" t="str">
        <x:v>Pokémon UNITE API Meta</x:v>
      </x:c>
      <x:c r="B3" s="12" t="str">
        <x:v>https://uniteapi.dev/jp/meta</x:v>
      </x:c>
      <x:c r="C3" s="12" t="str">
        <x:v>2026-09時点の代表ビルドをクロスチェック。勝率/Tierそのものは診断値に使用しない。</x:v>
      </x:c>
    </x:row>
    <x:row r="4">
      <x:c r="A4" s="12" t="str">
        <x:v>Wiki サーナイト</x:v>
      </x:c>
      <x:c r="B4" s="12" t="str">
        <x:v>https://wikiwiki.jp/poke-unite/%E3%82%B5%E3%83%BC%E3%83%8A%E3%82%A4%E3%83%88</x:v>
      </x:c>
      <x:c r="C4" s="12" t="str">
        <x:v>高火力・広範囲・味方依存の確認。</x:v>
      </x:c>
    </x:row>
    <x:row r="5">
      <x:c r="A5" s="12" t="str">
        <x:v>Wiki シャンデラ</x:v>
      </x:c>
      <x:c r="B5" s="12" t="str">
        <x:v>https://wikiwiki.jp/poke-unite/%E3%82%B7%E3%83%A3%E3%83%B3%E3%83%87%E3%83%A9</x:v>
      </x:c>
      <x:c r="C5" s="12" t="str">
        <x:v>範囲火力の手数・広範囲妨害・低自衛の確認。</x:v>
      </x:c>
    </x:row>
    <x:row r="6">
      <x:c r="A6" s="12" t="str">
        <x:v>Wiki グレンアルマ</x:v>
      </x:c>
      <x:c r="B6" s="12" t="str">
        <x:v>https://wikiwiki.jp/poke-unite/%E3%82%B0%E3%83%AC%E3%83%B3%E3%82%A2%E3%83%AB%E3%83%9E</x:v>
      </x:c>
      <x:c r="C6" s="12" t="str">
        <x:v>妨害の豊富さ・アタック型としての耐久の確認。</x:v>
      </x:c>
    </x:row>
    <x:row r="7">
      <x:c r="A7" s="12" t="str">
        <x:v>Wiki マフォクシー</x:v>
      </x:c>
      <x:c r="B7" s="12" t="str">
        <x:v>https://wikiwiki.jp/poke-unite/%E3%83%9E%E3%83%95%E3%82%A9%E3%82%AF%E3%82%B7%E3%83%BC</x:v>
      </x:c>
      <x:c r="C7" s="12" t="str">
        <x:v>遠距離攻撃・技選択・高回転ユナイトの確認。</x:v>
      </x:c>
    </x:row>
    <x:row r="8">
      <x:c r="A8" s="12" t="str">
        <x:v>Wiki エンペルト</x:v>
      </x:c>
      <x:c r="B8" s="12" t="str">
        <x:v>https://wikiwiki.jp/poke-unite/%E3%82%A8%E3%83%B3%E3%83%9A%E3%83%AB%E3%83%88</x:v>
      </x:c>
      <x:c r="C8" s="12" t="str">
        <x:v>回復を伴う殴り合い、中距離対応、ゲージ管理の確認。</x:v>
      </x:c>
    </x:row>
    <x:row r="9">
      <x:c r="A9" s="12" t="str">
        <x:v>Wiki ソルガレオ</x:v>
      </x:c>
      <x:c r="B9" s="12" t="str">
        <x:v>https://wikiwiki.jp/poke-unite/%E3%82%BD%E3%83%AB%E3%82%AC%E3%83%AC%E3%82%AA</x:v>
      </x:c>
      <x:c r="C9" s="12" t="str">
        <x:v>複数CC・回復・移動手段、追撃性能の限界を確認。</x:v>
      </x:c>
    </x:row>
    <x:row r="10">
      <x:c r="A10" s="12" t="str">
        <x:v>Wiki ガブリアス</x:v>
      </x:c>
      <x:c r="B10" s="12" t="str">
        <x:v>https://wikiwiki.jp/poke-unite/%E3%82%AC%E3%83%96%E3%83%AA%E3%82%A2%E3%82%B9</x:v>
      </x:c>
      <x:c r="C10" s="12" t="str">
        <x:v>殴り合い・オブジェクト処理・晩成性を確認。</x:v>
      </x:c>
    </x:row>
    <x:row r="11">
      <x:c r="A11" s="12" t="str">
        <x:v>Wiki バンギラス</x:v>
      </x:c>
      <x:c r="B11" s="12" t="str">
        <x:v>https://wikiwiki.jp/poke-unite/%E3%83%90%E3%83%B3%E3%82%AE%E3%83%A9%E3%82%B9</x:v>
      </x:c>
      <x:c r="C11" s="12" t="str">
        <x:v>高耐久・防御/シールド無視・低機動/極晩成を確認。</x:v>
      </x:c>
    </x:row>
    <x:row r="12">
      <x:c r="A12" s="12" t="str">
        <x:v>Wiki インテレオン</x:v>
      </x:c>
      <x:c r="B12" s="12" t="str">
        <x:v>https://wikiwiki.jp/poke-unite/%E3%82%A4%E3%83%B3%E3%83%86%E3%83%AC%E3%82%AA%E3%83%B3</x:v>
      </x:c>
      <x:c r="C12" s="12" t="str">
        <x:v>ねらいうちの射程・単発火力・逃げ性能を確認。</x:v>
      </x:c>
    </x:row>
    <x:row r="13">
      <x:c r="A13" s="12" t="str">
        <x:v>Wiki ジュナイパー</x:v>
      </x:c>
      <x:c r="B13" s="12" t="str">
        <x:v>https://wikiwiki.jp/poke-unite/%E3%82%B8%E3%83%A5%E3%83%8A%E3%82%A4%E3%83%91%E3%83%BC</x:v>
      </x:c>
      <x:c r="C13" s="12" t="str">
        <x:v>長射程・対オブジェクト・低自衛を確認。</x:v>
      </x:c>
    </x:row>
    <x:row r="14">
      <x:c r="A14" s="12" t="str">
        <x:v>Wiki アブソル</x:v>
      </x:c>
      <x:c r="B14" s="12" t="str">
        <x:v>https://wikiwiki.jp/poke-unite/%E3%82%A2%E3%83%96%E3%82%BD%E3%83%AB</x:v>
      </x:c>
      <x:c r="C14" s="12" t="str">
        <x:v>奇襲・追撃・早期リード・急所依存を確認。</x:v>
      </x:c>
    </x:row>
    <x:row r="15">
      <x:c r="A15" s="12" t="str">
        <x:v>Wiki リーフィア</x:v>
      </x:c>
      <x:c r="B15" s="12" t="str">
        <x:v>https://wikiwiki.jp/poke-unite/%E3%83%AA%E3%83%BC%E3%83%95%E3%82%A3%E3%82%A2</x:v>
      </x:c>
      <x:c r="C15" s="12" t="str">
        <x:v>非常に高い序盤性能・機動・終盤失速を確認。</x:v>
      </x:c>
    </x:row>
    <x:row r="16">
      <x:c r="A16" s="12" t="str">
        <x:v>Wiki ゾロアーク</x:v>
      </x:c>
      <x:c r="B16" s="12" t="str">
        <x:v>https://wikiwiki.jp/poke-unite/%E3%82%BE%E3%83%AD%E3%82%A2%E3%83%BC%E3%82%AF</x:v>
      </x:c>
      <x:c r="C16" s="12" t="str">
        <x:v>高機動・複雑コンボ・高リスクを確認。</x:v>
      </x:c>
    </x:row>
    <x:row r="17">
      <x:c r="A17" s="12" t="str">
        <x:v>Wiki エースバーン</x:v>
      </x:c>
      <x:c r="B17" s="12" t="str">
        <x:v>https://wikiwiki.jp/poke-unite/%E3%82%A8%E3%83%BC%E3%82%B9%E3%83%90%E3%83%BC%E3%83%B3</x:v>
      </x:c>
      <x:c r="C17" s="12" t="str">
        <x:v>通常攻撃DPS・オブジェクト削り・ムーブ自衛を確認。</x:v>
      </x:c>
    </x:row>
    <x:row r="18">
      <x:c r="A18" s="12" t="str">
        <x:v>Wiki ゲッコウガ</x:v>
      </x:c>
      <x:c r="B18" s="12" t="str">
        <x:v>https://wikiwiki.jp/poke-unite/%E3%82%B2%E3%83%83%E3%82%B3%E3%82%A6%E3%82%AC</x:v>
      </x:c>
      <x:c r="C18" s="12" t="str">
        <x:v>遠近両用AA・火力切替・操作難度を確認。</x:v>
      </x:c>
    </x:row>
    <x:row r="19">
      <x:c r="A19" s="12" t="str">
        <x:v>Wiki ピクシー</x:v>
      </x:c>
      <x:c r="B19" s="12" t="str">
        <x:v>https://wikiwiki.jp/poke-unite/%E3%83%94%E3%82%AF%E3%82%B7%E3%83%BC</x:v>
      </x:c>
      <x:c r="C19" s="12" t="str">
        <x:v>集団回復・妨害・晩成支援の確認。</x:v>
      </x:c>
    </x:row>
    <x:row r="20">
      <x:c r="A20" s="12" t="str">
        <x:v>Wiki メガニウム</x:v>
      </x:c>
      <x:c r="B20" s="12" t="str">
        <x:v>https://wikiwiki.jp/poke-unite/%E3%83%A1%E3%82%AC%E3%83%8B%E3%82%A6%E3%83%A0</x:v>
      </x:c>
      <x:c r="C20" s="12" t="str">
        <x:v>高回転ユナイト・回復/妨害・持久戦の確認。</x:v>
      </x:c>
    </x:row>
    <x:row r="21">
      <x:c r="A21" s="12" t="str">
        <x:v>Wiki ラティアス</x:v>
      </x:c>
      <x:c r="B21" s="12" t="str">
        <x:v>https://wikiwiki.jp/poke-unite/%E3%83%A9%E3%83%86%E3%82%A3%E3%82%A2%E3%82%B9</x:v>
      </x:c>
      <x:c r="C21" s="12" t="str">
        <x:v>火力支援両立・高移動速度の確認。</x:v>
      </x:c>
    </x:row>
    <x:row r="22">
      <x:c r="A22" s="12" t="str">
        <x:v>Wiki バリヤード</x:v>
      </x:c>
      <x:c r="B22" s="12" t="str">
        <x:v>https://wikiwiki.jp/poke-unite/%E3%83%90%E3%83%AA%E3%83%A4%E3%83%BC%E3%83%89</x:v>
      </x:c>
      <x:c r="C22" s="12" t="str">
        <x:v>高妨害・瞬間火力・直接支援の確認。</x:v>
      </x:c>
    </x:row>
    <x:row r="23">
      <x:c r="A23" s="12" t="str">
        <x:v>Wiki ダダリン</x:v>
      </x:c>
      <x:c r="B23" s="12" t="str">
        <x:v>https://wikiwiki.jp/poke-unite/%E3%83%80%E3%83%80%E3%83%AA%E3%83%B3</x:v>
      </x:c>
      <x:c r="C23" s="12" t="str">
        <x:v>高火力・低機動の確認。</x:v>
      </x:c>
    </x:row>
    <x:row r="24">
      <x:c r="A24" s="12" t="str">
        <x:v>Wiki マッシブーン</x:v>
      </x:c>
      <x:c r="B24" s="12" t="str">
        <x:v>https://wikiwiki.jp/poke-unite/%E3%83%9E%E3%83%83%E3%82%B7%E3%83%96%E3%83%BC%E3%83%B3</x:v>
      </x:c>
      <x:c r="C24" s="12" t="str">
        <x:v>拘束・回復・ゲージ・対近接性能の確認。</x:v>
      </x:c>
    </x:row>
  </x:sheetData>
  <x:pageMargins left="0.7" right="0.7" top="0.75" bottom="0.75" header="0.3" footer="0.3"/>
  <x:tableParts count="1">
    <x:tablePart xmlns:r="http://schemas.openxmlformats.org/officeDocument/2006/relationships" r:id="R39800c00e20f453c"/>
  </x:tableParts>
</x:worksheet>
</file>

<file path=xl/worksheets/sheet8.xml><?xml version="1.0" encoding="utf-8"?>
<x:worksheet xmlns:x="http://schemas.openxmlformats.org/spreadsheetml/2006/main">
  <x:sheetFormatPr defaultRowHeight="15"/>
  <x:cols>
    <x:col min="1" max="1" width="8" hidden="0" customWidth="1"/>
    <x:col min="2" max="2" width="16" hidden="0" customWidth="1"/>
    <x:col min="3" max="3" width="52" hidden="0" customWidth="1"/>
    <x:col min="4" max="4" width="24"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27" max="27" width="11" hidden="0" customWidth="1"/>
    <x:col min="28" max="28" width="36" hidden="0" customWidth="1"/>
    <x:col min="29" max="29" width="20" hidden="0" customWidth="1"/>
    <x:col min="30" max="30" width="11" hidden="0" customWidth="1"/>
    <x:col min="31" max="31" width="10" hidden="0" customWidth="1"/>
    <x:col min="32" max="32" width="34" hidden="0" customWidth="1"/>
  </x:cols>
  <x:sheetData>
    <x:row r="1">
      <x:c r="A1" s="165" t="str">
        <x:v>診断質問30問：短く答えやすいバランスド尺度</x:v>
      </x:c>
      <x:c r="B1" s="165"/>
      <x:c r="C1" s="165"/>
      <x:c r="D1" s="165"/>
      <x:c r="E1" s="165"/>
      <x:c r="F1" s="165"/>
      <x:c r="G1" s="165"/>
      <x:c r="H1" s="165"/>
      <x:c r="I1" s="165"/>
      <x:c r="J1" s="165"/>
      <x:c r="K1" s="165"/>
      <x:c r="L1" s="165"/>
      <x:c r="M1" s="165"/>
      <x:c r="N1" s="165"/>
      <x:c r="O1" s="165"/>
      <x:c r="P1" s="165"/>
      <x:c r="Q1" s="165"/>
      <x:c r="R1" s="165"/>
      <x:c r="S1" s="165"/>
      <x:c r="T1" s="165"/>
      <x:c r="U1" s="165"/>
      <x:c r="V1" s="165"/>
      <x:c r="W1" s="165"/>
      <x:c r="X1" s="165"/>
      <x:c r="Y1" s="165"/>
      <x:c r="Z1" s="165"/>
      <x:c r="AA1" s="165"/>
      <x:c r="AB1" s="165"/>
      <x:c r="AC1" s="165"/>
      <x:c r="AD1" s="165"/>
      <x:c r="AE1" s="165"/>
      <x:c r="AF1" s="165"/>
    </x:row>
    <x:row r="2">
      <x:c r="A2" s="165"/>
      <x:c r="B2" s="165"/>
      <x:c r="C2" s="165"/>
      <x:c r="D2" s="165"/>
      <x:c r="E2" s="165"/>
      <x:c r="F2" s="165"/>
      <x:c r="G2" s="165"/>
      <x:c r="H2" s="165"/>
      <x:c r="I2" s="165"/>
      <x:c r="J2" s="165"/>
      <x:c r="K2" s="165"/>
      <x:c r="L2" s="165"/>
      <x:c r="M2" s="165"/>
      <x:c r="N2" s="165"/>
      <x:c r="O2" s="165"/>
      <x:c r="P2" s="165"/>
      <x:c r="Q2" s="165"/>
      <x:c r="R2" s="165"/>
      <x:c r="S2" s="165"/>
      <x:c r="T2" s="165"/>
      <x:c r="U2" s="165"/>
      <x:c r="V2" s="165"/>
      <x:c r="W2" s="165"/>
      <x:c r="X2" s="165"/>
      <x:c r="Y2" s="165"/>
      <x:c r="Z2" s="165"/>
      <x:c r="AA2" s="165"/>
      <x:c r="AB2" s="165"/>
      <x:c r="AC2" s="165"/>
      <x:c r="AD2" s="165"/>
      <x:c r="AE2" s="165"/>
      <x:c r="AF2" s="165"/>
    </x:row>
    <x:row r="3">
      <x:c r="A3" s="167" t="str">
        <x:v>中学生でも一読で意味が取れ、成人が読んでも幼く見えない文量を意識。30問すべてが7性格軸に寄与し、Q21〜Q30だけ弱いプレイ補助信号にも利用します。</x:v>
      </x:c>
      <x:c r="B3" s="167"/>
      <x:c r="C3" s="167"/>
      <x:c r="D3" s="167"/>
      <x:c r="E3" s="167"/>
      <x:c r="F3" s="167"/>
      <x:c r="G3" s="167"/>
      <x:c r="H3" s="167"/>
      <x:c r="I3" s="167"/>
      <x:c r="J3" s="167"/>
      <x:c r="K3" s="167"/>
      <x:c r="L3" s="167"/>
      <x:c r="M3" s="167"/>
      <x:c r="N3" s="167"/>
      <x:c r="O3" s="167"/>
      <x:c r="P3" s="167"/>
      <x:c r="Q3" s="167"/>
      <x:c r="R3" s="167"/>
      <x:c r="S3" s="167"/>
      <x:c r="T3" s="167"/>
      <x:c r="U3" s="167"/>
      <x:c r="V3" s="167"/>
      <x:c r="W3" s="167"/>
      <x:c r="X3" s="167"/>
      <x:c r="Y3" s="167"/>
      <x:c r="Z3" s="167"/>
      <x:c r="AA3" s="167"/>
      <x:c r="AB3" s="167"/>
      <x:c r="AC3" s="167"/>
      <x:c r="AD3" s="167"/>
      <x:c r="AE3" s="167"/>
      <x:c r="AF3" s="167"/>
    </x:row>
    <x:row r="5">
      <x:c r="A5" s="162" t="str">
        <x:v>QID</x:v>
      </x:c>
      <x:c r="B5" s="162" t="str">
        <x:v>区分</x:v>
      </x:c>
      <x:c r="C5" s="162" t="str">
        <x:v>質問文</x:v>
      </x:c>
      <x:c r="D5" s="162" t="str">
        <x:v>主な測定対象</x:v>
      </x:c>
      <x:c r="E5" s="162" t="str">
        <x:v>備考</x:v>
      </x:c>
      <x:c r="F5" s="171" t="str">
        <x:v>Initiative</x:v>
      </x:c>
      <x:c r="G5" s="171" t="str">
        <x:v>RiskTolerance</x:v>
      </x:c>
      <x:c r="H5" s="171" t="str">
        <x:v>Cooperation</x:v>
      </x:c>
      <x:c r="I5" s="171" t="str">
        <x:v>SelfReliance</x:v>
      </x:c>
      <x:c r="J5" s="171" t="str">
        <x:v>Planning</x:v>
      </x:c>
      <x:c r="K5" s="171" t="str">
        <x:v>Adaptability</x:v>
      </x:c>
      <x:c r="L5" s="171" t="str">
        <x:v>Mastery</x:v>
      </x:c>
      <x:c r="M5" s="172" t="str">
        <x:v>Engage</x:v>
      </x:c>
      <x:c r="N5" s="172" t="str">
        <x:v>Dive</x:v>
      </x:c>
      <x:c r="O5" s="172" t="str">
        <x:v>Peel</x:v>
      </x:c>
      <x:c r="P5" s="172" t="str">
        <x:v>Frontline</x:v>
      </x:c>
      <x:c r="Q5" s="172" t="str">
        <x:v>Poke</x:v>
      </x:c>
      <x:c r="R5" s="172" t="str">
        <x:v>FightTempo</x:v>
      </x:c>
      <x:c r="S5" s="172" t="str">
        <x:v>Control</x:v>
      </x:c>
      <x:c r="T5" s="172" t="str">
        <x:v>Support</x:v>
      </x:c>
      <x:c r="U5" s="172" t="str">
        <x:v>Mobility</x:v>
      </x:c>
      <x:c r="V5" s="172" t="str">
        <x:v>SelfSufficiency</x:v>
      </x:c>
      <x:c r="W5" s="172" t="str">
        <x:v>FarmScaling</x:v>
      </x:c>
      <x:c r="X5" s="172" t="str">
        <x:v>ObjectiveSecure</x:v>
      </x:c>
      <x:c r="Y5" s="172" t="str">
        <x:v>ScoringSide</x:v>
      </x:c>
      <x:c r="Z5" s="172" t="str">
        <x:v>Execution</x:v>
      </x:c>
      <x:c r="AA5" s="172" t="str">
        <x:v>Decision</x:v>
      </x:c>
      <x:c r="AB5" s="173" t="str">
        <x:v>設計意図</x:v>
      </x:c>
      <x:c r="AC5" s="173" t="str">
        <x:v>ConstructCode</x:v>
      </x:c>
      <x:c r="AD5" s="173" t="str">
        <x:v>Keying</x:v>
      </x:c>
      <x:c r="AE5" s="173" t="str">
        <x:v>PairID</x:v>
      </x:c>
      <x:c r="AF5" s="173" t="str">
        <x:v>PsychometricNote</x:v>
      </x:c>
    </x:row>
    <x:row r="6">
      <x:c r="A6" s="12" t="str">
        <x:v>Q01</x:v>
      </x:c>
      <x:c r="B6" s="12" t="str">
        <x:v>性格・行動傾向</x:v>
      </x:c>
      <x:c r="C6" s="12" t="str">
        <x:v>みんなで何か決めるとき、案が出なければ自分から候補を出す。</x:v>
      </x:c>
      <x:c r="D6" s="12" t="str">
        <x:v>Initiative</x:v>
      </x:c>
      <x:c r="E6" s="12" t="str">
        <x:v>正方向</x:v>
      </x:c>
      <x:c r="F6" s="57" t="n">
        <x:v>0.9</x:v>
      </x:c>
      <x:c r="G6" s="57" t="n">
        <x:v>0</x:v>
      </x:c>
      <x:c r="H6" s="57" t="n">
        <x:v>0</x:v>
      </x:c>
      <x:c r="I6" s="57" t="n">
        <x:v>0</x:v>
      </x:c>
      <x:c r="J6" s="57" t="n">
        <x:v>0</x:v>
      </x:c>
      <x:c r="K6" s="57" t="n">
        <x:v>0</x:v>
      </x:c>
      <x:c r="L6" s="57" t="n">
        <x:v>0</x:v>
      </x:c>
      <x:c r="M6" s="57" t="n">
        <x:v>0</x:v>
      </x:c>
      <x:c r="N6" s="57" t="n">
        <x:v>0</x:v>
      </x:c>
      <x:c r="O6" s="57" t="n">
        <x:v>0</x:v>
      </x:c>
      <x:c r="P6" s="57" t="n">
        <x:v>0</x:v>
      </x:c>
      <x:c r="Q6" s="57" t="n">
        <x:v>0</x:v>
      </x:c>
      <x:c r="R6" s="57" t="n">
        <x:v>0</x:v>
      </x:c>
      <x:c r="S6" s="57" t="n">
        <x:v>0</x:v>
      </x:c>
      <x:c r="T6" s="57" t="n">
        <x:v>0</x:v>
      </x:c>
      <x:c r="U6" s="57" t="n">
        <x:v>0</x:v>
      </x:c>
      <x:c r="V6" s="57" t="n">
        <x:v>0</x:v>
      </x:c>
      <x:c r="W6" s="57" t="n">
        <x:v>0</x:v>
      </x:c>
      <x:c r="X6" s="57" t="n">
        <x:v>0</x:v>
      </x:c>
      <x:c r="Y6" s="57" t="n">
        <x:v>0</x:v>
      </x:c>
      <x:c r="Z6" s="57" t="n">
        <x:v>0</x:v>
      </x:c>
      <x:c r="AA6" s="57" t="n">
        <x:v>0</x:v>
      </x:c>
      <x:c r="AB6" s="12" t="str">
        <x:v>構成概念の高い側を、日常の選択として測定。</x:v>
      </x:c>
      <x:c r="AC6" s="12" t="str">
        <x:v>Initiative</x:v>
      </x:c>
      <x:c r="AD6" s="12" t="str">
        <x:v>正方向</x:v>
      </x:c>
      <x:c r="AE6" s="12" t="str">
        <x:v>I-A</x:v>
      </x:c>
      <x:c r="AF6" s="12" t="str">
        <x:v>短文・一文一概念・価値中立</x:v>
      </x:c>
    </x:row>
    <x:row r="7">
      <x:c r="A7" s="12" t="str">
        <x:v>Q02</x:v>
      </x:c>
      <x:c r="B7" s="12" t="str">
        <x:v>性格・行動傾向</x:v>
      </x:c>
      <x:c r="C7" s="12" t="str">
        <x:v>出かける予定などは、その場で決めるより前もって決めておきたい。</x:v>
      </x:c>
      <x:c r="D7" s="12" t="str">
        <x:v>Planning</x:v>
      </x:c>
      <x:c r="E7" s="12" t="str">
        <x:v>正方向</x:v>
      </x:c>
      <x:c r="F7" s="57" t="n">
        <x:v>0</x:v>
      </x:c>
      <x:c r="G7" s="57" t="n">
        <x:v>0</x:v>
      </x:c>
      <x:c r="H7" s="57" t="n">
        <x:v>0</x:v>
      </x:c>
      <x:c r="I7" s="57" t="n">
        <x:v>0</x:v>
      </x:c>
      <x:c r="J7" s="57" t="n">
        <x:v>0.9</x:v>
      </x:c>
      <x:c r="K7" s="57" t="n">
        <x:v>0</x:v>
      </x:c>
      <x:c r="L7" s="57" t="n">
        <x:v>0</x:v>
      </x:c>
      <x:c r="M7" s="57" t="n">
        <x:v>0</x:v>
      </x:c>
      <x:c r="N7" s="57" t="n">
        <x:v>0</x:v>
      </x:c>
      <x:c r="O7" s="57" t="n">
        <x:v>0</x:v>
      </x:c>
      <x:c r="P7" s="57" t="n">
        <x:v>0</x:v>
      </x:c>
      <x:c r="Q7" s="57" t="n">
        <x:v>0</x:v>
      </x:c>
      <x:c r="R7" s="57" t="n">
        <x:v>0</x:v>
      </x:c>
      <x:c r="S7" s="57" t="n">
        <x:v>0</x:v>
      </x:c>
      <x:c r="T7" s="57" t="n">
        <x:v>0</x:v>
      </x:c>
      <x:c r="U7" s="57" t="n">
        <x:v>0</x:v>
      </x:c>
      <x:c r="V7" s="57" t="n">
        <x:v>0</x:v>
      </x:c>
      <x:c r="W7" s="57" t="n">
        <x:v>0</x:v>
      </x:c>
      <x:c r="X7" s="57" t="n">
        <x:v>0</x:v>
      </x:c>
      <x:c r="Y7" s="57" t="n">
        <x:v>0</x:v>
      </x:c>
      <x:c r="Z7" s="57" t="n">
        <x:v>0</x:v>
      </x:c>
      <x:c r="AA7" s="57" t="n">
        <x:v>0</x:v>
      </x:c>
      <x:c r="AB7" s="12" t="str">
        <x:v>構成概念の高い側を、日常の選択として測定。</x:v>
      </x:c>
      <x:c r="AC7" s="12" t="str">
        <x:v>Planning</x:v>
      </x:c>
      <x:c r="AD7" s="12" t="str">
        <x:v>正方向</x:v>
      </x:c>
      <x:c r="AE7" s="12" t="str">
        <x:v>P-A</x:v>
      </x:c>
      <x:c r="AF7" s="12" t="str">
        <x:v>短文・一文一概念・価値中立</x:v>
      </x:c>
    </x:row>
    <x:row r="8">
      <x:c r="A8" s="12" t="str">
        <x:v>Q03</x:v>
      </x:c>
      <x:c r="B8" s="12" t="str">
        <x:v>性格・行動傾向</x:v>
      </x:c>
      <x:c r="C8" s="12" t="str">
        <x:v>迷ったとき、失敗してもやり直せるなら、とりあえず試す方だ。</x:v>
      </x:c>
      <x:c r="D8" s="12" t="str">
        <x:v>RiskTolerance</x:v>
      </x:c>
      <x:c r="E8" s="12" t="str">
        <x:v>正方向</x:v>
      </x:c>
      <x:c r="F8" s="57" t="n">
        <x:v>0.1</x:v>
      </x:c>
      <x:c r="G8" s="57" t="n">
        <x:v>0.9</x:v>
      </x:c>
      <x:c r="H8" s="57" t="n">
        <x:v>0</x:v>
      </x:c>
      <x:c r="I8" s="57" t="n">
        <x:v>0</x:v>
      </x:c>
      <x:c r="J8" s="57" t="n">
        <x:v>0</x:v>
      </x:c>
      <x:c r="K8" s="57" t="n">
        <x:v>0</x:v>
      </x:c>
      <x:c r="L8" s="57" t="n">
        <x:v>0</x:v>
      </x:c>
      <x:c r="M8" s="57" t="n">
        <x:v>0</x:v>
      </x:c>
      <x:c r="N8" s="57" t="n">
        <x:v>0</x:v>
      </x:c>
      <x:c r="O8" s="57" t="n">
        <x:v>0</x:v>
      </x:c>
      <x:c r="P8" s="57" t="n">
        <x:v>0</x:v>
      </x:c>
      <x:c r="Q8" s="57" t="n">
        <x:v>0</x:v>
      </x:c>
      <x:c r="R8" s="57" t="n">
        <x:v>0</x:v>
      </x:c>
      <x:c r="S8" s="57" t="n">
        <x:v>0</x:v>
      </x:c>
      <x:c r="T8" s="57" t="n">
        <x:v>0</x:v>
      </x:c>
      <x:c r="U8" s="57" t="n">
        <x:v>0</x:v>
      </x:c>
      <x:c r="V8" s="57" t="n">
        <x:v>0</x:v>
      </x:c>
      <x:c r="W8" s="57" t="n">
        <x:v>0</x:v>
      </x:c>
      <x:c r="X8" s="57" t="n">
        <x:v>0</x:v>
      </x:c>
      <x:c r="Y8" s="57" t="n">
        <x:v>0</x:v>
      </x:c>
      <x:c r="Z8" s="57" t="n">
        <x:v>0</x:v>
      </x:c>
      <x:c r="AA8" s="57" t="n">
        <x:v>0</x:v>
      </x:c>
      <x:c r="AB8" s="12" t="str">
        <x:v>構成概念の高い側を、日常の選択として測定。</x:v>
      </x:c>
      <x:c r="AC8" s="12" t="str">
        <x:v>RiskTolerance</x:v>
      </x:c>
      <x:c r="AD8" s="12" t="str">
        <x:v>正方向</x:v>
      </x:c>
      <x:c r="AE8" s="12" t="str">
        <x:v>R-A</x:v>
      </x:c>
      <x:c r="AF8" s="12" t="str">
        <x:v>短文・一文一概念・価値中立</x:v>
      </x:c>
    </x:row>
    <x:row r="9">
      <x:c r="A9" s="12" t="str">
        <x:v>Q04</x:v>
      </x:c>
      <x:c r="B9" s="12" t="str">
        <x:v>性格・行動傾向</x:v>
      </x:c>
      <x:c r="C9" s="12" t="str">
        <x:v>みんなで動くときは、自分のペースより周りに合わせることが多い。</x:v>
      </x:c>
      <x:c r="D9" s="12" t="str">
        <x:v>Cooperation</x:v>
      </x:c>
      <x:c r="E9" s="12" t="str">
        <x:v>正方向</x:v>
      </x:c>
      <x:c r="F9" s="57" t="n">
        <x:v>0</x:v>
      </x:c>
      <x:c r="G9" s="57" t="n">
        <x:v>0</x:v>
      </x:c>
      <x:c r="H9" s="57" t="n">
        <x:v>0.9</x:v>
      </x:c>
      <x:c r="I9" s="57" t="n">
        <x:v>0</x:v>
      </x:c>
      <x:c r="J9" s="57" t="n">
        <x:v>0</x:v>
      </x:c>
      <x:c r="K9" s="57" t="n">
        <x:v>0.1</x:v>
      </x:c>
      <x:c r="L9" s="57" t="n">
        <x:v>0</x:v>
      </x:c>
      <x:c r="M9" s="57" t="n">
        <x:v>0</x:v>
      </x:c>
      <x:c r="N9" s="57" t="n">
        <x:v>0</x:v>
      </x:c>
      <x:c r="O9" s="57" t="n">
        <x:v>0</x:v>
      </x:c>
      <x:c r="P9" s="57" t="n">
        <x:v>0</x:v>
      </x:c>
      <x:c r="Q9" s="57" t="n">
        <x:v>0</x:v>
      </x:c>
      <x:c r="R9" s="57" t="n">
        <x:v>0</x:v>
      </x:c>
      <x:c r="S9" s="57" t="n">
        <x:v>0</x:v>
      </x:c>
      <x:c r="T9" s="57" t="n">
        <x:v>0</x:v>
      </x:c>
      <x:c r="U9" s="57" t="n">
        <x:v>0</x:v>
      </x:c>
      <x:c r="V9" s="57" t="n">
        <x:v>0</x:v>
      </x:c>
      <x:c r="W9" s="57" t="n">
        <x:v>0</x:v>
      </x:c>
      <x:c r="X9" s="57" t="n">
        <x:v>0</x:v>
      </x:c>
      <x:c r="Y9" s="57" t="n">
        <x:v>0</x:v>
      </x:c>
      <x:c r="Z9" s="57" t="n">
        <x:v>0</x:v>
      </x:c>
      <x:c r="AA9" s="57" t="n">
        <x:v>0</x:v>
      </x:c>
      <x:c r="AB9" s="12" t="str">
        <x:v>構成概念の高い側を、日常の選択として測定。</x:v>
      </x:c>
      <x:c r="AC9" s="12" t="str">
        <x:v>Cooperation</x:v>
      </x:c>
      <x:c r="AD9" s="12" t="str">
        <x:v>正方向</x:v>
      </x:c>
      <x:c r="AE9" s="12" t="str">
        <x:v>C-A</x:v>
      </x:c>
      <x:c r="AF9" s="12" t="str">
        <x:v>短文・一文一概念・価値中立</x:v>
      </x:c>
    </x:row>
    <x:row r="10">
      <x:c r="A10" s="12" t="str">
        <x:v>Q05</x:v>
      </x:c>
      <x:c r="B10" s="12" t="str">
        <x:v>性格・行動傾向</x:v>
      </x:c>
      <x:c r="C10" s="12" t="str">
        <x:v>困ったときは、まず自分で試してから誰かに聞く。</x:v>
      </x:c>
      <x:c r="D10" s="12" t="str">
        <x:v>SelfReliance</x:v>
      </x:c>
      <x:c r="E10" s="12" t="str">
        <x:v>正方向</x:v>
      </x:c>
      <x:c r="F10" s="57" t="n">
        <x:v>0</x:v>
      </x:c>
      <x:c r="G10" s="57" t="n">
        <x:v>0</x:v>
      </x:c>
      <x:c r="H10" s="57" t="n">
        <x:v>0</x:v>
      </x:c>
      <x:c r="I10" s="57" t="n">
        <x:v>0.9</x:v>
      </x:c>
      <x:c r="J10" s="57" t="n">
        <x:v>0</x:v>
      </x:c>
      <x:c r="K10" s="57" t="n">
        <x:v>0</x:v>
      </x:c>
      <x:c r="L10" s="57" t="n">
        <x:v>0</x:v>
      </x:c>
      <x:c r="M10" s="57" t="n">
        <x:v>0</x:v>
      </x:c>
      <x:c r="N10" s="57" t="n">
        <x:v>0</x:v>
      </x:c>
      <x:c r="O10" s="57" t="n">
        <x:v>0</x:v>
      </x:c>
      <x:c r="P10" s="57" t="n">
        <x:v>0</x:v>
      </x:c>
      <x:c r="Q10" s="57" t="n">
        <x:v>0</x:v>
      </x:c>
      <x:c r="R10" s="57" t="n">
        <x:v>0</x:v>
      </x:c>
      <x:c r="S10" s="57" t="n">
        <x:v>0</x:v>
      </x:c>
      <x:c r="T10" s="57" t="n">
        <x:v>0</x:v>
      </x:c>
      <x:c r="U10" s="57" t="n">
        <x:v>0</x:v>
      </x:c>
      <x:c r="V10" s="57" t="n">
        <x:v>0</x:v>
      </x:c>
      <x:c r="W10" s="57" t="n">
        <x:v>0</x:v>
      </x:c>
      <x:c r="X10" s="57" t="n">
        <x:v>0</x:v>
      </x:c>
      <x:c r="Y10" s="57" t="n">
        <x:v>0</x:v>
      </x:c>
      <x:c r="Z10" s="57" t="n">
        <x:v>0</x:v>
      </x:c>
      <x:c r="AA10" s="57" t="n">
        <x:v>0</x:v>
      </x:c>
      <x:c r="AB10" s="12" t="str">
        <x:v>構成概念の高い側を、日常の選択として測定。</x:v>
      </x:c>
      <x:c r="AC10" s="12" t="str">
        <x:v>SelfReliance</x:v>
      </x:c>
      <x:c r="AD10" s="12" t="str">
        <x:v>正方向</x:v>
      </x:c>
      <x:c r="AE10" s="12" t="str">
        <x:v>S-A</x:v>
      </x:c>
      <x:c r="AF10" s="12" t="str">
        <x:v>短文・一文一概念・価値中立</x:v>
      </x:c>
    </x:row>
    <x:row r="11">
      <x:c r="A11" s="12" t="str">
        <x:v>Q06</x:v>
      </x:c>
      <x:c r="B11" s="12" t="str">
        <x:v>性格・行動傾向</x:v>
      </x:c>
      <x:c r="C11" s="12" t="str">
        <x:v>うまくいったやり方は、状況が少し変わってもそのまま使いたい。</x:v>
      </x:c>
      <x:c r="D11" s="12" t="str">
        <x:v>Adaptability</x:v>
      </x:c>
      <x:c r="E11" s="12" t="str">
        <x:v>反対極</x:v>
      </x:c>
      <x:c r="F11" s="57" t="n">
        <x:v>0</x:v>
      </x:c>
      <x:c r="G11" s="57" t="n">
        <x:v>0</x:v>
      </x:c>
      <x:c r="H11" s="57" t="n">
        <x:v>0</x:v>
      </x:c>
      <x:c r="I11" s="57" t="n">
        <x:v>0</x:v>
      </x:c>
      <x:c r="J11" s="57" t="n">
        <x:v>0.1</x:v>
      </x:c>
      <x:c r="K11" s="57" t="n">
        <x:v>-0.9</x:v>
      </x:c>
      <x:c r="L11" s="57" t="n">
        <x:v>0.1</x:v>
      </x:c>
      <x:c r="M11" s="57" t="n">
        <x:v>0</x:v>
      </x:c>
      <x:c r="N11" s="57" t="n">
        <x:v>0</x:v>
      </x:c>
      <x:c r="O11" s="57" t="n">
        <x:v>0</x:v>
      </x:c>
      <x:c r="P11" s="57" t="n">
        <x:v>0</x:v>
      </x:c>
      <x:c r="Q11" s="57" t="n">
        <x:v>0</x:v>
      </x:c>
      <x:c r="R11" s="57" t="n">
        <x:v>0</x:v>
      </x:c>
      <x:c r="S11" s="57" t="n">
        <x:v>0</x:v>
      </x:c>
      <x:c r="T11" s="57" t="n">
        <x:v>0</x:v>
      </x:c>
      <x:c r="U11" s="57" t="n">
        <x:v>0</x:v>
      </x:c>
      <x:c r="V11" s="57" t="n">
        <x:v>0</x:v>
      </x:c>
      <x:c r="W11" s="57" t="n">
        <x:v>0</x:v>
      </x:c>
      <x:c r="X11" s="57" t="n">
        <x:v>0</x:v>
      </x:c>
      <x:c r="Y11" s="57" t="n">
        <x:v>0</x:v>
      </x:c>
      <x:c r="Z11" s="57" t="n">
        <x:v>0</x:v>
      </x:c>
      <x:c r="AA11" s="57" t="n">
        <x:v>0</x:v>
      </x:c>
      <x:c r="AB11" s="12" t="str">
        <x:v>反対側の行動を自然な肯定文で測定。</x:v>
      </x:c>
      <x:c r="AC11" s="12" t="str">
        <x:v>Adaptability</x:v>
      </x:c>
      <x:c r="AD11" s="12" t="str">
        <x:v>反対極</x:v>
      </x:c>
      <x:c r="AE11" s="12" t="str">
        <x:v>A-A</x:v>
      </x:c>
      <x:c r="AF11" s="12" t="str">
        <x:v>短文・一文一概念・価値中立</x:v>
      </x:c>
    </x:row>
    <x:row r="12">
      <x:c r="A12" s="12" t="str">
        <x:v>Q07</x:v>
      </x:c>
      <x:c r="B12" s="12" t="str">
        <x:v>性格・行動傾向</x:v>
      </x:c>
      <x:c r="C12" s="12" t="str">
        <x:v>一度ハマったことは、コツや細かい違いまで知りたくなる。</x:v>
      </x:c>
      <x:c r="D12" s="12" t="str">
        <x:v>Mastery</x:v>
      </x:c>
      <x:c r="E12" s="12" t="str">
        <x:v>正方向</x:v>
      </x:c>
      <x:c r="F12" s="57" t="n">
        <x:v>0</x:v>
      </x:c>
      <x:c r="G12" s="57" t="n">
        <x:v>0</x:v>
      </x:c>
      <x:c r="H12" s="57" t="n">
        <x:v>0</x:v>
      </x:c>
      <x:c r="I12" s="57" t="n">
        <x:v>0</x:v>
      </x:c>
      <x:c r="J12" s="57" t="n">
        <x:v>0.1</x:v>
      </x:c>
      <x:c r="K12" s="57" t="n">
        <x:v>0</x:v>
      </x:c>
      <x:c r="L12" s="57" t="n">
        <x:v>0.9</x:v>
      </x:c>
      <x:c r="M12" s="57" t="n">
        <x:v>0</x:v>
      </x:c>
      <x:c r="N12" s="57" t="n">
        <x:v>0</x:v>
      </x:c>
      <x:c r="O12" s="57" t="n">
        <x:v>0</x:v>
      </x:c>
      <x:c r="P12" s="57" t="n">
        <x:v>0</x:v>
      </x:c>
      <x:c r="Q12" s="57" t="n">
        <x:v>0</x:v>
      </x:c>
      <x:c r="R12" s="57" t="n">
        <x:v>0</x:v>
      </x:c>
      <x:c r="S12" s="57" t="n">
        <x:v>0</x:v>
      </x:c>
      <x:c r="T12" s="57" t="n">
        <x:v>0</x:v>
      </x:c>
      <x:c r="U12" s="57" t="n">
        <x:v>0</x:v>
      </x:c>
      <x:c r="V12" s="57" t="n">
        <x:v>0</x:v>
      </x:c>
      <x:c r="W12" s="57" t="n">
        <x:v>0</x:v>
      </x:c>
      <x:c r="X12" s="57" t="n">
        <x:v>0</x:v>
      </x:c>
      <x:c r="Y12" s="57" t="n">
        <x:v>0</x:v>
      </x:c>
      <x:c r="Z12" s="57" t="n">
        <x:v>0</x:v>
      </x:c>
      <x:c r="AA12" s="57" t="n">
        <x:v>0</x:v>
      </x:c>
      <x:c r="AB12" s="12" t="str">
        <x:v>構成概念の高い側を、日常の選択として測定。</x:v>
      </x:c>
      <x:c r="AC12" s="12" t="str">
        <x:v>Mastery</x:v>
      </x:c>
      <x:c r="AD12" s="12" t="str">
        <x:v>正方向</x:v>
      </x:c>
      <x:c r="AE12" s="12" t="str">
        <x:v>M-A</x:v>
      </x:c>
      <x:c r="AF12" s="12" t="str">
        <x:v>短文・一文一概念・価値中立</x:v>
      </x:c>
    </x:row>
    <x:row r="13">
      <x:c r="A13" s="12" t="str">
        <x:v>Q08</x:v>
      </x:c>
      <x:c r="B13" s="12" t="str">
        <x:v>性格・行動傾向</x:v>
      </x:c>
      <x:c r="C13" s="12" t="str">
        <x:v>誰かが決めてくれるなら、自分から前に出なくても気にならない。</x:v>
      </x:c>
      <x:c r="D13" s="12" t="str">
        <x:v>Initiative</x:v>
      </x:c>
      <x:c r="E13" s="12" t="str">
        <x:v>反対極</x:v>
      </x:c>
      <x:c r="F13" s="57" t="n">
        <x:v>-0.9</x:v>
      </x:c>
      <x:c r="G13" s="57" t="n">
        <x:v>0</x:v>
      </x:c>
      <x:c r="H13" s="57" t="n">
        <x:v>0</x:v>
      </x:c>
      <x:c r="I13" s="57" t="n">
        <x:v>0</x:v>
      </x:c>
      <x:c r="J13" s="57" t="n">
        <x:v>0</x:v>
      </x:c>
      <x:c r="K13" s="57" t="n">
        <x:v>0</x:v>
      </x:c>
      <x:c r="L13" s="57" t="n">
        <x:v>0</x:v>
      </x:c>
      <x:c r="M13" s="57" t="n">
        <x:v>0</x:v>
      </x:c>
      <x:c r="N13" s="57" t="n">
        <x:v>0</x:v>
      </x:c>
      <x:c r="O13" s="57" t="n">
        <x:v>0</x:v>
      </x:c>
      <x:c r="P13" s="57" t="n">
        <x:v>0</x:v>
      </x:c>
      <x:c r="Q13" s="57" t="n">
        <x:v>0</x:v>
      </x:c>
      <x:c r="R13" s="57" t="n">
        <x:v>0</x:v>
      </x:c>
      <x:c r="S13" s="57" t="n">
        <x:v>0</x:v>
      </x:c>
      <x:c r="T13" s="57" t="n">
        <x:v>0</x:v>
      </x:c>
      <x:c r="U13" s="57" t="n">
        <x:v>0</x:v>
      </x:c>
      <x:c r="V13" s="57" t="n">
        <x:v>0</x:v>
      </x:c>
      <x:c r="W13" s="57" t="n">
        <x:v>0</x:v>
      </x:c>
      <x:c r="X13" s="57" t="n">
        <x:v>0</x:v>
      </x:c>
      <x:c r="Y13" s="57" t="n">
        <x:v>0</x:v>
      </x:c>
      <x:c r="Z13" s="57" t="n">
        <x:v>0</x:v>
      </x:c>
      <x:c r="AA13" s="57" t="n">
        <x:v>0</x:v>
      </x:c>
      <x:c r="AB13" s="12" t="str">
        <x:v>反対側の行動を自然な肯定文で測定。</x:v>
      </x:c>
      <x:c r="AC13" s="12" t="str">
        <x:v>Initiative</x:v>
      </x:c>
      <x:c r="AD13" s="12" t="str">
        <x:v>反対極</x:v>
      </x:c>
      <x:c r="AE13" s="12" t="str">
        <x:v>I-A</x:v>
      </x:c>
      <x:c r="AF13" s="12" t="str">
        <x:v>短文・一文一概念・価値中立</x:v>
      </x:c>
    </x:row>
    <x:row r="14">
      <x:c r="A14" s="12" t="str">
        <x:v>Q09</x:v>
      </x:c>
      <x:c r="B14" s="12" t="str">
        <x:v>性格・行動傾向</x:v>
      </x:c>
      <x:c r="C14" s="12" t="str">
        <x:v>迷うくらいなら、少し得を逃しても安全な方を選ぶ。</x:v>
      </x:c>
      <x:c r="D14" s="12" t="str">
        <x:v>RiskTolerance</x:v>
      </x:c>
      <x:c r="E14" s="12" t="str">
        <x:v>反対極</x:v>
      </x:c>
      <x:c r="F14" s="57" t="n">
        <x:v>0</x:v>
      </x:c>
      <x:c r="G14" s="57" t="n">
        <x:v>-0.9</x:v>
      </x:c>
      <x:c r="H14" s="57" t="n">
        <x:v>0</x:v>
      </x:c>
      <x:c r="I14" s="57" t="n">
        <x:v>0</x:v>
      </x:c>
      <x:c r="J14" s="57" t="n">
        <x:v>0.1</x:v>
      </x:c>
      <x:c r="K14" s="57" t="n">
        <x:v>0</x:v>
      </x:c>
      <x:c r="L14" s="57" t="n">
        <x:v>0</x:v>
      </x:c>
      <x:c r="M14" s="57" t="n">
        <x:v>0</x:v>
      </x:c>
      <x:c r="N14" s="57" t="n">
        <x:v>0</x:v>
      </x:c>
      <x:c r="O14" s="57" t="n">
        <x:v>0</x:v>
      </x:c>
      <x:c r="P14" s="57" t="n">
        <x:v>0</x:v>
      </x:c>
      <x:c r="Q14" s="57" t="n">
        <x:v>0</x:v>
      </x:c>
      <x:c r="R14" s="57" t="n">
        <x:v>0</x:v>
      </x:c>
      <x:c r="S14" s="57" t="n">
        <x:v>0</x:v>
      </x:c>
      <x:c r="T14" s="57" t="n">
        <x:v>0</x:v>
      </x:c>
      <x:c r="U14" s="57" t="n">
        <x:v>0</x:v>
      </x:c>
      <x:c r="V14" s="57" t="n">
        <x:v>0</x:v>
      </x:c>
      <x:c r="W14" s="57" t="n">
        <x:v>0</x:v>
      </x:c>
      <x:c r="X14" s="57" t="n">
        <x:v>0</x:v>
      </x:c>
      <x:c r="Y14" s="57" t="n">
        <x:v>0</x:v>
      </x:c>
      <x:c r="Z14" s="57" t="n">
        <x:v>0</x:v>
      </x:c>
      <x:c r="AA14" s="57" t="n">
        <x:v>0</x:v>
      </x:c>
      <x:c r="AB14" s="12" t="str">
        <x:v>反対側の行動を自然な肯定文で測定。</x:v>
      </x:c>
      <x:c r="AC14" s="12" t="str">
        <x:v>RiskTolerance</x:v>
      </x:c>
      <x:c r="AD14" s="12" t="str">
        <x:v>反対極</x:v>
      </x:c>
      <x:c r="AE14" s="12" t="str">
        <x:v>R-A</x:v>
      </x:c>
      <x:c r="AF14" s="12" t="str">
        <x:v>短文・一文一概念・価値中立</x:v>
      </x:c>
    </x:row>
    <x:row r="15">
      <x:c r="A15" s="12" t="str">
        <x:v>Q10</x:v>
      </x:c>
      <x:c r="B15" s="12" t="str">
        <x:v>性格・行動傾向</x:v>
      </x:c>
      <x:c r="C15" s="12" t="str">
        <x:v>細かく予定を決めるより、まず始めてから考える方が楽だ。</x:v>
      </x:c>
      <x:c r="D15" s="12" t="str">
        <x:v>Planning</x:v>
      </x:c>
      <x:c r="E15" s="12" t="str">
        <x:v>反対極</x:v>
      </x:c>
      <x:c r="F15" s="57" t="n">
        <x:v>0.1</x:v>
      </x:c>
      <x:c r="G15" s="57" t="n">
        <x:v>0</x:v>
      </x:c>
      <x:c r="H15" s="57" t="n">
        <x:v>0</x:v>
      </x:c>
      <x:c r="I15" s="57" t="n">
        <x:v>0</x:v>
      </x:c>
      <x:c r="J15" s="57" t="n">
        <x:v>-0.9</x:v>
      </x:c>
      <x:c r="K15" s="57" t="n">
        <x:v>0</x:v>
      </x:c>
      <x:c r="L15" s="57" t="n">
        <x:v>0</x:v>
      </x:c>
      <x:c r="M15" s="57" t="n">
        <x:v>0</x:v>
      </x:c>
      <x:c r="N15" s="57" t="n">
        <x:v>0</x:v>
      </x:c>
      <x:c r="O15" s="57" t="n">
        <x:v>0</x:v>
      </x:c>
      <x:c r="P15" s="57" t="n">
        <x:v>0</x:v>
      </x:c>
      <x:c r="Q15" s="57" t="n">
        <x:v>0</x:v>
      </x:c>
      <x:c r="R15" s="57" t="n">
        <x:v>0</x:v>
      </x:c>
      <x:c r="S15" s="57" t="n">
        <x:v>0</x:v>
      </x:c>
      <x:c r="T15" s="57" t="n">
        <x:v>0</x:v>
      </x:c>
      <x:c r="U15" s="57" t="n">
        <x:v>0</x:v>
      </x:c>
      <x:c r="V15" s="57" t="n">
        <x:v>0</x:v>
      </x:c>
      <x:c r="W15" s="57" t="n">
        <x:v>0</x:v>
      </x:c>
      <x:c r="X15" s="57" t="n">
        <x:v>0</x:v>
      </x:c>
      <x:c r="Y15" s="57" t="n">
        <x:v>0</x:v>
      </x:c>
      <x:c r="Z15" s="57" t="n">
        <x:v>0</x:v>
      </x:c>
      <x:c r="AA15" s="57" t="n">
        <x:v>0</x:v>
      </x:c>
      <x:c r="AB15" s="12" t="str">
        <x:v>反対側の行動を自然な肯定文で測定。</x:v>
      </x:c>
      <x:c r="AC15" s="12" t="str">
        <x:v>Planning</x:v>
      </x:c>
      <x:c r="AD15" s="12" t="str">
        <x:v>反対極</x:v>
      </x:c>
      <x:c r="AE15" s="12" t="str">
        <x:v>P-A</x:v>
      </x:c>
      <x:c r="AF15" s="12" t="str">
        <x:v>短文・一文一概念・価値中立</x:v>
      </x:c>
    </x:row>
    <x:row r="16">
      <x:c r="A16" s="12" t="str">
        <x:v>Q11</x:v>
      </x:c>
      <x:c r="B16" s="12" t="str">
        <x:v>性格・行動傾向</x:v>
      </x:c>
      <x:c r="C16" s="12" t="str">
        <x:v>役割が決まっていれば、途中であまり相談せず各自で進めたい。</x:v>
      </x:c>
      <x:c r="D16" s="12" t="str">
        <x:v>Cooperation</x:v>
      </x:c>
      <x:c r="E16" s="12" t="str">
        <x:v>反対極</x:v>
      </x:c>
      <x:c r="F16" s="57" t="n">
        <x:v>0</x:v>
      </x:c>
      <x:c r="G16" s="57" t="n">
        <x:v>0</x:v>
      </x:c>
      <x:c r="H16" s="57" t="n">
        <x:v>-0.9</x:v>
      </x:c>
      <x:c r="I16" s="57" t="n">
        <x:v>0.1</x:v>
      </x:c>
      <x:c r="J16" s="57" t="n">
        <x:v>0</x:v>
      </x:c>
      <x:c r="K16" s="57" t="n">
        <x:v>0</x:v>
      </x:c>
      <x:c r="L16" s="57" t="n">
        <x:v>0</x:v>
      </x:c>
      <x:c r="M16" s="57" t="n">
        <x:v>0</x:v>
      </x:c>
      <x:c r="N16" s="57" t="n">
        <x:v>0</x:v>
      </x:c>
      <x:c r="O16" s="57" t="n">
        <x:v>0</x:v>
      </x:c>
      <x:c r="P16" s="57" t="n">
        <x:v>0</x:v>
      </x:c>
      <x:c r="Q16" s="57" t="n">
        <x:v>0</x:v>
      </x:c>
      <x:c r="R16" s="57" t="n">
        <x:v>0</x:v>
      </x:c>
      <x:c r="S16" s="57" t="n">
        <x:v>0</x:v>
      </x:c>
      <x:c r="T16" s="57" t="n">
        <x:v>0</x:v>
      </x:c>
      <x:c r="U16" s="57" t="n">
        <x:v>0</x:v>
      </x:c>
      <x:c r="V16" s="57" t="n">
        <x:v>0</x:v>
      </x:c>
      <x:c r="W16" s="57" t="n">
        <x:v>0</x:v>
      </x:c>
      <x:c r="X16" s="57" t="n">
        <x:v>0</x:v>
      </x:c>
      <x:c r="Y16" s="57" t="n">
        <x:v>0</x:v>
      </x:c>
      <x:c r="Z16" s="57" t="n">
        <x:v>0</x:v>
      </x:c>
      <x:c r="AA16" s="57" t="n">
        <x:v>0</x:v>
      </x:c>
      <x:c r="AB16" s="12" t="str">
        <x:v>反対側の行動を自然な肯定文で測定。</x:v>
      </x:c>
      <x:c r="AC16" s="12" t="str">
        <x:v>Cooperation</x:v>
      </x:c>
      <x:c r="AD16" s="12" t="str">
        <x:v>反対極</x:v>
      </x:c>
      <x:c r="AE16" s="12" t="str">
        <x:v>C-A</x:v>
      </x:c>
      <x:c r="AF16" s="12" t="str">
        <x:v>短文・一文一概念・価値中立</x:v>
      </x:c>
    </x:row>
    <x:row r="17">
      <x:c r="A17" s="12" t="str">
        <x:v>Q12</x:v>
      </x:c>
      <x:c r="B17" s="12" t="str">
        <x:v>性格・行動傾向</x:v>
      </x:c>
      <x:c r="C17" s="12" t="str">
        <x:v>一人で決められることでも、一度誰かに聞いてから決める方が安心する。</x:v>
      </x:c>
      <x:c r="D17" s="12" t="str">
        <x:v>SelfReliance</x:v>
      </x:c>
      <x:c r="E17" s="12" t="str">
        <x:v>反対極</x:v>
      </x:c>
      <x:c r="F17" s="57" t="n">
        <x:v>0</x:v>
      </x:c>
      <x:c r="G17" s="57" t="n">
        <x:v>0</x:v>
      </x:c>
      <x:c r="H17" s="57" t="n">
        <x:v>0.1</x:v>
      </x:c>
      <x:c r="I17" s="57" t="n">
        <x:v>-0.9</x:v>
      </x:c>
      <x:c r="J17" s="57" t="n">
        <x:v>0</x:v>
      </x:c>
      <x:c r="K17" s="57" t="n">
        <x:v>0</x:v>
      </x:c>
      <x:c r="L17" s="57" t="n">
        <x:v>0</x:v>
      </x:c>
      <x:c r="M17" s="57" t="n">
        <x:v>0</x:v>
      </x:c>
      <x:c r="N17" s="57" t="n">
        <x:v>0</x:v>
      </x:c>
      <x:c r="O17" s="57" t="n">
        <x:v>0</x:v>
      </x:c>
      <x:c r="P17" s="57" t="n">
        <x:v>0</x:v>
      </x:c>
      <x:c r="Q17" s="57" t="n">
        <x:v>0</x:v>
      </x:c>
      <x:c r="R17" s="57" t="n">
        <x:v>0</x:v>
      </x:c>
      <x:c r="S17" s="57" t="n">
        <x:v>0</x:v>
      </x:c>
      <x:c r="T17" s="57" t="n">
        <x:v>0</x:v>
      </x:c>
      <x:c r="U17" s="57" t="n">
        <x:v>0</x:v>
      </x:c>
      <x:c r="V17" s="57" t="n">
        <x:v>0</x:v>
      </x:c>
      <x:c r="W17" s="57" t="n">
        <x:v>0</x:v>
      </x:c>
      <x:c r="X17" s="57" t="n">
        <x:v>0</x:v>
      </x:c>
      <x:c r="Y17" s="57" t="n">
        <x:v>0</x:v>
      </x:c>
      <x:c r="Z17" s="57" t="n">
        <x:v>0</x:v>
      </x:c>
      <x:c r="AA17" s="57" t="n">
        <x:v>0</x:v>
      </x:c>
      <x:c r="AB17" s="12" t="str">
        <x:v>反対側の行動を自然な肯定文で測定。</x:v>
      </x:c>
      <x:c r="AC17" s="12" t="str">
        <x:v>SelfReliance</x:v>
      </x:c>
      <x:c r="AD17" s="12" t="str">
        <x:v>反対極</x:v>
      </x:c>
      <x:c r="AE17" s="12" t="str">
        <x:v>S-A</x:v>
      </x:c>
      <x:c r="AF17" s="12" t="str">
        <x:v>短文・一文一概念・価値中立</x:v>
      </x:c>
    </x:row>
    <x:row r="18">
      <x:c r="A18" s="12" t="str">
        <x:v>Q13</x:v>
      </x:c>
      <x:c r="B18" s="12" t="str">
        <x:v>性格・行動傾向</x:v>
      </x:c>
      <x:c r="C18" s="12" t="str">
        <x:v>やり方が通じなければ、早めに別の方法へ切り替える方だ。</x:v>
      </x:c>
      <x:c r="D18" s="12" t="str">
        <x:v>Adaptability</x:v>
      </x:c>
      <x:c r="E18" s="12" t="str">
        <x:v>正方向</x:v>
      </x:c>
      <x:c r="F18" s="57" t="n">
        <x:v>0</x:v>
      </x:c>
      <x:c r="G18" s="57" t="n">
        <x:v>0</x:v>
      </x:c>
      <x:c r="H18" s="57" t="n">
        <x:v>0</x:v>
      </x:c>
      <x:c r="I18" s="57" t="n">
        <x:v>0</x:v>
      </x:c>
      <x:c r="J18" s="57" t="n">
        <x:v>0</x:v>
      </x:c>
      <x:c r="K18" s="57" t="n">
        <x:v>0.9</x:v>
      </x:c>
      <x:c r="L18" s="57" t="n">
        <x:v>0</x:v>
      </x:c>
      <x:c r="M18" s="57" t="n">
        <x:v>0</x:v>
      </x:c>
      <x:c r="N18" s="57" t="n">
        <x:v>0</x:v>
      </x:c>
      <x:c r="O18" s="57" t="n">
        <x:v>0</x:v>
      </x:c>
      <x:c r="P18" s="57" t="n">
        <x:v>0</x:v>
      </x:c>
      <x:c r="Q18" s="57" t="n">
        <x:v>0</x:v>
      </x:c>
      <x:c r="R18" s="57" t="n">
        <x:v>0</x:v>
      </x:c>
      <x:c r="S18" s="57" t="n">
        <x:v>0</x:v>
      </x:c>
      <x:c r="T18" s="57" t="n">
        <x:v>0</x:v>
      </x:c>
      <x:c r="U18" s="57" t="n">
        <x:v>0</x:v>
      </x:c>
      <x:c r="V18" s="57" t="n">
        <x:v>0</x:v>
      </x:c>
      <x:c r="W18" s="57" t="n">
        <x:v>0</x:v>
      </x:c>
      <x:c r="X18" s="57" t="n">
        <x:v>0</x:v>
      </x:c>
      <x:c r="Y18" s="57" t="n">
        <x:v>0</x:v>
      </x:c>
      <x:c r="Z18" s="57" t="n">
        <x:v>0</x:v>
      </x:c>
      <x:c r="AA18" s="57" t="n">
        <x:v>0</x:v>
      </x:c>
      <x:c r="AB18" s="12" t="str">
        <x:v>構成概念の高い側を、日常の選択として測定。</x:v>
      </x:c>
      <x:c r="AC18" s="12" t="str">
        <x:v>Adaptability</x:v>
      </x:c>
      <x:c r="AD18" s="12" t="str">
        <x:v>正方向</x:v>
      </x:c>
      <x:c r="AE18" s="12" t="str">
        <x:v>A-A</x:v>
      </x:c>
      <x:c r="AF18" s="12" t="str">
        <x:v>短文・一文一概念・価値中立</x:v>
      </x:c>
    </x:row>
    <x:row r="19">
      <x:c r="A19" s="12" t="str">
        <x:v>Q14</x:v>
      </x:c>
      <x:c r="B19" s="12" t="str">
        <x:v>性格・行動傾向</x:v>
      </x:c>
      <x:c r="C19" s="12" t="str">
        <x:v>難しいものを覚えるより、すぐ使えるものを選びやすい。</x:v>
      </x:c>
      <x:c r="D19" s="12" t="str">
        <x:v>Mastery</x:v>
      </x:c>
      <x:c r="E19" s="12" t="str">
        <x:v>反対極</x:v>
      </x:c>
      <x:c r="F19" s="57" t="n">
        <x:v>0</x:v>
      </x:c>
      <x:c r="G19" s="57" t="n">
        <x:v>0</x:v>
      </x:c>
      <x:c r="H19" s="57" t="n">
        <x:v>0</x:v>
      </x:c>
      <x:c r="I19" s="57" t="n">
        <x:v>0</x:v>
      </x:c>
      <x:c r="J19" s="57" t="n">
        <x:v>0</x:v>
      </x:c>
      <x:c r="K19" s="57" t="n">
        <x:v>0</x:v>
      </x:c>
      <x:c r="L19" s="57" t="n">
        <x:v>-0.9</x:v>
      </x:c>
      <x:c r="M19" s="57" t="n">
        <x:v>0</x:v>
      </x:c>
      <x:c r="N19" s="57" t="n">
        <x:v>0</x:v>
      </x:c>
      <x:c r="O19" s="57" t="n">
        <x:v>0</x:v>
      </x:c>
      <x:c r="P19" s="57" t="n">
        <x:v>0</x:v>
      </x:c>
      <x:c r="Q19" s="57" t="n">
        <x:v>0</x:v>
      </x:c>
      <x:c r="R19" s="57" t="n">
        <x:v>0</x:v>
      </x:c>
      <x:c r="S19" s="57" t="n">
        <x:v>0</x:v>
      </x:c>
      <x:c r="T19" s="57" t="n">
        <x:v>0</x:v>
      </x:c>
      <x:c r="U19" s="57" t="n">
        <x:v>0</x:v>
      </x:c>
      <x:c r="V19" s="57" t="n">
        <x:v>0</x:v>
      </x:c>
      <x:c r="W19" s="57" t="n">
        <x:v>0</x:v>
      </x:c>
      <x:c r="X19" s="57" t="n">
        <x:v>0</x:v>
      </x:c>
      <x:c r="Y19" s="57" t="n">
        <x:v>0</x:v>
      </x:c>
      <x:c r="Z19" s="57" t="n">
        <x:v>0</x:v>
      </x:c>
      <x:c r="AA19" s="57" t="n">
        <x:v>0</x:v>
      </x:c>
      <x:c r="AB19" s="12" t="str">
        <x:v>反対側の行動を自然な肯定文で測定。</x:v>
      </x:c>
      <x:c r="AC19" s="12" t="str">
        <x:v>Mastery</x:v>
      </x:c>
      <x:c r="AD19" s="12" t="str">
        <x:v>反対極</x:v>
      </x:c>
      <x:c r="AE19" s="12" t="str">
        <x:v>M-A</x:v>
      </x:c>
      <x:c r="AF19" s="12" t="str">
        <x:v>短文・一文一概念・価値中立</x:v>
      </x:c>
    </x:row>
    <x:row r="20">
      <x:c r="A20" s="12" t="str">
        <x:v>Q15</x:v>
      </x:c>
      <x:c r="B20" s="12" t="str">
        <x:v>性格・行動傾向</x:v>
      </x:c>
      <x:c r="C20" s="12" t="str">
        <x:v>誰がやるか決まっていないことがあれば、自分から引き受けることがある。</x:v>
      </x:c>
      <x:c r="D20" s="12" t="str">
        <x:v>Initiative</x:v>
      </x:c>
      <x:c r="E20" s="12" t="str">
        <x:v>正方向</x:v>
      </x:c>
      <x:c r="F20" s="57" t="n">
        <x:v>0.9</x:v>
      </x:c>
      <x:c r="G20" s="57" t="n">
        <x:v>0</x:v>
      </x:c>
      <x:c r="H20" s="57" t="n">
        <x:v>0</x:v>
      </x:c>
      <x:c r="I20" s="57" t="n">
        <x:v>0</x:v>
      </x:c>
      <x:c r="J20" s="57" t="n">
        <x:v>0</x:v>
      </x:c>
      <x:c r="K20" s="57" t="n">
        <x:v>0</x:v>
      </x:c>
      <x:c r="L20" s="57" t="n">
        <x:v>0</x:v>
      </x:c>
      <x:c r="M20" s="57" t="n">
        <x:v>0</x:v>
      </x:c>
      <x:c r="N20" s="57" t="n">
        <x:v>0</x:v>
      </x:c>
      <x:c r="O20" s="57" t="n">
        <x:v>0</x:v>
      </x:c>
      <x:c r="P20" s="57" t="n">
        <x:v>0</x:v>
      </x:c>
      <x:c r="Q20" s="57" t="n">
        <x:v>0</x:v>
      </x:c>
      <x:c r="R20" s="57" t="n">
        <x:v>0</x:v>
      </x:c>
      <x:c r="S20" s="57" t="n">
        <x:v>0</x:v>
      </x:c>
      <x:c r="T20" s="57" t="n">
        <x:v>0</x:v>
      </x:c>
      <x:c r="U20" s="57" t="n">
        <x:v>0</x:v>
      </x:c>
      <x:c r="V20" s="57" t="n">
        <x:v>0</x:v>
      </x:c>
      <x:c r="W20" s="57" t="n">
        <x:v>0</x:v>
      </x:c>
      <x:c r="X20" s="57" t="n">
        <x:v>0</x:v>
      </x:c>
      <x:c r="Y20" s="57" t="n">
        <x:v>0</x:v>
      </x:c>
      <x:c r="Z20" s="57" t="n">
        <x:v>0</x:v>
      </x:c>
      <x:c r="AA20" s="57" t="n">
        <x:v>0</x:v>
      </x:c>
      <x:c r="AB20" s="12" t="str">
        <x:v>構成概念の高い側を、日常の選択として測定。</x:v>
      </x:c>
      <x:c r="AC20" s="12" t="str">
        <x:v>Initiative</x:v>
      </x:c>
      <x:c r="AD20" s="12" t="str">
        <x:v>正方向</x:v>
      </x:c>
      <x:c r="AE20" s="12" t="str">
        <x:v>I-B</x:v>
      </x:c>
      <x:c r="AF20" s="12" t="str">
        <x:v>短文・一文一概念・価値中立</x:v>
      </x:c>
    </x:row>
    <x:row r="21">
      <x:c r="A21" s="12" t="str">
        <x:v>Q16</x:v>
      </x:c>
      <x:c r="B21" s="12" t="str">
        <x:v>性格・行動傾向</x:v>
      </x:c>
      <x:c r="C21" s="12" t="str">
        <x:v>チャンスが一度きりなら、準備が十分でなくても動くことがある。</x:v>
      </x:c>
      <x:c r="D21" s="12" t="str">
        <x:v>RiskTolerance</x:v>
      </x:c>
      <x:c r="E21" s="12" t="str">
        <x:v>正方向</x:v>
      </x:c>
      <x:c r="F21" s="57" t="n">
        <x:v>0.1</x:v>
      </x:c>
      <x:c r="G21" s="57" t="n">
        <x:v>0.9</x:v>
      </x:c>
      <x:c r="H21" s="57" t="n">
        <x:v>0</x:v>
      </x:c>
      <x:c r="I21" s="57" t="n">
        <x:v>0</x:v>
      </x:c>
      <x:c r="J21" s="57" t="n">
        <x:v>0</x:v>
      </x:c>
      <x:c r="K21" s="57" t="n">
        <x:v>0</x:v>
      </x:c>
      <x:c r="L21" s="57" t="n">
        <x:v>0</x:v>
      </x:c>
      <x:c r="M21" s="57" t="n">
        <x:v>0</x:v>
      </x:c>
      <x:c r="N21" s="57" t="n">
        <x:v>0</x:v>
      </x:c>
      <x:c r="O21" s="57" t="n">
        <x:v>0</x:v>
      </x:c>
      <x:c r="P21" s="57" t="n">
        <x:v>0</x:v>
      </x:c>
      <x:c r="Q21" s="57" t="n">
        <x:v>0</x:v>
      </x:c>
      <x:c r="R21" s="57" t="n">
        <x:v>0</x:v>
      </x:c>
      <x:c r="S21" s="57" t="n">
        <x:v>0</x:v>
      </x:c>
      <x:c r="T21" s="57" t="n">
        <x:v>0</x:v>
      </x:c>
      <x:c r="U21" s="57" t="n">
        <x:v>0</x:v>
      </x:c>
      <x:c r="V21" s="57" t="n">
        <x:v>0</x:v>
      </x:c>
      <x:c r="W21" s="57" t="n">
        <x:v>0</x:v>
      </x:c>
      <x:c r="X21" s="57" t="n">
        <x:v>0</x:v>
      </x:c>
      <x:c r="Y21" s="57" t="n">
        <x:v>0</x:v>
      </x:c>
      <x:c r="Z21" s="57" t="n">
        <x:v>0</x:v>
      </x:c>
      <x:c r="AA21" s="57" t="n">
        <x:v>0</x:v>
      </x:c>
      <x:c r="AB21" s="12" t="str">
        <x:v>構成概念の高い側を、日常の選択として測定。</x:v>
      </x:c>
      <x:c r="AC21" s="12" t="str">
        <x:v>RiskTolerance</x:v>
      </x:c>
      <x:c r="AD21" s="12" t="str">
        <x:v>正方向</x:v>
      </x:c>
      <x:c r="AE21" s="12" t="str">
        <x:v>R-B</x:v>
      </x:c>
      <x:c r="AF21" s="12" t="str">
        <x:v>短文・一文一概念・価値中立</x:v>
      </x:c>
    </x:row>
    <x:row r="22">
      <x:c r="A22" s="12" t="str">
        <x:v>Q17</x:v>
      </x:c>
      <x:c r="B22" s="12" t="str">
        <x:v>性格・行動傾向</x:v>
      </x:c>
      <x:c r="C22" s="12" t="str">
        <x:v>大事なことは、一度ほかの選択肢も比べてから決めたい。</x:v>
      </x:c>
      <x:c r="D22" s="12" t="str">
        <x:v>Planning</x:v>
      </x:c>
      <x:c r="E22" s="12" t="str">
        <x:v>正方向</x:v>
      </x:c>
      <x:c r="F22" s="57" t="n">
        <x:v>0</x:v>
      </x:c>
      <x:c r="G22" s="57" t="n">
        <x:v>0</x:v>
      </x:c>
      <x:c r="H22" s="57" t="n">
        <x:v>0</x:v>
      </x:c>
      <x:c r="I22" s="57" t="n">
        <x:v>0</x:v>
      </x:c>
      <x:c r="J22" s="57" t="n">
        <x:v>0.9</x:v>
      </x:c>
      <x:c r="K22" s="57" t="n">
        <x:v>0</x:v>
      </x:c>
      <x:c r="L22" s="57" t="n">
        <x:v>0</x:v>
      </x:c>
      <x:c r="M22" s="57" t="n">
        <x:v>0</x:v>
      </x:c>
      <x:c r="N22" s="57" t="n">
        <x:v>0</x:v>
      </x:c>
      <x:c r="O22" s="57" t="n">
        <x:v>0</x:v>
      </x:c>
      <x:c r="P22" s="57" t="n">
        <x:v>0</x:v>
      </x:c>
      <x:c r="Q22" s="57" t="n">
        <x:v>0</x:v>
      </x:c>
      <x:c r="R22" s="57" t="n">
        <x:v>0</x:v>
      </x:c>
      <x:c r="S22" s="57" t="n">
        <x:v>0</x:v>
      </x:c>
      <x:c r="T22" s="57" t="n">
        <x:v>0</x:v>
      </x:c>
      <x:c r="U22" s="57" t="n">
        <x:v>0</x:v>
      </x:c>
      <x:c r="V22" s="57" t="n">
        <x:v>0</x:v>
      </x:c>
      <x:c r="W22" s="57" t="n">
        <x:v>0</x:v>
      </x:c>
      <x:c r="X22" s="57" t="n">
        <x:v>0</x:v>
      </x:c>
      <x:c r="Y22" s="57" t="n">
        <x:v>0</x:v>
      </x:c>
      <x:c r="Z22" s="57" t="n">
        <x:v>0</x:v>
      </x:c>
      <x:c r="AA22" s="57" t="n">
        <x:v>0</x:v>
      </x:c>
      <x:c r="AB22" s="12" t="str">
        <x:v>構成概念の高い側を、日常の選択として測定。</x:v>
      </x:c>
      <x:c r="AC22" s="12" t="str">
        <x:v>Planning</x:v>
      </x:c>
      <x:c r="AD22" s="12" t="str">
        <x:v>正方向</x:v>
      </x:c>
      <x:c r="AE22" s="12" t="str">
        <x:v>P-B</x:v>
      </x:c>
      <x:c r="AF22" s="12" t="str">
        <x:v>短文・一文一概念・価値中立</x:v>
      </x:c>
    </x:row>
    <x:row r="23">
      <x:c r="A23" s="12" t="str">
        <x:v>Q18</x:v>
      </x:c>
      <x:c r="B23" s="12" t="str">
        <x:v>性格・行動傾向</x:v>
      </x:c>
      <x:c r="C23" s="12" t="str">
        <x:v>みんなが動きやすくなるなら、自分の担当を変えるのは気にならない。</x:v>
      </x:c>
      <x:c r="D23" s="12" t="str">
        <x:v>Cooperation</x:v>
      </x:c>
      <x:c r="E23" s="12" t="str">
        <x:v>正方向</x:v>
      </x:c>
      <x:c r="F23" s="57" t="n">
        <x:v>0</x:v>
      </x:c>
      <x:c r="G23" s="57" t="n">
        <x:v>0</x:v>
      </x:c>
      <x:c r="H23" s="57" t="n">
        <x:v>0.8</x:v>
      </x:c>
      <x:c r="I23" s="57" t="n">
        <x:v>0</x:v>
      </x:c>
      <x:c r="J23" s="57" t="n">
        <x:v>0</x:v>
      </x:c>
      <x:c r="K23" s="57" t="n">
        <x:v>0.2</x:v>
      </x:c>
      <x:c r="L23" s="57" t="n">
        <x:v>0</x:v>
      </x:c>
      <x:c r="M23" s="57" t="n">
        <x:v>0</x:v>
      </x:c>
      <x:c r="N23" s="57" t="n">
        <x:v>0</x:v>
      </x:c>
      <x:c r="O23" s="57" t="n">
        <x:v>0</x:v>
      </x:c>
      <x:c r="P23" s="57" t="n">
        <x:v>0</x:v>
      </x:c>
      <x:c r="Q23" s="57" t="n">
        <x:v>0</x:v>
      </x:c>
      <x:c r="R23" s="57" t="n">
        <x:v>0</x:v>
      </x:c>
      <x:c r="S23" s="57" t="n">
        <x:v>0</x:v>
      </x:c>
      <x:c r="T23" s="57" t="n">
        <x:v>0</x:v>
      </x:c>
      <x:c r="U23" s="57" t="n">
        <x:v>0</x:v>
      </x:c>
      <x:c r="V23" s="57" t="n">
        <x:v>0</x:v>
      </x:c>
      <x:c r="W23" s="57" t="n">
        <x:v>0</x:v>
      </x:c>
      <x:c r="X23" s="57" t="n">
        <x:v>0</x:v>
      </x:c>
      <x:c r="Y23" s="57" t="n">
        <x:v>0</x:v>
      </x:c>
      <x:c r="Z23" s="57" t="n">
        <x:v>0</x:v>
      </x:c>
      <x:c r="AA23" s="57" t="n">
        <x:v>0</x:v>
      </x:c>
      <x:c r="AB23" s="12" t="str">
        <x:v>構成概念の高い側を、日常の選択として測定。</x:v>
      </x:c>
      <x:c r="AC23" s="12" t="str">
        <x:v>Cooperation</x:v>
      </x:c>
      <x:c r="AD23" s="12" t="str">
        <x:v>正方向</x:v>
      </x:c>
      <x:c r="AE23" s="12" t="str">
        <x:v>C-B</x:v>
      </x:c>
      <x:c r="AF23" s="12" t="str">
        <x:v>短文・一文一概念・価値中立</x:v>
      </x:c>
    </x:row>
    <x:row r="24">
      <x:c r="A24" s="12" t="str">
        <x:v>Q19</x:v>
      </x:c>
      <x:c r="B24" s="12" t="str">
        <x:v>性格・行動傾向</x:v>
      </x:c>
      <x:c r="C24" s="12" t="str">
        <x:v>やり方を任されるなら、細かく決められるより自分で決めたい。</x:v>
      </x:c>
      <x:c r="D24" s="12" t="str">
        <x:v>SelfReliance</x:v>
      </x:c>
      <x:c r="E24" s="12" t="str">
        <x:v>正方向</x:v>
      </x:c>
      <x:c r="F24" s="57" t="n">
        <x:v>0</x:v>
      </x:c>
      <x:c r="G24" s="57" t="n">
        <x:v>0</x:v>
      </x:c>
      <x:c r="H24" s="57" t="n">
        <x:v>0</x:v>
      </x:c>
      <x:c r="I24" s="57" t="n">
        <x:v>0.9</x:v>
      </x:c>
      <x:c r="J24" s="57" t="n">
        <x:v>0</x:v>
      </x:c>
      <x:c r="K24" s="57" t="n">
        <x:v>0</x:v>
      </x:c>
      <x:c r="L24" s="57" t="n">
        <x:v>0</x:v>
      </x:c>
      <x:c r="M24" s="57" t="n">
        <x:v>0</x:v>
      </x:c>
      <x:c r="N24" s="57" t="n">
        <x:v>0</x:v>
      </x:c>
      <x:c r="O24" s="57" t="n">
        <x:v>0</x:v>
      </x:c>
      <x:c r="P24" s="57" t="n">
        <x:v>0</x:v>
      </x:c>
      <x:c r="Q24" s="57" t="n">
        <x:v>0</x:v>
      </x:c>
      <x:c r="R24" s="57" t="n">
        <x:v>0</x:v>
      </x:c>
      <x:c r="S24" s="57" t="n">
        <x:v>0</x:v>
      </x:c>
      <x:c r="T24" s="57" t="n">
        <x:v>0</x:v>
      </x:c>
      <x:c r="U24" s="57" t="n">
        <x:v>0</x:v>
      </x:c>
      <x:c r="V24" s="57" t="n">
        <x:v>0</x:v>
      </x:c>
      <x:c r="W24" s="57" t="n">
        <x:v>0</x:v>
      </x:c>
      <x:c r="X24" s="57" t="n">
        <x:v>0</x:v>
      </x:c>
      <x:c r="Y24" s="57" t="n">
        <x:v>0</x:v>
      </x:c>
      <x:c r="Z24" s="57" t="n">
        <x:v>0</x:v>
      </x:c>
      <x:c r="AA24" s="57" t="n">
        <x:v>0</x:v>
      </x:c>
      <x:c r="AB24" s="12" t="str">
        <x:v>構成概念の高い側を、日常の選択として測定。</x:v>
      </x:c>
      <x:c r="AC24" s="12" t="str">
        <x:v>SelfReliance</x:v>
      </x:c>
      <x:c r="AD24" s="12" t="str">
        <x:v>正方向</x:v>
      </x:c>
      <x:c r="AE24" s="12" t="str">
        <x:v>S-B</x:v>
      </x:c>
      <x:c r="AF24" s="12" t="str">
        <x:v>短文・一文一概念・価値中立</x:v>
      </x:c>
    </x:row>
    <x:row r="25">
      <x:c r="A25" s="12" t="str">
        <x:v>Q20</x:v>
      </x:c>
      <x:c r="B25" s="12" t="str">
        <x:v>性格・行動傾向</x:v>
      </x:c>
      <x:c r="C25" s="12" t="str">
        <x:v>予定が崩れたときは、新しいやり方を考えるより元の予定に戻したくなる。</x:v>
      </x:c>
      <x:c r="D25" s="12" t="str">
        <x:v>Adaptability</x:v>
      </x:c>
      <x:c r="E25" s="12" t="str">
        <x:v>反対極</x:v>
      </x:c>
      <x:c r="F25" s="57" t="n">
        <x:v>0</x:v>
      </x:c>
      <x:c r="G25" s="57" t="n">
        <x:v>0</x:v>
      </x:c>
      <x:c r="H25" s="57" t="n">
        <x:v>0</x:v>
      </x:c>
      <x:c r="I25" s="57" t="n">
        <x:v>0</x:v>
      </x:c>
      <x:c r="J25" s="57" t="n">
        <x:v>0.1</x:v>
      </x:c>
      <x:c r="K25" s="57" t="n">
        <x:v>-0.9</x:v>
      </x:c>
      <x:c r="L25" s="57" t="n">
        <x:v>0</x:v>
      </x:c>
      <x:c r="M25" s="57" t="n">
        <x:v>0</x:v>
      </x:c>
      <x:c r="N25" s="57" t="n">
        <x:v>0</x:v>
      </x:c>
      <x:c r="O25" s="57" t="n">
        <x:v>0</x:v>
      </x:c>
      <x:c r="P25" s="57" t="n">
        <x:v>0</x:v>
      </x:c>
      <x:c r="Q25" s="57" t="n">
        <x:v>0</x:v>
      </x:c>
      <x:c r="R25" s="57" t="n">
        <x:v>0</x:v>
      </x:c>
      <x:c r="S25" s="57" t="n">
        <x:v>0</x:v>
      </x:c>
      <x:c r="T25" s="57" t="n">
        <x:v>0</x:v>
      </x:c>
      <x:c r="U25" s="57" t="n">
        <x:v>0</x:v>
      </x:c>
      <x:c r="V25" s="57" t="n">
        <x:v>0</x:v>
      </x:c>
      <x:c r="W25" s="57" t="n">
        <x:v>0</x:v>
      </x:c>
      <x:c r="X25" s="57" t="n">
        <x:v>0</x:v>
      </x:c>
      <x:c r="Y25" s="57" t="n">
        <x:v>0</x:v>
      </x:c>
      <x:c r="Z25" s="57" t="n">
        <x:v>0</x:v>
      </x:c>
      <x:c r="AA25" s="57" t="n">
        <x:v>0</x:v>
      </x:c>
      <x:c r="AB25" s="12" t="str">
        <x:v>反対側の行動を自然な肯定文で測定。</x:v>
      </x:c>
      <x:c r="AC25" s="12" t="str">
        <x:v>Adaptability</x:v>
      </x:c>
      <x:c r="AD25" s="12" t="str">
        <x:v>反対極</x:v>
      </x:c>
      <x:c r="AE25" s="12" t="str">
        <x:v>A-B</x:v>
      </x:c>
      <x:c r="AF25" s="12" t="str">
        <x:v>短文・一文一概念・価値中立</x:v>
      </x:c>
    </x:row>
    <x:row r="26">
      <x:c r="A26" s="12" t="str">
        <x:v>Q21</x:v>
      </x:c>
      <x:c r="B26" s="12" t="str">
        <x:v>性格・行動傾向</x:v>
      </x:c>
      <x:c r="C26" s="12" t="str">
        <x:v>慣れてきたことでも、もっと上手いやり方がないか試したくなる。</x:v>
      </x:c>
      <x:c r="D26" s="12" t="str">
        <x:v>Mastery</x:v>
      </x:c>
      <x:c r="E26" s="12" t="str">
        <x:v>正方向</x:v>
      </x:c>
      <x:c r="F26" s="57" t="n">
        <x:v>0</x:v>
      </x:c>
      <x:c r="G26" s="57" t="n">
        <x:v>0</x:v>
      </x:c>
      <x:c r="H26" s="57" t="n">
        <x:v>0</x:v>
      </x:c>
      <x:c r="I26" s="57" t="n">
        <x:v>0</x:v>
      </x:c>
      <x:c r="J26" s="57" t="n">
        <x:v>0.1</x:v>
      </x:c>
      <x:c r="K26" s="57" t="n">
        <x:v>0</x:v>
      </x:c>
      <x:c r="L26" s="57" t="n">
        <x:v>0.9</x:v>
      </x:c>
      <x:c r="M26" s="57" t="n">
        <x:v>0</x:v>
      </x:c>
      <x:c r="N26" s="57" t="n">
        <x:v>0</x:v>
      </x:c>
      <x:c r="O26" s="57" t="n">
        <x:v>0</x:v>
      </x:c>
      <x:c r="P26" s="57" t="n">
        <x:v>0</x:v>
      </x:c>
      <x:c r="Q26" s="57" t="n">
        <x:v>0</x:v>
      </x:c>
      <x:c r="R26" s="57" t="n">
        <x:v>0</x:v>
      </x:c>
      <x:c r="S26" s="57" t="n">
        <x:v>0</x:v>
      </x:c>
      <x:c r="T26" s="57" t="n">
        <x:v>0</x:v>
      </x:c>
      <x:c r="U26" s="57" t="n">
        <x:v>0</x:v>
      </x:c>
      <x:c r="V26" s="57" t="n">
        <x:v>0</x:v>
      </x:c>
      <x:c r="W26" s="57" t="n">
        <x:v>0</x:v>
      </x:c>
      <x:c r="X26" s="57" t="n">
        <x:v>0</x:v>
      </x:c>
      <x:c r="Y26" s="57" t="n">
        <x:v>0</x:v>
      </x:c>
      <x:c r="Z26" s="57" t="n">
        <x:v>0.7</x:v>
      </x:c>
      <x:c r="AA26" s="57" t="n">
        <x:v>0.4</x:v>
      </x:c>
      <x:c r="AB26" s="12" t="str">
        <x:v>構成概念の高い側を、日常の選択として測定。</x:v>
      </x:c>
      <x:c r="AC26" s="12" t="str">
        <x:v>Mastery</x:v>
      </x:c>
      <x:c r="AD26" s="12" t="str">
        <x:v>正方向</x:v>
      </x:c>
      <x:c r="AE26" s="12" t="str">
        <x:v>M-B</x:v>
      </x:c>
      <x:c r="AF26" s="12" t="str">
        <x:v>短文・一文一概念・価値中立</x:v>
      </x:c>
    </x:row>
    <x:row r="27">
      <x:c r="A27" s="12" t="str">
        <x:v>Q22</x:v>
      </x:c>
      <x:c r="B27" s="12" t="str">
        <x:v>性格・行動傾向</x:v>
      </x:c>
      <x:c r="C27" s="12" t="str">
        <x:v>話が進まないときでも、自分から流れを変えるより少し様子を見ることが多い。</x:v>
      </x:c>
      <x:c r="D27" s="12" t="str">
        <x:v>Initiative</x:v>
      </x:c>
      <x:c r="E27" s="12" t="str">
        <x:v>反対極</x:v>
      </x:c>
      <x:c r="F27" s="57" t="n">
        <x:v>-0.9</x:v>
      </x:c>
      <x:c r="G27" s="57" t="n">
        <x:v>0</x:v>
      </x:c>
      <x:c r="H27" s="57" t="n">
        <x:v>0</x:v>
      </x:c>
      <x:c r="I27" s="57" t="n">
        <x:v>0</x:v>
      </x:c>
      <x:c r="J27" s="57" t="n">
        <x:v>0.05</x:v>
      </x:c>
      <x:c r="K27" s="57" t="n">
        <x:v>0</x:v>
      </x:c>
      <x:c r="L27" s="57" t="n">
        <x:v>0</x:v>
      </x:c>
      <x:c r="M27" s="57" t="n">
        <x:v>-0.7</x:v>
      </x:c>
      <x:c r="N27" s="57" t="n">
        <x:v>-0.3</x:v>
      </x:c>
      <x:c r="O27" s="57" t="n">
        <x:v>0</x:v>
      </x:c>
      <x:c r="P27" s="57" t="n">
        <x:v>0</x:v>
      </x:c>
      <x:c r="Q27" s="57" t="n">
        <x:v>0</x:v>
      </x:c>
      <x:c r="R27" s="57" t="n">
        <x:v>0</x:v>
      </x:c>
      <x:c r="S27" s="57" t="n">
        <x:v>0</x:v>
      </x:c>
      <x:c r="T27" s="57" t="n">
        <x:v>0</x:v>
      </x:c>
      <x:c r="U27" s="57" t="n">
        <x:v>0</x:v>
      </x:c>
      <x:c r="V27" s="57" t="n">
        <x:v>0</x:v>
      </x:c>
      <x:c r="W27" s="57" t="n">
        <x:v>0</x:v>
      </x:c>
      <x:c r="X27" s="57" t="n">
        <x:v>0</x:v>
      </x:c>
      <x:c r="Y27" s="57" t="n">
        <x:v>0</x:v>
      </x:c>
      <x:c r="Z27" s="57" t="n">
        <x:v>0</x:v>
      </x:c>
      <x:c r="AA27" s="57" t="n">
        <x:v>0</x:v>
      </x:c>
      <x:c r="AB27" s="12" t="str">
        <x:v>反対側の行動を自然な肯定文で測定。</x:v>
      </x:c>
      <x:c r="AC27" s="12" t="str">
        <x:v>Initiative</x:v>
      </x:c>
      <x:c r="AD27" s="12" t="str">
        <x:v>反対極</x:v>
      </x:c>
      <x:c r="AE27" s="12" t="str">
        <x:v>I-B</x:v>
      </x:c>
      <x:c r="AF27" s="12" t="str">
        <x:v>短文・一文一概念・価値中立</x:v>
      </x:c>
    </x:row>
    <x:row r="28">
      <x:c r="A28" s="12" t="str">
        <x:v>Q23</x:v>
      </x:c>
      <x:c r="B28" s="12" t="str">
        <x:v>性格・行動傾向</x:v>
      </x:c>
      <x:c r="C28" s="12" t="str">
        <x:v>判断に迷うなら、チャンスを逃しても様子を見る方を選びやすい。</x:v>
      </x:c>
      <x:c r="D28" s="12" t="str">
        <x:v>RiskTolerance</x:v>
      </x:c>
      <x:c r="E28" s="12" t="str">
        <x:v>反対極</x:v>
      </x:c>
      <x:c r="F28" s="57" t="n">
        <x:v>0</x:v>
      </x:c>
      <x:c r="G28" s="57" t="n">
        <x:v>-0.9</x:v>
      </x:c>
      <x:c r="H28" s="57" t="n">
        <x:v>0</x:v>
      </x:c>
      <x:c r="I28" s="57" t="n">
        <x:v>0</x:v>
      </x:c>
      <x:c r="J28" s="57" t="n">
        <x:v>0.15</x:v>
      </x:c>
      <x:c r="K28" s="57" t="n">
        <x:v>0</x:v>
      </x:c>
      <x:c r="L28" s="57" t="n">
        <x:v>0</x:v>
      </x:c>
      <x:c r="M28" s="57" t="n">
        <x:v>0</x:v>
      </x:c>
      <x:c r="N28" s="57" t="n">
        <x:v>-0.5</x:v>
      </x:c>
      <x:c r="O28" s="57" t="n">
        <x:v>0</x:v>
      </x:c>
      <x:c r="P28" s="57" t="n">
        <x:v>0</x:v>
      </x:c>
      <x:c r="Q28" s="57" t="n">
        <x:v>0.25</x:v>
      </x:c>
      <x:c r="R28" s="57" t="n">
        <x:v>0.25</x:v>
      </x:c>
      <x:c r="S28" s="57" t="n">
        <x:v>0</x:v>
      </x:c>
      <x:c r="T28" s="57" t="n">
        <x:v>0</x:v>
      </x:c>
      <x:c r="U28" s="57" t="n">
        <x:v>0</x:v>
      </x:c>
      <x:c r="V28" s="57" t="n">
        <x:v>0</x:v>
      </x:c>
      <x:c r="W28" s="57" t="n">
        <x:v>0</x:v>
      </x:c>
      <x:c r="X28" s="57" t="n">
        <x:v>0</x:v>
      </x:c>
      <x:c r="Y28" s="57" t="n">
        <x:v>0</x:v>
      </x:c>
      <x:c r="Z28" s="57" t="n">
        <x:v>0</x:v>
      </x:c>
      <x:c r="AA28" s="57" t="n">
        <x:v>0</x:v>
      </x:c>
      <x:c r="AB28" s="12" t="str">
        <x:v>反対側の行動を自然な肯定文で測定。</x:v>
      </x:c>
      <x:c r="AC28" s="12" t="str">
        <x:v>RiskTolerance</x:v>
      </x:c>
      <x:c r="AD28" s="12" t="str">
        <x:v>反対極</x:v>
      </x:c>
      <x:c r="AE28" s="12" t="str">
        <x:v>R-B</x:v>
      </x:c>
      <x:c r="AF28" s="12" t="str">
        <x:v>短文・一文一概念・価値中立</x:v>
      </x:c>
    </x:row>
    <x:row r="29">
      <x:c r="A29" s="12" t="str">
        <x:v>Q24</x:v>
      </x:c>
      <x:c r="B29" s="12" t="str">
        <x:v>性格・行動傾向</x:v>
      </x:c>
      <x:c r="C29" s="12" t="str">
        <x:v>予定は大枠だけ決めて、細かいことはその場で合わせたい。</x:v>
      </x:c>
      <x:c r="D29" s="12" t="str">
        <x:v>Planning</x:v>
      </x:c>
      <x:c r="E29" s="12" t="str">
        <x:v>反対極</x:v>
      </x:c>
      <x:c r="F29" s="57" t="n">
        <x:v>0</x:v>
      </x:c>
      <x:c r="G29" s="57" t="n">
        <x:v>0</x:v>
      </x:c>
      <x:c r="H29" s="57" t="n">
        <x:v>0</x:v>
      </x:c>
      <x:c r="I29" s="57" t="n">
        <x:v>0</x:v>
      </x:c>
      <x:c r="J29" s="57" t="n">
        <x:v>-0.8</x:v>
      </x:c>
      <x:c r="K29" s="57" t="n">
        <x:v>0.2</x:v>
      </x:c>
      <x:c r="L29" s="57" t="n">
        <x:v>0</x:v>
      </x:c>
      <x:c r="M29" s="57" t="n">
        <x:v>0</x:v>
      </x:c>
      <x:c r="N29" s="57" t="n">
        <x:v>0</x:v>
      </x:c>
      <x:c r="O29" s="57" t="n">
        <x:v>0</x:v>
      </x:c>
      <x:c r="P29" s="57" t="n">
        <x:v>0</x:v>
      </x:c>
      <x:c r="Q29" s="57" t="n">
        <x:v>0</x:v>
      </x:c>
      <x:c r="R29" s="57" t="n">
        <x:v>0</x:v>
      </x:c>
      <x:c r="S29" s="57" t="n">
        <x:v>0</x:v>
      </x:c>
      <x:c r="T29" s="57" t="n">
        <x:v>0</x:v>
      </x:c>
      <x:c r="U29" s="57" t="n">
        <x:v>0.25</x:v>
      </x:c>
      <x:c r="V29" s="57" t="n">
        <x:v>0</x:v>
      </x:c>
      <x:c r="W29" s="57" t="n">
        <x:v>-0.15</x:v>
      </x:c>
      <x:c r="X29" s="57" t="n">
        <x:v>0</x:v>
      </x:c>
      <x:c r="Y29" s="57" t="n">
        <x:v>0</x:v>
      </x:c>
      <x:c r="Z29" s="57" t="n">
        <x:v>0</x:v>
      </x:c>
      <x:c r="AA29" s="57" t="n">
        <x:v>-0.2</x:v>
      </x:c>
      <x:c r="AB29" s="12" t="str">
        <x:v>反対側の行動を自然な肯定文で測定。</x:v>
      </x:c>
      <x:c r="AC29" s="12" t="str">
        <x:v>Planning</x:v>
      </x:c>
      <x:c r="AD29" s="12" t="str">
        <x:v>反対極</x:v>
      </x:c>
      <x:c r="AE29" s="12" t="str">
        <x:v>P-B</x:v>
      </x:c>
      <x:c r="AF29" s="12" t="str">
        <x:v>短文・一文一概念・価値中立</x:v>
      </x:c>
    </x:row>
    <x:row r="30">
      <x:c r="A30" s="12" t="str">
        <x:v>Q25</x:v>
      </x:c>
      <x:c r="B30" s="12" t="str">
        <x:v>性格・行動傾向</x:v>
      </x:c>
      <x:c r="C30" s="12" t="str">
        <x:v>みんなで動く場面でも、自分のペースを崩さない方が楽だ。</x:v>
      </x:c>
      <x:c r="D30" s="12" t="str">
        <x:v>Cooperation</x:v>
      </x:c>
      <x:c r="E30" s="12" t="str">
        <x:v>反対極</x:v>
      </x:c>
      <x:c r="F30" s="57" t="n">
        <x:v>0</x:v>
      </x:c>
      <x:c r="G30" s="57" t="n">
        <x:v>0</x:v>
      </x:c>
      <x:c r="H30" s="57" t="n">
        <x:v>-0.8</x:v>
      </x:c>
      <x:c r="I30" s="57" t="n">
        <x:v>0.2</x:v>
      </x:c>
      <x:c r="J30" s="57" t="n">
        <x:v>0</x:v>
      </x:c>
      <x:c r="K30" s="57" t="n">
        <x:v>0</x:v>
      </x:c>
      <x:c r="L30" s="57" t="n">
        <x:v>0</x:v>
      </x:c>
      <x:c r="M30" s="57" t="n">
        <x:v>0</x:v>
      </x:c>
      <x:c r="N30" s="57" t="n">
        <x:v>0</x:v>
      </x:c>
      <x:c r="O30" s="57" t="n">
        <x:v>-0.4</x:v>
      </x:c>
      <x:c r="P30" s="57" t="n">
        <x:v>0</x:v>
      </x:c>
      <x:c r="Q30" s="57" t="n">
        <x:v>0</x:v>
      </x:c>
      <x:c r="R30" s="57" t="n">
        <x:v>0</x:v>
      </x:c>
      <x:c r="S30" s="57" t="n">
        <x:v>0</x:v>
      </x:c>
      <x:c r="T30" s="57" t="n">
        <x:v>-0.5</x:v>
      </x:c>
      <x:c r="U30" s="57" t="n">
        <x:v>0</x:v>
      </x:c>
      <x:c r="V30" s="57" t="n">
        <x:v>0.3</x:v>
      </x:c>
      <x:c r="W30" s="57" t="n">
        <x:v>0</x:v>
      </x:c>
      <x:c r="X30" s="57" t="n">
        <x:v>0</x:v>
      </x:c>
      <x:c r="Y30" s="57" t="n">
        <x:v>0.2</x:v>
      </x:c>
      <x:c r="Z30" s="57" t="n">
        <x:v>0</x:v>
      </x:c>
      <x:c r="AA30" s="57" t="n">
        <x:v>0</x:v>
      </x:c>
      <x:c r="AB30" s="12" t="str">
        <x:v>反対側の行動を自然な肯定文で測定。</x:v>
      </x:c>
      <x:c r="AC30" s="12" t="str">
        <x:v>Cooperation</x:v>
      </x:c>
      <x:c r="AD30" s="12" t="str">
        <x:v>反対極</x:v>
      </x:c>
      <x:c r="AE30" s="12" t="str">
        <x:v>C-B</x:v>
      </x:c>
      <x:c r="AF30" s="12" t="str">
        <x:v>短文・一文一概念・価値中立</x:v>
      </x:c>
    </x:row>
    <x:row r="31">
      <x:c r="A31" s="12" t="str">
        <x:v>Q26</x:v>
      </x:c>
      <x:c r="B31" s="12" t="str">
        <x:v>性格・行動傾向</x:v>
      </x:c>
      <x:c r="C31" s="12" t="str">
        <x:v>自由に任されるより、「ここまでは決まっている」方が動きやすい。</x:v>
      </x:c>
      <x:c r="D31" s="12" t="str">
        <x:v>SelfReliance</x:v>
      </x:c>
      <x:c r="E31" s="12" t="str">
        <x:v>反対極</x:v>
      </x:c>
      <x:c r="F31" s="57" t="n">
        <x:v>0</x:v>
      </x:c>
      <x:c r="G31" s="57" t="n">
        <x:v>0</x:v>
      </x:c>
      <x:c r="H31" s="57" t="n">
        <x:v>0</x:v>
      </x:c>
      <x:c r="I31" s="57" t="n">
        <x:v>-0.8</x:v>
      </x:c>
      <x:c r="J31" s="57" t="n">
        <x:v>0.2</x:v>
      </x:c>
      <x:c r="K31" s="57" t="n">
        <x:v>0</x:v>
      </x:c>
      <x:c r="L31" s="57" t="n">
        <x:v>0</x:v>
      </x:c>
      <x:c r="M31" s="57" t="n">
        <x:v>0</x:v>
      </x:c>
      <x:c r="N31" s="57" t="n">
        <x:v>0</x:v>
      </x:c>
      <x:c r="O31" s="57" t="n">
        <x:v>0</x:v>
      </x:c>
      <x:c r="P31" s="57" t="n">
        <x:v>0</x:v>
      </x:c>
      <x:c r="Q31" s="57" t="n">
        <x:v>0</x:v>
      </x:c>
      <x:c r="R31" s="57" t="n">
        <x:v>0</x:v>
      </x:c>
      <x:c r="S31" s="57" t="n">
        <x:v>0</x:v>
      </x:c>
      <x:c r="T31" s="57" t="n">
        <x:v>0.2</x:v>
      </x:c>
      <x:c r="U31" s="57" t="n">
        <x:v>0</x:v>
      </x:c>
      <x:c r="V31" s="57" t="n">
        <x:v>-0.5</x:v>
      </x:c>
      <x:c r="W31" s="57" t="n">
        <x:v>0</x:v>
      </x:c>
      <x:c r="X31" s="57" t="n">
        <x:v>0</x:v>
      </x:c>
      <x:c r="Y31" s="57" t="n">
        <x:v>0</x:v>
      </x:c>
      <x:c r="Z31" s="57" t="n">
        <x:v>0</x:v>
      </x:c>
      <x:c r="AA31" s="57" t="n">
        <x:v>-0.2</x:v>
      </x:c>
      <x:c r="AB31" s="12" t="str">
        <x:v>反対側の行動を自然な肯定文で測定。</x:v>
      </x:c>
      <x:c r="AC31" s="12" t="str">
        <x:v>SelfReliance</x:v>
      </x:c>
      <x:c r="AD31" s="12" t="str">
        <x:v>反対極</x:v>
      </x:c>
      <x:c r="AE31" s="12" t="str">
        <x:v>S-B</x:v>
      </x:c>
      <x:c r="AF31" s="12" t="str">
        <x:v>短文・一文一概念・価値中立</x:v>
      </x:c>
    </x:row>
    <x:row r="32">
      <x:c r="A32" s="12" t="str">
        <x:v>Q27</x:v>
      </x:c>
      <x:c r="B32" s="12" t="str">
        <x:v>性格・行動傾向</x:v>
      </x:c>
      <x:c r="C32" s="12" t="str">
        <x:v>初めてのことは、試しながら自分に合うやり方を探す。</x:v>
      </x:c>
      <x:c r="D32" s="12" t="str">
        <x:v>Adaptability</x:v>
      </x:c>
      <x:c r="E32" s="12" t="str">
        <x:v>正方向</x:v>
      </x:c>
      <x:c r="F32" s="57" t="n">
        <x:v>0</x:v>
      </x:c>
      <x:c r="G32" s="57" t="n">
        <x:v>0</x:v>
      </x:c>
      <x:c r="H32" s="57" t="n">
        <x:v>0</x:v>
      </x:c>
      <x:c r="I32" s="57" t="n">
        <x:v>0</x:v>
      </x:c>
      <x:c r="J32" s="57" t="n">
        <x:v>0</x:v>
      </x:c>
      <x:c r="K32" s="57" t="n">
        <x:v>0.9</x:v>
      </x:c>
      <x:c r="L32" s="57" t="n">
        <x:v>0.1</x:v>
      </x:c>
      <x:c r="M32" s="57" t="n">
        <x:v>0</x:v>
      </x:c>
      <x:c r="N32" s="57" t="n">
        <x:v>0</x:v>
      </x:c>
      <x:c r="O32" s="57" t="n">
        <x:v>0</x:v>
      </x:c>
      <x:c r="P32" s="57" t="n">
        <x:v>0</x:v>
      </x:c>
      <x:c r="Q32" s="57" t="n">
        <x:v>0</x:v>
      </x:c>
      <x:c r="R32" s="57" t="n">
        <x:v>0</x:v>
      </x:c>
      <x:c r="S32" s="57" t="n">
        <x:v>0.2</x:v>
      </x:c>
      <x:c r="T32" s="57" t="n">
        <x:v>0</x:v>
      </x:c>
      <x:c r="U32" s="57" t="n">
        <x:v>0.35</x:v>
      </x:c>
      <x:c r="V32" s="57" t="n">
        <x:v>0</x:v>
      </x:c>
      <x:c r="W32" s="57" t="n">
        <x:v>0</x:v>
      </x:c>
      <x:c r="X32" s="57" t="n">
        <x:v>0</x:v>
      </x:c>
      <x:c r="Y32" s="57" t="n">
        <x:v>0</x:v>
      </x:c>
      <x:c r="Z32" s="57" t="n">
        <x:v>0</x:v>
      </x:c>
      <x:c r="AA32" s="57" t="n">
        <x:v>0.5</x:v>
      </x:c>
      <x:c r="AB32" s="12" t="str">
        <x:v>構成概念の高い側を、日常の選択として測定。</x:v>
      </x:c>
      <x:c r="AC32" s="12" t="str">
        <x:v>Adaptability</x:v>
      </x:c>
      <x:c r="AD32" s="12" t="str">
        <x:v>正方向</x:v>
      </x:c>
      <x:c r="AE32" s="12" t="str">
        <x:v>A-B</x:v>
      </x:c>
      <x:c r="AF32" s="12" t="str">
        <x:v>短文・一文一概念・価値中立</x:v>
      </x:c>
    </x:row>
    <x:row r="33">
      <x:c r="A33" s="12" t="str">
        <x:v>Q28</x:v>
      </x:c>
      <x:c r="B33" s="12" t="str">
        <x:v>性格・行動傾向</x:v>
      </x:c>
      <x:c r="C33" s="12" t="str">
        <x:v>ある程度できるようになれば、それ以上細かく極めなくても満足できる。</x:v>
      </x:c>
      <x:c r="D33" s="12" t="str">
        <x:v>Mastery</x:v>
      </x:c>
      <x:c r="E33" s="12" t="str">
        <x:v>反対極</x:v>
      </x:c>
      <x:c r="F33" s="57" t="n">
        <x:v>0</x:v>
      </x:c>
      <x:c r="G33" s="57" t="n">
        <x:v>0</x:v>
      </x:c>
      <x:c r="H33" s="57" t="n">
        <x:v>0</x:v>
      </x:c>
      <x:c r="I33" s="57" t="n">
        <x:v>0</x:v>
      </x:c>
      <x:c r="J33" s="57" t="n">
        <x:v>0</x:v>
      </x:c>
      <x:c r="K33" s="57" t="n">
        <x:v>0</x:v>
      </x:c>
      <x:c r="L33" s="57" t="n">
        <x:v>-0.9</x:v>
      </x:c>
      <x:c r="M33" s="57" t="n">
        <x:v>0</x:v>
      </x:c>
      <x:c r="N33" s="57" t="n">
        <x:v>0</x:v>
      </x:c>
      <x:c r="O33" s="57" t="n">
        <x:v>0</x:v>
      </x:c>
      <x:c r="P33" s="57" t="n">
        <x:v>0</x:v>
      </x:c>
      <x:c r="Q33" s="57" t="n">
        <x:v>0</x:v>
      </x:c>
      <x:c r="R33" s="57" t="n">
        <x:v>0</x:v>
      </x:c>
      <x:c r="S33" s="57" t="n">
        <x:v>0</x:v>
      </x:c>
      <x:c r="T33" s="57" t="n">
        <x:v>0</x:v>
      </x:c>
      <x:c r="U33" s="57" t="n">
        <x:v>0</x:v>
      </x:c>
      <x:c r="V33" s="57" t="n">
        <x:v>0</x:v>
      </x:c>
      <x:c r="W33" s="57" t="n">
        <x:v>0</x:v>
      </x:c>
      <x:c r="X33" s="57" t="n">
        <x:v>0</x:v>
      </x:c>
      <x:c r="Y33" s="57" t="n">
        <x:v>0</x:v>
      </x:c>
      <x:c r="Z33" s="57" t="n">
        <x:v>-0.8</x:v>
      </x:c>
      <x:c r="AA33" s="57" t="n">
        <x:v>-0.2</x:v>
      </x:c>
      <x:c r="AB33" s="12" t="str">
        <x:v>反対側の行動を自然な肯定文で測定。</x:v>
      </x:c>
      <x:c r="AC33" s="12" t="str">
        <x:v>Mastery</x:v>
      </x:c>
      <x:c r="AD33" s="12" t="str">
        <x:v>反対極</x:v>
      </x:c>
      <x:c r="AE33" s="12" t="str">
        <x:v>M-B</x:v>
      </x:c>
      <x:c r="AF33" s="12" t="str">
        <x:v>短文・一文一概念・価値中立</x:v>
      </x:c>
    </x:row>
    <x:row r="34">
      <x:c r="A34" s="12" t="str">
        <x:v>Q29</x:v>
      </x:c>
      <x:c r="B34" s="12" t="str">
        <x:v>性格・行動傾向</x:v>
      </x:c>
      <x:c r="C34" s="12" t="str">
        <x:v>予定が崩れたら、元に戻すよりその場で予定を組み直す方だ。</x:v>
      </x:c>
      <x:c r="D34" s="12" t="str">
        <x:v>Adaptability / Planning</x:v>
      </x:c>
      <x:c r="E34" s="12" t="str">
        <x:v>統合</x:v>
      </x:c>
      <x:c r="F34" s="57" t="n">
        <x:v>0</x:v>
      </x:c>
      <x:c r="G34" s="57" t="n">
        <x:v>0</x:v>
      </x:c>
      <x:c r="H34" s="57" t="n">
        <x:v>0</x:v>
      </x:c>
      <x:c r="I34" s="57" t="n">
        <x:v>0</x:v>
      </x:c>
      <x:c r="J34" s="57" t="n">
        <x:v>-0.35</x:v>
      </x:c>
      <x:c r="K34" s="57" t="n">
        <x:v>0.65</x:v>
      </x:c>
      <x:c r="L34" s="57" t="n">
        <x:v>0</x:v>
      </x:c>
      <x:c r="M34" s="57" t="n">
        <x:v>0</x:v>
      </x:c>
      <x:c r="N34" s="57" t="n">
        <x:v>0</x:v>
      </x:c>
      <x:c r="O34" s="57" t="n">
        <x:v>0</x:v>
      </x:c>
      <x:c r="P34" s="57" t="n">
        <x:v>0</x:v>
      </x:c>
      <x:c r="Q34" s="57" t="n">
        <x:v>0</x:v>
      </x:c>
      <x:c r="R34" s="57" t="n">
        <x:v>0</x:v>
      </x:c>
      <x:c r="S34" s="57" t="n">
        <x:v>0.15</x:v>
      </x:c>
      <x:c r="T34" s="57" t="n">
        <x:v>0</x:v>
      </x:c>
      <x:c r="U34" s="57" t="n">
        <x:v>0.35</x:v>
      </x:c>
      <x:c r="V34" s="57" t="n">
        <x:v>0</x:v>
      </x:c>
      <x:c r="W34" s="57" t="n">
        <x:v>0</x:v>
      </x:c>
      <x:c r="X34" s="57" t="n">
        <x:v>0</x:v>
      </x:c>
      <x:c r="Y34" s="57" t="n">
        <x:v>0</x:v>
      </x:c>
      <x:c r="Z34" s="57" t="n">
        <x:v>0</x:v>
      </x:c>
      <x:c r="AA34" s="57" t="n">
        <x:v>0.45</x:v>
      </x:c>
      <x:c r="AB34" s="12" t="str">
        <x:v>隣接する2軸のトレードオフを測定。</x:v>
      </x:c>
      <x:c r="AC34" s="12" t="str">
        <x:v>Adaptability+Planning</x:v>
      </x:c>
      <x:c r="AD34" s="12" t="str">
        <x:v>統合</x:v>
      </x:c>
      <x:c r="AE34" s="12" t="str">
        <x:v>AP-X</x:v>
      </x:c>
      <x:c r="AF34" s="12" t="str">
        <x:v>短文・一文一概念・価値中立</x:v>
      </x:c>
    </x:row>
    <x:row r="35">
      <x:c r="A35" s="12" t="str">
        <x:v>Q30</x:v>
      </x:c>
      <x:c r="B35" s="12" t="str">
        <x:v>性格・行動傾向</x:v>
      </x:c>
      <x:c r="C35" s="12" t="str">
        <x:v>自分で決められる場面でも、誰かと一度話してから進める方が落ち着く。</x:v>
      </x:c>
      <x:c r="D35" s="12" t="str">
        <x:v>Cooperation / SelfReliance</x:v>
      </x:c>
      <x:c r="E35" s="12" t="str">
        <x:v>統合</x:v>
      </x:c>
      <x:c r="F35" s="57" t="n">
        <x:v>0</x:v>
      </x:c>
      <x:c r="G35" s="57" t="n">
        <x:v>0</x:v>
      </x:c>
      <x:c r="H35" s="57" t="n">
        <x:v>0.55</x:v>
      </x:c>
      <x:c r="I35" s="57" t="n">
        <x:v>-0.45</x:v>
      </x:c>
      <x:c r="J35" s="57" t="n">
        <x:v>0</x:v>
      </x:c>
      <x:c r="K35" s="57" t="n">
        <x:v>0</x:v>
      </x:c>
      <x:c r="L35" s="57" t="n">
        <x:v>0</x:v>
      </x:c>
      <x:c r="M35" s="57" t="n">
        <x:v>0</x:v>
      </x:c>
      <x:c r="N35" s="57" t="n">
        <x:v>0</x:v>
      </x:c>
      <x:c r="O35" s="57" t="n">
        <x:v>0.4</x:v>
      </x:c>
      <x:c r="P35" s="57" t="n">
        <x:v>0</x:v>
      </x:c>
      <x:c r="Q35" s="57" t="n">
        <x:v>0</x:v>
      </x:c>
      <x:c r="R35" s="57" t="n">
        <x:v>0</x:v>
      </x:c>
      <x:c r="S35" s="57" t="n">
        <x:v>0</x:v>
      </x:c>
      <x:c r="T35" s="57" t="n">
        <x:v>0.5</x:v>
      </x:c>
      <x:c r="U35" s="57" t="n">
        <x:v>0</x:v>
      </x:c>
      <x:c r="V35" s="57" t="n">
        <x:v>-0.35</x:v>
      </x:c>
      <x:c r="W35" s="57" t="n">
        <x:v>0</x:v>
      </x:c>
      <x:c r="X35" s="57" t="n">
        <x:v>0</x:v>
      </x:c>
      <x:c r="Y35" s="57" t="n">
        <x:v>-0.2</x:v>
      </x:c>
      <x:c r="Z35" s="57" t="n">
        <x:v>0</x:v>
      </x:c>
      <x:c r="AA35" s="57" t="n">
        <x:v>0</x:v>
      </x:c>
      <x:c r="AB35" s="12" t="str">
        <x:v>隣接する2軸のトレードオフを測定。</x:v>
      </x:c>
      <x:c r="AC35" s="12" t="str">
        <x:v>Cooperation+SelfReliance</x:v>
      </x:c>
      <x:c r="AD35" s="12" t="str">
        <x:v>統合</x:v>
      </x:c>
      <x:c r="AE35" s="12" t="str">
        <x:v>CS-X</x:v>
      </x:c>
      <x:c r="AF35" s="12" t="str">
        <x:v>短文・一文一概念・価値中立</x:v>
      </x:c>
    </x:row>
  </x:sheetData>
  <x:mergeCells>
    <x:mergeCell ref="A1:AB2"/>
    <x:mergeCell ref="A3:AB3"/>
    <x:mergeCell ref="A1:AF2"/>
    <x:mergeCell ref="A3:AF3"/>
  </x:mergeCells>
  <x:conditionalFormatting sqref="F6:L35">
    <x:cfRule type="colorScale" priority="5">
      <x:colorScale>
        <x:cfvo type="min"/>
        <x:cfvo type="percentile" val="50"/>
        <x:cfvo type="max"/>
        <x:color rgb="FFFECACA"/>
        <x:color rgb="FFFFFFFF"/>
        <x:color rgb="FFA7F3D0"/>
      </x:colorScale>
    </x:cfRule>
  </x:conditionalFormatting>
  <x:conditionalFormatting sqref="M6:AA35">
    <x:cfRule type="colorScale" priority="6">
      <x:colorScale>
        <x:cfvo type="min"/>
        <x:cfvo type="percentile" val="50"/>
        <x:cfvo type="max"/>
        <x:color rgb="FFFECACA"/>
        <x:color rgb="FFFFFFFF"/>
        <x:color rgb="FFC4B5FD"/>
      </x:colorScale>
    </x:cfRule>
  </x:conditionalFormatting>
  <x:pageMargins left="0.7" right="0.7" top="0.75" bottom="0.75" header="0.3" footer="0.3"/>
  <x:tableParts count="1">
    <x:tablePart xmlns:r="http://schemas.openxmlformats.org/officeDocument/2006/relationships" r:id="Re268f6f2989a4156"/>
  </x:tableParts>
</x:worksheet>
</file>

<file path=xl/worksheets/sheet9.xml><?xml version="1.0" encoding="utf-8"?>
<x:worksheet xmlns:x="http://schemas.openxmlformats.org/spreadsheetml/2006/main">
  <x:sheetFormatPr defaultRowHeight="15"/>
  <x:cols>
    <x:col min="1" max="1" width="24" hidden="0" customWidth="1"/>
    <x:col min="2" max="2" width="62" hidden="0" customWidth="1"/>
    <x:col min="3" max="3" width="78" hidden="0" customWidth="1"/>
    <x:col min="4" max="4" width="14" hidden="0" customWidth="1"/>
    <x:col min="5" max="5" width="24" hidden="0" customWidth="1"/>
    <x:col min="6" max="6" width="14" hidden="0" customWidth="1"/>
    <x:col min="7" max="7" width="14" hidden="0" customWidth="1"/>
    <x:col min="8" max="8" width="24" hidden="0" customWidth="1"/>
    <x:col min="9" max="9" width="14" hidden="0" customWidth="1"/>
    <x:col min="10" max="10" width="46" hidden="0" customWidth="1"/>
    <x:col min="12" max="12" width="22" hidden="0" customWidth="1"/>
    <x:col min="13" max="13" width="14" hidden="0" customWidth="1"/>
    <x:col min="14" max="14" width="18" hidden="0" customWidth="1"/>
    <x:col min="15" max="15" width="17" hidden="0" customWidth="1"/>
  </x:cols>
  <x:sheetData>
    <x:row r="1">
      <x:c r="A1" s="165" t="str">
        <x:v>診断モデル：7つの気質 → 15プレイ軸 → Empirical Percentile Matching</x:v>
      </x:c>
      <x:c r="B1" s="165"/>
      <x:c r="C1" s="165"/>
      <x:c r="D1" s="165"/>
      <x:c r="E1" s="165"/>
      <x:c r="F1" s="165"/>
      <x:c r="G1" s="165"/>
      <x:c r="H1" s="165"/>
      <x:c r="I1" s="165"/>
      <x:c r="J1" s="165"/>
      <x:c r="K1" s="165"/>
      <x:c r="L1" s="165"/>
      <x:c r="M1" s="165"/>
      <x:c r="N1" s="165"/>
      <x:c r="O1" s="165"/>
    </x:row>
    <x:row r="2">
      <x:c r="A2" s="165"/>
      <x:c r="B2" s="165"/>
      <x:c r="C2" s="165"/>
      <x:c r="D2" s="165"/>
      <x:c r="E2" s="165"/>
      <x:c r="F2" s="165"/>
      <x:c r="G2" s="165"/>
      <x:c r="H2" s="165"/>
      <x:c r="I2" s="165"/>
      <x:c r="J2" s="165"/>
      <x:c r="K2" s="165"/>
      <x:c r="L2" s="165"/>
      <x:c r="M2" s="165"/>
      <x:c r="N2" s="165"/>
      <x:c r="O2" s="165"/>
    </x:row>
    <x:row r="4">
      <x:c r="A4" s="162" t="str">
        <x:v>回答値</x:v>
      </x:c>
      <x:c r="B4" s="162" t="str">
        <x:v>正規化係数</x:v>
      </x:c>
      <x:c r="C4" s="162" t="str">
        <x:v>表示ラベル</x:v>
      </x:c>
      <x:c r="E4" s="162" t="str">
        <x:v>GlobalSetting</x:v>
      </x:c>
      <x:c r="F4" s="162" t="str">
        <x:v>Value</x:v>
      </x:c>
      <x:c r="H4" s="162" t="str">
        <x:v>DisplaySetting</x:v>
      </x:c>
      <x:c r="I4" s="162" t="str">
        <x:v>Value</x:v>
      </x:c>
    </x:row>
    <x:row r="5">
      <x:c r="A5" t="n">
        <x:v>1</x:v>
      </x:c>
      <x:c r="B5" t="n">
        <x:v>-1</x:v>
      </x:c>
      <x:c r="C5" t="str">
        <x:v>まったく当てはまらない</x:v>
      </x:c>
      <x:c r="E5" t="str">
        <x:v>PersonalityScale</x:v>
      </x:c>
      <x:c r="F5" t="n">
        <x:v>64</x:v>
      </x:c>
      <x:c r="H5" t="str">
        <x:v>DisplayBase</x:v>
      </x:c>
      <x:c r="I5" t="n">
        <x:v>42</x:v>
      </x:c>
    </x:row>
    <x:row r="6">
      <x:c r="A6" t="n">
        <x:v>2</x:v>
      </x:c>
      <x:c r="B6" t="n">
        <x:v>-0.5</x:v>
      </x:c>
      <x:c r="C6" t="str">
        <x:v>あまり当てはまらない</x:v>
      </x:c>
      <x:c r="E6" t="str">
        <x:v>TranslationScale</x:v>
      </x:c>
      <x:c r="F6" t="n">
        <x:v>72</x:v>
      </x:c>
      <x:c r="H6" t="str">
        <x:v>DisplayRange</x:v>
      </x:c>
      <x:c r="I6" t="n">
        <x:v>55</x:v>
      </x:c>
    </x:row>
    <x:row r="7">
      <x:c r="A7" t="n">
        <x:v>3</x:v>
      </x:c>
      <x:c r="B7" t="n">
        <x:v>0</x:v>
      </x:c>
      <x:c r="C7" t="str">
        <x:v>どちらともいえない</x:v>
      </x:c>
      <x:c r="E7" t="str">
        <x:v>PreferenceScale</x:v>
      </x:c>
      <x:c r="F7" t="n">
        <x:v>58</x:v>
      </x:c>
      <x:c r="H7" t="str">
        <x:v>DisplayPower</x:v>
      </x:c>
      <x:c r="I7" t="n">
        <x:v>3</x:v>
      </x:c>
    </x:row>
    <x:row r="8">
      <x:c r="A8" t="n">
        <x:v>4</x:v>
      </x:c>
      <x:c r="B8" t="n">
        <x:v>0.5</x:v>
      </x:c>
      <x:c r="C8" t="str">
        <x:v>やや当てはまる</x:v>
      </x:c>
      <x:c r="E8" t="str">
        <x:v>BaseShapeWeight</x:v>
      </x:c>
      <x:c r="F8" t="n">
        <x:v>0.4</x:v>
      </x:c>
      <x:c r="H8" t="str">
        <x:v>RankPercentileWeight</x:v>
      </x:c>
      <x:c r="I8" t="n">
        <x:v>0.8</x:v>
      </x:c>
    </x:row>
    <x:row r="9">
      <x:c r="A9" t="n">
        <x:v>5</x:v>
      </x:c>
      <x:c r="B9" t="n">
        <x:v>1</x:v>
      </x:c>
      <x:c r="C9" t="str">
        <x:v>とても当てはまる</x:v>
      </x:c>
      <x:c r="E9" t="str">
        <x:v>SignalReference</x:v>
      </x:c>
      <x:c r="F9" t="n">
        <x:v>18</x:v>
      </x:c>
      <x:c r="H9" t="str">
        <x:v>DisplayMin</x:v>
      </x:c>
      <x:c r="I9" t="n">
        <x:v>55</x:v>
      </x:c>
    </x:row>
    <x:row r="10">
      <x:c r="E10" t="str">
        <x:v>SpecificityCorrection</x:v>
      </x:c>
      <x:c r="F10" t="n">
        <x:v>0.45</x:v>
      </x:c>
    </x:row>
    <x:row r="11">
      <x:c r="A11" s="54" t="str">
        <x:v>7性格軸 → 15ゲーム軸 翻訳係数</x:v>
      </x:c>
      <x:c r="B11" s="54"/>
      <x:c r="C11" s="54"/>
      <x:c r="D11" s="54"/>
      <x:c r="E11" s="54" t="str">
        <x:v>SpecificityCap</x:v>
      </x:c>
      <x:c r="F11" s="54" t="n">
        <x:v>5</x:v>
      </x:c>
      <x:c r="G11" s="54"/>
      <x:c r="H11" s="54"/>
      <x:c r="I11" s="54"/>
      <x:c r="J11" s="54"/>
      <x:c r="L11" s="54" t="str">
        <x:v>15軸マッチング設定</x:v>
      </x:c>
      <x:c r="M11" s="54"/>
      <x:c r="N11" s="54"/>
      <x:c r="O11" s="54"/>
    </x:row>
    <x:row r="12">
      <x:c r="A12" s="162" t="str">
        <x:v>GameAxis</x:v>
      </x:c>
      <x:c r="B12" s="162" t="str">
        <x:v>Initiative</x:v>
      </x:c>
      <x:c r="C12" s="162" t="str">
        <x:v>RiskTolerance</x:v>
      </x:c>
      <x:c r="D12" s="162" t="str">
        <x:v>Cooperation</x:v>
      </x:c>
      <x:c r="E12" s="162" t="str">
        <x:v>SelfReliance</x:v>
      </x:c>
      <x:c r="F12" s="162" t="str">
        <x:v>Planning</x:v>
      </x:c>
      <x:c r="G12" s="162" t="str">
        <x:v>Adaptability</x:v>
      </x:c>
      <x:c r="H12" s="162" t="str">
        <x:v>Mastery</x:v>
      </x:c>
      <x:c r="I12" s="162" t="str">
        <x:v>AbsCoeffSum</x:v>
      </x:c>
      <x:c r="J12" s="162" t="str">
        <x:v>式</x:v>
      </x:c>
      <x:c r="L12" s="162" t="str">
        <x:v>GameAxis</x:v>
      </x:c>
      <x:c r="M12" s="162" t="str">
        <x:v>Weight</x:v>
      </x:c>
      <x:c r="N12" s="162" t="str">
        <x:v>OverReqPenalty</x:v>
      </x:c>
      <x:c r="O12" s="162" t="str">
        <x:v>PreferenceBlend</x:v>
      </x:c>
    </x:row>
    <x:row r="13">
      <x:c r="A13" s="12" t="str">
        <x:v>Engage</x:v>
      </x:c>
      <x:c r="B13" s="57" t="n">
        <x:v>0.45</x:v>
      </x:c>
      <x:c r="C13" s="57" t="n">
        <x:v>0.15</x:v>
      </x:c>
      <x:c r="D13" s="57" t="n">
        <x:v>0.1</x:v>
      </x:c>
      <x:c r="E13" s="57" t="n">
        <x:v>0</x:v>
      </x:c>
      <x:c r="F13" s="57" t="n">
        <x:v>-0.05</x:v>
      </x:c>
      <x:c r="G13" s="57" t="n">
        <x:v>0.2</x:v>
      </x:c>
      <x:c r="H13" s="57" t="n">
        <x:v>0</x:v>
      </x:c>
      <x:c r="I13" s="12" t="n">
        <x:f>SUMIF(B13:H13,"&gt;0",B13:H13)-SUMIF(B13:H13,"&lt;0",B13:H13)</x:f>
        <x:v>0.95</x:v>
      </x:c>
      <x:c r="J13" s="12" t="str">
        <x:v>50 + TranslationScale×Linear + InteractionBonus</x:v>
      </x:c>
      <x:c r="L13" t="str">
        <x:v>Engage</x:v>
      </x:c>
      <x:c r="M13" s="60" t="n">
        <x:v>1</x:v>
      </x:c>
      <x:c r="N13" s="60" t="n">
        <x:v>0</x:v>
      </x:c>
      <x:c r="O13" s="60" t="n">
        <x:v>0.15</x:v>
      </x:c>
    </x:row>
    <x:row r="14">
      <x:c r="A14" s="12" t="str">
        <x:v>Dive</x:v>
      </x:c>
      <x:c r="B14" s="57" t="n">
        <x:v>0.25</x:v>
      </x:c>
      <x:c r="C14" s="57" t="n">
        <x:v>0.35</x:v>
      </x:c>
      <x:c r="D14" s="57" t="n">
        <x:v>-0.05</x:v>
      </x:c>
      <x:c r="E14" s="57" t="n">
        <x:v>0.2</x:v>
      </x:c>
      <x:c r="F14" s="57" t="n">
        <x:v>-0.1</x:v>
      </x:c>
      <x:c r="G14" s="57" t="n">
        <x:v>0.15</x:v>
      </x:c>
      <x:c r="H14" s="57" t="n">
        <x:v>0.1</x:v>
      </x:c>
      <x:c r="I14" s="12" t="n">
        <x:f>SUMIF(B14:H14,"&gt;0",B14:H14)-SUMIF(B14:H14,"&lt;0",B14:H14)</x:f>
        <x:v>1.2000000000000002</x:v>
      </x:c>
      <x:c r="J14" s="12" t="str">
        <x:v>50 + TranslationScale×Linear + InteractionBonus</x:v>
      </x:c>
      <x:c r="L14" t="str">
        <x:v>Dive</x:v>
      </x:c>
      <x:c r="M14" s="60" t="n">
        <x:v>1.05</x:v>
      </x:c>
      <x:c r="N14" s="60" t="n">
        <x:v>0</x:v>
      </x:c>
      <x:c r="O14" s="60" t="n">
        <x:v>0.15</x:v>
      </x:c>
    </x:row>
    <x:row r="15">
      <x:c r="A15" s="12" t="str">
        <x:v>Peel</x:v>
      </x:c>
      <x:c r="B15" s="57" t="n">
        <x:v>0.05</x:v>
      </x:c>
      <x:c r="C15" s="57" t="n">
        <x:v>-0.1</x:v>
      </x:c>
      <x:c r="D15" s="57" t="n">
        <x:v>0.45</x:v>
      </x:c>
      <x:c r="E15" s="57" t="n">
        <x:v>-0.1</x:v>
      </x:c>
      <x:c r="F15" s="57" t="n">
        <x:v>0.2</x:v>
      </x:c>
      <x:c r="G15" s="57" t="n">
        <x:v>0.2</x:v>
      </x:c>
      <x:c r="H15" s="57" t="n">
        <x:v>0</x:v>
      </x:c>
      <x:c r="I15" s="12" t="n">
        <x:f>SUMIF(B15:H15,"&gt;0",B15:H15)-SUMIF(B15:H15,"&lt;0",B15:H15)</x:f>
        <x:v>1.0999999999999999</x:v>
      </x:c>
      <x:c r="J15" s="12" t="str">
        <x:v>50 + TranslationScale×Linear + InteractionBonus</x:v>
      </x:c>
      <x:c r="L15" t="str">
        <x:v>Peel</x:v>
      </x:c>
      <x:c r="M15" s="60" t="n">
        <x:v>1</x:v>
      </x:c>
      <x:c r="N15" s="60" t="n">
        <x:v>0</x:v>
      </x:c>
      <x:c r="O15" s="60" t="n">
        <x:v>0.16</x:v>
      </x:c>
    </x:row>
    <x:row r="16">
      <x:c r="A16" s="12" t="str">
        <x:v>Frontline</x:v>
      </x:c>
      <x:c r="B16" s="57" t="n">
        <x:v>0.2</x:v>
      </x:c>
      <x:c r="C16" s="57" t="n">
        <x:v>0.2</x:v>
      </x:c>
      <x:c r="D16" s="57" t="n">
        <x:v>0.15</x:v>
      </x:c>
      <x:c r="E16" s="57" t="n">
        <x:v>0.2</x:v>
      </x:c>
      <x:c r="F16" s="57" t="n">
        <x:v>0</x:v>
      </x:c>
      <x:c r="G16" s="57" t="n">
        <x:v>0.1</x:v>
      </x:c>
      <x:c r="H16" s="57" t="n">
        <x:v>0.15</x:v>
      </x:c>
      <x:c r="I16" s="12" t="n">
        <x:f>SUMIF(B16:H16,"&gt;0",B16:H16)-SUMIF(B16:H16,"&lt;0",B16:H16)</x:f>
        <x:v>1</x:v>
      </x:c>
      <x:c r="J16" s="12" t="str">
        <x:v>50 + TranslationScale×Linear + InteractionBonus</x:v>
      </x:c>
      <x:c r="L16" t="str">
        <x:v>Frontline</x:v>
      </x:c>
      <x:c r="M16" s="60" t="n">
        <x:v>1</x:v>
      </x:c>
      <x:c r="N16" s="60" t="n">
        <x:v>0</x:v>
      </x:c>
      <x:c r="O16" s="60" t="n">
        <x:v>0.1</x:v>
      </x:c>
    </x:row>
    <x:row r="17">
      <x:c r="A17" s="12" t="str">
        <x:v>Poke</x:v>
      </x:c>
      <x:c r="B17" s="57" t="n">
        <x:v>-0.05</x:v>
      </x:c>
      <x:c r="C17" s="57" t="n">
        <x:v>-0.2</x:v>
      </x:c>
      <x:c r="D17" s="57" t="n">
        <x:v>0</x:v>
      </x:c>
      <x:c r="E17" s="57" t="n">
        <x:v>0.1</x:v>
      </x:c>
      <x:c r="F17" s="57" t="n">
        <x:v>0.35</x:v>
      </x:c>
      <x:c r="G17" s="57" t="n">
        <x:v>0.1</x:v>
      </x:c>
      <x:c r="H17" s="57" t="n">
        <x:v>0.2</x:v>
      </x:c>
      <x:c r="I17" s="12" t="n">
        <x:f>SUMIF(B17:H17,"&gt;0",B17:H17)-SUMIF(B17:H17,"&lt;0",B17:H17)</x:f>
        <x:v>1</x:v>
      </x:c>
      <x:c r="J17" s="12" t="str">
        <x:v>50 + TranslationScale×Linear + InteractionBonus</x:v>
      </x:c>
      <x:c r="L17" t="str">
        <x:v>Poke</x:v>
      </x:c>
      <x:c r="M17" s="60" t="n">
        <x:v>1</x:v>
      </x:c>
      <x:c r="N17" s="60" t="n">
        <x:v>0</x:v>
      </x:c>
      <x:c r="O17" s="60" t="n">
        <x:v>0.12</x:v>
      </x:c>
    </x:row>
    <x:row r="18">
      <x:c r="A18" s="12" t="str">
        <x:v>FightTempo</x:v>
      </x:c>
      <x:c r="B18" s="57" t="n">
        <x:v>-0.15</x:v>
      </x:c>
      <x:c r="C18" s="57" t="n">
        <x:v>-0.25</x:v>
      </x:c>
      <x:c r="D18" s="57" t="n">
        <x:v>0</x:v>
      </x:c>
      <x:c r="E18" s="57" t="n">
        <x:v>0.15</x:v>
      </x:c>
      <x:c r="F18" s="57" t="n">
        <x:v>0.15</x:v>
      </x:c>
      <x:c r="G18" s="57" t="n">
        <x:v>0.1</x:v>
      </x:c>
      <x:c r="H18" s="57" t="n">
        <x:v>0.2</x:v>
      </x:c>
      <x:c r="I18" s="12" t="n">
        <x:f>SUMIF(B18:H18,"&gt;0",B18:H18)-SUMIF(B18:H18,"&lt;0",B18:H18)</x:f>
        <x:v>1</x:v>
      </x:c>
      <x:c r="J18" s="12" t="str">
        <x:v>50 + TranslationScale×Linear + InteractionBonus</x:v>
      </x:c>
      <x:c r="L18" t="str">
        <x:v>FightTempo</x:v>
      </x:c>
      <x:c r="M18" s="60" t="n">
        <x:v>0.9</x:v>
      </x:c>
      <x:c r="N18" s="60" t="n">
        <x:v>0</x:v>
      </x:c>
      <x:c r="O18" s="60" t="n">
        <x:v>0.1</x:v>
      </x:c>
    </x:row>
    <x:row r="19">
      <x:c r="A19" s="12" t="str">
        <x:v>Control</x:v>
      </x:c>
      <x:c r="B19" s="57" t="n">
        <x:v>0.05</x:v>
      </x:c>
      <x:c r="C19" s="57" t="n">
        <x:v>-0.1</x:v>
      </x:c>
      <x:c r="D19" s="57" t="n">
        <x:v>0.25</x:v>
      </x:c>
      <x:c r="E19" s="57" t="n">
        <x:v>-0.05</x:v>
      </x:c>
      <x:c r="F19" s="57" t="n">
        <x:v>0.3</x:v>
      </x:c>
      <x:c r="G19" s="57" t="n">
        <x:v>0.25</x:v>
      </x:c>
      <x:c r="H19" s="57" t="n">
        <x:v>0.1</x:v>
      </x:c>
      <x:c r="I19" s="12" t="n">
        <x:f>SUMIF(B19:H19,"&gt;0",B19:H19)-SUMIF(B19:H19,"&lt;0",B19:H19)</x:f>
        <x:v>1.1</x:v>
      </x:c>
      <x:c r="J19" s="12" t="str">
        <x:v>50 + TranslationScale×Linear + InteractionBonus</x:v>
      </x:c>
      <x:c r="L19" t="str">
        <x:v>Control</x:v>
      </x:c>
      <x:c r="M19" s="60" t="n">
        <x:v>1</x:v>
      </x:c>
      <x:c r="N19" s="60" t="n">
        <x:v>0</x:v>
      </x:c>
      <x:c r="O19" s="60" t="n">
        <x:v>0.12</x:v>
      </x:c>
    </x:row>
    <x:row r="20">
      <x:c r="A20" s="12" t="str">
        <x:v>Support</x:v>
      </x:c>
      <x:c r="B20" s="57" t="n">
        <x:v>0</x:v>
      </x:c>
      <x:c r="C20" s="57" t="n">
        <x:v>-0.15</x:v>
      </x:c>
      <x:c r="D20" s="57" t="n">
        <x:v>0.5</x:v>
      </x:c>
      <x:c r="E20" s="57" t="n">
        <x:v>-0.15</x:v>
      </x:c>
      <x:c r="F20" s="57" t="n">
        <x:v>0.2</x:v>
      </x:c>
      <x:c r="G20" s="57" t="n">
        <x:v>0.2</x:v>
      </x:c>
      <x:c r="H20" s="57" t="n">
        <x:v>0</x:v>
      </x:c>
      <x:c r="I20" s="12" t="n">
        <x:f>SUMIF(B20:H20,"&gt;0",B20:H20)-SUMIF(B20:H20,"&lt;0",B20:H20)</x:f>
        <x:v>1.2</x:v>
      </x:c>
      <x:c r="J20" s="12" t="str">
        <x:v>50 + TranslationScale×Linear + InteractionBonus</x:v>
      </x:c>
      <x:c r="L20" t="str">
        <x:v>Support</x:v>
      </x:c>
      <x:c r="M20" s="60" t="n">
        <x:v>1</x:v>
      </x:c>
      <x:c r="N20" s="60" t="n">
        <x:v>0</x:v>
      </x:c>
      <x:c r="O20" s="60" t="n">
        <x:v>0.18</x:v>
      </x:c>
    </x:row>
    <x:row r="21">
      <x:c r="A21" s="12" t="str">
        <x:v>Mobility</x:v>
      </x:c>
      <x:c r="B21" s="57" t="n">
        <x:v>0.15</x:v>
      </x:c>
      <x:c r="C21" s="57" t="n">
        <x:v>0.15</x:v>
      </x:c>
      <x:c r="D21" s="57" t="n">
        <x:v>-0.05</x:v>
      </x:c>
      <x:c r="E21" s="57" t="n">
        <x:v>0.15</x:v>
      </x:c>
      <x:c r="F21" s="57" t="n">
        <x:v>-0.05</x:v>
      </x:c>
      <x:c r="G21" s="57" t="n">
        <x:v>0.3</x:v>
      </x:c>
      <x:c r="H21" s="57" t="n">
        <x:v>0.2</x:v>
      </x:c>
      <x:c r="I21" s="12" t="n">
        <x:f>SUMIF(B21:H21,"&gt;0",B21:H21)-SUMIF(B21:H21,"&lt;0",B21:H21)</x:f>
        <x:v>1.05</x:v>
      </x:c>
      <x:c r="J21" s="12" t="str">
        <x:v>50 + TranslationScale×Linear + InteractionBonus</x:v>
      </x:c>
      <x:c r="L21" t="str">
        <x:v>Mobility</x:v>
      </x:c>
      <x:c r="M21" s="60" t="n">
        <x:v>1</x:v>
      </x:c>
      <x:c r="N21" s="60" t="n">
        <x:v>0</x:v>
      </x:c>
      <x:c r="O21" s="60" t="n">
        <x:v>0.18</x:v>
      </x:c>
    </x:row>
    <x:row r="22">
      <x:c r="A22" s="12" t="str">
        <x:v>SelfSufficiency</x:v>
      </x:c>
      <x:c r="B22" s="57" t="n">
        <x:v>0.05</x:v>
      </x:c>
      <x:c r="C22" s="57" t="n">
        <x:v>0.1</x:v>
      </x:c>
      <x:c r="D22" s="57" t="n">
        <x:v>-0.2</x:v>
      </x:c>
      <x:c r="E22" s="57" t="n">
        <x:v>0.55</x:v>
      </x:c>
      <x:c r="F22" s="57" t="n">
        <x:v>-0.05</x:v>
      </x:c>
      <x:c r="G22" s="57" t="n">
        <x:v>0.15</x:v>
      </x:c>
      <x:c r="H22" s="57" t="n">
        <x:v>0.1</x:v>
      </x:c>
      <x:c r="I22" s="12" t="n">
        <x:f>SUMIF(B22:H22,"&gt;0",B22:H22)-SUMIF(B22:H22,"&lt;0",B22:H22)</x:f>
        <x:v>1.2000000000000002</x:v>
      </x:c>
      <x:c r="J22" s="12" t="str">
        <x:v>50 + TranslationScale×Linear + InteractionBonus</x:v>
      </x:c>
      <x:c r="L22" t="str">
        <x:v>SelfSufficiency</x:v>
      </x:c>
      <x:c r="M22" s="60" t="n">
        <x:v>1</x:v>
      </x:c>
      <x:c r="N22" s="60" t="n">
        <x:v>0</x:v>
      </x:c>
      <x:c r="O22" s="60" t="n">
        <x:v>0.18</x:v>
      </x:c>
    </x:row>
    <x:row r="23">
      <x:c r="A23" s="12" t="str">
        <x:v>FarmScaling</x:v>
      </x:c>
      <x:c r="B23" s="57" t="n">
        <x:v>-0.15</x:v>
      </x:c>
      <x:c r="C23" s="57" t="n">
        <x:v>-0.05</x:v>
      </x:c>
      <x:c r="D23" s="57" t="n">
        <x:v>-0.05</x:v>
      </x:c>
      <x:c r="E23" s="57" t="n">
        <x:v>0.15</x:v>
      </x:c>
      <x:c r="F23" s="57" t="n">
        <x:v>0.35</x:v>
      </x:c>
      <x:c r="G23" s="57" t="n">
        <x:v>0.05</x:v>
      </x:c>
      <x:c r="H23" s="57" t="n">
        <x:v>0.2</x:v>
      </x:c>
      <x:c r="I23" s="12" t="n">
        <x:f>SUMIF(B23:H23,"&gt;0",B23:H23)-SUMIF(B23:H23,"&lt;0",B23:H23)</x:f>
        <x:v>1</x:v>
      </x:c>
      <x:c r="J23" s="12" t="str">
        <x:v>50 + TranslationScale×Linear + InteractionBonus</x:v>
      </x:c>
      <x:c r="L23" t="str">
        <x:v>FarmScaling</x:v>
      </x:c>
      <x:c r="M23" s="60" t="n">
        <x:v>0.45</x:v>
      </x:c>
      <x:c r="N23" s="60" t="n">
        <x:v>0</x:v>
      </x:c>
      <x:c r="O23" s="60" t="n">
        <x:v>0.1</x:v>
      </x:c>
    </x:row>
    <x:row r="24">
      <x:c r="A24" s="12" t="str">
        <x:v>ObjectiveSecure</x:v>
      </x:c>
      <x:c r="B24" s="57" t="n">
        <x:v>0.1</x:v>
      </x:c>
      <x:c r="C24" s="57" t="n">
        <x:v>0.15</x:v>
      </x:c>
      <x:c r="D24" s="57" t="n">
        <x:v>0</x:v>
      </x:c>
      <x:c r="E24" s="57" t="n">
        <x:v>0.25</x:v>
      </x:c>
      <x:c r="F24" s="57" t="n">
        <x:v>0.15</x:v>
      </x:c>
      <x:c r="G24" s="57" t="n">
        <x:v>0.1</x:v>
      </x:c>
      <x:c r="H24" s="57" t="n">
        <x:v>0.25</x:v>
      </x:c>
      <x:c r="I24" s="12" t="n">
        <x:f>SUMIF(B24:H24,"&gt;0",B24:H24)-SUMIF(B24:H24,"&lt;0",B24:H24)</x:f>
        <x:v>1</x:v>
      </x:c>
      <x:c r="J24" s="12" t="str">
        <x:v>50 + TranslationScale×Linear + InteractionBonus</x:v>
      </x:c>
      <x:c r="L24" t="str">
        <x:v>ObjectiveSecure</x:v>
      </x:c>
      <x:c r="M24" s="60" t="n">
        <x:v>0.4</x:v>
      </x:c>
      <x:c r="N24" s="60" t="n">
        <x:v>0</x:v>
      </x:c>
      <x:c r="O24" s="60" t="n">
        <x:v>0.1</x:v>
      </x:c>
    </x:row>
    <x:row r="25">
      <x:c r="A25" s="12" t="str">
        <x:v>ScoringSide</x:v>
      </x:c>
      <x:c r="B25" s="57" t="n">
        <x:v>0.1</x:v>
      </x:c>
      <x:c r="C25" s="57" t="n">
        <x:v>0.2</x:v>
      </x:c>
      <x:c r="D25" s="57" t="n">
        <x:v>-0.2</x:v>
      </x:c>
      <x:c r="E25" s="57" t="n">
        <x:v>0.25</x:v>
      </x:c>
      <x:c r="F25" s="57" t="n">
        <x:v>0.1</x:v>
      </x:c>
      <x:c r="G25" s="57" t="n">
        <x:v>0.25</x:v>
      </x:c>
      <x:c r="H25" s="57" t="n">
        <x:v>0.1</x:v>
      </x:c>
      <x:c r="I25" s="12" t="n">
        <x:f>SUMIF(B25:H25,"&gt;0",B25:H25)-SUMIF(B25:H25,"&lt;0",B25:H25)</x:f>
        <x:v>1.2</x:v>
      </x:c>
      <x:c r="J25" s="12" t="str">
        <x:v>50 + TranslationScale×Linear + InteractionBonus</x:v>
      </x:c>
      <x:c r="L25" t="str">
        <x:v>ScoringSide</x:v>
      </x:c>
      <x:c r="M25" s="60" t="n">
        <x:v>0.45</x:v>
      </x:c>
      <x:c r="N25" s="60" t="n">
        <x:v>0</x:v>
      </x:c>
      <x:c r="O25" s="60" t="n">
        <x:v>0.18</x:v>
      </x:c>
    </x:row>
    <x:row r="26">
      <x:c r="A26" s="12" t="str">
        <x:v>Execution</x:v>
      </x:c>
      <x:c r="B26" s="57" t="n">
        <x:v>0</x:v>
      </x:c>
      <x:c r="C26" s="57" t="n">
        <x:v>0.05</x:v>
      </x:c>
      <x:c r="D26" s="57" t="n">
        <x:v>0</x:v>
      </x:c>
      <x:c r="E26" s="57" t="n">
        <x:v>0.05</x:v>
      </x:c>
      <x:c r="F26" s="57" t="n">
        <x:v>0.05</x:v>
      </x:c>
      <x:c r="G26" s="57" t="n">
        <x:v>0.2</x:v>
      </x:c>
      <x:c r="H26" s="57" t="n">
        <x:v>0.65</x:v>
      </x:c>
      <x:c r="I26" s="12" t="n">
        <x:f>SUMIF(B26:H26,"&gt;0",B26:H26)-SUMIF(B26:H26,"&lt;0",B26:H26)</x:f>
        <x:v>1</x:v>
      </x:c>
      <x:c r="J26" s="12" t="str">
        <x:v>50 + TranslationScale×Linear + InteractionBonus</x:v>
      </x:c>
      <x:c r="L26" t="str">
        <x:v>Execution</x:v>
      </x:c>
      <x:c r="M26" s="60" t="n">
        <x:v>1.1</x:v>
      </x:c>
      <x:c r="N26" s="60" t="n">
        <x:v>0.35</x:v>
      </x:c>
      <x:c r="O26" s="60" t="n">
        <x:v>0.22</x:v>
      </x:c>
    </x:row>
    <x:row r="27">
      <x:c r="A27" s="12" t="str">
        <x:v>Decision</x:v>
      </x:c>
      <x:c r="B27" s="57" t="n">
        <x:v>0.1</x:v>
      </x:c>
      <x:c r="C27" s="57" t="n">
        <x:v>-0.05</x:v>
      </x:c>
      <x:c r="D27" s="57" t="n">
        <x:v>0.1</x:v>
      </x:c>
      <x:c r="E27" s="57" t="n">
        <x:v>0</x:v>
      </x:c>
      <x:c r="F27" s="57" t="n">
        <x:v>0.3</x:v>
      </x:c>
      <x:c r="G27" s="57" t="n">
        <x:v>0.35</x:v>
      </x:c>
      <x:c r="H27" s="57" t="n">
        <x:v>0.2</x:v>
      </x:c>
      <x:c r="I27" s="12" t="n">
        <x:f>SUMIF(B27:H27,"&gt;0",B27:H27)-SUMIF(B27:H27,"&lt;0",B27:H27)</x:f>
        <x:v>1.1</x:v>
      </x:c>
      <x:c r="J27" s="12" t="str">
        <x:v>50 + TranslationScale×Linear + InteractionBonus</x:v>
      </x:c>
      <x:c r="L27" t="str">
        <x:v>Decision</x:v>
      </x:c>
      <x:c r="M27" s="60" t="n">
        <x:v>1.05</x:v>
      </x:c>
      <x:c r="N27" s="60" t="n">
        <x:v>0.15</x:v>
      </x:c>
      <x:c r="O27" s="60" t="n">
        <x:v>0.2</x:v>
      </x:c>
    </x:row>
    <x:row r="30">
      <x:c r="A30" s="162" t="str">
        <x:v>項目</x:v>
      </x:c>
      <x:c r="B30" s="162" t="str">
        <x:v>式/考え方</x:v>
      </x:c>
      <x:c r="C30" s="162" t="str">
        <x:v>用途</x:v>
      </x:c>
      <x:c r="D30" s="54"/>
      <x:c r="E30" s="54"/>
      <x:c r="F30" s="54"/>
      <x:c r="G30" s="54"/>
      <x:c r="H30" s="54"/>
      <x:c r="I30" s="54"/>
      <x:c r="J30" s="54"/>
      <x:c r="K30" s="54"/>
      <x:c r="L30" s="54"/>
      <x:c r="M30" s="54"/>
      <x:c r="N30" s="54"/>
      <x:c r="O30" s="54"/>
    </x:row>
    <x:row r="31">
      <x:c r="A31" s="85" t="str">
        <x:v>性格7軸</x:v>
      </x:c>
      <x:c r="B31" s="85" t="str">
        <x:v>30問すべてから0〜100化</x:v>
      </x:c>
      <x:c r="C31" s="85" t="str">
        <x:v>表側では『様子を見る←→自分から動く』のような両端ラベルで表示。</x:v>
      </x:c>
    </x:row>
    <x:row r="32">
      <x:c r="A32" s="12" t="str">
        <x:v>7→15線形変換</x:v>
      </x:c>
      <x:c r="B32" s="12" t="str">
        <x:v>50 + TranslationScale×Σ(norm性格×係数)/Σ|係数|</x:v>
      </x:c>
      <x:c r="C32" s="12" t="str">
        <x:v>基本となるプレイ傾向。</x:v>
      </x:c>
    </x:row>
    <x:row r="33">
      <x:c r="A33" s="12" t="str">
        <x:v>組み合わせ効果</x:v>
      </x:c>
      <x:c r="B33" s="12" t="str">
        <x:v>高い性格同士の積×InteractionBonus</x:v>
      </x:c>
      <x:c r="C33" s="12" t="str">
        <x:v>『主導性もリスクも高い→切り込み型』のように、平均化されにくくする。</x:v>
      </x:c>
    </x:row>
    <x:row r="34">
      <x:c r="A34" s="12" t="str">
        <x:v>補助嗜好</x:v>
      </x:c>
      <x:c r="B34" s="12" t="str">
        <x:v>Q21〜Q30の一部を15軸へ弱く反映</x:v>
      </x:c>
      <x:c r="C34" s="12" t="str">
        <x:v>直接ゲームの好みを聞きすぎず、性格推定を主役にする。</x:v>
      </x:c>
    </x:row>
    <x:row r="35">
      <x:c r="A35" s="12" t="str">
        <x:v>FightTempo</x:v>
      </x:c>
      <x:c r="B35" s="12" t="str">
        <x:v>0=瞬間決着 / 100=継続戦</x:v>
      </x:c>
      <x:c r="C35" s="12" t="str">
        <x:v>BurstとSustainDPSを統合し、同じ意味の重複を削減。</x:v>
      </x:c>
    </x:row>
    <x:row r="36">
      <x:c r="A36" s="12" t="str">
        <x:v>SelfSufficiency</x:v>
      </x:c>
      <x:c r="B36" s="12" t="str">
        <x:v>0=味方との依存が大きい / 100=自己完結しやすい</x:v>
      </x:c>
      <x:c r="C36" s="12" t="str">
        <x:v>サポートとアサシン等を分ける上で重要な新軸。</x:v>
      </x:c>
    </x:row>
    <x:row r="37">
      <x:c r="A37" s="12" t="str">
        <x:v>RawMatch</x:v>
      </x:c>
      <x:c r="B37" s="12" t="str">
        <x:v>AbsoluteScore＋ShapeScore＋SpecificityCorrection</x:v>
      </x:c>
      <x:c r="C37" s="12" t="str">
        <x:v>15軸の近さと『高低の形』を評価。</x:v>
      </x:c>
    </x:row>
    <x:row r="38">
      <x:c r="A38" s="12" t="str">
        <x:v>Empirical Percentile</x:v>
      </x:c>
      <x:c r="B38" s="12" t="str">
        <x:v>20,000疑似回答で各プロファイルのRawMatch分布を作り、その中での位置を評価</x:v>
      </x:c>
      <x:c r="C38" s="12" t="str">
        <x:v>『このポケモンにここまで合う人は珍しい』を比較可能にする。</x:v>
      </x:c>
    </x:row>
    <x:row r="39">
      <x:c r="A39" s="12" t="str">
        <x:v>DisplayScore</x:v>
      </x:c>
      <x:c r="B39" s="12" t="str">
        <x:v>MAX(DisplayMin, DisplayBase + DisplayRange×Percentile^DisplayPower)</x:v>
      </x:c>
      <x:c r="C39" s="12" t="str">
        <x:v>中間値の75付近へ固まらず、刺さった時は90台まで伸びる表示用スコア。</x:v>
      </x:c>
    </x:row>
    <x:row r="40">
      <x:c r="A40" s="12" t="str">
        <x:v>RankScore</x:v>
      </x:c>
      <x:c r="B40" s="12" t="str">
        <x:v>PercentileWeight×Percentile×100 + 残り×RawMatch + RankBias</x:v>
      </x:c>
      <x:c r="C40" s="12" t="str">
        <x:v>順位用。ポケモンごとの出やすさは小さなRankBiasだけで校正。</x:v>
      </x:c>
    </x:row>
    <x:row r="41">
      <x:c r="A41" s="12" t="str">
        <x:v>補助3軸</x:v>
      </x:c>
      <x:c r="B41" s="12" t="str">
        <x:v>FarmScaling / ObjectiveSecure / ScoringSide</x:v>
      </x:c>
      <x:c r="C41" s="12" t="str">
        <x:v>パッチ影響を受けやすいためWeightを0.4〜0.45に抑える。</x:v>
      </x:c>
    </x:row>
    <x:row r="42">
      <x:c r="A42" s="12" t="str">
        <x:v>注意</x:v>
      </x:c>
      <x:c r="B42" s="12" t="str">
        <x:v>DisplayScoreは勝率・確率ではない</x:v>
      </x:c>
      <x:c r="C42" s="12" t="str">
        <x:v>『相性 / 100』として表示する。</x:v>
      </x:c>
    </x:row>
  </x:sheetData>
  <x:mergeCells>
    <x:mergeCell ref="A1:O2"/>
    <x:mergeCell ref="A11:J11"/>
    <x:mergeCell ref="L11:O11"/>
    <x:mergeCell ref="A30:O30"/>
  </x:mergeCells>
  <x:conditionalFormatting sqref="M13:M27">
    <x:cfRule type="dataBar" priority="6">
      <x:dataBar>
        <x:cfvo type="min"/>
        <x:cfvo type="max"/>
        <x:color rgb="FFA02B93"/>
      </x:dataBar>
      <x:extLst>
        <x:ext xmlns:x14="http://schemas.microsoft.com/office/spreadsheetml/2009/9/main" uri="{B025F937-C7B1-47D3-B67F-A62EFF666E3E}">
          <x14:id>{7B7B289A-090C-3430-A977-D3C97E3FCA30}</x14:id>
        </x:ext>
      </x:extLst>
    </x:cfRule>
  </x:conditionalFormatting>
  <x:conditionalFormatting sqref="N13:N27">
    <x:cfRule type="dataBar" priority="7">
      <x:dataBar>
        <x:cfvo type="min"/>
        <x:cfvo type="max"/>
        <x:color rgb="FF0F9ED5"/>
      </x:dataBar>
      <x:extLst>
        <x:ext xmlns:x14="http://schemas.microsoft.com/office/spreadsheetml/2009/9/main" uri="{B025F937-C7B1-47D3-B67F-A62EFF666E3E}">
          <x14:id>{CB475C5B-1866-34FC-44D8-5ABAFB4546CB}</x14:id>
        </x:ext>
      </x:extLst>
    </x:cfRule>
  </x:conditionalFormatting>
  <x:conditionalFormatting sqref="O13:O27">
    <x:cfRule type="dataBar" priority="8">
      <x:dataBar>
        <x:cfvo type="min"/>
        <x:cfvo type="max"/>
        <x:color rgb="FF196B24"/>
      </x:dataBar>
      <x:extLst>
        <x:ext xmlns:x14="http://schemas.microsoft.com/office/spreadsheetml/2009/9/main" uri="{B025F937-C7B1-47D3-B67F-A62EFF666E3E}">
          <x14:id>{3CA53FAF-3638-155B-A208-D9C55CA1A014}</x14:id>
        </x:ext>
      </x:extLst>
    </x:cfRule>
  </x:conditionalFormatting>
  <x:conditionalFormatting sqref="B13:H27">
    <x:cfRule type="colorScale" priority="9">
      <x:colorScale>
        <x:cfvo type="min"/>
        <x:cfvo type="percentile" val="50"/>
        <x:cfvo type="max"/>
        <x:color rgb="FFFECACA"/>
        <x:color rgb="FFFFFFFF"/>
        <x:color rgb="FFBFDBFE"/>
      </x:colorScale>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6" id="{7B7B289A-090C-3430-A977-D3C97E3FCA30}">
            <x14:dataBar gradient="1">
              <x14:cfvo type="min"/>
              <x14:cfvo type="max"/>
              <x14:fillColor rgb="FFA02B93"/>
            </x14:dataBar>
          </x14:cfRule>
          <xm:sqref>M13:M27</xm:sqref>
        </x14:conditionalFormatting>
        <x14:conditionalFormatting>
          <x14:cfRule type="dataBar" priority="7" id="{CB475C5B-1866-34FC-44D8-5ABAFB4546CB}">
            <x14:dataBar gradient="1">
              <x14:cfvo type="min"/>
              <x14:cfvo type="max"/>
              <x14:fillColor rgb="FF0F9ED5"/>
            </x14:dataBar>
          </x14:cfRule>
          <xm:sqref>N13:N27</xm:sqref>
        </x14:conditionalFormatting>
        <x14:conditionalFormatting>
          <x14:cfRule type="dataBar" priority="8" id="{3CA53FAF-3638-155B-A208-D9C55CA1A014}">
            <x14:dataBar gradient="1">
              <x14:cfvo type="min"/>
              <x14:cfvo type="max"/>
              <x14:fillColor rgb="FF196B24"/>
            </x14:dataBar>
          </x14:cfRule>
          <xm:sqref>O13:O27</xm:sqref>
        </x14:conditionalFormatting>
      </x14:conditionalFormattings>
    </x:ext>
  </x:extLst>
</x:worksheet>
</file>

<file path=xl/worksheets/sheet10.xml><?xml version="1.0" encoding="utf-8"?>
<x:worksheet xmlns:x="http://schemas.openxmlformats.org/spreadsheetml/2006/main">
  <x:sheetFormatPr defaultRowHeight="15"/>
  <x:cols>
    <x:col min="1" max="1" width="8" hidden="0" customWidth="1"/>
    <x:col min="2" max="2" width="16" hidden="0" customWidth="1"/>
    <x:col min="3" max="3" width="50" hidden="0" customWidth="1"/>
    <x:col min="4" max="4" width="13" hidden="0" customWidth="1"/>
    <x:col min="5" max="5" width="13" hidden="0" customWidth="1"/>
    <x:col min="7" max="7" width="20" hidden="0" customWidth="1"/>
    <x:col min="8" max="8" width="18" hidden="0" customWidth="1"/>
    <x:col min="9" max="9" width="14" hidden="0" customWidth="1"/>
    <x:col min="10" max="10" width="14" hidden="0" customWidth="1"/>
    <x:col min="11" max="11" width="11" hidden="0" customWidth="1"/>
    <x:col min="12" max="12" width="13" hidden="0" customWidth="1"/>
    <x:col min="13" max="13" width="28" hidden="0" customWidth="1"/>
    <x:col min="6" max="6" width="13" hidden="0" customWidth="1"/>
  </x:cols>
  <x:sheetData>
    <x:row r="1">
      <x:c r="A1" s="174" t="str">
        <x:v>診断シミュレーター：30問 → 7つの気質 → 15軸 → Percentile Match</x:v>
      </x:c>
      <x:c r="B1" s="174"/>
      <x:c r="C1" s="174"/>
      <x:c r="D1" s="174"/>
      <x:c r="E1" s="174"/>
      <x:c r="F1" s="174"/>
      <x:c r="G1" s="174"/>
      <x:c r="H1" s="174"/>
      <x:c r="I1" s="174"/>
      <x:c r="J1" s="174"/>
      <x:c r="K1" s="174"/>
      <x:c r="L1" s="174"/>
      <x:c r="M1" s="174"/>
    </x:row>
    <x:row r="2">
      <x:c r="A2" s="174"/>
      <x:c r="B2" s="174"/>
      <x:c r="C2" s="174"/>
      <x:c r="D2" s="174"/>
      <x:c r="E2" s="174"/>
      <x:c r="F2" s="174"/>
      <x:c r="G2" s="174"/>
      <x:c r="H2" s="174"/>
      <x:c r="I2" s="174"/>
      <x:c r="J2" s="174"/>
      <x:c r="K2" s="174"/>
      <x:c r="L2" s="174"/>
      <x:c r="M2" s="174"/>
    </x:row>
    <x:row r="3">
      <x:c r="A3" s="167" t="str">
        <x:v>D列に1〜5を入力。質問文は短めにし、結果側では7軸を両端ラベルで見せます。</x:v>
      </x:c>
      <x:c r="B3" s="167"/>
      <x:c r="C3" s="167"/>
      <x:c r="D3" s="167"/>
      <x:c r="E3" s="167"/>
      <x:c r="F3" s="12"/>
      <x:c r="G3" s="162" t="str">
        <x:v>あなたの7つのプレイ気質</x:v>
      </x:c>
      <x:c r="H3" s="162"/>
      <x:c r="I3" s="162"/>
      <x:c r="J3" s="162"/>
      <x:c r="K3" s="162"/>
      <x:c r="L3" s="162"/>
      <x:c r="M3" s="162"/>
    </x:row>
    <x:row r="4">
      <x:c r="A4" s="162" t="str">
        <x:v>QID</x:v>
      </x:c>
      <x:c r="B4" s="162" t="str">
        <x:v>区分</x:v>
      </x:c>
      <x:c r="C4" s="162" t="str">
        <x:v>質問</x:v>
      </x:c>
      <x:c r="D4" s="162" t="str">
        <x:v>回答(1-5)</x:v>
      </x:c>
      <x:c r="E4" s="162" t="str">
        <x:v>正規化</x:v>
      </x:c>
      <x:c r="F4" s="162" t="str">
        <x:v>指標</x:v>
      </x:c>
      <x:c r="G4" s="171" t="str">
        <x:v>自分から動く</x:v>
      </x:c>
      <x:c r="H4" s="171" t="str">
        <x:v>勝負に出る</x:v>
      </x:c>
      <x:c r="I4" s="171" t="str">
        <x:v>味方に合わせる</x:v>
      </x:c>
      <x:c r="J4" s="171" t="str">
        <x:v>自分で決める</x:v>
      </x:c>
      <x:c r="K4" s="171" t="str">
        <x:v>先に考える</x:v>
      </x:c>
      <x:c r="L4" s="171" t="str">
        <x:v>状況で変える</x:v>
      </x:c>
      <x:c r="M4" s="171" t="str">
        <x:v>やり込んで極める</x:v>
      </x:c>
    </x:row>
    <x:row r="5">
      <x:c r="A5" s="12" t="str">
        <x:v>Q01</x:v>
      </x:c>
      <x:c r="B5" s="12" t="str">
        <x:v>性格・行動傾向</x:v>
      </x:c>
      <x:c r="C5" s="12" t="str">
        <x:f>Questions_30!C6</x:f>
        <x:v>みんなで何か決めるとき、案が出なければ自分から候補を出す。</x:v>
      </x:c>
      <x:c r="D5" s="175" t="n">
        <x:v>3</x:v>
      </x:c>
      <x:c r="E5" s="12" t="n">
        <x:f>(D5-3)/2</x:f>
        <x:v>0</x:v>
      </x:c>
      <x:c r="F5" s="176" t="str">
        <x:v>Score</x:v>
      </x:c>
      <x:c r="G5" s="57" t="n">
        <x:f>MAX(0,MIN(100,50+Model_Formula!$F$5*SUMPRODUCT($E$5:$E$34,Questions_30!$F$6:$F$35)/(SUMIF(Questions_30!$F$6:$F$35,"&gt;0",Questions_30!$F$6:$F$35)-SUMIF(Questions_30!$F$6:$F$35,"&lt;0",Questions_30!$F$6:$F$35))))</x:f>
        <x:v>50</x:v>
      </x:c>
      <x:c r="H5" s="57" t="n">
        <x:f>MAX(0,MIN(100,50+Model_Formula!$F$5*SUMPRODUCT($E$5:$E$34,Questions_30!$G$6:$G$35)/(SUMIF(Questions_30!$G$6:$G$35,"&gt;0",Questions_30!$G$6:$G$35)-SUMIF(Questions_30!$G$6:$G$35,"&lt;0",Questions_30!$G$6:$G$35))))</x:f>
        <x:v>50</x:v>
      </x:c>
      <x:c r="I5" s="57" t="n">
        <x:f>MAX(0,MIN(100,50+Model_Formula!$F$5*SUMPRODUCT($E$5:$E$34,Questions_30!$H$6:$H$35)/(SUMIF(Questions_30!$H$6:$H$35,"&gt;0",Questions_30!$H$6:$H$35)-SUMIF(Questions_30!$H$6:$H$35,"&lt;0",Questions_30!$H$6:$H$35))))</x:f>
        <x:v>50</x:v>
      </x:c>
      <x:c r="J5" s="57" t="n">
        <x:f>MAX(0,MIN(100,50+Model_Formula!$F$5*SUMPRODUCT($E$5:$E$34,Questions_30!$I$6:$I$35)/(SUMIF(Questions_30!$I$6:$I$35,"&gt;0",Questions_30!$I$6:$I$35)-SUMIF(Questions_30!$I$6:$I$35,"&lt;0",Questions_30!$I$6:$I$35))))</x:f>
        <x:v>50</x:v>
      </x:c>
      <x:c r="K5" s="57" t="n">
        <x:f>MAX(0,MIN(100,50+Model_Formula!$F$5*SUMPRODUCT($E$5:$E$34,Questions_30!$J$6:$J$35)/(SUMIF(Questions_30!$J$6:$J$35,"&gt;0",Questions_30!$J$6:$J$35)-SUMIF(Questions_30!$J$6:$J$35,"&lt;0",Questions_30!$J$6:$J$35))))</x:f>
        <x:v>50</x:v>
      </x:c>
      <x:c r="L5" s="57" t="n">
        <x:f>MAX(0,MIN(100,50+Model_Formula!$F$5*SUMPRODUCT($E$5:$E$34,Questions_30!$K$6:$K$35)/(SUMIF(Questions_30!$K$6:$K$35,"&gt;0",Questions_30!$K$6:$K$35)-SUMIF(Questions_30!$K$6:$K$35,"&lt;0",Questions_30!$K$6:$K$35))))</x:f>
        <x:v>50</x:v>
      </x:c>
      <x:c r="M5" s="57" t="n">
        <x:f>MAX(0,MIN(100,50+Model_Formula!$F$5*SUMPRODUCT($E$5:$E$34,Questions_30!$L$6:$L$35)/(SUMIF(Questions_30!$L$6:$L$35,"&gt;0",Questions_30!$L$6:$L$35)-SUMIF(Questions_30!$L$6:$L$35,"&lt;0",Questions_30!$L$6:$L$35))))</x:f>
        <x:v>50</x:v>
      </x:c>
    </x:row>
    <x:row r="6">
      <x:c r="A6" s="12" t="str">
        <x:v>Q02</x:v>
      </x:c>
      <x:c r="B6" s="12" t="str">
        <x:v>性格・行動傾向</x:v>
      </x:c>
      <x:c r="C6" s="12" t="str">
        <x:f>Questions_30!C7</x:f>
        <x:v>出かける予定などは、その場で決めるより前もって決めておきたい。</x:v>
      </x:c>
      <x:c r="D6" s="175" t="n">
        <x:v>3</x:v>
      </x:c>
      <x:c r="E6" s="12" t="n">
        <x:f>(D6-3)/2</x:f>
        <x:v>0</x:v>
      </x:c>
      <x:c r="F6" s="176" t="str">
        <x:v>Norm</x:v>
      </x:c>
      <x:c r="G6" s="57" t="n">
        <x:f>(G5-50)/50</x:f>
        <x:v>0</x:v>
      </x:c>
      <x:c r="H6" s="57" t="n">
        <x:f>(H5-50)/50</x:f>
        <x:v>0</x:v>
      </x:c>
      <x:c r="I6" s="57" t="n">
        <x:f>(I5-50)/50</x:f>
        <x:v>0</x:v>
      </x:c>
      <x:c r="J6" s="57" t="n">
        <x:f>(J5-50)/50</x:f>
        <x:v>0</x:v>
      </x:c>
      <x:c r="K6" s="57" t="n">
        <x:f>(K5-50)/50</x:f>
        <x:v>0</x:v>
      </x:c>
      <x:c r="L6" s="57" t="n">
        <x:f>(L5-50)/50</x:f>
        <x:v>0</x:v>
      </x:c>
      <x:c r="M6" s="57" t="n">
        <x:f>(M5-50)/50</x:f>
        <x:v>0</x:v>
      </x:c>
    </x:row>
    <x:row r="7">
      <x:c r="A7" s="12" t="str">
        <x:v>Q03</x:v>
      </x:c>
      <x:c r="B7" s="12" t="str">
        <x:v>性格・行動傾向</x:v>
      </x:c>
      <x:c r="C7" s="12" t="str">
        <x:f>Questions_30!C8</x:f>
        <x:v>迷ったとき、失敗してもやり直せるなら、とりあえず試す方だ。</x:v>
      </x:c>
      <x:c r="D7" s="175" t="n">
        <x:v>3</x:v>
      </x:c>
      <x:c r="E7" s="12" t="n">
        <x:f>(D7-3)/2</x:f>
        <x:v>0</x:v>
      </x:c>
      <x:c r="F7" s="176" t="str">
        <x:v>0側</x:v>
      </x:c>
      <x:c r="G7" s="111" t="str">
        <x:v>様子を見る</x:v>
      </x:c>
      <x:c r="H7" s="111" t="str">
        <x:v>堅実に行く</x:v>
      </x:c>
      <x:c r="I7" s="111" t="str">
        <x:v>自分のペース</x:v>
      </x:c>
      <x:c r="J7" s="111" t="str">
        <x:v>相談して決める</x:v>
      </x:c>
      <x:c r="K7" s="111" t="str">
        <x:v>動きながら考える</x:v>
      </x:c>
      <x:c r="L7" s="111" t="str">
        <x:v>型を貫く</x:v>
      </x:c>
      <x:c r="M7" s="111" t="str">
        <x:v>手軽さ重視</x:v>
      </x:c>
    </x:row>
    <x:row r="8">
      <x:c r="A8" s="12" t="str">
        <x:v>Q04</x:v>
      </x:c>
      <x:c r="B8" s="12" t="str">
        <x:v>性格・行動傾向</x:v>
      </x:c>
      <x:c r="C8" s="12" t="str">
        <x:f>Questions_30!C9</x:f>
        <x:v>みんなで動くときは、自分のペースより周りに合わせることが多い。</x:v>
      </x:c>
      <x:c r="D8" s="175" t="n">
        <x:v>3</x:v>
      </x:c>
      <x:c r="E8" s="12" t="n">
        <x:f>(D8-3)/2</x:f>
        <x:v>0</x:v>
      </x:c>
      <x:c r="F8" s="12"/>
      <x:c r="G8" s="12"/>
      <x:c r="H8" s="12"/>
      <x:c r="I8" s="12"/>
      <x:c r="J8" s="12"/>
      <x:c r="K8" s="12"/>
      <x:c r="L8" s="12"/>
      <x:c r="M8" s="12"/>
    </x:row>
    <x:row r="9">
      <x:c r="A9" s="12" t="str">
        <x:v>Q05</x:v>
      </x:c>
      <x:c r="B9" s="12" t="str">
        <x:v>性格・行動傾向</x:v>
      </x:c>
      <x:c r="C9" s="12" t="str">
        <x:f>Questions_30!C10</x:f>
        <x:v>困ったときは、まず自分で試してから誰かに聞く。</x:v>
      </x:c>
      <x:c r="D9" s="175" t="n">
        <x:v>3</x:v>
      </x:c>
      <x:c r="E9" s="12" t="n">
        <x:f>(D9-3)/2</x:f>
        <x:v>0</x:v>
      </x:c>
      <x:c r="F9" s="12"/>
      <x:c r="G9" s="162" t="str">
        <x:v>最終15プレイ軸（コア12＋補助3）</x:v>
      </x:c>
      <x:c r="H9" s="162"/>
      <x:c r="I9" s="162"/>
      <x:c r="J9" s="162"/>
      <x:c r="K9" s="162"/>
      <x:c r="L9" s="162"/>
      <x:c r="M9" s="162"/>
    </x:row>
    <x:row r="10">
      <x:c r="A10" s="12" t="str">
        <x:v>Q06</x:v>
      </x:c>
      <x:c r="B10" s="12" t="str">
        <x:v>性格・行動傾向</x:v>
      </x:c>
      <x:c r="C10" s="12" t="str">
        <x:f>Questions_30!C11</x:f>
        <x:v>うまくいったやり方は、状況が少し変わってもそのまま使いたい。</x:v>
      </x:c>
      <x:c r="D10" s="175" t="n">
        <x:v>3</x:v>
      </x:c>
      <x:c r="E10" s="12" t="n">
        <x:f>(D10-3)/2</x:f>
        <x:v>0</x:v>
      </x:c>
      <x:c r="F10" s="12"/>
      <x:c r="G10" s="162" t="str">
        <x:v>GameAxis</x:v>
      </x:c>
      <x:c r="H10" s="162" t="str">
        <x:v>表示名</x:v>
      </x:c>
      <x:c r="I10" s="162" t="str">
        <x:v>性格→15</x:v>
      </x:c>
      <x:c r="J10" s="162" t="str">
        <x:v>補助嗜好</x:v>
      </x:c>
      <x:c r="K10" s="162" t="str">
        <x:v>Blend</x:v>
      </x:c>
      <x:c r="L10" s="162" t="str">
        <x:v>Final</x:v>
      </x:c>
      <x:c r="M10" s="162" t="str">
        <x:v>メモ</x:v>
      </x:c>
    </x:row>
    <x:row r="11">
      <x:c r="A11" s="12" t="str">
        <x:v>Q07</x:v>
      </x:c>
      <x:c r="B11" s="12" t="str">
        <x:v>性格・行動傾向</x:v>
      </x:c>
      <x:c r="C11" s="12" t="str">
        <x:f>Questions_30!C12</x:f>
        <x:v>一度ハマったことは、コツや細かい違いまで知りたくなる。</x:v>
      </x:c>
      <x:c r="D11" s="175" t="n">
        <x:v>3</x:v>
      </x:c>
      <x:c r="E11" s="12" t="n">
        <x:f>(D11-3)/2</x:f>
        <x:v>0</x:v>
      </x:c>
      <x:c r="F11" s="12"/>
      <x:c r="G11" s="12" t="str">
        <x:v>Engage</x:v>
      </x:c>
      <x:c r="H11" s="12" t="str">
        <x:v>仕掛け</x:v>
      </x:c>
      <x:c r="I11" s="67" t="n">
        <x:f>MAX(0,MIN(100,50+Model_Formula!$F$6*SUMPRODUCT($G$6:$M$6,Model_Formula!$B$13:$H$13)/Model_Formula!$I$13+MAX(0,$G$6)*MAX(0,$H$6)*Interaction_Model!$F$2+MAX(0,$K$6)*MAX(0,-$H$6)*Interaction_Model!$F$3+MAX(0,$I$6)*MAX(0,$K$6)*Interaction_Model!$F$4+MAX(0,$J$6)*MAX(0,$L$6)*Interaction_Model!$F$5+MAX(0,$M$6)*MAX(0,$L$6)*Interaction_Model!$F$6+MAX(0,$J$6)*MAX(0,$H$6)*Interaction_Model!$F$7))</x:f>
        <x:v>50</x:v>
      </x:c>
      <x:c r="J11" s="67" t="n">
        <x:f>IF((SUMIF(Questions_30!$M$26:$M$35,"&gt;0",Questions_30!$M$26:$M$35)-SUMIF(Questions_30!$M$26:$M$35,"&lt;0",Questions_30!$M$26:$M$35))=0,50,MAX(0,MIN(100,50+Model_Formula!$F$7*SUMPRODUCT($E$25:$E$34,Questions_30!$M$26:$M$35)/(SUMIF(Questions_30!$M$26:$M$35,"&gt;0",Questions_30!$M$26:$M$35)-SUMIF(Questions_30!$M$26:$M$35,"&lt;0",Questions_30!$M$26:$M$35)))))</x:f>
        <x:v>50</x:v>
      </x:c>
      <x:c r="K11" s="67" t="n">
        <x:f>Model_Formula!$O$13</x:f>
        <x:v>0.15</x:v>
      </x:c>
      <x:c r="L11" s="67" t="n">
        <x:f>MAX(0,MIN(100,I11*(1-K11)+J11*K11))</x:f>
        <x:v>50</x:v>
      </x:c>
      <x:c r="M11" s="12" t="str">
        <x:v>コア</x:v>
      </x:c>
    </x:row>
    <x:row r="12">
      <x:c r="A12" s="12" t="str">
        <x:v>Q08</x:v>
      </x:c>
      <x:c r="B12" s="12" t="str">
        <x:v>性格・行動傾向</x:v>
      </x:c>
      <x:c r="C12" s="12" t="str">
        <x:f>Questions_30!C13</x:f>
        <x:v>誰かが決めてくれるなら、自分から前に出なくても気にならない。</x:v>
      </x:c>
      <x:c r="D12" s="175" t="n">
        <x:v>3</x:v>
      </x:c>
      <x:c r="E12" s="12" t="n">
        <x:f>(D12-3)/2</x:f>
        <x:v>0</x:v>
      </x:c>
      <x:c r="F12" s="12"/>
      <x:c r="G12" s="12" t="str">
        <x:v>Dive</x:v>
      </x:c>
      <x:c r="H12" s="12" t="str">
        <x:v>踏み込み</x:v>
      </x:c>
      <x:c r="I12" s="67" t="n">
        <x:f>MAX(0,MIN(100,50+Model_Formula!$F$6*SUMPRODUCT($G$6:$M$6,Model_Formula!$B$14:$H$14)/Model_Formula!$I$14+MAX(0,$G$6)*MAX(0,$H$6)*Interaction_Model!$G$2+MAX(0,$K$6)*MAX(0,-$H$6)*Interaction_Model!$G$3+MAX(0,$I$6)*MAX(0,$K$6)*Interaction_Model!$G$4+MAX(0,$J$6)*MAX(0,$L$6)*Interaction_Model!$G$5+MAX(0,$M$6)*MAX(0,$L$6)*Interaction_Model!$G$6+MAX(0,$J$6)*MAX(0,$H$6)*Interaction_Model!$G$7))</x:f>
        <x:v>50</x:v>
      </x:c>
      <x:c r="J12" s="67" t="n">
        <x:f>IF((SUMIF(Questions_30!$N$26:$N$35,"&gt;0",Questions_30!$N$26:$N$35)-SUMIF(Questions_30!$N$26:$N$35,"&lt;0",Questions_30!$N$26:$N$35))=0,50,MAX(0,MIN(100,50+Model_Formula!$F$7*SUMPRODUCT($E$25:$E$34,Questions_30!$N$26:$N$35)/(SUMIF(Questions_30!$N$26:$N$35,"&gt;0",Questions_30!$N$26:$N$35)-SUMIF(Questions_30!$N$26:$N$35,"&lt;0",Questions_30!$N$26:$N$35)))))</x:f>
        <x:v>50</x:v>
      </x:c>
      <x:c r="K12" s="67" t="n">
        <x:f>Model_Formula!$O$14</x:f>
        <x:v>0.15</x:v>
      </x:c>
      <x:c r="L12" s="67" t="n">
        <x:f>MAX(0,MIN(100,I12*(1-K12)+J12*K12))</x:f>
        <x:v>50</x:v>
      </x:c>
      <x:c r="M12" s="12" t="str">
        <x:v>コア</x:v>
      </x:c>
    </x:row>
    <x:row r="13">
      <x:c r="A13" s="12" t="str">
        <x:v>Q09</x:v>
      </x:c>
      <x:c r="B13" s="12" t="str">
        <x:v>性格・行動傾向</x:v>
      </x:c>
      <x:c r="C13" s="12" t="str">
        <x:f>Questions_30!C14</x:f>
        <x:v>迷うくらいなら、少し得を逃しても安全な方を選ぶ。</x:v>
      </x:c>
      <x:c r="D13" s="175" t="n">
        <x:v>3</x:v>
      </x:c>
      <x:c r="E13" s="12" t="n">
        <x:f>(D13-3)/2</x:f>
        <x:v>0</x:v>
      </x:c>
      <x:c r="F13" s="12"/>
      <x:c r="G13" s="12" t="str">
        <x:v>Peel</x:v>
      </x:c>
      <x:c r="H13" s="12" t="str">
        <x:v>味方保護</x:v>
      </x:c>
      <x:c r="I13" s="67" t="n">
        <x:f>MAX(0,MIN(100,50+Model_Formula!$F$6*SUMPRODUCT($G$6:$M$6,Model_Formula!$B$15:$H$15)/Model_Formula!$I$15+MAX(0,$G$6)*MAX(0,$H$6)*Interaction_Model!$H$2+MAX(0,$K$6)*MAX(0,-$H$6)*Interaction_Model!$H$3+MAX(0,$I$6)*MAX(0,$K$6)*Interaction_Model!$H$4+MAX(0,$J$6)*MAX(0,$L$6)*Interaction_Model!$H$5+MAX(0,$M$6)*MAX(0,$L$6)*Interaction_Model!$H$6+MAX(0,$J$6)*MAX(0,$H$6)*Interaction_Model!$H$7))</x:f>
        <x:v>50</x:v>
      </x:c>
      <x:c r="J13" s="67" t="n">
        <x:f>IF((SUMIF(Questions_30!$O$26:$O$35,"&gt;0",Questions_30!$O$26:$O$35)-SUMIF(Questions_30!$O$26:$O$35,"&lt;0",Questions_30!$O$26:$O$35))=0,50,MAX(0,MIN(100,50+Model_Formula!$F$7*SUMPRODUCT($E$25:$E$34,Questions_30!$O$26:$O$35)/(SUMIF(Questions_30!$O$26:$O$35,"&gt;0",Questions_30!$O$26:$O$35)-SUMIF(Questions_30!$O$26:$O$35,"&lt;0",Questions_30!$O$26:$O$35)))))</x:f>
        <x:v>50</x:v>
      </x:c>
      <x:c r="K13" s="67" t="n">
        <x:f>Model_Formula!$O$15</x:f>
        <x:v>0.16</x:v>
      </x:c>
      <x:c r="L13" s="67" t="n">
        <x:f>MAX(0,MIN(100,I13*(1-K13)+J13*K13))</x:f>
        <x:v>50</x:v>
      </x:c>
      <x:c r="M13" s="12" t="str">
        <x:v>コア</x:v>
      </x:c>
    </x:row>
    <x:row r="14">
      <x:c r="A14" s="12" t="str">
        <x:v>Q10</x:v>
      </x:c>
      <x:c r="B14" s="12" t="str">
        <x:v>性格・行動傾向</x:v>
      </x:c>
      <x:c r="C14" s="12" t="str">
        <x:f>Questions_30!C15</x:f>
        <x:v>細かく予定を決めるより、まず始めてから考える方が楽だ。</x:v>
      </x:c>
      <x:c r="D14" s="175" t="n">
        <x:v>3</x:v>
      </x:c>
      <x:c r="E14" s="12" t="n">
        <x:f>(D14-3)/2</x:f>
        <x:v>0</x:v>
      </x:c>
      <x:c r="F14" s="12"/>
      <x:c r="G14" s="12" t="str">
        <x:v>Frontline</x:v>
      </x:c>
      <x:c r="H14" s="12" t="str">
        <x:v>前線維持</x:v>
      </x:c>
      <x:c r="I14" s="67" t="n">
        <x:f>MAX(0,MIN(100,50+Model_Formula!$F$6*SUMPRODUCT($G$6:$M$6,Model_Formula!$B$16:$H$16)/Model_Formula!$I$16+MAX(0,$G$6)*MAX(0,$H$6)*Interaction_Model!$I$2+MAX(0,$K$6)*MAX(0,-$H$6)*Interaction_Model!$I$3+MAX(0,$I$6)*MAX(0,$K$6)*Interaction_Model!$I$4+MAX(0,$J$6)*MAX(0,$L$6)*Interaction_Model!$I$5+MAX(0,$M$6)*MAX(0,$L$6)*Interaction_Model!$I$6+MAX(0,$J$6)*MAX(0,$H$6)*Interaction_Model!$I$7))</x:f>
        <x:v>50</x:v>
      </x:c>
      <x:c r="J14" s="67" t="n">
        <x:f>IF((SUMIF(Questions_30!$P$26:$P$35,"&gt;0",Questions_30!$P$26:$P$35)-SUMIF(Questions_30!$P$26:$P$35,"&lt;0",Questions_30!$P$26:$P$35))=0,50,MAX(0,MIN(100,50+Model_Formula!$F$7*SUMPRODUCT($E$25:$E$34,Questions_30!$P$26:$P$35)/(SUMIF(Questions_30!$P$26:$P$35,"&gt;0",Questions_30!$P$26:$P$35)-SUMIF(Questions_30!$P$26:$P$35,"&lt;0",Questions_30!$P$26:$P$35)))))</x:f>
        <x:v>50</x:v>
      </x:c>
      <x:c r="K14" s="67" t="n">
        <x:f>Model_Formula!$O$16</x:f>
        <x:v>0.1</x:v>
      </x:c>
      <x:c r="L14" s="67" t="n">
        <x:f>MAX(0,MIN(100,I14*(1-K14)+J14*K14))</x:f>
        <x:v>50</x:v>
      </x:c>
      <x:c r="M14" s="12" t="str">
        <x:v>コア</x:v>
      </x:c>
    </x:row>
    <x:row r="15">
      <x:c r="A15" s="12" t="str">
        <x:v>Q11</x:v>
      </x:c>
      <x:c r="B15" s="12" t="str">
        <x:v>性格・行動傾向</x:v>
      </x:c>
      <x:c r="C15" s="12" t="str">
        <x:f>Questions_30!C16</x:f>
        <x:v>役割が決まっていれば、途中であまり相談せず各自で進めたい。</x:v>
      </x:c>
      <x:c r="D15" s="175" t="n">
        <x:v>3</x:v>
      </x:c>
      <x:c r="E15" s="12" t="n">
        <x:f>(D15-3)/2</x:f>
        <x:v>0</x:v>
      </x:c>
      <x:c r="F15" s="12"/>
      <x:c r="G15" s="12" t="str">
        <x:v>Poke</x:v>
      </x:c>
      <x:c r="H15" s="12" t="str">
        <x:v>間合い管理</x:v>
      </x:c>
      <x:c r="I15" s="67" t="n">
        <x:f>MAX(0,MIN(100,50+Model_Formula!$F$6*SUMPRODUCT($G$6:$M$6,Model_Formula!$B$17:$H$17)/Model_Formula!$I$17+MAX(0,$G$6)*MAX(0,$H$6)*Interaction_Model!$J$2+MAX(0,$K$6)*MAX(0,-$H$6)*Interaction_Model!$J$3+MAX(0,$I$6)*MAX(0,$K$6)*Interaction_Model!$J$4+MAX(0,$J$6)*MAX(0,$L$6)*Interaction_Model!$J$5+MAX(0,$M$6)*MAX(0,$L$6)*Interaction_Model!$J$6+MAX(0,$J$6)*MAX(0,$H$6)*Interaction_Model!$J$7))</x:f>
        <x:v>50</x:v>
      </x:c>
      <x:c r="J15" s="67" t="n">
        <x:f>IF((SUMIF(Questions_30!$Q$26:$Q$35,"&gt;0",Questions_30!$Q$26:$Q$35)-SUMIF(Questions_30!$Q$26:$Q$35,"&lt;0",Questions_30!$Q$26:$Q$35))=0,50,MAX(0,MIN(100,50+Model_Formula!$F$7*SUMPRODUCT($E$25:$E$34,Questions_30!$Q$26:$Q$35)/(SUMIF(Questions_30!$Q$26:$Q$35,"&gt;0",Questions_30!$Q$26:$Q$35)-SUMIF(Questions_30!$Q$26:$Q$35,"&lt;0",Questions_30!$Q$26:$Q$35)))))</x:f>
        <x:v>50</x:v>
      </x:c>
      <x:c r="K15" s="67" t="n">
        <x:f>Model_Formula!$O$17</x:f>
        <x:v>0.12</x:v>
      </x:c>
      <x:c r="L15" s="67" t="n">
        <x:f>MAX(0,MIN(100,I15*(1-K15)+J15*K15))</x:f>
        <x:v>50</x:v>
      </x:c>
      <x:c r="M15" s="12" t="str">
        <x:v>コア</x:v>
      </x:c>
    </x:row>
    <x:row r="16">
      <x:c r="A16" s="12" t="str">
        <x:v>Q12</x:v>
      </x:c>
      <x:c r="B16" s="12" t="str">
        <x:v>性格・行動傾向</x:v>
      </x:c>
      <x:c r="C16" s="12" t="str">
        <x:f>Questions_30!C17</x:f>
        <x:v>一人で決められることでも、一度誰かに聞いてから決める方が安心する。</x:v>
      </x:c>
      <x:c r="D16" s="175" t="n">
        <x:v>3</x:v>
      </x:c>
      <x:c r="E16" s="12" t="n">
        <x:f>(D16-3)/2</x:f>
        <x:v>0</x:v>
      </x:c>
      <x:c r="F16" s="12"/>
      <x:c r="G16" s="12" t="str">
        <x:v>FightTempo</x:v>
      </x:c>
      <x:c r="H16" s="12" t="str">
        <x:v>戦闘テンポ</x:v>
      </x:c>
      <x:c r="I16" s="67" t="n">
        <x:f>MAX(0,MIN(100,50+Model_Formula!$F$6*SUMPRODUCT($G$6:$M$6,Model_Formula!$B$18:$H$18)/Model_Formula!$I$18+MAX(0,$G$6)*MAX(0,$H$6)*Interaction_Model!$K$2+MAX(0,$K$6)*MAX(0,-$H$6)*Interaction_Model!$K$3+MAX(0,$I$6)*MAX(0,$K$6)*Interaction_Model!$K$4+MAX(0,$J$6)*MAX(0,$L$6)*Interaction_Model!$K$5+MAX(0,$M$6)*MAX(0,$L$6)*Interaction_Model!$K$6+MAX(0,$J$6)*MAX(0,$H$6)*Interaction_Model!$K$7))</x:f>
        <x:v>50</x:v>
      </x:c>
      <x:c r="J16" s="67" t="n">
        <x:f>IF((SUMIF(Questions_30!$R$26:$R$35,"&gt;0",Questions_30!$R$26:$R$35)-SUMIF(Questions_30!$R$26:$R$35,"&lt;0",Questions_30!$R$26:$R$35))=0,50,MAX(0,MIN(100,50+Model_Formula!$F$7*SUMPRODUCT($E$25:$E$34,Questions_30!$R$26:$R$35)/(SUMIF(Questions_30!$R$26:$R$35,"&gt;0",Questions_30!$R$26:$R$35)-SUMIF(Questions_30!$R$26:$R$35,"&lt;0",Questions_30!$R$26:$R$35)))))</x:f>
        <x:v>50</x:v>
      </x:c>
      <x:c r="K16" s="67" t="n">
        <x:f>Model_Formula!$O$18</x:f>
        <x:v>0.1</x:v>
      </x:c>
      <x:c r="L16" s="67" t="n">
        <x:f>MAX(0,MIN(100,I16*(1-K16)+J16*K16))</x:f>
        <x:v>50</x:v>
      </x:c>
      <x:c r="M16" s="12" t="str">
        <x:v>0=瞬間 / 100=継続</x:v>
      </x:c>
    </x:row>
    <x:row r="17">
      <x:c r="A17" s="12" t="str">
        <x:v>Q13</x:v>
      </x:c>
      <x:c r="B17" s="12" t="str">
        <x:v>性格・行動傾向</x:v>
      </x:c>
      <x:c r="C17" s="12" t="str">
        <x:f>Questions_30!C18</x:f>
        <x:v>やり方が通じなければ、早めに別の方法へ切り替える方だ。</x:v>
      </x:c>
      <x:c r="D17" s="175" t="n">
        <x:v>3</x:v>
      </x:c>
      <x:c r="E17" s="12" t="n">
        <x:f>(D17-3)/2</x:f>
        <x:v>0</x:v>
      </x:c>
      <x:c r="F17" s="12"/>
      <x:c r="G17" s="12" t="str">
        <x:v>Control</x:v>
      </x:c>
      <x:c r="H17" s="12" t="str">
        <x:v>盤面制御</x:v>
      </x:c>
      <x:c r="I17" s="67" t="n">
        <x:f>MAX(0,MIN(100,50+Model_Formula!$F$6*SUMPRODUCT($G$6:$M$6,Model_Formula!$B$19:$H$19)/Model_Formula!$I$19+MAX(0,$G$6)*MAX(0,$H$6)*Interaction_Model!$L$2+MAX(0,$K$6)*MAX(0,-$H$6)*Interaction_Model!$L$3+MAX(0,$I$6)*MAX(0,$K$6)*Interaction_Model!$L$4+MAX(0,$J$6)*MAX(0,$L$6)*Interaction_Model!$L$5+MAX(0,$M$6)*MAX(0,$L$6)*Interaction_Model!$L$6+MAX(0,$J$6)*MAX(0,$H$6)*Interaction_Model!$L$7))</x:f>
        <x:v>50</x:v>
      </x:c>
      <x:c r="J17" s="67" t="n">
        <x:f>IF((SUMIF(Questions_30!$S$26:$S$35,"&gt;0",Questions_30!$S$26:$S$35)-SUMIF(Questions_30!$S$26:$S$35,"&lt;0",Questions_30!$S$26:$S$35))=0,50,MAX(0,MIN(100,50+Model_Formula!$F$7*SUMPRODUCT($E$25:$E$34,Questions_30!$S$26:$S$35)/(SUMIF(Questions_30!$S$26:$S$35,"&gt;0",Questions_30!$S$26:$S$35)-SUMIF(Questions_30!$S$26:$S$35,"&lt;0",Questions_30!$S$26:$S$35)))))</x:f>
        <x:v>50</x:v>
      </x:c>
      <x:c r="K17" s="67" t="n">
        <x:f>Model_Formula!$O$19</x:f>
        <x:v>0.12</x:v>
      </x:c>
      <x:c r="L17" s="67" t="n">
        <x:f>MAX(0,MIN(100,I17*(1-K17)+J17*K17))</x:f>
        <x:v>50</x:v>
      </x:c>
      <x:c r="M17" s="12" t="str">
        <x:v>コア</x:v>
      </x:c>
    </x:row>
    <x:row r="18">
      <x:c r="A18" s="12" t="str">
        <x:v>Q14</x:v>
      </x:c>
      <x:c r="B18" s="12" t="str">
        <x:v>性格・行動傾向</x:v>
      </x:c>
      <x:c r="C18" s="12" t="str">
        <x:f>Questions_30!C19</x:f>
        <x:v>難しいものを覚えるより、すぐ使えるものを選びやすい。</x:v>
      </x:c>
      <x:c r="D18" s="175" t="n">
        <x:v>3</x:v>
      </x:c>
      <x:c r="E18" s="12" t="n">
        <x:f>(D18-3)/2</x:f>
        <x:v>0</x:v>
      </x:c>
      <x:c r="F18" s="12"/>
      <x:c r="G18" s="12" t="str">
        <x:v>Support</x:v>
      </x:c>
      <x:c r="H18" s="12" t="str">
        <x:v>直接支援</x:v>
      </x:c>
      <x:c r="I18" s="67" t="n">
        <x:f>MAX(0,MIN(100,50+Model_Formula!$F$6*SUMPRODUCT($G$6:$M$6,Model_Formula!$B$20:$H$20)/Model_Formula!$I$20+MAX(0,$G$6)*MAX(0,$H$6)*Interaction_Model!$M$2+MAX(0,$K$6)*MAX(0,-$H$6)*Interaction_Model!$M$3+MAX(0,$I$6)*MAX(0,$K$6)*Interaction_Model!$M$4+MAX(0,$J$6)*MAX(0,$L$6)*Interaction_Model!$M$5+MAX(0,$M$6)*MAX(0,$L$6)*Interaction_Model!$M$6+MAX(0,$J$6)*MAX(0,$H$6)*Interaction_Model!$M$7))</x:f>
        <x:v>50</x:v>
      </x:c>
      <x:c r="J18" s="67" t="n">
        <x:f>IF((SUMIF(Questions_30!$T$26:$T$35,"&gt;0",Questions_30!$T$26:$T$35)-SUMIF(Questions_30!$T$26:$T$35,"&lt;0",Questions_30!$T$26:$T$35))=0,50,MAX(0,MIN(100,50+Model_Formula!$F$7*SUMPRODUCT($E$25:$E$34,Questions_30!$T$26:$T$35)/(SUMIF(Questions_30!$T$26:$T$35,"&gt;0",Questions_30!$T$26:$T$35)-SUMIF(Questions_30!$T$26:$T$35,"&lt;0",Questions_30!$T$26:$T$35)))))</x:f>
        <x:v>50</x:v>
      </x:c>
      <x:c r="K18" s="67" t="n">
        <x:f>Model_Formula!$O$20</x:f>
        <x:v>0.18</x:v>
      </x:c>
      <x:c r="L18" s="67" t="n">
        <x:f>MAX(0,MIN(100,I18*(1-K18)+J18*K18))</x:f>
        <x:v>50</x:v>
      </x:c>
      <x:c r="M18" s="12" t="str">
        <x:v>コア</x:v>
      </x:c>
    </x:row>
    <x:row r="19">
      <x:c r="A19" s="12" t="str">
        <x:v>Q15</x:v>
      </x:c>
      <x:c r="B19" s="12" t="str">
        <x:v>性格・行動傾向</x:v>
      </x:c>
      <x:c r="C19" s="12" t="str">
        <x:f>Questions_30!C20</x:f>
        <x:v>誰がやるか決まっていないことがあれば、自分から引き受けることがある。</x:v>
      </x:c>
      <x:c r="D19" s="175" t="n">
        <x:v>3</x:v>
      </x:c>
      <x:c r="E19" s="12" t="n">
        <x:f>(D19-3)/2</x:f>
        <x:v>0</x:v>
      </x:c>
      <x:c r="F19" s="12"/>
      <x:c r="G19" s="12" t="str">
        <x:v>Mobility</x:v>
      </x:c>
      <x:c r="H19" s="12" t="str">
        <x:v>機動力</x:v>
      </x:c>
      <x:c r="I19" s="67" t="n">
        <x:f>MAX(0,MIN(100,50+Model_Formula!$F$6*SUMPRODUCT($G$6:$M$6,Model_Formula!$B$21:$H$21)/Model_Formula!$I$21+MAX(0,$G$6)*MAX(0,$H$6)*Interaction_Model!$N$2+MAX(0,$K$6)*MAX(0,-$H$6)*Interaction_Model!$N$3+MAX(0,$I$6)*MAX(0,$K$6)*Interaction_Model!$N$4+MAX(0,$J$6)*MAX(0,$L$6)*Interaction_Model!$N$5+MAX(0,$M$6)*MAX(0,$L$6)*Interaction_Model!$N$6+MAX(0,$J$6)*MAX(0,$H$6)*Interaction_Model!$N$7))</x:f>
        <x:v>50</x:v>
      </x:c>
      <x:c r="J19" s="67" t="n">
        <x:f>IF((SUMIF(Questions_30!$U$26:$U$35,"&gt;0",Questions_30!$U$26:$U$35)-SUMIF(Questions_30!$U$26:$U$35,"&lt;0",Questions_30!$U$26:$U$35))=0,50,MAX(0,MIN(100,50+Model_Formula!$F$7*SUMPRODUCT($E$25:$E$34,Questions_30!$U$26:$U$35)/(SUMIF(Questions_30!$U$26:$U$35,"&gt;0",Questions_30!$U$26:$U$35)-SUMIF(Questions_30!$U$26:$U$35,"&lt;0",Questions_30!$U$26:$U$35)))))</x:f>
        <x:v>50</x:v>
      </x:c>
      <x:c r="K19" s="67" t="n">
        <x:f>Model_Formula!$O$21</x:f>
        <x:v>0.18</x:v>
      </x:c>
      <x:c r="L19" s="67" t="n">
        <x:f>MAX(0,MIN(100,I19*(1-K19)+J19*K19))</x:f>
        <x:v>50</x:v>
      </x:c>
      <x:c r="M19" s="12" t="str">
        <x:v>コア</x:v>
      </x:c>
    </x:row>
    <x:row r="20">
      <x:c r="A20" s="12" t="str">
        <x:v>Q16</x:v>
      </x:c>
      <x:c r="B20" s="12" t="str">
        <x:v>性格・行動傾向</x:v>
      </x:c>
      <x:c r="C20" s="12" t="str">
        <x:f>Questions_30!C21</x:f>
        <x:v>チャンスが一度きりなら、準備が十分でなくても動くことがある。</x:v>
      </x:c>
      <x:c r="D20" s="175" t="n">
        <x:v>3</x:v>
      </x:c>
      <x:c r="E20" s="12" t="n">
        <x:f>(D20-3)/2</x:f>
        <x:v>0</x:v>
      </x:c>
      <x:c r="F20" s="12"/>
      <x:c r="G20" s="12" t="str">
        <x:v>SelfSufficiency</x:v>
      </x:c>
      <x:c r="H20" s="12" t="str">
        <x:v>自己完結性</x:v>
      </x:c>
      <x:c r="I20" s="67" t="n">
        <x:f>MAX(0,MIN(100,50+Model_Formula!$F$6*SUMPRODUCT($G$6:$M$6,Model_Formula!$B$22:$H$22)/Model_Formula!$I$22+MAX(0,$G$6)*MAX(0,$H$6)*Interaction_Model!$O$2+MAX(0,$K$6)*MAX(0,-$H$6)*Interaction_Model!$O$3+MAX(0,$I$6)*MAX(0,$K$6)*Interaction_Model!$O$4+MAX(0,$J$6)*MAX(0,$L$6)*Interaction_Model!$O$5+MAX(0,$M$6)*MAX(0,$L$6)*Interaction_Model!$O$6+MAX(0,$J$6)*MAX(0,$H$6)*Interaction_Model!$O$7))</x:f>
        <x:v>50</x:v>
      </x:c>
      <x:c r="J20" s="67" t="n">
        <x:f>IF((SUMIF(Questions_30!$V$26:$V$35,"&gt;0",Questions_30!$V$26:$V$35)-SUMIF(Questions_30!$V$26:$V$35,"&lt;0",Questions_30!$V$26:$V$35))=0,50,MAX(0,MIN(100,50+Model_Formula!$F$7*SUMPRODUCT($E$25:$E$34,Questions_30!$V$26:$V$35)/(SUMIF(Questions_30!$V$26:$V$35,"&gt;0",Questions_30!$V$26:$V$35)-SUMIF(Questions_30!$V$26:$V$35,"&lt;0",Questions_30!$V$26:$V$35)))))</x:f>
        <x:v>50</x:v>
      </x:c>
      <x:c r="K20" s="67" t="n">
        <x:f>Model_Formula!$O$22</x:f>
        <x:v>0.18</x:v>
      </x:c>
      <x:c r="L20" s="67" t="n">
        <x:f>MAX(0,MIN(100,I20*(1-K20)+J20*K20))</x:f>
        <x:v>50</x:v>
      </x:c>
      <x:c r="M20" s="12" t="str">
        <x:v>高いほど単独で完結</x:v>
      </x:c>
    </x:row>
    <x:row r="21">
      <x:c r="A21" s="12" t="str">
        <x:v>Q17</x:v>
      </x:c>
      <x:c r="B21" s="12" t="str">
        <x:v>性格・行動傾向</x:v>
      </x:c>
      <x:c r="C21" s="12" t="str">
        <x:f>Questions_30!C22</x:f>
        <x:v>大事なことは、一度ほかの選択肢も比べてから決めたい。</x:v>
      </x:c>
      <x:c r="D21" s="175" t="n">
        <x:v>3</x:v>
      </x:c>
      <x:c r="E21" s="12" t="n">
        <x:f>(D21-3)/2</x:f>
        <x:v>0</x:v>
      </x:c>
      <x:c r="F21" s="12"/>
      <x:c r="G21" s="12" t="str">
        <x:v>FarmScaling</x:v>
      </x:c>
      <x:c r="H21" s="12" t="str">
        <x:v>成長・スケール</x:v>
      </x:c>
      <x:c r="I21" s="67" t="n">
        <x:f>MAX(0,MIN(100,50+Model_Formula!$F$6*SUMPRODUCT($G$6:$M$6,Model_Formula!$B$23:$H$23)/Model_Formula!$I$23+MAX(0,$G$6)*MAX(0,$H$6)*Interaction_Model!$P$2+MAX(0,$K$6)*MAX(0,-$H$6)*Interaction_Model!$P$3+MAX(0,$I$6)*MAX(0,$K$6)*Interaction_Model!$P$4+MAX(0,$J$6)*MAX(0,$L$6)*Interaction_Model!$P$5+MAX(0,$M$6)*MAX(0,$L$6)*Interaction_Model!$P$6+MAX(0,$J$6)*MAX(0,$H$6)*Interaction_Model!$P$7))</x:f>
        <x:v>50</x:v>
      </x:c>
      <x:c r="J21" s="67" t="n">
        <x:f>IF((SUMIF(Questions_30!$W$26:$W$35,"&gt;0",Questions_30!$W$26:$W$35)-SUMIF(Questions_30!$W$26:$W$35,"&lt;0",Questions_30!$W$26:$W$35))=0,50,MAX(0,MIN(100,50+Model_Formula!$F$7*SUMPRODUCT($E$25:$E$34,Questions_30!$W$26:$W$35)/(SUMIF(Questions_30!$W$26:$W$35,"&gt;0",Questions_30!$W$26:$W$35)-SUMIF(Questions_30!$W$26:$W$35,"&lt;0",Questions_30!$W$26:$W$35)))))</x:f>
        <x:v>50</x:v>
      </x:c>
      <x:c r="K21" s="67" t="n">
        <x:f>Model_Formula!$O$23</x:f>
        <x:v>0.1</x:v>
      </x:c>
      <x:c r="L21" s="67" t="n">
        <x:f>MAX(0,MIN(100,I21*(1-K21)+J21*K21))</x:f>
        <x:v>50</x:v>
      </x:c>
      <x:c r="M21" s="12" t="str">
        <x:v>補助</x:v>
      </x:c>
    </x:row>
    <x:row r="22">
      <x:c r="A22" s="12" t="str">
        <x:v>Q18</x:v>
      </x:c>
      <x:c r="B22" s="12" t="str">
        <x:v>性格・行動傾向</x:v>
      </x:c>
      <x:c r="C22" s="12" t="str">
        <x:f>Questions_30!C23</x:f>
        <x:v>みんなが動きやすくなるなら、自分の担当を変えるのは気にならない。</x:v>
      </x:c>
      <x:c r="D22" s="175" t="n">
        <x:v>3</x:v>
      </x:c>
      <x:c r="E22" s="12" t="n">
        <x:f>(D22-3)/2</x:f>
        <x:v>0</x:v>
      </x:c>
      <x:c r="F22" s="12"/>
      <x:c r="G22" s="12" t="str">
        <x:v>ObjectiveSecure</x:v>
      </x:c>
      <x:c r="H22" s="12" t="str">
        <x:v>取り切り</x:v>
      </x:c>
      <x:c r="I22" s="67" t="n">
        <x:f>MAX(0,MIN(100,50+Model_Formula!$F$6*SUMPRODUCT($G$6:$M$6,Model_Formula!$B$24:$H$24)/Model_Formula!$I$24+MAX(0,$G$6)*MAX(0,$H$6)*Interaction_Model!$Q$2+MAX(0,$K$6)*MAX(0,-$H$6)*Interaction_Model!$Q$3+MAX(0,$I$6)*MAX(0,$K$6)*Interaction_Model!$Q$4+MAX(0,$J$6)*MAX(0,$L$6)*Interaction_Model!$Q$5+MAX(0,$M$6)*MAX(0,$L$6)*Interaction_Model!$Q$6+MAX(0,$J$6)*MAX(0,$H$6)*Interaction_Model!$Q$7))</x:f>
        <x:v>50</x:v>
      </x:c>
      <x:c r="J22" s="67" t="n">
        <x:f>IF((SUMIF(Questions_30!$X$26:$X$35,"&gt;0",Questions_30!$X$26:$X$35)-SUMIF(Questions_30!$X$26:$X$35,"&lt;0",Questions_30!$X$26:$X$35))=0,50,MAX(0,MIN(100,50+Model_Formula!$F$7*SUMPRODUCT($E$25:$E$34,Questions_30!$X$26:$X$35)/(SUMIF(Questions_30!$X$26:$X$35,"&gt;0",Questions_30!$X$26:$X$35)-SUMIF(Questions_30!$X$26:$X$35,"&lt;0",Questions_30!$X$26:$X$35)))))</x:f>
        <x:v>50</x:v>
      </x:c>
      <x:c r="K22" s="67" t="n">
        <x:f>Model_Formula!$O$24</x:f>
        <x:v>0.1</x:v>
      </x:c>
      <x:c r="L22" s="67" t="n">
        <x:f>MAX(0,MIN(100,I22*(1-K22)+J22*K22))</x:f>
        <x:v>50</x:v>
      </x:c>
      <x:c r="M22" s="12" t="str">
        <x:v>補助</x:v>
      </x:c>
    </x:row>
    <x:row r="23">
      <x:c r="A23" s="12" t="str">
        <x:v>Q19</x:v>
      </x:c>
      <x:c r="B23" s="12" t="str">
        <x:v>性格・行動傾向</x:v>
      </x:c>
      <x:c r="C23" s="12" t="str">
        <x:f>Questions_30!C24</x:f>
        <x:v>やり方を任されるなら、細かく決められるより自分で決めたい。</x:v>
      </x:c>
      <x:c r="D23" s="175" t="n">
        <x:v>3</x:v>
      </x:c>
      <x:c r="E23" s="12" t="n">
        <x:f>(D23-3)/2</x:f>
        <x:v>0</x:v>
      </x:c>
      <x:c r="F23" s="12"/>
      <x:c r="G23" s="12" t="str">
        <x:v>ScoringSide</x:v>
      </x:c>
      <x:c r="H23" s="12" t="str">
        <x:v>サイド・得点</x:v>
      </x:c>
      <x:c r="I23" s="67" t="n">
        <x:f>MAX(0,MIN(100,50+Model_Formula!$F$6*SUMPRODUCT($G$6:$M$6,Model_Formula!$B$25:$H$25)/Model_Formula!$I$25+MAX(0,$G$6)*MAX(0,$H$6)*Interaction_Model!$R$2+MAX(0,$K$6)*MAX(0,-$H$6)*Interaction_Model!$R$3+MAX(0,$I$6)*MAX(0,$K$6)*Interaction_Model!$R$4+MAX(0,$J$6)*MAX(0,$L$6)*Interaction_Model!$R$5+MAX(0,$M$6)*MAX(0,$L$6)*Interaction_Model!$R$6+MAX(0,$J$6)*MAX(0,$H$6)*Interaction_Model!$R$7))</x:f>
        <x:v>50</x:v>
      </x:c>
      <x:c r="J23" s="67" t="n">
        <x:f>IF((SUMIF(Questions_30!$Y$26:$Y$35,"&gt;0",Questions_30!$Y$26:$Y$35)-SUMIF(Questions_30!$Y$26:$Y$35,"&lt;0",Questions_30!$Y$26:$Y$35))=0,50,MAX(0,MIN(100,50+Model_Formula!$F$7*SUMPRODUCT($E$25:$E$34,Questions_30!$Y$26:$Y$35)/(SUMIF(Questions_30!$Y$26:$Y$35,"&gt;0",Questions_30!$Y$26:$Y$35)-SUMIF(Questions_30!$Y$26:$Y$35,"&lt;0",Questions_30!$Y$26:$Y$35)))))</x:f>
        <x:v>50</x:v>
      </x:c>
      <x:c r="K23" s="67" t="n">
        <x:f>Model_Formula!$O$25</x:f>
        <x:v>0.18</x:v>
      </x:c>
      <x:c r="L23" s="67" t="n">
        <x:f>MAX(0,MIN(100,I23*(1-K23)+J23*K23))</x:f>
        <x:v>50</x:v>
      </x:c>
      <x:c r="M23" s="12" t="str">
        <x:v>補助</x:v>
      </x:c>
    </x:row>
    <x:row r="24">
      <x:c r="A24" s="12" t="str">
        <x:v>Q20</x:v>
      </x:c>
      <x:c r="B24" s="12" t="str">
        <x:v>性格・行動傾向</x:v>
      </x:c>
      <x:c r="C24" s="12" t="str">
        <x:f>Questions_30!C25</x:f>
        <x:v>予定が崩れたときは、新しいやり方を考えるより元の予定に戻したくなる。</x:v>
      </x:c>
      <x:c r="D24" s="175" t="n">
        <x:v>3</x:v>
      </x:c>
      <x:c r="E24" s="12" t="n">
        <x:f>(D24-3)/2</x:f>
        <x:v>0</x:v>
      </x:c>
      <x:c r="F24" s="12"/>
      <x:c r="G24" s="12" t="str">
        <x:v>Execution</x:v>
      </x:c>
      <x:c r="H24" s="12" t="str">
        <x:v>操作精度</x:v>
      </x:c>
      <x:c r="I24" s="67" t="n">
        <x:f>MAX(0,MIN(100,50+Model_Formula!$F$6*SUMPRODUCT($G$6:$M$6,Model_Formula!$B$26:$H$26)/Model_Formula!$I$26+MAX(0,$G$6)*MAX(0,$H$6)*Interaction_Model!$S$2+MAX(0,$K$6)*MAX(0,-$H$6)*Interaction_Model!$S$3+MAX(0,$I$6)*MAX(0,$K$6)*Interaction_Model!$S$4+MAX(0,$J$6)*MAX(0,$L$6)*Interaction_Model!$S$5+MAX(0,$M$6)*MAX(0,$L$6)*Interaction_Model!$S$6+MAX(0,$J$6)*MAX(0,$H$6)*Interaction_Model!$S$7))</x:f>
        <x:v>50</x:v>
      </x:c>
      <x:c r="J24" s="67" t="n">
        <x:f>IF((SUMIF(Questions_30!$Z$26:$Z$35,"&gt;0",Questions_30!$Z$26:$Z$35)-SUMIF(Questions_30!$Z$26:$Z$35,"&lt;0",Questions_30!$Z$26:$Z$35))=0,50,MAX(0,MIN(100,50+Model_Formula!$F$7*SUMPRODUCT($E$25:$E$34,Questions_30!$Z$26:$Z$35)/(SUMIF(Questions_30!$Z$26:$Z$35,"&gt;0",Questions_30!$Z$26:$Z$35)-SUMIF(Questions_30!$Z$26:$Z$35,"&lt;0",Questions_30!$Z$26:$Z$35)))))</x:f>
        <x:v>50</x:v>
      </x:c>
      <x:c r="K24" s="67" t="n">
        <x:f>Model_Formula!$O$26</x:f>
        <x:v>0.22</x:v>
      </x:c>
      <x:c r="L24" s="67" t="n">
        <x:f>MAX(0,MIN(100,I24*(1-K24)+J24*K24))</x:f>
        <x:v>50</x:v>
      </x:c>
      <x:c r="M24" s="12" t="str">
        <x:v>コア</x:v>
      </x:c>
    </x:row>
    <x:row r="25">
      <x:c r="A25" s="12" t="str">
        <x:v>Q21</x:v>
      </x:c>
      <x:c r="B25" s="12" t="str">
        <x:v>性格・行動傾向</x:v>
      </x:c>
      <x:c r="C25" s="12" t="str">
        <x:f>Questions_30!C26</x:f>
        <x:v>慣れてきたことでも、もっと上手いやり方がないか試したくなる。</x:v>
      </x:c>
      <x:c r="D25" s="175" t="n">
        <x:v>3</x:v>
      </x:c>
      <x:c r="E25" s="12" t="n">
        <x:f>(D25-3)/2</x:f>
        <x:v>0</x:v>
      </x:c>
      <x:c r="F25" s="12"/>
      <x:c r="G25" s="12" t="str">
        <x:v>Decision</x:v>
      </x:c>
      <x:c r="H25" s="12" t="str">
        <x:v>状況判断</x:v>
      </x:c>
      <x:c r="I25" s="67" t="n">
        <x:f>MAX(0,MIN(100,50+Model_Formula!$F$6*SUMPRODUCT($G$6:$M$6,Model_Formula!$B$27:$H$27)/Model_Formula!$I$27+MAX(0,$G$6)*MAX(0,$H$6)*Interaction_Model!$T$2+MAX(0,$K$6)*MAX(0,-$H$6)*Interaction_Model!$T$3+MAX(0,$I$6)*MAX(0,$K$6)*Interaction_Model!$T$4+MAX(0,$J$6)*MAX(0,$L$6)*Interaction_Model!$T$5+MAX(0,$M$6)*MAX(0,$L$6)*Interaction_Model!$T$6+MAX(0,$J$6)*MAX(0,$H$6)*Interaction_Model!$T$7))</x:f>
        <x:v>50</x:v>
      </x:c>
      <x:c r="J25" s="67" t="n">
        <x:f>IF((SUMIF(Questions_30!$AA$26:$AA$35,"&gt;0",Questions_30!$AA$26:$AA$35)-SUMIF(Questions_30!$AA$26:$AA$35,"&lt;0",Questions_30!$AA$26:$AA$35))=0,50,MAX(0,MIN(100,50+Model_Formula!$F$7*SUMPRODUCT($E$25:$E$34,Questions_30!$AA$26:$AA$35)/(SUMIF(Questions_30!$AA$26:$AA$35,"&gt;0",Questions_30!$AA$26:$AA$35)-SUMIF(Questions_30!$AA$26:$AA$35,"&lt;0",Questions_30!$AA$26:$AA$35)))))</x:f>
        <x:v>50</x:v>
      </x:c>
      <x:c r="K25" s="67" t="n">
        <x:f>Model_Formula!$O$27</x:f>
        <x:v>0.2</x:v>
      </x:c>
      <x:c r="L25" s="67" t="n">
        <x:f>MAX(0,MIN(100,I25*(1-K25)+J25*K25))</x:f>
        <x:v>50</x:v>
      </x:c>
      <x:c r="M25" s="12" t="str">
        <x:v>コア</x:v>
      </x:c>
    </x:row>
    <x:row r="26">
      <x:c r="A26" s="12" t="str">
        <x:v>Q22</x:v>
      </x:c>
      <x:c r="B26" s="12" t="str">
        <x:v>性格・行動傾向</x:v>
      </x:c>
      <x:c r="C26" s="12" t="str">
        <x:f>Questions_30!C27</x:f>
        <x:v>話が進まないときでも、自分から流れを変えるより少し様子を見ることが多い。</x:v>
      </x:c>
      <x:c r="D26" s="175" t="n">
        <x:v>3</x:v>
      </x:c>
      <x:c r="E26" s="12" t="n">
        <x:f>(D26-3)/2</x:f>
        <x:v>0</x:v>
      </x:c>
      <x:c r="F26" s="12"/>
      <x:c r="G26" s="12"/>
      <x:c r="H26" s="12"/>
      <x:c r="I26" s="12"/>
      <x:c r="J26" s="12"/>
      <x:c r="K26" s="12"/>
      <x:c r="L26" s="12"/>
      <x:c r="M26" s="12"/>
    </x:row>
    <x:row r="27">
      <x:c r="A27" s="12" t="str">
        <x:v>Q23</x:v>
      </x:c>
      <x:c r="B27" s="12" t="str">
        <x:v>性格・行動傾向</x:v>
      </x:c>
      <x:c r="C27" s="12" t="str">
        <x:f>Questions_30!C28</x:f>
        <x:v>判断に迷うなら、チャンスを逃しても様子を見る方を選びやすい。</x:v>
      </x:c>
      <x:c r="D27" s="175" t="n">
        <x:v>3</x:v>
      </x:c>
      <x:c r="E27" s="12" t="n">
        <x:f>(D27-3)/2</x:f>
        <x:v>0</x:v>
      </x:c>
      <x:c r="F27" s="12"/>
      <x:c r="G27" s="12"/>
      <x:c r="H27" s="12"/>
      <x:c r="I27" s="12"/>
      <x:c r="J27" s="12"/>
      <x:c r="K27" s="12"/>
      <x:c r="L27" s="12"/>
      <x:c r="M27" s="12"/>
    </x:row>
    <x:row r="28">
      <x:c r="A28" s="12" t="str">
        <x:v>Q24</x:v>
      </x:c>
      <x:c r="B28" s="12" t="str">
        <x:v>性格・行動傾向</x:v>
      </x:c>
      <x:c r="C28" s="12" t="str">
        <x:f>Questions_30!C29</x:f>
        <x:v>予定は大枠だけ決めて、細かいことはその場で合わせたい。</x:v>
      </x:c>
      <x:c r="D28" s="175" t="n">
        <x:v>3</x:v>
      </x:c>
      <x:c r="E28" s="12" t="n">
        <x:f>(D28-3)/2</x:f>
        <x:v>0</x:v>
      </x:c>
      <x:c r="F28" s="12"/>
      <x:c r="G28" s="162" t="str">
        <x:v>おすすめ上位10プロファイル（Percentile Match）</x:v>
      </x:c>
      <x:c r="H28" s="162"/>
      <x:c r="I28" s="162"/>
      <x:c r="J28" s="162"/>
      <x:c r="K28" s="162"/>
      <x:c r="L28" s="162"/>
      <x:c r="M28" s="162"/>
    </x:row>
    <x:row r="29">
      <x:c r="A29" s="12" t="str">
        <x:v>Q25</x:v>
      </x:c>
      <x:c r="B29" s="12" t="str">
        <x:v>性格・行動傾向</x:v>
      </x:c>
      <x:c r="C29" s="12" t="str">
        <x:f>Questions_30!C30</x:f>
        <x:v>みんなで動く場面でも、自分のペースを崩さない方が楽だ。</x:v>
      </x:c>
      <x:c r="D29" s="175" t="n">
        <x:v>3</x:v>
      </x:c>
      <x:c r="E29" s="12" t="n">
        <x:f>(D29-3)/2</x:f>
        <x:v>0</x:v>
      </x:c>
      <x:c r="F29" s="12"/>
      <x:c r="G29" s="162" t="str">
        <x:v>Rank</x:v>
      </x:c>
      <x:c r="H29" s="162" t="str">
        <x:v>Pokemon</x:v>
      </x:c>
      <x:c r="I29" s="162" t="str">
        <x:v>Profile</x:v>
      </x:c>
      <x:c r="J29" s="162" t="str">
        <x:v>Role</x:v>
      </x:c>
      <x:c r="K29" s="162" t="str">
        <x:v>相性/100</x:v>
      </x:c>
      <x:c r="L29" s="162" t="str">
        <x:v>ProfileID</x:v>
      </x:c>
      <x:c r="M29" s="162" t="str">
        <x:v>Percentile</x:v>
      </x:c>
    </x:row>
    <x:row r="30">
      <x:c r="A30" s="12" t="str">
        <x:v>Q26</x:v>
      </x:c>
      <x:c r="B30" s="12" t="str">
        <x:v>性格・行動傾向</x:v>
      </x:c>
      <x:c r="C30" s="12" t="str">
        <x:f>Questions_30!C31</x:f>
        <x:v>自由に任されるより、「ここまでは決まっている」方が動きやすい。</x:v>
      </x:c>
      <x:c r="D30" s="175" t="n">
        <x:v>3</x:v>
      </x:c>
      <x:c r="E30" s="12" t="n">
        <x:f>(D30-3)/2</x:f>
        <x:v>0</x:v>
      </x:c>
      <x:c r="F30" s="12"/>
      <x:c r="G30" s="12" t="n">
        <x:v>1</x:v>
      </x:c>
      <x:c r="H30" s="12" t="str">
        <x:f>INDEX(Match_140!$A$6:$A$135,MATCH(G30,Match_140!$AI$6:$AI$135,0))</x:f>
        <x:v>ミュウツー(X)</x:v>
      </x:c>
      <x:c r="I30" s="12" t="str">
        <x:f>INDEX(Match_140!$C$6:$C$135,MATCH(G30,Match_140!$AI$6:$AI$135,0))</x:f>
        <x:v>共通</x:v>
      </x:c>
      <x:c r="J30" s="12" t="str">
        <x:f>INDEX(Match_140!$D$6:$D$135,MATCH(G30,Match_140!$AI$6:$AI$135,0))</x:f>
        <x:v>バランス型</x:v>
      </x:c>
      <x:c r="K30" s="110" t="n">
        <x:f>INDEX(Match_140!$AF$6:$AF$135,MATCH(G30,Match_140!$AI$6:$AI$135,0))</x:f>
        <x:v>94</x:v>
      </x:c>
      <x:c r="L30" s="12" t="str">
        <x:f>INDEX(Match_140!$B$6:$B$135,MATCH(G30,Match_140!$AI$6:$AI$135,0))</x:f>
        <x:v>ミュウツー(X)-1</x:v>
      </x:c>
      <x:c r="M30" s="181" t="n">
        <x:f>INDEX(Match_140!$AE$6:$AE$135,MATCH(G30,Match_140!$AI$6:$AI$135,0))</x:f>
        <x:v>0.98</x:v>
      </x:c>
    </x:row>
    <x:row r="31">
      <x:c r="A31" s="12" t="str">
        <x:v>Q27</x:v>
      </x:c>
      <x:c r="B31" s="12" t="str">
        <x:v>性格・行動傾向</x:v>
      </x:c>
      <x:c r="C31" s="12" t="str">
        <x:f>Questions_30!C32</x:f>
        <x:v>初めてのことは、試しながら自分に合うやり方を探す。</x:v>
      </x:c>
      <x:c r="D31" s="175" t="n">
        <x:v>3</x:v>
      </x:c>
      <x:c r="E31" s="12" t="n">
        <x:f>(D31-3)/2</x:f>
        <x:v>0</x:v>
      </x:c>
      <x:c r="F31" s="12"/>
      <x:c r="G31" s="12" t="n">
        <x:v>2</x:v>
      </x:c>
      <x:c r="H31" s="12" t="str">
        <x:f>INDEX(Match_140!$A$6:$A$135,MATCH(G31,Match_140!$AI$6:$AI$135,0))</x:f>
        <x:v>ダダリン</x:v>
      </x:c>
      <x:c r="I31" s="12" t="str">
        <x:f>INDEX(Match_140!$C$6:$C$135,MATCH(G31,Match_140!$AI$6:$AI$135,0))</x:f>
        <x:v>共通</x:v>
      </x:c>
      <x:c r="J31" s="12" t="str">
        <x:f>INDEX(Match_140!$D$6:$D$135,MATCH(G31,Match_140!$AI$6:$AI$135,0))</x:f>
        <x:v>バランス型</x:v>
      </x:c>
      <x:c r="K31" s="110" t="n">
        <x:f>INDEX(Match_140!$AF$6:$AF$135,MATCH(G31,Match_140!$AI$6:$AI$135,0))</x:f>
        <x:v>91</x:v>
      </x:c>
      <x:c r="L31" s="12" t="str">
        <x:f>INDEX(Match_140!$B$6:$B$135,MATCH(G31,Match_140!$AI$6:$AI$135,0))</x:f>
        <x:v>ダダリン-1</x:v>
      </x:c>
      <x:c r="M31" s="181" t="n">
        <x:f>INDEX(Match_140!$AE$6:$AE$135,MATCH(G31,Match_140!$AI$6:$AI$135,0))</x:f>
        <x:v>0.96</x:v>
      </x:c>
    </x:row>
    <x:row r="32">
      <x:c r="A32" s="12" t="str">
        <x:v>Q28</x:v>
      </x:c>
      <x:c r="B32" s="12" t="str">
        <x:v>性格・行動傾向</x:v>
      </x:c>
      <x:c r="C32" s="12" t="str">
        <x:f>Questions_30!C33</x:f>
        <x:v>ある程度できるようになれば、それ以上細かく極めなくても満足できる。</x:v>
      </x:c>
      <x:c r="D32" s="175" t="n">
        <x:v>3</x:v>
      </x:c>
      <x:c r="E32" s="12" t="n">
        <x:f>(D32-3)/2</x:f>
        <x:v>0</x:v>
      </x:c>
      <x:c r="F32" s="12"/>
      <x:c r="G32" s="12" t="n">
        <x:v>3</x:v>
      </x:c>
      <x:c r="H32" s="12" t="str">
        <x:f>INDEX(Match_140!$A$6:$A$135,MATCH(G32,Match_140!$AI$6:$AI$135,0))</x:f>
        <x:v>ラプラス</x:v>
      </x:c>
      <x:c r="I32" s="12" t="str">
        <x:f>INDEX(Match_140!$C$6:$C$135,MATCH(G32,Match_140!$AI$6:$AI$135,0))</x:f>
        <x:v>共通</x:v>
      </x:c>
      <x:c r="J32" s="12" t="str">
        <x:f>INDEX(Match_140!$D$6:$D$135,MATCH(G32,Match_140!$AI$6:$AI$135,0))</x:f>
        <x:v>ディフェンス型</x:v>
      </x:c>
      <x:c r="K32" s="110" t="n">
        <x:f>INDEX(Match_140!$AF$6:$AF$135,MATCH(G32,Match_140!$AI$6:$AI$135,0))</x:f>
        <x:v>89</x:v>
      </x:c>
      <x:c r="L32" s="12" t="str">
        <x:f>INDEX(Match_140!$B$6:$B$135,MATCH(G32,Match_140!$AI$6:$AI$135,0))</x:f>
        <x:v>ラプラス-1</x:v>
      </x:c>
      <x:c r="M32" s="181" t="n">
        <x:f>INDEX(Match_140!$AE$6:$AE$135,MATCH(G32,Match_140!$AI$6:$AI$135,0))</x:f>
        <x:v>0.95</x:v>
      </x:c>
    </x:row>
    <x:row r="33">
      <x:c r="A33" s="12" t="str">
        <x:v>Q29</x:v>
      </x:c>
      <x:c r="B33" s="12" t="str">
        <x:v>性格・行動傾向</x:v>
      </x:c>
      <x:c r="C33" s="12" t="str">
        <x:f>Questions_30!C34</x:f>
        <x:v>予定が崩れたら、元に戻すよりその場で予定を組み直す方だ。</x:v>
      </x:c>
      <x:c r="D33" s="175" t="n">
        <x:v>3</x:v>
      </x:c>
      <x:c r="E33" s="12" t="n">
        <x:f>(D33-3)/2</x:f>
        <x:v>0</x:v>
      </x:c>
      <x:c r="F33" s="12"/>
      <x:c r="G33" s="12" t="n">
        <x:v>4</x:v>
      </x:c>
      <x:c r="H33" s="12" t="str">
        <x:f>INDEX(Match_140!$A$6:$A$135,MATCH(G33,Match_140!$AI$6:$AI$135,0))</x:f>
        <x:v>オーロット</x:v>
      </x:c>
      <x:c r="I33" s="12" t="str">
        <x:f>INDEX(Match_140!$C$6:$C$135,MATCH(G33,Match_140!$AI$6:$AI$135,0))</x:f>
        <x:v>のろい</x:v>
      </x:c>
      <x:c r="J33" s="12" t="str">
        <x:f>INDEX(Match_140!$D$6:$D$135,MATCH(G33,Match_140!$AI$6:$AI$135,0))</x:f>
        <x:v>ディフェンス型</x:v>
      </x:c>
      <x:c r="K33" s="110" t="n">
        <x:f>INDEX(Match_140!$AF$6:$AF$135,MATCH(G33,Match_140!$AI$6:$AI$135,0))</x:f>
        <x:v>89</x:v>
      </x:c>
      <x:c r="L33" s="12" t="str">
        <x:f>INDEX(Match_140!$B$6:$B$135,MATCH(G33,Match_140!$AI$6:$AI$135,0))</x:f>
        <x:v>オーロット-2</x:v>
      </x:c>
      <x:c r="M33" s="181" t="n">
        <x:f>INDEX(Match_140!$AE$6:$AE$135,MATCH(G33,Match_140!$AI$6:$AI$135,0))</x:f>
        <x:v>0.95</x:v>
      </x:c>
    </x:row>
    <x:row r="34">
      <x:c r="A34" s="12" t="str">
        <x:v>Q30</x:v>
      </x:c>
      <x:c r="B34" s="12" t="str">
        <x:v>性格・行動傾向</x:v>
      </x:c>
      <x:c r="C34" s="12" t="str">
        <x:f>Questions_30!C35</x:f>
        <x:v>自分で決められる場面でも、誰かと一度話してから進める方が落ち着く。</x:v>
      </x:c>
      <x:c r="D34" s="175" t="n">
        <x:v>3</x:v>
      </x:c>
      <x:c r="E34" s="12" t="n">
        <x:f>(D34-3)/2</x:f>
        <x:v>0</x:v>
      </x:c>
      <x:c r="F34" s="12"/>
      <x:c r="G34" s="12" t="n">
        <x:v>5</x:v>
      </x:c>
      <x:c r="H34" s="12" t="str">
        <x:f>INDEX(Match_140!$A$6:$A$135,MATCH(G34,Match_140!$AI$6:$AI$135,0))</x:f>
        <x:v>カビゴン</x:v>
      </x:c>
      <x:c r="I34" s="12" t="str">
        <x:f>INDEX(Match_140!$C$6:$C$135,MATCH(G34,Match_140!$AI$6:$AI$135,0))</x:f>
        <x:v>じたばた</x:v>
      </x:c>
      <x:c r="J34" s="12" t="str">
        <x:f>INDEX(Match_140!$D$6:$D$135,MATCH(G34,Match_140!$AI$6:$AI$135,0))</x:f>
        <x:v>ディフェンス型</x:v>
      </x:c>
      <x:c r="K34" s="110" t="n">
        <x:f>INDEX(Match_140!$AF$6:$AF$135,MATCH(G34,Match_140!$AI$6:$AI$135,0))</x:f>
        <x:v>88</x:v>
      </x:c>
      <x:c r="L34" s="12" t="str">
        <x:f>INDEX(Match_140!$B$6:$B$135,MATCH(G34,Match_140!$AI$6:$AI$135,0))</x:f>
        <x:v>カビゴン-2</x:v>
      </x:c>
      <x:c r="M34" s="181" t="n">
        <x:f>INDEX(Match_140!$AE$6:$AE$135,MATCH(G34,Match_140!$AI$6:$AI$135,0))</x:f>
        <x:v>0.94</x:v>
      </x:c>
    </x:row>
    <x:row r="35">
      <x:c r="A35" s="12"/>
      <x:c r="B35" s="12"/>
      <x:c r="C35" s="12"/>
      <x:c r="D35" s="12"/>
      <x:c r="E35" s="12"/>
      <x:c r="F35" s="12"/>
      <x:c r="G35" s="12" t="n">
        <x:v>6</x:v>
      </x:c>
      <x:c r="H35" s="12" t="str">
        <x:f>INDEX(Match_140!$A$6:$A$135,MATCH(G35,Match_140!$AI$6:$AI$135,0))</x:f>
        <x:v>シャワーズ</x:v>
      </x:c>
      <x:c r="I35" s="12" t="str">
        <x:f>INDEX(Match_140!$C$6:$C$135,MATCH(G35,Match_140!$AI$6:$AI$135,0))</x:f>
        <x:v>クイックターン</x:v>
      </x:c>
      <x:c r="J35" s="12" t="str">
        <x:f>INDEX(Match_140!$D$6:$D$135,MATCH(G35,Match_140!$AI$6:$AI$135,0))</x:f>
        <x:v>ディフェンス型</x:v>
      </x:c>
      <x:c r="K35" s="110" t="n">
        <x:f>INDEX(Match_140!$AF$6:$AF$135,MATCH(G35,Match_140!$AI$6:$AI$135,0))</x:f>
        <x:v>88</x:v>
      </x:c>
      <x:c r="L35" s="12" t="str">
        <x:f>INDEX(Match_140!$B$6:$B$135,MATCH(G35,Match_140!$AI$6:$AI$135,0))</x:f>
        <x:v>シャワーズ-2</x:v>
      </x:c>
      <x:c r="M35" s="181" t="n">
        <x:f>INDEX(Match_140!$AE$6:$AE$135,MATCH(G35,Match_140!$AI$6:$AI$135,0))</x:f>
        <x:v>0.94</x:v>
      </x:c>
    </x:row>
    <x:row r="36">
      <x:c r="A36" s="12"/>
      <x:c r="B36" s="12"/>
      <x:c r="C36" s="12"/>
      <x:c r="D36" s="12"/>
      <x:c r="E36" s="12"/>
      <x:c r="F36" s="12"/>
      <x:c r="G36" s="12" t="n">
        <x:v>7</x:v>
      </x:c>
      <x:c r="H36" s="12" t="str">
        <x:f>INDEX(Match_140!$A$6:$A$135,MATCH(G36,Match_140!$AI$6:$AI$135,0))</x:f>
        <x:v>マッシブーン</x:v>
      </x:c>
      <x:c r="I36" s="12" t="str">
        <x:f>INDEX(Match_140!$C$6:$C$135,MATCH(G36,Match_140!$AI$6:$AI$135,0))</x:f>
        <x:v>共通</x:v>
      </x:c>
      <x:c r="J36" s="12" t="str">
        <x:f>INDEX(Match_140!$D$6:$D$135,MATCH(G36,Match_140!$AI$6:$AI$135,0))</x:f>
        <x:v>バランス型</x:v>
      </x:c>
      <x:c r="K36" s="110" t="n">
        <x:f>INDEX(Match_140!$AF$6:$AF$135,MATCH(G36,Match_140!$AI$6:$AI$135,0))</x:f>
        <x:v>86</x:v>
      </x:c>
      <x:c r="L36" s="12" t="str">
        <x:f>INDEX(Match_140!$B$6:$B$135,MATCH(G36,Match_140!$AI$6:$AI$135,0))</x:f>
        <x:v>マッシブーン-1</x:v>
      </x:c>
      <x:c r="M36" s="181" t="n">
        <x:f>INDEX(Match_140!$AE$6:$AE$135,MATCH(G36,Match_140!$AI$6:$AI$135,0))</x:f>
        <x:v>0.93</x:v>
      </x:c>
    </x:row>
    <x:row r="37">
      <x:c r="A37" s="12"/>
      <x:c r="B37" s="12"/>
      <x:c r="C37" s="12"/>
      <x:c r="D37" s="12"/>
      <x:c r="E37" s="12"/>
      <x:c r="F37" s="12"/>
      <x:c r="G37" s="12" t="n">
        <x:v>8</x:v>
      </x:c>
      <x:c r="H37" s="12" t="str">
        <x:f>INDEX(Match_140!$A$6:$A$135,MATCH(G37,Match_140!$AI$6:$AI$135,0))</x:f>
        <x:v>ホウオウ</x:v>
      </x:c>
      <x:c r="I37" s="12" t="str">
        <x:f>INDEX(Match_140!$C$6:$C$135,MATCH(G37,Match_140!$AI$6:$AI$135,0))</x:f>
        <x:v>ゴッドバード</x:v>
      </x:c>
      <x:c r="J37" s="12" t="str">
        <x:f>INDEX(Match_140!$D$6:$D$135,MATCH(G37,Match_140!$AI$6:$AI$135,0))</x:f>
        <x:v>ディフェンス型</x:v>
      </x:c>
      <x:c r="K37" s="110" t="n">
        <x:f>INDEX(Match_140!$AF$6:$AF$135,MATCH(G37,Match_140!$AI$6:$AI$135,0))</x:f>
        <x:v>86</x:v>
      </x:c>
      <x:c r="L37" s="12" t="str">
        <x:f>INDEX(Match_140!$B$6:$B$135,MATCH(G37,Match_140!$AI$6:$AI$135,0))</x:f>
        <x:v>ホウオウ-2</x:v>
      </x:c>
      <x:c r="M37" s="181" t="n">
        <x:f>INDEX(Match_140!$AE$6:$AE$135,MATCH(G37,Match_140!$AI$6:$AI$135,0))</x:f>
        <x:v>0.93</x:v>
      </x:c>
    </x:row>
    <x:row r="38">
      <x:c r="A38" s="12"/>
      <x:c r="B38" s="12"/>
      <x:c r="C38" s="12"/>
      <x:c r="D38" s="12"/>
      <x:c r="E38" s="12"/>
      <x:c r="F38" s="12"/>
      <x:c r="G38" s="12" t="n">
        <x:v>9</x:v>
      </x:c>
      <x:c r="H38" s="12" t="str">
        <x:f>INDEX(Match_140!$A$6:$A$135,MATCH(G38,Match_140!$AI$6:$AI$135,0))</x:f>
        <x:v>コダック</x:v>
      </x:c>
      <x:c r="I38" s="12" t="str">
        <x:f>INDEX(Match_140!$C$6:$C$135,MATCH(G38,Match_140!$AI$6:$AI$135,0))</x:f>
        <x:v>共通</x:v>
      </x:c>
      <x:c r="J38" s="12" t="str">
        <x:f>INDEX(Match_140!$D$6:$D$135,MATCH(G38,Match_140!$AI$6:$AI$135,0))</x:f>
        <x:v>サポート型</x:v>
      </x:c>
      <x:c r="K38" s="110" t="n">
        <x:f>INDEX(Match_140!$AF$6:$AF$135,MATCH(G38,Match_140!$AI$6:$AI$135,0))</x:f>
        <x:v>83</x:v>
      </x:c>
      <x:c r="L38" s="12" t="str">
        <x:f>INDEX(Match_140!$B$6:$B$135,MATCH(G38,Match_140!$AI$6:$AI$135,0))</x:f>
        <x:v>コダック-1</x:v>
      </x:c>
      <x:c r="M38" s="181" t="n">
        <x:f>INDEX(Match_140!$AE$6:$AE$135,MATCH(G38,Match_140!$AI$6:$AI$135,0))</x:f>
        <x:v>0.91</x:v>
      </x:c>
    </x:row>
    <x:row r="39">
      <x:c r="A39" s="12"/>
      <x:c r="B39" s="12"/>
      <x:c r="C39" s="12"/>
      <x:c r="D39" s="12"/>
      <x:c r="E39" s="12"/>
      <x:c r="F39" s="12"/>
      <x:c r="G39" s="12" t="n">
        <x:v>10</x:v>
      </x:c>
      <x:c r="H39" s="12" t="str">
        <x:f>INDEX(Match_140!$A$6:$A$135,MATCH(G39,Match_140!$AI$6:$AI$135,0))</x:f>
        <x:v>ソルガレオ</x:v>
      </x:c>
      <x:c r="I39" s="12" t="str">
        <x:f>INDEX(Match_140!$C$6:$C$135,MATCH(G39,Match_140!$AI$6:$AI$135,0))</x:f>
        <x:v>共通</x:v>
      </x:c>
      <x:c r="J39" s="12" t="str">
        <x:f>INDEX(Match_140!$D$6:$D$135,MATCH(G39,Match_140!$AI$6:$AI$135,0))</x:f>
        <x:v>バランス型</x:v>
      </x:c>
      <x:c r="K39" s="110" t="n">
        <x:f>INDEX(Match_140!$AF$6:$AF$135,MATCH(G39,Match_140!$AI$6:$AI$135,0))</x:f>
        <x:v>82</x:v>
      </x:c>
      <x:c r="L39" s="12" t="str">
        <x:f>INDEX(Match_140!$B$6:$B$135,MATCH(G39,Match_140!$AI$6:$AI$135,0))</x:f>
        <x:v>ソルガレオ-1</x:v>
      </x:c>
      <x:c r="M39" s="181" t="n">
        <x:f>INDEX(Match_140!$AE$6:$AE$135,MATCH(G39,Match_140!$AI$6:$AI$135,0))</x:f>
        <x:v>0.9</x:v>
      </x:c>
    </x:row>
  </x:sheetData>
  <x:mergeCells>
    <x:mergeCell ref="A1:M2"/>
    <x:mergeCell ref="A3:E3"/>
    <x:mergeCell ref="G3:M3"/>
    <x:mergeCell ref="G9:M9"/>
    <x:mergeCell ref="G28:M28"/>
  </x:mergeCells>
  <x:conditionalFormatting sqref="D5:D34">
    <x:cfRule type="colorScale" priority="1">
      <x:colorScale>
        <x:cfvo type="min"/>
        <x:cfvo type="percentile" val="50"/>
        <x:cfvo type="max"/>
        <x:color rgb="FFFEE2E2"/>
        <x:color rgb="FFFEF3C7"/>
        <x:color rgb="FFDCFCE7"/>
      </x:colorScale>
    </x:cfRule>
  </x:conditionalFormatting>
  <x:conditionalFormatting sqref="G5:M5">
    <x:cfRule type="dataBar" priority="4">
      <x:dataBar>
        <x:cfvo type="min"/>
        <x:cfvo type="max"/>
        <x:color rgb="FFA02B93"/>
      </x:dataBar>
      <x:extLst>
        <x:ext xmlns:x14="http://schemas.microsoft.com/office/spreadsheetml/2009/9/main" uri="{B025F937-C7B1-47D3-B67F-A62EFF666E3E}">
          <x14:id>{57B5D4C0-D36D-1819-16E8-A5996F05A974}</x14:id>
        </x:ext>
      </x:extLst>
    </x:cfRule>
  </x:conditionalFormatting>
  <x:conditionalFormatting sqref="L11:L25">
    <x:cfRule type="dataBar" priority="5">
      <x:dataBar>
        <x:cfvo type="min"/>
        <x:cfvo type="max"/>
        <x:color rgb="FFA02B93"/>
      </x:dataBar>
      <x:extLst>
        <x:ext xmlns:x14="http://schemas.microsoft.com/office/spreadsheetml/2009/9/main" uri="{B025F937-C7B1-47D3-B67F-A62EFF666E3E}">
          <x14:id>{091D6CEA-86ED-9DCF-A6C0-6B6D60E6EE3D}</x14:id>
        </x:ext>
      </x:extLst>
    </x:cfRule>
  </x:conditionalFormatting>
  <x:dataValidations count="1">
    <x:dataValidation type="list" sqref="D5:D34">
      <x:formula1>"1,2,3,4,5"</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57B5D4C0-D36D-1819-16E8-A5996F05A974}">
            <x14:dataBar gradient="1">
              <x14:cfvo type="min"/>
              <x14:cfvo type="max"/>
              <x14:fillColor rgb="FFA02B93"/>
            </x14:dataBar>
          </x14:cfRule>
          <xm:sqref>G5:M5</xm:sqref>
        </x14:conditionalFormatting>
        <x14:conditionalFormatting>
          <x14:cfRule type="dataBar" priority="5" id="{091D6CEA-86ED-9DCF-A6C0-6B6D60E6EE3D}">
            <x14:dataBar gradient="1">
              <x14:cfvo type="min"/>
              <x14:cfvo type="max"/>
              <x14:fillColor rgb="FFA02B93"/>
            </x14:dataBar>
          </x14:cfRule>
          <xm:sqref>L11:L25</xm:sqref>
        </x14:conditionalFormatting>
      </x14:conditionalFormattings>
    </x:ext>
  </x:extLst>
</x:worksheet>
</file>

<file path=xl/worksheets/sheet11.xml><?xml version="1.0" encoding="utf-8"?>
<x:worksheet xmlns:x="http://schemas.openxmlformats.org/spreadsheetml/2006/main">
  <x:sheetFormatPr defaultRowHeight="15"/>
  <x:cols>
    <x:col min="1" max="1" width="18" hidden="0" customWidth="1"/>
    <x:col min="2" max="2" width="22" hidden="0" customWidth="1"/>
    <x:col min="3" max="3" width="18" hidden="0" customWidth="1"/>
    <x:col min="4" max="4" width="14"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 min="21" max="21" width="13" hidden="0" customWidth="1"/>
    <x:col min="22" max="22" width="11" hidden="0" customWidth="1"/>
    <x:col min="23" max="23" width="13" hidden="0" customWidth="1"/>
    <x:col min="24" max="24" width="13" hidden="0" customWidth="1"/>
    <x:col min="25" max="25" width="13" hidden="0" customWidth="1"/>
    <x:col min="26" max="26" width="12" hidden="0" customWidth="1"/>
    <x:col min="27" max="27" width="13" hidden="0" customWidth="1"/>
    <x:col min="28" max="28" width="16" hidden="0" customWidth="1"/>
    <x:col min="29" max="29" width="16" hidden="0" customWidth="1"/>
    <x:col min="30" max="30" width="12" hidden="0" customWidth="1"/>
    <x:col min="31" max="31" width="13" hidden="0" customWidth="1"/>
    <x:col min="32" max="32" width="13" hidden="0" customWidth="1"/>
    <x:col min="33" max="33" width="11" hidden="0" customWidth="1"/>
    <x:col min="34" max="34" width="13" hidden="0" customWidth="1"/>
    <x:col min="35" max="35" width="9" hidden="0" customWidth="1"/>
  </x:cols>
  <x:sheetData>
    <x:row r="1">
      <x:c r="A1" s="165" t="str">
        <x:v>130プロファイル：Raw Match → Empirical Percentile → 表示相性 / 順位</x:v>
      </x:c>
      <x:c r="B1" s="165"/>
      <x:c r="C1" s="165"/>
      <x:c r="D1" s="165"/>
      <x:c r="E1" s="165"/>
      <x:c r="F1" s="165"/>
      <x:c r="G1" s="165"/>
      <x:c r="H1" s="165"/>
      <x:c r="I1" s="165"/>
      <x:c r="J1" s="165"/>
      <x:c r="K1" s="165"/>
      <x:c r="L1" s="165"/>
      <x:c r="M1" s="165"/>
      <x:c r="N1" s="165"/>
      <x:c r="O1" s="165"/>
      <x:c r="P1" s="165"/>
      <x:c r="Q1" s="165"/>
      <x:c r="R1" s="165"/>
      <x:c r="S1" s="165"/>
      <x:c r="T1" s="165"/>
      <x:c r="U1" s="165"/>
      <x:c r="V1" s="165"/>
      <x:c r="W1" s="165"/>
      <x:c r="X1" s="165"/>
      <x:c r="Y1" s="165"/>
      <x:c r="Z1" s="165"/>
      <x:c r="AA1" s="165"/>
      <x:c r="AB1" s="165"/>
      <x:c r="AC1" s="165"/>
      <x:c r="AD1" s="165"/>
      <x:c r="AE1" s="165"/>
      <x:c r="AF1" s="165"/>
      <x:c r="AG1" s="165"/>
      <x:c r="AH1" s="165"/>
      <x:c r="AI1" s="165"/>
    </x:row>
    <x:row r="2">
      <x:c r="A2" s="165"/>
      <x:c r="B2" s="165"/>
      <x:c r="C2" s="165"/>
      <x:c r="D2" s="165"/>
      <x:c r="E2" s="165"/>
      <x:c r="F2" s="180" t="str">
        <x:v>Engage</x:v>
      </x:c>
      <x:c r="G2" s="180" t="str">
        <x:v>Dive</x:v>
      </x:c>
      <x:c r="H2" s="180" t="str">
        <x:v>Peel</x:v>
      </x:c>
      <x:c r="I2" s="180" t="str">
        <x:v>Frontline</x:v>
      </x:c>
      <x:c r="J2" s="180" t="str">
        <x:v>Poke</x:v>
      </x:c>
      <x:c r="K2" s="180" t="str">
        <x:v>FightTempo</x:v>
      </x:c>
      <x:c r="L2" s="180" t="str">
        <x:v>Control</x:v>
      </x:c>
      <x:c r="M2" s="180" t="str">
        <x:v>Support</x:v>
      </x:c>
      <x:c r="N2" s="180" t="str">
        <x:v>Mobility</x:v>
      </x:c>
      <x:c r="O2" s="180" t="str">
        <x:v>SelfSufficiency</x:v>
      </x:c>
      <x:c r="P2" s="180" t="str">
        <x:v>FarmScaling</x:v>
      </x:c>
      <x:c r="Q2" s="180" t="str">
        <x:v>ObjectiveSecure</x:v>
      </x:c>
      <x:c r="R2" s="180" t="str">
        <x:v>ScoringSide</x:v>
      </x:c>
      <x:c r="S2" s="180" t="str">
        <x:v>Execution</x:v>
      </x:c>
      <x:c r="T2" s="180" t="str">
        <x:v>Decision</x:v>
      </x:c>
      <x:c r="U2" s="165"/>
      <x:c r="V2" s="165"/>
      <x:c r="W2" s="165"/>
      <x:c r="X2" s="165"/>
      <x:c r="Y2" s="165"/>
      <x:c r="Z2" s="165"/>
      <x:c r="AA2" s="165"/>
      <x:c r="AB2" s="165"/>
      <x:c r="AC2" s="165"/>
      <x:c r="AD2" s="165"/>
      <x:c r="AE2" s="165"/>
      <x:c r="AF2" s="165"/>
      <x:c r="AG2" s="165"/>
      <x:c r="AH2" s="165"/>
      <x:c r="AI2" s="165"/>
    </x:row>
    <x:row r="3">
      <x:c r="A3" s="48" t="str">
        <x:v>Helper</x:v>
      </x:c>
      <x:c r="B3" s="48" t="str">
        <x:v>Value</x:v>
      </x:c>
      <x:c r="C3" s="48"/>
      <x:c r="D3" s="48"/>
      <x:c r="E3" s="48"/>
      <x:c r="F3" s="48" t="n">
        <x:f>Simulator!$L$11</x:f>
        <x:v>50</x:v>
      </x:c>
      <x:c r="G3" s="48" t="n">
        <x:f>Simulator!$L$12</x:f>
        <x:v>50</x:v>
      </x:c>
      <x:c r="H3" s="48" t="n">
        <x:f>Simulator!$L$13</x:f>
        <x:v>50</x:v>
      </x:c>
      <x:c r="I3" s="48" t="n">
        <x:f>Simulator!$L$14</x:f>
        <x:v>50</x:v>
      </x:c>
      <x:c r="J3" s="48" t="n">
        <x:f>Simulator!$L$15</x:f>
        <x:v>50</x:v>
      </x:c>
      <x:c r="K3" s="48" t="n">
        <x:f>Simulator!$L$16</x:f>
        <x:v>50</x:v>
      </x:c>
      <x:c r="L3" s="48" t="n">
        <x:f>Simulator!$L$17</x:f>
        <x:v>50</x:v>
      </x:c>
      <x:c r="M3" s="48" t="n">
        <x:f>Simulator!$L$18</x:f>
        <x:v>50</x:v>
      </x:c>
      <x:c r="N3" s="48" t="n">
        <x:f>Simulator!$L$19</x:f>
        <x:v>50</x:v>
      </x:c>
      <x:c r="O3" s="48" t="n">
        <x:f>Simulator!$L$20</x:f>
        <x:v>50</x:v>
      </x:c>
      <x:c r="P3" s="48" t="n">
        <x:f>Simulator!$L$21</x:f>
        <x:v>50</x:v>
      </x:c>
      <x:c r="Q3" s="48" t="n">
        <x:f>Simulator!$L$22</x:f>
        <x:v>50</x:v>
      </x:c>
      <x:c r="R3" s="48" t="n">
        <x:f>Simulator!$L$23</x:f>
        <x:v>50</x:v>
      </x:c>
      <x:c r="S3" s="48" t="n">
        <x:f>Simulator!$L$24</x:f>
        <x:v>50</x:v>
      </x:c>
      <x:c r="T3" s="48" t="n">
        <x:f>Simulator!$L$25</x:f>
        <x:v>50</x:v>
      </x:c>
      <x:c r="U3" s="48"/>
      <x:c r="V3" s="48"/>
      <x:c r="W3" s="48" t="str">
        <x:v>PlayerMean</x:v>
      </x:c>
      <x:c r="X3" s="48" t="n">
        <x:f>SUMPRODUCT(F3:T3,F4:T4)/SUM(F4:T4)</x:f>
        <x:v>50.00000000000001</x:v>
      </x:c>
      <x:c r="Y3" t="str">
        <x:v>PlayerSignal</x:v>
      </x:c>
      <x:c r="Z3" t="n">
        <x:f>MIN(1,SQRT(SUMPRODUCT((F3:T3-X3)^2,F4:T4)/SUM(F4:T4))/Model_Formula!$F$9)</x:f>
        <x:v>3.9474596431116675e-16</x:v>
      </x:c>
      <x:c r="AA3"/>
      <x:c r="AB3"/>
      <x:c r="AC3"/>
      <x:c r="AD3"/>
      <x:c r="AE3"/>
      <x:c r="AF3"/>
      <x:c r="AG3"/>
      <x:c r="AH3"/>
      <x:c r="AI3"/>
    </x:row>
    <x:row r="4">
      <x:c r="A4" t="str">
        <x:v>説明</x:v>
      </x:c>
      <x:c r="B4" t="str">
        <x:v>F3:T3=Player Final axes / F4:T4=Axis weights</x:v>
      </x:c>
      <x:c r="C4"/>
      <x:c r="D4"/>
      <x:c r="E4"/>
      <x:c r="F4" t="n">
        <x:f>Model_Formula!$M$13</x:f>
        <x:v>1</x:v>
      </x:c>
      <x:c r="G4" t="n">
        <x:f>Model_Formula!$M$14</x:f>
        <x:v>1.05</x:v>
      </x:c>
      <x:c r="H4" t="n">
        <x:f>Model_Formula!$M$15</x:f>
        <x:v>1</x:v>
      </x:c>
      <x:c r="I4" t="n">
        <x:f>Model_Formula!$M$16</x:f>
        <x:v>1</x:v>
      </x:c>
      <x:c r="J4" t="n">
        <x:f>Model_Formula!$M$17</x:f>
        <x:v>1</x:v>
      </x:c>
      <x:c r="K4" t="n">
        <x:f>Model_Formula!$M$18</x:f>
        <x:v>0.9</x:v>
      </x:c>
      <x:c r="L4" t="n">
        <x:f>Model_Formula!$M$19</x:f>
        <x:v>1</x:v>
      </x:c>
      <x:c r="M4" t="n">
        <x:f>Model_Formula!$M$20</x:f>
        <x:v>1</x:v>
      </x:c>
      <x:c r="N4" t="n">
        <x:f>Model_Formula!$M$21</x:f>
        <x:v>1</x:v>
      </x:c>
      <x:c r="O4" t="n">
        <x:f>Model_Formula!$M$22</x:f>
        <x:v>1</x:v>
      </x:c>
      <x:c r="P4" t="n">
        <x:f>Model_Formula!$M$23</x:f>
        <x:v>0.45</x:v>
      </x:c>
      <x:c r="Q4" t="n">
        <x:f>Model_Formula!$M$24</x:f>
        <x:v>0.4</x:v>
      </x:c>
      <x:c r="R4" t="n">
        <x:f>Model_Formula!$M$25</x:f>
        <x:v>0.45</x:v>
      </x:c>
      <x:c r="S4" t="n">
        <x:f>Model_Formula!$M$26</x:f>
        <x:v>1.1</x:v>
      </x:c>
      <x:c r="T4" t="n">
        <x:f>Model_Formula!$M$27</x:f>
        <x:v>1.05</x:v>
      </x:c>
      <x:c r="U4"/>
      <x:c r="V4"/>
      <x:c r="W4"/>
      <x:c r="X4"/>
      <x:c r="Y4"/>
      <x:c r="Z4"/>
      <x:c r="AA4"/>
      <x:c r="AB4"/>
      <x:c r="AC4"/>
      <x:c r="AD4"/>
      <x:c r="AE4"/>
      <x:c r="AF4"/>
      <x:c r="AG4"/>
      <x:c r="AH4"/>
      <x:c r="AI4"/>
    </x:row>
    <x:row r="5">
      <x:c r="A5" s="162" t="str">
        <x:v>Pokemon</x:v>
      </x:c>
      <x:c r="B5" s="162" t="str">
        <x:v>ProfileID</x:v>
      </x:c>
      <x:c r="C5" s="162" t="str">
        <x:v>ProfileName</x:v>
      </x:c>
      <x:c r="D5" s="162" t="str">
        <x:v>OfficialRole</x:v>
      </x:c>
      <x:c r="E5" s="162" t="str">
        <x:v>Confidence</x:v>
      </x:c>
      <x:c r="F5" s="162" t="str">
        <x:v>Err_Engage</x:v>
      </x:c>
      <x:c r="G5" s="162" t="str">
        <x:v>Err_Dive</x:v>
      </x:c>
      <x:c r="H5" s="162" t="str">
        <x:v>Err_Peel</x:v>
      </x:c>
      <x:c r="I5" s="162" t="str">
        <x:v>Err_Frontline</x:v>
      </x:c>
      <x:c r="J5" s="162" t="str">
        <x:v>Err_Poke</x:v>
      </x:c>
      <x:c r="K5" s="162" t="str">
        <x:v>Err_FightTempo</x:v>
      </x:c>
      <x:c r="L5" s="162" t="str">
        <x:v>Err_Control</x:v>
      </x:c>
      <x:c r="M5" s="162" t="str">
        <x:v>Err_Support</x:v>
      </x:c>
      <x:c r="N5" s="162" t="str">
        <x:v>Err_Mobility</x:v>
      </x:c>
      <x:c r="O5" s="162" t="str">
        <x:v>Err_SelfSufficiency</x:v>
      </x:c>
      <x:c r="P5" s="162" t="str">
        <x:v>Err_FarmScaling</x:v>
      </x:c>
      <x:c r="Q5" s="162" t="str">
        <x:v>Err_ObjectiveSecure</x:v>
      </x:c>
      <x:c r="R5" s="162" t="str">
        <x:v>Err_ScoringSide</x:v>
      </x:c>
      <x:c r="S5" s="162" t="str">
        <x:v>Err_Execution</x:v>
      </x:c>
      <x:c r="T5" s="162" t="str">
        <x:v>Err_Decision</x:v>
      </x:c>
      <x:c r="U5" s="162" t="str">
        <x:v>WeightedMSE</x:v>
      </x:c>
      <x:c r="V5" s="162" t="str">
        <x:v>RMSE</x:v>
      </x:c>
      <x:c r="W5" s="162" t="str">
        <x:v>AbsoluteScore</x:v>
      </x:c>
      <x:c r="X5" s="162" t="str">
        <x:v>ProfileMean</x:v>
      </x:c>
      <x:c r="Y5" s="162" t="str">
        <x:v>ShapeScore</x:v>
      </x:c>
      <x:c r="Z5" s="162" t="str">
        <x:v>PlayerSignal</x:v>
      </x:c>
      <x:c r="AA5" s="162" t="str">
        <x:v>HybridScore</x:v>
      </x:c>
      <x:c r="AB5" s="162" t="str">
        <x:v>ProfileSpecificity</x:v>
      </x:c>
      <x:c r="AC5" s="162" t="str">
        <x:v>SpecificityCorrection</x:v>
      </x:c>
      <x:c r="AD5" s="162" t="str">
        <x:v>RawMatch</x:v>
      </x:c>
      <x:c r="AE5" s="162" t="str">
        <x:v>PercentileFit</x:v>
      </x:c>
      <x:c r="AF5" s="162" t="str">
        <x:v>DisplayScore</x:v>
      </x:c>
      <x:c r="AG5" s="162" t="str">
        <x:v>RankBias</x:v>
      </x:c>
      <x:c r="AH5" s="162" t="str">
        <x:v>RankScore</x:v>
      </x:c>
      <x:c r="AI5" s="162" t="str">
        <x:v>Rank</x:v>
      </x:c>
    </x:row>
    <x:row r="6">
      <x:c r="A6" t="str">
        <x:f>Profiles_140!A2</x:f>
        <x:v>アローラキュウコン</x:v>
      </x:c>
      <x:c r="B6" t="str">
        <x:f>Profiles_140!C2</x:f>
        <x:v>アローラキュウコン-1</x:v>
      </x:c>
      <x:c r="C6" t="str">
        <x:f>Profiles_140!D2</x:f>
        <x:v>ふぶき</x:v>
      </x:c>
      <x:c r="D6" t="str">
        <x:f>Profiles_140!B2</x:f>
        <x:v>アタック型</x:v>
      </x:c>
      <x:c r="E6" t="str">
        <x:f>Profiles_140!I2</x:f>
        <x:v>高</x:v>
      </x:c>
      <x:c r="F6" s="66" t="n">
        <x:f>Model_Formula!$M$13*(Profiles_140!K2-Simulator!$L$11)^2*IF(Profiles_140!K2&gt;Simulator!$L$11,1+Model_Formula!$N$13,1)</x:f>
        <x:v>400</x:v>
      </x:c>
      <x:c r="G6" s="66" t="n">
        <x:f>Model_Formula!$M$14*(Profiles_140!L2-Simulator!$L$12)^2*IF(Profiles_140!L2&gt;Simulator!$L$12,1+Model_Formula!$N$14,1)</x:f>
        <x:v>2126.25</x:v>
      </x:c>
      <x:c r="H6" s="66" t="n">
        <x:f>Model_Formula!$M$15*(Profiles_140!M2-Simulator!$L$13)^2*IF(Profiles_140!M2&gt;Simulator!$L$13,1+Model_Formula!$N$15,1)</x:f>
        <x:v>225</x:v>
      </x:c>
      <x:c r="I6" s="66" t="n">
        <x:f>Model_Formula!$M$16*(Profiles_140!N2-Simulator!$L$14)^2*IF(Profiles_140!N2&gt;Simulator!$L$14,1+Model_Formula!$N$16,1)</x:f>
        <x:v>2500</x:v>
      </x:c>
      <x:c r="J6" s="66" t="n">
        <x:f>Model_Formula!$M$17*(Profiles_140!O2-Simulator!$L$15)^2*IF(Profiles_140!O2&gt;Simulator!$L$15,1+Model_Formula!$N$17,1)</x:f>
        <x:v>2500</x:v>
      </x:c>
      <x:c r="K6" s="66" t="n">
        <x:f>Model_Formula!$M$18*(Profiles_140!P2-Simulator!$L$16)^2*IF(Profiles_140!P2&gt;Simulator!$L$16,1+Model_Formula!$N$18,1)</x:f>
        <x:v>1440</x:v>
      </x:c>
      <x:c r="L6" s="66" t="n">
        <x:f>Model_Formula!$M$19*(Profiles_140!Q2-Simulator!$L$17)^2*IF(Profiles_140!Q2&gt;Simulator!$L$17,1+Model_Formula!$N$19,1)</x:f>
        <x:v>1225</x:v>
      </x:c>
      <x:c r="M6" s="66" t="n">
        <x:f>Model_Formula!$M$20*(Profiles_140!R2-Simulator!$L$18)^2*IF(Profiles_140!R2&gt;Simulator!$L$18,1+Model_Formula!$N$20,1)</x:f>
        <x:v>2500</x:v>
      </x:c>
      <x:c r="N6" s="66" t="n">
        <x:f>Model_Formula!$M$21*(Profiles_140!S2-Simulator!$L$19)^2*IF(Profiles_140!S2&gt;Simulator!$L$19,1+Model_Formula!$N$21,1)</x:f>
        <x:v>400</x:v>
      </x:c>
      <x:c r="O6" s="66" t="n">
        <x:f>Model_Formula!$M$22*(Profiles_140!T2-Simulator!$L$20)^2*IF(Profiles_140!T2&gt;Simulator!$L$20,1+Model_Formula!$N$22,1)</x:f>
        <x:v>0</x:v>
      </x:c>
      <x:c r="P6" s="66" t="n">
        <x:f>Model_Formula!$M$23*(Profiles_140!U2-Simulator!$L$21)^2*IF(Profiles_140!U2&gt;Simulator!$L$21,1+Model_Formula!$N$23,1)</x:f>
        <x:v>11.25</x:v>
      </x:c>
      <x:c r="Q6" s="66" t="n">
        <x:f>Model_Formula!$M$24*(Profiles_140!V2-Simulator!$L$22)^2*IF(Profiles_140!V2&gt;Simulator!$L$22,1+Model_Formula!$N$24,1)</x:f>
        <x:v>40</x:v>
      </x:c>
      <x:c r="R6" s="66" t="n">
        <x:f>Model_Formula!$M$25*(Profiles_140!W2-Simulator!$L$23)^2*IF(Profiles_140!W2&gt;Simulator!$L$23,1+Model_Formula!$N$25,1)</x:f>
        <x:v>281.25</x:v>
      </x:c>
      <x:c r="S6" s="66" t="n">
        <x:f>Model_Formula!$M$26*(Profiles_140!X2-Simulator!$L$24)^2*IF(Profiles_140!X2&gt;Simulator!$L$24,1+Model_Formula!$N$26,1)</x:f>
        <x:v>148.50000000000003</x:v>
      </x:c>
      <x:c r="T6" s="66" t="n">
        <x:f>Model_Formula!$M$27*(Profiles_140!Y2-Simulator!$L$25)^2*IF(Profiles_140!Y2&gt;Simulator!$L$25,1+Model_Formula!$N$27,1)</x:f>
        <x:v>482.99999999999994</x:v>
      </x:c>
      <x:c r="U6" s="60" t="n">
        <x:f>SUM(F6:T6)/SUM($F$4:$T$4)</x:f>
        <x:v>1065.6902985074628</x:v>
      </x:c>
      <x:c r="V6" s="60" t="n">
        <x:f>SQRT(U6)</x:f>
        <x:v>32.644912291312146</x:v>
      </x:c>
      <x:c r="W6" s="60" t="n">
        <x:f>MAX(0,100-V6)</x:f>
        <x:v>67.35508770868785</x:v>
      </x:c>
      <x:c r="X6" s="60" t="n">
        <x:f>SUMPRODUCT(Profiles_140!K2:Y2,$F$4:$T$4)/SUM($F$4:$T$4)</x:f>
        <x:v>40.57835820895523</x:v>
      </x:c>
      <x:c r="Y6" s="60" t="n">
        <x:f>IFERROR(50+50*SUMPRODUCT(($F$3:$T$3-$X$3)*(Profiles_140!K2:Y2-X6),$F$4:$T$4)/SQRT(SUMPRODUCT(($F$3:$T$3-$X$3)^2,$F$4:$T$4)*SUMPRODUCT((Profiles_140!K2:Y2-X6)^2,$F$4:$T$4)),50)</x:f>
        <x:v>50.00000000000001</x:v>
      </x:c>
      <x:c r="Z6" s="60" t="n">
        <x:f>$Z$3</x:f>
        <x:v>3.9474596431116675e-16</x:v>
      </x:c>
      <x:c r="AA6" s="60" t="n">
        <x:f>W6*(1-Model_Formula!$F$8*Z6)+Y6*(Model_Formula!$F$8*Z6)</x:f>
        <x:v>67.35508770868785</x:v>
      </x:c>
      <x:c r="AB6" s="60" t="n">
        <x:f>SQRT(SUMPRODUCT((Profiles_140!K2:Y2-50)^2,$F$4:$T$4)/SUM($F$4:$T$4))</x:f>
        <x:v>32.52868997733833</x:v>
      </x:c>
      <x:c r="AC6" s="60" t="n">
        <x:f>MAX(-Model_Formula!$F$11,MIN(Model_Formula!$F$11,Model_Formula!$F$10*(AB6-AVERAGE($AB$6:$AB$135))))</x:f>
        <x:v>1.5262198390183386</x:v>
      </x:c>
      <x:c r="AD6" s="60" t="n">
        <x:f>MAX(0,MIN(100,AA6+AC6))</x:f>
        <x:v>68.88130754770619</x:v>
      </x:c>
      <x:c r="AE6" s="60" t="n">
        <x:f>MAX(0,MIN(1,IFERROR((MATCH(AD6,Percentile_Calibration!$F2:$DB2,1)-1)/100,0)))</x:f>
        <x:v>0.79</x:v>
      </x:c>
      <x:c r="AF6" s="62" t="n">
        <x:f>ROUND(MAX(Model_Formula!$I$9,Model_Formula!$I$5+Model_Formula!$I$6*POWER(AE6,Model_Formula!$I$7)),0)</x:f>
        <x:v>69</x:v>
      </x:c>
      <x:c r="AG6" t="n">
        <x:f>Profiles_140!AJ2</x:f>
        <x:v>0</x:v>
      </x:c>
      <x:c r="AH6" s="60" t="n">
        <x:f>Model_Formula!$I$8*(AE6*100)+(1-Model_Formula!$I$8)*AD6+AG6</x:f>
        <x:v>76.97626150954123</x:v>
      </x:c>
      <x:c r="AI6" t="n">
        <x:f>RANK.EQ(AH6,$AH$6:$AH$135,0)+COUNTIF($AH$6:AH6,AH6)-1</x:f>
        <x:v>44</x:v>
      </x:c>
    </x:row>
    <x:row r="7">
      <x:c r="A7" t="str">
        <x:f>Profiles_140!A3</x:f>
        <x:v>アローラキュウコン</x:v>
      </x:c>
      <x:c r="B7" t="str">
        <x:f>Profiles_140!C3</x:f>
        <x:v>アローラキュウコン-2</x:v>
      </x:c>
      <x:c r="C7" t="str">
        <x:f>Profiles_140!D3</x:f>
        <x:v>オーロラベール</x:v>
      </x:c>
      <x:c r="D7" t="str">
        <x:f>Profiles_140!B3</x:f>
        <x:v>アタック型</x:v>
      </x:c>
      <x:c r="E7" t="str">
        <x:f>Profiles_140!I3</x:f>
        <x:v>高</x:v>
      </x:c>
      <x:c r="F7" s="66" t="n">
        <x:f>Model_Formula!$M$13*(Profiles_140!K3-Simulator!$L$11)^2*IF(Profiles_140!K3&gt;Simulator!$L$11,1+Model_Formula!$N$13,1)</x:f>
        <x:v>400</x:v>
      </x:c>
      <x:c r="G7" s="66" t="n">
        <x:f>Model_Formula!$M$14*(Profiles_140!L3-Simulator!$L$12)^2*IF(Profiles_140!L3&gt;Simulator!$L$12,1+Model_Formula!$N$14,1)</x:f>
        <x:v>2126.25</x:v>
      </x:c>
      <x:c r="H7" s="66" t="n">
        <x:f>Model_Formula!$M$15*(Profiles_140!M3-Simulator!$L$13)^2*IF(Profiles_140!M3&gt;Simulator!$L$13,1+Model_Formula!$N$15,1)</x:f>
        <x:v>25</x:v>
      </x:c>
      <x:c r="I7" s="66" t="n">
        <x:f>Model_Formula!$M$16*(Profiles_140!N3-Simulator!$L$14)^2*IF(Profiles_140!N3&gt;Simulator!$L$14,1+Model_Formula!$N$16,1)</x:f>
        <x:v>100</x:v>
      </x:c>
      <x:c r="J7" s="66" t="n">
        <x:f>Model_Formula!$M$17*(Profiles_140!O3-Simulator!$L$15)^2*IF(Profiles_140!O3&gt;Simulator!$L$15,1+Model_Formula!$N$17,1)</x:f>
        <x:v>25</x:v>
      </x:c>
      <x:c r="K7" s="66" t="n">
        <x:f>Model_Formula!$M$18*(Profiles_140!P3-Simulator!$L$16)^2*IF(Profiles_140!P3&gt;Simulator!$L$16,1+Model_Formula!$N$18,1)</x:f>
        <x:v>810</x:v>
      </x:c>
      <x:c r="L7" s="66" t="n">
        <x:f>Model_Formula!$M$19*(Profiles_140!Q3-Simulator!$L$17)^2*IF(Profiles_140!Q3&gt;Simulator!$L$17,1+Model_Formula!$N$19,1)</x:f>
        <x:v>25</x:v>
      </x:c>
      <x:c r="M7" s="66" t="n">
        <x:f>Model_Formula!$M$20*(Profiles_140!R3-Simulator!$L$18)^2*IF(Profiles_140!R3&gt;Simulator!$L$18,1+Model_Formula!$N$20,1)</x:f>
        <x:v>400</x:v>
      </x:c>
      <x:c r="N7" s="66" t="n">
        <x:f>Model_Formula!$M$21*(Profiles_140!S3-Simulator!$L$19)^2*IF(Profiles_140!S3&gt;Simulator!$L$19,1+Model_Formula!$N$21,1)</x:f>
        <x:v>400</x:v>
      </x:c>
      <x:c r="O7" s="66" t="n">
        <x:f>Model_Formula!$M$22*(Profiles_140!T3-Simulator!$L$20)^2*IF(Profiles_140!T3&gt;Simulator!$L$20,1+Model_Formula!$N$22,1)</x:f>
        <x:v>25</x:v>
      </x:c>
      <x:c r="P7" s="66" t="n">
        <x:f>Model_Formula!$M$23*(Profiles_140!U3-Simulator!$L$21)^2*IF(Profiles_140!U3&gt;Simulator!$L$21,1+Model_Formula!$N$23,1)</x:f>
        <x:v>11.25</x:v>
      </x:c>
      <x:c r="Q7" s="66" t="n">
        <x:f>Model_Formula!$M$24*(Profiles_140!V3-Simulator!$L$22)^2*IF(Profiles_140!V3&gt;Simulator!$L$22,1+Model_Formula!$N$24,1)</x:f>
        <x:v>90</x:v>
      </x:c>
      <x:c r="R7" s="66" t="n">
        <x:f>Model_Formula!$M$25*(Profiles_140!W3-Simulator!$L$23)^2*IF(Profiles_140!W3&gt;Simulator!$L$23,1+Model_Formula!$N$25,1)</x:f>
        <x:v>180</x:v>
      </x:c>
      <x:c r="S7" s="66" t="n">
        <x:f>Model_Formula!$M$26*(Profiles_140!X3-Simulator!$L$24)^2*IF(Profiles_140!X3&gt;Simulator!$L$24,1+Model_Formula!$N$26,1)</x:f>
        <x:v>0</x:v>
      </x:c>
      <x:c r="T7" s="66" t="n">
        <x:f>Model_Formula!$M$27*(Profiles_140!Y3-Simulator!$L$25)^2*IF(Profiles_140!Y3&gt;Simulator!$L$25,1+Model_Formula!$N$27,1)</x:f>
        <x:v>754.6874999999999</x:v>
      </x:c>
      <x:c r="U7" s="60" t="n">
        <x:f>SUM(F7:T7)/SUM($F$4:$T$4)</x:f>
        <x:v>400.9095149253732</x:v>
      </x:c>
      <x:c r="V7" s="60" t="n">
        <x:f>SQRT(U7)</x:f>
        <x:v>20.022724962536273</x:v>
      </x:c>
      <x:c r="W7" s="60" t="n">
        <x:f>MAX(0,100-V7)</x:f>
        <x:v>79.97727503746373</x:v>
      </x:c>
      <x:c r="X7" s="60" t="n">
        <x:f>SUMPRODUCT(Profiles_140!K3:Y3,$F$4:$T$4)/SUM($F$4:$T$4)</x:f>
        <x:v>44.42164179104478</x:v>
      </x:c>
      <x:c r="Y7" s="60" t="n">
        <x:f>IFERROR(50+50*SUMPRODUCT(($F$3:$T$3-$X$3)*(Profiles_140!K3:Y3-X7),$F$4:$T$4)/SQRT(SUMPRODUCT(($F$3:$T$3-$X$3)^2,$F$4:$T$4)*SUMPRODUCT((Profiles_140!K3:Y3-X7)^2,$F$4:$T$4)),50)</x:f>
        <x:v>50</x:v>
      </x:c>
      <x:c r="Z7" s="60" t="n">
        <x:f>$Z$3</x:f>
        <x:v>3.9474596431116675e-16</x:v>
      </x:c>
      <x:c r="AA7" s="60" t="n">
        <x:f>W7*(1-Model_Formula!$F$8*Z7)+Y7*(Model_Formula!$F$8*Z7)</x:f>
        <x:v>79.97727503746373</x:v>
      </x:c>
      <x:c r="AB7" s="60" t="n">
        <x:f>SQRT(SUMPRODUCT((Profiles_140!K3:Y3-50)^2,$F$4:$T$4)/SUM($F$4:$T$4))</x:f>
        <x:v>19.83843322532858</x:v>
      </x:c>
      <x:c r="AC7" s="60" t="n">
        <x:f>MAX(-Model_Formula!$F$11,MIN(Model_Formula!$F$11,Model_Formula!$F$10*(AB7-AVERAGE($AB$6:$AB$135))))</x:f>
        <x:v>-4.18439569938605</x:v>
      </x:c>
      <x:c r="AD7" s="60" t="n">
        <x:f>MAX(0,MIN(100,AA7+AC7))</x:f>
        <x:v>75.79287933807768</x:v>
      </x:c>
      <x:c r="AE7" s="60" t="n">
        <x:f>MAX(0,MIN(1,IFERROR((MATCH(AD7,Percentile_Calibration!$F3:$DB3,1)-1)/100,0)))</x:f>
        <x:v>0.87</x:v>
      </x:c>
      <x:c r="AF7" s="62" t="n">
        <x:f>ROUND(MAX(Model_Formula!$I$9,Model_Formula!$I$5+Model_Formula!$I$6*POWER(AE7,Model_Formula!$I$7)),0)</x:f>
        <x:v>78</x:v>
      </x:c>
      <x:c r="AG7" t="n">
        <x:f>Profiles_140!AJ3</x:f>
        <x:v>0</x:v>
      </x:c>
      <x:c r="AH7" s="60" t="n">
        <x:f>Model_Formula!$I$8*(AE7*100)+(1-Model_Formula!$I$8)*AD7+AG7</x:f>
        <x:v>84.75857586761555</x:v>
      </x:c>
      <x:c r="AI7" t="n">
        <x:f>RANK.EQ(AH7,$AH$6:$AH$135,0)+COUNTIF($AH$6:AH7,AH7)-1</x:f>
        <x:v>14</x:v>
      </x:c>
    </x:row>
    <x:row r="8">
      <x:c r="A8" t="str">
        <x:f>Profiles_140!A4</x:f>
        <x:v>アローラライチュウ</x:v>
      </x:c>
      <x:c r="B8" t="str">
        <x:f>Profiles_140!C4</x:f>
        <x:v>アローラライチュウ-1</x:v>
      </x:c>
      <x:c r="C8" t="str">
        <x:f>Profiles_140!D4</x:f>
        <x:v>共通</x:v>
      </x:c>
      <x:c r="D8" t="str">
        <x:f>Profiles_140!B4</x:f>
        <x:v>アタック型</x:v>
      </x:c>
      <x:c r="E8" t="str">
        <x:f>Profiles_140!I4</x:f>
        <x:v>高</x:v>
      </x:c>
      <x:c r="F8" s="66" t="n">
        <x:f>Model_Formula!$M$13*(Profiles_140!K4-Simulator!$L$11)^2*IF(Profiles_140!K4&gt;Simulator!$L$11,1+Model_Formula!$N$13,1)</x:f>
        <x:v>0</x:v>
      </x:c>
      <x:c r="G8" s="66" t="n">
        <x:f>Model_Formula!$M$14*(Profiles_140!L4-Simulator!$L$12)^2*IF(Profiles_140!L4&gt;Simulator!$L$12,1+Model_Formula!$N$14,1)</x:f>
        <x:v>236.25</x:v>
      </x:c>
      <x:c r="H8" s="66" t="n">
        <x:f>Model_Formula!$M$15*(Profiles_140!M4-Simulator!$L$13)^2*IF(Profiles_140!M4&gt;Simulator!$L$13,1+Model_Formula!$N$15,1)</x:f>
        <x:v>400</x:v>
      </x:c>
      <x:c r="I8" s="66" t="n">
        <x:f>Model_Formula!$M$16*(Profiles_140!N4-Simulator!$L$14)^2*IF(Profiles_140!N4&gt;Simulator!$L$14,1+Model_Formula!$N$16,1)</x:f>
        <x:v>400</x:v>
      </x:c>
      <x:c r="J8" s="66" t="n">
        <x:f>Model_Formula!$M$17*(Profiles_140!O4-Simulator!$L$15)^2*IF(Profiles_140!O4&gt;Simulator!$L$15,1+Model_Formula!$N$17,1)</x:f>
        <x:v>225</x:v>
      </x:c>
      <x:c r="K8" s="66" t="n">
        <x:f>Model_Formula!$M$18*(Profiles_140!P4-Simulator!$L$16)^2*IF(Profiles_140!P4&gt;Simulator!$L$16,1+Model_Formula!$N$18,1)</x:f>
        <x:v>360</x:v>
      </x:c>
      <x:c r="L8" s="66" t="n">
        <x:f>Model_Formula!$M$19*(Profiles_140!Q4-Simulator!$L$17)^2*IF(Profiles_140!Q4&gt;Simulator!$L$17,1+Model_Formula!$N$19,1)</x:f>
        <x:v>0</x:v>
      </x:c>
      <x:c r="M8" s="66" t="n">
        <x:f>Model_Formula!$M$20*(Profiles_140!R4-Simulator!$L$18)^2*IF(Profiles_140!R4&gt;Simulator!$L$18,1+Model_Formula!$N$20,1)</x:f>
        <x:v>1600</x:v>
      </x:c>
      <x:c r="N8" s="66" t="n">
        <x:f>Model_Formula!$M$21*(Profiles_140!S4-Simulator!$L$19)^2*IF(Profiles_140!S4&gt;Simulator!$L$19,1+Model_Formula!$N$21,1)</x:f>
        <x:v>100</x:v>
      </x:c>
      <x:c r="O8" s="66" t="n">
        <x:f>Model_Formula!$M$22*(Profiles_140!T4-Simulator!$L$20)^2*IF(Profiles_140!T4&gt;Simulator!$L$20,1+Model_Formula!$N$22,1)</x:f>
        <x:v>100</x:v>
      </x:c>
      <x:c r="P8" s="66" t="n">
        <x:f>Model_Formula!$M$23*(Profiles_140!U4-Simulator!$L$21)^2*IF(Profiles_140!U4&gt;Simulator!$L$21,1+Model_Formula!$N$23,1)</x:f>
        <x:v>11.25</x:v>
      </x:c>
      <x:c r="Q8" s="66" t="n">
        <x:f>Model_Formula!$M$24*(Profiles_140!V4-Simulator!$L$22)^2*IF(Profiles_140!V4&gt;Simulator!$L$22,1+Model_Formula!$N$24,1)</x:f>
        <x:v>10</x:v>
      </x:c>
      <x:c r="R8" s="66" t="n">
        <x:f>Model_Formula!$M$25*(Profiles_140!W4-Simulator!$L$23)^2*IF(Profiles_140!W4&gt;Simulator!$L$23,1+Model_Formula!$N$25,1)</x:f>
        <x:v>11.25</x:v>
      </x:c>
      <x:c r="S8" s="66" t="n">
        <x:f>Model_Formula!$M$26*(Profiles_140!X4-Simulator!$L$24)^2*IF(Profiles_140!X4&gt;Simulator!$L$24,1+Model_Formula!$N$26,1)</x:f>
        <x:v>148.50000000000003</x:v>
      </x:c>
      <x:c r="T8" s="66" t="n">
        <x:f>Model_Formula!$M$27*(Profiles_140!Y4-Simulator!$L$25)^2*IF(Profiles_140!Y4&gt;Simulator!$L$25,1+Model_Formula!$N$27,1)</x:f>
        <x:v>271.6875</x:v>
      </x:c>
      <x:c r="U8" s="60" t="n">
        <x:f>SUM(F8:T8)/SUM($F$4:$T$4)</x:f>
        <x:v>289.09981343283584</x:v>
      </x:c>
      <x:c r="V8" s="60" t="n">
        <x:f>SQRT(U8)</x:f>
        <x:v>17.002935435766258</x:v>
      </x:c>
      <x:c r="W8" s="60" t="n">
        <x:f>MAX(0,100-V8)</x:f>
        <x:v>82.99706456423374</x:v>
      </x:c>
      <x:c r="X8" s="60" t="n">
        <x:f>SUMPRODUCT(Profiles_140!K4:Y4,$F$4:$T$4)/SUM($F$4:$T$4)</x:f>
        <x:v>48.95522388059702</x:v>
      </x:c>
      <x:c r="Y8" s="60" t="n">
        <x:f>IFERROR(50+50*SUMPRODUCT(($F$3:$T$3-$X$3)*(Profiles_140!K4:Y4-X8),$F$4:$T$4)/SQRT(SUMPRODUCT(($F$3:$T$3-$X$3)^2,$F$4:$T$4)*SUMPRODUCT((Profiles_140!K4:Y4-X8)^2,$F$4:$T$4)),50)</x:f>
        <x:v>50.00000000000001</x:v>
      </x:c>
      <x:c r="Z8" s="60" t="n">
        <x:f>$Z$3</x:f>
        <x:v>3.9474596431116675e-16</x:v>
      </x:c>
      <x:c r="AA8" s="60" t="n">
        <x:f>W8*(1-Model_Formula!$F$8*Z8)+Y8*(Model_Formula!$F$8*Z8)</x:f>
        <x:v>82.99706456423374</x:v>
      </x:c>
      <x:c r="AB8" s="60" t="n">
        <x:f>SQRT(SUMPRODUCT((Profiles_140!K4:Y4-50)^2,$F$4:$T$4)/SUM($F$4:$T$4))</x:f>
        <x:v>16.839895770230846</x:v>
      </x:c>
      <x:c r="AC8" s="60" t="n">
        <x:f>MAX(-Model_Formula!$F$11,MIN(Model_Formula!$F$11,Model_Formula!$F$10*(AB8-AVERAGE($AB$6:$AB$135))))</x:f>
        <x:v>-5</x:v>
      </x:c>
      <x:c r="AD8" s="60" t="n">
        <x:f>MAX(0,MIN(100,AA8+AC8))</x:f>
        <x:v>77.99706456423374</x:v>
      </x:c>
      <x:c r="AE8" s="60" t="n">
        <x:f>MAX(0,MIN(1,IFERROR((MATCH(AD8,Percentile_Calibration!$F4:$DB4,1)-1)/100,0)))</x:f>
        <x:v>0.88</x:v>
      </x:c>
      <x:c r="AF8" s="62" t="n">
        <x:f>ROUND(MAX(Model_Formula!$I$9,Model_Formula!$I$5+Model_Formula!$I$6*POWER(AE8,Model_Formula!$I$7)),0)</x:f>
        <x:v>79</x:v>
      </x:c>
      <x:c r="AG8" t="n">
        <x:f>Profiles_140!AJ4</x:f>
        <x:v>0</x:v>
      </x:c>
      <x:c r="AH8" s="60" t="n">
        <x:f>Model_Formula!$I$8*(AE8*100)+(1-Model_Formula!$I$8)*AD8+AG8</x:f>
        <x:v>85.99941291284675</x:v>
      </x:c>
      <x:c r="AI8" t="n">
        <x:f>RANK.EQ(AH8,$AH$6:$AH$135,0)+COUNTIF($AH$6:AH8,AH8)-1</x:f>
        <x:v>12</x:v>
      </x:c>
    </x:row>
    <x:row r="9">
      <x:c r="A9" t="str">
        <x:f>Profiles_140!A5</x:f>
        <x:v>イベルタル</x:v>
      </x:c>
      <x:c r="B9" t="str">
        <x:f>Profiles_140!C5</x:f>
        <x:v>イベルタル-1</x:v>
      </x:c>
      <x:c r="C9" t="str">
        <x:f>Profiles_140!D5</x:f>
        <x:v>共通</x:v>
      </x:c>
      <x:c r="D9" t="str">
        <x:f>Profiles_140!B5</x:f>
        <x:v>アタック型</x:v>
      </x:c>
      <x:c r="E9" t="str">
        <x:f>Profiles_140!I5</x:f>
        <x:v>高</x:v>
      </x:c>
      <x:c r="F9" s="66" t="n">
        <x:f>Model_Formula!$M$13*(Profiles_140!K5-Simulator!$L$11)^2*IF(Profiles_140!K5&gt;Simulator!$L$11,1+Model_Formula!$N$13,1)</x:f>
        <x:v>400</x:v>
      </x:c>
      <x:c r="G9" s="66" t="n">
        <x:f>Model_Formula!$M$14*(Profiles_140!L5-Simulator!$L$12)^2*IF(Profiles_140!L5&gt;Simulator!$L$12,1+Model_Formula!$N$14,1)</x:f>
        <x:v>2126.25</x:v>
      </x:c>
      <x:c r="H9" s="66" t="n">
        <x:f>Model_Formula!$M$15*(Profiles_140!M5-Simulator!$L$13)^2*IF(Profiles_140!M5&gt;Simulator!$L$13,1+Model_Formula!$N$15,1)</x:f>
        <x:v>225</x:v>
      </x:c>
      <x:c r="I9" s="66" t="n">
        <x:f>Model_Formula!$M$16*(Profiles_140!N5-Simulator!$L$14)^2*IF(Profiles_140!N5&gt;Simulator!$L$14,1+Model_Formula!$N$16,1)</x:f>
        <x:v>1225</x:v>
      </x:c>
      <x:c r="J9" s="66" t="n">
        <x:f>Model_Formula!$M$17*(Profiles_140!O5-Simulator!$L$15)^2*IF(Profiles_140!O5&gt;Simulator!$L$15,1+Model_Formula!$N$17,1)</x:f>
        <x:v>1600</x:v>
      </x:c>
      <x:c r="K9" s="66" t="n">
        <x:f>Model_Formula!$M$18*(Profiles_140!P5-Simulator!$L$16)^2*IF(Profiles_140!P5&gt;Simulator!$L$16,1+Model_Formula!$N$18,1)</x:f>
        <x:v>1440</x:v>
      </x:c>
      <x:c r="L9" s="66" t="n">
        <x:f>Model_Formula!$M$19*(Profiles_140!Q5-Simulator!$L$17)^2*IF(Profiles_140!Q5&gt;Simulator!$L$17,1+Model_Formula!$N$19,1)</x:f>
        <x:v>225</x:v>
      </x:c>
      <x:c r="M9" s="66" t="n">
        <x:f>Model_Formula!$M$20*(Profiles_140!R5-Simulator!$L$18)^2*IF(Profiles_140!R5&gt;Simulator!$L$18,1+Model_Formula!$N$20,1)</x:f>
        <x:v>1600</x:v>
      </x:c>
      <x:c r="N9" s="66" t="n">
        <x:f>Model_Formula!$M$21*(Profiles_140!S5-Simulator!$L$19)^2*IF(Profiles_140!S5&gt;Simulator!$L$19,1+Model_Formula!$N$21,1)</x:f>
        <x:v>900</x:v>
      </x:c>
      <x:c r="O9" s="66" t="n">
        <x:f>Model_Formula!$M$22*(Profiles_140!T5-Simulator!$L$20)^2*IF(Profiles_140!T5&gt;Simulator!$L$20,1+Model_Formula!$N$22,1)</x:f>
        <x:v>0</x:v>
      </x:c>
      <x:c r="P9" s="66" t="n">
        <x:f>Model_Formula!$M$23*(Profiles_140!U5-Simulator!$L$21)^2*IF(Profiles_140!U5&gt;Simulator!$L$21,1+Model_Formula!$N$23,1)</x:f>
        <x:v>11.25</x:v>
      </x:c>
      <x:c r="Q9" s="66" t="n">
        <x:f>Model_Formula!$M$24*(Profiles_140!V5-Simulator!$L$22)^2*IF(Profiles_140!V5&gt;Simulator!$L$22,1+Model_Formula!$N$24,1)</x:f>
        <x:v>360</x:v>
      </x:c>
      <x:c r="R9" s="66" t="n">
        <x:f>Model_Formula!$M$25*(Profiles_140!W5-Simulator!$L$23)^2*IF(Profiles_140!W5&gt;Simulator!$L$23,1+Model_Formula!$N$25,1)</x:f>
        <x:v>281.25</x:v>
      </x:c>
      <x:c r="S9" s="66" t="n">
        <x:f>Model_Formula!$M$26*(Profiles_140!X5-Simulator!$L$24)^2*IF(Profiles_140!X5&gt;Simulator!$L$24,1+Model_Formula!$N$26,1)</x:f>
        <x:v>148.50000000000003</x:v>
      </x:c>
      <x:c r="T9" s="66" t="n">
        <x:f>Model_Formula!$M$27*(Profiles_140!Y5-Simulator!$L$25)^2*IF(Profiles_140!Y5&gt;Simulator!$L$25,1+Model_Formula!$N$27,1)</x:f>
        <x:v>482.99999999999994</x:v>
      </x:c>
      <x:c r="U9" s="60" t="n">
        <x:f>SUM(F9:T9)/SUM($F$4:$T$4)</x:f>
        <x:v>822.7798507462687</x:v>
      </x:c>
      <x:c r="V9" s="60" t="n">
        <x:f>SQRT(U9)</x:f>
        <x:v>28.68413935864677</x:v>
      </x:c>
      <x:c r="W9" s="60" t="n">
        <x:f>MAX(0,100-V9)</x:f>
        <x:v>71.31586064135323</x:v>
      </x:c>
      <x:c r="X9" s="60" t="n">
        <x:f>SUMPRODUCT(Profiles_140!K5:Y5,$F$4:$T$4)/SUM($F$4:$T$4)</x:f>
        <x:v>40.05597014925374</x:v>
      </x:c>
      <x:c r="Y9" s="60" t="n">
        <x:f>IFERROR(50+50*SUMPRODUCT(($F$3:$T$3-$X$3)*(Profiles_140!K5:Y5-X9),$F$4:$T$4)/SQRT(SUMPRODUCT(($F$3:$T$3-$X$3)^2,$F$4:$T$4)*SUMPRODUCT((Profiles_140!K5:Y5-X9)^2,$F$4:$T$4)),50)</x:f>
        <x:v>50.000000000000014</x:v>
      </x:c>
      <x:c r="Z9" s="60" t="n">
        <x:f>$Z$3</x:f>
        <x:v>3.9474596431116675e-16</x:v>
      </x:c>
      <x:c r="AA9" s="60" t="n">
        <x:f>W9*(1-Model_Formula!$F$8*Z9)+Y9*(Model_Formula!$F$8*Z9)</x:f>
        <x:v>71.31586064135323</x:v>
      </x:c>
      <x:c r="AB9" s="60" t="n">
        <x:f>SQRT(SUMPRODUCT((Profiles_140!K5:Y5-50)^2,$F$4:$T$4)/SUM($F$4:$T$4))</x:f>
        <x:v>28.551798960496292</x:v>
      </x:c>
      <x:c r="AC9" s="60" t="n">
        <x:f>MAX(-Model_Formula!$F$11,MIN(Model_Formula!$F$11,Model_Formula!$F$10*(AB9-AVERAGE($AB$6:$AB$135))))</x:f>
        <x:v>-0.263381118560579</x:v>
      </x:c>
      <x:c r="AD9" s="60" t="n">
        <x:f>MAX(0,MIN(100,AA9+AC9))</x:f>
        <x:v>71.05247952279265</x:v>
      </x:c>
      <x:c r="AE9" s="60" t="n">
        <x:f>MAX(0,MIN(1,IFERROR((MATCH(AD9,Percentile_Calibration!$F5:$DB5,1)-1)/100,0)))</x:f>
        <x:v>0.84</x:v>
      </x:c>
      <x:c r="AF9" s="62" t="n">
        <x:f>ROUND(MAX(Model_Formula!$I$9,Model_Formula!$I$5+Model_Formula!$I$6*POWER(AE9,Model_Formula!$I$7)),0)</x:f>
        <x:v>75</x:v>
      </x:c>
      <x:c r="AG9" t="n">
        <x:f>Profiles_140!AJ5</x:f>
        <x:v>0</x:v>
      </x:c>
      <x:c r="AH9" s="60" t="n">
        <x:f>Model_Formula!$I$8*(AE9*100)+(1-Model_Formula!$I$8)*AD9+AG9</x:f>
        <x:v>81.41049590455853</x:v>
      </x:c>
      <x:c r="AI9" t="n">
        <x:f>RANK.EQ(AH9,$AH$6:$AH$135,0)+COUNTIF($AH$6:AH9,AH9)-1</x:f>
        <x:v>31</x:v>
      </x:c>
    </x:row>
    <x:row r="10">
      <x:c r="A10" t="str">
        <x:f>Profiles_140!A6</x:f>
        <x:v>インテレオン</x:v>
      </x:c>
      <x:c r="B10" t="str">
        <x:f>Profiles_140!C6</x:f>
        <x:v>インテレオン-1</x:v>
      </x:c>
      <x:c r="C10" t="str">
        <x:f>Profiles_140!D6</x:f>
        <x:v>ねらいうち</x:v>
      </x:c>
      <x:c r="D10" t="str">
        <x:f>Profiles_140!B6</x:f>
        <x:v>アタック型</x:v>
      </x:c>
      <x:c r="E10" t="str">
        <x:f>Profiles_140!I6</x:f>
        <x:v>高</x:v>
      </x:c>
      <x:c r="F10" s="66" t="n">
        <x:f>Model_Formula!$M$13*(Profiles_140!K6-Simulator!$L$11)^2*IF(Profiles_140!K6&gt;Simulator!$L$11,1+Model_Formula!$N$13,1)</x:f>
        <x:v>1225</x:v>
      </x:c>
      <x:c r="G10" s="66" t="n">
        <x:f>Model_Formula!$M$14*(Profiles_140!L6-Simulator!$L$12)^2*IF(Profiles_140!L6&gt;Simulator!$L$12,1+Model_Formula!$N$14,1)</x:f>
        <x:v>2126.25</x:v>
      </x:c>
      <x:c r="H10" s="66" t="n">
        <x:f>Model_Formula!$M$15*(Profiles_140!M6-Simulator!$L$13)^2*IF(Profiles_140!M6&gt;Simulator!$L$13,1+Model_Formula!$N$15,1)</x:f>
        <x:v>1225</x:v>
      </x:c>
      <x:c r="I10" s="66" t="n">
        <x:f>Model_Formula!$M$16*(Profiles_140!N6-Simulator!$L$14)^2*IF(Profiles_140!N6&gt;Simulator!$L$14,1+Model_Formula!$N$16,1)</x:f>
        <x:v>2025</x:v>
      </x:c>
      <x:c r="J10" s="66" t="n">
        <x:f>Model_Formula!$M$17*(Profiles_140!O6-Simulator!$L$15)^2*IF(Profiles_140!O6&gt;Simulator!$L$15,1+Model_Formula!$N$17,1)</x:f>
        <x:v>2500</x:v>
      </x:c>
      <x:c r="K10" s="66" t="n">
        <x:f>Model_Formula!$M$18*(Profiles_140!P6-Simulator!$L$16)^2*IF(Profiles_140!P6&gt;Simulator!$L$16,1+Model_Formula!$N$18,1)</x:f>
        <x:v>1440</x:v>
      </x:c>
      <x:c r="L10" s="66" t="n">
        <x:f>Model_Formula!$M$19*(Profiles_140!Q6-Simulator!$L$17)^2*IF(Profiles_140!Q6&gt;Simulator!$L$17,1+Model_Formula!$N$19,1)</x:f>
        <x:v>225</x:v>
      </x:c>
      <x:c r="M10" s="66" t="n">
        <x:f>Model_Formula!$M$20*(Profiles_140!R6-Simulator!$L$18)^2*IF(Profiles_140!R6&gt;Simulator!$L$18,1+Model_Formula!$N$20,1)</x:f>
        <x:v>2025</x:v>
      </x:c>
      <x:c r="N10" s="66" t="n">
        <x:f>Model_Formula!$M$21*(Profiles_140!S6-Simulator!$L$19)^2*IF(Profiles_140!S6&gt;Simulator!$L$19,1+Model_Formula!$N$21,1)</x:f>
        <x:v>625</x:v>
      </x:c>
      <x:c r="O10" s="66" t="n">
        <x:f>Model_Formula!$M$22*(Profiles_140!T6-Simulator!$L$20)^2*IF(Profiles_140!T6&gt;Simulator!$L$20,1+Model_Formula!$N$22,1)</x:f>
        <x:v>25</x:v>
      </x:c>
      <x:c r="P10" s="66" t="n">
        <x:f>Model_Formula!$M$23*(Profiles_140!U6-Simulator!$L$21)^2*IF(Profiles_140!U6&gt;Simulator!$L$21,1+Model_Formula!$N$23,1)</x:f>
        <x:v>101.25</x:v>
      </x:c>
      <x:c r="Q10" s="66" t="n">
        <x:f>Model_Formula!$M$24*(Profiles_140!V6-Simulator!$L$22)^2*IF(Profiles_140!V6&gt;Simulator!$L$22,1+Model_Formula!$N$24,1)</x:f>
        <x:v>360</x:v>
      </x:c>
      <x:c r="R10" s="66" t="n">
        <x:f>Model_Formula!$M$25*(Profiles_140!W6-Simulator!$L$23)^2*IF(Profiles_140!W6&gt;Simulator!$L$23,1+Model_Formula!$N$25,1)</x:f>
        <x:v>405</x:v>
      </x:c>
      <x:c r="S10" s="66" t="n">
        <x:f>Model_Formula!$M$26*(Profiles_140!X6-Simulator!$L$24)^2*IF(Profiles_140!X6&gt;Simulator!$L$24,1+Model_Formula!$N$26,1)</x:f>
        <x:v>3712.5000000000005</x:v>
      </x:c>
      <x:c r="T10" s="66" t="n">
        <x:f>Model_Formula!$M$27*(Profiles_140!Y6-Simulator!$L$25)^2*IF(Profiles_140!Y6&gt;Simulator!$L$25,1+Model_Formula!$N$27,1)</x:f>
        <x:v>1086.75</x:v>
      </x:c>
      <x:c r="U10" s="60" t="n">
        <x:f>SUM(F10:T10)/SUM($F$4:$T$4)</x:f>
        <x:v>1425.876865671642</x:v>
      </x:c>
      <x:c r="V10" s="60" t="n">
        <x:f>SQRT(U10)</x:f>
        <x:v>37.76078475974304</x:v>
      </x:c>
      <x:c r="W10" s="60" t="n">
        <x:f>MAX(0,100-V10)</x:f>
        <x:v>62.23921524025696</x:v>
      </x:c>
      <x:c r="X10" s="60" t="n">
        <x:f>SUMPRODUCT(Profiles_140!K6:Y6,$F$4:$T$4)/SUM($F$4:$T$4)</x:f>
        <x:v>39.06716417910448</x:v>
      </x:c>
      <x:c r="Y10" s="60" t="n">
        <x:f>IFERROR(50+50*SUMPRODUCT(($F$3:$T$3-$X$3)*(Profiles_140!K6:Y6-X10),$F$4:$T$4)/SQRT(SUMPRODUCT(($F$3:$T$3-$X$3)^2,$F$4:$T$4)*SUMPRODUCT((Profiles_140!K6:Y6-X10)^2,$F$4:$T$4)),50)</x:f>
        <x:v>50.00000000000001</x:v>
      </x:c>
      <x:c r="Z10" s="60" t="n">
        <x:f>$Z$3</x:f>
        <x:v>3.9474596431116675e-16</x:v>
      </x:c>
      <x:c r="AA10" s="60" t="n">
        <x:f>W10*(1-Model_Formula!$F$8*Z10)+Y10*(Model_Formula!$F$8*Z10)</x:f>
        <x:v>62.23921524025696</x:v>
      </x:c>
      <x:c r="AB10" s="60" t="n">
        <x:f>SQRT(SUMPRODUCT((Profiles_140!K6:Y6-50)^2,$F$4:$T$4)/SUM($F$4:$T$4))</x:f>
        <x:v>36.653378415280244</x:v>
      </x:c>
      <x:c r="AC10" s="60" t="n">
        <x:f>MAX(-Model_Formula!$F$11,MIN(Model_Formula!$F$11,Model_Formula!$F$10*(AB10-AVERAGE($AB$6:$AB$135))))</x:f>
        <x:v>3.3823296360921993</x:v>
      </x:c>
      <x:c r="AD10" s="60" t="n">
        <x:f>MAX(0,MIN(100,AA10+AC10))</x:f>
        <x:v>65.62154487634916</x:v>
      </x:c>
      <x:c r="AE10" s="60" t="n">
        <x:f>MAX(0,MIN(1,IFERROR((MATCH(AD10,Percentile_Calibration!$F6:$DB6,1)-1)/100,0)))</x:f>
        <x:v>0.67</x:v>
      </x:c>
      <x:c r="AF10" s="62" t="n">
        <x:f>ROUND(MAX(Model_Formula!$I$9,Model_Formula!$I$5+Model_Formula!$I$6*POWER(AE10,Model_Formula!$I$7)),0)</x:f>
        <x:v>59</x:v>
      </x:c>
      <x:c r="AG10" t="n">
        <x:f>Profiles_140!AJ6</x:f>
        <x:v>0</x:v>
      </x:c>
      <x:c r="AH10" s="60" t="n">
        <x:f>Model_Formula!$I$8*(AE10*100)+(1-Model_Formula!$I$8)*AD10+AG10</x:f>
        <x:v>66.72430897526984</x:v>
      </x:c>
      <x:c r="AI10" t="n">
        <x:f>RANK.EQ(AH10,$AH$6:$AH$135,0)+COUNTIF($AH$6:AH10,AH10)-1</x:f>
        <x:v>106</x:v>
      </x:c>
    </x:row>
    <x:row r="11">
      <x:c r="A11" t="str">
        <x:f>Profiles_140!A7</x:f>
        <x:v>インテレオン</x:v>
      </x:c>
      <x:c r="B11" t="str">
        <x:f>Profiles_140!C7</x:f>
        <x:v>インテレオン-2</x:v>
      </x:c>
      <x:c r="C11" t="str">
        <x:f>Profiles_140!D7</x:f>
        <x:v>アクアブレイク</x:v>
      </x:c>
      <x:c r="D11" t="str">
        <x:f>Profiles_140!B7</x:f>
        <x:v>アタック型</x:v>
      </x:c>
      <x:c r="E11" t="str">
        <x:f>Profiles_140!I7</x:f>
        <x:v>高</x:v>
      </x:c>
      <x:c r="F11" s="66" t="n">
        <x:f>Model_Formula!$M$13*(Profiles_140!K7-Simulator!$L$11)^2*IF(Profiles_140!K7&gt;Simulator!$L$11,1+Model_Formula!$N$13,1)</x:f>
        <x:v>625</x:v>
      </x:c>
      <x:c r="G11" s="66" t="n">
        <x:f>Model_Formula!$M$14*(Profiles_140!L7-Simulator!$L$12)^2*IF(Profiles_140!L7&gt;Simulator!$L$12,1+Model_Formula!$N$14,1)</x:f>
        <x:v>656.25</x:v>
      </x:c>
      <x:c r="H11" s="66" t="n">
        <x:f>Model_Formula!$M$15*(Profiles_140!M7-Simulator!$L$13)^2*IF(Profiles_140!M7&gt;Simulator!$L$13,1+Model_Formula!$N$15,1)</x:f>
        <x:v>900</x:v>
      </x:c>
      <x:c r="I11" s="66" t="n">
        <x:f>Model_Formula!$M$16*(Profiles_140!N7-Simulator!$L$14)^2*IF(Profiles_140!N7&gt;Simulator!$L$14,1+Model_Formula!$N$16,1)</x:f>
        <x:v>900</x:v>
      </x:c>
      <x:c r="J11" s="66" t="n">
        <x:f>Model_Formula!$M$17*(Profiles_140!O7-Simulator!$L$15)^2*IF(Profiles_140!O7&gt;Simulator!$L$15,1+Model_Formula!$N$17,1)</x:f>
        <x:v>100</x:v>
      </x:c>
      <x:c r="K11" s="66" t="n">
        <x:f>Model_Formula!$M$18*(Profiles_140!P7-Simulator!$L$16)^2*IF(Profiles_140!P7&gt;Simulator!$L$16,1+Model_Formula!$N$18,1)</x:f>
        <x:v>810</x:v>
      </x:c>
      <x:c r="L11" s="66" t="n">
        <x:f>Model_Formula!$M$19*(Profiles_140!Q7-Simulator!$L$17)^2*IF(Profiles_140!Q7&gt;Simulator!$L$17,1+Model_Formula!$N$19,1)</x:f>
        <x:v>625</x:v>
      </x:c>
      <x:c r="M11" s="66" t="n">
        <x:f>Model_Formula!$M$20*(Profiles_140!R7-Simulator!$L$18)^2*IF(Profiles_140!R7&gt;Simulator!$L$18,1+Model_Formula!$N$20,1)</x:f>
        <x:v>2500</x:v>
      </x:c>
      <x:c r="N11" s="66" t="n">
        <x:f>Model_Formula!$M$21*(Profiles_140!S7-Simulator!$L$19)^2*IF(Profiles_140!S7&gt;Simulator!$L$19,1+Model_Formula!$N$21,1)</x:f>
        <x:v>100</x:v>
      </x:c>
      <x:c r="O11" s="66" t="n">
        <x:f>Model_Formula!$M$22*(Profiles_140!T7-Simulator!$L$20)^2*IF(Profiles_140!T7&gt;Simulator!$L$20,1+Model_Formula!$N$22,1)</x:f>
        <x:v>100</x:v>
      </x:c>
      <x:c r="P11" s="66" t="n">
        <x:f>Model_Formula!$M$23*(Profiles_140!U7-Simulator!$L$21)^2*IF(Profiles_140!U7&gt;Simulator!$L$21,1+Model_Formula!$N$23,1)</x:f>
        <x:v>180</x:v>
      </x:c>
      <x:c r="Q11" s="66" t="n">
        <x:f>Model_Formula!$M$24*(Profiles_140!V7-Simulator!$L$22)^2*IF(Profiles_140!V7&gt;Simulator!$L$22,1+Model_Formula!$N$24,1)</x:f>
        <x:v>250</x:v>
      </x:c>
      <x:c r="R11" s="66" t="n">
        <x:f>Model_Formula!$M$25*(Profiles_140!W7-Simulator!$L$23)^2*IF(Profiles_140!W7&gt;Simulator!$L$23,1+Model_Formula!$N$25,1)</x:f>
        <x:v>11.25</x:v>
      </x:c>
      <x:c r="S11" s="66" t="n">
        <x:f>Model_Formula!$M$26*(Profiles_140!X7-Simulator!$L$24)^2*IF(Profiles_140!X7&gt;Simulator!$L$24,1+Model_Formula!$N$26,1)</x:f>
        <x:v>928.1250000000001</x:v>
      </x:c>
      <x:c r="T11" s="66" t="n">
        <x:f>Model_Formula!$M$27*(Profiles_140!Y7-Simulator!$L$25)^2*IF(Profiles_140!Y7&gt;Simulator!$L$25,1+Model_Formula!$N$27,1)</x:f>
        <x:v>271.6875</x:v>
      </x:c>
      <x:c r="U11" s="60" t="n">
        <x:f>SUM(F11:T11)/SUM($F$4:$T$4)</x:f>
        <x:v>668.456156716418</x:v>
      </x:c>
      <x:c r="V11" s="60" t="n">
        <x:f>SQRT(U11)</x:f>
        <x:v>25.854519077260324</x:v>
      </x:c>
      <x:c r="W11" s="60" t="n">
        <x:f>MAX(0,100-V11)</x:f>
        <x:v>74.14548092273968</x:v>
      </x:c>
      <x:c r="X11" s="60" t="n">
        <x:f>SUMPRODUCT(Profiles_140!K7:Y7,$F$4:$T$4)/SUM($F$4:$T$4)</x:f>
        <x:v>43.33955223880597</x:v>
      </x:c>
      <x:c r="Y11" s="60" t="n">
        <x:f>IFERROR(50+50*SUMPRODUCT(($F$3:$T$3-$X$3)*(Profiles_140!K7:Y7-X11),$F$4:$T$4)/SQRT(SUMPRODUCT(($F$3:$T$3-$X$3)^2,$F$4:$T$4)*SUMPRODUCT((Profiles_140!K7:Y7-X11)^2,$F$4:$T$4)),50)</x:f>
        <x:v>49.99999999999999</x:v>
      </x:c>
      <x:c r="Z11" s="60" t="n">
        <x:f>$Z$3</x:f>
        <x:v>3.9474596431116675e-16</x:v>
      </x:c>
      <x:c r="AA11" s="60" t="n">
        <x:f>W11*(1-Model_Formula!$F$8*Z11)+Y11*(Model_Formula!$F$8*Z11)</x:f>
        <x:v>74.14548092273968</x:v>
      </x:c>
      <x:c r="AB11" s="60" t="n">
        <x:f>SQRT(SUMPRODUCT((Profiles_140!K7:Y7-50)^2,$F$4:$T$4)/SUM($F$4:$T$4))</x:f>
        <x:v>25.452985632572467</x:v>
      </x:c>
      <x:c r="AC11" s="60" t="n">
        <x:f>MAX(-Model_Formula!$F$11,MIN(Model_Formula!$F$11,Model_Formula!$F$10*(AB11-AVERAGE($AB$6:$AB$135))))</x:f>
        <x:v>-1.6578471161263002</x:v>
      </x:c>
      <x:c r="AD11" s="60" t="n">
        <x:f>MAX(0,MIN(100,AA11+AC11))</x:f>
        <x:v>72.48763380661337</x:v>
      </x:c>
      <x:c r="AE11" s="60" t="n">
        <x:f>MAX(0,MIN(1,IFERROR((MATCH(AD11,Percentile_Calibration!$F7:$DB7,1)-1)/100,0)))</x:f>
        <x:v>0.76</x:v>
      </x:c>
      <x:c r="AF11" s="62" t="n">
        <x:f>ROUND(MAX(Model_Formula!$I$9,Model_Formula!$I$5+Model_Formula!$I$6*POWER(AE11,Model_Formula!$I$7)),0)</x:f>
        <x:v>66</x:v>
      </x:c>
      <x:c r="AG11" t="n">
        <x:f>Profiles_140!AJ7</x:f>
        <x:v>0</x:v>
      </x:c>
      <x:c r="AH11" s="60" t="n">
        <x:f>Model_Formula!$I$8*(AE11*100)+(1-Model_Formula!$I$8)*AD11+AG11</x:f>
        <x:v>75.29752676132267</x:v>
      </x:c>
      <x:c r="AI11" t="n">
        <x:f>RANK.EQ(AH11,$AH$6:$AH$135,0)+COUNTIF($AH$6:AH11,AH11)-1</x:f>
        <x:v>52</x:v>
      </x:c>
    </x:row>
    <x:row r="12">
      <x:c r="A12" t="str">
        <x:f>Profiles_140!A8</x:f>
        <x:v>ウッウ</x:v>
      </x:c>
      <x:c r="B12" t="str">
        <x:f>Profiles_140!C8</x:f>
        <x:v>ウッウ-1</x:v>
      </x:c>
      <x:c r="C12" t="str">
        <x:f>Profiles_140!D8</x:f>
        <x:v>なみのり</x:v>
      </x:c>
      <x:c r="D12" t="str">
        <x:f>Profiles_140!B8</x:f>
        <x:v>アタック型</x:v>
      </x:c>
      <x:c r="E12" t="str">
        <x:f>Profiles_140!I8</x:f>
        <x:v>高</x:v>
      </x:c>
      <x:c r="F12" s="66" t="n">
        <x:f>Model_Formula!$M$13*(Profiles_140!K8-Simulator!$L$11)^2*IF(Profiles_140!K8&gt;Simulator!$L$11,1+Model_Formula!$N$13,1)</x:f>
        <x:v>400</x:v>
      </x:c>
      <x:c r="G12" s="66" t="n">
        <x:f>Model_Formula!$M$14*(Profiles_140!L8-Simulator!$L$12)^2*IF(Profiles_140!L8&gt;Simulator!$L$12,1+Model_Formula!$N$14,1)</x:f>
        <x:v>2126.25</x:v>
      </x:c>
      <x:c r="H12" s="66" t="n">
        <x:f>Model_Formula!$M$15*(Profiles_140!M8-Simulator!$L$13)^2*IF(Profiles_140!M8&gt;Simulator!$L$13,1+Model_Formula!$N$15,1)</x:f>
        <x:v>225</x:v>
      </x:c>
      <x:c r="I12" s="66" t="n">
        <x:f>Model_Formula!$M$16*(Profiles_140!N8-Simulator!$L$14)^2*IF(Profiles_140!N8&gt;Simulator!$L$14,1+Model_Formula!$N$16,1)</x:f>
        <x:v>2500</x:v>
      </x:c>
      <x:c r="J12" s="66" t="n">
        <x:f>Model_Formula!$M$17*(Profiles_140!O8-Simulator!$L$15)^2*IF(Profiles_140!O8&gt;Simulator!$L$15,1+Model_Formula!$N$17,1)</x:f>
        <x:v>2500</x:v>
      </x:c>
      <x:c r="K12" s="66" t="n">
        <x:f>Model_Formula!$M$18*(Profiles_140!P8-Simulator!$L$16)^2*IF(Profiles_140!P8&gt;Simulator!$L$16,1+Model_Formula!$N$18,1)</x:f>
        <x:v>1440</x:v>
      </x:c>
      <x:c r="L12" s="66" t="n">
        <x:f>Model_Formula!$M$19*(Profiles_140!Q8-Simulator!$L$17)^2*IF(Profiles_140!Q8&gt;Simulator!$L$17,1+Model_Formula!$N$19,1)</x:f>
        <x:v>2025</x:v>
      </x:c>
      <x:c r="M12" s="66" t="n">
        <x:f>Model_Formula!$M$20*(Profiles_140!R8-Simulator!$L$18)^2*IF(Profiles_140!R8&gt;Simulator!$L$18,1+Model_Formula!$N$20,1)</x:f>
        <x:v>1600</x:v>
      </x:c>
      <x:c r="N12" s="66" t="n">
        <x:f>Model_Formula!$M$21*(Profiles_140!S8-Simulator!$L$19)^2*IF(Profiles_140!S8&gt;Simulator!$L$19,1+Model_Formula!$N$21,1)</x:f>
        <x:v>2025</x:v>
      </x:c>
      <x:c r="O12" s="66" t="n">
        <x:f>Model_Formula!$M$22*(Profiles_140!T8-Simulator!$L$20)^2*IF(Profiles_140!T8&gt;Simulator!$L$20,1+Model_Formula!$N$22,1)</x:f>
        <x:v>225</x:v>
      </x:c>
      <x:c r="P12" s="66" t="n">
        <x:f>Model_Formula!$M$23*(Profiles_140!U8-Simulator!$L$21)^2*IF(Profiles_140!U8&gt;Simulator!$L$21,1+Model_Formula!$N$23,1)</x:f>
        <x:v>45</x:v>
      </x:c>
      <x:c r="Q12" s="66" t="n">
        <x:f>Model_Formula!$M$24*(Profiles_140!V8-Simulator!$L$22)^2*IF(Profiles_140!V8&gt;Simulator!$L$22,1+Model_Formula!$N$24,1)</x:f>
        <x:v>40</x:v>
      </x:c>
      <x:c r="R12" s="66" t="n">
        <x:f>Model_Formula!$M$25*(Profiles_140!W8-Simulator!$L$23)^2*IF(Profiles_140!W8&gt;Simulator!$L$23,1+Model_Formula!$N$25,1)</x:f>
        <x:v>281.25</x:v>
      </x:c>
      <x:c r="S12" s="66" t="n">
        <x:f>Model_Formula!$M$26*(Profiles_140!X8-Simulator!$L$24)^2*IF(Profiles_140!X8&gt;Simulator!$L$24,1+Model_Formula!$N$26,1)</x:f>
        <x:v>594.0000000000001</x:v>
      </x:c>
      <x:c r="T12" s="66" t="n">
        <x:f>Model_Formula!$M$27*(Profiles_140!Y8-Simulator!$L$25)^2*IF(Profiles_140!Y8&gt;Simulator!$L$25,1+Model_Formula!$N$27,1)</x:f>
        <x:v>482.99999999999994</x:v>
      </x:c>
      <x:c r="U12" s="60" t="n">
        <x:f>SUM(F12:T12)/SUM($F$4:$T$4)</x:f>
        <x:v>1232.0522388059703</x:v>
      </x:c>
      <x:c r="V12" s="60" t="n">
        <x:f>SQRT(U12)</x:f>
        <x:v>35.10060168723565</x:v>
      </x:c>
      <x:c r="W12" s="60" t="n">
        <x:f>MAX(0,100-V12)</x:f>
        <x:v>64.89939831276435</x:v>
      </x:c>
      <x:c r="X12" s="60" t="n">
        <x:f>SUMPRODUCT(Profiles_140!K8:Y8,$F$4:$T$4)/SUM($F$4:$T$4)</x:f>
        <x:v>39.40298507462687</x:v>
      </x:c>
      <x:c r="Y12" s="60" t="n">
        <x:f>IFERROR(50+50*SUMPRODUCT(($F$3:$T$3-$X$3)*(Profiles_140!K8:Y8-X12),$F$4:$T$4)/SQRT(SUMPRODUCT(($F$3:$T$3-$X$3)^2,$F$4:$T$4)*SUMPRODUCT((Profiles_140!K8:Y8-X12)^2,$F$4:$T$4)),50)</x:f>
        <x:v>50.00000000000001</x:v>
      </x:c>
      <x:c r="Z12" s="60" t="n">
        <x:f>$Z$3</x:f>
        <x:v>3.9474596431116675e-16</x:v>
      </x:c>
      <x:c r="AA12" s="60" t="n">
        <x:f>W12*(1-Model_Formula!$F$8*Z12)+Y12*(Model_Formula!$F$8*Z12)</x:f>
        <x:v>64.89939831276435</x:v>
      </x:c>
      <x:c r="AB12" s="60" t="n">
        <x:f>SQRT(SUMPRODUCT((Profiles_140!K8:Y8-50)^2,$F$4:$T$4)/SUM($F$4:$T$4))</x:f>
        <x:v>34.86915842051861</x:v>
      </x:c>
      <x:c r="AC12" s="60" t="n">
        <x:f>MAX(-Model_Formula!$F$11,MIN(Model_Formula!$F$11,Model_Formula!$F$10*(AB12-AVERAGE($AB$6:$AB$135))))</x:f>
        <x:v>2.579430638449464</x:v>
      </x:c>
      <x:c r="AD12" s="60" t="n">
        <x:f>MAX(0,MIN(100,AA12+AC12))</x:f>
        <x:v>67.47882895121381</x:v>
      </x:c>
      <x:c r="AE12" s="60" t="n">
        <x:f>MAX(0,MIN(1,IFERROR((MATCH(AD12,Percentile_Calibration!$F8:$DB8,1)-1)/100,0)))</x:f>
        <x:v>0.74</x:v>
      </x:c>
      <x:c r="AF12" s="62" t="n">
        <x:f>ROUND(MAX(Model_Formula!$I$9,Model_Formula!$I$5+Model_Formula!$I$6*POWER(AE12,Model_Formula!$I$7)),0)</x:f>
        <x:v>64</x:v>
      </x:c>
      <x:c r="AG12" t="n">
        <x:f>Profiles_140!AJ8</x:f>
        <x:v>0</x:v>
      </x:c>
      <x:c r="AH12" s="60" t="n">
        <x:f>Model_Formula!$I$8*(AE12*100)+(1-Model_Formula!$I$8)*AD12+AG12</x:f>
        <x:v>72.69576579024276</x:v>
      </x:c>
      <x:c r="AI12" t="n">
        <x:f>RANK.EQ(AH12,$AH$6:$AH$135,0)+COUNTIF($AH$6:AH12,AH12)-1</x:f>
        <x:v>63</x:v>
      </x:c>
    </x:row>
    <x:row r="13">
      <x:c r="A13" t="str">
        <x:f>Profiles_140!A9</x:f>
        <x:v>ウッウ</x:v>
      </x:c>
      <x:c r="B13" t="str">
        <x:f>Profiles_140!C9</x:f>
        <x:v>ウッウ-2</x:v>
      </x:c>
      <x:c r="C13" t="str">
        <x:f>Profiles_140!D9</x:f>
        <x:v>ダイビング</x:v>
      </x:c>
      <x:c r="D13" t="str">
        <x:f>Profiles_140!B9</x:f>
        <x:v>アタック型</x:v>
      </x:c>
      <x:c r="E13" t="str">
        <x:f>Profiles_140!I9</x:f>
        <x:v>高</x:v>
      </x:c>
      <x:c r="F13" s="66" t="n">
        <x:f>Model_Formula!$M$13*(Profiles_140!K9-Simulator!$L$11)^2*IF(Profiles_140!K9&gt;Simulator!$L$11,1+Model_Formula!$N$13,1)</x:f>
        <x:v>0</x:v>
      </x:c>
      <x:c r="G13" s="66" t="n">
        <x:f>Model_Formula!$M$14*(Profiles_140!L9-Simulator!$L$12)^2*IF(Profiles_140!L9&gt;Simulator!$L$12,1+Model_Formula!$N$14,1)</x:f>
        <x:v>26.25</x:v>
      </x:c>
      <x:c r="H13" s="66" t="n">
        <x:f>Model_Formula!$M$15*(Profiles_140!M9-Simulator!$L$13)^2*IF(Profiles_140!M9&gt;Simulator!$L$13,1+Model_Formula!$N$15,1)</x:f>
        <x:v>400</x:v>
      </x:c>
      <x:c r="I13" s="66" t="n">
        <x:f>Model_Formula!$M$16*(Profiles_140!N9-Simulator!$L$14)^2*IF(Profiles_140!N9&gt;Simulator!$L$14,1+Model_Formula!$N$16,1)</x:f>
        <x:v>400</x:v>
      </x:c>
      <x:c r="J13" s="66" t="n">
        <x:f>Model_Formula!$M$17*(Profiles_140!O9-Simulator!$L$15)^2*IF(Profiles_140!O9&gt;Simulator!$L$15,1+Model_Formula!$N$17,1)</x:f>
        <x:v>100</x:v>
      </x:c>
      <x:c r="K13" s="66" t="n">
        <x:f>Model_Formula!$M$18*(Profiles_140!P9-Simulator!$L$16)^2*IF(Profiles_140!P9&gt;Simulator!$L$16,1+Model_Formula!$N$18,1)</x:f>
        <x:v>360</x:v>
      </x:c>
      <x:c r="L13" s="66" t="n">
        <x:f>Model_Formula!$M$19*(Profiles_140!Q9-Simulator!$L$17)^2*IF(Profiles_140!Q9&gt;Simulator!$L$17,1+Model_Formula!$N$19,1)</x:f>
        <x:v>0</x:v>
      </x:c>
      <x:c r="M13" s="66" t="n">
        <x:f>Model_Formula!$M$20*(Profiles_140!R9-Simulator!$L$18)^2*IF(Profiles_140!R9&gt;Simulator!$L$18,1+Model_Formula!$N$20,1)</x:f>
        <x:v>1600</x:v>
      </x:c>
      <x:c r="N13" s="66" t="n">
        <x:f>Model_Formula!$M$21*(Profiles_140!S9-Simulator!$L$19)^2*IF(Profiles_140!S9&gt;Simulator!$L$19,1+Model_Formula!$N$21,1)</x:f>
        <x:v>400</x:v>
      </x:c>
      <x:c r="O13" s="66" t="n">
        <x:f>Model_Formula!$M$22*(Profiles_140!T9-Simulator!$L$20)^2*IF(Profiles_140!T9&gt;Simulator!$L$20,1+Model_Formula!$N$22,1)</x:f>
        <x:v>100</x:v>
      </x:c>
      <x:c r="P13" s="66" t="n">
        <x:f>Model_Formula!$M$23*(Profiles_140!U9-Simulator!$L$21)^2*IF(Profiles_140!U9&gt;Simulator!$L$21,1+Model_Formula!$N$23,1)</x:f>
        <x:v>11.25</x:v>
      </x:c>
      <x:c r="Q13" s="66" t="n">
        <x:f>Model_Formula!$M$24*(Profiles_140!V9-Simulator!$L$22)^2*IF(Profiles_140!V9&gt;Simulator!$L$22,1+Model_Formula!$N$24,1)</x:f>
        <x:v>90</x:v>
      </x:c>
      <x:c r="R13" s="66" t="n">
        <x:f>Model_Formula!$M$25*(Profiles_140!W9-Simulator!$L$23)^2*IF(Profiles_140!W9&gt;Simulator!$L$23,1+Model_Formula!$N$25,1)</x:f>
        <x:v>11.25</x:v>
      </x:c>
      <x:c r="S13" s="66" t="n">
        <x:f>Model_Formula!$M$26*(Profiles_140!X9-Simulator!$L$24)^2*IF(Profiles_140!X9&gt;Simulator!$L$24,1+Model_Formula!$N$26,1)</x:f>
        <x:v>928.1250000000001</x:v>
      </x:c>
      <x:c r="T13" s="66" t="n">
        <x:f>Model_Formula!$M$27*(Profiles_140!Y9-Simulator!$L$25)^2*IF(Profiles_140!Y9&gt;Simulator!$L$25,1+Model_Formula!$N$27,1)</x:f>
        <x:v>271.6875</x:v>
      </x:c>
      <x:c r="U13" s="60" t="n">
        <x:f>SUM(F13:T13)/SUM($F$4:$T$4)</x:f>
        <x:v>350.63899253731347</x:v>
      </x:c>
      <x:c r="V13" s="60" t="n">
        <x:f>SQRT(U13)</x:f>
        <x:v>18.725356940184437</x:v>
      </x:c>
      <x:c r="W13" s="60" t="n">
        <x:f>MAX(0,100-V13)</x:f>
        <x:v>81.27464305981556</x:v>
      </x:c>
      <x:c r="X13" s="60" t="n">
        <x:f>SUMPRODUCT(Profiles_140!K9:Y9,$F$4:$T$4)/SUM($F$4:$T$4)</x:f>
        <x:v>50.149253731343286</x:v>
      </x:c>
      <x:c r="Y13" s="60" t="n">
        <x:f>IFERROR(50+50*SUMPRODUCT(($F$3:$T$3-$X$3)*(Profiles_140!K9:Y9-X13),$F$4:$T$4)/SQRT(SUMPRODUCT(($F$3:$T$3-$X$3)^2,$F$4:$T$4)*SUMPRODUCT((Profiles_140!K9:Y9-X13)^2,$F$4:$T$4)),50)</x:f>
        <x:v>50.00000000000001</x:v>
      </x:c>
      <x:c r="Z13" s="60" t="n">
        <x:f>$Z$3</x:f>
        <x:v>3.9474596431116675e-16</x:v>
      </x:c>
      <x:c r="AA13" s="60" t="n">
        <x:f>W13*(1-Model_Formula!$F$8*Z13)+Y13*(Model_Formula!$F$8*Z13)</x:f>
        <x:v>81.27464305981556</x:v>
      </x:c>
      <x:c r="AB13" s="60" t="n">
        <x:f>SQRT(SUMPRODUCT((Profiles_140!K9:Y9-50)^2,$F$4:$T$4)/SUM($F$4:$T$4))</x:f>
        <x:v>18.16692911399271</x:v>
      </x:c>
      <x:c r="AC13" s="60" t="n">
        <x:f>MAX(-Model_Formula!$F$11,MIN(Model_Formula!$F$11,Model_Formula!$F$10*(AB13-AVERAGE($AB$6:$AB$135))))</x:f>
        <x:v>-4.936572549487192</x:v>
      </x:c>
      <x:c r="AD13" s="60" t="n">
        <x:f>MAX(0,MIN(100,AA13+AC13))</x:f>
        <x:v>76.33807051032836</x:v>
      </x:c>
      <x:c r="AE13" s="60" t="n">
        <x:f>MAX(0,MIN(1,IFERROR((MATCH(AD13,Percentile_Calibration!$F9:$DB9,1)-1)/100,0)))</x:f>
        <x:v>0.85</x:v>
      </x:c>
      <x:c r="AF13" s="62" t="n">
        <x:f>ROUND(MAX(Model_Formula!$I$9,Model_Formula!$I$5+Model_Formula!$I$6*POWER(AE13,Model_Formula!$I$7)),0)</x:f>
        <x:v>76</x:v>
      </x:c>
      <x:c r="AG13" t="n">
        <x:f>Profiles_140!AJ9</x:f>
        <x:v>0</x:v>
      </x:c>
      <x:c r="AH13" s="60" t="n">
        <x:f>Model_Formula!$I$8*(AE13*100)+(1-Model_Formula!$I$8)*AD13+AG13</x:f>
        <x:v>83.26761410206566</x:v>
      </x:c>
      <x:c r="AI13" t="n">
        <x:f>RANK.EQ(AH13,$AH$6:$AH$135,0)+COUNTIF($AH$6:AH13,AH13)-1</x:f>
        <x:v>18</x:v>
      </x:c>
    </x:row>
    <x:row r="14">
      <x:c r="A14" t="str">
        <x:f>Profiles_140!A10</x:f>
        <x:v>エースバーン</x:v>
      </x:c>
      <x:c r="B14" t="str">
        <x:f>Profiles_140!C10</x:f>
        <x:v>エースバーン-1</x:v>
      </x:c>
      <x:c r="C14" t="str">
        <x:f>Profiles_140!D10</x:f>
        <x:v>共通</x:v>
      </x:c>
      <x:c r="D14" t="str">
        <x:f>Profiles_140!B10</x:f>
        <x:v>アタック型</x:v>
      </x:c>
      <x:c r="E14" t="str">
        <x:f>Profiles_140!I10</x:f>
        <x:v>高</x:v>
      </x:c>
      <x:c r="F14" s="66" t="n">
        <x:f>Model_Formula!$M$13*(Profiles_140!K10-Simulator!$L$11)^2*IF(Profiles_140!K10&gt;Simulator!$L$11,1+Model_Formula!$N$13,1)</x:f>
        <x:v>2025</x:v>
      </x:c>
      <x:c r="G14" s="66" t="n">
        <x:f>Model_Formula!$M$14*(Profiles_140!L10-Simulator!$L$12)^2*IF(Profiles_140!L10&gt;Simulator!$L$12,1+Model_Formula!$N$14,1)</x:f>
        <x:v>2625</x:v>
      </x:c>
      <x:c r="H14" s="66" t="n">
        <x:f>Model_Formula!$M$15*(Profiles_140!M10-Simulator!$L$13)^2*IF(Profiles_140!M10&gt;Simulator!$L$13,1+Model_Formula!$N$15,1)</x:f>
        <x:v>1600</x:v>
      </x:c>
      <x:c r="I14" s="66" t="n">
        <x:f>Model_Formula!$M$16*(Profiles_140!N10-Simulator!$L$14)^2*IF(Profiles_140!N10&gt;Simulator!$L$14,1+Model_Formula!$N$16,1)</x:f>
        <x:v>2500</x:v>
      </x:c>
      <x:c r="J14" s="66" t="n">
        <x:f>Model_Formula!$M$17*(Profiles_140!O10-Simulator!$L$15)^2*IF(Profiles_140!O10&gt;Simulator!$L$15,1+Model_Formula!$N$17,1)</x:f>
        <x:v>625</x:v>
      </x:c>
      <x:c r="K14" s="66" t="n">
        <x:f>Model_Formula!$M$18*(Profiles_140!P10-Simulator!$L$16)^2*IF(Profiles_140!P10&gt;Simulator!$L$16,1+Model_Formula!$N$18,1)</x:f>
        <x:v>1822.5</x:v>
      </x:c>
      <x:c r="L14" s="66" t="n">
        <x:f>Model_Formula!$M$19*(Profiles_140!Q10-Simulator!$L$17)^2*IF(Profiles_140!Q10&gt;Simulator!$L$17,1+Model_Formula!$N$19,1)</x:f>
        <x:v>2025</x:v>
      </x:c>
      <x:c r="M14" s="66" t="n">
        <x:f>Model_Formula!$M$20*(Profiles_140!R10-Simulator!$L$18)^2*IF(Profiles_140!R10&gt;Simulator!$L$18,1+Model_Formula!$N$20,1)</x:f>
        <x:v>2025</x:v>
      </x:c>
      <x:c r="N14" s="66" t="n">
        <x:f>Model_Formula!$M$21*(Profiles_140!S10-Simulator!$L$19)^2*IF(Profiles_140!S10&gt;Simulator!$L$19,1+Model_Formula!$N$21,1)</x:f>
        <x:v>100</x:v>
      </x:c>
      <x:c r="O14" s="66" t="n">
        <x:f>Model_Formula!$M$22*(Profiles_140!T10-Simulator!$L$20)^2*IF(Profiles_140!T10&gt;Simulator!$L$20,1+Model_Formula!$N$22,1)</x:f>
        <x:v>0</x:v>
      </x:c>
      <x:c r="P14" s="66" t="n">
        <x:f>Model_Formula!$M$23*(Profiles_140!U10-Simulator!$L$21)^2*IF(Profiles_140!U10&gt;Simulator!$L$21,1+Model_Formula!$N$23,1)</x:f>
        <x:v>551.25</x:v>
      </x:c>
      <x:c r="Q14" s="66" t="n">
        <x:f>Model_Formula!$M$24*(Profiles_140!V10-Simulator!$L$22)^2*IF(Profiles_140!V10&gt;Simulator!$L$22,1+Model_Formula!$N$24,1)</x:f>
        <x:v>1000</x:v>
      </x:c>
      <x:c r="R14" s="66" t="n">
        <x:f>Model_Formula!$M$25*(Profiles_140!W10-Simulator!$L$23)^2*IF(Profiles_140!W10&gt;Simulator!$L$23,1+Model_Formula!$N$25,1)</x:f>
        <x:v>11.25</x:v>
      </x:c>
      <x:c r="S14" s="66" t="n">
        <x:f>Model_Formula!$M$26*(Profiles_140!X10-Simulator!$L$24)^2*IF(Profiles_140!X10&gt;Simulator!$L$24,1+Model_Formula!$N$26,1)</x:f>
        <x:v>334.12500000000006</x:v>
      </x:c>
      <x:c r="T14" s="66" t="n">
        <x:f>Model_Formula!$M$27*(Profiles_140!Y10-Simulator!$L$25)^2*IF(Profiles_140!Y10&gt;Simulator!$L$25,1+Model_Formula!$N$27,1)</x:f>
        <x:v>271.6875</x:v>
      </x:c>
      <x:c r="U14" s="60" t="n">
        <x:f>SUM(F14:T14)/SUM($F$4:$T$4)</x:f>
        <x:v>1307.1501865671644</x:v>
      </x:c>
      <x:c r="V14" s="60" t="n">
        <x:f>SQRT(U14)</x:f>
        <x:v>36.154532033580026</x:v>
      </x:c>
      <x:c r="W14" s="60" t="n">
        <x:f>MAX(0,100-V14)</x:f>
        <x:v>63.845467966419974</x:v>
      </x:c>
      <x:c r="X14" s="60" t="n">
        <x:f>SUMPRODUCT(Profiles_140!K10:Y10,$F$4:$T$4)/SUM($F$4:$T$4)</x:f>
        <x:v>40.1679104477612</x:v>
      </x:c>
      <x:c r="Y14" s="60" t="n">
        <x:f>IFERROR(50+50*SUMPRODUCT(($F$3:$T$3-$X$3)*(Profiles_140!K10:Y10-X14),$F$4:$T$4)/SQRT(SUMPRODUCT(($F$3:$T$3-$X$3)^2,$F$4:$T$4)*SUMPRODUCT((Profiles_140!K10:Y10-X14)^2,$F$4:$T$4)),50)</x:f>
        <x:v>50.00000000000001</x:v>
      </x:c>
      <x:c r="Z14" s="60" t="n">
        <x:f>$Z$3</x:f>
        <x:v>3.9474596431116675e-16</x:v>
      </x:c>
      <x:c r="AA14" s="60" t="n">
        <x:f>W14*(1-Model_Formula!$F$8*Z14)+Y14*(Model_Formula!$F$8*Z14)</x:f>
        <x:v>63.845467966419974</x:v>
      </x:c>
      <x:c r="AB14" s="60" t="n">
        <x:f>SQRT(SUMPRODUCT((Profiles_140!K10:Y10-50)^2,$F$4:$T$4)/SUM($F$4:$T$4))</x:f>
        <x:v>36.02833669177804</x:v>
      </x:c>
      <x:c r="AC14" s="60" t="n">
        <x:f>MAX(-Model_Formula!$F$11,MIN(Model_Formula!$F$11,Model_Formula!$F$10*(AB14-AVERAGE($AB$6:$AB$135))))</x:f>
        <x:v>3.101060860516206</x:v>
      </x:c>
      <x:c r="AD14" s="60" t="n">
        <x:f>MAX(0,MIN(100,AA14+AC14))</x:f>
        <x:v>66.94652882693617</x:v>
      </x:c>
      <x:c r="AE14" s="60" t="n">
        <x:f>MAX(0,MIN(1,IFERROR((MATCH(AD14,Percentile_Calibration!$F10:$DB10,1)-1)/100,0)))</x:f>
        <x:v>0.66</x:v>
      </x:c>
      <x:c r="AF14" s="62" t="n">
        <x:f>ROUND(MAX(Model_Formula!$I$9,Model_Formula!$I$5+Model_Formula!$I$6*POWER(AE14,Model_Formula!$I$7)),0)</x:f>
        <x:v>58</x:v>
      </x:c>
      <x:c r="AG14" t="n">
        <x:f>Profiles_140!AJ10</x:f>
        <x:v>0</x:v>
      </x:c>
      <x:c r="AH14" s="60" t="n">
        <x:f>Model_Formula!$I$8*(AE14*100)+(1-Model_Formula!$I$8)*AD14+AG14</x:f>
        <x:v>66.18930576538723</x:v>
      </x:c>
      <x:c r="AI14" t="n">
        <x:f>RANK.EQ(AH14,$AH$6:$AH$135,0)+COUNTIF($AH$6:AH14,AH14)-1</x:f>
        <x:v>108</x:v>
      </x:c>
    </x:row>
    <x:row r="15">
      <x:c r="A15" t="str">
        <x:f>Profiles_140!A11</x:f>
        <x:v>エーフィ</x:v>
      </x:c>
      <x:c r="B15" t="str">
        <x:f>Profiles_140!C11</x:f>
        <x:v>エーフィ-1</x:v>
      </x:c>
      <x:c r="C15" t="str">
        <x:f>Profiles_140!D11</x:f>
        <x:v>共通</x:v>
      </x:c>
      <x:c r="D15" t="str">
        <x:f>Profiles_140!B11</x:f>
        <x:v>アタック型</x:v>
      </x:c>
      <x:c r="E15" t="str">
        <x:f>Profiles_140!I11</x:f>
        <x:v>高</x:v>
      </x:c>
      <x:c r="F15" s="66" t="n">
        <x:f>Model_Formula!$M$13*(Profiles_140!K11-Simulator!$L$11)^2*IF(Profiles_140!K11&gt;Simulator!$L$11,1+Model_Formula!$N$13,1)</x:f>
        <x:v>100</x:v>
      </x:c>
      <x:c r="G15" s="66" t="n">
        <x:f>Model_Formula!$M$14*(Profiles_140!L11-Simulator!$L$12)^2*IF(Profiles_140!L11&gt;Simulator!$L$12,1+Model_Formula!$N$14,1)</x:f>
        <x:v>656.25</x:v>
      </x:c>
      <x:c r="H15" s="66" t="n">
        <x:f>Model_Formula!$M$15*(Profiles_140!M11-Simulator!$L$13)^2*IF(Profiles_140!M11&gt;Simulator!$L$13,1+Model_Formula!$N$15,1)</x:f>
        <x:v>625</x:v>
      </x:c>
      <x:c r="I15" s="66" t="n">
        <x:f>Model_Formula!$M$16*(Profiles_140!N11-Simulator!$L$14)^2*IF(Profiles_140!N11&gt;Simulator!$L$14,1+Model_Formula!$N$16,1)</x:f>
        <x:v>625</x:v>
      </x:c>
      <x:c r="J15" s="66" t="n">
        <x:f>Model_Formula!$M$17*(Profiles_140!O11-Simulator!$L$15)^2*IF(Profiles_140!O11&gt;Simulator!$L$15,1+Model_Formula!$N$17,1)</x:f>
        <x:v>400</x:v>
      </x:c>
      <x:c r="K15" s="66" t="n">
        <x:f>Model_Formula!$M$18*(Profiles_140!P11-Simulator!$L$16)^2*IF(Profiles_140!P11&gt;Simulator!$L$16,1+Model_Formula!$N$18,1)</x:f>
        <x:v>22.5</x:v>
      </x:c>
      <x:c r="L15" s="66" t="n">
        <x:f>Model_Formula!$M$19*(Profiles_140!Q11-Simulator!$L$17)^2*IF(Profiles_140!Q11&gt;Simulator!$L$17,1+Model_Formula!$N$19,1)</x:f>
        <x:v>25</x:v>
      </x:c>
      <x:c r="M15" s="66" t="n">
        <x:f>Model_Formula!$M$20*(Profiles_140!R11-Simulator!$L$18)^2*IF(Profiles_140!R11&gt;Simulator!$L$18,1+Model_Formula!$N$20,1)</x:f>
        <x:v>1600</x:v>
      </x:c>
      <x:c r="N15" s="66" t="n">
        <x:f>Model_Formula!$M$21*(Profiles_140!S11-Simulator!$L$19)^2*IF(Profiles_140!S11&gt;Simulator!$L$19,1+Model_Formula!$N$21,1)</x:f>
        <x:v>25</x:v>
      </x:c>
      <x:c r="O15" s="66" t="n">
        <x:f>Model_Formula!$M$22*(Profiles_140!T11-Simulator!$L$20)^2*IF(Profiles_140!T11&gt;Simulator!$L$20,1+Model_Formula!$N$22,1)</x:f>
        <x:v>100</x:v>
      </x:c>
      <x:c r="P15" s="66" t="n">
        <x:f>Model_Formula!$M$23*(Profiles_140!U11-Simulator!$L$21)^2*IF(Profiles_140!U11&gt;Simulator!$L$21,1+Model_Formula!$N$23,1)</x:f>
        <x:v>11.25</x:v>
      </x:c>
      <x:c r="Q15" s="66" t="n">
        <x:f>Model_Formula!$M$24*(Profiles_140!V11-Simulator!$L$22)^2*IF(Profiles_140!V11&gt;Simulator!$L$22,1+Model_Formula!$N$24,1)</x:f>
        <x:v>40</x:v>
      </x:c>
      <x:c r="R15" s="66" t="n">
        <x:f>Model_Formula!$M$25*(Profiles_140!W11-Simulator!$L$23)^2*IF(Profiles_140!W11&gt;Simulator!$L$23,1+Model_Formula!$N$25,1)</x:f>
        <x:v>101.25</x:v>
      </x:c>
      <x:c r="S15" s="66" t="n">
        <x:f>Model_Formula!$M$26*(Profiles_140!X11-Simulator!$L$24)^2*IF(Profiles_140!X11&gt;Simulator!$L$24,1+Model_Formula!$N$26,1)</x:f>
        <x:v>148.50000000000003</x:v>
      </x:c>
      <x:c r="T15" s="66" t="n">
        <x:f>Model_Formula!$M$27*(Profiles_140!Y11-Simulator!$L$25)^2*IF(Profiles_140!Y11&gt;Simulator!$L$25,1+Model_Formula!$N$27,1)</x:f>
        <x:v>482.99999999999994</x:v>
      </x:c>
      <x:c r="U15" s="60" t="n">
        <x:f>SUM(F15:T15)/SUM($F$4:$T$4)</x:f>
        <x:v>370.35447761194035</x:v>
      </x:c>
      <x:c r="V15" s="60" t="n">
        <x:f>SQRT(U15)</x:f>
        <x:v>19.244596062581838</x:v>
      </x:c>
      <x:c r="W15" s="60" t="n">
        <x:f>MAX(0,100-V15)</x:f>
        <x:v>80.75540393741817</x:v>
      </x:c>
      <x:c r="X15" s="60" t="n">
        <x:f>SUMPRODUCT(Profiles_140!K11:Y11,$F$4:$T$4)/SUM($F$4:$T$4)</x:f>
        <x:v>44.83208955223881</x:v>
      </x:c>
      <x:c r="Y15" s="60" t="n">
        <x:f>IFERROR(50+50*SUMPRODUCT(($F$3:$T$3-$X$3)*(Profiles_140!K11:Y11-X15),$F$4:$T$4)/SQRT(SUMPRODUCT(($F$3:$T$3-$X$3)^2,$F$4:$T$4)*SUMPRODUCT((Profiles_140!K11:Y11-X15)^2,$F$4:$T$4)),50)</x:f>
        <x:v>50.00000000000002</x:v>
      </x:c>
      <x:c r="Z15" s="60" t="n">
        <x:f>$Z$3</x:f>
        <x:v>3.9474596431116675e-16</x:v>
      </x:c>
      <x:c r="AA15" s="60" t="n">
        <x:f>W15*(1-Model_Formula!$F$8*Z15)+Y15*(Model_Formula!$F$8*Z15)</x:f>
        <x:v>80.75540393741817</x:v>
      </x:c>
      <x:c r="AB15" s="60" t="n">
        <x:f>SQRT(SUMPRODUCT((Profiles_140!K11:Y11-50)^2,$F$4:$T$4)/SUM($F$4:$T$4))</x:f>
        <x:v>19.04678058744492</x:v>
      </x:c>
      <x:c r="AC15" s="60" t="n">
        <x:f>MAX(-Model_Formula!$F$11,MIN(Model_Formula!$F$11,Model_Formula!$F$10*(AB15-AVERAGE($AB$6:$AB$135))))</x:f>
        <x:v>-4.540639386433696</x:v>
      </x:c>
      <x:c r="AD15" s="60" t="n">
        <x:f>MAX(0,MIN(100,AA15+AC15))</x:f>
        <x:v>76.21476455098447</x:v>
      </x:c>
      <x:c r="AE15" s="60" t="n">
        <x:f>MAX(0,MIN(1,IFERROR((MATCH(AD15,Percentile_Calibration!$F11:$DB11,1)-1)/100,0)))</x:f>
        <x:v>0.89</x:v>
      </x:c>
      <x:c r="AF15" s="62" t="n">
        <x:f>ROUND(MAX(Model_Formula!$I$9,Model_Formula!$I$5+Model_Formula!$I$6*POWER(AE15,Model_Formula!$I$7)),0)</x:f>
        <x:v>81</x:v>
      </x:c>
      <x:c r="AG15" t="n">
        <x:f>Profiles_140!AJ11</x:f>
        <x:v>0</x:v>
      </x:c>
      <x:c r="AH15" s="60" t="n">
        <x:f>Model_Formula!$I$8*(AE15*100)+(1-Model_Formula!$I$8)*AD15+AG15</x:f>
        <x:v>86.4429529101969</x:v>
      </x:c>
      <x:c r="AI15" t="n">
        <x:f>RANK.EQ(AH15,$AH$6:$AH$135,0)+COUNTIF($AH$6:AH15,AH15)-1</x:f>
        <x:v>11</x:v>
      </x:c>
    </x:row>
    <x:row r="16">
      <x:c r="A16" t="str">
        <x:f>Profiles_140!A12</x:f>
        <x:v>グレイシア</x:v>
      </x:c>
      <x:c r="B16" t="str">
        <x:f>Profiles_140!C12</x:f>
        <x:v>グレイシア-1</x:v>
      </x:c>
      <x:c r="C16" t="str">
        <x:f>Profiles_140!D12</x:f>
        <x:v>共通</x:v>
      </x:c>
      <x:c r="D16" t="str">
        <x:f>Profiles_140!B12</x:f>
        <x:v>アタック型</x:v>
      </x:c>
      <x:c r="E16" t="str">
        <x:f>Profiles_140!I12</x:f>
        <x:v>高</x:v>
      </x:c>
      <x:c r="F16" s="66" t="n">
        <x:f>Model_Formula!$M$13*(Profiles_140!K12-Simulator!$L$11)^2*IF(Profiles_140!K12&gt;Simulator!$L$11,1+Model_Formula!$N$13,1)</x:f>
        <x:v>400</x:v>
      </x:c>
      <x:c r="G16" s="66" t="n">
        <x:f>Model_Formula!$M$14*(Profiles_140!L12-Simulator!$L$12)^2*IF(Profiles_140!L12&gt;Simulator!$L$12,1+Model_Formula!$N$14,1)</x:f>
        <x:v>945</x:v>
      </x:c>
      <x:c r="H16" s="66" t="n">
        <x:f>Model_Formula!$M$15*(Profiles_140!M12-Simulator!$L$13)^2*IF(Profiles_140!M12&gt;Simulator!$L$13,1+Model_Formula!$N$15,1)</x:f>
        <x:v>900</x:v>
      </x:c>
      <x:c r="I16" s="66" t="n">
        <x:f>Model_Formula!$M$16*(Profiles_140!N12-Simulator!$L$14)^2*IF(Profiles_140!N12&gt;Simulator!$L$14,1+Model_Formula!$N$16,1)</x:f>
        <x:v>900</x:v>
      </x:c>
      <x:c r="J16" s="66" t="n">
        <x:f>Model_Formula!$M$17*(Profiles_140!O12-Simulator!$L$15)^2*IF(Profiles_140!O12&gt;Simulator!$L$15,1+Model_Formula!$N$17,1)</x:f>
        <x:v>225</x:v>
      </x:c>
      <x:c r="K16" s="66" t="n">
        <x:f>Model_Formula!$M$18*(Profiles_140!P12-Simulator!$L$16)^2*IF(Profiles_140!P12&gt;Simulator!$L$16,1+Model_Formula!$N$18,1)</x:f>
        <x:v>360</x:v>
      </x:c>
      <x:c r="L16" s="66" t="n">
        <x:f>Model_Formula!$M$19*(Profiles_140!Q12-Simulator!$L$17)^2*IF(Profiles_140!Q12&gt;Simulator!$L$17,1+Model_Formula!$N$19,1)</x:f>
        <x:v>400</x:v>
      </x:c>
      <x:c r="M16" s="66" t="n">
        <x:f>Model_Formula!$M$20*(Profiles_140!R12-Simulator!$L$18)^2*IF(Profiles_140!R12&gt;Simulator!$L$18,1+Model_Formula!$N$20,1)</x:f>
        <x:v>2025</x:v>
      </x:c>
      <x:c r="N16" s="66" t="n">
        <x:f>Model_Formula!$M$21*(Profiles_140!S12-Simulator!$L$19)^2*IF(Profiles_140!S12&gt;Simulator!$L$19,1+Model_Formula!$N$21,1)</x:f>
        <x:v>100</x:v>
      </x:c>
      <x:c r="O16" s="66" t="n">
        <x:f>Model_Formula!$M$22*(Profiles_140!T12-Simulator!$L$20)^2*IF(Profiles_140!T12&gt;Simulator!$L$20,1+Model_Formula!$N$22,1)</x:f>
        <x:v>225</x:v>
      </x:c>
      <x:c r="P16" s="66" t="n">
        <x:f>Model_Formula!$M$23*(Profiles_140!U12-Simulator!$L$21)^2*IF(Profiles_140!U12&gt;Simulator!$L$21,1+Model_Formula!$N$23,1)</x:f>
        <x:v>281.25</x:v>
      </x:c>
      <x:c r="Q16" s="66" t="n">
        <x:f>Model_Formula!$M$24*(Profiles_140!V12-Simulator!$L$22)^2*IF(Profiles_140!V12&gt;Simulator!$L$22,1+Model_Formula!$N$24,1)</x:f>
        <x:v>250</x:v>
      </x:c>
      <x:c r="R16" s="66" t="n">
        <x:f>Model_Formula!$M$25*(Profiles_140!W12-Simulator!$L$23)^2*IF(Profiles_140!W12&gt;Simulator!$L$23,1+Model_Formula!$N$25,1)</x:f>
        <x:v>45</x:v>
      </x:c>
      <x:c r="S16" s="66" t="n">
        <x:f>Model_Formula!$M$26*(Profiles_140!X12-Simulator!$L$24)^2*IF(Profiles_140!X12&gt;Simulator!$L$24,1+Model_Formula!$N$26,1)</x:f>
        <x:v>928.1250000000001</x:v>
      </x:c>
      <x:c r="T16" s="66" t="n">
        <x:f>Model_Formula!$M$27*(Profiles_140!Y12-Simulator!$L$25)^2*IF(Profiles_140!Y12&gt;Simulator!$L$25,1+Model_Formula!$N$27,1)</x:f>
        <x:v>271.6875</x:v>
      </x:c>
      <x:c r="U16" s="60" t="n">
        <x:f>SUM(F16:T16)/SUM($F$4:$T$4)</x:f>
        <x:v>616.1240671641792</x:v>
      </x:c>
      <x:c r="V16" s="60" t="n">
        <x:f>SQRT(U16)</x:f>
        <x:v>24.821846570393976</x:v>
      </x:c>
      <x:c r="W16" s="60" t="n">
        <x:f>MAX(0,100-V16)</x:f>
        <x:v>75.17815342960603</x:v>
      </x:c>
      <x:c r="X16" s="60" t="n">
        <x:f>SUMPRODUCT(Profiles_140!K12:Y12,$F$4:$T$4)/SUM($F$4:$T$4)</x:f>
        <x:v>45.63432835820896</x:v>
      </x:c>
      <x:c r="Y16" s="60" t="n">
        <x:f>IFERROR(50+50*SUMPRODUCT(($F$3:$T$3-$X$3)*(Profiles_140!K12:Y12-X16),$F$4:$T$4)/SQRT(SUMPRODUCT(($F$3:$T$3-$X$3)^2,$F$4:$T$4)*SUMPRODUCT((Profiles_140!K12:Y12-X16)^2,$F$4:$T$4)),50)</x:f>
        <x:v>50.000000000000014</x:v>
      </x:c>
      <x:c r="Z16" s="60" t="n">
        <x:f>$Z$3</x:f>
        <x:v>3.9474596431116675e-16</x:v>
      </x:c>
      <x:c r="AA16" s="60" t="n">
        <x:f>W16*(1-Model_Formula!$F$8*Z16)+Y16*(Model_Formula!$F$8*Z16)</x:f>
        <x:v>75.17815342960603</x:v>
      </x:c>
      <x:c r="AB16" s="60" t="n">
        <x:f>SQRT(SUMPRODUCT((Profiles_140!K12:Y12-50)^2,$F$4:$T$4)/SUM($F$4:$T$4))</x:f>
        <x:v>24.403327397297723</x:v>
      </x:c>
      <x:c r="AC16" s="60" t="n">
        <x:f>MAX(-Model_Formula!$F$11,MIN(Model_Formula!$F$11,Model_Formula!$F$10*(AB16-AVERAGE($AB$6:$AB$135))))</x:f>
        <x:v>-2.1301933219999354</x:v>
      </x:c>
      <x:c r="AD16" s="60" t="n">
        <x:f>MAX(0,MIN(100,AA16+AC16))</x:f>
        <x:v>73.04796010760609</x:v>
      </x:c>
      <x:c r="AE16" s="60" t="n">
        <x:f>MAX(0,MIN(1,IFERROR((MATCH(AD16,Percentile_Calibration!$F12:$DB12,1)-1)/100,0)))</x:f>
        <x:v>0.76</x:v>
      </x:c>
      <x:c r="AF16" s="62" t="n">
        <x:f>ROUND(MAX(Model_Formula!$I$9,Model_Formula!$I$5+Model_Formula!$I$6*POWER(AE16,Model_Formula!$I$7)),0)</x:f>
        <x:v>66</x:v>
      </x:c>
      <x:c r="AG16" t="n">
        <x:f>Profiles_140!AJ12</x:f>
        <x:v>0</x:v>
      </x:c>
      <x:c r="AH16" s="60" t="n">
        <x:f>Model_Formula!$I$8*(AE16*100)+(1-Model_Formula!$I$8)*AD16+AG16</x:f>
        <x:v>75.40959202152122</x:v>
      </x:c>
      <x:c r="AI16" t="n">
        <x:f>RANK.EQ(AH16,$AH$6:$AH$135,0)+COUNTIF($AH$6:AH16,AH16)-1</x:f>
        <x:v>51</x:v>
      </x:c>
    </x:row>
    <x:row r="17">
      <x:c r="A17" t="str">
        <x:f>Profiles_140!A13</x:f>
        <x:v>グレンアルマ</x:v>
      </x:c>
      <x:c r="B17" t="str">
        <x:f>Profiles_140!C13</x:f>
        <x:v>グレンアルマ-1</x:v>
      </x:c>
      <x:c r="C17" t="str">
        <x:f>Profiles_140!D13</x:f>
        <x:v>ほのおのうず</x:v>
      </x:c>
      <x:c r="D17" t="str">
        <x:f>Profiles_140!B13</x:f>
        <x:v>アタック型</x:v>
      </x:c>
      <x:c r="E17" t="str">
        <x:f>Profiles_140!I13</x:f>
        <x:v>高</x:v>
      </x:c>
      <x:c r="F17" s="66" t="n">
        <x:f>Model_Formula!$M$13*(Profiles_140!K13-Simulator!$L$11)^2*IF(Profiles_140!K13&gt;Simulator!$L$11,1+Model_Formula!$N$13,1)</x:f>
        <x:v>25</x:v>
      </x:c>
      <x:c r="G17" s="66" t="n">
        <x:f>Model_Formula!$M$14*(Profiles_140!L13-Simulator!$L$12)^2*IF(Profiles_140!L13&gt;Simulator!$L$12,1+Model_Formula!$N$14,1)</x:f>
        <x:v>236.25</x:v>
      </x:c>
      <x:c r="H17" s="66" t="n">
        <x:f>Model_Formula!$M$15*(Profiles_140!M13-Simulator!$L$13)^2*IF(Profiles_140!M13&gt;Simulator!$L$13,1+Model_Formula!$N$15,1)</x:f>
        <x:v>900</x:v>
      </x:c>
      <x:c r="I17" s="66" t="n">
        <x:f>Model_Formula!$M$16*(Profiles_140!N13-Simulator!$L$14)^2*IF(Profiles_140!N13&gt;Simulator!$L$14,1+Model_Formula!$N$16,1)</x:f>
        <x:v>625</x:v>
      </x:c>
      <x:c r="J17" s="66" t="n">
        <x:f>Model_Formula!$M$17*(Profiles_140!O13-Simulator!$L$15)^2*IF(Profiles_140!O13&gt;Simulator!$L$15,1+Model_Formula!$N$17,1)</x:f>
        <x:v>900</x:v>
      </x:c>
      <x:c r="K17" s="66" t="n">
        <x:f>Model_Formula!$M$18*(Profiles_140!P13-Simulator!$L$16)^2*IF(Profiles_140!P13&gt;Simulator!$L$16,1+Model_Formula!$N$18,1)</x:f>
        <x:v>562.5</x:v>
      </x:c>
      <x:c r="L17" s="66" t="n">
        <x:f>Model_Formula!$M$19*(Profiles_140!Q13-Simulator!$L$17)^2*IF(Profiles_140!Q13&gt;Simulator!$L$17,1+Model_Formula!$N$19,1)</x:f>
        <x:v>225</x:v>
      </x:c>
      <x:c r="M17" s="66" t="n">
        <x:f>Model_Formula!$M$20*(Profiles_140!R13-Simulator!$L$18)^2*IF(Profiles_140!R13&gt;Simulator!$L$18,1+Model_Formula!$N$20,1)</x:f>
        <x:v>2025</x:v>
      </x:c>
      <x:c r="N17" s="66" t="n">
        <x:f>Model_Formula!$M$21*(Profiles_140!S13-Simulator!$L$19)^2*IF(Profiles_140!S13&gt;Simulator!$L$19,1+Model_Formula!$N$21,1)</x:f>
        <x:v>0</x:v>
      </x:c>
      <x:c r="O17" s="66" t="n">
        <x:f>Model_Formula!$M$22*(Profiles_140!T13-Simulator!$L$20)^2*IF(Profiles_140!T13&gt;Simulator!$L$20,1+Model_Formula!$N$22,1)</x:f>
        <x:v>400</x:v>
      </x:c>
      <x:c r="P17" s="66" t="n">
        <x:f>Model_Formula!$M$23*(Profiles_140!U13-Simulator!$L$21)^2*IF(Profiles_140!U13&gt;Simulator!$L$21,1+Model_Formula!$N$23,1)</x:f>
        <x:v>180</x:v>
      </x:c>
      <x:c r="Q17" s="66" t="n">
        <x:f>Model_Formula!$M$24*(Profiles_140!V13-Simulator!$L$22)^2*IF(Profiles_140!V13&gt;Simulator!$L$22,1+Model_Formula!$N$24,1)</x:f>
        <x:v>250</x:v>
      </x:c>
      <x:c r="R17" s="66" t="n">
        <x:f>Model_Formula!$M$25*(Profiles_140!W13-Simulator!$L$23)^2*IF(Profiles_140!W13&gt;Simulator!$L$23,1+Model_Formula!$N$25,1)</x:f>
        <x:v>45</x:v>
      </x:c>
      <x:c r="S17" s="66" t="n">
        <x:f>Model_Formula!$M$26*(Profiles_140!X13-Simulator!$L$24)^2*IF(Profiles_140!X13&gt;Simulator!$L$24,1+Model_Formula!$N$26,1)</x:f>
        <x:v>148.50000000000003</x:v>
      </x:c>
      <x:c r="T17" s="66" t="n">
        <x:f>Model_Formula!$M$27*(Profiles_140!Y13-Simulator!$L$25)^2*IF(Profiles_140!Y13&gt;Simulator!$L$25,1+Model_Formula!$N$27,1)</x:f>
        <x:v>120.74999999999999</x:v>
      </x:c>
      <x:c r="U17" s="60" t="n">
        <x:f>SUM(F17:T17)/SUM($F$4:$T$4)</x:f>
        <x:v>495.7462686567165</x:v>
      </x:c>
      <x:c r="V17" s="60" t="n">
        <x:f>SQRT(U17)</x:f>
        <x:v>22.265360285805315</x:v>
      </x:c>
      <x:c r="W17" s="60" t="n">
        <x:f>MAX(0,100-V17)</x:f>
        <x:v>77.73463971419469</x:v>
      </x:c>
      <x:c r="X17" s="60" t="n">
        <x:f>SUMPRODUCT(Profiles_140!K13:Y13,$F$4:$T$4)/SUM($F$4:$T$4)</x:f>
        <x:v>47.22014925373135</x:v>
      </x:c>
      <x:c r="Y17" s="60" t="n">
        <x:f>IFERROR(50+50*SUMPRODUCT(($F$3:$T$3-$X$3)*(Profiles_140!K13:Y13-X17),$F$4:$T$4)/SQRT(SUMPRODUCT(($F$3:$T$3-$X$3)^2,$F$4:$T$4)*SUMPRODUCT((Profiles_140!K13:Y13-X17)^2,$F$4:$T$4)),50)</x:f>
        <x:v>50.000000000000014</x:v>
      </x:c>
      <x:c r="Z17" s="60" t="n">
        <x:f>$Z$3</x:f>
        <x:v>3.9474596431116675e-16</x:v>
      </x:c>
      <x:c r="AA17" s="60" t="n">
        <x:f>W17*(1-Model_Formula!$F$8*Z17)+Y17*(Model_Formula!$F$8*Z17)</x:f>
        <x:v>77.73463971419469</x:v>
      </x:c>
      <x:c r="AB17" s="60" t="n">
        <x:f>SQRT(SUMPRODUCT((Profiles_140!K13:Y13-50)^2,$F$4:$T$4)/SUM($F$4:$T$4))</x:f>
        <x:v>22.174258977337438</x:v>
      </x:c>
      <x:c r="AC17" s="60" t="n">
        <x:f>MAX(-Model_Formula!$F$11,MIN(Model_Formula!$F$11,Model_Formula!$F$10*(AB17-AVERAGE($AB$6:$AB$135))))</x:f>
        <x:v>-3.1332741109820637</x:v>
      </x:c>
      <x:c r="AD17" s="60" t="n">
        <x:f>MAX(0,MIN(100,AA17+AC17))</x:f>
        <x:v>74.60136560321263</x:v>
      </x:c>
      <x:c r="AE17" s="60" t="n">
        <x:f>MAX(0,MIN(1,IFERROR((MATCH(AD17,Percentile_Calibration!$F13:$DB13,1)-1)/100,0)))</x:f>
        <x:v>0.84</x:v>
      </x:c>
      <x:c r="AF17" s="62" t="n">
        <x:f>ROUND(MAX(Model_Formula!$I$9,Model_Formula!$I$5+Model_Formula!$I$6*POWER(AE17,Model_Formula!$I$7)),0)</x:f>
        <x:v>75</x:v>
      </x:c>
      <x:c r="AG17" t="n">
        <x:f>Profiles_140!AJ13</x:f>
        <x:v>0</x:v>
      </x:c>
      <x:c r="AH17" s="60" t="n">
        <x:f>Model_Formula!$I$8*(AE17*100)+(1-Model_Formula!$I$8)*AD17+AG17</x:f>
        <x:v>82.12027312064252</x:v>
      </x:c>
      <x:c r="AI17" t="n">
        <x:f>RANK.EQ(AH17,$AH$6:$AH$135,0)+COUNTIF($AH$6:AH17,AH17)-1</x:f>
        <x:v>28</x:v>
      </x:c>
    </x:row>
    <x:row r="18">
      <x:c r="A18" t="str">
        <x:f>Profiles_140!A14</x:f>
        <x:v>グレンアルマ</x:v>
      </x:c>
      <x:c r="B18" t="str">
        <x:f>Profiles_140!C14</x:f>
        <x:v>グレンアルマ-2</x:v>
      </x:c>
      <x:c r="C18" t="str">
        <x:f>Profiles_140!D14</x:f>
        <x:v>アーマーキャノン</x:v>
      </x:c>
      <x:c r="D18" t="str">
        <x:f>Profiles_140!B14</x:f>
        <x:v>アタック型</x:v>
      </x:c>
      <x:c r="E18" t="str">
        <x:f>Profiles_140!I14</x:f>
        <x:v>高</x:v>
      </x:c>
      <x:c r="F18" s="66" t="n">
        <x:f>Model_Formula!$M$13*(Profiles_140!K14-Simulator!$L$11)^2*IF(Profiles_140!K14&gt;Simulator!$L$11,1+Model_Formula!$N$13,1)</x:f>
        <x:v>400</x:v>
      </x:c>
      <x:c r="G18" s="66" t="n">
        <x:f>Model_Formula!$M$14*(Profiles_140!L14-Simulator!$L$12)^2*IF(Profiles_140!L14&gt;Simulator!$L$12,1+Model_Formula!$N$14,1)</x:f>
        <x:v>2126.25</x:v>
      </x:c>
      <x:c r="H18" s="66" t="n">
        <x:f>Model_Formula!$M$15*(Profiles_140!M14-Simulator!$L$13)^2*IF(Profiles_140!M14&gt;Simulator!$L$13,1+Model_Formula!$N$15,1)</x:f>
        <x:v>225</x:v>
      </x:c>
      <x:c r="I18" s="66" t="n">
        <x:f>Model_Formula!$M$16*(Profiles_140!N14-Simulator!$L$14)^2*IF(Profiles_140!N14&gt;Simulator!$L$14,1+Model_Formula!$N$16,1)</x:f>
        <x:v>1600</x:v>
      </x:c>
      <x:c r="J18" s="66" t="n">
        <x:f>Model_Formula!$M$17*(Profiles_140!O14-Simulator!$L$15)^2*IF(Profiles_140!O14&gt;Simulator!$L$15,1+Model_Formula!$N$17,1)</x:f>
        <x:v>2500</x:v>
      </x:c>
      <x:c r="K18" s="66" t="n">
        <x:f>Model_Formula!$M$18*(Profiles_140!P14-Simulator!$L$16)^2*IF(Profiles_140!P14&gt;Simulator!$L$16,1+Model_Formula!$N$18,1)</x:f>
        <x:v>1440</x:v>
      </x:c>
      <x:c r="L18" s="66" t="n">
        <x:f>Model_Formula!$M$19*(Profiles_140!Q14-Simulator!$L$17)^2*IF(Profiles_140!Q14&gt;Simulator!$L$17,1+Model_Formula!$N$19,1)</x:f>
        <x:v>1600</x:v>
      </x:c>
      <x:c r="M18" s="66" t="n">
        <x:f>Model_Formula!$M$20*(Profiles_140!R14-Simulator!$L$18)^2*IF(Profiles_140!R14&gt;Simulator!$L$18,1+Model_Formula!$N$20,1)</x:f>
        <x:v>1600</x:v>
      </x:c>
      <x:c r="N18" s="66" t="n">
        <x:f>Model_Formula!$M$21*(Profiles_140!S14-Simulator!$L$19)^2*IF(Profiles_140!S14&gt;Simulator!$L$19,1+Model_Formula!$N$21,1)</x:f>
        <x:v>900</x:v>
      </x:c>
      <x:c r="O18" s="66" t="n">
        <x:f>Model_Formula!$M$22*(Profiles_140!T14-Simulator!$L$20)^2*IF(Profiles_140!T14&gt;Simulator!$L$20,1+Model_Formula!$N$22,1)</x:f>
        <x:v>25</x:v>
      </x:c>
      <x:c r="P18" s="66" t="n">
        <x:f>Model_Formula!$M$23*(Profiles_140!U14-Simulator!$L$21)^2*IF(Profiles_140!U14&gt;Simulator!$L$21,1+Model_Formula!$N$23,1)</x:f>
        <x:v>11.25</x:v>
      </x:c>
      <x:c r="Q18" s="66" t="n">
        <x:f>Model_Formula!$M$24*(Profiles_140!V14-Simulator!$L$22)^2*IF(Profiles_140!V14&gt;Simulator!$L$22,1+Model_Formula!$N$24,1)</x:f>
        <x:v>40</x:v>
      </x:c>
      <x:c r="R18" s="66" t="n">
        <x:f>Model_Formula!$M$25*(Profiles_140!W14-Simulator!$L$23)^2*IF(Profiles_140!W14&gt;Simulator!$L$23,1+Model_Formula!$N$25,1)</x:f>
        <x:v>281.25</x:v>
      </x:c>
      <x:c r="S18" s="66" t="n">
        <x:f>Model_Formula!$M$26*(Profiles_140!X14-Simulator!$L$24)^2*IF(Profiles_140!X14&gt;Simulator!$L$24,1+Model_Formula!$N$26,1)</x:f>
        <x:v>148.50000000000003</x:v>
      </x:c>
      <x:c r="T18" s="66" t="n">
        <x:f>Model_Formula!$M$27*(Profiles_140!Y14-Simulator!$L$25)^2*IF(Profiles_140!Y14&gt;Simulator!$L$25,1+Model_Formula!$N$27,1)</x:f>
        <x:v>482.99999999999994</x:v>
      </x:c>
      <x:c r="U18" s="60" t="n">
        <x:f>SUM(F18:T18)/SUM($F$4:$T$4)</x:f>
        <x:v>998.5261194029852</x:v>
      </x:c>
      <x:c r="V18" s="60" t="n">
        <x:f>SQRT(U18)</x:f>
        <x:v>31.599463910056848</x:v>
      </x:c>
      <x:c r="W18" s="60" t="n">
        <x:f>MAX(0,100-V18)</x:f>
        <x:v>68.40053608994316</x:v>
      </x:c>
      <x:c r="X18" s="60" t="n">
        <x:f>SUMPRODUCT(Profiles_140!K14:Y14,$F$4:$T$4)/SUM($F$4:$T$4)</x:f>
        <x:v>41.32462686567165</x:v>
      </x:c>
      <x:c r="Y18" s="60" t="n">
        <x:f>IFERROR(50+50*SUMPRODUCT(($F$3:$T$3-$X$3)*(Profiles_140!K14:Y14-X18),$F$4:$T$4)/SQRT(SUMPRODUCT(($F$3:$T$3-$X$3)^2,$F$4:$T$4)*SUMPRODUCT((Profiles_140!K14:Y14-X18)^2,$F$4:$T$4)),50)</x:f>
        <x:v>50.00000000000001</x:v>
      </x:c>
      <x:c r="Z18" s="60" t="n">
        <x:f>$Z$3</x:f>
        <x:v>3.9474596431116675e-16</x:v>
      </x:c>
      <x:c r="AA18" s="60" t="n">
        <x:f>W18*(1-Model_Formula!$F$8*Z18)+Y18*(Model_Formula!$F$8*Z18)</x:f>
        <x:v>68.40053608994316</x:v>
      </x:c>
      <x:c r="AB18" s="60" t="n">
        <x:f>SQRT(SUMPRODUCT((Profiles_140!K14:Y14-50)^2,$F$4:$T$4)/SUM($F$4:$T$4))</x:f>
        <x:v>31.479382022798884</x:v>
      </x:c>
      <x:c r="AC18" s="60" t="n">
        <x:f>MAX(-Model_Formula!$F$11,MIN(Model_Formula!$F$11,Model_Formula!$F$10*(AB18-AVERAGE($AB$6:$AB$135))))</x:f>
        <x:v>1.0540312594755874</x:v>
      </x:c>
      <x:c r="AD18" s="60" t="n">
        <x:f>MAX(0,MIN(100,AA18+AC18))</x:f>
        <x:v>69.45456734941875</x:v>
      </x:c>
      <x:c r="AE18" s="60" t="n">
        <x:f>MAX(0,MIN(1,IFERROR((MATCH(AD18,Percentile_Calibration!$F14:$DB14,1)-1)/100,0)))</x:f>
        <x:v>0.79</x:v>
      </x:c>
      <x:c r="AF18" s="62" t="n">
        <x:f>ROUND(MAX(Model_Formula!$I$9,Model_Formula!$I$5+Model_Formula!$I$6*POWER(AE18,Model_Formula!$I$7)),0)</x:f>
        <x:v>69</x:v>
      </x:c>
      <x:c r="AG18" t="n">
        <x:f>Profiles_140!AJ14</x:f>
        <x:v>0</x:v>
      </x:c>
      <x:c r="AH18" s="60" t="n">
        <x:f>Model_Formula!$I$8*(AE18*100)+(1-Model_Formula!$I$8)*AD18+AG18</x:f>
        <x:v>77.09091346988374</x:v>
      </x:c>
      <x:c r="AI18" t="n">
        <x:f>RANK.EQ(AH18,$AH$6:$AH$135,0)+COUNTIF($AH$6:AH18,AH18)-1</x:f>
        <x:v>42</x:v>
      </x:c>
    </x:row>
    <x:row r="19">
      <x:c r="A19" t="str">
        <x:f>Profiles_140!A15</x:f>
        <x:v>ゲッコウガ</x:v>
      </x:c>
      <x:c r="B19" t="str">
        <x:f>Profiles_140!C15</x:f>
        <x:v>ゲッコウガ-1</x:v>
      </x:c>
      <x:c r="C19" t="str">
        <x:f>Profiles_140!D15</x:f>
        <x:v>みずしゅりけん</x:v>
      </x:c>
      <x:c r="D19" t="str">
        <x:f>Profiles_140!B15</x:f>
        <x:v>アタック型</x:v>
      </x:c>
      <x:c r="E19" t="str">
        <x:f>Profiles_140!I15</x:f>
        <x:v>高</x:v>
      </x:c>
      <x:c r="F19" s="66" t="n">
        <x:f>Model_Formula!$M$13*(Profiles_140!K15-Simulator!$L$11)^2*IF(Profiles_140!K15&gt;Simulator!$L$11,1+Model_Formula!$N$13,1)</x:f>
        <x:v>2025</x:v>
      </x:c>
      <x:c r="G19" s="66" t="n">
        <x:f>Model_Formula!$M$14*(Profiles_140!L15-Simulator!$L$12)^2*IF(Profiles_140!L15&gt;Simulator!$L$12,1+Model_Formula!$N$14,1)</x:f>
        <x:v>2625</x:v>
      </x:c>
      <x:c r="H19" s="66" t="n">
        <x:f>Model_Formula!$M$15*(Profiles_140!M15-Simulator!$L$13)^2*IF(Profiles_140!M15&gt;Simulator!$L$13,1+Model_Formula!$N$15,1)</x:f>
        <x:v>1600</x:v>
      </x:c>
      <x:c r="I19" s="66" t="n">
        <x:f>Model_Formula!$M$16*(Profiles_140!N15-Simulator!$L$14)^2*IF(Profiles_140!N15&gt;Simulator!$L$14,1+Model_Formula!$N$16,1)</x:f>
        <x:v>2500</x:v>
      </x:c>
      <x:c r="J19" s="66" t="n">
        <x:f>Model_Formula!$M$17*(Profiles_140!O15-Simulator!$L$15)^2*IF(Profiles_140!O15&gt;Simulator!$L$15,1+Model_Formula!$N$17,1)</x:f>
        <x:v>625</x:v>
      </x:c>
      <x:c r="K19" s="66" t="n">
        <x:f>Model_Formula!$M$18*(Profiles_140!P15-Simulator!$L$16)^2*IF(Profiles_140!P15&gt;Simulator!$L$16,1+Model_Formula!$N$18,1)</x:f>
        <x:v>2250</x:v>
      </x:c>
      <x:c r="L19" s="66" t="n">
        <x:f>Model_Formula!$M$19*(Profiles_140!Q15-Simulator!$L$17)^2*IF(Profiles_140!Q15&gt;Simulator!$L$17,1+Model_Formula!$N$19,1)</x:f>
        <x:v>2025</x:v>
      </x:c>
      <x:c r="M19" s="66" t="n">
        <x:f>Model_Formula!$M$20*(Profiles_140!R15-Simulator!$L$18)^2*IF(Profiles_140!R15&gt;Simulator!$L$18,1+Model_Formula!$N$20,1)</x:f>
        <x:v>2025</x:v>
      </x:c>
      <x:c r="N19" s="66" t="n">
        <x:f>Model_Formula!$M$21*(Profiles_140!S15-Simulator!$L$19)^2*IF(Profiles_140!S15&gt;Simulator!$L$19,1+Model_Formula!$N$21,1)</x:f>
        <x:v>100</x:v>
      </x:c>
      <x:c r="O19" s="66" t="n">
        <x:f>Model_Formula!$M$22*(Profiles_140!T15-Simulator!$L$20)^2*IF(Profiles_140!T15&gt;Simulator!$L$20,1+Model_Formula!$N$22,1)</x:f>
        <x:v>25</x:v>
      </x:c>
      <x:c r="P19" s="66" t="n">
        <x:f>Model_Formula!$M$23*(Profiles_140!U15-Simulator!$L$21)^2*IF(Profiles_140!U15&gt;Simulator!$L$21,1+Model_Formula!$N$23,1)</x:f>
        <x:v>551.25</x:v>
      </x:c>
      <x:c r="Q19" s="66" t="n">
        <x:f>Model_Formula!$M$24*(Profiles_140!V15-Simulator!$L$22)^2*IF(Profiles_140!V15&gt;Simulator!$L$22,1+Model_Formula!$N$24,1)</x:f>
        <x:v>810</x:v>
      </x:c>
      <x:c r="R19" s="66" t="n">
        <x:f>Model_Formula!$M$25*(Profiles_140!W15-Simulator!$L$23)^2*IF(Profiles_140!W15&gt;Simulator!$L$23,1+Model_Formula!$N$25,1)</x:f>
        <x:v>11.25</x:v>
      </x:c>
      <x:c r="S19" s="66" t="n">
        <x:f>Model_Formula!$M$26*(Profiles_140!X15-Simulator!$L$24)^2*IF(Profiles_140!X15&gt;Simulator!$L$24,1+Model_Formula!$N$26,1)</x:f>
        <x:v>928.1250000000001</x:v>
      </x:c>
      <x:c r="T19" s="66" t="n">
        <x:f>Model_Formula!$M$27*(Profiles_140!Y15-Simulator!$L$25)^2*IF(Profiles_140!Y15&gt;Simulator!$L$25,1+Model_Formula!$N$27,1)</x:f>
        <x:v>271.6875</x:v>
      </x:c>
      <x:c r="U19" s="60" t="n">
        <x:f>SUM(F19:T19)/SUM($F$4:$T$4)</x:f>
        <x:v>1371.0680970149256</x:v>
      </x:c>
      <x:c r="V19" s="60" t="n">
        <x:f>SQRT(U19)</x:f>
        <x:v>37.027936710204706</x:v>
      </x:c>
      <x:c r="W19" s="60" t="n">
        <x:f>MAX(0,100-V19)</x:f>
        <x:v>62.972063289795294</x:v>
      </x:c>
      <x:c r="X19" s="60" t="n">
        <x:f>SUMPRODUCT(Profiles_140!K15:Y15,$F$4:$T$4)/SUM($F$4:$T$4)</x:f>
        <x:v>41.54850746268657</x:v>
      </x:c>
      <x:c r="Y19" s="60" t="n">
        <x:f>IFERROR(50+50*SUMPRODUCT(($F$3:$T$3-$X$3)*(Profiles_140!K15:Y15-X19),$F$4:$T$4)/SQRT(SUMPRODUCT(($F$3:$T$3-$X$3)^2,$F$4:$T$4)*SUMPRODUCT((Profiles_140!K15:Y15-X19)^2,$F$4:$T$4)),50)</x:f>
        <x:v>50.00000000000001</x:v>
      </x:c>
      <x:c r="Z19" s="60" t="n">
        <x:f>$Z$3</x:f>
        <x:v>3.9474596431116675e-16</x:v>
      </x:c>
      <x:c r="AA19" s="60" t="n">
        <x:f>W19*(1-Model_Formula!$F$8*Z19)+Y19*(Model_Formula!$F$8*Z19)</x:f>
        <x:v>62.972063289795294</x:v>
      </x:c>
      <x:c r="AB19" s="60" t="n">
        <x:f>SQRT(SUMPRODUCT((Profiles_140!K15:Y15-50)^2,$F$4:$T$4)/SUM($F$4:$T$4))</x:f>
        <x:v>36.74869273743555</x:v>
      </x:c>
      <x:c r="AC19" s="60" t="n">
        <x:f>MAX(-Model_Formula!$F$11,MIN(Model_Formula!$F$11,Model_Formula!$F$10*(AB19-AVERAGE($AB$6:$AB$135))))</x:f>
        <x:v>3.425221081062086</x:v>
      </x:c>
      <x:c r="AD19" s="60" t="n">
        <x:f>MAX(0,MIN(100,AA19+AC19))</x:f>
        <x:v>66.39728437085738</x:v>
      </x:c>
      <x:c r="AE19" s="60" t="n">
        <x:f>MAX(0,MIN(1,IFERROR((MATCH(AD19,Percentile_Calibration!$F15:$DB15,1)-1)/100,0)))</x:f>
        <x:v>0.65</x:v>
      </x:c>
      <x:c r="AF19" s="62" t="n">
        <x:f>ROUND(MAX(Model_Formula!$I$9,Model_Formula!$I$5+Model_Formula!$I$6*POWER(AE19,Model_Formula!$I$7)),0)</x:f>
        <x:v>57</x:v>
      </x:c>
      <x:c r="AG19" t="n">
        <x:f>Profiles_140!AJ15</x:f>
        <x:v>0</x:v>
      </x:c>
      <x:c r="AH19" s="60" t="n">
        <x:f>Model_Formula!$I$8*(AE19*100)+(1-Model_Formula!$I$8)*AD19+AG19</x:f>
        <x:v>65.27945687417147</x:v>
      </x:c>
      <x:c r="AI19" t="n">
        <x:f>RANK.EQ(AH19,$AH$6:$AH$135,0)+COUNTIF($AH$6:AH19,AH19)-1</x:f>
        <x:v>114</x:v>
      </x:c>
    </x:row>
    <x:row r="20">
      <x:c r="A20" t="str">
        <x:f>Profiles_140!A16</x:f>
        <x:v>ゲッコウガ</x:v>
      </x:c>
      <x:c r="B20" t="str">
        <x:f>Profiles_140!C16</x:f>
        <x:v>ゲッコウガ-2</x:v>
      </x:c>
      <x:c r="C20" t="str">
        <x:f>Profiles_140!D16</x:f>
        <x:v>なみのり</x:v>
      </x:c>
      <x:c r="D20" t="str">
        <x:f>Profiles_140!B16</x:f>
        <x:v>アタック型</x:v>
      </x:c>
      <x:c r="E20" t="str">
        <x:f>Profiles_140!I16</x:f>
        <x:v>高</x:v>
      </x:c>
      <x:c r="F20" s="66" t="n">
        <x:f>Model_Formula!$M$13*(Profiles_140!K16-Simulator!$L$11)^2*IF(Profiles_140!K16&gt;Simulator!$L$11,1+Model_Formula!$N$13,1)</x:f>
        <x:v>25</x:v>
      </x:c>
      <x:c r="G20" s="66" t="n">
        <x:f>Model_Formula!$M$14*(Profiles_140!L16-Simulator!$L$12)^2*IF(Profiles_140!L16&gt;Simulator!$L$12,1+Model_Formula!$N$14,1)</x:f>
        <x:v>2625</x:v>
      </x:c>
      <x:c r="H20" s="66" t="n">
        <x:f>Model_Formula!$M$15*(Profiles_140!M16-Simulator!$L$13)^2*IF(Profiles_140!M16&gt;Simulator!$L$13,1+Model_Formula!$N$15,1)</x:f>
        <x:v>2500</x:v>
      </x:c>
      <x:c r="I20" s="66" t="n">
        <x:f>Model_Formula!$M$16*(Profiles_140!N16-Simulator!$L$14)^2*IF(Profiles_140!N16&gt;Simulator!$L$14,1+Model_Formula!$N$16,1)</x:f>
        <x:v>1600</x:v>
      </x:c>
      <x:c r="J20" s="66" t="n">
        <x:f>Model_Formula!$M$17*(Profiles_140!O16-Simulator!$L$15)^2*IF(Profiles_140!O16&gt;Simulator!$L$15,1+Model_Formula!$N$17,1)</x:f>
        <x:v>1225</x:v>
      </x:c>
      <x:c r="K20" s="66" t="n">
        <x:f>Model_Formula!$M$18*(Profiles_140!P16-Simulator!$L$16)^2*IF(Profiles_140!P16&gt;Simulator!$L$16,1+Model_Formula!$N$18,1)</x:f>
        <x:v>2250</x:v>
      </x:c>
      <x:c r="L20" s="66" t="n">
        <x:f>Model_Formula!$M$19*(Profiles_140!Q16-Simulator!$L$17)^2*IF(Profiles_140!Q16&gt;Simulator!$L$17,1+Model_Formula!$N$19,1)</x:f>
        <x:v>625</x:v>
      </x:c>
      <x:c r="M20" s="66" t="n">
        <x:f>Model_Formula!$M$20*(Profiles_140!R16-Simulator!$L$18)^2*IF(Profiles_140!R16&gt;Simulator!$L$18,1+Model_Formula!$N$20,1)</x:f>
        <x:v>2025</x:v>
      </x:c>
      <x:c r="N20" s="66" t="n">
        <x:f>Model_Formula!$M$21*(Profiles_140!S16-Simulator!$L$19)^2*IF(Profiles_140!S16&gt;Simulator!$L$19,1+Model_Formula!$N$21,1)</x:f>
        <x:v>2500</x:v>
      </x:c>
      <x:c r="O20" s="66" t="n">
        <x:f>Model_Formula!$M$22*(Profiles_140!T16-Simulator!$L$20)^2*IF(Profiles_140!T16&gt;Simulator!$L$20,1+Model_Formula!$N$22,1)</x:f>
        <x:v>100</x:v>
      </x:c>
      <x:c r="P20" s="66" t="n">
        <x:f>Model_Formula!$M$23*(Profiles_140!U16-Simulator!$L$21)^2*IF(Profiles_140!U16&gt;Simulator!$L$21,1+Model_Formula!$N$23,1)</x:f>
        <x:v>11.25</x:v>
      </x:c>
      <x:c r="Q20" s="66" t="n">
        <x:f>Model_Formula!$M$24*(Profiles_140!V16-Simulator!$L$22)^2*IF(Profiles_140!V16&gt;Simulator!$L$22,1+Model_Formula!$N$24,1)</x:f>
        <x:v>640</x:v>
      </x:c>
      <x:c r="R20" s="66" t="n">
        <x:f>Model_Formula!$M$25*(Profiles_140!W16-Simulator!$L$23)^2*IF(Profiles_140!W16&gt;Simulator!$L$23,1+Model_Formula!$N$25,1)</x:f>
        <x:v>551.25</x:v>
      </x:c>
      <x:c r="S20" s="66" t="n">
        <x:f>Model_Formula!$M$26*(Profiles_140!X16-Simulator!$L$24)^2*IF(Profiles_140!X16&gt;Simulator!$L$24,1+Model_Formula!$N$26,1)</x:f>
        <x:v>2376.0000000000005</x:v>
      </x:c>
      <x:c r="T20" s="66" t="n">
        <x:f>Model_Formula!$M$27*(Profiles_140!Y16-Simulator!$L$25)^2*IF(Profiles_140!Y16&gt;Simulator!$L$25,1+Model_Formula!$N$27,1)</x:f>
        <x:v>754.6874999999999</x:v>
      </x:c>
      <x:c r="U20" s="60" t="n">
        <x:f>SUM(F20:T20)/SUM($F$4:$T$4)</x:f>
        <x:v>1478.2229477611943</x:v>
      </x:c>
      <x:c r="V20" s="60" t="n">
        <x:f>SQRT(U20)</x:f>
        <x:v>38.44766504953447</x:v>
      </x:c>
      <x:c r="W20" s="60" t="n">
        <x:f>MAX(0,100-V20)</x:f>
        <x:v>61.55233495046553</x:v>
      </x:c>
      <x:c r="X20" s="60" t="n">
        <x:f>SUMPRODUCT(Profiles_140!K16:Y16,$F$4:$T$4)/SUM($F$4:$T$4)</x:f>
        <x:v>48.638059701492544</x:v>
      </x:c>
      <x:c r="Y20" s="60" t="n">
        <x:f>IFERROR(50+50*SUMPRODUCT(($F$3:$T$3-$X$3)*(Profiles_140!K16:Y16-X20),$F$4:$T$4)/SQRT(SUMPRODUCT(($F$3:$T$3-$X$3)^2,$F$4:$T$4)*SUMPRODUCT((Profiles_140!K16:Y16-X20)^2,$F$4:$T$4)),50)</x:f>
        <x:v>50.00000000000001</x:v>
      </x:c>
      <x:c r="Z20" s="60" t="n">
        <x:f>$Z$3</x:f>
        <x:v>3.9474596431116675e-16</x:v>
      </x:c>
      <x:c r="AA20" s="60" t="n">
        <x:f>W20*(1-Model_Formula!$F$8*Z20)+Y20*(Model_Formula!$F$8*Z20)</x:f>
        <x:v>61.55233495046553</x:v>
      </x:c>
      <x:c r="AB20" s="60" t="n">
        <x:f>SQRT(SUMPRODUCT((Profiles_140!K16:Y16-50)^2,$F$4:$T$4)/SUM($F$4:$T$4))</x:f>
        <x:v>37.74793658490369</x:v>
      </x:c>
      <x:c r="AC20" s="60" t="n">
        <x:f>MAX(-Model_Formula!$F$11,MIN(Model_Formula!$F$11,Model_Formula!$F$10*(AB20-AVERAGE($AB$6:$AB$135))))</x:f>
        <x:v>3.8748808124227505</x:v>
      </x:c>
      <x:c r="AD20" s="60" t="n">
        <x:f>MAX(0,MIN(100,AA20+AC20))</x:f>
        <x:v>65.42721576288828</x:v>
      </x:c>
      <x:c r="AE20" s="60" t="n">
        <x:f>MAX(0,MIN(1,IFERROR((MATCH(AD20,Percentile_Calibration!$F16:$DB16,1)-1)/100,0)))</x:f>
        <x:v>0.62</x:v>
      </x:c>
      <x:c r="AF20" s="62" t="n">
        <x:f>ROUND(MAX(Model_Formula!$I$9,Model_Formula!$I$5+Model_Formula!$I$6*POWER(AE20,Model_Formula!$I$7)),0)</x:f>
        <x:v>55</x:v>
      </x:c>
      <x:c r="AG20" t="n">
        <x:f>Profiles_140!AJ16</x:f>
        <x:v>0</x:v>
      </x:c>
      <x:c r="AH20" s="60" t="n">
        <x:f>Model_Formula!$I$8*(AE20*100)+(1-Model_Formula!$I$8)*AD20+AG20</x:f>
        <x:v>62.685443152577655</x:v>
      </x:c>
      <x:c r="AI20" t="n">
        <x:f>RANK.EQ(AH20,$AH$6:$AH$135,0)+COUNTIF($AH$6:AH20,AH20)-1</x:f>
        <x:v>126</x:v>
      </x:c>
    </x:row>
    <x:row r="21">
      <x:c r="A21" t="str">
        <x:f>Profiles_140!A17</x:f>
        <x:v>サンダー</x:v>
      </x:c>
      <x:c r="B21" t="str">
        <x:f>Profiles_140!C17</x:f>
        <x:v>サンダー-1</x:v>
      </x:c>
      <x:c r="C21" t="str">
        <x:f>Profiles_140!D17</x:f>
        <x:v>共通</x:v>
      </x:c>
      <x:c r="D21" t="str">
        <x:f>Profiles_140!B17</x:f>
        <x:v>アタック型</x:v>
      </x:c>
      <x:c r="E21" t="str">
        <x:f>Profiles_140!I17</x:f>
        <x:v>中</x:v>
      </x:c>
      <x:c r="F21" s="66" t="n">
        <x:f>Model_Formula!$M$13*(Profiles_140!K17-Simulator!$L$11)^2*IF(Profiles_140!K17&gt;Simulator!$L$11,1+Model_Formula!$N$13,1)</x:f>
        <x:v>400</x:v>
      </x:c>
      <x:c r="G21" s="66" t="n">
        <x:f>Model_Formula!$M$14*(Profiles_140!L17-Simulator!$L$12)^2*IF(Profiles_140!L17&gt;Simulator!$L$12,1+Model_Formula!$N$14,1)</x:f>
        <x:v>2126.25</x:v>
      </x:c>
      <x:c r="H21" s="66" t="n">
        <x:f>Model_Formula!$M$15*(Profiles_140!M17-Simulator!$L$13)^2*IF(Profiles_140!M17&gt;Simulator!$L$13,1+Model_Formula!$N$15,1)</x:f>
        <x:v>225</x:v>
      </x:c>
      <x:c r="I21" s="66" t="n">
        <x:f>Model_Formula!$M$16*(Profiles_140!N17-Simulator!$L$14)^2*IF(Profiles_140!N17&gt;Simulator!$L$14,1+Model_Formula!$N$16,1)</x:f>
        <x:v>2500</x:v>
      </x:c>
      <x:c r="J21" s="66" t="n">
        <x:f>Model_Formula!$M$17*(Profiles_140!O17-Simulator!$L$15)^2*IF(Profiles_140!O17&gt;Simulator!$L$15,1+Model_Formula!$N$17,1)</x:f>
        <x:v>2500</x:v>
      </x:c>
      <x:c r="K21" s="66" t="n">
        <x:f>Model_Formula!$M$18*(Profiles_140!P17-Simulator!$L$16)^2*IF(Profiles_140!P17&gt;Simulator!$L$16,1+Model_Formula!$N$18,1)</x:f>
        <x:v>1440</x:v>
      </x:c>
      <x:c r="L21" s="66" t="n">
        <x:f>Model_Formula!$M$19*(Profiles_140!Q17-Simulator!$L$17)^2*IF(Profiles_140!Q17&gt;Simulator!$L$17,1+Model_Formula!$N$19,1)</x:f>
        <x:v>625</x:v>
      </x:c>
      <x:c r="M21" s="66" t="n">
        <x:f>Model_Formula!$M$20*(Profiles_140!R17-Simulator!$L$18)^2*IF(Profiles_140!R17&gt;Simulator!$L$18,1+Model_Formula!$N$20,1)</x:f>
        <x:v>1600</x:v>
      </x:c>
      <x:c r="N21" s="66" t="n">
        <x:f>Model_Formula!$M$21*(Profiles_140!S17-Simulator!$L$19)^2*IF(Profiles_140!S17&gt;Simulator!$L$19,1+Model_Formula!$N$21,1)</x:f>
        <x:v>2025</x:v>
      </x:c>
      <x:c r="O21" s="66" t="n">
        <x:f>Model_Formula!$M$22*(Profiles_140!T17-Simulator!$L$20)^2*IF(Profiles_140!T17&gt;Simulator!$L$20,1+Model_Formula!$N$22,1)</x:f>
        <x:v>225</x:v>
      </x:c>
      <x:c r="P21" s="66" t="n">
        <x:f>Model_Formula!$M$23*(Profiles_140!U17-Simulator!$L$21)^2*IF(Profiles_140!U17&gt;Simulator!$L$21,1+Model_Formula!$N$23,1)</x:f>
        <x:v>11.25</x:v>
      </x:c>
      <x:c r="Q21" s="66" t="n">
        <x:f>Model_Formula!$M$24*(Profiles_140!V17-Simulator!$L$22)^2*IF(Profiles_140!V17&gt;Simulator!$L$22,1+Model_Formula!$N$24,1)</x:f>
        <x:v>40</x:v>
      </x:c>
      <x:c r="R21" s="66" t="n">
        <x:f>Model_Formula!$M$25*(Profiles_140!W17-Simulator!$L$23)^2*IF(Profiles_140!W17&gt;Simulator!$L$23,1+Model_Formula!$N$25,1)</x:f>
        <x:v>281.25</x:v>
      </x:c>
      <x:c r="S21" s="66" t="n">
        <x:f>Model_Formula!$M$26*(Profiles_140!X17-Simulator!$L$24)^2*IF(Profiles_140!X17&gt;Simulator!$L$24,1+Model_Formula!$N$26,1)</x:f>
        <x:v>148.50000000000003</x:v>
      </x:c>
      <x:c r="T21" s="66" t="n">
        <x:f>Model_Formula!$M$27*(Profiles_140!Y17-Simulator!$L$25)^2*IF(Profiles_140!Y17&gt;Simulator!$L$25,1+Model_Formula!$N$27,1)</x:f>
        <x:v>482.99999999999994</x:v>
      </x:c>
      <x:c r="U21" s="60" t="n">
        <x:f>SUM(F21:T21)/SUM($F$4:$T$4)</x:f>
        <x:v>1091.8097014925374</x:v>
      </x:c>
      <x:c r="V21" s="60" t="n">
        <x:f>SQRT(U21)</x:f>
        <x:v>33.042543810859016</x:v>
      </x:c>
      <x:c r="W21" s="60" t="n">
        <x:f>MAX(0,100-V21)</x:f>
        <x:v>66.95745618914098</x:v>
      </x:c>
      <x:c r="X21" s="60" t="n">
        <x:f>SUMPRODUCT(Profiles_140!K17:Y17,$F$4:$T$4)/SUM($F$4:$T$4)</x:f>
        <x:v>37.593283582089555</x:v>
      </x:c>
      <x:c r="Y21" s="60" t="n">
        <x:f>IFERROR(50+50*SUMPRODUCT(($F$3:$T$3-$X$3)*(Profiles_140!K17:Y17-X21),$F$4:$T$4)/SQRT(SUMPRODUCT(($F$3:$T$3-$X$3)^2,$F$4:$T$4)*SUMPRODUCT((Profiles_140!K17:Y17-X21)^2,$F$4:$T$4)),50)</x:f>
        <x:v>50</x:v>
      </x:c>
      <x:c r="Z21" s="60" t="n">
        <x:f>$Z$3</x:f>
        <x:v>3.9474596431116675e-16</x:v>
      </x:c>
      <x:c r="AA21" s="60" t="n">
        <x:f>W21*(1-Model_Formula!$F$8*Z21)+Y21*(Model_Formula!$F$8*Z21)</x:f>
        <x:v>66.95745618914098</x:v>
      </x:c>
      <x:c r="AB21" s="60" t="n">
        <x:f>SQRT(SUMPRODUCT((Profiles_140!K17:Y17-50)^2,$F$4:$T$4)/SUM($F$4:$T$4))</x:f>
        <x:v>32.92772501444438</x:v>
      </x:c>
      <x:c r="AC21" s="60" t="n">
        <x:f>MAX(-Model_Formula!$F$11,MIN(Model_Formula!$F$11,Model_Formula!$F$10*(AB21-AVERAGE($AB$6:$AB$135))))</x:f>
        <x:v>1.7057856057160592</x:v>
      </x:c>
      <x:c r="AD21" s="60" t="n">
        <x:f>MAX(0,MIN(100,AA21+AC21))</x:f>
        <x:v>68.66324179485704</x:v>
      </x:c>
      <x:c r="AE21" s="60" t="n">
        <x:f>MAX(0,MIN(1,IFERROR((MATCH(AD21,Percentile_Calibration!$F17:$DB17,1)-1)/100,0)))</x:f>
        <x:v>0.76</x:v>
      </x:c>
      <x:c r="AF21" s="62" t="n">
        <x:f>ROUND(MAX(Model_Formula!$I$9,Model_Formula!$I$5+Model_Formula!$I$6*POWER(AE21,Model_Formula!$I$7)),0)</x:f>
        <x:v>66</x:v>
      </x:c>
      <x:c r="AG21" t="n">
        <x:f>Profiles_140!AJ17</x:f>
        <x:v>0</x:v>
      </x:c>
      <x:c r="AH21" s="60" t="n">
        <x:f>Model_Formula!$I$8*(AE21*100)+(1-Model_Formula!$I$8)*AD21+AG21</x:f>
        <x:v>74.53264835897141</x:v>
      </x:c>
      <x:c r="AI21" t="n">
        <x:f>RANK.EQ(AH21,$AH$6:$AH$135,0)+COUNTIF($AH$6:AH21,AH21)-1</x:f>
        <x:v>55</x:v>
      </x:c>
    </x:row>
    <x:row r="22">
      <x:c r="A22" t="str">
        <x:f>Profiles_140!A18</x:f>
        <x:v>サーナイト</x:v>
      </x:c>
      <x:c r="B22" t="str">
        <x:f>Profiles_140!C18</x:f>
        <x:v>サーナイト-1</x:v>
      </x:c>
      <x:c r="C22" t="str">
        <x:f>Profiles_140!D18</x:f>
        <x:v>共通</x:v>
      </x:c>
      <x:c r="D22" t="str">
        <x:f>Profiles_140!B18</x:f>
        <x:v>アタック型</x:v>
      </x:c>
      <x:c r="E22" t="str">
        <x:f>Profiles_140!I18</x:f>
        <x:v>高</x:v>
      </x:c>
      <x:c r="F22" s="66" t="n">
        <x:f>Model_Formula!$M$13*(Profiles_140!K18-Simulator!$L$11)^2*IF(Profiles_140!K18&gt;Simulator!$L$11,1+Model_Formula!$N$13,1)</x:f>
        <x:v>400</x:v>
      </x:c>
      <x:c r="G22" s="66" t="n">
        <x:f>Model_Formula!$M$14*(Profiles_140!L18-Simulator!$L$12)^2*IF(Profiles_140!L18&gt;Simulator!$L$12,1+Model_Formula!$N$14,1)</x:f>
        <x:v>2126.25</x:v>
      </x:c>
      <x:c r="H22" s="66" t="n">
        <x:f>Model_Formula!$M$15*(Profiles_140!M18-Simulator!$L$13)^2*IF(Profiles_140!M18&gt;Simulator!$L$13,1+Model_Formula!$N$15,1)</x:f>
        <x:v>225</x:v>
      </x:c>
      <x:c r="I22" s="66" t="n">
        <x:f>Model_Formula!$M$16*(Profiles_140!N18-Simulator!$L$14)^2*IF(Profiles_140!N18&gt;Simulator!$L$14,1+Model_Formula!$N$16,1)</x:f>
        <x:v>2500</x:v>
      </x:c>
      <x:c r="J22" s="66" t="n">
        <x:f>Model_Formula!$M$17*(Profiles_140!O18-Simulator!$L$15)^2*IF(Profiles_140!O18&gt;Simulator!$L$15,1+Model_Formula!$N$17,1)</x:f>
        <x:v>2500</x:v>
      </x:c>
      <x:c r="K22" s="66" t="n">
        <x:f>Model_Formula!$M$18*(Profiles_140!P18-Simulator!$L$16)^2*IF(Profiles_140!P18&gt;Simulator!$L$16,1+Model_Formula!$N$18,1)</x:f>
        <x:v>2250</x:v>
      </x:c>
      <x:c r="L22" s="66" t="n">
        <x:f>Model_Formula!$M$19*(Profiles_140!Q18-Simulator!$L$17)^2*IF(Profiles_140!Q18&gt;Simulator!$L$17,1+Model_Formula!$N$19,1)</x:f>
        <x:v>900</x:v>
      </x:c>
      <x:c r="M22" s="66" t="n">
        <x:f>Model_Formula!$M$20*(Profiles_140!R18-Simulator!$L$18)^2*IF(Profiles_140!R18&gt;Simulator!$L$18,1+Model_Formula!$N$20,1)</x:f>
        <x:v>1600</x:v>
      </x:c>
      <x:c r="N22" s="66" t="n">
        <x:f>Model_Formula!$M$21*(Profiles_140!S18-Simulator!$L$19)^2*IF(Profiles_140!S18&gt;Simulator!$L$19,1+Model_Formula!$N$21,1)</x:f>
        <x:v>900</x:v>
      </x:c>
      <x:c r="O22" s="66" t="n">
        <x:f>Model_Formula!$M$22*(Profiles_140!T18-Simulator!$L$20)^2*IF(Profiles_140!T18&gt;Simulator!$L$20,1+Model_Formula!$N$22,1)</x:f>
        <x:v>625</x:v>
      </x:c>
      <x:c r="P22" s="66" t="n">
        <x:f>Model_Formula!$M$23*(Profiles_140!U18-Simulator!$L$21)^2*IF(Profiles_140!U18&gt;Simulator!$L$21,1+Model_Formula!$N$23,1)</x:f>
        <x:v>101.25</x:v>
      </x:c>
      <x:c r="Q22" s="66" t="n">
        <x:f>Model_Formula!$M$24*(Profiles_140!V18-Simulator!$L$22)^2*IF(Profiles_140!V18&gt;Simulator!$L$22,1+Model_Formula!$N$24,1)</x:f>
        <x:v>40</x:v>
      </x:c>
      <x:c r="R22" s="66" t="n">
        <x:f>Model_Formula!$M$25*(Profiles_140!W18-Simulator!$L$23)^2*IF(Profiles_140!W18&gt;Simulator!$L$23,1+Model_Formula!$N$25,1)</x:f>
        <x:v>281.25</x:v>
      </x:c>
      <x:c r="S22" s="66" t="n">
        <x:f>Model_Formula!$M$26*(Profiles_140!X18-Simulator!$L$24)^2*IF(Profiles_140!X18&gt;Simulator!$L$24,1+Model_Formula!$N$26,1)</x:f>
        <x:v>148.50000000000003</x:v>
      </x:c>
      <x:c r="T22" s="66" t="n">
        <x:f>Model_Formula!$M$27*(Profiles_140!Y18-Simulator!$L$25)^2*IF(Profiles_140!Y18&gt;Simulator!$L$25,1+Model_Formula!$N$27,1)</x:f>
        <x:v>482.99999999999994</x:v>
      </x:c>
      <x:c r="U22" s="60" t="n">
        <x:f>SUM(F22:T22)/SUM($F$4:$T$4)</x:f>
        <x:v>1125.3917910447763</x:v>
      </x:c>
      <x:c r="V22" s="60" t="n">
        <x:f>SQRT(U22)</x:f>
        <x:v>33.54685963014685</x:v>
      </x:c>
      <x:c r="W22" s="60" t="n">
        <x:f>MAX(0,100-V22)</x:f>
        <x:v>66.45314036985314</x:v>
      </x:c>
      <x:c r="X22" s="60" t="n">
        <x:f>SUMPRODUCT(Profiles_140!K18:Y18,$F$4:$T$4)/SUM($F$4:$T$4)</x:f>
        <x:v>38.00373134328358</x:v>
      </x:c>
      <x:c r="Y22" s="60" t="n">
        <x:f>IFERROR(50+50*SUMPRODUCT(($F$3:$T$3-$X$3)*(Profiles_140!K18:Y18-X22),$F$4:$T$4)/SQRT(SUMPRODUCT(($F$3:$T$3-$X$3)^2,$F$4:$T$4)*SUMPRODUCT((Profiles_140!K18:Y18-X22)^2,$F$4:$T$4)),50)</x:f>
        <x:v>50</x:v>
      </x:c>
      <x:c r="Z22" s="60" t="n">
        <x:f>$Z$3</x:f>
        <x:v>3.9474596431116675e-16</x:v>
      </x:c>
      <x:c r="AA22" s="60" t="n">
        <x:f>W22*(1-Model_Formula!$F$8*Z22)+Y22*(Model_Formula!$F$8*Z22)</x:f>
        <x:v>66.45314036985314</x:v>
      </x:c>
      <x:c r="AB22" s="60" t="n">
        <x:f>SQRT(SUMPRODUCT((Profiles_140!K18:Y18-50)^2,$F$4:$T$4)/SUM($F$4:$T$4))</x:f>
        <x:v>33.43377280803207</x:v>
      </x:c>
      <x:c r="AC22" s="60" t="n">
        <x:f>MAX(-Model_Formula!$F$11,MIN(Model_Formula!$F$11,Model_Formula!$F$10*(AB22-AVERAGE($AB$6:$AB$135))))</x:f>
        <x:v>1.93350711283052</x:v>
      </x:c>
      <x:c r="AD22" s="60" t="n">
        <x:f>MAX(0,MIN(100,AA22+AC22))</x:f>
        <x:v>68.38664748268367</x:v>
      </x:c>
      <x:c r="AE22" s="60" t="n">
        <x:f>MAX(0,MIN(1,IFERROR((MATCH(AD22,Percentile_Calibration!$F18:$DB18,1)-1)/100,0)))</x:f>
        <x:v>0.77</x:v>
      </x:c>
      <x:c r="AF22" s="62" t="n">
        <x:f>ROUND(MAX(Model_Formula!$I$9,Model_Formula!$I$5+Model_Formula!$I$6*POWER(AE22,Model_Formula!$I$7)),0)</x:f>
        <x:v>67</x:v>
      </x:c>
      <x:c r="AG22" t="n">
        <x:f>Profiles_140!AJ18</x:f>
        <x:v>0</x:v>
      </x:c>
      <x:c r="AH22" s="60" t="n">
        <x:f>Model_Formula!$I$8*(AE22*100)+(1-Model_Formula!$I$8)*AD22+AG22</x:f>
        <x:v>75.27732949653674</x:v>
      </x:c>
      <x:c r="AI22" t="n">
        <x:f>RANK.EQ(AH22,$AH$6:$AH$135,0)+COUNTIF($AH$6:AH22,AH22)-1</x:f>
        <x:v>53</x:v>
      </x:c>
    </x:row>
    <x:row r="23">
      <x:c r="A23" t="str">
        <x:f>Profiles_140!A19</x:f>
        <x:v>シャンデラ</x:v>
      </x:c>
      <x:c r="B23" t="str">
        <x:f>Profiles_140!C19</x:f>
        <x:v>シャンデラ-1</x:v>
      </x:c>
      <x:c r="C23" t="str">
        <x:f>Profiles_140!D19</x:f>
        <x:v>共通</x:v>
      </x:c>
      <x:c r="D23" t="str">
        <x:f>Profiles_140!B19</x:f>
        <x:v>アタック型</x:v>
      </x:c>
      <x:c r="E23" t="str">
        <x:f>Profiles_140!I19</x:f>
        <x:v>高</x:v>
      </x:c>
      <x:c r="F23" s="66" t="n">
        <x:f>Model_Formula!$M$13*(Profiles_140!K19-Simulator!$L$11)^2*IF(Profiles_140!K19&gt;Simulator!$L$11,1+Model_Formula!$N$13,1)</x:f>
        <x:v>400</x:v>
      </x:c>
      <x:c r="G23" s="66" t="n">
        <x:f>Model_Formula!$M$14*(Profiles_140!L19-Simulator!$L$12)^2*IF(Profiles_140!L19&gt;Simulator!$L$12,1+Model_Formula!$N$14,1)</x:f>
        <x:v>2126.25</x:v>
      </x:c>
      <x:c r="H23" s="66" t="n">
        <x:f>Model_Formula!$M$15*(Profiles_140!M19-Simulator!$L$13)^2*IF(Profiles_140!M19&gt;Simulator!$L$13,1+Model_Formula!$N$15,1)</x:f>
        <x:v>225</x:v>
      </x:c>
      <x:c r="I23" s="66" t="n">
        <x:f>Model_Formula!$M$16*(Profiles_140!N19-Simulator!$L$14)^2*IF(Profiles_140!N19&gt;Simulator!$L$14,1+Model_Formula!$N$16,1)</x:f>
        <x:v>2500</x:v>
      </x:c>
      <x:c r="J23" s="66" t="n">
        <x:f>Model_Formula!$M$17*(Profiles_140!O19-Simulator!$L$15)^2*IF(Profiles_140!O19&gt;Simulator!$L$15,1+Model_Formula!$N$17,1)</x:f>
        <x:v>2500</x:v>
      </x:c>
      <x:c r="K23" s="66" t="n">
        <x:f>Model_Formula!$M$18*(Profiles_140!P19-Simulator!$L$16)^2*IF(Profiles_140!P19&gt;Simulator!$L$16,1+Model_Formula!$N$18,1)</x:f>
        <x:v>562.5</x:v>
      </x:c>
      <x:c r="L23" s="66" t="n">
        <x:f>Model_Formula!$M$19*(Profiles_140!Q19-Simulator!$L$17)^2*IF(Profiles_140!Q19&gt;Simulator!$L$17,1+Model_Formula!$N$19,1)</x:f>
        <x:v>1600</x:v>
      </x:c>
      <x:c r="M23" s="66" t="n">
        <x:f>Model_Formula!$M$20*(Profiles_140!R19-Simulator!$L$18)^2*IF(Profiles_140!R19&gt;Simulator!$L$18,1+Model_Formula!$N$20,1)</x:f>
        <x:v>1600</x:v>
      </x:c>
      <x:c r="N23" s="66" t="n">
        <x:f>Model_Formula!$M$21*(Profiles_140!S19-Simulator!$L$19)^2*IF(Profiles_140!S19&gt;Simulator!$L$19,1+Model_Formula!$N$21,1)</x:f>
        <x:v>900</x:v>
      </x:c>
      <x:c r="O23" s="66" t="n">
        <x:f>Model_Formula!$M$22*(Profiles_140!T19-Simulator!$L$20)^2*IF(Profiles_140!T19&gt;Simulator!$L$20,1+Model_Formula!$N$22,1)</x:f>
        <x:v>625</x:v>
      </x:c>
      <x:c r="P23" s="66" t="n">
        <x:f>Model_Formula!$M$23*(Profiles_140!U19-Simulator!$L$21)^2*IF(Profiles_140!U19&gt;Simulator!$L$21,1+Model_Formula!$N$23,1)</x:f>
        <x:v>11.25</x:v>
      </x:c>
      <x:c r="Q23" s="66" t="n">
        <x:f>Model_Formula!$M$24*(Profiles_140!V19-Simulator!$L$22)^2*IF(Profiles_140!V19&gt;Simulator!$L$22,1+Model_Formula!$N$24,1)</x:f>
        <x:v>40</x:v>
      </x:c>
      <x:c r="R23" s="66" t="n">
        <x:f>Model_Formula!$M$25*(Profiles_140!W19-Simulator!$L$23)^2*IF(Profiles_140!W19&gt;Simulator!$L$23,1+Model_Formula!$N$25,1)</x:f>
        <x:v>281.25</x:v>
      </x:c>
      <x:c r="S23" s="66" t="n">
        <x:f>Model_Formula!$M$26*(Profiles_140!X19-Simulator!$L$24)^2*IF(Profiles_140!X19&gt;Simulator!$L$24,1+Model_Formula!$N$26,1)</x:f>
        <x:v>148.50000000000003</x:v>
      </x:c>
      <x:c r="T23" s="66" t="n">
        <x:f>Model_Formula!$M$27*(Profiles_140!Y19-Simulator!$L$25)^2*IF(Profiles_140!Y19&gt;Simulator!$L$25,1+Model_Formula!$N$27,1)</x:f>
        <x:v>754.6874999999999</x:v>
      </x:c>
      <x:c r="U23" s="60" t="n">
        <x:f>SUM(F23:T23)/SUM($F$4:$T$4)</x:f>
        <x:v>1065.2565298507463</x:v>
      </x:c>
      <x:c r="V23" s="60" t="n">
        <x:f>SQRT(U23)</x:f>
        <x:v>32.638267874547914</x:v>
      </x:c>
      <x:c r="W23" s="60" t="n">
        <x:f>MAX(0,100-V23)</x:f>
        <x:v>67.36173212545208</x:v>
      </x:c>
      <x:c r="X23" s="60" t="n">
        <x:f>SUMPRODUCT(Profiles_140!K19:Y19,$F$4:$T$4)/SUM($F$4:$T$4)</x:f>
        <x:v>40.485074626865675</x:v>
      </x:c>
      <x:c r="Y23" s="60" t="n">
        <x:f>IFERROR(50+50*SUMPRODUCT(($F$3:$T$3-$X$3)*(Profiles_140!K19:Y19-X23),$F$4:$T$4)/SQRT(SUMPRODUCT(($F$3:$T$3-$X$3)^2,$F$4:$T$4)*SUMPRODUCT((Profiles_140!K19:Y19-X23)^2,$F$4:$T$4)),50)</x:f>
        <x:v>50.00000000000001</x:v>
      </x:c>
      <x:c r="Z23" s="60" t="n">
        <x:f>$Z$3</x:f>
        <x:v>3.9474596431116675e-16</x:v>
      </x:c>
      <x:c r="AA23" s="60" t="n">
        <x:f>W23*(1-Model_Formula!$F$8*Z23)+Y23*(Model_Formula!$F$8*Z23)</x:f>
        <x:v>67.36173212545208</x:v>
      </x:c>
      <x:c r="AB23" s="60" t="n">
        <x:f>SQRT(SUMPRODUCT((Profiles_140!K19:Y19-50)^2,$F$4:$T$4)/SUM($F$4:$T$4))</x:f>
        <x:v>32.48133792553558</x:v>
      </x:c>
      <x:c r="AC23" s="60" t="n">
        <x:f>MAX(-Model_Formula!$F$11,MIN(Model_Formula!$F$11,Model_Formula!$F$10*(AB23-AVERAGE($AB$6:$AB$135))))</x:f>
        <x:v>1.5049114157070993</x:v>
      </x:c>
      <x:c r="AD23" s="60" t="n">
        <x:f>MAX(0,MIN(100,AA23+AC23))</x:f>
        <x:v>68.86664354115918</x:v>
      </x:c>
      <x:c r="AE23" s="60" t="n">
        <x:f>MAX(0,MIN(1,IFERROR((MATCH(AD23,Percentile_Calibration!$F19:$DB19,1)-1)/100,0)))</x:f>
        <x:v>0.74</x:v>
      </x:c>
      <x:c r="AF23" s="62" t="n">
        <x:f>ROUND(MAX(Model_Formula!$I$9,Model_Formula!$I$5+Model_Formula!$I$6*POWER(AE23,Model_Formula!$I$7)),0)</x:f>
        <x:v>64</x:v>
      </x:c>
      <x:c r="AG23" t="n">
        <x:f>Profiles_140!AJ19</x:f>
        <x:v>0</x:v>
      </x:c>
      <x:c r="AH23" s="60" t="n">
        <x:f>Model_Formula!$I$8*(AE23*100)+(1-Model_Formula!$I$8)*AD23+AG23</x:f>
        <x:v>72.97332870823183</x:v>
      </x:c>
      <x:c r="AI23" t="n">
        <x:f>RANK.EQ(AH23,$AH$6:$AH$135,0)+COUNTIF($AH$6:AH23,AH23)-1</x:f>
        <x:v>62</x:v>
      </x:c>
    </x:row>
    <x:row r="24">
      <x:c r="A24" t="str">
        <x:f>Profiles_140!A20</x:f>
        <x:v>ジュナイパー</x:v>
      </x:c>
      <x:c r="B24" t="str">
        <x:f>Profiles_140!C20</x:f>
        <x:v>ジュナイパー-1</x:v>
      </x:c>
      <x:c r="C24" t="str">
        <x:f>Profiles_140!D20</x:f>
        <x:v>かげぬい</x:v>
      </x:c>
      <x:c r="D24" t="str">
        <x:f>Profiles_140!B20</x:f>
        <x:v>アタック型</x:v>
      </x:c>
      <x:c r="E24" t="str">
        <x:f>Profiles_140!I20</x:f>
        <x:v>高</x:v>
      </x:c>
      <x:c r="F24" s="66" t="n">
        <x:f>Model_Formula!$M$13*(Profiles_140!K20-Simulator!$L$11)^2*IF(Profiles_140!K20&gt;Simulator!$L$11,1+Model_Formula!$N$13,1)</x:f>
        <x:v>1225</x:v>
      </x:c>
      <x:c r="G24" s="66" t="n">
        <x:f>Model_Formula!$M$14*(Profiles_140!L20-Simulator!$L$12)^2*IF(Profiles_140!L20&gt;Simulator!$L$12,1+Model_Formula!$N$14,1)</x:f>
        <x:v>2126.25</x:v>
      </x:c>
      <x:c r="H24" s="66" t="n">
        <x:f>Model_Formula!$M$15*(Profiles_140!M20-Simulator!$L$13)^2*IF(Profiles_140!M20&gt;Simulator!$L$13,1+Model_Formula!$N$15,1)</x:f>
        <x:v>1225</x:v>
      </x:c>
      <x:c r="I24" s="66" t="n">
        <x:f>Model_Formula!$M$16*(Profiles_140!N20-Simulator!$L$14)^2*IF(Profiles_140!N20&gt;Simulator!$L$14,1+Model_Formula!$N$16,1)</x:f>
        <x:v>2025</x:v>
      </x:c>
      <x:c r="J24" s="66" t="n">
        <x:f>Model_Formula!$M$17*(Profiles_140!O20-Simulator!$L$15)^2*IF(Profiles_140!O20&gt;Simulator!$L$15,1+Model_Formula!$N$17,1)</x:f>
        <x:v>2500</x:v>
      </x:c>
      <x:c r="K24" s="66" t="n">
        <x:f>Model_Formula!$M$18*(Profiles_140!P20-Simulator!$L$16)^2*IF(Profiles_140!P20&gt;Simulator!$L$16,1+Model_Formula!$N$18,1)</x:f>
        <x:v>810</x:v>
      </x:c>
      <x:c r="L24" s="66" t="n">
        <x:f>Model_Formula!$M$19*(Profiles_140!Q20-Simulator!$L$17)^2*IF(Profiles_140!Q20&gt;Simulator!$L$17,1+Model_Formula!$N$19,1)</x:f>
        <x:v>25</x:v>
      </x:c>
      <x:c r="M24" s="66" t="n">
        <x:f>Model_Formula!$M$20*(Profiles_140!R20-Simulator!$L$18)^2*IF(Profiles_140!R20&gt;Simulator!$L$18,1+Model_Formula!$N$20,1)</x:f>
        <x:v>2025</x:v>
      </x:c>
      <x:c r="N24" s="66" t="n">
        <x:f>Model_Formula!$M$21*(Profiles_140!S20-Simulator!$L$19)^2*IF(Profiles_140!S20&gt;Simulator!$L$19,1+Model_Formula!$N$21,1)</x:f>
        <x:v>2025</x:v>
      </x:c>
      <x:c r="O24" s="66" t="n">
        <x:f>Model_Formula!$M$22*(Profiles_140!T20-Simulator!$L$20)^2*IF(Profiles_140!T20&gt;Simulator!$L$20,1+Model_Formula!$N$22,1)</x:f>
        <x:v>225</x:v>
      </x:c>
      <x:c r="P24" s="66" t="n">
        <x:f>Model_Formula!$M$23*(Profiles_140!U20-Simulator!$L$21)^2*IF(Profiles_140!U20&gt;Simulator!$L$21,1+Model_Formula!$N$23,1)</x:f>
        <x:v>281.25</x:v>
      </x:c>
      <x:c r="Q24" s="66" t="n">
        <x:f>Model_Formula!$M$24*(Profiles_140!V20-Simulator!$L$22)^2*IF(Profiles_140!V20&gt;Simulator!$L$22,1+Model_Formula!$N$24,1)</x:f>
        <x:v>810</x:v>
      </x:c>
      <x:c r="R24" s="66" t="n">
        <x:f>Model_Formula!$M$25*(Profiles_140!W20-Simulator!$L$23)^2*IF(Profiles_140!W20&gt;Simulator!$L$23,1+Model_Formula!$N$25,1)</x:f>
        <x:v>405</x:v>
      </x:c>
      <x:c r="S24" s="66" t="n">
        <x:f>Model_Formula!$M$26*(Profiles_140!X20-Simulator!$L$24)^2*IF(Profiles_140!X20&gt;Simulator!$L$24,1+Model_Formula!$N$26,1)</x:f>
        <x:v>3712.5000000000005</x:v>
      </x:c>
      <x:c r="T24" s="66" t="n">
        <x:f>Model_Formula!$M$27*(Profiles_140!Y20-Simulator!$L$25)^2*IF(Profiles_140!Y20&gt;Simulator!$L$25,1+Model_Formula!$N$27,1)</x:f>
        <x:v>1086.75</x:v>
      </x:c>
      <x:c r="U24" s="60" t="n">
        <x:f>SUM(F24:T24)/SUM($F$4:$T$4)</x:f>
        <x:v>1530.3544776119404</x:v>
      </x:c>
      <x:c r="V24" s="60" t="n">
        <x:f>SQRT(U24)</x:f>
        <x:v>39.11974536742207</x:v>
      </x:c>
      <x:c r="W24" s="60" t="n">
        <x:f>MAX(0,100-V24)</x:f>
        <x:v>60.88025463257793</x:v>
      </x:c>
      <x:c r="X24" s="60" t="n">
        <x:f>SUMPRODUCT(Profiles_140!K20:Y20,$F$4:$T$4)/SUM($F$4:$T$4)</x:f>
        <x:v>39.029850746268664</x:v>
      </x:c>
      <x:c r="Y24" s="60" t="n">
        <x:f>IFERROR(50+50*SUMPRODUCT(($F$3:$T$3-$X$3)*(Profiles_140!K20:Y20-X24),$F$4:$T$4)/SQRT(SUMPRODUCT(($F$3:$T$3-$X$3)^2,$F$4:$T$4)*SUMPRODUCT((Profiles_140!K20:Y20-X24)^2,$F$4:$T$4)),50)</x:f>
        <x:v>50.000000000000014</x:v>
      </x:c>
      <x:c r="Z24" s="60" t="n">
        <x:f>$Z$3</x:f>
        <x:v>3.9474596431116675e-16</x:v>
      </x:c>
      <x:c r="AA24" s="60" t="n">
        <x:f>W24*(1-Model_Formula!$F$8*Z24)+Y24*(Model_Formula!$F$8*Z24)</x:f>
        <x:v>60.88025463257793</x:v>
      </x:c>
      <x:c r="AB24" s="60" t="n">
        <x:f>SQRT(SUMPRODUCT((Profiles_140!K20:Y20-50)^2,$F$4:$T$4)/SUM($F$4:$T$4))</x:f>
        <x:v>38.05190877201865</x:v>
      </x:c>
      <x:c r="AC24" s="60" t="n">
        <x:f>MAX(-Model_Formula!$F$11,MIN(Model_Formula!$F$11,Model_Formula!$F$10*(AB24-AVERAGE($AB$6:$AB$135))))</x:f>
        <x:v>4.011668296624482</x:v>
      </x:c>
      <x:c r="AD24" s="60" t="n">
        <x:f>MAX(0,MIN(100,AA24+AC24))</x:f>
        <x:v>64.89192292920241</x:v>
      </x:c>
      <x:c r="AE24" s="60" t="n">
        <x:f>MAX(0,MIN(1,IFERROR((MATCH(AD24,Percentile_Calibration!$F20:$DB20,1)-1)/100,0)))</x:f>
        <x:v>0.65</x:v>
      </x:c>
      <x:c r="AF24" s="62" t="n">
        <x:f>ROUND(MAX(Model_Formula!$I$9,Model_Formula!$I$5+Model_Formula!$I$6*POWER(AE24,Model_Formula!$I$7)),0)</x:f>
        <x:v>57</x:v>
      </x:c>
      <x:c r="AG24" t="n">
        <x:f>Profiles_140!AJ20</x:f>
        <x:v>0</x:v>
      </x:c>
      <x:c r="AH24" s="60" t="n">
        <x:f>Model_Formula!$I$8*(AE24*100)+(1-Model_Formula!$I$8)*AD24+AG24</x:f>
        <x:v>64.97838458584047</x:v>
      </x:c>
      <x:c r="AI24" t="n">
        <x:f>RANK.EQ(AH24,$AH$6:$AH$135,0)+COUNTIF($AH$6:AH24,AH24)-1</x:f>
        <x:v>117</x:v>
      </x:c>
    </x:row>
    <x:row r="25">
      <x:c r="A25" t="str">
        <x:f>Profiles_140!A21</x:f>
        <x:v>ジュナイパー</x:v>
      </x:c>
      <x:c r="B25" t="str">
        <x:f>Profiles_140!C21</x:f>
        <x:v>ジュナイパー-2</x:v>
      </x:c>
      <x:c r="C25" t="str">
        <x:f>Profiles_140!D21</x:f>
        <x:v>はっぱカッター</x:v>
      </x:c>
      <x:c r="D25" t="str">
        <x:f>Profiles_140!B21</x:f>
        <x:v>アタック型</x:v>
      </x:c>
      <x:c r="E25" t="str">
        <x:f>Profiles_140!I21</x:f>
        <x:v>高</x:v>
      </x:c>
      <x:c r="F25" s="66" t="n">
        <x:f>Model_Formula!$M$13*(Profiles_140!K21-Simulator!$L$11)^2*IF(Profiles_140!K21&gt;Simulator!$L$11,1+Model_Formula!$N$13,1)</x:f>
        <x:v>2025</x:v>
      </x:c>
      <x:c r="G25" s="66" t="n">
        <x:f>Model_Formula!$M$14*(Profiles_140!L21-Simulator!$L$12)^2*IF(Profiles_140!L21&gt;Simulator!$L$12,1+Model_Formula!$N$14,1)</x:f>
        <x:v>2625</x:v>
      </x:c>
      <x:c r="H25" s="66" t="n">
        <x:f>Model_Formula!$M$15*(Profiles_140!M21-Simulator!$L$13)^2*IF(Profiles_140!M21&gt;Simulator!$L$13,1+Model_Formula!$N$15,1)</x:f>
        <x:v>1600</x:v>
      </x:c>
      <x:c r="I25" s="66" t="n">
        <x:f>Model_Formula!$M$16*(Profiles_140!N21-Simulator!$L$14)^2*IF(Profiles_140!N21&gt;Simulator!$L$14,1+Model_Formula!$N$16,1)</x:f>
        <x:v>2500</x:v>
      </x:c>
      <x:c r="J25" s="66" t="n">
        <x:f>Model_Formula!$M$17*(Profiles_140!O21-Simulator!$L$15)^2*IF(Profiles_140!O21&gt;Simulator!$L$15,1+Model_Formula!$N$17,1)</x:f>
        <x:v>25</x:v>
      </x:c>
      <x:c r="K25" s="66" t="n">
        <x:f>Model_Formula!$M$18*(Profiles_140!P21-Simulator!$L$16)^2*IF(Profiles_140!P21&gt;Simulator!$L$16,1+Model_Formula!$N$18,1)</x:f>
        <x:v>1822.5</x:v>
      </x:c>
      <x:c r="L25" s="66" t="n">
        <x:f>Model_Formula!$M$19*(Profiles_140!Q21-Simulator!$L$17)^2*IF(Profiles_140!Q21&gt;Simulator!$L$17,1+Model_Formula!$N$19,1)</x:f>
        <x:v>2025</x:v>
      </x:c>
      <x:c r="M25" s="66" t="n">
        <x:f>Model_Formula!$M$20*(Profiles_140!R21-Simulator!$L$18)^2*IF(Profiles_140!R21&gt;Simulator!$L$18,1+Model_Formula!$N$20,1)</x:f>
        <x:v>2025</x:v>
      </x:c>
      <x:c r="N25" s="66" t="n">
        <x:f>Model_Formula!$M$21*(Profiles_140!S21-Simulator!$L$19)^2*IF(Profiles_140!S21&gt;Simulator!$L$19,1+Model_Formula!$N$21,1)</x:f>
        <x:v>400</x:v>
      </x:c>
      <x:c r="O25" s="66" t="n">
        <x:f>Model_Formula!$M$22*(Profiles_140!T21-Simulator!$L$20)^2*IF(Profiles_140!T21&gt;Simulator!$L$20,1+Model_Formula!$N$22,1)</x:f>
        <x:v>25</x:v>
      </x:c>
      <x:c r="P25" s="66" t="n">
        <x:f>Model_Formula!$M$23*(Profiles_140!U21-Simulator!$L$21)^2*IF(Profiles_140!U21&gt;Simulator!$L$21,1+Model_Formula!$N$23,1)</x:f>
        <x:v>551.25</x:v>
      </x:c>
      <x:c r="Q25" s="66" t="n">
        <x:f>Model_Formula!$M$24*(Profiles_140!V21-Simulator!$L$22)^2*IF(Profiles_140!V21&gt;Simulator!$L$22,1+Model_Formula!$N$24,1)</x:f>
        <x:v>1000</x:v>
      </x:c>
      <x:c r="R25" s="66" t="n">
        <x:f>Model_Formula!$M$25*(Profiles_140!W21-Simulator!$L$23)^2*IF(Profiles_140!W21&gt;Simulator!$L$23,1+Model_Formula!$N$25,1)</x:f>
        <x:v>11.25</x:v>
      </x:c>
      <x:c r="S25" s="66" t="n">
        <x:f>Model_Formula!$M$26*(Profiles_140!X21-Simulator!$L$24)^2*IF(Profiles_140!X21&gt;Simulator!$L$24,1+Model_Formula!$N$26,1)</x:f>
        <x:v>334.12500000000006</x:v>
      </x:c>
      <x:c r="T25" s="66" t="n">
        <x:f>Model_Formula!$M$27*(Profiles_140!Y21-Simulator!$L$25)^2*IF(Profiles_140!Y21&gt;Simulator!$L$25,1+Model_Formula!$N$27,1)</x:f>
        <x:v>271.6875</x:v>
      </x:c>
      <x:c r="U25" s="60" t="n">
        <x:f>SUM(F25:T25)/SUM($F$4:$T$4)</x:f>
        <x:v>1286.6277985074628</x:v>
      </x:c>
      <x:c r="V25" s="60" t="n">
        <x:f>SQRT(U25)</x:f>
        <x:v>35.869594345454516</x:v>
      </x:c>
      <x:c r="W25" s="60" t="n">
        <x:f>MAX(0,100-V25)</x:f>
        <x:v>64.13040565454548</x:v>
      </x:c>
      <x:c r="X25" s="60" t="n">
        <x:f>SUMPRODUCT(Profiles_140!K21:Y21,$F$4:$T$4)/SUM($F$4:$T$4)</x:f>
        <x:v>36.0634328358209</x:v>
      </x:c>
      <x:c r="Y25" s="60" t="n">
        <x:f>IFERROR(50+50*SUMPRODUCT(($F$3:$T$3-$X$3)*(Profiles_140!K21:Y21-X25),$F$4:$T$4)/SQRT(SUMPRODUCT(($F$3:$T$3-$X$3)^2,$F$4:$T$4)*SUMPRODUCT((Profiles_140!K21:Y21-X25)^2,$F$4:$T$4)),50)</x:f>
        <x:v>50</x:v>
      </x:c>
      <x:c r="Z25" s="60" t="n">
        <x:f>$Z$3</x:f>
        <x:v>3.9474596431116675e-16</x:v>
      </x:c>
      <x:c r="AA25" s="60" t="n">
        <x:f>W25*(1-Model_Formula!$F$8*Z25)+Y25*(Model_Formula!$F$8*Z25)</x:f>
        <x:v>64.13040565454548</x:v>
      </x:c>
      <x:c r="AB25" s="60" t="n">
        <x:f>SQRT(SUMPRODUCT((Profiles_140!K21:Y21-50)^2,$F$4:$T$4)/SUM($F$4:$T$4))</x:f>
        <x:v>35.74239299090672</x:v>
      </x:c>
      <x:c r="AC25" s="60" t="n">
        <x:f>MAX(-Model_Formula!$F$11,MIN(Model_Formula!$F$11,Model_Formula!$F$10*(AB25-AVERAGE($AB$6:$AB$135))))</x:f>
        <x:v>2.972386195124115</x:v>
      </x:c>
      <x:c r="AD25" s="60" t="n">
        <x:f>MAX(0,MIN(100,AA25+AC25))</x:f>
        <x:v>67.1027918496696</x:v>
      </x:c>
      <x:c r="AE25" s="60" t="n">
        <x:f>MAX(0,MIN(1,IFERROR((MATCH(AD25,Percentile_Calibration!$F21:$DB21,1)-1)/100,0)))</x:f>
        <x:v>0.67</x:v>
      </x:c>
      <x:c r="AF25" s="62" t="n">
        <x:f>ROUND(MAX(Model_Formula!$I$9,Model_Formula!$I$5+Model_Formula!$I$6*POWER(AE25,Model_Formula!$I$7)),0)</x:f>
        <x:v>59</x:v>
      </x:c>
      <x:c r="AG25" t="n">
        <x:f>Profiles_140!AJ21</x:f>
        <x:v>0</x:v>
      </x:c>
      <x:c r="AH25" s="60" t="n">
        <x:f>Model_Formula!$I$8*(AE25*100)+(1-Model_Formula!$I$8)*AD25+AG25</x:f>
        <x:v>67.02055836993392</x:v>
      </x:c>
      <x:c r="AI25" t="n">
        <x:f>RANK.EQ(AH25,$AH$6:$AH$135,0)+COUNTIF($AH$6:AH25,AH25)-1</x:f>
        <x:v>100</x:v>
      </x:c>
    </x:row>
    <x:row r="26">
      <x:c r="A26" t="str">
        <x:f>Profiles_140!A22</x:f>
        <x:v>ジュラルドン</x:v>
      </x:c>
      <x:c r="B26" t="str">
        <x:f>Profiles_140!C22</x:f>
        <x:v>ジュラルドン-1</x:v>
      </x:c>
      <x:c r="C26" t="str">
        <x:f>Profiles_140!D22</x:f>
        <x:v>共通</x:v>
      </x:c>
      <x:c r="D26" t="str">
        <x:f>Profiles_140!B22</x:f>
        <x:v>アタック型</x:v>
      </x:c>
      <x:c r="E26" t="str">
        <x:f>Profiles_140!I22</x:f>
        <x:v>高</x:v>
      </x:c>
      <x:c r="F26" s="66" t="n">
        <x:f>Model_Formula!$M$13*(Profiles_140!K22-Simulator!$L$11)^2*IF(Profiles_140!K22&gt;Simulator!$L$11,1+Model_Formula!$N$13,1)</x:f>
        <x:v>900</x:v>
      </x:c>
      <x:c r="G26" s="66" t="n">
        <x:f>Model_Formula!$M$14*(Profiles_140!L22-Simulator!$L$12)^2*IF(Profiles_140!L22&gt;Simulator!$L$12,1+Model_Formula!$N$14,1)</x:f>
        <x:v>2126.25</x:v>
      </x:c>
      <x:c r="H26" s="66" t="n">
        <x:f>Model_Formula!$M$15*(Profiles_140!M22-Simulator!$L$13)^2*IF(Profiles_140!M22&gt;Simulator!$L$13,1+Model_Formula!$N$15,1)</x:f>
        <x:v>900</x:v>
      </x:c>
      <x:c r="I26" s="66" t="n">
        <x:f>Model_Formula!$M$16*(Profiles_140!N22-Simulator!$L$14)^2*IF(Profiles_140!N22&gt;Simulator!$L$14,1+Model_Formula!$N$16,1)</x:f>
        <x:v>2500</x:v>
      </x:c>
      <x:c r="J26" s="66" t="n">
        <x:f>Model_Formula!$M$17*(Profiles_140!O22-Simulator!$L$15)^2*IF(Profiles_140!O22&gt;Simulator!$L$15,1+Model_Formula!$N$17,1)</x:f>
        <x:v>1225</x:v>
      </x:c>
      <x:c r="K26" s="66" t="n">
        <x:f>Model_Formula!$M$18*(Profiles_140!P22-Simulator!$L$16)^2*IF(Profiles_140!P22&gt;Simulator!$L$16,1+Model_Formula!$N$18,1)</x:f>
        <x:v>22.5</x:v>
      </x:c>
      <x:c r="L26" s="66" t="n">
        <x:f>Model_Formula!$M$19*(Profiles_140!Q22-Simulator!$L$17)^2*IF(Profiles_140!Q22&gt;Simulator!$L$17,1+Model_Formula!$N$19,1)</x:f>
        <x:v>100</x:v>
      </x:c>
      <x:c r="M26" s="66" t="n">
        <x:f>Model_Formula!$M$20*(Profiles_140!R22-Simulator!$L$18)^2*IF(Profiles_140!R22&gt;Simulator!$L$18,1+Model_Formula!$N$20,1)</x:f>
        <x:v>2025</x:v>
      </x:c>
      <x:c r="N26" s="66" t="n">
        <x:f>Model_Formula!$M$21*(Profiles_140!S22-Simulator!$L$19)^2*IF(Profiles_140!S22&gt;Simulator!$L$19,1+Model_Formula!$N$21,1)</x:f>
        <x:v>400</x:v>
      </x:c>
      <x:c r="O26" s="66" t="n">
        <x:f>Model_Formula!$M$22*(Profiles_140!T22-Simulator!$L$20)^2*IF(Profiles_140!T22&gt;Simulator!$L$20,1+Model_Formula!$N$22,1)</x:f>
        <x:v>25</x:v>
      </x:c>
      <x:c r="P26" s="66" t="n">
        <x:f>Model_Formula!$M$23*(Profiles_140!U22-Simulator!$L$21)^2*IF(Profiles_140!U22&gt;Simulator!$L$21,1+Model_Formula!$N$23,1)</x:f>
        <x:v>281.25</x:v>
      </x:c>
      <x:c r="Q26" s="66" t="n">
        <x:f>Model_Formula!$M$24*(Profiles_140!V22-Simulator!$L$22)^2*IF(Profiles_140!V22&gt;Simulator!$L$22,1+Model_Formula!$N$24,1)</x:f>
        <x:v>490</x:v>
      </x:c>
      <x:c r="R26" s="66" t="n">
        <x:f>Model_Formula!$M$25*(Profiles_140!W22-Simulator!$L$23)^2*IF(Profiles_140!W22&gt;Simulator!$L$23,1+Model_Formula!$N$25,1)</x:f>
        <x:v>180</x:v>
      </x:c>
      <x:c r="S26" s="66" t="n">
        <x:f>Model_Formula!$M$26*(Profiles_140!X22-Simulator!$L$24)^2*IF(Profiles_140!X22&gt;Simulator!$L$24,1+Model_Formula!$N$26,1)</x:f>
        <x:v>1819.1250000000002</x:v>
      </x:c>
      <x:c r="T26" s="66" t="n">
        <x:f>Model_Formula!$M$27*(Profiles_140!Y22-Simulator!$L$25)^2*IF(Profiles_140!Y22&gt;Simulator!$L$25,1+Model_Formula!$N$27,1)</x:f>
        <x:v>754.6874999999999</x:v>
      </x:c>
      <x:c r="U26" s="60" t="n">
        <x:f>SUM(F26:T26)/SUM($F$4:$T$4)</x:f>
        <x:v>1026.0307835820897</x:v>
      </x:c>
      <x:c r="V26" s="60" t="n">
        <x:f>SQRT(U26)</x:f>
        <x:v>32.03171527692655</x:v>
      </x:c>
      <x:c r="W26" s="60" t="n">
        <x:f>MAX(0,100-V26)</x:f>
        <x:v>67.96828472307345</x:v>
      </x:c>
      <x:c r="X26" s="60" t="n">
        <x:f>SUMPRODUCT(Profiles_140!K22:Y22,$F$4:$T$4)/SUM($F$4:$T$4)</x:f>
        <x:v>41.28731343283582</x:v>
      </x:c>
      <x:c r="Y26" s="60" t="n">
        <x:f>IFERROR(50+50*SUMPRODUCT(($F$3:$T$3-$X$3)*(Profiles_140!K22:Y22-X26),$F$4:$T$4)/SQRT(SUMPRODUCT(($F$3:$T$3-$X$3)^2,$F$4:$T$4)*SUMPRODUCT((Profiles_140!K22:Y22-X26)^2,$F$4:$T$4)),50)</x:f>
        <x:v>50</x:v>
      </x:c>
      <x:c r="Z26" s="60" t="n">
        <x:f>$Z$3</x:f>
        <x:v>3.9474596431116675e-16</x:v>
      </x:c>
      <x:c r="AA26" s="60" t="n">
        <x:f>W26*(1-Model_Formula!$F$8*Z26)+Y26*(Model_Formula!$F$8*Z26)</x:f>
        <x:v>67.96828472307345</x:v>
      </x:c>
      <x:c r="AB26" s="60" t="n">
        <x:f>SQRT(SUMPRODUCT((Profiles_140!K22:Y22-50)^2,$F$4:$T$4)/SUM($F$4:$T$4))</x:f>
        <x:v>31.36062508895748</x:v>
      </x:c>
      <x:c r="AC26" s="60" t="n">
        <x:f>MAX(-Model_Formula!$F$11,MIN(Model_Formula!$F$11,Model_Formula!$F$10*(AB26-AVERAGE($AB$6:$AB$135))))</x:f>
        <x:v>1.0005906392469557</x:v>
      </x:c>
      <x:c r="AD26" s="60" t="n">
        <x:f>MAX(0,MIN(100,AA26+AC26))</x:f>
        <x:v>68.9688753623204</x:v>
      </x:c>
      <x:c r="AE26" s="60" t="n">
        <x:f>MAX(0,MIN(1,IFERROR((MATCH(AD26,Percentile_Calibration!$F22:$DB22,1)-1)/100,0)))</x:f>
        <x:v>0.7</x:v>
      </x:c>
      <x:c r="AF26" s="62" t="n">
        <x:f>ROUND(MAX(Model_Formula!$I$9,Model_Formula!$I$5+Model_Formula!$I$6*POWER(AE26,Model_Formula!$I$7)),0)</x:f>
        <x:v>61</x:v>
      </x:c>
      <x:c r="AG26" t="n">
        <x:f>Profiles_140!AJ22</x:f>
        <x:v>0</x:v>
      </x:c>
      <x:c r="AH26" s="60" t="n">
        <x:f>Model_Formula!$I$8*(AE26*100)+(1-Model_Formula!$I$8)*AD26+AG26</x:f>
        <x:v>69.79377507246407</x:v>
      </x:c>
      <x:c r="AI26" t="n">
        <x:f>RANK.EQ(AH26,$AH$6:$AH$135,0)+COUNTIF($AH$6:AH26,AH26)-1</x:f>
        <x:v>78</x:v>
      </x:c>
    </x:row>
    <x:row r="27">
      <x:c r="A27" t="str">
        <x:f>Profiles_140!A23</x:f>
        <x:v>ドラパルト</x:v>
      </x:c>
      <x:c r="B27" t="str">
        <x:f>Profiles_140!C23</x:f>
        <x:v>ドラパルト-1</x:v>
      </x:c>
      <x:c r="C27" t="str">
        <x:f>Profiles_140!D23</x:f>
        <x:v>りゅうのまい</x:v>
      </x:c>
      <x:c r="D27" t="str">
        <x:f>Profiles_140!B23</x:f>
        <x:v>アタック型</x:v>
      </x:c>
      <x:c r="E27" t="str">
        <x:f>Profiles_140!I23</x:f>
        <x:v>高</x:v>
      </x:c>
      <x:c r="F27" s="66" t="n">
        <x:f>Model_Formula!$M$13*(Profiles_140!K23-Simulator!$L$11)^2*IF(Profiles_140!K23&gt;Simulator!$L$11,1+Model_Formula!$N$13,1)</x:f>
        <x:v>25</x:v>
      </x:c>
      <x:c r="G27" s="66" t="n">
        <x:f>Model_Formula!$M$14*(Profiles_140!L23-Simulator!$L$12)^2*IF(Profiles_140!L23&gt;Simulator!$L$12,1+Model_Formula!$N$14,1)</x:f>
        <x:v>26.25</x:v>
      </x:c>
      <x:c r="H27" s="66" t="n">
        <x:f>Model_Formula!$M$15*(Profiles_140!M23-Simulator!$L$13)^2*IF(Profiles_140!M23&gt;Simulator!$L$13,1+Model_Formula!$N$15,1)</x:f>
        <x:v>1600</x:v>
      </x:c>
      <x:c r="I27" s="66" t="n">
        <x:f>Model_Formula!$M$16*(Profiles_140!N23-Simulator!$L$14)^2*IF(Profiles_140!N23&gt;Simulator!$L$14,1+Model_Formula!$N$16,1)</x:f>
        <x:v>400</x:v>
      </x:c>
      <x:c r="J27" s="66" t="n">
        <x:f>Model_Formula!$M$17*(Profiles_140!O23-Simulator!$L$15)^2*IF(Profiles_140!O23&gt;Simulator!$L$15,1+Model_Formula!$N$17,1)</x:f>
        <x:v>25</x:v>
      </x:c>
      <x:c r="K27" s="66" t="n">
        <x:f>Model_Formula!$M$18*(Profiles_140!P23-Simulator!$L$16)^2*IF(Profiles_140!P23&gt;Simulator!$L$16,1+Model_Formula!$N$18,1)</x:f>
        <x:v>810</x:v>
      </x:c>
      <x:c r="L27" s="66" t="n">
        <x:f>Model_Formula!$M$19*(Profiles_140!Q23-Simulator!$L$17)^2*IF(Profiles_140!Q23&gt;Simulator!$L$17,1+Model_Formula!$N$19,1)</x:f>
        <x:v>900</x:v>
      </x:c>
      <x:c r="M27" s="66" t="n">
        <x:f>Model_Formula!$M$20*(Profiles_140!R23-Simulator!$L$18)^2*IF(Profiles_140!R23&gt;Simulator!$L$18,1+Model_Formula!$N$20,1)</x:f>
        <x:v>2025</x:v>
      </x:c>
      <x:c r="N27" s="66" t="n">
        <x:f>Model_Formula!$M$21*(Profiles_140!S23-Simulator!$L$19)^2*IF(Profiles_140!S23&gt;Simulator!$L$19,1+Model_Formula!$N$21,1)</x:f>
        <x:v>625</x:v>
      </x:c>
      <x:c r="O27" s="66" t="n">
        <x:f>Model_Formula!$M$22*(Profiles_140!T23-Simulator!$L$20)^2*IF(Profiles_140!T23&gt;Simulator!$L$20,1+Model_Formula!$N$22,1)</x:f>
        <x:v>225</x:v>
      </x:c>
      <x:c r="P27" s="66" t="n">
        <x:f>Model_Formula!$M$23*(Profiles_140!U23-Simulator!$L$21)^2*IF(Profiles_140!U23&gt;Simulator!$L$21,1+Model_Formula!$N$23,1)</x:f>
        <x:v>281.25</x:v>
      </x:c>
      <x:c r="Q27" s="66" t="n">
        <x:f>Model_Formula!$M$24*(Profiles_140!V23-Simulator!$L$22)^2*IF(Profiles_140!V23&gt;Simulator!$L$22,1+Model_Formula!$N$24,1)</x:f>
        <x:v>250</x:v>
      </x:c>
      <x:c r="R27" s="66" t="n">
        <x:f>Model_Formula!$M$25*(Profiles_140!W23-Simulator!$L$23)^2*IF(Profiles_140!W23&gt;Simulator!$L$23,1+Model_Formula!$N$25,1)</x:f>
        <x:v>11.25</x:v>
      </x:c>
      <x:c r="S27" s="66" t="n">
        <x:f>Model_Formula!$M$26*(Profiles_140!X23-Simulator!$L$24)^2*IF(Profiles_140!X23&gt;Simulator!$L$24,1+Model_Formula!$N$26,1)</x:f>
        <x:v>928.1250000000001</x:v>
      </x:c>
      <x:c r="T27" s="66" t="n">
        <x:f>Model_Formula!$M$27*(Profiles_140!Y23-Simulator!$L$25)^2*IF(Profiles_140!Y23&gt;Simulator!$L$25,1+Model_Formula!$N$27,1)</x:f>
        <x:v>271.6875</x:v>
      </x:c>
      <x:c r="U27" s="60" t="n">
        <x:f>SUM(F27:T27)/SUM($F$4:$T$4)</x:f>
        <x:v>627.1315298507463</x:v>
      </x:c>
      <x:c r="V27" s="60" t="n">
        <x:f>SQRT(U27)</x:f>
        <x:v>25.04259431150747</x:v>
      </x:c>
      <x:c r="W27" s="60" t="n">
        <x:f>MAX(0,100-V27)</x:f>
        <x:v>74.95740568849253</x:v>
      </x:c>
      <x:c r="X27" s="60" t="n">
        <x:f>SUMPRODUCT(Profiles_140!K23:Y23,$F$4:$T$4)/SUM($F$4:$T$4)</x:f>
        <x:v>48.768656716417915</x:v>
      </x:c>
      <x:c r="Y27" s="60" t="n">
        <x:f>IFERROR(50+50*SUMPRODUCT(($F$3:$T$3-$X$3)*(Profiles_140!K23:Y23-X27),$F$4:$T$4)/SQRT(SUMPRODUCT(($F$3:$T$3-$X$3)^2,$F$4:$T$4)*SUMPRODUCT((Profiles_140!K23:Y23-X27)^2,$F$4:$T$4)),50)</x:f>
        <x:v>50.000000000000014</x:v>
      </x:c>
      <x:c r="Z27" s="60" t="n">
        <x:f>$Z$3</x:f>
        <x:v>3.9474596431116675e-16</x:v>
      </x:c>
      <x:c r="AA27" s="60" t="n">
        <x:f>W27*(1-Model_Formula!$F$8*Z27)+Y27*(Model_Formula!$F$8*Z27)</x:f>
        <x:v>74.95740568849253</x:v>
      </x:c>
      <x:c r="AB27" s="60" t="n">
        <x:f>SQRT(SUMPRODUCT((Profiles_140!K23:Y23-50)^2,$F$4:$T$4)/SUM($F$4:$T$4))</x:f>
        <x:v>24.62782675646125</x:v>
      </x:c>
      <x:c r="AC27" s="60" t="n">
        <x:f>MAX(-Model_Formula!$F$11,MIN(Model_Formula!$F$11,Model_Formula!$F$10*(AB27-AVERAGE($AB$6:$AB$135))))</x:f>
        <x:v>-2.029168610376348</x:v>
      </x:c>
      <x:c r="AD27" s="60" t="n">
        <x:f>MAX(0,MIN(100,AA27+AC27))</x:f>
        <x:v>72.92823707811618</x:v>
      </x:c>
      <x:c r="AE27" s="60" t="n">
        <x:f>MAX(0,MIN(1,IFERROR((MATCH(AD27,Percentile_Calibration!$F23:$DB23,1)-1)/100,0)))</x:f>
        <x:v>0.75</x:v>
      </x:c>
      <x:c r="AF27" s="62" t="n">
        <x:f>ROUND(MAX(Model_Formula!$I$9,Model_Formula!$I$5+Model_Formula!$I$6*POWER(AE27,Model_Formula!$I$7)),0)</x:f>
        <x:v>65</x:v>
      </x:c>
      <x:c r="AG27" t="n">
        <x:f>Profiles_140!AJ23</x:f>
        <x:v>0</x:v>
      </x:c>
      <x:c r="AH27" s="60" t="n">
        <x:f>Model_Formula!$I$8*(AE27*100)+(1-Model_Formula!$I$8)*AD27+AG27</x:f>
        <x:v>74.58564741562323</x:v>
      </x:c>
      <x:c r="AI27" t="n">
        <x:f>RANK.EQ(AH27,$AH$6:$AH$135,0)+COUNTIF($AH$6:AH27,AH27)-1</x:f>
        <x:v>54</x:v>
      </x:c>
    </x:row>
    <x:row r="28">
      <x:c r="A28" t="str">
        <x:f>Profiles_140!A24</x:f>
        <x:v>ドラパルト</x:v>
      </x:c>
      <x:c r="B28" t="str">
        <x:f>Profiles_140!C24</x:f>
        <x:v>ドラパルト-2</x:v>
      </x:c>
      <x:c r="C28" t="str">
        <x:f>Profiles_140!D24</x:f>
        <x:v>ゴーストダイブ</x:v>
      </x:c>
      <x:c r="D28" t="str">
        <x:f>Profiles_140!B24</x:f>
        <x:v>アタック型</x:v>
      </x:c>
      <x:c r="E28" t="str">
        <x:f>Profiles_140!I24</x:f>
        <x:v>高</x:v>
      </x:c>
      <x:c r="F28" s="66" t="n">
        <x:f>Model_Formula!$M$13*(Profiles_140!K24-Simulator!$L$11)^2*IF(Profiles_140!K24&gt;Simulator!$L$11,1+Model_Formula!$N$13,1)</x:f>
        <x:v>225</x:v>
      </x:c>
      <x:c r="G28" s="66" t="n">
        <x:f>Model_Formula!$M$14*(Profiles_140!L24-Simulator!$L$12)^2*IF(Profiles_140!L24&gt;Simulator!$L$12,1+Model_Formula!$N$14,1)</x:f>
        <x:v>236.25</x:v>
      </x:c>
      <x:c r="H28" s="66" t="n">
        <x:f>Model_Formula!$M$15*(Profiles_140!M24-Simulator!$L$13)^2*IF(Profiles_140!M24&gt;Simulator!$L$13,1+Model_Formula!$N$15,1)</x:f>
        <x:v>1225</x:v>
      </x:c>
      <x:c r="I28" s="66" t="n">
        <x:f>Model_Formula!$M$16*(Profiles_140!N24-Simulator!$L$14)^2*IF(Profiles_140!N24&gt;Simulator!$L$14,1+Model_Formula!$N$16,1)</x:f>
        <x:v>2500</x:v>
      </x:c>
      <x:c r="J28" s="66" t="n">
        <x:f>Model_Formula!$M$17*(Profiles_140!O24-Simulator!$L$15)^2*IF(Profiles_140!O24&gt;Simulator!$L$15,1+Model_Formula!$N$17,1)</x:f>
        <x:v>100</x:v>
      </x:c>
      <x:c r="K28" s="66" t="n">
        <x:f>Model_Formula!$M$18*(Profiles_140!P24-Simulator!$L$16)^2*IF(Profiles_140!P24&gt;Simulator!$L$16,1+Model_Formula!$N$18,1)</x:f>
        <x:v>90</x:v>
      </x:c>
      <x:c r="L28" s="66" t="n">
        <x:f>Model_Formula!$M$19*(Profiles_140!Q24-Simulator!$L$17)^2*IF(Profiles_140!Q24&gt;Simulator!$L$17,1+Model_Formula!$N$19,1)</x:f>
        <x:v>2025</x:v>
      </x:c>
      <x:c r="M28" s="66" t="n">
        <x:f>Model_Formula!$M$20*(Profiles_140!R24-Simulator!$L$18)^2*IF(Profiles_140!R24&gt;Simulator!$L$18,1+Model_Formula!$N$20,1)</x:f>
        <x:v>2025</x:v>
      </x:c>
      <x:c r="N28" s="66" t="n">
        <x:f>Model_Formula!$M$21*(Profiles_140!S24-Simulator!$L$19)^2*IF(Profiles_140!S24&gt;Simulator!$L$19,1+Model_Formula!$N$21,1)</x:f>
        <x:v>900</x:v>
      </x:c>
      <x:c r="O28" s="66" t="n">
        <x:f>Model_Formula!$M$22*(Profiles_140!T24-Simulator!$L$20)^2*IF(Profiles_140!T24&gt;Simulator!$L$20,1+Model_Formula!$N$22,1)</x:f>
        <x:v>100</x:v>
      </x:c>
      <x:c r="P28" s="66" t="n">
        <x:f>Model_Formula!$M$23*(Profiles_140!U24-Simulator!$L$21)^2*IF(Profiles_140!U24&gt;Simulator!$L$21,1+Model_Formula!$N$23,1)</x:f>
        <x:v>101.25</x:v>
      </x:c>
      <x:c r="Q28" s="66" t="n">
        <x:f>Model_Formula!$M$24*(Profiles_140!V24-Simulator!$L$22)^2*IF(Profiles_140!V24&gt;Simulator!$L$22,1+Model_Formula!$N$24,1)</x:f>
        <x:v>640</x:v>
      </x:c>
      <x:c r="R28" s="66" t="n">
        <x:f>Model_Formula!$M$25*(Profiles_140!W24-Simulator!$L$23)^2*IF(Profiles_140!W24&gt;Simulator!$L$23,1+Model_Formula!$N$25,1)</x:f>
        <x:v>281.25</x:v>
      </x:c>
      <x:c r="S28" s="66" t="n">
        <x:f>Model_Formula!$M$26*(Profiles_140!X24-Simulator!$L$24)^2*IF(Profiles_140!X24&gt;Simulator!$L$24,1+Model_Formula!$N$26,1)</x:f>
        <x:v>334.12500000000006</x:v>
      </x:c>
      <x:c r="T28" s="66" t="n">
        <x:f>Model_Formula!$M$27*(Profiles_140!Y24-Simulator!$L$25)^2*IF(Profiles_140!Y24&gt;Simulator!$L$25,1+Model_Formula!$N$27,1)</x:f>
        <x:v>754.6874999999999</x:v>
      </x:c>
      <x:c r="U28" s="60" t="n">
        <x:f>SUM(F28:T28)/SUM($F$4:$T$4)</x:f>
        <x:v>861.0121268656717</x:v>
      </x:c>
      <x:c r="V28" s="60" t="n">
        <x:f>SQRT(U28)</x:f>
        <x:v>29.34300814275305</x:v>
      </x:c>
      <x:c r="W28" s="60" t="n">
        <x:f>MAX(0,100-V28)</x:f>
        <x:v>70.65699185724695</x:v>
      </x:c>
      <x:c r="X28" s="60" t="n">
        <x:f>SUMPRODUCT(Profiles_140!K24:Y24,$F$4:$T$4)/SUM($F$4:$T$4)</x:f>
        <x:v>44.291044776119406</x:v>
      </x:c>
      <x:c r="Y28" s="60" t="n">
        <x:f>IFERROR(50+50*SUMPRODUCT(($F$3:$T$3-$X$3)*(Profiles_140!K24:Y24-X28),$F$4:$T$4)/SQRT(SUMPRODUCT(($F$3:$T$3-$X$3)^2,$F$4:$T$4)*SUMPRODUCT((Profiles_140!K24:Y24-X28)^2,$F$4:$T$4)),50)</x:f>
        <x:v>50</x:v>
      </x:c>
      <x:c r="Z28" s="60" t="n">
        <x:f>$Z$3</x:f>
        <x:v>3.9474596431116675e-16</x:v>
      </x:c>
      <x:c r="AA28" s="60" t="n">
        <x:f>W28*(1-Model_Formula!$F$8*Z28)+Y28*(Model_Formula!$F$8*Z28)</x:f>
        <x:v>70.65699185724695</x:v>
      </x:c>
      <x:c r="AB28" s="60" t="n">
        <x:f>SQRT(SUMPRODUCT((Profiles_140!K24:Y24-50)^2,$F$4:$T$4)/SUM($F$4:$T$4))</x:f>
        <x:v>29.106725898618578</x:v>
      </x:c>
      <x:c r="AC28" s="60" t="n">
        <x:f>MAX(-Model_Formula!$F$11,MIN(Model_Formula!$F$11,Model_Formula!$F$10*(AB28-AVERAGE($AB$6:$AB$135))))</x:f>
        <x:v>-0.01366399640555045</x:v>
      </x:c>
      <x:c r="AD28" s="60" t="n">
        <x:f>MAX(0,MIN(100,AA28+AC28))</x:f>
        <x:v>70.6433278608414</x:v>
      </x:c>
      <x:c r="AE28" s="60" t="n">
        <x:f>MAX(0,MIN(1,IFERROR((MATCH(AD28,Percentile_Calibration!$F24:$DB24,1)-1)/100,0)))</x:f>
        <x:v>0.74</x:v>
      </x:c>
      <x:c r="AF28" s="62" t="n">
        <x:f>ROUND(MAX(Model_Formula!$I$9,Model_Formula!$I$5+Model_Formula!$I$6*POWER(AE28,Model_Formula!$I$7)),0)</x:f>
        <x:v>64</x:v>
      </x:c>
      <x:c r="AG28" t="n">
        <x:f>Profiles_140!AJ24</x:f>
        <x:v>0</x:v>
      </x:c>
      <x:c r="AH28" s="60" t="n">
        <x:f>Model_Formula!$I$8*(AE28*100)+(1-Model_Formula!$I$8)*AD28+AG28</x:f>
        <x:v>73.32866557216828</x:v>
      </x:c>
      <x:c r="AI28" t="n">
        <x:f>RANK.EQ(AH28,$AH$6:$AH$135,0)+COUNTIF($AH$6:AH28,AH28)-1</x:f>
        <x:v>61</x:v>
      </x:c>
    </x:row>
    <x:row r="29">
      <x:c r="A29" t="str">
        <x:f>Profiles_140!A25</x:f>
        <x:v>ニンフィア</x:v>
      </x:c>
      <x:c r="B29" t="str">
        <x:f>Profiles_140!C25</x:f>
        <x:v>ニンフィア-1</x:v>
      </x:c>
      <x:c r="C29" t="str">
        <x:f>Profiles_140!D25</x:f>
        <x:v>共通</x:v>
      </x:c>
      <x:c r="D29" t="str">
        <x:f>Profiles_140!B25</x:f>
        <x:v>アタック型</x:v>
      </x:c>
      <x:c r="E29" t="str">
        <x:f>Profiles_140!I25</x:f>
        <x:v>高</x:v>
      </x:c>
      <x:c r="F29" s="66" t="n">
        <x:f>Model_Formula!$M$13*(Profiles_140!K25-Simulator!$L$11)^2*IF(Profiles_140!K25&gt;Simulator!$L$11,1+Model_Formula!$N$13,1)</x:f>
        <x:v>0</x:v>
      </x:c>
      <x:c r="G29" s="66" t="n">
        <x:f>Model_Formula!$M$14*(Profiles_140!L25-Simulator!$L$12)^2*IF(Profiles_140!L25&gt;Simulator!$L$12,1+Model_Formula!$N$14,1)</x:f>
        <x:v>26.25</x:v>
      </x:c>
      <x:c r="H29" s="66" t="n">
        <x:f>Model_Formula!$M$15*(Profiles_140!M25-Simulator!$L$13)^2*IF(Profiles_140!M25&gt;Simulator!$L$13,1+Model_Formula!$N$15,1)</x:f>
        <x:v>400</x:v>
      </x:c>
      <x:c r="I29" s="66" t="n">
        <x:f>Model_Formula!$M$16*(Profiles_140!N25-Simulator!$L$14)^2*IF(Profiles_140!N25&gt;Simulator!$L$14,1+Model_Formula!$N$16,1)</x:f>
        <x:v>0</x:v>
      </x:c>
      <x:c r="J29" s="66" t="n">
        <x:f>Model_Formula!$M$17*(Profiles_140!O25-Simulator!$L$15)^2*IF(Profiles_140!O25&gt;Simulator!$L$15,1+Model_Formula!$N$17,1)</x:f>
        <x:v>100</x:v>
      </x:c>
      <x:c r="K29" s="66" t="n">
        <x:f>Model_Formula!$M$18*(Profiles_140!P25-Simulator!$L$16)^2*IF(Profiles_140!P25&gt;Simulator!$L$16,1+Model_Formula!$N$18,1)</x:f>
        <x:v>90</x:v>
      </x:c>
      <x:c r="L29" s="66" t="n">
        <x:f>Model_Formula!$M$19*(Profiles_140!Q25-Simulator!$L$17)^2*IF(Profiles_140!Q25&gt;Simulator!$L$17,1+Model_Formula!$N$19,1)</x:f>
        <x:v>0</x:v>
      </x:c>
      <x:c r="M29" s="66" t="n">
        <x:f>Model_Formula!$M$20*(Profiles_140!R25-Simulator!$L$18)^2*IF(Profiles_140!R25&gt;Simulator!$L$18,1+Model_Formula!$N$20,1)</x:f>
        <x:v>1600</x:v>
      </x:c>
      <x:c r="N29" s="66" t="n">
        <x:f>Model_Formula!$M$21*(Profiles_140!S25-Simulator!$L$19)^2*IF(Profiles_140!S25&gt;Simulator!$L$19,1+Model_Formula!$N$21,1)</x:f>
        <x:v>400</x:v>
      </x:c>
      <x:c r="O29" s="66" t="n">
        <x:f>Model_Formula!$M$22*(Profiles_140!T25-Simulator!$L$20)^2*IF(Profiles_140!T25&gt;Simulator!$L$20,1+Model_Formula!$N$22,1)</x:f>
        <x:v>400</x:v>
      </x:c>
      <x:c r="P29" s="66" t="n">
        <x:f>Model_Formula!$M$23*(Profiles_140!U25-Simulator!$L$21)^2*IF(Profiles_140!U25&gt;Simulator!$L$21,1+Model_Formula!$N$23,1)</x:f>
        <x:v>11.25</x:v>
      </x:c>
      <x:c r="Q29" s="66" t="n">
        <x:f>Model_Formula!$M$24*(Profiles_140!V25-Simulator!$L$22)^2*IF(Profiles_140!V25&gt;Simulator!$L$22,1+Model_Formula!$N$24,1)</x:f>
        <x:v>90</x:v>
      </x:c>
      <x:c r="R29" s="66" t="n">
        <x:f>Model_Formula!$M$25*(Profiles_140!W25-Simulator!$L$23)^2*IF(Profiles_140!W25&gt;Simulator!$L$23,1+Model_Formula!$N$25,1)</x:f>
        <x:v>11.25</x:v>
      </x:c>
      <x:c r="S29" s="66" t="n">
        <x:f>Model_Formula!$M$26*(Profiles_140!X25-Simulator!$L$24)^2*IF(Profiles_140!X25&gt;Simulator!$L$24,1+Model_Formula!$N$26,1)</x:f>
        <x:v>148.50000000000003</x:v>
      </x:c>
      <x:c r="T29" s="66" t="n">
        <x:f>Model_Formula!$M$27*(Profiles_140!Y25-Simulator!$L$25)^2*IF(Profiles_140!Y25&gt;Simulator!$L$25,1+Model_Formula!$N$27,1)</x:f>
        <x:v>271.6875</x:v>
      </x:c>
      <x:c r="U29" s="60" t="n">
        <x:f>SUM(F29:T29)/SUM($F$4:$T$4)</x:f>
        <x:v>264.8460820895523</x:v>
      </x:c>
      <x:c r="V29" s="60" t="n">
        <x:f>SQRT(U29)</x:f>
        <x:v>16.27409235839444</x:v>
      </x:c>
      <x:c r="W29" s="60" t="n">
        <x:f>MAX(0,100-V29)</x:f>
        <x:v>83.72590764160556</x:v>
      </x:c>
      <x:c r="X29" s="60" t="n">
        <x:f>SUMPRODUCT(Profiles_140!K25:Y25,$F$4:$T$4)/SUM($F$4:$T$4)</x:f>
        <x:v>51.604477611940304</x:v>
      </x:c>
      <x:c r="Y29" s="60" t="n">
        <x:f>IFERROR(50+50*SUMPRODUCT(($F$3:$T$3-$X$3)*(Profiles_140!K25:Y25-X29),$F$4:$T$4)/SQRT(SUMPRODUCT(($F$3:$T$3-$X$3)^2,$F$4:$T$4)*SUMPRODUCT((Profiles_140!K25:Y25-X29)^2,$F$4:$T$4)),50)</x:f>
        <x:v>50.000000000000014</x:v>
      </x:c>
      <x:c r="Z29" s="60" t="n">
        <x:f>$Z$3</x:f>
        <x:v>3.9474596431116675e-16</x:v>
      </x:c>
      <x:c r="AA29" s="60" t="n">
        <x:f>W29*(1-Model_Formula!$F$8*Z29)+Y29*(Model_Formula!$F$8*Z29)</x:f>
        <x:v>83.72590764160556</x:v>
      </x:c>
      <x:c r="AB29" s="60" t="n">
        <x:f>SQRT(SUMPRODUCT((Profiles_140!K25:Y25-50)^2,$F$4:$T$4)/SUM($F$4:$T$4))</x:f>
        <x:v>16.103675301276887</x:v>
      </x:c>
      <x:c r="AC29" s="60" t="n">
        <x:f>MAX(-Model_Formula!$F$11,MIN(Model_Formula!$F$11,Model_Formula!$F$10*(AB29-AVERAGE($AB$6:$AB$135))))</x:f>
        <x:v>-5</x:v>
      </x:c>
      <x:c r="AD29" s="60" t="n">
        <x:f>MAX(0,MIN(100,AA29+AC29))</x:f>
        <x:v>78.72590764160556</x:v>
      </x:c>
      <x:c r="AE29" s="60" t="n">
        <x:f>MAX(0,MIN(1,IFERROR((MATCH(AD29,Percentile_Calibration!$F25:$DB25,1)-1)/100,0)))</x:f>
        <x:v>0.84</x:v>
      </x:c>
      <x:c r="AF29" s="62" t="n">
        <x:f>ROUND(MAX(Model_Formula!$I$9,Model_Formula!$I$5+Model_Formula!$I$6*POWER(AE29,Model_Formula!$I$7)),0)</x:f>
        <x:v>75</x:v>
      </x:c>
      <x:c r="AG29" t="n">
        <x:f>Profiles_140!AJ25</x:f>
        <x:v>0</x:v>
      </x:c>
      <x:c r="AH29" s="60" t="n">
        <x:f>Model_Formula!$I$8*(AE29*100)+(1-Model_Formula!$I$8)*AD29+AG29</x:f>
        <x:v>82.94518152832111</x:v>
      </x:c>
      <x:c r="AI29" t="n">
        <x:f>RANK.EQ(AH29,$AH$6:$AH$135,0)+COUNTIF($AH$6:AH29,AH29)-1</x:f>
        <x:v>22</x:v>
      </x:c>
    </x:row>
    <x:row r="30">
      <x:c r="A30" t="str">
        <x:f>Profiles_140!A26</x:f>
        <x:v>バクフーン</x:v>
      </x:c>
      <x:c r="B30" t="str">
        <x:f>Profiles_140!C26</x:f>
        <x:v>バクフーン-1</x:v>
      </x:c>
      <x:c r="C30" t="str">
        <x:f>Profiles_140!D26</x:f>
        <x:v>共通</x:v>
      </x:c>
      <x:c r="D30" t="str">
        <x:f>Profiles_140!B26</x:f>
        <x:v>アタック型</x:v>
      </x:c>
      <x:c r="E30" t="str">
        <x:f>Profiles_140!I26</x:f>
        <x:v>中</x:v>
      </x:c>
      <x:c r="F30" s="66" t="n">
        <x:f>Model_Formula!$M$13*(Profiles_140!K26-Simulator!$L$11)^2*IF(Profiles_140!K26&gt;Simulator!$L$11,1+Model_Formula!$N$13,1)</x:f>
        <x:v>900</x:v>
      </x:c>
      <x:c r="G30" s="66" t="n">
        <x:f>Model_Formula!$M$14*(Profiles_140!L26-Simulator!$L$12)^2*IF(Profiles_140!L26&gt;Simulator!$L$12,1+Model_Formula!$N$14,1)</x:f>
        <x:v>1680</x:v>
      </x:c>
      <x:c r="H30" s="66" t="n">
        <x:f>Model_Formula!$M$15*(Profiles_140!M26-Simulator!$L$13)^2*IF(Profiles_140!M26&gt;Simulator!$L$13,1+Model_Formula!$N$15,1)</x:f>
        <x:v>900</x:v>
      </x:c>
      <x:c r="I30" s="66" t="n">
        <x:f>Model_Formula!$M$16*(Profiles_140!N26-Simulator!$L$14)^2*IF(Profiles_140!N26&gt;Simulator!$L$14,1+Model_Formula!$N$16,1)</x:f>
        <x:v>25</x:v>
      </x:c>
      <x:c r="J30" s="66" t="n">
        <x:f>Model_Formula!$M$17*(Profiles_140!O26-Simulator!$L$15)^2*IF(Profiles_140!O26&gt;Simulator!$L$15,1+Model_Formula!$N$17,1)</x:f>
        <x:v>900</x:v>
      </x:c>
      <x:c r="K30" s="66" t="n">
        <x:f>Model_Formula!$M$18*(Profiles_140!P26-Simulator!$L$16)^2*IF(Profiles_140!P26&gt;Simulator!$L$16,1+Model_Formula!$N$18,1)</x:f>
        <x:v>202.5</x:v>
      </x:c>
      <x:c r="L30" s="66" t="n">
        <x:f>Model_Formula!$M$19*(Profiles_140!Q26-Simulator!$L$17)^2*IF(Profiles_140!Q26&gt;Simulator!$L$17,1+Model_Formula!$N$19,1)</x:f>
        <x:v>25</x:v>
      </x:c>
      <x:c r="M30" s="66" t="n">
        <x:f>Model_Formula!$M$20*(Profiles_140!R26-Simulator!$L$18)^2*IF(Profiles_140!R26&gt;Simulator!$L$18,1+Model_Formula!$N$20,1)</x:f>
        <x:v>2025</x:v>
      </x:c>
      <x:c r="N30" s="66" t="n">
        <x:f>Model_Formula!$M$21*(Profiles_140!S26-Simulator!$L$19)^2*IF(Profiles_140!S26&gt;Simulator!$L$19,1+Model_Formula!$N$21,1)</x:f>
        <x:v>900</x:v>
      </x:c>
      <x:c r="O30" s="66" t="n">
        <x:f>Model_Formula!$M$22*(Profiles_140!T26-Simulator!$L$20)^2*IF(Profiles_140!T26&gt;Simulator!$L$20,1+Model_Formula!$N$22,1)</x:f>
        <x:v>400</x:v>
      </x:c>
      <x:c r="P30" s="66" t="n">
        <x:f>Model_Formula!$M$23*(Profiles_140!U26-Simulator!$L$21)^2*IF(Profiles_140!U26&gt;Simulator!$L$21,1+Model_Formula!$N$23,1)</x:f>
        <x:v>0</x:v>
      </x:c>
      <x:c r="Q30" s="66" t="n">
        <x:f>Model_Formula!$M$24*(Profiles_140!V26-Simulator!$L$22)^2*IF(Profiles_140!V26&gt;Simulator!$L$22,1+Model_Formula!$N$24,1)</x:f>
        <x:v>160</x:v>
      </x:c>
      <x:c r="R30" s="66" t="n">
        <x:f>Model_Formula!$M$25*(Profiles_140!W26-Simulator!$L$23)^2*IF(Profiles_140!W26&gt;Simulator!$L$23,1+Model_Formula!$N$25,1)</x:f>
        <x:v>11.25</x:v>
      </x:c>
      <x:c r="S30" s="66" t="n">
        <x:f>Model_Formula!$M$26*(Profiles_140!X26-Simulator!$L$24)^2*IF(Profiles_140!X26&gt;Simulator!$L$24,1+Model_Formula!$N$26,1)</x:f>
        <x:v>334.12500000000006</x:v>
      </x:c>
      <x:c r="T30" s="66" t="n">
        <x:f>Model_Formula!$M$27*(Profiles_140!Y26-Simulator!$L$25)^2*IF(Profiles_140!Y26&gt;Simulator!$L$25,1+Model_Formula!$N$27,1)</x:f>
        <x:v>482.99999999999994</x:v>
      </x:c>
      <x:c r="U30" s="60" t="n">
        <x:f>SUM(F30:T30)/SUM($F$4:$T$4)</x:f>
        <x:v>667.6026119402986</x:v>
      </x:c>
      <x:c r="V30" s="60" t="n">
        <x:f>SQRT(U30)</x:f>
        <x:v>25.838007120137934</x:v>
      </x:c>
      <x:c r="W30" s="60" t="n">
        <x:f>MAX(0,100-V30)</x:f>
        <x:v>74.16199287986207</x:v>
      </x:c>
      <x:c r="X30" s="60" t="n">
        <x:f>SUMPRODUCT(Profiles_140!K26:Y26,$F$4:$T$4)/SUM($F$4:$T$4)</x:f>
        <x:v>53.07835820895523</x:v>
      </x:c>
      <x:c r="Y30" s="60" t="n">
        <x:f>IFERROR(50+50*SUMPRODUCT(($F$3:$T$3-$X$3)*(Profiles_140!K26:Y26-X30),$F$4:$T$4)/SQRT(SUMPRODUCT(($F$3:$T$3-$X$3)^2,$F$4:$T$4)*SUMPRODUCT((Profiles_140!K26:Y26-X30)^2,$F$4:$T$4)),50)</x:f>
        <x:v>50.00000000000001</x:v>
      </x:c>
      <x:c r="Z30" s="60" t="n">
        <x:f>$Z$3</x:f>
        <x:v>3.9474596431116675e-16</x:v>
      </x:c>
      <x:c r="AA30" s="60" t="n">
        <x:f>W30*(1-Model_Formula!$F$8*Z30)+Y30*(Model_Formula!$F$8*Z30)</x:f>
        <x:v>74.16199287986207</x:v>
      </x:c>
      <x:c r="AB30" s="60" t="n">
        <x:f>SQRT(SUMPRODUCT((Profiles_140!K26:Y26-50)^2,$F$4:$T$4)/SUM($F$4:$T$4))</x:f>
        <x:v>25.621018074311163</x:v>
      </x:c>
      <x:c r="AC30" s="60" t="n">
        <x:f>MAX(-Model_Formula!$F$11,MIN(Model_Formula!$F$11,Model_Formula!$F$10*(AB30-AVERAGE($AB$6:$AB$135))))</x:f>
        <x:v>-1.5822325173438871</x:v>
      </x:c>
      <x:c r="AD30" s="60" t="n">
        <x:f>MAX(0,MIN(100,AA30+AC30))</x:f>
        <x:v>72.57976036251819</x:v>
      </x:c>
      <x:c r="AE30" s="60" t="n">
        <x:f>MAX(0,MIN(1,IFERROR((MATCH(AD30,Percentile_Calibration!$F26:$DB26,1)-1)/100,0)))</x:f>
        <x:v>0.7</x:v>
      </x:c>
      <x:c r="AF30" s="62" t="n">
        <x:f>ROUND(MAX(Model_Formula!$I$9,Model_Formula!$I$5+Model_Formula!$I$6*POWER(AE30,Model_Formula!$I$7)),0)</x:f>
        <x:v>61</x:v>
      </x:c>
      <x:c r="AG30" t="n">
        <x:f>Profiles_140!AJ26</x:f>
        <x:v>0</x:v>
      </x:c>
      <x:c r="AH30" s="60" t="n">
        <x:f>Model_Formula!$I$8*(AE30*100)+(1-Model_Formula!$I$8)*AD30+AG30</x:f>
        <x:v>70.51595207250364</x:v>
      </x:c>
      <x:c r="AI30" t="n">
        <x:f>RANK.EQ(AH30,$AH$6:$AH$135,0)+COUNTIF($AH$6:AH30,AH30)-1</x:f>
        <x:v>72</x:v>
      </x:c>
    </x:row>
    <x:row r="31">
      <x:c r="A31" t="str">
        <x:f>Profiles_140!A27</x:f>
        <x:v>ピカチュウ</x:v>
      </x:c>
      <x:c r="B31" t="str">
        <x:f>Profiles_140!C27</x:f>
        <x:v>ピカチュウ-1</x:v>
      </x:c>
      <x:c r="C31" t="str">
        <x:f>Profiles_140!D27</x:f>
        <x:v>共通</x:v>
      </x:c>
      <x:c r="D31" t="str">
        <x:f>Profiles_140!B27</x:f>
        <x:v>アタック型</x:v>
      </x:c>
      <x:c r="E31" t="str">
        <x:f>Profiles_140!I27</x:f>
        <x:v>高</x:v>
      </x:c>
      <x:c r="F31" s="66" t="n">
        <x:f>Model_Formula!$M$13*(Profiles_140!K27-Simulator!$L$11)^2*IF(Profiles_140!K27&gt;Simulator!$L$11,1+Model_Formula!$N$13,1)</x:f>
        <x:v>100</x:v>
      </x:c>
      <x:c r="G31" s="66" t="n">
        <x:f>Model_Formula!$M$14*(Profiles_140!L27-Simulator!$L$12)^2*IF(Profiles_140!L27&gt;Simulator!$L$12,1+Model_Formula!$N$14,1)</x:f>
        <x:v>1286.25</x:v>
      </x:c>
      <x:c r="H31" s="66" t="n">
        <x:f>Model_Formula!$M$15*(Profiles_140!M27-Simulator!$L$13)^2*IF(Profiles_140!M27&gt;Simulator!$L$13,1+Model_Formula!$N$15,1)</x:f>
        <x:v>225</x:v>
      </x:c>
      <x:c r="I31" s="66" t="n">
        <x:f>Model_Formula!$M$16*(Profiles_140!N27-Simulator!$L$14)^2*IF(Profiles_140!N27&gt;Simulator!$L$14,1+Model_Formula!$N$16,1)</x:f>
        <x:v>1225</x:v>
      </x:c>
      <x:c r="J31" s="66" t="n">
        <x:f>Model_Formula!$M$17*(Profiles_140!O27-Simulator!$L$15)^2*IF(Profiles_140!O27&gt;Simulator!$L$15,1+Model_Formula!$N$17,1)</x:f>
        <x:v>625</x:v>
      </x:c>
      <x:c r="K31" s="66" t="n">
        <x:f>Model_Formula!$M$18*(Profiles_140!P27-Simulator!$L$16)^2*IF(Profiles_140!P27&gt;Simulator!$L$16,1+Model_Formula!$N$18,1)</x:f>
        <x:v>202.5</x:v>
      </x:c>
      <x:c r="L31" s="66" t="n">
        <x:f>Model_Formula!$M$19*(Profiles_140!Q27-Simulator!$L$17)^2*IF(Profiles_140!Q27&gt;Simulator!$L$17,1+Model_Formula!$N$19,1)</x:f>
        <x:v>1225</x:v>
      </x:c>
      <x:c r="M31" s="66" t="n">
        <x:f>Model_Formula!$M$20*(Profiles_140!R27-Simulator!$L$18)^2*IF(Profiles_140!R27&gt;Simulator!$L$18,1+Model_Formula!$N$20,1)</x:f>
        <x:v>1600</x:v>
      </x:c>
      <x:c r="N31" s="66" t="n">
        <x:f>Model_Formula!$M$21*(Profiles_140!S27-Simulator!$L$19)^2*IF(Profiles_140!S27&gt;Simulator!$L$19,1+Model_Formula!$N$21,1)</x:f>
        <x:v>400</x:v>
      </x:c>
      <x:c r="O31" s="66" t="n">
        <x:f>Model_Formula!$M$22*(Profiles_140!T27-Simulator!$L$20)^2*IF(Profiles_140!T27&gt;Simulator!$L$20,1+Model_Formula!$N$22,1)</x:f>
        <x:v>0</x:v>
      </x:c>
      <x:c r="P31" s="66" t="n">
        <x:f>Model_Formula!$M$23*(Profiles_140!U27-Simulator!$L$21)^2*IF(Profiles_140!U27&gt;Simulator!$L$21,1+Model_Formula!$N$23,1)</x:f>
        <x:v>11.25</x:v>
      </x:c>
      <x:c r="Q31" s="66" t="n">
        <x:f>Model_Formula!$M$24*(Profiles_140!V27-Simulator!$L$22)^2*IF(Profiles_140!V27&gt;Simulator!$L$22,1+Model_Formula!$N$24,1)</x:f>
        <x:v>40</x:v>
      </x:c>
      <x:c r="R31" s="66" t="n">
        <x:f>Model_Formula!$M$25*(Profiles_140!W27-Simulator!$L$23)^2*IF(Profiles_140!W27&gt;Simulator!$L$23,1+Model_Formula!$N$25,1)</x:f>
        <x:v>281.25</x:v>
      </x:c>
      <x:c r="S31" s="66" t="n">
        <x:f>Model_Formula!$M$26*(Profiles_140!X27-Simulator!$L$24)^2*IF(Profiles_140!X27&gt;Simulator!$L$24,1+Model_Formula!$N$26,1)</x:f>
        <x:v>594.0000000000001</x:v>
      </x:c>
      <x:c r="T31" s="66" t="n">
        <x:f>Model_Formula!$M$27*(Profiles_140!Y27-Simulator!$L$25)^2*IF(Profiles_140!Y27&gt;Simulator!$L$25,1+Model_Formula!$N$27,1)</x:f>
        <x:v>1086.75</x:v>
      </x:c>
      <x:c r="U31" s="60" t="n">
        <x:f>SUM(F31:T31)/SUM($F$4:$T$4)</x:f>
        <x:v>664.3283582089553</x:v>
      </x:c>
      <x:c r="V31" s="60" t="n">
        <x:f>SQRT(U31)</x:f>
        <x:v>25.774568050870517</x:v>
      </x:c>
      <x:c r="W31" s="60" t="n">
        <x:f>MAX(0,100-V31)</x:f>
        <x:v>74.22543194912949</x:v>
      </x:c>
      <x:c r="X31" s="60" t="n">
        <x:f>SUMPRODUCT(Profiles_140!K27:Y27,$F$4:$T$4)/SUM($F$4:$T$4)</x:f>
        <x:v>45.05597014925374</x:v>
      </x:c>
      <x:c r="Y31" s="60" t="n">
        <x:f>IFERROR(50+50*SUMPRODUCT(($F$3:$T$3-$X$3)*(Profiles_140!K27:Y27-X31),$F$4:$T$4)/SQRT(SUMPRODUCT(($F$3:$T$3-$X$3)^2,$F$4:$T$4)*SUMPRODUCT((Profiles_140!K27:Y27-X31)^2,$F$4:$T$4)),50)</x:f>
        <x:v>50.000000000000014</x:v>
      </x:c>
      <x:c r="Z31" s="60" t="n">
        <x:f>$Z$3</x:f>
        <x:v>3.9474596431116675e-16</x:v>
      </x:c>
      <x:c r="AA31" s="60" t="n">
        <x:f>W31*(1-Model_Formula!$F$8*Z31)+Y31*(Model_Formula!$F$8*Z31)</x:f>
        <x:v>74.22543194912949</x:v>
      </x:c>
      <x:c r="AB31" s="60" t="n">
        <x:f>SQRT(SUMPRODUCT((Profiles_140!K27:Y27-50)^2,$F$4:$T$4)/SUM($F$4:$T$4))</x:f>
        <x:v>25.34279903022883</x:v>
      </x:c>
      <x:c r="AC31" s="60" t="n">
        <x:f>MAX(-Model_Formula!$F$11,MIN(Model_Formula!$F$11,Model_Formula!$F$10*(AB31-AVERAGE($AB$6:$AB$135))))</x:f>
        <x:v>-1.7074310871809375</x:v>
      </x:c>
      <x:c r="AD31" s="60" t="n">
        <x:f>MAX(0,MIN(100,AA31+AC31))</x:f>
        <x:v>72.51800086194855</x:v>
      </x:c>
      <x:c r="AE31" s="60" t="n">
        <x:f>MAX(0,MIN(1,IFERROR((MATCH(AD31,Percentile_Calibration!$F27:$DB27,1)-1)/100,0)))</x:f>
        <x:v>0.86</x:v>
      </x:c>
      <x:c r="AF31" s="62" t="n">
        <x:f>ROUND(MAX(Model_Formula!$I$9,Model_Formula!$I$5+Model_Formula!$I$6*POWER(AE31,Model_Formula!$I$7)),0)</x:f>
        <x:v>77</x:v>
      </x:c>
      <x:c r="AG31" t="n">
        <x:f>Profiles_140!AJ27</x:f>
        <x:v>0</x:v>
      </x:c>
      <x:c r="AH31" s="60" t="n">
        <x:f>Model_Formula!$I$8*(AE31*100)+(1-Model_Formula!$I$8)*AD31+AG31</x:f>
        <x:v>83.30360017238971</x:v>
      </x:c>
      <x:c r="AI31" t="n">
        <x:f>RANK.EQ(AH31,$AH$6:$AH$135,0)+COUNTIF($AH$6:AH31,AH31)-1</x:f>
        <x:v>17</x:v>
      </x:c>
    </x:row>
    <x:row r="32">
      <x:c r="A32" t="str">
        <x:f>Profiles_140!A28</x:f>
        <x:v>フシギバナ</x:v>
      </x:c>
      <x:c r="B32" t="str">
        <x:f>Profiles_140!C28</x:f>
        <x:v>フシギバナ-1</x:v>
      </x:c>
      <x:c r="C32" t="str">
        <x:f>Profiles_140!D28</x:f>
        <x:v>ソーラービーム</x:v>
      </x:c>
      <x:c r="D32" t="str">
        <x:f>Profiles_140!B28</x:f>
        <x:v>アタック型</x:v>
      </x:c>
      <x:c r="E32" t="str">
        <x:f>Profiles_140!I28</x:f>
        <x:v>高</x:v>
      </x:c>
      <x:c r="F32" s="66" t="n">
        <x:f>Model_Formula!$M$13*(Profiles_140!K28-Simulator!$L$11)^2*IF(Profiles_140!K28&gt;Simulator!$L$11,1+Model_Formula!$N$13,1)</x:f>
        <x:v>1225</x:v>
      </x:c>
      <x:c r="G32" s="66" t="n">
        <x:f>Model_Formula!$M$14*(Profiles_140!L28-Simulator!$L$12)^2*IF(Profiles_140!L28&gt;Simulator!$L$12,1+Model_Formula!$N$14,1)</x:f>
        <x:v>2126.25</x:v>
      </x:c>
      <x:c r="H32" s="66" t="n">
        <x:f>Model_Formula!$M$15*(Profiles_140!M28-Simulator!$L$13)^2*IF(Profiles_140!M28&gt;Simulator!$L$13,1+Model_Formula!$N$15,1)</x:f>
        <x:v>1225</x:v>
      </x:c>
      <x:c r="I32" s="66" t="n">
        <x:f>Model_Formula!$M$16*(Profiles_140!N28-Simulator!$L$14)^2*IF(Profiles_140!N28&gt;Simulator!$L$14,1+Model_Formula!$N$16,1)</x:f>
        <x:v>2025</x:v>
      </x:c>
      <x:c r="J32" s="66" t="n">
        <x:f>Model_Formula!$M$17*(Profiles_140!O28-Simulator!$L$15)^2*IF(Profiles_140!O28&gt;Simulator!$L$15,1+Model_Formula!$N$17,1)</x:f>
        <x:v>2500</x:v>
      </x:c>
      <x:c r="K32" s="66" t="n">
        <x:f>Model_Formula!$M$18*(Profiles_140!P28-Simulator!$L$16)^2*IF(Profiles_140!P28&gt;Simulator!$L$16,1+Model_Formula!$N$18,1)</x:f>
        <x:v>810</x:v>
      </x:c>
      <x:c r="L32" s="66" t="n">
        <x:f>Model_Formula!$M$19*(Profiles_140!Q28-Simulator!$L$17)^2*IF(Profiles_140!Q28&gt;Simulator!$L$17,1+Model_Formula!$N$19,1)</x:f>
        <x:v>0</x:v>
      </x:c>
      <x:c r="M32" s="66" t="n">
        <x:f>Model_Formula!$M$20*(Profiles_140!R28-Simulator!$L$18)^2*IF(Profiles_140!R28&gt;Simulator!$L$18,1+Model_Formula!$N$20,1)</x:f>
        <x:v>2025</x:v>
      </x:c>
      <x:c r="N32" s="66" t="n">
        <x:f>Model_Formula!$M$21*(Profiles_140!S28-Simulator!$L$19)^2*IF(Profiles_140!S28&gt;Simulator!$L$19,1+Model_Formula!$N$21,1)</x:f>
        <x:v>400</x:v>
      </x:c>
      <x:c r="O32" s="66" t="n">
        <x:f>Model_Formula!$M$22*(Profiles_140!T28-Simulator!$L$20)^2*IF(Profiles_140!T28&gt;Simulator!$L$20,1+Model_Formula!$N$22,1)</x:f>
        <x:v>25</x:v>
      </x:c>
      <x:c r="P32" s="66" t="n">
        <x:f>Model_Formula!$M$23*(Profiles_140!U28-Simulator!$L$21)^2*IF(Profiles_140!U28&gt;Simulator!$L$21,1+Model_Formula!$N$23,1)</x:f>
        <x:v>101.25</x:v>
      </x:c>
      <x:c r="Q32" s="66" t="n">
        <x:f>Model_Formula!$M$24*(Profiles_140!V28-Simulator!$L$22)^2*IF(Profiles_140!V28&gt;Simulator!$L$22,1+Model_Formula!$N$24,1)</x:f>
        <x:v>1000</x:v>
      </x:c>
      <x:c r="R32" s="66" t="n">
        <x:f>Model_Formula!$M$25*(Profiles_140!W28-Simulator!$L$23)^2*IF(Profiles_140!W28&gt;Simulator!$L$23,1+Model_Formula!$N$25,1)</x:f>
        <x:v>405</x:v>
      </x:c>
      <x:c r="S32" s="66" t="n">
        <x:f>Model_Formula!$M$26*(Profiles_140!X28-Simulator!$L$24)^2*IF(Profiles_140!X28&gt;Simulator!$L$24,1+Model_Formula!$N$26,1)</x:f>
        <x:v>1336.5000000000002</x:v>
      </x:c>
      <x:c r="T32" s="66" t="n">
        <x:f>Model_Formula!$M$27*(Profiles_140!Y28-Simulator!$L$25)^2*IF(Profiles_140!Y28&gt;Simulator!$L$25,1+Model_Formula!$N$27,1)</x:f>
        <x:v>1086.75</x:v>
      </x:c>
      <x:c r="U32" s="60" t="n">
        <x:f>SUM(F32:T32)/SUM($F$4:$T$4)</x:f>
        <x:v>1215.7276119402986</x:v>
      </x:c>
      <x:c r="V32" s="60" t="n">
        <x:f>SQRT(U32)</x:f>
        <x:v>34.86728569791888</x:v>
      </x:c>
      <x:c r="W32" s="60" t="n">
        <x:f>MAX(0,100-V32)</x:f>
        <x:v>65.13271430208113</x:v>
      </x:c>
      <x:c r="X32" s="60" t="n">
        <x:f>SUMPRODUCT(Profiles_140!K28:Y28,$F$4:$T$4)/SUM($F$4:$T$4)</x:f>
        <x:v>40.18656716417911</x:v>
      </x:c>
      <x:c r="Y32" s="60" t="n">
        <x:f>IFERROR(50+50*SUMPRODUCT(($F$3:$T$3-$X$3)*(Profiles_140!K28:Y28-X32),$F$4:$T$4)/SQRT(SUMPRODUCT(($F$3:$T$3-$X$3)^2,$F$4:$T$4)*SUMPRODUCT((Profiles_140!K28:Y28-X32)^2,$F$4:$T$4)),50)</x:f>
        <x:v>50.00000000000001</x:v>
      </x:c>
      <x:c r="Z32" s="60" t="n">
        <x:f>$Z$3</x:f>
        <x:v>3.9474596431116675e-16</x:v>
      </x:c>
      <x:c r="AA32" s="60" t="n">
        <x:f>W32*(1-Model_Formula!$F$8*Z32)+Y32*(Model_Formula!$F$8*Z32)</x:f>
        <x:v>65.13271430208113</x:v>
      </x:c>
      <x:c r="AB32" s="60" t="n">
        <x:f>SQRT(SUMPRODUCT((Profiles_140!K28:Y28-50)^2,$F$4:$T$4)/SUM($F$4:$T$4))</x:f>
        <x:v>34.3408072819513</x:v>
      </x:c>
      <x:c r="AC32" s="60" t="n">
        <x:f>MAX(-Model_Formula!$F$11,MIN(Model_Formula!$F$11,Model_Formula!$F$10*(AB32-AVERAGE($AB$6:$AB$135))))</x:f>
        <x:v>2.3416726260941743</x:v>
      </x:c>
      <x:c r="AD32" s="60" t="n">
        <x:f>MAX(0,MIN(100,AA32+AC32))</x:f>
        <x:v>67.4743869281753</x:v>
      </x:c>
      <x:c r="AE32" s="60" t="n">
        <x:f>MAX(0,MIN(1,IFERROR((MATCH(AD32,Percentile_Calibration!$F28:$DB28,1)-1)/100,0)))</x:f>
        <x:v>0.71</x:v>
      </x:c>
      <x:c r="AF32" s="62" t="n">
        <x:f>ROUND(MAX(Model_Formula!$I$9,Model_Formula!$I$5+Model_Formula!$I$6*POWER(AE32,Model_Formula!$I$7)),0)</x:f>
        <x:v>62</x:v>
      </x:c>
      <x:c r="AG32" t="n">
        <x:f>Profiles_140!AJ28</x:f>
        <x:v>0</x:v>
      </x:c>
      <x:c r="AH32" s="60" t="n">
        <x:f>Model_Formula!$I$8*(AE32*100)+(1-Model_Formula!$I$8)*AD32+AG32</x:f>
        <x:v>70.29487738563506</x:v>
      </x:c>
      <x:c r="AI32" t="n">
        <x:f>RANK.EQ(AH32,$AH$6:$AH$135,0)+COUNTIF($AH$6:AH32,AH32)-1</x:f>
        <x:v>75</x:v>
      </x:c>
    </x:row>
    <x:row r="33">
      <x:c r="A33" t="str">
        <x:f>Profiles_140!A29</x:f>
        <x:v>フシギバナ</x:v>
      </x:c>
      <x:c r="B33" t="str">
        <x:f>Profiles_140!C29</x:f>
        <x:v>フシギバナ-2</x:v>
      </x:c>
      <x:c r="C33" t="str">
        <x:f>Profiles_140!D29</x:f>
        <x:v>はなびらのまい</x:v>
      </x:c>
      <x:c r="D33" t="str">
        <x:f>Profiles_140!B29</x:f>
        <x:v>アタック型</x:v>
      </x:c>
      <x:c r="E33" t="str">
        <x:f>Profiles_140!I29</x:f>
        <x:v>高</x:v>
      </x:c>
      <x:c r="F33" s="66" t="n">
        <x:f>Model_Formula!$M$13*(Profiles_140!K29-Simulator!$L$11)^2*IF(Profiles_140!K29&gt;Simulator!$L$11,1+Model_Formula!$N$13,1)</x:f>
        <x:v>25</x:v>
      </x:c>
      <x:c r="G33" s="66" t="n">
        <x:f>Model_Formula!$M$14*(Profiles_140!L29-Simulator!$L$12)^2*IF(Profiles_140!L29&gt;Simulator!$L$12,1+Model_Formula!$N$14,1)</x:f>
        <x:v>236.25</x:v>
      </x:c>
      <x:c r="H33" s="66" t="n">
        <x:f>Model_Formula!$M$15*(Profiles_140!M29-Simulator!$L$13)^2*IF(Profiles_140!M29&gt;Simulator!$L$13,1+Model_Formula!$N$15,1)</x:f>
        <x:v>900</x:v>
      </x:c>
      <x:c r="I33" s="66" t="n">
        <x:f>Model_Formula!$M$16*(Profiles_140!N29-Simulator!$L$14)^2*IF(Profiles_140!N29&gt;Simulator!$L$14,1+Model_Formula!$N$16,1)</x:f>
        <x:v>625</x:v>
      </x:c>
      <x:c r="J33" s="66" t="n">
        <x:f>Model_Formula!$M$17*(Profiles_140!O29-Simulator!$L$15)^2*IF(Profiles_140!O29&gt;Simulator!$L$15,1+Model_Formula!$N$17,1)</x:f>
        <x:v>1600</x:v>
      </x:c>
      <x:c r="K33" s="66" t="n">
        <x:f>Model_Formula!$M$18*(Profiles_140!P29-Simulator!$L$16)^2*IF(Profiles_140!P29&gt;Simulator!$L$16,1+Model_Formula!$N$18,1)</x:f>
        <x:v>562.5</x:v>
      </x:c>
      <x:c r="L33" s="66" t="n">
        <x:f>Model_Formula!$M$19*(Profiles_140!Q29-Simulator!$L$17)^2*IF(Profiles_140!Q29&gt;Simulator!$L$17,1+Model_Formula!$N$19,1)</x:f>
        <x:v>225</x:v>
      </x:c>
      <x:c r="M33" s="66" t="n">
        <x:f>Model_Formula!$M$20*(Profiles_140!R29-Simulator!$L$18)^2*IF(Profiles_140!R29&gt;Simulator!$L$18,1+Model_Formula!$N$20,1)</x:f>
        <x:v>2025</x:v>
      </x:c>
      <x:c r="N33" s="66" t="n">
        <x:f>Model_Formula!$M$21*(Profiles_140!S29-Simulator!$L$19)^2*IF(Profiles_140!S29&gt;Simulator!$L$19,1+Model_Formula!$N$21,1)</x:f>
        <x:v>25</x:v>
      </x:c>
      <x:c r="O33" s="66" t="n">
        <x:f>Model_Formula!$M$22*(Profiles_140!T29-Simulator!$L$20)^2*IF(Profiles_140!T29&gt;Simulator!$L$20,1+Model_Formula!$N$22,1)</x:f>
        <x:v>400</x:v>
      </x:c>
      <x:c r="P33" s="66" t="n">
        <x:f>Model_Formula!$M$23*(Profiles_140!U29-Simulator!$L$21)^2*IF(Profiles_140!U29&gt;Simulator!$L$21,1+Model_Formula!$N$23,1)</x:f>
        <x:v>180</x:v>
      </x:c>
      <x:c r="Q33" s="66" t="n">
        <x:f>Model_Formula!$M$24*(Profiles_140!V29-Simulator!$L$22)^2*IF(Profiles_140!V29&gt;Simulator!$L$22,1+Model_Formula!$N$24,1)</x:f>
        <x:v>250</x:v>
      </x:c>
      <x:c r="R33" s="66" t="n">
        <x:f>Model_Formula!$M$25*(Profiles_140!W29-Simulator!$L$23)^2*IF(Profiles_140!W29&gt;Simulator!$L$23,1+Model_Formula!$N$25,1)</x:f>
        <x:v>45</x:v>
      </x:c>
      <x:c r="S33" s="66" t="n">
        <x:f>Model_Formula!$M$26*(Profiles_140!X29-Simulator!$L$24)^2*IF(Profiles_140!X29&gt;Simulator!$L$24,1+Model_Formula!$N$26,1)</x:f>
        <x:v>148.50000000000003</x:v>
      </x:c>
      <x:c r="T33" s="66" t="n">
        <x:f>Model_Formula!$M$27*(Profiles_140!Y29-Simulator!$L$25)^2*IF(Profiles_140!Y29&gt;Simulator!$L$25,1+Model_Formula!$N$27,1)</x:f>
        <x:v>120.74999999999999</x:v>
      </x:c>
      <x:c r="U33" s="60" t="n">
        <x:f>SUM(F33:T33)/SUM($F$4:$T$4)</x:f>
        <x:v>549.8507462686567</x:v>
      </x:c>
      <x:c r="V33" s="60" t="n">
        <x:f>SQRT(U33)</x:f>
        <x:v>23.448896482961768</x:v>
      </x:c>
      <x:c r="W33" s="60" t="n">
        <x:f>MAX(0,100-V33)</x:f>
        <x:v>76.55110351703823</x:v>
      </x:c>
      <x:c r="X33" s="60" t="n">
        <x:f>SUMPRODUCT(Profiles_140!K29:Y29,$F$4:$T$4)/SUM($F$4:$T$4)</x:f>
        <x:v>46.84701492537314</x:v>
      </x:c>
      <x:c r="Y33" s="60" t="n">
        <x:f>IFERROR(50+50*SUMPRODUCT(($F$3:$T$3-$X$3)*(Profiles_140!K29:Y29-X33),$F$4:$T$4)/SQRT(SUMPRODUCT(($F$3:$T$3-$X$3)^2,$F$4:$T$4)*SUMPRODUCT((Profiles_140!K29:Y29-X33)^2,$F$4:$T$4)),50)</x:f>
        <x:v>50.00000000000001</x:v>
      </x:c>
      <x:c r="Z33" s="60" t="n">
        <x:f>$Z$3</x:f>
        <x:v>3.9474596431116675e-16</x:v>
      </x:c>
      <x:c r="AA33" s="60" t="n">
        <x:f>W33*(1-Model_Formula!$F$8*Z33)+Y33*(Model_Formula!$F$8*Z33)</x:f>
        <x:v>76.55110351703823</x:v>
      </x:c>
      <x:c r="AB33" s="60" t="n">
        <x:f>SQRT(SUMPRODUCT((Profiles_140!K29:Y29-50)^2,$F$4:$T$4)/SUM($F$4:$T$4))</x:f>
        <x:v>23.362410808946287</x:v>
      </x:c>
      <x:c r="AC33" s="60" t="n">
        <x:f>MAX(-Model_Formula!$F$11,MIN(Model_Formula!$F$11,Model_Formula!$F$10*(AB33-AVERAGE($AB$6:$AB$135))))</x:f>
        <x:v>-2.5986057867580814</x:v>
      </x:c>
      <x:c r="AD33" s="60" t="n">
        <x:f>MAX(0,MIN(100,AA33+AC33))</x:f>
        <x:v>73.95249773028014</x:v>
      </x:c>
      <x:c r="AE33" s="60" t="n">
        <x:f>MAX(0,MIN(1,IFERROR((MATCH(AD33,Percentile_Calibration!$F29:$DB29,1)-1)/100,0)))</x:f>
        <x:v>0.83</x:v>
      </x:c>
      <x:c r="AF33" s="62" t="n">
        <x:f>ROUND(MAX(Model_Formula!$I$9,Model_Formula!$I$5+Model_Formula!$I$6*POWER(AE33,Model_Formula!$I$7)),0)</x:f>
        <x:v>73</x:v>
      </x:c>
      <x:c r="AG33" t="n">
        <x:f>Profiles_140!AJ29</x:f>
        <x:v>0</x:v>
      </x:c>
      <x:c r="AH33" s="60" t="n">
        <x:f>Model_Formula!$I$8*(AE33*100)+(1-Model_Formula!$I$8)*AD33+AG33</x:f>
        <x:v>81.19049954605603</x:v>
      </x:c>
      <x:c r="AI33" t="n">
        <x:f>RANK.EQ(AH33,$AH$6:$AH$135,0)+COUNTIF($AH$6:AH33,AH33)-1</x:f>
        <x:v>32</x:v>
      </x:c>
    </x:row>
    <x:row r="34">
      <x:c r="A34" t="str">
        <x:f>Profiles_140!A30</x:f>
        <x:v>マフォクシー</x:v>
      </x:c>
      <x:c r="B34" t="str">
        <x:f>Profiles_140!C30</x:f>
        <x:v>マフォクシー-1</x:v>
      </x:c>
      <x:c r="C34" t="str">
        <x:f>Profiles_140!D30</x:f>
        <x:v>ほのおのうず</x:v>
      </x:c>
      <x:c r="D34" t="str">
        <x:f>Profiles_140!B30</x:f>
        <x:v>アタック型</x:v>
      </x:c>
      <x:c r="E34" t="str">
        <x:f>Profiles_140!I30</x:f>
        <x:v>高</x:v>
      </x:c>
      <x:c r="F34" s="66" t="n">
        <x:f>Model_Formula!$M$13*(Profiles_140!K30-Simulator!$L$11)^2*IF(Profiles_140!K30&gt;Simulator!$L$11,1+Model_Formula!$N$13,1)</x:f>
        <x:v>400</x:v>
      </x:c>
      <x:c r="G34" s="66" t="n">
        <x:f>Model_Formula!$M$14*(Profiles_140!L30-Simulator!$L$12)^2*IF(Profiles_140!L30&gt;Simulator!$L$12,1+Model_Formula!$N$14,1)</x:f>
        <x:v>2126.25</x:v>
      </x:c>
      <x:c r="H34" s="66" t="n">
        <x:f>Model_Formula!$M$15*(Profiles_140!M30-Simulator!$L$13)^2*IF(Profiles_140!M30&gt;Simulator!$L$13,1+Model_Formula!$N$15,1)</x:f>
        <x:v>225</x:v>
      </x:c>
      <x:c r="I34" s="66" t="n">
        <x:f>Model_Formula!$M$16*(Profiles_140!N30-Simulator!$L$14)^2*IF(Profiles_140!N30&gt;Simulator!$L$14,1+Model_Formula!$N$16,1)</x:f>
        <x:v>2500</x:v>
      </x:c>
      <x:c r="J34" s="66" t="n">
        <x:f>Model_Formula!$M$17*(Profiles_140!O30-Simulator!$L$15)^2*IF(Profiles_140!O30&gt;Simulator!$L$15,1+Model_Formula!$N$17,1)</x:f>
        <x:v>2500</x:v>
      </x:c>
      <x:c r="K34" s="66" t="n">
        <x:f>Model_Formula!$M$18*(Profiles_140!P30-Simulator!$L$16)^2*IF(Profiles_140!P30&gt;Simulator!$L$16,1+Model_Formula!$N$18,1)</x:f>
        <x:v>1440</x:v>
      </x:c>
      <x:c r="L34" s="66" t="n">
        <x:f>Model_Formula!$M$19*(Profiles_140!Q30-Simulator!$L$17)^2*IF(Profiles_140!Q30&gt;Simulator!$L$17,1+Model_Formula!$N$19,1)</x:f>
        <x:v>2025</x:v>
      </x:c>
      <x:c r="M34" s="66" t="n">
        <x:f>Model_Formula!$M$20*(Profiles_140!R30-Simulator!$L$18)^2*IF(Profiles_140!R30&gt;Simulator!$L$18,1+Model_Formula!$N$20,1)</x:f>
        <x:v>1600</x:v>
      </x:c>
      <x:c r="N34" s="66" t="n">
        <x:f>Model_Formula!$M$21*(Profiles_140!S30-Simulator!$L$19)^2*IF(Profiles_140!S30&gt;Simulator!$L$19,1+Model_Formula!$N$21,1)</x:f>
        <x:v>900</x:v>
      </x:c>
      <x:c r="O34" s="66" t="n">
        <x:f>Model_Formula!$M$22*(Profiles_140!T30-Simulator!$L$20)^2*IF(Profiles_140!T30&gt;Simulator!$L$20,1+Model_Formula!$N$22,1)</x:f>
        <x:v>225</x:v>
      </x:c>
      <x:c r="P34" s="66" t="n">
        <x:f>Model_Formula!$M$23*(Profiles_140!U30-Simulator!$L$21)^2*IF(Profiles_140!U30&gt;Simulator!$L$21,1+Model_Formula!$N$23,1)</x:f>
        <x:v>101.25</x:v>
      </x:c>
      <x:c r="Q34" s="66" t="n">
        <x:f>Model_Formula!$M$24*(Profiles_140!V30-Simulator!$L$22)^2*IF(Profiles_140!V30&gt;Simulator!$L$22,1+Model_Formula!$N$24,1)</x:f>
        <x:v>40</x:v>
      </x:c>
      <x:c r="R34" s="66" t="n">
        <x:f>Model_Formula!$M$25*(Profiles_140!W30-Simulator!$L$23)^2*IF(Profiles_140!W30&gt;Simulator!$L$23,1+Model_Formula!$N$25,1)</x:f>
        <x:v>281.25</x:v>
      </x:c>
      <x:c r="S34" s="66" t="n">
        <x:f>Model_Formula!$M$26*(Profiles_140!X30-Simulator!$L$24)^2*IF(Profiles_140!X30&gt;Simulator!$L$24,1+Model_Formula!$N$26,1)</x:f>
        <x:v>148.50000000000003</x:v>
      </x:c>
      <x:c r="T34" s="66" t="n">
        <x:f>Model_Formula!$M$27*(Profiles_140!Y30-Simulator!$L$25)^2*IF(Profiles_140!Y30&gt;Simulator!$L$25,1+Model_Formula!$N$27,1)</x:f>
        <x:v>1086.75</x:v>
      </x:c>
      <x:c r="U34" s="60" t="n">
        <x:f>SUM(F34:T34)/SUM($F$4:$T$4)</x:f>
        <x:v>1164.1044776119404</x:v>
      </x:c>
      <x:c r="V34" s="60" t="n">
        <x:f>SQRT(U34)</x:f>
        <x:v>34.118975330627094</x:v>
      </x:c>
      <x:c r="W34" s="60" t="n">
        <x:f>MAX(0,100-V34)</x:f>
        <x:v>65.8810246693729</x:v>
      </x:c>
      <x:c r="X34" s="60" t="n">
        <x:f>SUMPRODUCT(Profiles_140!K30:Y30,$F$4:$T$4)/SUM($F$4:$T$4)</x:f>
        <x:v>41.32462686567165</x:v>
      </x:c>
      <x:c r="Y34" s="60" t="n">
        <x:f>IFERROR(50+50*SUMPRODUCT(($F$3:$T$3-$X$3)*(Profiles_140!K30:Y30-X34),$F$4:$T$4)/SQRT(SUMPRODUCT(($F$3:$T$3-$X$3)^2,$F$4:$T$4)*SUMPRODUCT((Profiles_140!K30:Y30-X34)^2,$F$4:$T$4)),50)</x:f>
        <x:v>50.00000000000001</x:v>
      </x:c>
      <x:c r="Z34" s="60" t="n">
        <x:f>$Z$3</x:f>
        <x:v>3.9474596431116675e-16</x:v>
      </x:c>
      <x:c r="AA34" s="60" t="n">
        <x:f>W34*(1-Model_Formula!$F$8*Z34)+Y34*(Model_Formula!$F$8*Z34)</x:f>
        <x:v>65.8810246693729</x:v>
      </x:c>
      <x:c r="AB34" s="60" t="n">
        <x:f>SQRT(SUMPRODUCT((Profiles_140!K30:Y30-50)^2,$F$4:$T$4)/SUM($F$4:$T$4))</x:f>
        <x:v>33.92127628899931</x:v>
      </x:c>
      <x:c r="AC34" s="60" t="n">
        <x:f>MAX(-Model_Formula!$F$11,MIN(Model_Formula!$F$11,Model_Formula!$F$10*(AB34-AVERAGE($AB$6:$AB$135))))</x:f>
        <x:v>2.1528836792657784</x:v>
      </x:c>
      <x:c r="AD34" s="60" t="n">
        <x:f>MAX(0,MIN(100,AA34+AC34))</x:f>
        <x:v>68.03390834863869</x:v>
      </x:c>
      <x:c r="AE34" s="60" t="n">
        <x:f>MAX(0,MIN(1,IFERROR((MATCH(AD34,Percentile_Calibration!$F30:$DB30,1)-1)/100,0)))</x:f>
        <x:v>0.75</x:v>
      </x:c>
      <x:c r="AF34" s="62" t="n">
        <x:f>ROUND(MAX(Model_Formula!$I$9,Model_Formula!$I$5+Model_Formula!$I$6*POWER(AE34,Model_Formula!$I$7)),0)</x:f>
        <x:v>65</x:v>
      </x:c>
      <x:c r="AG34" t="n">
        <x:f>Profiles_140!AJ30</x:f>
        <x:v>0</x:v>
      </x:c>
      <x:c r="AH34" s="60" t="n">
        <x:f>Model_Formula!$I$8*(AE34*100)+(1-Model_Formula!$I$8)*AD34+AG34</x:f>
        <x:v>73.60678166972774</x:v>
      </x:c>
      <x:c r="AI34" t="n">
        <x:f>RANK.EQ(AH34,$AH$6:$AH$135,0)+COUNTIF($AH$6:AH34,AH34)-1</x:f>
        <x:v>59</x:v>
      </x:c>
    </x:row>
    <x:row r="35">
      <x:c r="A35" t="str">
        <x:f>Profiles_140!A31</x:f>
        <x:v>マフォクシー</x:v>
      </x:c>
      <x:c r="B35" t="str">
        <x:f>Profiles_140!C31</x:f>
        <x:v>マフォクシー-2</x:v>
      </x:c>
      <x:c r="C35" t="str">
        <x:f>Profiles_140!D31</x:f>
        <x:v>ニトロチャージ</x:v>
      </x:c>
      <x:c r="D35" t="str">
        <x:f>Profiles_140!B31</x:f>
        <x:v>アタック型</x:v>
      </x:c>
      <x:c r="E35" t="str">
        <x:f>Profiles_140!I31</x:f>
        <x:v>高</x:v>
      </x:c>
      <x:c r="F35" s="66" t="n">
        <x:f>Model_Formula!$M$13*(Profiles_140!K31-Simulator!$L$11)^2*IF(Profiles_140!K31&gt;Simulator!$L$11,1+Model_Formula!$N$13,1)</x:f>
        <x:v>0</x:v>
      </x:c>
      <x:c r="G35" s="66" t="n">
        <x:f>Model_Formula!$M$14*(Profiles_140!L31-Simulator!$L$12)^2*IF(Profiles_140!L31&gt;Simulator!$L$12,1+Model_Formula!$N$14,1)</x:f>
        <x:v>236.25</x:v>
      </x:c>
      <x:c r="H35" s="66" t="n">
        <x:f>Model_Formula!$M$15*(Profiles_140!M31-Simulator!$L$13)^2*IF(Profiles_140!M31&gt;Simulator!$L$13,1+Model_Formula!$N$15,1)</x:f>
        <x:v>400</x:v>
      </x:c>
      <x:c r="I35" s="66" t="n">
        <x:f>Model_Formula!$M$16*(Profiles_140!N31-Simulator!$L$14)^2*IF(Profiles_140!N31&gt;Simulator!$L$14,1+Model_Formula!$N$16,1)</x:f>
        <x:v>400</x:v>
      </x:c>
      <x:c r="J35" s="66" t="n">
        <x:f>Model_Formula!$M$17*(Profiles_140!O31-Simulator!$L$15)^2*IF(Profiles_140!O31&gt;Simulator!$L$15,1+Model_Formula!$N$17,1)</x:f>
        <x:v>225</x:v>
      </x:c>
      <x:c r="K35" s="66" t="n">
        <x:f>Model_Formula!$M$18*(Profiles_140!P31-Simulator!$L$16)^2*IF(Profiles_140!P31&gt;Simulator!$L$16,1+Model_Formula!$N$18,1)</x:f>
        <x:v>360</x:v>
      </x:c>
      <x:c r="L35" s="66" t="n">
        <x:f>Model_Formula!$M$19*(Profiles_140!Q31-Simulator!$L$17)^2*IF(Profiles_140!Q31&gt;Simulator!$L$17,1+Model_Formula!$N$19,1)</x:f>
        <x:v>100</x:v>
      </x:c>
      <x:c r="M35" s="66" t="n">
        <x:f>Model_Formula!$M$20*(Profiles_140!R31-Simulator!$L$18)^2*IF(Profiles_140!R31&gt;Simulator!$L$18,1+Model_Formula!$N$20,1)</x:f>
        <x:v>1600</x:v>
      </x:c>
      <x:c r="N35" s="66" t="n">
        <x:f>Model_Formula!$M$21*(Profiles_140!S31-Simulator!$L$19)^2*IF(Profiles_140!S31&gt;Simulator!$L$19,1+Model_Formula!$N$21,1)</x:f>
        <x:v>400</x:v>
      </x:c>
      <x:c r="O35" s="66" t="n">
        <x:f>Model_Formula!$M$22*(Profiles_140!T31-Simulator!$L$20)^2*IF(Profiles_140!T31&gt;Simulator!$L$20,1+Model_Formula!$N$22,1)</x:f>
        <x:v>100</x:v>
      </x:c>
      <x:c r="P35" s="66" t="n">
        <x:f>Model_Formula!$M$23*(Profiles_140!U31-Simulator!$L$21)^2*IF(Profiles_140!U31&gt;Simulator!$L$21,1+Model_Formula!$N$23,1)</x:f>
        <x:v>11.25</x:v>
      </x:c>
      <x:c r="Q35" s="66" t="n">
        <x:f>Model_Formula!$M$24*(Profiles_140!V31-Simulator!$L$22)^2*IF(Profiles_140!V31&gt;Simulator!$L$22,1+Model_Formula!$N$24,1)</x:f>
        <x:v>90</x:v>
      </x:c>
      <x:c r="R35" s="66" t="n">
        <x:f>Model_Formula!$M$25*(Profiles_140!W31-Simulator!$L$23)^2*IF(Profiles_140!W31&gt;Simulator!$L$23,1+Model_Formula!$N$25,1)</x:f>
        <x:v>11.25</x:v>
      </x:c>
      <x:c r="S35" s="66" t="n">
        <x:f>Model_Formula!$M$26*(Profiles_140!X31-Simulator!$L$24)^2*IF(Profiles_140!X31&gt;Simulator!$L$24,1+Model_Formula!$N$26,1)</x:f>
        <x:v>928.1250000000001</x:v>
      </x:c>
      <x:c r="T35" s="66" t="n">
        <x:f>Model_Formula!$M$27*(Profiles_140!Y31-Simulator!$L$25)^2*IF(Profiles_140!Y31&gt;Simulator!$L$25,1+Model_Formula!$N$27,1)</x:f>
        <x:v>271.6875</x:v>
      </x:c>
      <x:c r="U35" s="60" t="n">
        <x:f>SUM(F35:T35)/SUM($F$4:$T$4)</x:f>
        <x:v>383.1016791044776</x:v>
      </x:c>
      <x:c r="V35" s="60" t="n">
        <x:f>SQRT(U35)</x:f>
        <x:v>19.572983398155674</x:v>
      </x:c>
      <x:c r="W35" s="60" t="n">
        <x:f>MAX(0,100-V35)</x:f>
        <x:v>80.42701660184433</x:v>
      </x:c>
      <x:c r="X35" s="60" t="n">
        <x:f>SUMPRODUCT(Profiles_140!K31:Y31,$F$4:$T$4)/SUM($F$4:$T$4)</x:f>
        <x:v>50.485074626865675</x:v>
      </x:c>
      <x:c r="Y35" s="60" t="n">
        <x:f>IFERROR(50+50*SUMPRODUCT(($F$3:$T$3-$X$3)*(Profiles_140!K31:Y31-X35),$F$4:$T$4)/SQRT(SUMPRODUCT(($F$3:$T$3-$X$3)^2,$F$4:$T$4)*SUMPRODUCT((Profiles_140!K31:Y31-X35)^2,$F$4:$T$4)),50)</x:f>
        <x:v>50.00000000000001</x:v>
      </x:c>
      <x:c r="Z35" s="60" t="n">
        <x:f>$Z$3</x:f>
        <x:v>3.9474596431116675e-16</x:v>
      </x:c>
      <x:c r="AA35" s="60" t="n">
        <x:f>W35*(1-Model_Formula!$F$8*Z35)+Y35*(Model_Formula!$F$8*Z35)</x:f>
        <x:v>80.42701660184433</x:v>
      </x:c>
      <x:c r="AB35" s="60" t="n">
        <x:f>SQRT(SUMPRODUCT((Profiles_140!K31:Y31-50)^2,$F$4:$T$4)/SUM($F$4:$T$4))</x:f>
        <x:v>19.03943276465977</x:v>
      </x:c>
      <x:c r="AC35" s="60" t="n">
        <x:f>MAX(-Model_Formula!$F$11,MIN(Model_Formula!$F$11,Model_Formula!$F$10*(AB35-AVERAGE($AB$6:$AB$135))))</x:f>
        <x:v>-4.543945906687013</x:v>
      </x:c>
      <x:c r="AD35" s="60" t="n">
        <x:f>MAX(0,MIN(100,AA35+AC35))</x:f>
        <x:v>75.88307069515731</x:v>
      </x:c>
      <x:c r="AE35" s="60" t="n">
        <x:f>MAX(0,MIN(1,IFERROR((MATCH(AD35,Percentile_Calibration!$F31:$DB31,1)-1)/100,0)))</x:f>
        <x:v>0.83</x:v>
      </x:c>
      <x:c r="AF35" s="62" t="n">
        <x:f>ROUND(MAX(Model_Formula!$I$9,Model_Formula!$I$5+Model_Formula!$I$6*POWER(AE35,Model_Formula!$I$7)),0)</x:f>
        <x:v>73</x:v>
      </x:c>
      <x:c r="AG35" t="n">
        <x:f>Profiles_140!AJ31</x:f>
        <x:v>0</x:v>
      </x:c>
      <x:c r="AH35" s="60" t="n">
        <x:f>Model_Formula!$I$8*(AE35*100)+(1-Model_Formula!$I$8)*AD35+AG35</x:f>
        <x:v>81.57661413903146</x:v>
      </x:c>
      <x:c r="AI35" t="n">
        <x:f>RANK.EQ(AH35,$AH$6:$AH$135,0)+COUNTIF($AH$6:AH35,AH35)-1</x:f>
        <x:v>30</x:v>
      </x:c>
    </x:row>
    <x:row r="36">
      <x:c r="A36" t="str">
        <x:f>Profiles_140!A32</x:f>
        <x:v>ミュウ</x:v>
      </x:c>
      <x:c r="B36" t="str">
        <x:f>Profiles_140!C32</x:f>
        <x:v>ミュウ-1</x:v>
      </x:c>
      <x:c r="C36" t="str">
        <x:f>Profiles_140!D32</x:f>
        <x:v>共通</x:v>
      </x:c>
      <x:c r="D36" t="str">
        <x:f>Profiles_140!B32</x:f>
        <x:v>アタック型</x:v>
      </x:c>
      <x:c r="E36" t="str">
        <x:f>Profiles_140!I32</x:f>
        <x:v>高</x:v>
      </x:c>
      <x:c r="F36" s="66" t="n">
        <x:f>Model_Formula!$M$13*(Profiles_140!K32-Simulator!$L$11)^2*IF(Profiles_140!K32&gt;Simulator!$L$11,1+Model_Formula!$N$13,1)</x:f>
        <x:v>900</x:v>
      </x:c>
      <x:c r="G36" s="66" t="n">
        <x:f>Model_Formula!$M$14*(Profiles_140!L32-Simulator!$L$12)^2*IF(Profiles_140!L32&gt;Simulator!$L$12,1+Model_Formula!$N$14,1)</x:f>
        <x:v>1680</x:v>
      </x:c>
      <x:c r="H36" s="66" t="n">
        <x:f>Model_Formula!$M$15*(Profiles_140!M32-Simulator!$L$13)^2*IF(Profiles_140!M32&gt;Simulator!$L$13,1+Model_Formula!$N$15,1)</x:f>
        <x:v>625</x:v>
      </x:c>
      <x:c r="I36" s="66" t="n">
        <x:f>Model_Formula!$M$16*(Profiles_140!N32-Simulator!$L$14)^2*IF(Profiles_140!N32&gt;Simulator!$L$14,1+Model_Formula!$N$16,1)</x:f>
        <x:v>2500</x:v>
      </x:c>
      <x:c r="J36" s="66" t="n">
        <x:f>Model_Formula!$M$17*(Profiles_140!O32-Simulator!$L$15)^2*IF(Profiles_140!O32&gt;Simulator!$L$15,1+Model_Formula!$N$17,1)</x:f>
        <x:v>2025</x:v>
      </x:c>
      <x:c r="K36" s="66" t="n">
        <x:f>Model_Formula!$M$18*(Profiles_140!P32-Simulator!$L$16)^2*IF(Profiles_140!P32&gt;Simulator!$L$16,1+Model_Formula!$N$18,1)</x:f>
        <x:v>202.5</x:v>
      </x:c>
      <x:c r="L36" s="66" t="n">
        <x:f>Model_Formula!$M$19*(Profiles_140!Q32-Simulator!$L$17)^2*IF(Profiles_140!Q32&gt;Simulator!$L$17,1+Model_Formula!$N$19,1)</x:f>
        <x:v>400</x:v>
      </x:c>
      <x:c r="M36" s="66" t="n">
        <x:f>Model_Formula!$M$20*(Profiles_140!R32-Simulator!$L$18)^2*IF(Profiles_140!R32&gt;Simulator!$L$18,1+Model_Formula!$N$20,1)</x:f>
        <x:v>625</x:v>
      </x:c>
      <x:c r="N36" s="66" t="n">
        <x:f>Model_Formula!$M$21*(Profiles_140!S32-Simulator!$L$19)^2*IF(Profiles_140!S32&gt;Simulator!$L$19,1+Model_Formula!$N$21,1)</x:f>
        <x:v>0</x:v>
      </x:c>
      <x:c r="O36" s="66" t="n">
        <x:f>Model_Formula!$M$22*(Profiles_140!T32-Simulator!$L$20)^2*IF(Profiles_140!T32&gt;Simulator!$L$20,1+Model_Formula!$N$22,1)</x:f>
        <x:v>100</x:v>
      </x:c>
      <x:c r="P36" s="66" t="n">
        <x:f>Model_Formula!$M$23*(Profiles_140!U32-Simulator!$L$21)^2*IF(Profiles_140!U32&gt;Simulator!$L$21,1+Model_Formula!$N$23,1)</x:f>
        <x:v>11.25</x:v>
      </x:c>
      <x:c r="Q36" s="66" t="n">
        <x:f>Model_Formula!$M$24*(Profiles_140!V32-Simulator!$L$22)^2*IF(Profiles_140!V32&gt;Simulator!$L$22,1+Model_Formula!$N$24,1)</x:f>
        <x:v>90</x:v>
      </x:c>
      <x:c r="R36" s="66" t="n">
        <x:f>Model_Formula!$M$25*(Profiles_140!W32-Simulator!$L$23)^2*IF(Profiles_140!W32&gt;Simulator!$L$23,1+Model_Formula!$N$25,1)</x:f>
        <x:v>180</x:v>
      </x:c>
      <x:c r="S36" s="66" t="n">
        <x:f>Model_Formula!$M$26*(Profiles_140!X32-Simulator!$L$24)^2*IF(Profiles_140!X32&gt;Simulator!$L$24,1+Model_Formula!$N$26,1)</x:f>
        <x:v>3712.5000000000005</x:v>
      </x:c>
      <x:c r="T36" s="66" t="n">
        <x:f>Model_Formula!$M$27*(Profiles_140!Y32-Simulator!$L$25)^2*IF(Profiles_140!Y32&gt;Simulator!$L$25,1+Model_Formula!$N$27,1)</x:f>
        <x:v>3018.7499999999995</x:v>
      </x:c>
      <x:c r="U36" s="60" t="n">
        <x:f>SUM(F36:T36)/SUM($F$4:$T$4)</x:f>
        <x:v>1199.2537313432838</x:v>
      </x:c>
      <x:c r="V36" s="60" t="n">
        <x:f>SQRT(U36)</x:f>
        <x:v>34.630243015943215</x:v>
      </x:c>
      <x:c r="W36" s="60" t="n">
        <x:f>MAX(0,100-V36)</x:f>
        <x:v>65.36975698405678</x:v>
      </x:c>
      <x:c r="X36" s="60" t="n">
        <x:f>SUMPRODUCT(Profiles_140!K32:Y32,$F$4:$T$4)/SUM($F$4:$T$4)</x:f>
        <x:v>49.72014925373135</x:v>
      </x:c>
      <x:c r="Y36" s="60" t="n">
        <x:f>IFERROR(50+50*SUMPRODUCT(($F$3:$T$3-$X$3)*(Profiles_140!K32:Y32-X36),$F$4:$T$4)/SQRT(SUMPRODUCT(($F$3:$T$3-$X$3)^2,$F$4:$T$4)*SUMPRODUCT((Profiles_140!K32:Y32-X36)^2,$F$4:$T$4)),50)</x:f>
        <x:v>50.000000000000014</x:v>
      </x:c>
      <x:c r="Z36" s="60" t="n">
        <x:f>$Z$3</x:f>
        <x:v>3.9474596431116675e-16</x:v>
      </x:c>
      <x:c r="AA36" s="60" t="n">
        <x:f>W36*(1-Model_Formula!$F$8*Z36)+Y36*(Model_Formula!$F$8*Z36)</x:f>
        <x:v>65.36975698405678</x:v>
      </x:c>
      <x:c r="AB36" s="60" t="n">
        <x:f>SQRT(SUMPRODUCT((Profiles_140!K32:Y32-50)^2,$F$4:$T$4)/SUM($F$4:$T$4))</x:f>
        <x:v>33.13670238234516</x:v>
      </x:c>
      <x:c r="AC36" s="60" t="n">
        <x:f>MAX(-Model_Formula!$F$11,MIN(Model_Formula!$F$11,Model_Formula!$F$10*(AB36-AVERAGE($AB$6:$AB$135))))</x:f>
        <x:v>1.799825421271413</x:v>
      </x:c>
      <x:c r="AD36" s="60" t="n">
        <x:f>MAX(0,MIN(100,AA36+AC36))</x:f>
        <x:v>67.16958240532819</x:v>
      </x:c>
      <x:c r="AE36" s="60" t="n">
        <x:f>MAX(0,MIN(1,IFERROR((MATCH(AD36,Percentile_Calibration!$F32:$DB32,1)-1)/100,0)))</x:f>
        <x:v>0.68</x:v>
      </x:c>
      <x:c r="AF36" s="62" t="n">
        <x:f>ROUND(MAX(Model_Formula!$I$9,Model_Formula!$I$5+Model_Formula!$I$6*POWER(AE36,Model_Formula!$I$7)),0)</x:f>
        <x:v>59</x:v>
      </x:c>
      <x:c r="AG36" t="n">
        <x:f>Profiles_140!AJ32</x:f>
        <x:v>0</x:v>
      </x:c>
      <x:c r="AH36" s="60" t="n">
        <x:f>Model_Formula!$I$8*(AE36*100)+(1-Model_Formula!$I$8)*AD36+AG36</x:f>
        <x:v>67.83391648106564</x:v>
      </x:c>
      <x:c r="AI36" t="n">
        <x:f>RANK.EQ(AH36,$AH$6:$AH$135,0)+COUNTIF($AH$6:AH36,AH36)-1</x:f>
        <x:v>92</x:v>
      </x:c>
    </x:row>
    <x:row r="37">
      <x:c r="A37" t="str">
        <x:f>Profiles_140!A33</x:f>
        <x:v>ミュウツー(Y)</x:v>
      </x:c>
      <x:c r="B37" t="str">
        <x:f>Profiles_140!C33</x:f>
        <x:v>ミュウツー(Y)-1</x:v>
      </x:c>
      <x:c r="C37" t="str">
        <x:f>Profiles_140!D33</x:f>
        <x:v>共通</x:v>
      </x:c>
      <x:c r="D37" t="str">
        <x:f>Profiles_140!B33</x:f>
        <x:v>アタック型</x:v>
      </x:c>
      <x:c r="E37" t="str">
        <x:f>Profiles_140!I33</x:f>
        <x:v>高</x:v>
      </x:c>
      <x:c r="F37" s="66" t="n">
        <x:f>Model_Formula!$M$13*(Profiles_140!K33-Simulator!$L$11)^2*IF(Profiles_140!K33&gt;Simulator!$L$11,1+Model_Formula!$N$13,1)</x:f>
        <x:v>400</x:v>
      </x:c>
      <x:c r="G37" s="66" t="n">
        <x:f>Model_Formula!$M$14*(Profiles_140!L33-Simulator!$L$12)^2*IF(Profiles_140!L33&gt;Simulator!$L$12,1+Model_Formula!$N$14,1)</x:f>
        <x:v>945</x:v>
      </x:c>
      <x:c r="H37" s="66" t="n">
        <x:f>Model_Formula!$M$15*(Profiles_140!M33-Simulator!$L$13)^2*IF(Profiles_140!M33&gt;Simulator!$L$13,1+Model_Formula!$N$15,1)</x:f>
        <x:v>1600</x:v>
      </x:c>
      <x:c r="I37" s="66" t="n">
        <x:f>Model_Formula!$M$16*(Profiles_140!N33-Simulator!$L$14)^2*IF(Profiles_140!N33&gt;Simulator!$L$14,1+Model_Formula!$N$16,1)</x:f>
        <x:v>1600</x:v>
      </x:c>
      <x:c r="J37" s="66" t="n">
        <x:f>Model_Formula!$M$17*(Profiles_140!O33-Simulator!$L$15)^2*IF(Profiles_140!O33&gt;Simulator!$L$15,1+Model_Formula!$N$17,1)</x:f>
        <x:v>225</x:v>
      </x:c>
      <x:c r="K37" s="66" t="n">
        <x:f>Model_Formula!$M$18*(Profiles_140!P33-Simulator!$L$16)^2*IF(Profiles_140!P33&gt;Simulator!$L$16,1+Model_Formula!$N$18,1)</x:f>
        <x:v>1822.5</x:v>
      </x:c>
      <x:c r="L37" s="66" t="n">
        <x:f>Model_Formula!$M$19*(Profiles_140!Q33-Simulator!$L$17)^2*IF(Profiles_140!Q33&gt;Simulator!$L$17,1+Model_Formula!$N$19,1)</x:f>
        <x:v>100</x:v>
      </x:c>
      <x:c r="M37" s="66" t="n">
        <x:f>Model_Formula!$M$20*(Profiles_140!R33-Simulator!$L$18)^2*IF(Profiles_140!R33&gt;Simulator!$L$18,1+Model_Formula!$N$20,1)</x:f>
        <x:v>2025</x:v>
      </x:c>
      <x:c r="N37" s="66" t="n">
        <x:f>Model_Formula!$M$21*(Profiles_140!S33-Simulator!$L$19)^2*IF(Profiles_140!S33&gt;Simulator!$L$19,1+Model_Formula!$N$21,1)</x:f>
        <x:v>0</x:v>
      </x:c>
      <x:c r="O37" s="66" t="n">
        <x:f>Model_Formula!$M$22*(Profiles_140!T33-Simulator!$L$20)^2*IF(Profiles_140!T33&gt;Simulator!$L$20,1+Model_Formula!$N$22,1)</x:f>
        <x:v>100</x:v>
      </x:c>
      <x:c r="P37" s="66" t="n">
        <x:f>Model_Formula!$M$23*(Profiles_140!U33-Simulator!$L$21)^2*IF(Profiles_140!U33&gt;Simulator!$L$21,1+Model_Formula!$N$23,1)</x:f>
        <x:v>281.25</x:v>
      </x:c>
      <x:c r="Q37" s="66" t="n">
        <x:f>Model_Formula!$M$24*(Profiles_140!V33-Simulator!$L$22)^2*IF(Profiles_140!V33&gt;Simulator!$L$22,1+Model_Formula!$N$24,1)</x:f>
        <x:v>490</x:v>
      </x:c>
      <x:c r="R37" s="66" t="n">
        <x:f>Model_Formula!$M$25*(Profiles_140!W33-Simulator!$L$23)^2*IF(Profiles_140!W33&gt;Simulator!$L$23,1+Model_Formula!$N$25,1)</x:f>
        <x:v>11.25</x:v>
      </x:c>
      <x:c r="S37" s="66" t="n">
        <x:f>Model_Formula!$M$26*(Profiles_140!X33-Simulator!$L$24)^2*IF(Profiles_140!X33&gt;Simulator!$L$24,1+Model_Formula!$N$26,1)</x:f>
        <x:v>27.500000000000004</x:v>
      </x:c>
      <x:c r="T37" s="66" t="n">
        <x:f>Model_Formula!$M$27*(Profiles_140!Y33-Simulator!$L$25)^2*IF(Profiles_140!Y33&gt;Simulator!$L$25,1+Model_Formula!$N$27,1)</x:f>
        <x:v>271.6875</x:v>
      </x:c>
      <x:c r="U37" s="60" t="n">
        <x:f>SUM(F37:T37)/SUM($F$4:$T$4)</x:f>
        <x:v>738.7453358208955</x:v>
      </x:c>
      <x:c r="V37" s="60" t="n">
        <x:f>SQRT(U37)</x:f>
        <x:v>27.179870047903016</x:v>
      </x:c>
      <x:c r="W37" s="60" t="n">
        <x:f>MAX(0,100-V37)</x:f>
        <x:v>72.82012995209698</x:v>
      </x:c>
      <x:c r="X37" s="60" t="n">
        <x:f>SUMPRODUCT(Profiles_140!K33:Y33,$F$4:$T$4)/SUM($F$4:$T$4)</x:f>
        <x:v>43.78731343283582</x:v>
      </x:c>
      <x:c r="Y37" s="60" t="n">
        <x:f>IFERROR(50+50*SUMPRODUCT(($F$3:$T$3-$X$3)*(Profiles_140!K33:Y33-X37),$F$4:$T$4)/SQRT(SUMPRODUCT(($F$3:$T$3-$X$3)^2,$F$4:$T$4)*SUMPRODUCT((Profiles_140!K33:Y33-X37)^2,$F$4:$T$4)),50)</x:f>
        <x:v>50</x:v>
      </x:c>
      <x:c r="Z37" s="60" t="n">
        <x:f>$Z$3</x:f>
        <x:v>3.9474596431116675e-16</x:v>
      </x:c>
      <x:c r="AA37" s="60" t="n">
        <x:f>W37*(1-Model_Formula!$F$8*Z37)+Y37*(Model_Formula!$F$8*Z37)</x:f>
        <x:v>72.82012995209698</x:v>
      </x:c>
      <x:c r="AB37" s="60" t="n">
        <x:f>SQRT(SUMPRODUCT((Profiles_140!K33:Y33-50)^2,$F$4:$T$4)/SUM($F$4:$T$4))</x:f>
        <x:v>27.13117664733059</x:v>
      </x:c>
      <x:c r="AC37" s="60" t="n">
        <x:f>MAX(-Model_Formula!$F$11,MIN(Model_Formula!$F$11,Model_Formula!$F$10*(AB37-AVERAGE($AB$6:$AB$135))))</x:f>
        <x:v>-0.9026611594851446</x:v>
      </x:c>
      <x:c r="AD37" s="60" t="n">
        <x:f>MAX(0,MIN(100,AA37+AC37))</x:f>
        <x:v>71.91746879261183</x:v>
      </x:c>
      <x:c r="AE37" s="60" t="n">
        <x:f>MAX(0,MIN(1,IFERROR((MATCH(AD37,Percentile_Calibration!$F33:$DB33,1)-1)/100,0)))</x:f>
        <x:v>0.75</x:v>
      </x:c>
      <x:c r="AF37" s="62" t="n">
        <x:f>ROUND(MAX(Model_Formula!$I$9,Model_Formula!$I$5+Model_Formula!$I$6*POWER(AE37,Model_Formula!$I$7)),0)</x:f>
        <x:v>65</x:v>
      </x:c>
      <x:c r="AG37" t="n">
        <x:f>Profiles_140!AJ33</x:f>
        <x:v>0</x:v>
      </x:c>
      <x:c r="AH37" s="60" t="n">
        <x:f>Model_Formula!$I$8*(AE37*100)+(1-Model_Formula!$I$8)*AD37+AG37</x:f>
        <x:v>74.38349375852236</x:v>
      </x:c>
      <x:c r="AI37" t="n">
        <x:f>RANK.EQ(AH37,$AH$6:$AH$135,0)+COUNTIF($AH$6:AH37,AH37)-1</x:f>
        <x:v>57</x:v>
      </x:c>
    </x:row>
    <x:row r="38">
      <x:c r="A38" t="str">
        <x:f>Profiles_140!A34</x:f>
        <x:v>ミライドン</x:v>
      </x:c>
      <x:c r="B38" t="str">
        <x:f>Profiles_140!C34</x:f>
        <x:v>ミライドン-1</x:v>
      </x:c>
      <x:c r="C38" t="str">
        <x:f>Profiles_140!D34</x:f>
        <x:v>チャージビーム</x:v>
      </x:c>
      <x:c r="D38" t="str">
        <x:f>Profiles_140!B34</x:f>
        <x:v>アタック型</x:v>
      </x:c>
      <x:c r="E38" t="str">
        <x:f>Profiles_140!I34</x:f>
        <x:v>高</x:v>
      </x:c>
      <x:c r="F38" s="66" t="n">
        <x:f>Model_Formula!$M$13*(Profiles_140!K34-Simulator!$L$11)^2*IF(Profiles_140!K34&gt;Simulator!$L$11,1+Model_Formula!$N$13,1)</x:f>
        <x:v>1225</x:v>
      </x:c>
      <x:c r="G38" s="66" t="n">
        <x:f>Model_Formula!$M$14*(Profiles_140!L34-Simulator!$L$12)^2*IF(Profiles_140!L34&gt;Simulator!$L$12,1+Model_Formula!$N$14,1)</x:f>
        <x:v>2126.25</x:v>
      </x:c>
      <x:c r="H38" s="66" t="n">
        <x:f>Model_Formula!$M$15*(Profiles_140!M34-Simulator!$L$13)^2*IF(Profiles_140!M34&gt;Simulator!$L$13,1+Model_Formula!$N$15,1)</x:f>
        <x:v>1225</x:v>
      </x:c>
      <x:c r="I38" s="66" t="n">
        <x:f>Model_Formula!$M$16*(Profiles_140!N34-Simulator!$L$14)^2*IF(Profiles_140!N34&gt;Simulator!$L$14,1+Model_Formula!$N$16,1)</x:f>
        <x:v>2025</x:v>
      </x:c>
      <x:c r="J38" s="66" t="n">
        <x:f>Model_Formula!$M$17*(Profiles_140!O34-Simulator!$L$15)^2*IF(Profiles_140!O34&gt;Simulator!$L$15,1+Model_Formula!$N$17,1)</x:f>
        <x:v>2500</x:v>
      </x:c>
      <x:c r="K38" s="66" t="n">
        <x:f>Model_Formula!$M$18*(Profiles_140!P34-Simulator!$L$16)^2*IF(Profiles_140!P34&gt;Simulator!$L$16,1+Model_Formula!$N$18,1)</x:f>
        <x:v>90</x:v>
      </x:c>
      <x:c r="L38" s="66" t="n">
        <x:f>Model_Formula!$M$19*(Profiles_140!Q34-Simulator!$L$17)^2*IF(Profiles_140!Q34&gt;Simulator!$L$17,1+Model_Formula!$N$19,1)</x:f>
        <x:v>25</x:v>
      </x:c>
      <x:c r="M38" s="66" t="n">
        <x:f>Model_Formula!$M$20*(Profiles_140!R34-Simulator!$L$18)^2*IF(Profiles_140!R34&gt;Simulator!$L$18,1+Model_Formula!$N$20,1)</x:f>
        <x:v>2025</x:v>
      </x:c>
      <x:c r="N38" s="66" t="n">
        <x:f>Model_Formula!$M$21*(Profiles_140!S34-Simulator!$L$19)^2*IF(Profiles_140!S34&gt;Simulator!$L$19,1+Model_Formula!$N$21,1)</x:f>
        <x:v>1225</x:v>
      </x:c>
      <x:c r="O38" s="66" t="n">
        <x:f>Model_Formula!$M$22*(Profiles_140!T34-Simulator!$L$20)^2*IF(Profiles_140!T34&gt;Simulator!$L$20,1+Model_Formula!$N$22,1)</x:f>
        <x:v>25</x:v>
      </x:c>
      <x:c r="P38" s="66" t="n">
        <x:f>Model_Formula!$M$23*(Profiles_140!U34-Simulator!$L$21)^2*IF(Profiles_140!U34&gt;Simulator!$L$21,1+Model_Formula!$N$23,1)</x:f>
        <x:v>101.25</x:v>
      </x:c>
      <x:c r="Q38" s="66" t="n">
        <x:f>Model_Formula!$M$24*(Profiles_140!V34-Simulator!$L$22)^2*IF(Profiles_140!V34&gt;Simulator!$L$22,1+Model_Formula!$N$24,1)</x:f>
        <x:v>360</x:v>
      </x:c>
      <x:c r="R38" s="66" t="n">
        <x:f>Model_Formula!$M$25*(Profiles_140!W34-Simulator!$L$23)^2*IF(Profiles_140!W34&gt;Simulator!$L$23,1+Model_Formula!$N$25,1)</x:f>
        <x:v>405</x:v>
      </x:c>
      <x:c r="S38" s="66" t="n">
        <x:f>Model_Formula!$M$26*(Profiles_140!X34-Simulator!$L$24)^2*IF(Profiles_140!X34&gt;Simulator!$L$24,1+Model_Formula!$N$26,1)</x:f>
        <x:v>1336.5000000000002</x:v>
      </x:c>
      <x:c r="T38" s="66" t="n">
        <x:f>Model_Formula!$M$27*(Profiles_140!Y34-Simulator!$L$25)^2*IF(Profiles_140!Y34&gt;Simulator!$L$25,1+Model_Formula!$N$27,1)</x:f>
        <x:v>1086.75</x:v>
      </x:c>
      <x:c r="U38" s="60" t="n">
        <x:f>SUM(F38:T38)/SUM($F$4:$T$4)</x:f>
        <x:v>1177.6679104477614</x:v>
      </x:c>
      <x:c r="V38" s="60" t="n">
        <x:f>SQRT(U38)</x:f>
        <x:v>34.3171664105264</x:v>
      </x:c>
      <x:c r="W38" s="60" t="n">
        <x:f>MAX(0,100-V38)</x:f>
        <x:v>65.6828335894736</x:v>
      </x:c>
      <x:c r="X38" s="60" t="n">
        <x:f>SUMPRODUCT(Profiles_140!K34:Y34,$F$4:$T$4)/SUM($F$4:$T$4)</x:f>
        <x:v>40.18656716417911</x:v>
      </x:c>
      <x:c r="Y38" s="60" t="n">
        <x:f>IFERROR(50+50*SUMPRODUCT(($F$3:$T$3-$X$3)*(Profiles_140!K34:Y34-X38),$F$4:$T$4)/SQRT(SUMPRODUCT(($F$3:$T$3-$X$3)^2,$F$4:$T$4)*SUMPRODUCT((Profiles_140!K34:Y34-X38)^2,$F$4:$T$4)),50)</x:f>
        <x:v>50.00000000000001</x:v>
      </x:c>
      <x:c r="Z38" s="60" t="n">
        <x:f>$Z$3</x:f>
        <x:v>3.9474596431116675e-16</x:v>
      </x:c>
      <x:c r="AA38" s="60" t="n">
        <x:f>W38*(1-Model_Formula!$F$8*Z38)+Y38*(Model_Formula!$F$8*Z38)</x:f>
        <x:v>65.6828335894736</x:v>
      </x:c>
      <x:c r="AB38" s="60" t="n">
        <x:f>SQRT(SUMPRODUCT((Profiles_140!K34:Y34-50)^2,$F$4:$T$4)/SUM($F$4:$T$4))</x:f>
        <x:v>33.7821157313094</x:v>
      </x:c>
      <x:c r="AC38" s="60" t="n">
        <x:f>MAX(-Model_Formula!$F$11,MIN(Model_Formula!$F$11,Model_Formula!$F$10*(AB38-AVERAGE($AB$6:$AB$135))))</x:f>
        <x:v>2.0902614283053214</x:v>
      </x:c>
      <x:c r="AD38" s="60" t="n">
        <x:f>MAX(0,MIN(100,AA38+AC38))</x:f>
        <x:v>67.77309501777893</x:v>
      </x:c>
      <x:c r="AE38" s="60" t="n">
        <x:f>MAX(0,MIN(1,IFERROR((MATCH(AD38,Percentile_Calibration!$F34:$DB34,1)-1)/100,0)))</x:f>
        <x:v>0.69</x:v>
      </x:c>
      <x:c r="AF38" s="62" t="n">
        <x:f>ROUND(MAX(Model_Formula!$I$9,Model_Formula!$I$5+Model_Formula!$I$6*POWER(AE38,Model_Formula!$I$7)),0)</x:f>
        <x:v>60</x:v>
      </x:c>
      <x:c r="AG38" t="n">
        <x:f>Profiles_140!AJ34</x:f>
        <x:v>0</x:v>
      </x:c>
      <x:c r="AH38" s="60" t="n">
        <x:f>Model_Formula!$I$8*(AE38*100)+(1-Model_Formula!$I$8)*AD38+AG38</x:f>
        <x:v>68.75461900355579</x:v>
      </x:c>
      <x:c r="AI38" t="n">
        <x:f>RANK.EQ(AH38,$AH$6:$AH$135,0)+COUNTIF($AH$6:AH38,AH38)-1</x:f>
        <x:v>85</x:v>
      </x:c>
    </x:row>
    <x:row r="39">
      <x:c r="A39" t="str">
        <x:f>Profiles_140!A35</x:f>
        <x:v>ミライドン</x:v>
      </x:c>
      <x:c r="B39" t="str">
        <x:f>Profiles_140!C35</x:f>
        <x:v>ミライドン-2</x:v>
      </x:c>
      <x:c r="C39" t="str">
        <x:f>Profiles_140!D35</x:f>
        <x:v>イナズマドライブ</x:v>
      </x:c>
      <x:c r="D39" t="str">
        <x:f>Profiles_140!B35</x:f>
        <x:v>アタック型</x:v>
      </x:c>
      <x:c r="E39" t="str">
        <x:f>Profiles_140!I35</x:f>
        <x:v>高</x:v>
      </x:c>
      <x:c r="F39" s="66" t="n">
        <x:f>Model_Formula!$M$13*(Profiles_140!K35-Simulator!$L$11)^2*IF(Profiles_140!K35&gt;Simulator!$L$11,1+Model_Formula!$N$13,1)</x:f>
        <x:v>100</x:v>
      </x:c>
      <x:c r="G39" s="66" t="n">
        <x:f>Model_Formula!$M$14*(Profiles_140!L35-Simulator!$L$12)^2*IF(Profiles_140!L35&gt;Simulator!$L$12,1+Model_Formula!$N$14,1)</x:f>
        <x:v>2625</x:v>
      </x:c>
      <x:c r="H39" s="66" t="n">
        <x:f>Model_Formula!$M$15*(Profiles_140!M35-Simulator!$L$13)^2*IF(Profiles_140!M35&gt;Simulator!$L$13,1+Model_Formula!$N$15,1)</x:f>
        <x:v>1225</x:v>
      </x:c>
      <x:c r="I39" s="66" t="n">
        <x:f>Model_Formula!$M$16*(Profiles_140!N35-Simulator!$L$14)^2*IF(Profiles_140!N35&gt;Simulator!$L$14,1+Model_Formula!$N$16,1)</x:f>
        <x:v>25</x:v>
      </x:c>
      <x:c r="J39" s="66" t="n">
        <x:f>Model_Formula!$M$17*(Profiles_140!O35-Simulator!$L$15)^2*IF(Profiles_140!O35&gt;Simulator!$L$15,1+Model_Formula!$N$17,1)</x:f>
        <x:v>2500</x:v>
      </x:c>
      <x:c r="K39" s="66" t="n">
        <x:f>Model_Formula!$M$18*(Profiles_140!P35-Simulator!$L$16)^2*IF(Profiles_140!P35&gt;Simulator!$L$16,1+Model_Formula!$N$18,1)</x:f>
        <x:v>22.5</x:v>
      </x:c>
      <x:c r="L39" s="66" t="n">
        <x:f>Model_Formula!$M$19*(Profiles_140!Q35-Simulator!$L$17)^2*IF(Profiles_140!Q35&gt;Simulator!$L$17,1+Model_Formula!$N$19,1)</x:f>
        <x:v>625</x:v>
      </x:c>
      <x:c r="M39" s="66" t="n">
        <x:f>Model_Formula!$M$20*(Profiles_140!R35-Simulator!$L$18)^2*IF(Profiles_140!R35&gt;Simulator!$L$18,1+Model_Formula!$N$20,1)</x:f>
        <x:v>2025</x:v>
      </x:c>
      <x:c r="N39" s="66" t="n">
        <x:f>Model_Formula!$M$21*(Profiles_140!S35-Simulator!$L$19)^2*IF(Profiles_140!S35&gt;Simulator!$L$19,1+Model_Formula!$N$21,1)</x:f>
        <x:v>2500</x:v>
      </x:c>
      <x:c r="O39" s="66" t="n">
        <x:f>Model_Formula!$M$22*(Profiles_140!T35-Simulator!$L$20)^2*IF(Profiles_140!T35&gt;Simulator!$L$20,1+Model_Formula!$N$22,1)</x:f>
        <x:v>225</x:v>
      </x:c>
      <x:c r="P39" s="66" t="n">
        <x:f>Model_Formula!$M$23*(Profiles_140!U35-Simulator!$L$21)^2*IF(Profiles_140!U35&gt;Simulator!$L$21,1+Model_Formula!$N$23,1)</x:f>
        <x:v>11.25</x:v>
      </x:c>
      <x:c r="Q39" s="66" t="n">
        <x:f>Model_Formula!$M$24*(Profiles_140!V35-Simulator!$L$22)^2*IF(Profiles_140!V35&gt;Simulator!$L$22,1+Model_Formula!$N$24,1)</x:f>
        <x:v>250</x:v>
      </x:c>
      <x:c r="R39" s="66" t="n">
        <x:f>Model_Formula!$M$25*(Profiles_140!W35-Simulator!$L$23)^2*IF(Profiles_140!W35&gt;Simulator!$L$23,1+Model_Formula!$N$25,1)</x:f>
        <x:v>281.25</x:v>
      </x:c>
      <x:c r="S39" s="66" t="n">
        <x:f>Model_Formula!$M$26*(Profiles_140!X35-Simulator!$L$24)^2*IF(Profiles_140!X35&gt;Simulator!$L$24,1+Model_Formula!$N$26,1)</x:f>
        <x:v>1336.5000000000002</x:v>
      </x:c>
      <x:c r="T39" s="66" t="n">
        <x:f>Model_Formula!$M$27*(Profiles_140!Y35-Simulator!$L$25)^2*IF(Profiles_140!Y35&gt;Simulator!$L$25,1+Model_Formula!$N$27,1)</x:f>
        <x:v>754.6874999999999</x:v>
      </x:c>
      <x:c r="U39" s="60" t="n">
        <x:f>SUM(F39:T39)/SUM($F$4:$T$4)</x:f>
        <x:v>1082.5513059701493</x:v>
      </x:c>
      <x:c r="V39" s="60" t="n">
        <x:f>SQRT(U39)</x:f>
        <x:v>32.90214743706176</x:v>
      </x:c>
      <x:c r="W39" s="60" t="n">
        <x:f>MAX(0,100-V39)</x:f>
        <x:v>67.09785256293824</x:v>
      </x:c>
      <x:c r="X39" s="60" t="n">
        <x:f>SUMPRODUCT(Profiles_140!K35:Y35,$F$4:$T$4)/SUM($F$4:$T$4)</x:f>
        <x:v>53.41417910447762</x:v>
      </x:c>
      <x:c r="Y39" s="60" t="n">
        <x:f>IFERROR(50+50*SUMPRODUCT(($F$3:$T$3-$X$3)*(Profiles_140!K35:Y35-X39),$F$4:$T$4)/SQRT(SUMPRODUCT(($F$3:$T$3-$X$3)^2,$F$4:$T$4)*SUMPRODUCT((Profiles_140!K35:Y35-X39)^2,$F$4:$T$4)),50)</x:f>
        <x:v>50.00000000000001</x:v>
      </x:c>
      <x:c r="Z39" s="60" t="n">
        <x:f>$Z$3</x:f>
        <x:v>3.9474596431116675e-16</x:v>
      </x:c>
      <x:c r="AA39" s="60" t="n">
        <x:f>W39*(1-Model_Formula!$F$8*Z39)+Y39*(Model_Formula!$F$8*Z39)</x:f>
        <x:v>67.09785256293824</x:v>
      </x:c>
      <x:c r="AB39" s="60" t="n">
        <x:f>SQRT(SUMPRODUCT((Profiles_140!K35:Y35-50)^2,$F$4:$T$4)/SUM($F$4:$T$4))</x:f>
        <x:v>32.39362614659515</x:v>
      </x:c>
      <x:c r="AC39" s="60" t="n">
        <x:f>MAX(-Model_Formula!$F$11,MIN(Model_Formula!$F$11,Model_Formula!$F$10*(AB39-AVERAGE($AB$6:$AB$135))))</x:f>
        <x:v>1.4654411151839086</x:v>
      </x:c>
      <x:c r="AD39" s="60" t="n">
        <x:f>MAX(0,MIN(100,AA39+AC39))</x:f>
        <x:v>68.56329367812215</x:v>
      </x:c>
      <x:c r="AE39" s="60" t="n">
        <x:f>MAX(0,MIN(1,IFERROR((MATCH(AD39,Percentile_Calibration!$F35:$DB35,1)-1)/100,0)))</x:f>
        <x:v>0.65</x:v>
      </x:c>
      <x:c r="AF39" s="62" t="n">
        <x:f>ROUND(MAX(Model_Formula!$I$9,Model_Formula!$I$5+Model_Formula!$I$6*POWER(AE39,Model_Formula!$I$7)),0)</x:f>
        <x:v>57</x:v>
      </x:c>
      <x:c r="AG39" t="n">
        <x:f>Profiles_140!AJ35</x:f>
        <x:v>0</x:v>
      </x:c>
      <x:c r="AH39" s="60" t="n">
        <x:f>Model_Formula!$I$8*(AE39*100)+(1-Model_Formula!$I$8)*AD39+AG39</x:f>
        <x:v>65.71265873562443</x:v>
      </x:c>
      <x:c r="AI39" t="n">
        <x:f>RANK.EQ(AH39,$AH$6:$AH$135,0)+COUNTIF($AH$6:AH39,AH39)-1</x:f>
        <x:v>113</x:v>
      </x:c>
    </x:row>
    <x:row r="40">
      <x:c r="A40" t="str">
        <x:f>Profiles_140!A36</x:f>
        <x:v>ラウドボーン</x:v>
      </x:c>
      <x:c r="B40" t="str">
        <x:f>Profiles_140!C36</x:f>
        <x:v>ラウドボーン-1</x:v>
      </x:c>
      <x:c r="C40" t="str">
        <x:f>Profiles_140!D36</x:f>
        <x:v>共通</x:v>
      </x:c>
      <x:c r="D40" t="str">
        <x:f>Profiles_140!B36</x:f>
        <x:v>アタック型</x:v>
      </x:c>
      <x:c r="E40" t="str">
        <x:f>Profiles_140!I36</x:f>
        <x:v>中</x:v>
      </x:c>
      <x:c r="F40" s="66" t="n">
        <x:f>Model_Formula!$M$13*(Profiles_140!K36-Simulator!$L$11)^2*IF(Profiles_140!K36&gt;Simulator!$L$11,1+Model_Formula!$N$13,1)</x:f>
        <x:v>1225</x:v>
      </x:c>
      <x:c r="G40" s="66" t="n">
        <x:f>Model_Formula!$M$14*(Profiles_140!L36-Simulator!$L$12)^2*IF(Profiles_140!L36&gt;Simulator!$L$12,1+Model_Formula!$N$14,1)</x:f>
        <x:v>2126.25</x:v>
      </x:c>
      <x:c r="H40" s="66" t="n">
        <x:f>Model_Formula!$M$15*(Profiles_140!M36-Simulator!$L$13)^2*IF(Profiles_140!M36&gt;Simulator!$L$13,1+Model_Formula!$N$15,1)</x:f>
        <x:v>1225</x:v>
      </x:c>
      <x:c r="I40" s="66" t="n">
        <x:f>Model_Formula!$M$16*(Profiles_140!N36-Simulator!$L$14)^2*IF(Profiles_140!N36&gt;Simulator!$L$14,1+Model_Formula!$N$16,1)</x:f>
        <x:v>2025</x:v>
      </x:c>
      <x:c r="J40" s="66" t="n">
        <x:f>Model_Formula!$M$17*(Profiles_140!O36-Simulator!$L$15)^2*IF(Profiles_140!O36&gt;Simulator!$L$15,1+Model_Formula!$N$17,1)</x:f>
        <x:v>2500</x:v>
      </x:c>
      <x:c r="K40" s="66" t="n">
        <x:f>Model_Formula!$M$18*(Profiles_140!P36-Simulator!$L$16)^2*IF(Profiles_140!P36&gt;Simulator!$L$16,1+Model_Formula!$N$18,1)</x:f>
        <x:v>1822.5</x:v>
      </x:c>
      <x:c r="L40" s="66" t="n">
        <x:f>Model_Formula!$M$19*(Profiles_140!Q36-Simulator!$L$17)^2*IF(Profiles_140!Q36&gt;Simulator!$L$17,1+Model_Formula!$N$19,1)</x:f>
        <x:v>25</x:v>
      </x:c>
      <x:c r="M40" s="66" t="n">
        <x:f>Model_Formula!$M$20*(Profiles_140!R36-Simulator!$L$18)^2*IF(Profiles_140!R36&gt;Simulator!$L$18,1+Model_Formula!$N$20,1)</x:f>
        <x:v>2025</x:v>
      </x:c>
      <x:c r="N40" s="66" t="n">
        <x:f>Model_Formula!$M$21*(Profiles_140!S36-Simulator!$L$19)^2*IF(Profiles_140!S36&gt;Simulator!$L$19,1+Model_Formula!$N$21,1)</x:f>
        <x:v>2500</x:v>
      </x:c>
      <x:c r="O40" s="66" t="n">
        <x:f>Model_Formula!$M$22*(Profiles_140!T36-Simulator!$L$20)^2*IF(Profiles_140!T36&gt;Simulator!$L$20,1+Model_Formula!$N$22,1)</x:f>
        <x:v>0</x:v>
      </x:c>
      <x:c r="P40" s="66" t="n">
        <x:f>Model_Formula!$M$23*(Profiles_140!U36-Simulator!$L$21)^2*IF(Profiles_140!U36&gt;Simulator!$L$21,1+Model_Formula!$N$23,1)</x:f>
        <x:v>45</x:v>
      </x:c>
      <x:c r="Q40" s="66" t="n">
        <x:f>Model_Formula!$M$24*(Profiles_140!V36-Simulator!$L$22)^2*IF(Profiles_140!V36&gt;Simulator!$L$22,1+Model_Formula!$N$24,1)</x:f>
        <x:v>360</x:v>
      </x:c>
      <x:c r="R40" s="66" t="n">
        <x:f>Model_Formula!$M$25*(Profiles_140!W36-Simulator!$L$23)^2*IF(Profiles_140!W36&gt;Simulator!$L$23,1+Model_Formula!$N$25,1)</x:f>
        <x:v>405</x:v>
      </x:c>
      <x:c r="S40" s="66" t="n">
        <x:f>Model_Formula!$M$26*(Profiles_140!X36-Simulator!$L$24)^2*IF(Profiles_140!X36&gt;Simulator!$L$24,1+Model_Formula!$N$26,1)</x:f>
        <x:v>1336.5000000000002</x:v>
      </x:c>
      <x:c r="T40" s="66" t="n">
        <x:f>Model_Formula!$M$27*(Profiles_140!Y36-Simulator!$L$25)^2*IF(Profiles_140!Y36&gt;Simulator!$L$25,1+Model_Formula!$N$27,1)</x:f>
        <x:v>1086.75</x:v>
      </x:c>
      <x:c r="U40" s="60" t="n">
        <x:f>SUM(F40:T40)/SUM($F$4:$T$4)</x:f>
        <x:v>1396.0447761194032</x:v>
      </x:c>
      <x:c r="V40" s="60" t="n">
        <x:f>SQRT(U40)</x:f>
        <x:v>37.363682582414214</x:v>
      </x:c>
      <x:c r="W40" s="60" t="n">
        <x:f>MAX(0,100-V40)</x:f>
        <x:v>62.636317417585786</x:v>
      </x:c>
      <x:c r="X40" s="60" t="n">
        <x:f>SUMPRODUCT(Profiles_140!K36:Y36,$F$4:$T$4)/SUM($F$4:$T$4)</x:f>
        <x:v>36.17537313432836</x:v>
      </x:c>
      <x:c r="Y40" s="60" t="n">
        <x:f>IFERROR(50+50*SUMPRODUCT(($F$3:$T$3-$X$3)*(Profiles_140!K36:Y36-X40),$F$4:$T$4)/SQRT(SUMPRODUCT(($F$3:$T$3-$X$3)^2,$F$4:$T$4)*SUMPRODUCT((Profiles_140!K36:Y36-X40)^2,$F$4:$T$4)),50)</x:f>
        <x:v>50</x:v>
      </x:c>
      <x:c r="Z40" s="60" t="n">
        <x:f>$Z$3</x:f>
        <x:v>3.9474596431116675e-16</x:v>
      </x:c>
      <x:c r="AA40" s="60" t="n">
        <x:f>W40*(1-Model_Formula!$F$8*Z40)+Y40*(Model_Formula!$F$8*Z40)</x:f>
        <x:v>62.636317417585786</x:v>
      </x:c>
      <x:c r="AB40" s="60" t="n">
        <x:f>SQRT(SUMPRODUCT((Profiles_140!K36:Y36-50)^2,$F$4:$T$4)/SUM($F$4:$T$4))</x:f>
        <x:v>36.87286548337712</x:v>
      </x:c>
      <x:c r="AC40" s="60" t="n">
        <x:f>MAX(-Model_Formula!$F$11,MIN(Model_Formula!$F$11,Model_Formula!$F$10*(AB40-AVERAGE($AB$6:$AB$135))))</x:f>
        <x:v>3.481098816735793</x:v>
      </x:c>
      <x:c r="AD40" s="60" t="n">
        <x:f>MAX(0,MIN(100,AA40+AC40))</x:f>
        <x:v>66.11741623432158</x:v>
      </x:c>
      <x:c r="AE40" s="60" t="n">
        <x:f>MAX(0,MIN(1,IFERROR((MATCH(AD40,Percentile_Calibration!$F36:$DB36,1)-1)/100,0)))</x:f>
        <x:v>0.7</x:v>
      </x:c>
      <x:c r="AF40" s="62" t="n">
        <x:f>ROUND(MAX(Model_Formula!$I$9,Model_Formula!$I$5+Model_Formula!$I$6*POWER(AE40,Model_Formula!$I$7)),0)</x:f>
        <x:v>61</x:v>
      </x:c>
      <x:c r="AG40" t="n">
        <x:f>Profiles_140!AJ36</x:f>
        <x:v>0</x:v>
      </x:c>
      <x:c r="AH40" s="60" t="n">
        <x:f>Model_Formula!$I$8*(AE40*100)+(1-Model_Formula!$I$8)*AD40+AG40</x:f>
        <x:v>69.22348324686432</x:v>
      </x:c>
      <x:c r="AI40" t="n">
        <x:f>RANK.EQ(AH40,$AH$6:$AH$135,0)+COUNTIF($AH$6:AH40,AH40)-1</x:f>
        <x:v>83</x:v>
      </x:c>
    </x:row>
    <x:row r="41">
      <x:c r="A41" t="str">
        <x:f>Profiles_140!A37</x:f>
        <x:v>ラティオス</x:v>
      </x:c>
      <x:c r="B41" t="str">
        <x:f>Profiles_140!C37</x:f>
        <x:v>ラティオス-1</x:v>
      </x:c>
      <x:c r="C41" t="str">
        <x:f>Profiles_140!D37</x:f>
        <x:v>共通</x:v>
      </x:c>
      <x:c r="D41" t="str">
        <x:f>Profiles_140!B37</x:f>
        <x:v>アタック型</x:v>
      </x:c>
      <x:c r="E41" t="str">
        <x:f>Profiles_140!I37</x:f>
        <x:v>高</x:v>
      </x:c>
      <x:c r="F41" s="66" t="n">
        <x:f>Model_Formula!$M$13*(Profiles_140!K37-Simulator!$L$11)^2*IF(Profiles_140!K37&gt;Simulator!$L$11,1+Model_Formula!$N$13,1)</x:f>
        <x:v>400</x:v>
      </x:c>
      <x:c r="G41" s="66" t="n">
        <x:f>Model_Formula!$M$14*(Profiles_140!L37-Simulator!$L$12)^2*IF(Profiles_140!L37&gt;Simulator!$L$12,1+Model_Formula!$N$14,1)</x:f>
        <x:v>2126.25</x:v>
      </x:c>
      <x:c r="H41" s="66" t="n">
        <x:f>Model_Formula!$M$15*(Profiles_140!M37-Simulator!$L$13)^2*IF(Profiles_140!M37&gt;Simulator!$L$13,1+Model_Formula!$N$15,1)</x:f>
        <x:v>225</x:v>
      </x:c>
      <x:c r="I41" s="66" t="n">
        <x:f>Model_Formula!$M$16*(Profiles_140!N37-Simulator!$L$14)^2*IF(Profiles_140!N37&gt;Simulator!$L$14,1+Model_Formula!$N$16,1)</x:f>
        <x:v>2500</x:v>
      </x:c>
      <x:c r="J41" s="66" t="n">
        <x:f>Model_Formula!$M$17*(Profiles_140!O37-Simulator!$L$15)^2*IF(Profiles_140!O37&gt;Simulator!$L$15,1+Model_Formula!$N$17,1)</x:f>
        <x:v>1600</x:v>
      </x:c>
      <x:c r="K41" s="66" t="n">
        <x:f>Model_Formula!$M$18*(Profiles_140!P37-Simulator!$L$16)^2*IF(Profiles_140!P37&gt;Simulator!$L$16,1+Model_Formula!$N$18,1)</x:f>
        <x:v>1440</x:v>
      </x:c>
      <x:c r="L41" s="66" t="n">
        <x:f>Model_Formula!$M$19*(Profiles_140!Q37-Simulator!$L$17)^2*IF(Profiles_140!Q37&gt;Simulator!$L$17,1+Model_Formula!$N$19,1)</x:f>
        <x:v>225</x:v>
      </x:c>
      <x:c r="M41" s="66" t="n">
        <x:f>Model_Formula!$M$20*(Profiles_140!R37-Simulator!$L$18)^2*IF(Profiles_140!R37&gt;Simulator!$L$18,1+Model_Formula!$N$20,1)</x:f>
        <x:v>1600</x:v>
      </x:c>
      <x:c r="N41" s="66" t="n">
        <x:f>Model_Formula!$M$21*(Profiles_140!S37-Simulator!$L$19)^2*IF(Profiles_140!S37&gt;Simulator!$L$19,1+Model_Formula!$N$21,1)</x:f>
        <x:v>100</x:v>
      </x:c>
      <x:c r="O41" s="66" t="n">
        <x:f>Model_Formula!$M$22*(Profiles_140!T37-Simulator!$L$20)^2*IF(Profiles_140!T37&gt;Simulator!$L$20,1+Model_Formula!$N$22,1)</x:f>
        <x:v>0</x:v>
      </x:c>
      <x:c r="P41" s="66" t="n">
        <x:f>Model_Formula!$M$23*(Profiles_140!U37-Simulator!$L$21)^2*IF(Profiles_140!U37&gt;Simulator!$L$21,1+Model_Formula!$N$23,1)</x:f>
        <x:v>101.25</x:v>
      </x:c>
      <x:c r="Q41" s="66" t="n">
        <x:f>Model_Formula!$M$24*(Profiles_140!V37-Simulator!$L$22)^2*IF(Profiles_140!V37&gt;Simulator!$L$22,1+Model_Formula!$N$24,1)</x:f>
        <x:v>40</x:v>
      </x:c>
      <x:c r="R41" s="66" t="n">
        <x:f>Model_Formula!$M$25*(Profiles_140!W37-Simulator!$L$23)^2*IF(Profiles_140!W37&gt;Simulator!$L$23,1+Model_Formula!$N$25,1)</x:f>
        <x:v>281.25</x:v>
      </x:c>
      <x:c r="S41" s="66" t="n">
        <x:f>Model_Formula!$M$26*(Profiles_140!X37-Simulator!$L$24)^2*IF(Profiles_140!X37&gt;Simulator!$L$24,1+Model_Formula!$N$26,1)</x:f>
        <x:v>148.50000000000003</x:v>
      </x:c>
      <x:c r="T41" s="66" t="n">
        <x:f>Model_Formula!$M$27*(Profiles_140!Y37-Simulator!$L$25)^2*IF(Profiles_140!Y37&gt;Simulator!$L$25,1+Model_Formula!$N$27,1)</x:f>
        <x:v>482.99999999999994</x:v>
      </x:c>
      <x:c r="U41" s="60" t="n">
        <x:f>SUM(F41:T41)/SUM($F$4:$T$4)</x:f>
        <x:v>841.063432835821</x:v>
      </x:c>
      <x:c r="V41" s="60" t="n">
        <x:f>SQRT(U41)</x:f>
        <x:v>29.00109364896126</x:v>
      </x:c>
      <x:c r="W41" s="60" t="n">
        <x:f>MAX(0,100-V41)</x:f>
        <x:v>70.99890635103874</x:v>
      </x:c>
      <x:c r="X41" s="60" t="n">
        <x:f>SUMPRODUCT(Profiles_140!K37:Y37,$F$4:$T$4)/SUM($F$4:$T$4)</x:f>
        <x:v>40.1679104477612</x:v>
      </x:c>
      <x:c r="Y41" s="60" t="n">
        <x:f>IFERROR(50+50*SUMPRODUCT(($F$3:$T$3-$X$3)*(Profiles_140!K37:Y37-X41),$F$4:$T$4)/SQRT(SUMPRODUCT(($F$3:$T$3-$X$3)^2,$F$4:$T$4)*SUMPRODUCT((Profiles_140!K37:Y37-X41)^2,$F$4:$T$4)),50)</x:f>
        <x:v>50.000000000000014</x:v>
      </x:c>
      <x:c r="Z41" s="60" t="n">
        <x:f>$Z$3</x:f>
        <x:v>3.9474596431116675e-16</x:v>
      </x:c>
      <x:c r="AA41" s="60" t="n">
        <x:f>W41*(1-Model_Formula!$F$8*Z41)+Y41*(Model_Formula!$F$8*Z41)</x:f>
        <x:v>70.99890635103874</x:v>
      </x:c>
      <x:c r="AB41" s="60" t="n">
        <x:f>SQRT(SUMPRODUCT((Profiles_140!K37:Y37-50)^2,$F$4:$T$4)/SUM($F$4:$T$4))</x:f>
        <x:v>28.870206198954474</x:v>
      </x:c>
      <x:c r="AC41" s="60" t="n">
        <x:f>MAX(-Model_Formula!$F$11,MIN(Model_Formula!$F$11,Model_Formula!$F$10*(AB41-AVERAGE($AB$6:$AB$135))))</x:f>
        <x:v>-0.12009786125439721</x:v>
      </x:c>
      <x:c r="AD41" s="60" t="n">
        <x:f>MAX(0,MIN(100,AA41+AC41))</x:f>
        <x:v>70.87880848978435</x:v>
      </x:c>
      <x:c r="AE41" s="60" t="n">
        <x:f>MAX(0,MIN(1,IFERROR((MATCH(AD41,Percentile_Calibration!$F37:$DB37,1)-1)/100,0)))</x:f>
        <x:v>0.83</x:v>
      </x:c>
      <x:c r="AF41" s="62" t="n">
        <x:f>ROUND(MAX(Model_Formula!$I$9,Model_Formula!$I$5+Model_Formula!$I$6*POWER(AE41,Model_Formula!$I$7)),0)</x:f>
        <x:v>73</x:v>
      </x:c>
      <x:c r="AG41" t="n">
        <x:f>Profiles_140!AJ37</x:f>
        <x:v>0</x:v>
      </x:c>
      <x:c r="AH41" s="60" t="n">
        <x:f>Model_Formula!$I$8*(AE41*100)+(1-Model_Formula!$I$8)*AD41+AG41</x:f>
        <x:v>80.57576169795688</x:v>
      </x:c>
      <x:c r="AI41" t="n">
        <x:f>RANK.EQ(AH41,$AH$6:$AH$135,0)+COUNTIF($AH$6:AH41,AH41)-1</x:f>
        <x:v>33</x:v>
      </x:c>
    </x:row>
    <x:row r="42">
      <x:c r="A42" t="str">
        <x:f>Profiles_140!A38</x:f>
        <x:v>レシラム</x:v>
      </x:c>
      <x:c r="B42" t="str">
        <x:f>Profiles_140!C38</x:f>
        <x:v>レシラム-1</x:v>
      </x:c>
      <x:c r="C42" t="str">
        <x:f>Profiles_140!D38</x:f>
        <x:v>共通</x:v>
      </x:c>
      <x:c r="D42" t="str">
        <x:f>Profiles_140!B38</x:f>
        <x:v>アタック型</x:v>
      </x:c>
      <x:c r="E42" t="str">
        <x:f>Profiles_140!I38</x:f>
        <x:v>低</x:v>
      </x:c>
      <x:c r="F42" s="66" t="n">
        <x:f>Model_Formula!$M$13*(Profiles_140!K38-Simulator!$L$11)^2*IF(Profiles_140!K38&gt;Simulator!$L$11,1+Model_Formula!$N$13,1)</x:f>
        <x:v>0</x:v>
      </x:c>
      <x:c r="G42" s="66" t="n">
        <x:f>Model_Formula!$M$14*(Profiles_140!L38-Simulator!$L$12)^2*IF(Profiles_140!L38&gt;Simulator!$L$12,1+Model_Formula!$N$14,1)</x:f>
        <x:v>236.25</x:v>
      </x:c>
      <x:c r="H42" s="66" t="n">
        <x:f>Model_Formula!$M$15*(Profiles_140!M38-Simulator!$L$13)^2*IF(Profiles_140!M38&gt;Simulator!$L$13,1+Model_Formula!$N$15,1)</x:f>
        <x:v>400</x:v>
      </x:c>
      <x:c r="I42" s="66" t="n">
        <x:f>Model_Formula!$M$16*(Profiles_140!N38-Simulator!$L$14)^2*IF(Profiles_140!N38&gt;Simulator!$L$14,1+Model_Formula!$N$16,1)</x:f>
        <x:v>400</x:v>
      </x:c>
      <x:c r="J42" s="66" t="n">
        <x:f>Model_Formula!$M$17*(Profiles_140!O38-Simulator!$L$15)^2*IF(Profiles_140!O38&gt;Simulator!$L$15,1+Model_Formula!$N$17,1)</x:f>
        <x:v>225</x:v>
      </x:c>
      <x:c r="K42" s="66" t="n">
        <x:f>Model_Formula!$M$18*(Profiles_140!P38-Simulator!$L$16)^2*IF(Profiles_140!P38&gt;Simulator!$L$16,1+Model_Formula!$N$18,1)</x:f>
        <x:v>360</x:v>
      </x:c>
      <x:c r="L42" s="66" t="n">
        <x:f>Model_Formula!$M$19*(Profiles_140!Q38-Simulator!$L$17)^2*IF(Profiles_140!Q38&gt;Simulator!$L$17,1+Model_Formula!$N$19,1)</x:f>
        <x:v>0</x:v>
      </x:c>
      <x:c r="M42" s="66" t="n">
        <x:f>Model_Formula!$M$20*(Profiles_140!R38-Simulator!$L$18)^2*IF(Profiles_140!R38&gt;Simulator!$L$18,1+Model_Formula!$N$20,1)</x:f>
        <x:v>1600</x:v>
      </x:c>
      <x:c r="N42" s="66" t="n">
        <x:f>Model_Formula!$M$21*(Profiles_140!S38-Simulator!$L$19)^2*IF(Profiles_140!S38&gt;Simulator!$L$19,1+Model_Formula!$N$21,1)</x:f>
        <x:v>0</x:v>
      </x:c>
      <x:c r="O42" s="66" t="n">
        <x:f>Model_Formula!$M$22*(Profiles_140!T38-Simulator!$L$20)^2*IF(Profiles_140!T38&gt;Simulator!$L$20,1+Model_Formula!$N$22,1)</x:f>
        <x:v>100</x:v>
      </x:c>
      <x:c r="P42" s="66" t="n">
        <x:f>Model_Formula!$M$23*(Profiles_140!U38-Simulator!$L$21)^2*IF(Profiles_140!U38&gt;Simulator!$L$21,1+Model_Formula!$N$23,1)</x:f>
        <x:v>180</x:v>
      </x:c>
      <x:c r="Q42" s="66" t="n">
        <x:f>Model_Formula!$M$24*(Profiles_140!V38-Simulator!$L$22)^2*IF(Profiles_140!V38&gt;Simulator!$L$22,1+Model_Formula!$N$24,1)</x:f>
        <x:v>90</x:v>
      </x:c>
      <x:c r="R42" s="66" t="n">
        <x:f>Model_Formula!$M$25*(Profiles_140!W38-Simulator!$L$23)^2*IF(Profiles_140!W38&gt;Simulator!$L$23,1+Model_Formula!$N$25,1)</x:f>
        <x:v>11.25</x:v>
      </x:c>
      <x:c r="S42" s="66" t="n">
        <x:f>Model_Formula!$M$26*(Profiles_140!X38-Simulator!$L$24)^2*IF(Profiles_140!X38&gt;Simulator!$L$24,1+Model_Formula!$N$26,1)</x:f>
        <x:v>148.50000000000003</x:v>
      </x:c>
      <x:c r="T42" s="66" t="n">
        <x:f>Model_Formula!$M$27*(Profiles_140!Y38-Simulator!$L$25)^2*IF(Profiles_140!Y38&gt;Simulator!$L$25,1+Model_Formula!$N$27,1)</x:f>
        <x:v>271.6875</x:v>
      </x:c>
      <x:c r="U42" s="60" t="n">
        <x:f>SUM(F42:T42)/SUM($F$4:$T$4)</x:f>
        <x:v>300.2005597014926</x:v>
      </x:c>
      <x:c r="V42" s="60" t="n">
        <x:f>SQRT(U42)</x:f>
        <x:v>17.32629676825064</x:v>
      </x:c>
      <x:c r="W42" s="60" t="n">
        <x:f>MAX(0,100-V42)</x:f>
        <x:v>82.67370323174936</x:v>
      </x:c>
      <x:c r="X42" s="60" t="n">
        <x:f>SUMPRODUCT(Profiles_140!K38:Y38,$F$4:$T$4)/SUM($F$4:$T$4)</x:f>
        <x:v>49.01119402985075</x:v>
      </x:c>
      <x:c r="Y42" s="60" t="n">
        <x:f>IFERROR(50+50*SUMPRODUCT(($F$3:$T$3-$X$3)*(Profiles_140!K38:Y38-X42),$F$4:$T$4)/SQRT(SUMPRODUCT(($F$3:$T$3-$X$3)^2,$F$4:$T$4)*SUMPRODUCT((Profiles_140!K38:Y38-X42)^2,$F$4:$T$4)),50)</x:f>
        <x:v>50.00000000000001</x:v>
      </x:c>
      <x:c r="Z42" s="60" t="n">
        <x:f>$Z$3</x:f>
        <x:v>3.9474596431116675e-16</x:v>
      </x:c>
      <x:c r="AA42" s="60" t="n">
        <x:f>W42*(1-Model_Formula!$F$8*Z42)+Y42*(Model_Formula!$F$8*Z42)</x:f>
        <x:v>82.67370323174936</x:v>
      </x:c>
      <x:c r="AB42" s="60" t="n">
        <x:f>SQRT(SUMPRODUCT((Profiles_140!K38:Y38-50)^2,$F$4:$T$4)/SUM($F$4:$T$4))</x:f>
        <x:v>17.16632854808784</x:v>
      </x:c>
      <x:c r="AC42" s="60" t="n">
        <x:f>MAX(-Model_Formula!$F$11,MIN(Model_Formula!$F$11,Model_Formula!$F$10*(AB42-AVERAGE($AB$6:$AB$135))))</x:f>
        <x:v>-5</x:v>
      </x:c>
      <x:c r="AD42" s="60" t="n">
        <x:f>MAX(0,MIN(100,AA42+AC42))</x:f>
        <x:v>77.67370323174936</x:v>
      </x:c>
      <x:c r="AE42" s="60" t="n">
        <x:f>MAX(0,MIN(1,IFERROR((MATCH(AD42,Percentile_Calibration!$F38:$DB38,1)-1)/100,0)))</x:f>
        <x:v>0.87</x:v>
      </x:c>
      <x:c r="AF42" s="62" t="n">
        <x:f>ROUND(MAX(Model_Formula!$I$9,Model_Formula!$I$5+Model_Formula!$I$6*POWER(AE42,Model_Formula!$I$7)),0)</x:f>
        <x:v>78</x:v>
      </x:c>
      <x:c r="AG42" t="n">
        <x:f>Profiles_140!AJ38</x:f>
        <x:v>0</x:v>
      </x:c>
      <x:c r="AH42" s="60" t="n">
        <x:f>Model_Formula!$I$8*(AE42*100)+(1-Model_Formula!$I$8)*AD42+AG42</x:f>
        <x:v>85.13474064634988</x:v>
      </x:c>
      <x:c r="AI42" t="n">
        <x:f>RANK.EQ(AH42,$AH$6:$AH$135,0)+COUNTIF($AH$6:AH42,AH42)-1</x:f>
        <x:v>13</x:v>
      </x:c>
    </x:row>
    <x:row r="43">
      <x:c r="A43" t="str">
        <x:f>Profiles_140!A39</x:f>
        <x:v>ストリンダー</x:v>
      </x:c>
      <x:c r="B43" t="str">
        <x:f>Profiles_140!C39</x:f>
        <x:v>ストリンダー-1</x:v>
      </x:c>
      <x:c r="C43" t="str">
        <x:f>Profiles_140!D39</x:f>
        <x:v>共通</x:v>
      </x:c>
      <x:c r="D43" t="str">
        <x:f>Profiles_140!B39</x:f>
        <x:v>アタック型</x:v>
      </x:c>
      <x:c r="E43" t="str">
        <x:f>Profiles_140!I39</x:f>
        <x:v>低</x:v>
      </x:c>
      <x:c r="F43" s="66" t="n">
        <x:f>Model_Formula!$M$13*(Profiles_140!K39-Simulator!$L$11)^2*IF(Profiles_140!K39&gt;Simulator!$L$11,1+Model_Formula!$N$13,1)</x:f>
        <x:v>400</x:v>
      </x:c>
      <x:c r="G43" s="66" t="n">
        <x:f>Model_Formula!$M$14*(Profiles_140!L39-Simulator!$L$12)^2*IF(Profiles_140!L39&gt;Simulator!$L$12,1+Model_Formula!$N$14,1)</x:f>
        <x:v>945</x:v>
      </x:c>
      <x:c r="H43" s="66" t="n">
        <x:f>Model_Formula!$M$15*(Profiles_140!M39-Simulator!$L$13)^2*IF(Profiles_140!M39&gt;Simulator!$L$13,1+Model_Formula!$N$15,1)</x:f>
        <x:v>1600</x:v>
      </x:c>
      <x:c r="I43" s="66" t="n">
        <x:f>Model_Formula!$M$16*(Profiles_140!N39-Simulator!$L$14)^2*IF(Profiles_140!N39&gt;Simulator!$L$14,1+Model_Formula!$N$16,1)</x:f>
        <x:v>1600</x:v>
      </x:c>
      <x:c r="J43" s="66" t="n">
        <x:f>Model_Formula!$M$17*(Profiles_140!O39-Simulator!$L$15)^2*IF(Profiles_140!O39&gt;Simulator!$L$15,1+Model_Formula!$N$17,1)</x:f>
        <x:v>625</x:v>
      </x:c>
      <x:c r="K43" s="66" t="n">
        <x:f>Model_Formula!$M$18*(Profiles_140!P39-Simulator!$L$16)^2*IF(Profiles_140!P39&gt;Simulator!$L$16,1+Model_Formula!$N$18,1)</x:f>
        <x:v>810</x:v>
      </x:c>
      <x:c r="L43" s="66" t="n">
        <x:f>Model_Formula!$M$19*(Profiles_140!Q39-Simulator!$L$17)^2*IF(Profiles_140!Q39&gt;Simulator!$L$17,1+Model_Formula!$N$19,1)</x:f>
        <x:v>400</x:v>
      </x:c>
      <x:c r="M43" s="66" t="n">
        <x:f>Model_Formula!$M$20*(Profiles_140!R39-Simulator!$L$18)^2*IF(Profiles_140!R39&gt;Simulator!$L$18,1+Model_Formula!$N$20,1)</x:f>
        <x:v>2025</x:v>
      </x:c>
      <x:c r="N43" s="66" t="n">
        <x:f>Model_Formula!$M$21*(Profiles_140!S39-Simulator!$L$19)^2*IF(Profiles_140!S39&gt;Simulator!$L$19,1+Model_Formula!$N$21,1)</x:f>
        <x:v>0</x:v>
      </x:c>
      <x:c r="O43" s="66" t="n">
        <x:f>Model_Formula!$M$22*(Profiles_140!T39-Simulator!$L$20)^2*IF(Profiles_140!T39&gt;Simulator!$L$20,1+Model_Formula!$N$22,1)</x:f>
        <x:v>25</x:v>
      </x:c>
      <x:c r="P43" s="66" t="n">
        <x:f>Model_Formula!$M$23*(Profiles_140!U39-Simulator!$L$21)^2*IF(Profiles_140!U39&gt;Simulator!$L$21,1+Model_Formula!$N$23,1)</x:f>
        <x:v>281.25</x:v>
      </x:c>
      <x:c r="Q43" s="66" t="n">
        <x:f>Model_Formula!$M$24*(Profiles_140!V39-Simulator!$L$22)^2*IF(Profiles_140!V39&gt;Simulator!$L$22,1+Model_Formula!$N$24,1)</x:f>
        <x:v>490</x:v>
      </x:c>
      <x:c r="R43" s="66" t="n">
        <x:f>Model_Formula!$M$25*(Profiles_140!W39-Simulator!$L$23)^2*IF(Profiles_140!W39&gt;Simulator!$L$23,1+Model_Formula!$N$25,1)</x:f>
        <x:v>11.25</x:v>
      </x:c>
      <x:c r="S43" s="66" t="n">
        <x:f>Model_Formula!$M$26*(Profiles_140!X39-Simulator!$L$24)^2*IF(Profiles_140!X39&gt;Simulator!$L$24,1+Model_Formula!$N$26,1)</x:f>
        <x:v>334.12500000000006</x:v>
      </x:c>
      <x:c r="T43" s="66" t="n">
        <x:f>Model_Formula!$M$27*(Profiles_140!Y39-Simulator!$L$25)^2*IF(Profiles_140!Y39&gt;Simulator!$L$25,1+Model_Formula!$N$27,1)</x:f>
        <x:v>754.6874999999999</x:v>
      </x:c>
      <x:c r="U43" s="60" t="n">
        <x:f>SUM(F43:T43)/SUM($F$4:$T$4)</x:f>
        <x:v>768.7546641791046</x:v>
      </x:c>
      <x:c r="V43" s="60" t="n">
        <x:f>SQRT(U43)</x:f>
        <x:v>27.726425376869347</x:v>
      </x:c>
      <x:c r="W43" s="60" t="n">
        <x:f>MAX(0,100-V43)</x:f>
        <x:v>72.27357462313066</x:v>
      </x:c>
      <x:c r="X43" s="60" t="n">
        <x:f>SUMPRODUCT(Profiles_140!K39:Y39,$F$4:$T$4)/SUM($F$4:$T$4)</x:f>
        <x:v>44.83208955223881</x:v>
      </x:c>
      <x:c r="Y43" s="60" t="n">
        <x:f>IFERROR(50+50*SUMPRODUCT(($F$3:$T$3-$X$3)*(Profiles_140!K39:Y39-X43),$F$4:$T$4)/SQRT(SUMPRODUCT(($F$3:$T$3-$X$3)^2,$F$4:$T$4)*SUMPRODUCT((Profiles_140!K39:Y39-X43)^2,$F$4:$T$4)),50)</x:f>
        <x:v>50.00000000000001</x:v>
      </x:c>
      <x:c r="Z43" s="60" t="n">
        <x:f>$Z$3</x:f>
        <x:v>3.9474596431116675e-16</x:v>
      </x:c>
      <x:c r="AA43" s="60" t="n">
        <x:f>W43*(1-Model_Formula!$F$8*Z43)+Y43*(Model_Formula!$F$8*Z43)</x:f>
        <x:v>72.27357462313066</x:v>
      </x:c>
      <x:c r="AB43" s="60" t="n">
        <x:f>SQRT(SUMPRODUCT((Profiles_140!K39:Y39-50)^2,$F$4:$T$4)/SUM($F$4:$T$4))</x:f>
        <x:v>27.476244828046397</x:v>
      </x:c>
      <x:c r="AC43" s="60" t="n">
        <x:f>MAX(-Model_Formula!$F$11,MIN(Model_Formula!$F$11,Model_Formula!$F$10*(AB43-AVERAGE($AB$6:$AB$135))))</x:f>
        <x:v>-0.7473804781630318</x:v>
      </x:c>
      <x:c r="AD43" s="60" t="n">
        <x:f>MAX(0,MIN(100,AA43+AC43))</x:f>
        <x:v>71.52619414496762</x:v>
      </x:c>
      <x:c r="AE43" s="60" t="n">
        <x:f>MAX(0,MIN(1,IFERROR((MATCH(AD43,Percentile_Calibration!$F39:$DB39,1)-1)/100,0)))</x:f>
        <x:v>0.74</x:v>
      </x:c>
      <x:c r="AF43" s="62" t="n">
        <x:f>ROUND(MAX(Model_Formula!$I$9,Model_Formula!$I$5+Model_Formula!$I$6*POWER(AE43,Model_Formula!$I$7)),0)</x:f>
        <x:v>64</x:v>
      </x:c>
      <x:c r="AG43" t="n">
        <x:f>Profiles_140!AJ39</x:f>
        <x:v>0</x:v>
      </x:c>
      <x:c r="AH43" s="60" t="n">
        <x:f>Model_Formula!$I$8*(AE43*100)+(1-Model_Formula!$I$8)*AD43+AG43</x:f>
        <x:v>73.50523882899353</x:v>
      </x:c>
      <x:c r="AI43" t="n">
        <x:f>RANK.EQ(AH43,$AH$6:$AH$135,0)+COUNTIF($AH$6:AH43,AH43)-1</x:f>
        <x:v>60</x:v>
      </x:c>
    </x:row>
    <x:row r="44">
      <x:c r="A44" t="str">
        <x:f>Profiles_140!A40</x:f>
        <x:v>アマージョ</x:v>
      </x:c>
      <x:c r="B44" t="str">
        <x:f>Profiles_140!C40</x:f>
        <x:v>アマージョ-1</x:v>
      </x:c>
      <x:c r="C44" t="str">
        <x:f>Profiles_140!D40</x:f>
        <x:v>共通</x:v>
      </x:c>
      <x:c r="D44" t="str">
        <x:f>Profiles_140!B40</x:f>
        <x:v>バランス型</x:v>
      </x:c>
      <x:c r="E44" t="str">
        <x:f>Profiles_140!I40</x:f>
        <x:v>高</x:v>
      </x:c>
      <x:c r="F44" s="66" t="n">
        <x:f>Model_Formula!$M$13*(Profiles_140!K40-Simulator!$L$11)^2*IF(Profiles_140!K40&gt;Simulator!$L$11,1+Model_Formula!$N$13,1)</x:f>
        <x:v>100</x:v>
      </x:c>
      <x:c r="G44" s="66" t="n">
        <x:f>Model_Formula!$M$14*(Profiles_140!L40-Simulator!$L$12)^2*IF(Profiles_140!L40&gt;Simulator!$L$12,1+Model_Formula!$N$14,1)</x:f>
        <x:v>945</x:v>
      </x:c>
      <x:c r="H44" s="66" t="n">
        <x:f>Model_Formula!$M$15*(Profiles_140!M40-Simulator!$L$13)^2*IF(Profiles_140!M40&gt;Simulator!$L$13,1+Model_Formula!$N$15,1)</x:f>
        <x:v>625</x:v>
      </x:c>
      <x:c r="I44" s="66" t="n">
        <x:f>Model_Formula!$M$16*(Profiles_140!N40-Simulator!$L$14)^2*IF(Profiles_140!N40&gt;Simulator!$L$14,1+Model_Formula!$N$16,1)</x:f>
        <x:v>625</x:v>
      </x:c>
      <x:c r="J44" s="66" t="n">
        <x:f>Model_Formula!$M$17*(Profiles_140!O40-Simulator!$L$15)^2*IF(Profiles_140!O40&gt;Simulator!$L$15,1+Model_Formula!$N$17,1)</x:f>
        <x:v>900</x:v>
      </x:c>
      <x:c r="K44" s="66" t="n">
        <x:f>Model_Formula!$M$18*(Profiles_140!P40-Simulator!$L$16)^2*IF(Profiles_140!P40&gt;Simulator!$L$16,1+Model_Formula!$N$18,1)</x:f>
        <x:v>360</x:v>
      </x:c>
      <x:c r="L44" s="66" t="n">
        <x:f>Model_Formula!$M$19*(Profiles_140!Q40-Simulator!$L$17)^2*IF(Profiles_140!Q40&gt;Simulator!$L$17,1+Model_Formula!$N$19,1)</x:f>
        <x:v>400</x:v>
      </x:c>
      <x:c r="M44" s="66" t="n">
        <x:f>Model_Formula!$M$20*(Profiles_140!R40-Simulator!$L$18)^2*IF(Profiles_140!R40&gt;Simulator!$L$18,1+Model_Formula!$N$20,1)</x:f>
        <x:v>2025</x:v>
      </x:c>
      <x:c r="N44" s="66" t="n">
        <x:f>Model_Formula!$M$21*(Profiles_140!S40-Simulator!$L$19)^2*IF(Profiles_140!S40&gt;Simulator!$L$19,1+Model_Formula!$N$21,1)</x:f>
        <x:v>1600</x:v>
      </x:c>
      <x:c r="O44" s="66" t="n">
        <x:f>Model_Formula!$M$22*(Profiles_140!T40-Simulator!$L$20)^2*IF(Profiles_140!T40&gt;Simulator!$L$20,1+Model_Formula!$N$22,1)</x:f>
        <x:v>900</x:v>
      </x:c>
      <x:c r="P44" s="66" t="n">
        <x:f>Model_Formula!$M$23*(Profiles_140!U40-Simulator!$L$21)^2*IF(Profiles_140!U40&gt;Simulator!$L$21,1+Model_Formula!$N$23,1)</x:f>
        <x:v>180</x:v>
      </x:c>
      <x:c r="Q44" s="66" t="n">
        <x:f>Model_Formula!$M$24*(Profiles_140!V40-Simulator!$L$22)^2*IF(Profiles_140!V40&gt;Simulator!$L$22,1+Model_Formula!$N$24,1)</x:f>
        <x:v>90</x:v>
      </x:c>
      <x:c r="R44" s="66" t="n">
        <x:f>Model_Formula!$M$25*(Profiles_140!W40-Simulator!$L$23)^2*IF(Profiles_140!W40&gt;Simulator!$L$23,1+Model_Formula!$N$25,1)</x:f>
        <x:v>101.25</x:v>
      </x:c>
      <x:c r="S44" s="66" t="n">
        <x:f>Model_Formula!$M$26*(Profiles_140!X40-Simulator!$L$24)^2*IF(Profiles_140!X40&gt;Simulator!$L$24,1+Model_Formula!$N$26,1)</x:f>
        <x:v>1819.1250000000002</x:v>
      </x:c>
      <x:c r="T44" s="66" t="n">
        <x:f>Model_Formula!$M$27*(Profiles_140!Y40-Simulator!$L$25)^2*IF(Profiles_140!Y40&gt;Simulator!$L$25,1+Model_Formula!$N$27,1)</x:f>
        <x:v>271.6875</x:v>
      </x:c>
      <x:c r="U44" s="60" t="n">
        <x:f>SUM(F44:T44)/SUM($F$4:$T$4)</x:f>
        <x:v>816.571828358209</x:v>
      </x:c>
      <x:c r="V44" s="60" t="n">
        <x:f>SQRT(U44)</x:f>
        <x:v>28.575720959552516</x:v>
      </x:c>
      <x:c r="W44" s="60" t="n">
        <x:f>MAX(0,100-V44)</x:f>
        <x:v>71.42427904044749</x:v>
      </x:c>
      <x:c r="X44" s="60" t="n">
        <x:f>SUMPRODUCT(Profiles_140!K40:Y40,$F$4:$T$4)/SUM($F$4:$T$4)</x:f>
        <x:v>58.246268656716424</x:v>
      </x:c>
      <x:c r="Y44" s="60" t="n">
        <x:f>IFERROR(50+50*SUMPRODUCT(($F$3:$T$3-$X$3)*(Profiles_140!K40:Y40-X44),$F$4:$T$4)/SQRT(SUMPRODUCT(($F$3:$T$3-$X$3)^2,$F$4:$T$4)*SUMPRODUCT((Profiles_140!K40:Y40-X44)^2,$F$4:$T$4)),50)</x:f>
        <x:v>50.000000000000014</x:v>
      </x:c>
      <x:c r="Z44" s="60" t="n">
        <x:f>$Z$3</x:f>
        <x:v>3.9474596431116675e-16</x:v>
      </x:c>
      <x:c r="AA44" s="60" t="n">
        <x:f>W44*(1-Model_Formula!$F$8*Z44)+Y44*(Model_Formula!$F$8*Z44)</x:f>
        <x:v>71.42427904044749</x:v>
      </x:c>
      <x:c r="AB44" s="60" t="n">
        <x:f>SQRT(SUMPRODUCT((Profiles_140!K40:Y40-50)^2,$F$4:$T$4)/SUM($F$4:$T$4))</x:f>
        <x:v>27.905758245988984</x:v>
      </x:c>
      <x:c r="AC44" s="60" t="n">
        <x:f>MAX(-Model_Formula!$F$11,MIN(Model_Formula!$F$11,Model_Formula!$F$10*(AB44-AVERAGE($AB$6:$AB$135))))</x:f>
        <x:v>-0.5540994400888675</x:v>
      </x:c>
      <x:c r="AD44" s="60" t="n">
        <x:f>MAX(0,MIN(100,AA44+AC44))</x:f>
        <x:v>70.87017960035863</x:v>
      </x:c>
      <x:c r="AE44" s="60" t="n">
        <x:f>MAX(0,MIN(1,IFERROR((MATCH(AD44,Percentile_Calibration!$F40:$DB40,1)-1)/100,0)))</x:f>
        <x:v>0.68</x:v>
      </x:c>
      <x:c r="AF44" s="62" t="n">
        <x:f>ROUND(MAX(Model_Formula!$I$9,Model_Formula!$I$5+Model_Formula!$I$6*POWER(AE44,Model_Formula!$I$7)),0)</x:f>
        <x:v>59</x:v>
      </x:c>
      <x:c r="AG44" t="n">
        <x:f>Profiles_140!AJ40</x:f>
        <x:v>0</x:v>
      </x:c>
      <x:c r="AH44" s="60" t="n">
        <x:f>Model_Formula!$I$8*(AE44*100)+(1-Model_Formula!$I$8)*AD44+AG44</x:f>
        <x:v>68.57403592007172</x:v>
      </x:c>
      <x:c r="AI44" t="n">
        <x:f>RANK.EQ(AH44,$AH$6:$AH$135,0)+COUNTIF($AH$6:AH44,AH44)-1</x:f>
        <x:v>87</x:v>
      </x:c>
    </x:row>
    <x:row r="45">
      <x:c r="A45" t="str">
        <x:f>Profiles_140!A41</x:f>
        <x:v>ウェーニバル</x:v>
      </x:c>
      <x:c r="B45" t="str">
        <x:f>Profiles_140!C41</x:f>
        <x:v>ウェーニバル-1</x:v>
      </x:c>
      <x:c r="C45" t="str">
        <x:f>Profiles_140!D41</x:f>
        <x:v>共通</x:v>
      </x:c>
      <x:c r="D45" t="str">
        <x:f>Profiles_140!B41</x:f>
        <x:v>バランス型</x:v>
      </x:c>
      <x:c r="E45" t="str">
        <x:f>Profiles_140!I41</x:f>
        <x:v>中</x:v>
      </x:c>
      <x:c r="F45" s="66" t="n">
        <x:f>Model_Formula!$M$13*(Profiles_140!K41-Simulator!$L$11)^2*IF(Profiles_140!K41&gt;Simulator!$L$11,1+Model_Formula!$N$13,1)</x:f>
        <x:v>100</x:v>
      </x:c>
      <x:c r="G45" s="66" t="n">
        <x:f>Model_Formula!$M$14*(Profiles_140!L41-Simulator!$L$12)^2*IF(Profiles_140!L41&gt;Simulator!$L$12,1+Model_Formula!$N$14,1)</x:f>
        <x:v>945</x:v>
      </x:c>
      <x:c r="H45" s="66" t="n">
        <x:f>Model_Formula!$M$15*(Profiles_140!M41-Simulator!$L$13)^2*IF(Profiles_140!M41&gt;Simulator!$L$13,1+Model_Formula!$N$15,1)</x:f>
        <x:v>625</x:v>
      </x:c>
      <x:c r="I45" s="66" t="n">
        <x:f>Model_Formula!$M$16*(Profiles_140!N41-Simulator!$L$14)^2*IF(Profiles_140!N41&gt;Simulator!$L$14,1+Model_Formula!$N$16,1)</x:f>
        <x:v>625</x:v>
      </x:c>
      <x:c r="J45" s="66" t="n">
        <x:f>Model_Formula!$M$17*(Profiles_140!O41-Simulator!$L$15)^2*IF(Profiles_140!O41&gt;Simulator!$L$15,1+Model_Formula!$N$17,1)</x:f>
        <x:v>900</x:v>
      </x:c>
      <x:c r="K45" s="66" t="n">
        <x:f>Model_Formula!$M$18*(Profiles_140!P41-Simulator!$L$16)^2*IF(Profiles_140!P41&gt;Simulator!$L$16,1+Model_Formula!$N$18,1)</x:f>
        <x:v>1440</x:v>
      </x:c>
      <x:c r="L45" s="66" t="n">
        <x:f>Model_Formula!$M$19*(Profiles_140!Q41-Simulator!$L$17)^2*IF(Profiles_140!Q41&gt;Simulator!$L$17,1+Model_Formula!$N$19,1)</x:f>
        <x:v>100</x:v>
      </x:c>
      <x:c r="M45" s="66" t="n">
        <x:f>Model_Formula!$M$20*(Profiles_140!R41-Simulator!$L$18)^2*IF(Profiles_140!R41&gt;Simulator!$L$18,1+Model_Formula!$N$20,1)</x:f>
        <x:v>2025</x:v>
      </x:c>
      <x:c r="N45" s="66" t="n">
        <x:f>Model_Formula!$M$21*(Profiles_140!S41-Simulator!$L$19)^2*IF(Profiles_140!S41&gt;Simulator!$L$19,1+Model_Formula!$N$21,1)</x:f>
        <x:v>2500</x:v>
      </x:c>
      <x:c r="O45" s="66" t="n">
        <x:f>Model_Formula!$M$22*(Profiles_140!T41-Simulator!$L$20)^2*IF(Profiles_140!T41&gt;Simulator!$L$20,1+Model_Formula!$N$22,1)</x:f>
        <x:v>1225</x:v>
      </x:c>
      <x:c r="P45" s="66" t="n">
        <x:f>Model_Formula!$M$23*(Profiles_140!U41-Simulator!$L$21)^2*IF(Profiles_140!U41&gt;Simulator!$L$21,1+Model_Formula!$N$23,1)</x:f>
        <x:v>180</x:v>
      </x:c>
      <x:c r="Q45" s="66" t="n">
        <x:f>Model_Formula!$M$24*(Profiles_140!V41-Simulator!$L$22)^2*IF(Profiles_140!V41&gt;Simulator!$L$22,1+Model_Formula!$N$24,1)</x:f>
        <x:v>90</x:v>
      </x:c>
      <x:c r="R45" s="66" t="n">
        <x:f>Model_Formula!$M$25*(Profiles_140!W41-Simulator!$L$23)^2*IF(Profiles_140!W41&gt;Simulator!$L$23,1+Model_Formula!$N$25,1)</x:f>
        <x:v>101.25</x:v>
      </x:c>
      <x:c r="S45" s="66" t="n">
        <x:f>Model_Formula!$M$26*(Profiles_140!X41-Simulator!$L$24)^2*IF(Profiles_140!X41&gt;Simulator!$L$24,1+Model_Formula!$N$26,1)</x:f>
        <x:v>594.0000000000001</x:v>
      </x:c>
      <x:c r="T45" s="66" t="n">
        <x:f>Model_Formula!$M$27*(Profiles_140!Y41-Simulator!$L$25)^2*IF(Profiles_140!Y41&gt;Simulator!$L$25,1+Model_Formula!$N$27,1)</x:f>
        <x:v>271.6875</x:v>
      </x:c>
      <x:c r="U45" s="60" t="n">
        <x:f>SUM(F45:T45)/SUM($F$4:$T$4)</x:f>
        <x:v>874.7714552238807</x:v>
      </x:c>
      <x:c r="V45" s="60" t="n">
        <x:f>SQRT(U45)</x:f>
        <x:v>29.576535551411034</x:v>
      </x:c>
      <x:c r="W45" s="60" t="n">
        <x:f>MAX(0,100-V45)</x:f>
        <x:v>70.42346444858896</x:v>
      </x:c>
      <x:c r="X45" s="60" t="n">
        <x:f>SUMPRODUCT(Profiles_140!K41:Y41,$F$4:$T$4)/SUM($F$4:$T$4)</x:f>
        <x:v>60.22388059701493</x:v>
      </x:c>
      <x:c r="Y45" s="60" t="n">
        <x:f>IFERROR(50+50*SUMPRODUCT(($F$3:$T$3-$X$3)*(Profiles_140!K41:Y41-X45),$F$4:$T$4)/SQRT(SUMPRODUCT(($F$3:$T$3-$X$3)^2,$F$4:$T$4)*SUMPRODUCT((Profiles_140!K41:Y41-X45)^2,$F$4:$T$4)),50)</x:f>
        <x:v>50.000000000000014</x:v>
      </x:c>
      <x:c r="Z45" s="60" t="n">
        <x:f>$Z$3</x:f>
        <x:v>3.9474596431116675e-16</x:v>
      </x:c>
      <x:c r="AA45" s="60" t="n">
        <x:f>W45*(1-Model_Formula!$F$8*Z45)+Y45*(Model_Formula!$F$8*Z45)</x:f>
        <x:v>70.42346444858896</x:v>
      </x:c>
      <x:c r="AB45" s="60" t="n">
        <x:f>SQRT(SUMPRODUCT((Profiles_140!K41:Y41-50)^2,$F$4:$T$4)/SUM($F$4:$T$4))</x:f>
        <x:v>29.336569812406648</x:v>
      </x:c>
      <x:c r="AC45" s="60" t="n">
        <x:f>MAX(-Model_Formula!$F$11,MIN(Model_Formula!$F$11,Model_Formula!$F$10*(AB45-AVERAGE($AB$6:$AB$135))))</x:f>
        <x:v>0.08976576479908101</x:v>
      </x:c>
      <x:c r="AD45" s="60" t="n">
        <x:f>MAX(0,MIN(100,AA45+AC45))</x:f>
        <x:v>70.51323021338804</x:v>
      </x:c>
      <x:c r="AE45" s="60" t="n">
        <x:f>MAX(0,MIN(1,IFERROR((MATCH(AD45,Percentile_Calibration!$F41:$DB41,1)-1)/100,0)))</x:f>
        <x:v>0.69</x:v>
      </x:c>
      <x:c r="AF45" s="62" t="n">
        <x:f>ROUND(MAX(Model_Formula!$I$9,Model_Formula!$I$5+Model_Formula!$I$6*POWER(AE45,Model_Formula!$I$7)),0)</x:f>
        <x:v>60</x:v>
      </x:c>
      <x:c r="AG45" t="n">
        <x:f>Profiles_140!AJ41</x:f>
        <x:v>0</x:v>
      </x:c>
      <x:c r="AH45" s="60" t="n">
        <x:f>Model_Formula!$I$8*(AE45*100)+(1-Model_Formula!$I$8)*AD45+AG45</x:f>
        <x:v>69.30264604267761</x:v>
      </x:c>
      <x:c r="AI45" t="n">
        <x:f>RANK.EQ(AH45,$AH$6:$AH$135,0)+COUNTIF($AH$6:AH45,AH45)-1</x:f>
        <x:v>82</x:v>
      </x:c>
    </x:row>
    <x:row r="46">
      <x:c r="A46" t="str">
        <x:f>Profiles_140!A42</x:f>
        <x:v>ウーラオス</x:v>
      </x:c>
      <x:c r="B46" t="str">
        <x:f>Profiles_140!C42</x:f>
        <x:v>ウーラオス-1</x:v>
      </x:c>
      <x:c r="C46" t="str">
        <x:f>Profiles_140!D42</x:f>
        <x:v>あんこくきょうだ</x:v>
      </x:c>
      <x:c r="D46" t="str">
        <x:f>Profiles_140!B42</x:f>
        <x:v>バランス型</x:v>
      </x:c>
      <x:c r="E46" t="str">
        <x:f>Profiles_140!I42</x:f>
        <x:v>高</x:v>
      </x:c>
      <x:c r="F46" s="66" t="n">
        <x:f>Model_Formula!$M$13*(Profiles_140!K42-Simulator!$L$11)^2*IF(Profiles_140!K42&gt;Simulator!$L$11,1+Model_Formula!$N$13,1)</x:f>
        <x:v>400</x:v>
      </x:c>
      <x:c r="G46" s="66" t="n">
        <x:f>Model_Formula!$M$14*(Profiles_140!L42-Simulator!$L$12)^2*IF(Profiles_140!L42&gt;Simulator!$L$12,1+Model_Formula!$N$14,1)</x:f>
        <x:v>2625</x:v>
      </x:c>
      <x:c r="H46" s="66" t="n">
        <x:f>Model_Formula!$M$15*(Profiles_140!M42-Simulator!$L$13)^2*IF(Profiles_140!M42&gt;Simulator!$L$13,1+Model_Formula!$N$15,1)</x:f>
        <x:v>1600</x:v>
      </x:c>
      <x:c r="I46" s="66" t="n">
        <x:f>Model_Formula!$M$16*(Profiles_140!N42-Simulator!$L$14)^2*IF(Profiles_140!N42&gt;Simulator!$L$14,1+Model_Formula!$N$16,1)</x:f>
        <x:v>100</x:v>
      </x:c>
      <x:c r="J46" s="66" t="n">
        <x:f>Model_Formula!$M$17*(Profiles_140!O42-Simulator!$L$15)^2*IF(Profiles_140!O42&gt;Simulator!$L$15,1+Model_Formula!$N$17,1)</x:f>
        <x:v>1600</x:v>
      </x:c>
      <x:c r="K46" s="66" t="n">
        <x:f>Model_Formula!$M$18*(Profiles_140!P42-Simulator!$L$16)^2*IF(Profiles_140!P42&gt;Simulator!$L$16,1+Model_Formula!$N$18,1)</x:f>
        <x:v>810</x:v>
      </x:c>
      <x:c r="L46" s="66" t="n">
        <x:f>Model_Formula!$M$19*(Profiles_140!Q42-Simulator!$L$17)^2*IF(Profiles_140!Q42&gt;Simulator!$L$17,1+Model_Formula!$N$19,1)</x:f>
        <x:v>225</x:v>
      </x:c>
      <x:c r="M46" s="66" t="n">
        <x:f>Model_Formula!$M$20*(Profiles_140!R42-Simulator!$L$18)^2*IF(Profiles_140!R42&gt;Simulator!$L$18,1+Model_Formula!$N$20,1)</x:f>
        <x:v>2025</x:v>
      </x:c>
      <x:c r="N46" s="66" t="n">
        <x:f>Model_Formula!$M$21*(Profiles_140!S42-Simulator!$L$19)^2*IF(Profiles_140!S42&gt;Simulator!$L$19,1+Model_Formula!$N$21,1)</x:f>
        <x:v>1600</x:v>
      </x:c>
      <x:c r="O46" s="66" t="n">
        <x:f>Model_Formula!$M$22*(Profiles_140!T42-Simulator!$L$20)^2*IF(Profiles_140!T42&gt;Simulator!$L$20,1+Model_Formula!$N$22,1)</x:f>
        <x:v>100</x:v>
      </x:c>
      <x:c r="P46" s="66" t="n">
        <x:f>Model_Formula!$M$23*(Profiles_140!U42-Simulator!$L$21)^2*IF(Profiles_140!U42&gt;Simulator!$L$21,1+Model_Formula!$N$23,1)</x:f>
        <x:v>45</x:v>
      </x:c>
      <x:c r="Q46" s="66" t="n">
        <x:f>Model_Formula!$M$24*(Profiles_140!V42-Simulator!$L$22)^2*IF(Profiles_140!V42&gt;Simulator!$L$22,1+Model_Formula!$N$24,1)</x:f>
        <x:v>160</x:v>
      </x:c>
      <x:c r="R46" s="66" t="n">
        <x:f>Model_Formula!$M$25*(Profiles_140!W42-Simulator!$L$23)^2*IF(Profiles_140!W42&gt;Simulator!$L$23,1+Model_Formula!$N$25,1)</x:f>
        <x:v>101.25</x:v>
      </x:c>
      <x:c r="S46" s="66" t="n">
        <x:f>Model_Formula!$M$26*(Profiles_140!X42-Simulator!$L$24)^2*IF(Profiles_140!X42&gt;Simulator!$L$24,1+Model_Formula!$N$26,1)</x:f>
        <x:v>928.1250000000001</x:v>
      </x:c>
      <x:c r="T46" s="66" t="n">
        <x:f>Model_Formula!$M$27*(Profiles_140!Y42-Simulator!$L$25)^2*IF(Profiles_140!Y42&gt;Simulator!$L$25,1+Model_Formula!$N$27,1)</x:f>
        <x:v>482.99999999999994</x:v>
      </x:c>
      <x:c r="U46" s="60" t="n">
        <x:f>SUM(F46:T46)/SUM($F$4:$T$4)</x:f>
        <x:v>955.4011194029852</x:v>
      </x:c>
      <x:c r="V46" s="60" t="n">
        <x:f>SQRT(U46)</x:f>
        <x:v>30.909563558921132</x:v>
      </x:c>
      <x:c r="W46" s="60" t="n">
        <x:f>MAX(0,100-V46)</x:f>
        <x:v>69.09043644107886</x:v>
      </x:c>
      <x:c r="X46" s="60" t="n">
        <x:f>SUMPRODUCT(Profiles_140!K42:Y42,$F$4:$T$4)/SUM($F$4:$T$4)</x:f>
        <x:v>50.98880597014926</x:v>
      </x:c>
      <x:c r="Y46" s="60" t="n">
        <x:f>IFERROR(50+50*SUMPRODUCT(($F$3:$T$3-$X$3)*(Profiles_140!K42:Y42-X46),$F$4:$T$4)/SQRT(SUMPRODUCT(($F$3:$T$3-$X$3)^2,$F$4:$T$4)*SUMPRODUCT((Profiles_140!K42:Y42-X46)^2,$F$4:$T$4)),50)</x:f>
        <x:v>50.00000000000001</x:v>
      </x:c>
      <x:c r="Z46" s="60" t="n">
        <x:f>$Z$3</x:f>
        <x:v>3.9474596431116675e-16</x:v>
      </x:c>
      <x:c r="AA46" s="60" t="n">
        <x:f>W46*(1-Model_Formula!$F$8*Z46)+Y46*(Model_Formula!$F$8*Z46)</x:f>
        <x:v>69.09043644107886</x:v>
      </x:c>
      <x:c r="AB46" s="60" t="n">
        <x:f>SQRT(SUMPRODUCT((Profiles_140!K42:Y42-50)^2,$F$4:$T$4)/SUM($F$4:$T$4))</x:f>
        <x:v>30.540833932841995</x:v>
      </x:c>
      <x:c r="AC46" s="60" t="n">
        <x:f>MAX(-Model_Formula!$F$11,MIN(Model_Formula!$F$11,Model_Formula!$F$10*(AB46-AVERAGE($AB$6:$AB$135))))</x:f>
        <x:v>0.6316846189949873</x:v>
      </x:c>
      <x:c r="AD46" s="60" t="n">
        <x:f>MAX(0,MIN(100,AA46+AC46))</x:f>
        <x:v>69.72212106007385</x:v>
      </x:c>
      <x:c r="AE46" s="60" t="n">
        <x:f>MAX(0,MIN(1,IFERROR((MATCH(AD46,Percentile_Calibration!$F42:$DB42,1)-1)/100,0)))</x:f>
        <x:v>0.66</x:v>
      </x:c>
      <x:c r="AF46" s="62" t="n">
        <x:f>ROUND(MAX(Model_Formula!$I$9,Model_Formula!$I$5+Model_Formula!$I$6*POWER(AE46,Model_Formula!$I$7)),0)</x:f>
        <x:v>58</x:v>
      </x:c>
      <x:c r="AG46" t="n">
        <x:f>Profiles_140!AJ42</x:f>
        <x:v>0</x:v>
      </x:c>
      <x:c r="AH46" s="60" t="n">
        <x:f>Model_Formula!$I$8*(AE46*100)+(1-Model_Formula!$I$8)*AD46+AG46</x:f>
        <x:v>66.74442421201476</x:v>
      </x:c>
      <x:c r="AI46" t="n">
        <x:f>RANK.EQ(AH46,$AH$6:$AH$135,0)+COUNTIF($AH$6:AH46,AH46)-1</x:f>
        <x:v>105</x:v>
      </x:c>
    </x:row>
    <x:row r="47">
      <x:c r="A47" t="str">
        <x:f>Profiles_140!A43</x:f>
        <x:v>ウーラオス</x:v>
      </x:c>
      <x:c r="B47" t="str">
        <x:f>Profiles_140!C43</x:f>
        <x:v>ウーラオス-2</x:v>
      </x:c>
      <x:c r="C47" t="str">
        <x:f>Profiles_140!D43</x:f>
        <x:v>すいりゅうれんだ</x:v>
      </x:c>
      <x:c r="D47" t="str">
        <x:f>Profiles_140!B43</x:f>
        <x:v>バランス型</x:v>
      </x:c>
      <x:c r="E47" t="str">
        <x:f>Profiles_140!I43</x:f>
        <x:v>高</x:v>
      </x:c>
      <x:c r="F47" s="66" t="n">
        <x:f>Model_Formula!$M$13*(Profiles_140!K43-Simulator!$L$11)^2*IF(Profiles_140!K43&gt;Simulator!$L$11,1+Model_Formula!$N$13,1)</x:f>
        <x:v>400</x:v>
      </x:c>
      <x:c r="G47" s="66" t="n">
        <x:f>Model_Formula!$M$14*(Profiles_140!L43-Simulator!$L$12)^2*IF(Profiles_140!L43&gt;Simulator!$L$12,1+Model_Formula!$N$14,1)</x:f>
        <x:v>1680</x:v>
      </x:c>
      <x:c r="H47" s="66" t="n">
        <x:f>Model_Formula!$M$15*(Profiles_140!M43-Simulator!$L$13)^2*IF(Profiles_140!M43&gt;Simulator!$L$13,1+Model_Formula!$N$15,1)</x:f>
        <x:v>625</x:v>
      </x:c>
      <x:c r="I47" s="66" t="n">
        <x:f>Model_Formula!$M$16*(Profiles_140!N43-Simulator!$L$14)^2*IF(Profiles_140!N43&gt;Simulator!$L$14,1+Model_Formula!$N$16,1)</x:f>
        <x:v>625</x:v>
      </x:c>
      <x:c r="J47" s="66" t="n">
        <x:f>Model_Formula!$M$17*(Profiles_140!O43-Simulator!$L$15)^2*IF(Profiles_140!O43&gt;Simulator!$L$15,1+Model_Formula!$N$17,1)</x:f>
        <x:v>1600</x:v>
      </x:c>
      <x:c r="K47" s="66" t="n">
        <x:f>Model_Formula!$M$18*(Profiles_140!P43-Simulator!$L$16)^2*IF(Profiles_140!P43&gt;Simulator!$L$16,1+Model_Formula!$N$18,1)</x:f>
        <x:v>1102.5</x:v>
      </x:c>
      <x:c r="L47" s="66" t="n">
        <x:f>Model_Formula!$M$19*(Profiles_140!Q43-Simulator!$L$17)^2*IF(Profiles_140!Q43&gt;Simulator!$L$17,1+Model_Formula!$N$19,1)</x:f>
        <x:v>25</x:v>
      </x:c>
      <x:c r="M47" s="66" t="n">
        <x:f>Model_Formula!$M$20*(Profiles_140!R43-Simulator!$L$18)^2*IF(Profiles_140!R43&gt;Simulator!$L$18,1+Model_Formula!$N$20,1)</x:f>
        <x:v>2025</x:v>
      </x:c>
      <x:c r="N47" s="66" t="n">
        <x:f>Model_Formula!$M$21*(Profiles_140!S43-Simulator!$L$19)^2*IF(Profiles_140!S43&gt;Simulator!$L$19,1+Model_Formula!$N$21,1)</x:f>
        <x:v>1600</x:v>
      </x:c>
      <x:c r="O47" s="66" t="n">
        <x:f>Model_Formula!$M$22*(Profiles_140!T43-Simulator!$L$20)^2*IF(Profiles_140!T43&gt;Simulator!$L$20,1+Model_Formula!$N$22,1)</x:f>
        <x:v>1225</x:v>
      </x:c>
      <x:c r="P47" s="66" t="n">
        <x:f>Model_Formula!$M$23*(Profiles_140!U43-Simulator!$L$21)^2*IF(Profiles_140!U43&gt;Simulator!$L$21,1+Model_Formula!$N$23,1)</x:f>
        <x:v>11.25</x:v>
      </x:c>
      <x:c r="Q47" s="66" t="n">
        <x:f>Model_Formula!$M$24*(Profiles_140!V43-Simulator!$L$22)^2*IF(Profiles_140!V43&gt;Simulator!$L$22,1+Model_Formula!$N$24,1)</x:f>
        <x:v>10</x:v>
      </x:c>
      <x:c r="R47" s="66" t="n">
        <x:f>Model_Formula!$M$25*(Profiles_140!W43-Simulator!$L$23)^2*IF(Profiles_140!W43&gt;Simulator!$L$23,1+Model_Formula!$N$25,1)</x:f>
        <x:v>11.25</x:v>
      </x:c>
      <x:c r="S47" s="66" t="n">
        <x:f>Model_Formula!$M$26*(Profiles_140!X43-Simulator!$L$24)^2*IF(Profiles_140!X43&gt;Simulator!$L$24,1+Model_Formula!$N$26,1)</x:f>
        <x:v>594.0000000000001</x:v>
      </x:c>
      <x:c r="T47" s="66" t="n">
        <x:f>Model_Formula!$M$27*(Profiles_140!Y43-Simulator!$L$25)^2*IF(Profiles_140!Y43&gt;Simulator!$L$25,1+Model_Formula!$N$27,1)</x:f>
        <x:v>271.6875</x:v>
      </x:c>
      <x:c r="U47" s="60" t="n">
        <x:f>SUM(F47:T47)/SUM($F$4:$T$4)</x:f>
        <x:v>881.0214552238807</x:v>
      </x:c>
      <x:c r="V47" s="60" t="n">
        <x:f>SQRT(U47)</x:f>
        <x:v>29.682005579540622</x:v>
      </x:c>
      <x:c r="W47" s="60" t="n">
        <x:f>MAX(0,100-V47)</x:f>
        <x:v>70.31799442045937</x:v>
      </x:c>
      <x:c r="X47" s="60" t="n">
        <x:f>SUMPRODUCT(Profiles_140!K43:Y43,$F$4:$T$4)/SUM($F$4:$T$4)</x:f>
        <x:v>59.160447761194035</x:v>
      </x:c>
      <x:c r="Y47" s="60" t="n">
        <x:f>IFERROR(50+50*SUMPRODUCT(($F$3:$T$3-$X$3)*(Profiles_140!K43:Y43-X47),$F$4:$T$4)/SQRT(SUMPRODUCT(($F$3:$T$3-$X$3)^2,$F$4:$T$4)*SUMPRODUCT((Profiles_140!K43:Y43-X47)^2,$F$4:$T$4)),50)</x:f>
        <x:v>50.00000000000001</x:v>
      </x:c>
      <x:c r="Z47" s="60" t="n">
        <x:f>$Z$3</x:f>
        <x:v>3.9474596431116675e-16</x:v>
      </x:c>
      <x:c r="AA47" s="60" t="n">
        <x:f>W47*(1-Model_Formula!$F$8*Z47)+Y47*(Model_Formula!$F$8*Z47)</x:f>
        <x:v>70.31799442045937</x:v>
      </x:c>
      <x:c r="AB47" s="60" t="n">
        <x:f>SQRT(SUMPRODUCT((Profiles_140!K43:Y43-50)^2,$F$4:$T$4)/SUM($F$4:$T$4))</x:f>
        <x:v>29.44289945569575</x:v>
      </x:c>
      <x:c r="AC47" s="60" t="n">
        <x:f>MAX(-Model_Formula!$F$11,MIN(Model_Formula!$F$11,Model_Formula!$F$10*(AB47-AVERAGE($AB$6:$AB$135))))</x:f>
        <x:v>0.13761410427917636</x:v>
      </x:c>
      <x:c r="AD47" s="60" t="n">
        <x:f>MAX(0,MIN(100,AA47+AC47))</x:f>
        <x:v>70.45560852473855</x:v>
      </x:c>
      <x:c r="AE47" s="60" t="n">
        <x:f>MAX(0,MIN(1,IFERROR((MATCH(AD47,Percentile_Calibration!$F43:$DB43,1)-1)/100,0)))</x:f>
        <x:v>0.68</x:v>
      </x:c>
      <x:c r="AF47" s="62" t="n">
        <x:f>ROUND(MAX(Model_Formula!$I$9,Model_Formula!$I$5+Model_Formula!$I$6*POWER(AE47,Model_Formula!$I$7)),0)</x:f>
        <x:v>59</x:v>
      </x:c>
      <x:c r="AG47" t="n">
        <x:f>Profiles_140!AJ43</x:f>
        <x:v>0</x:v>
      </x:c>
      <x:c r="AH47" s="60" t="n">
        <x:f>Model_Formula!$I$8*(AE47*100)+(1-Model_Formula!$I$8)*AD47+AG47</x:f>
        <x:v>68.49112170494772</x:v>
      </x:c>
      <x:c r="AI47" t="n">
        <x:f>RANK.EQ(AH47,$AH$6:$AH$135,0)+COUNTIF($AH$6:AH47,AH47)-1</x:f>
        <x:v>88</x:v>
      </x:c>
    </x:row>
    <x:row r="48">
      <x:c r="A48" t="str">
        <x:f>Profiles_140!A44</x:f>
        <x:v>エンペルト</x:v>
      </x:c>
      <x:c r="B48" t="str">
        <x:f>Profiles_140!C44</x:f>
        <x:v>エンペルト-1</x:v>
      </x:c>
      <x:c r="C48" t="str">
        <x:f>Profiles_140!D44</x:f>
        <x:v>共通</x:v>
      </x:c>
      <x:c r="D48" t="str">
        <x:f>Profiles_140!B44</x:f>
        <x:v>バランス型</x:v>
      </x:c>
      <x:c r="E48" t="str">
        <x:f>Profiles_140!I44</x:f>
        <x:v>高</x:v>
      </x:c>
      <x:c r="F48" s="66" t="n">
        <x:f>Model_Formula!$M$13*(Profiles_140!K44-Simulator!$L$11)^2*IF(Profiles_140!K44&gt;Simulator!$L$11,1+Model_Formula!$N$13,1)</x:f>
        <x:v>25</x:v>
      </x:c>
      <x:c r="G48" s="66" t="n">
        <x:f>Model_Formula!$M$14*(Profiles_140!L44-Simulator!$L$12)^2*IF(Profiles_140!L44&gt;Simulator!$L$12,1+Model_Formula!$N$14,1)</x:f>
        <x:v>26.25</x:v>
      </x:c>
      <x:c r="H48" s="66" t="n">
        <x:f>Model_Formula!$M$15*(Profiles_140!M44-Simulator!$L$13)^2*IF(Profiles_140!M44&gt;Simulator!$L$13,1+Model_Formula!$N$15,1)</x:f>
        <x:v>225</x:v>
      </x:c>
      <x:c r="I48" s="66" t="n">
        <x:f>Model_Formula!$M$16*(Profiles_140!N44-Simulator!$L$14)^2*IF(Profiles_140!N44&gt;Simulator!$L$14,1+Model_Formula!$N$16,1)</x:f>
        <x:v>2500</x:v>
      </x:c>
      <x:c r="J48" s="66" t="n">
        <x:f>Model_Formula!$M$17*(Profiles_140!O44-Simulator!$L$15)^2*IF(Profiles_140!O44&gt;Simulator!$L$15,1+Model_Formula!$N$17,1)</x:f>
        <x:v>1600</x:v>
      </x:c>
      <x:c r="K48" s="66" t="n">
        <x:f>Model_Formula!$M$18*(Profiles_140!P44-Simulator!$L$16)^2*IF(Profiles_140!P44&gt;Simulator!$L$16,1+Model_Formula!$N$18,1)</x:f>
        <x:v>1102.5</x:v>
      </x:c>
      <x:c r="L48" s="66" t="n">
        <x:f>Model_Formula!$M$19*(Profiles_140!Q44-Simulator!$L$17)^2*IF(Profiles_140!Q44&gt;Simulator!$L$17,1+Model_Formula!$N$19,1)</x:f>
        <x:v>225</x:v>
      </x:c>
      <x:c r="M48" s="66" t="n">
        <x:f>Model_Formula!$M$20*(Profiles_140!R44-Simulator!$L$18)^2*IF(Profiles_140!R44&gt;Simulator!$L$18,1+Model_Formula!$N$20,1)</x:f>
        <x:v>2025</x:v>
      </x:c>
      <x:c r="N48" s="66" t="n">
        <x:f>Model_Formula!$M$21*(Profiles_140!S44-Simulator!$L$19)^2*IF(Profiles_140!S44&gt;Simulator!$L$19,1+Model_Formula!$N$21,1)</x:f>
        <x:v>900</x:v>
      </x:c>
      <x:c r="O48" s="66" t="n">
        <x:f>Model_Formula!$M$22*(Profiles_140!T44-Simulator!$L$20)^2*IF(Profiles_140!T44&gt;Simulator!$L$20,1+Model_Formula!$N$22,1)</x:f>
        <x:v>900</x:v>
      </x:c>
      <x:c r="P48" s="66" t="n">
        <x:f>Model_Formula!$M$23*(Profiles_140!U44-Simulator!$L$21)^2*IF(Profiles_140!U44&gt;Simulator!$L$21,1+Model_Formula!$N$23,1)</x:f>
        <x:v>405</x:v>
      </x:c>
      <x:c r="Q48" s="66" t="n">
        <x:f>Model_Formula!$M$24*(Profiles_140!V44-Simulator!$L$22)^2*IF(Profiles_140!V44&gt;Simulator!$L$22,1+Model_Formula!$N$24,1)</x:f>
        <x:v>250</x:v>
      </x:c>
      <x:c r="R48" s="66" t="n">
        <x:f>Model_Formula!$M$25*(Profiles_140!W44-Simulator!$L$23)^2*IF(Profiles_140!W44&gt;Simulator!$L$23,1+Model_Formula!$N$25,1)</x:f>
        <x:v>45</x:v>
      </x:c>
      <x:c r="S48" s="66" t="n">
        <x:f>Model_Formula!$M$26*(Profiles_140!X44-Simulator!$L$24)^2*IF(Profiles_140!X44&gt;Simulator!$L$24,1+Model_Formula!$N$26,1)</x:f>
        <x:v>0</x:v>
      </x:c>
      <x:c r="T48" s="66" t="n">
        <x:f>Model_Formula!$M$27*(Profiles_140!Y44-Simulator!$L$25)^2*IF(Profiles_140!Y44&gt;Simulator!$L$25,1+Model_Formula!$N$27,1)</x:f>
        <x:v>120.74999999999999</x:v>
      </x:c>
      <x:c r="U48" s="60" t="n">
        <x:f>SUM(F48:T48)/SUM($F$4:$T$4)</x:f>
        <x:v>772.3507462686568</x:v>
      </x:c>
      <x:c r="V48" s="60" t="n">
        <x:f>SQRT(U48)</x:f>
        <x:v>27.791199079360663</x:v>
      </x:c>
      <x:c r="W48" s="60" t="n">
        <x:f>MAX(0,100-V48)</x:f>
        <x:v>72.20880092063933</x:v>
      </x:c>
      <x:c r="X48" s="60" t="n">
        <x:f>SUMPRODUCT(Profiles_140!K44:Y44,$F$4:$T$4)/SUM($F$4:$T$4)</x:f>
        <x:v>50.46641791044777</x:v>
      </x:c>
      <x:c r="Y48" s="60" t="n">
        <x:f>IFERROR(50+50*SUMPRODUCT(($F$3:$T$3-$X$3)*(Profiles_140!K44:Y44-X48),$F$4:$T$4)/SQRT(SUMPRODUCT(($F$3:$T$3-$X$3)^2,$F$4:$T$4)*SUMPRODUCT((Profiles_140!K44:Y44-X48)^2,$F$4:$T$4)),50)</x:f>
        <x:v>50.00000000000001</x:v>
      </x:c>
      <x:c r="Z48" s="60" t="n">
        <x:f>$Z$3</x:f>
        <x:v>3.9474596431116675e-16</x:v>
      </x:c>
      <x:c r="AA48" s="60" t="n">
        <x:f>W48*(1-Model_Formula!$F$8*Z48)+Y48*(Model_Formula!$F$8*Z48)</x:f>
        <x:v>72.20880092063933</x:v>
      </x:c>
      <x:c r="AB48" s="60" t="n">
        <x:f>SQRT(SUMPRODUCT((Profiles_140!K44:Y44-50)^2,$F$4:$T$4)/SUM($F$4:$T$4))</x:f>
        <x:v>27.7700445288503</x:v>
      </x:c>
      <x:c r="AC48" s="60" t="n">
        <x:f>MAX(-Model_Formula!$F$11,MIN(Model_Formula!$F$11,Model_Formula!$F$10*(AB48-AVERAGE($AB$6:$AB$135))))</x:f>
        <x:v>-0.6151706128012758</x:v>
      </x:c>
      <x:c r="AD48" s="60" t="n">
        <x:f>MAX(0,MIN(100,AA48+AC48))</x:f>
        <x:v>71.59363030783805</x:v>
      </x:c>
      <x:c r="AE48" s="60" t="n">
        <x:f>MAX(0,MIN(1,IFERROR((MATCH(AD48,Percentile_Calibration!$F44:$DB44,1)-1)/100,0)))</x:f>
        <x:v>0.85</x:v>
      </x:c>
      <x:c r="AF48" s="62" t="n">
        <x:f>ROUND(MAX(Model_Formula!$I$9,Model_Formula!$I$5+Model_Formula!$I$6*POWER(AE48,Model_Formula!$I$7)),0)</x:f>
        <x:v>76</x:v>
      </x:c>
      <x:c r="AG48" t="n">
        <x:f>Profiles_140!AJ44</x:f>
        <x:v>0</x:v>
      </x:c>
      <x:c r="AH48" s="60" t="n">
        <x:f>Model_Formula!$I$8*(AE48*100)+(1-Model_Formula!$I$8)*AD48+AG48</x:f>
        <x:v>82.3187260615676</x:v>
      </x:c>
      <x:c r="AI48" t="n">
        <x:f>RANK.EQ(AH48,$AH$6:$AH$135,0)+COUNTIF($AH$6:AH48,AH48)-1</x:f>
        <x:v>26</x:v>
      </x:c>
    </x:row>
    <x:row r="49">
      <x:c r="A49" t="str">
        <x:f>Profiles_140!A45</x:f>
        <x:v>オーダイル</x:v>
      </x:c>
      <x:c r="B49" t="str">
        <x:f>Profiles_140!C45</x:f>
        <x:v>オーダイル-1</x:v>
      </x:c>
      <x:c r="C49" t="str">
        <x:f>Profiles_140!D45</x:f>
        <x:v>共通</x:v>
      </x:c>
      <x:c r="D49" t="str">
        <x:f>Profiles_140!B45</x:f>
        <x:v>バランス型</x:v>
      </x:c>
      <x:c r="E49" t="str">
        <x:f>Profiles_140!I45</x:f>
        <x:v>中</x:v>
      </x:c>
      <x:c r="F49" s="66" t="n">
        <x:f>Model_Formula!$M$13*(Profiles_140!K45-Simulator!$L$11)^2*IF(Profiles_140!K45&gt;Simulator!$L$11,1+Model_Formula!$N$13,1)</x:f>
        <x:v>900</x:v>
      </x:c>
      <x:c r="G49" s="66" t="n">
        <x:f>Model_Formula!$M$14*(Profiles_140!L45-Simulator!$L$12)^2*IF(Profiles_140!L45&gt;Simulator!$L$12,1+Model_Formula!$N$14,1)</x:f>
        <x:v>2625</x:v>
      </x:c>
      <x:c r="H49" s="66" t="n">
        <x:f>Model_Formula!$M$15*(Profiles_140!M45-Simulator!$L$13)^2*IF(Profiles_140!M45&gt;Simulator!$L$13,1+Model_Formula!$N$15,1)</x:f>
        <x:v>900</x:v>
      </x:c>
      <x:c r="I49" s="66" t="n">
        <x:f>Model_Formula!$M$16*(Profiles_140!N45-Simulator!$L$14)^2*IF(Profiles_140!N45&gt;Simulator!$L$14,1+Model_Formula!$N$16,1)</x:f>
        <x:v>25</x:v>
      </x:c>
      <x:c r="J49" s="66" t="n">
        <x:f>Model_Formula!$M$17*(Profiles_140!O45-Simulator!$L$15)^2*IF(Profiles_140!O45&gt;Simulator!$L$15,1+Model_Formula!$N$17,1)</x:f>
        <x:v>1600</x:v>
      </x:c>
      <x:c r="K49" s="66" t="n">
        <x:f>Model_Formula!$M$18*(Profiles_140!P45-Simulator!$L$16)^2*IF(Profiles_140!P45&gt;Simulator!$L$16,1+Model_Formula!$N$18,1)</x:f>
        <x:v>562.5</x:v>
      </x:c>
      <x:c r="L49" s="66" t="n">
        <x:f>Model_Formula!$M$19*(Profiles_140!Q45-Simulator!$L$17)^2*IF(Profiles_140!Q45&gt;Simulator!$L$17,1+Model_Formula!$N$19,1)</x:f>
        <x:v>225</x:v>
      </x:c>
      <x:c r="M49" s="66" t="n">
        <x:f>Model_Formula!$M$20*(Profiles_140!R45-Simulator!$L$18)^2*IF(Profiles_140!R45&gt;Simulator!$L$18,1+Model_Formula!$N$20,1)</x:f>
        <x:v>2025</x:v>
      </x:c>
      <x:c r="N49" s="66" t="n">
        <x:f>Model_Formula!$M$21*(Profiles_140!S45-Simulator!$L$19)^2*IF(Profiles_140!S45&gt;Simulator!$L$19,1+Model_Formula!$N$21,1)</x:f>
        <x:v>2500</x:v>
      </x:c>
      <x:c r="O49" s="66" t="n">
        <x:f>Model_Formula!$M$22*(Profiles_140!T45-Simulator!$L$20)^2*IF(Profiles_140!T45&gt;Simulator!$L$20,1+Model_Formula!$N$22,1)</x:f>
        <x:v>400</x:v>
      </x:c>
      <x:c r="P49" s="66" t="n">
        <x:f>Model_Formula!$M$23*(Profiles_140!U45-Simulator!$L$21)^2*IF(Profiles_140!U45&gt;Simulator!$L$21,1+Model_Formula!$N$23,1)</x:f>
        <x:v>45</x:v>
      </x:c>
      <x:c r="Q49" s="66" t="n">
        <x:f>Model_Formula!$M$24*(Profiles_140!V45-Simulator!$L$22)^2*IF(Profiles_140!V45&gt;Simulator!$L$22,1+Model_Formula!$N$24,1)</x:f>
        <x:v>40</x:v>
      </x:c>
      <x:c r="R49" s="66" t="n">
        <x:f>Model_Formula!$M$25*(Profiles_140!W45-Simulator!$L$23)^2*IF(Profiles_140!W45&gt;Simulator!$L$23,1+Model_Formula!$N$25,1)</x:f>
        <x:v>11.25</x:v>
      </x:c>
      <x:c r="S49" s="66" t="n">
        <x:f>Model_Formula!$M$26*(Profiles_140!X45-Simulator!$L$24)^2*IF(Profiles_140!X45&gt;Simulator!$L$24,1+Model_Formula!$N$26,1)</x:f>
        <x:v>334.12500000000006</x:v>
      </x:c>
      <x:c r="T49" s="66" t="n">
        <x:f>Model_Formula!$M$27*(Profiles_140!Y45-Simulator!$L$25)^2*IF(Profiles_140!Y45&gt;Simulator!$L$25,1+Model_Formula!$N$27,1)</x:f>
        <x:v>1086.75</x:v>
      </x:c>
      <x:c r="U49" s="60" t="n">
        <x:f>SUM(F49:T49)/SUM($F$4:$T$4)</x:f>
        <x:v>991.0167910447763</x:v>
      </x:c>
      <x:c r="V49" s="60" t="n">
        <x:f>SQRT(U49)</x:f>
        <x:v>31.480419168822646</x:v>
      </x:c>
      <x:c r="W49" s="60" t="n">
        <x:f>MAX(0,100-V49)</x:f>
        <x:v>68.51958083117735</x:v>
      </x:c>
      <x:c r="X49" s="60" t="n">
        <x:f>SUMPRODUCT(Profiles_140!K45:Y45,$F$4:$T$4)/SUM($F$4:$T$4)</x:f>
        <x:v>54.75746268656717</x:v>
      </x:c>
      <x:c r="Y49" s="60" t="n">
        <x:f>IFERROR(50+50*SUMPRODUCT(($F$3:$T$3-$X$3)*(Profiles_140!K45:Y45-X49),$F$4:$T$4)/SQRT(SUMPRODUCT(($F$3:$T$3-$X$3)^2,$F$4:$T$4)*SUMPRODUCT((Profiles_140!K45:Y45-X49)^2,$F$4:$T$4)),50)</x:f>
        <x:v>50.000000000000014</x:v>
      </x:c>
      <x:c r="Z49" s="60" t="n">
        <x:f>$Z$3</x:f>
        <x:v>3.9474596431116675e-16</x:v>
      </x:c>
      <x:c r="AA49" s="60" t="n">
        <x:f>W49*(1-Model_Formula!$F$8*Z49)+Y49*(Model_Formula!$F$8*Z49)</x:f>
        <x:v>68.51958083117735</x:v>
      </x:c>
      <x:c r="AB49" s="60" t="n">
        <x:f>SQRT(SUMPRODUCT((Profiles_140!K45:Y45-50)^2,$F$4:$T$4)/SUM($F$4:$T$4))</x:f>
        <x:v>31.208554606021327</x:v>
      </x:c>
      <x:c r="AC49" s="60" t="n">
        <x:f>MAX(-Model_Formula!$F$11,MIN(Model_Formula!$F$11,Model_Formula!$F$10*(AB49-AVERAGE($AB$6:$AB$135))))</x:f>
        <x:v>0.9321589219256866</x:v>
      </x:c>
      <x:c r="AD49" s="60" t="n">
        <x:f>MAX(0,MIN(100,AA49+AC49))</x:f>
        <x:v>69.45173975310304</x:v>
      </x:c>
      <x:c r="AE49" s="60" t="n">
        <x:f>MAX(0,MIN(1,IFERROR((MATCH(AD49,Percentile_Calibration!$F45:$DB45,1)-1)/100,0)))</x:f>
        <x:v>0.65</x:v>
      </x:c>
      <x:c r="AF49" s="62" t="n">
        <x:f>ROUND(MAX(Model_Formula!$I$9,Model_Formula!$I$5+Model_Formula!$I$6*POWER(AE49,Model_Formula!$I$7)),0)</x:f>
        <x:v>57</x:v>
      </x:c>
      <x:c r="AG49" t="n">
        <x:f>Profiles_140!AJ45</x:f>
        <x:v>0</x:v>
      </x:c>
      <x:c r="AH49" s="60" t="n">
        <x:f>Model_Formula!$I$8*(AE49*100)+(1-Model_Formula!$I$8)*AD49+AG49</x:f>
        <x:v>65.89034795062061</x:v>
      </x:c>
      <x:c r="AI49" t="n">
        <x:f>RANK.EQ(AH49,$AH$6:$AH$135,0)+COUNTIF($AH$6:AH49,AH49)-1</x:f>
        <x:v>109</x:v>
      </x:c>
    </x:row>
    <x:row r="50">
      <x:c r="A50" t="str">
        <x:f>Profiles_140!A46</x:f>
        <x:v>カイリキー</x:v>
      </x:c>
      <x:c r="B50" t="str">
        <x:f>Profiles_140!C46</x:f>
        <x:v>カイリキー-1</x:v>
      </x:c>
      <x:c r="C50" t="str">
        <x:f>Profiles_140!D46</x:f>
        <x:v>共通</x:v>
      </x:c>
      <x:c r="D50" t="str">
        <x:f>Profiles_140!B46</x:f>
        <x:v>バランス型</x:v>
      </x:c>
      <x:c r="E50" t="str">
        <x:f>Profiles_140!I46</x:f>
        <x:v>高</x:v>
      </x:c>
      <x:c r="F50" s="66" t="n">
        <x:f>Model_Formula!$M$13*(Profiles_140!K46-Simulator!$L$11)^2*IF(Profiles_140!K46&gt;Simulator!$L$11,1+Model_Formula!$N$13,1)</x:f>
        <x:v>900</x:v>
      </x:c>
      <x:c r="G50" s="66" t="n">
        <x:f>Model_Formula!$M$14*(Profiles_140!L46-Simulator!$L$12)^2*IF(Profiles_140!L46&gt;Simulator!$L$12,1+Model_Formula!$N$14,1)</x:f>
        <x:v>2625</x:v>
      </x:c>
      <x:c r="H50" s="66" t="n">
        <x:f>Model_Formula!$M$15*(Profiles_140!M46-Simulator!$L$13)^2*IF(Profiles_140!M46&gt;Simulator!$L$13,1+Model_Formula!$N$15,1)</x:f>
        <x:v>900</x:v>
      </x:c>
      <x:c r="I50" s="66" t="n">
        <x:f>Model_Formula!$M$16*(Profiles_140!N46-Simulator!$L$14)^2*IF(Profiles_140!N46&gt;Simulator!$L$14,1+Model_Formula!$N$16,1)</x:f>
        <x:v>25</x:v>
      </x:c>
      <x:c r="J50" s="66" t="n">
        <x:f>Model_Formula!$M$17*(Profiles_140!O46-Simulator!$L$15)^2*IF(Profiles_140!O46&gt;Simulator!$L$15,1+Model_Formula!$N$17,1)</x:f>
        <x:v>1600</x:v>
      </x:c>
      <x:c r="K50" s="66" t="n">
        <x:f>Model_Formula!$M$18*(Profiles_140!P46-Simulator!$L$16)^2*IF(Profiles_140!P46&gt;Simulator!$L$16,1+Model_Formula!$N$18,1)</x:f>
        <x:v>562.5</x:v>
      </x:c>
      <x:c r="L50" s="66" t="n">
        <x:f>Model_Formula!$M$19*(Profiles_140!Q46-Simulator!$L$17)^2*IF(Profiles_140!Q46&gt;Simulator!$L$17,1+Model_Formula!$N$19,1)</x:f>
        <x:v>225</x:v>
      </x:c>
      <x:c r="M50" s="66" t="n">
        <x:f>Model_Formula!$M$20*(Profiles_140!R46-Simulator!$L$18)^2*IF(Profiles_140!R46&gt;Simulator!$L$18,1+Model_Formula!$N$20,1)</x:f>
        <x:v>2025</x:v>
      </x:c>
      <x:c r="N50" s="66" t="n">
        <x:f>Model_Formula!$M$21*(Profiles_140!S46-Simulator!$L$19)^2*IF(Profiles_140!S46&gt;Simulator!$L$19,1+Model_Formula!$N$21,1)</x:f>
        <x:v>900</x:v>
      </x:c>
      <x:c r="O50" s="66" t="n">
        <x:f>Model_Formula!$M$22*(Profiles_140!T46-Simulator!$L$20)^2*IF(Profiles_140!T46&gt;Simulator!$L$20,1+Model_Formula!$N$22,1)</x:f>
        <x:v>625</x:v>
      </x:c>
      <x:c r="P50" s="66" t="n">
        <x:f>Model_Formula!$M$23*(Profiles_140!U46-Simulator!$L$21)^2*IF(Profiles_140!U46&gt;Simulator!$L$21,1+Model_Formula!$N$23,1)</x:f>
        <x:v>45</x:v>
      </x:c>
      <x:c r="Q50" s="66" t="n">
        <x:f>Model_Formula!$M$24*(Profiles_140!V46-Simulator!$L$22)^2*IF(Profiles_140!V46&gt;Simulator!$L$22,1+Model_Formula!$N$24,1)</x:f>
        <x:v>40</x:v>
      </x:c>
      <x:c r="R50" s="66" t="n">
        <x:f>Model_Formula!$M$25*(Profiles_140!W46-Simulator!$L$23)^2*IF(Profiles_140!W46&gt;Simulator!$L$23,1+Model_Formula!$N$25,1)</x:f>
        <x:v>11.25</x:v>
      </x:c>
      <x:c r="S50" s="66" t="n">
        <x:f>Model_Formula!$M$26*(Profiles_140!X46-Simulator!$L$24)^2*IF(Profiles_140!X46&gt;Simulator!$L$24,1+Model_Formula!$N$26,1)</x:f>
        <x:v>334.12500000000006</x:v>
      </x:c>
      <x:c r="T50" s="66" t="n">
        <x:f>Model_Formula!$M$27*(Profiles_140!Y46-Simulator!$L$25)^2*IF(Profiles_140!Y46&gt;Simulator!$L$25,1+Model_Formula!$N$27,1)</x:f>
        <x:v>482.99999999999994</x:v>
      </x:c>
      <x:c r="U50" s="60" t="n">
        <x:f>SUM(F50:T50)/SUM($F$4:$T$4)</x:f>
        <x:v>843.3488805970151</x:v>
      </x:c>
      <x:c r="V50" s="60" t="n">
        <x:f>SQRT(U50)</x:f>
        <x:v>29.040469703450306</x:v>
      </x:c>
      <x:c r="W50" s="60" t="n">
        <x:f>MAX(0,100-V50)</x:f>
        <x:v>70.9595302965497</x:v>
      </x:c>
      <x:c r="X50" s="60" t="n">
        <x:f>SUMPRODUCT(Profiles_140!K46:Y46,$F$4:$T$4)/SUM($F$4:$T$4)</x:f>
        <x:v>55.093283582089555</x:v>
      </x:c>
      <x:c r="Y50" s="60" t="n">
        <x:f>IFERROR(50+50*SUMPRODUCT(($F$3:$T$3-$X$3)*(Profiles_140!K46:Y46-X50),$F$4:$T$4)/SQRT(SUMPRODUCT(($F$3:$T$3-$X$3)^2,$F$4:$T$4)*SUMPRODUCT((Profiles_140!K46:Y46-X50)^2,$F$4:$T$4)),50)</x:f>
        <x:v>50.00000000000001</x:v>
      </x:c>
      <x:c r="Z50" s="60" t="n">
        <x:f>$Z$3</x:f>
        <x:v>3.9474596431116675e-16</x:v>
      </x:c>
      <x:c r="AA50" s="60" t="n">
        <x:f>W50*(1-Model_Formula!$F$8*Z50)+Y50*(Model_Formula!$F$8*Z50)</x:f>
        <x:v>70.9595302965497</x:v>
      </x:c>
      <x:c r="AB50" s="60" t="n">
        <x:f>SQRT(SUMPRODUCT((Profiles_140!K46:Y46-50)^2,$F$4:$T$4)/SUM($F$4:$T$4))</x:f>
        <x:v>28.847579375415464</x:v>
      </x:c>
      <x:c r="AC50" s="60" t="n">
        <x:f>MAX(-Model_Formula!$F$11,MIN(Model_Formula!$F$11,Model_Formula!$F$10*(AB50-AVERAGE($AB$6:$AB$135))))</x:f>
        <x:v>-0.13027993184695177</x:v>
      </x:c>
      <x:c r="AD50" s="60" t="n">
        <x:f>MAX(0,MIN(100,AA50+AC50))</x:f>
        <x:v>70.82925036470274</x:v>
      </x:c>
      <x:c r="AE50" s="60" t="n">
        <x:f>MAX(0,MIN(1,IFERROR((MATCH(AD50,Percentile_Calibration!$F46:$DB46,1)-1)/100,0)))</x:f>
        <x:v>0.67</x:v>
      </x:c>
      <x:c r="AF50" s="62" t="n">
        <x:f>ROUND(MAX(Model_Formula!$I$9,Model_Formula!$I$5+Model_Formula!$I$6*POWER(AE50,Model_Formula!$I$7)),0)</x:f>
        <x:v>59</x:v>
      </x:c>
      <x:c r="AG50" t="n">
        <x:f>Profiles_140!AJ46</x:f>
        <x:v>0</x:v>
      </x:c>
      <x:c r="AH50" s="60" t="n">
        <x:f>Model_Formula!$I$8*(AE50*100)+(1-Model_Formula!$I$8)*AD50+AG50</x:f>
        <x:v>67.76585007294055</x:v>
      </x:c>
      <x:c r="AI50" t="n">
        <x:f>RANK.EQ(AH50,$AH$6:$AH$135,0)+COUNTIF($AH$6:AH50,AH50)-1</x:f>
        <x:v>93</x:v>
      </x:c>
    </x:row>
    <x:row r="51">
      <x:c r="A51" t="str">
        <x:f>Profiles_140!A47</x:f>
        <x:v>カイリュー</x:v>
      </x:c>
      <x:c r="B51" t="str">
        <x:f>Profiles_140!C47</x:f>
        <x:v>カイリュー-1</x:v>
      </x:c>
      <x:c r="C51" t="str">
        <x:f>Profiles_140!D47</x:f>
        <x:v>はかいこうせん</x:v>
      </x:c>
      <x:c r="D51" t="str">
        <x:f>Profiles_140!B47</x:f>
        <x:v>バランス型</x:v>
      </x:c>
      <x:c r="E51" t="str">
        <x:f>Profiles_140!I47</x:f>
        <x:v>高</x:v>
      </x:c>
      <x:c r="F51" s="66" t="n">
        <x:f>Model_Formula!$M$13*(Profiles_140!K47-Simulator!$L$11)^2*IF(Profiles_140!K47&gt;Simulator!$L$11,1+Model_Formula!$N$13,1)</x:f>
        <x:v>2025</x:v>
      </x:c>
      <x:c r="G51" s="66" t="n">
        <x:f>Model_Formula!$M$14*(Profiles_140!L47-Simulator!$L$12)^2*IF(Profiles_140!L47&gt;Simulator!$L$12,1+Model_Formula!$N$14,1)</x:f>
        <x:v>2126.25</x:v>
      </x:c>
      <x:c r="H51" s="66" t="n">
        <x:f>Model_Formula!$M$15*(Profiles_140!M47-Simulator!$L$13)^2*IF(Profiles_140!M47&gt;Simulator!$L$13,1+Model_Formula!$N$15,1)</x:f>
        <x:v>1600</x:v>
      </x:c>
      <x:c r="I51" s="66" t="n">
        <x:f>Model_Formula!$M$16*(Profiles_140!N47-Simulator!$L$14)^2*IF(Profiles_140!N47&gt;Simulator!$L$14,1+Model_Formula!$N$16,1)</x:f>
        <x:v>1600</x:v>
      </x:c>
      <x:c r="J51" s="66" t="n">
        <x:f>Model_Formula!$M$17*(Profiles_140!O47-Simulator!$L$15)^2*IF(Profiles_140!O47&gt;Simulator!$L$15,1+Model_Formula!$N$17,1)</x:f>
        <x:v>225</x:v>
      </x:c>
      <x:c r="K51" s="66" t="n">
        <x:f>Model_Formula!$M$18*(Profiles_140!P47-Simulator!$L$16)^2*IF(Profiles_140!P47&gt;Simulator!$L$16,1+Model_Formula!$N$18,1)</x:f>
        <x:v>810</x:v>
      </x:c>
      <x:c r="L51" s="66" t="n">
        <x:f>Model_Formula!$M$19*(Profiles_140!Q47-Simulator!$L$17)^2*IF(Profiles_140!Q47&gt;Simulator!$L$17,1+Model_Formula!$N$19,1)</x:f>
        <x:v>2025</x:v>
      </x:c>
      <x:c r="M51" s="66" t="n">
        <x:f>Model_Formula!$M$20*(Profiles_140!R47-Simulator!$L$18)^2*IF(Profiles_140!R47&gt;Simulator!$L$18,1+Model_Formula!$N$20,1)</x:f>
        <x:v>2025</x:v>
      </x:c>
      <x:c r="N51" s="66" t="n">
        <x:f>Model_Formula!$M$21*(Profiles_140!S47-Simulator!$L$19)^2*IF(Profiles_140!S47&gt;Simulator!$L$19,1+Model_Formula!$N$21,1)</x:f>
        <x:v>0</x:v>
      </x:c>
      <x:c r="O51" s="66" t="n">
        <x:f>Model_Formula!$M$22*(Profiles_140!T47-Simulator!$L$20)^2*IF(Profiles_140!T47&gt;Simulator!$L$20,1+Model_Formula!$N$22,1)</x:f>
        <x:v>25</x:v>
      </x:c>
      <x:c r="P51" s="66" t="n">
        <x:f>Model_Formula!$M$23*(Profiles_140!U47-Simulator!$L$21)^2*IF(Profiles_140!U47&gt;Simulator!$L$21,1+Model_Formula!$N$23,1)</x:f>
        <x:v>911.25</x:v>
      </x:c>
      <x:c r="Q51" s="66" t="n">
        <x:f>Model_Formula!$M$24*(Profiles_140!V47-Simulator!$L$22)^2*IF(Profiles_140!V47&gt;Simulator!$L$22,1+Model_Formula!$N$24,1)</x:f>
        <x:v>1000</x:v>
      </x:c>
      <x:c r="R51" s="66" t="n">
        <x:f>Model_Formula!$M$25*(Profiles_140!W47-Simulator!$L$23)^2*IF(Profiles_140!W47&gt;Simulator!$L$23,1+Model_Formula!$N$25,1)</x:f>
        <x:v>11.25</x:v>
      </x:c>
      <x:c r="S51" s="66" t="n">
        <x:f>Model_Formula!$M$26*(Profiles_140!X47-Simulator!$L$24)^2*IF(Profiles_140!X47&gt;Simulator!$L$24,1+Model_Formula!$N$26,1)</x:f>
        <x:v>334.12500000000006</x:v>
      </x:c>
      <x:c r="T51" s="66" t="n">
        <x:f>Model_Formula!$M$27*(Profiles_140!Y47-Simulator!$L$25)^2*IF(Profiles_140!Y47&gt;Simulator!$L$25,1+Model_Formula!$N$27,1)</x:f>
        <x:v>482.99999999999994</x:v>
      </x:c>
      <x:c r="U51" s="60" t="n">
        <x:f>SUM(F51:T51)/SUM($F$4:$T$4)</x:f>
        <x:v>1134.393656716418</x:v>
      </x:c>
      <x:c r="V51" s="60" t="n">
        <x:f>SQRT(U51)</x:f>
        <x:v>33.68076092840567</x:v>
      </x:c>
      <x:c r="W51" s="60" t="n">
        <x:f>MAX(0,100-V51)</x:f>
        <x:v>66.31923907159432</x:v>
      </x:c>
      <x:c r="X51" s="60" t="n">
        <x:f>SUMPRODUCT(Profiles_140!K47:Y47,$F$4:$T$4)/SUM($F$4:$T$4)</x:f>
        <x:v>39.90671641791045</x:v>
      </x:c>
      <x:c r="Y51" s="60" t="n">
        <x:f>IFERROR(50+50*SUMPRODUCT(($F$3:$T$3-$X$3)*(Profiles_140!K47:Y47-X51),$F$4:$T$4)/SQRT(SUMPRODUCT(($F$3:$T$3-$X$3)^2,$F$4:$T$4)*SUMPRODUCT((Profiles_140!K47:Y47-X51)^2,$F$4:$T$4)),50)</x:f>
        <x:v>50</x:v>
      </x:c>
      <x:c r="Z51" s="60" t="n">
        <x:f>$Z$3</x:f>
        <x:v>3.9474596431116675e-16</x:v>
      </x:c>
      <x:c r="AA51" s="60" t="n">
        <x:f>W51*(1-Model_Formula!$F$8*Z51)+Y51*(Model_Formula!$F$8*Z51)</x:f>
        <x:v>66.31923907159432</x:v>
      </x:c>
      <x:c r="AB51" s="60" t="n">
        <x:f>SQRT(SUMPRODUCT((Profiles_140!K47:Y47-50)^2,$F$4:$T$4)/SUM($F$4:$T$4))</x:f>
        <x:v>33.51458804670436</x:v>
      </x:c>
      <x:c r="AC51" s="60" t="n">
        <x:f>MAX(-Model_Formula!$F$11,MIN(Model_Formula!$F$11,Model_Formula!$F$10*(AB51-AVERAGE($AB$6:$AB$135))))</x:f>
        <x:v>1.969873970233052</x:v>
      </x:c>
      <x:c r="AD51" s="60" t="n">
        <x:f>MAX(0,MIN(100,AA51+AC51))</x:f>
        <x:v>68.28911304182738</x:v>
      </x:c>
      <x:c r="AE51" s="60" t="n">
        <x:f>MAX(0,MIN(1,IFERROR((MATCH(AD51,Percentile_Calibration!$F47:$DB47,1)-1)/100,0)))</x:f>
        <x:v>0.68</x:v>
      </x:c>
      <x:c r="AF51" s="62" t="n">
        <x:f>ROUND(MAX(Model_Formula!$I$9,Model_Formula!$I$5+Model_Formula!$I$6*POWER(AE51,Model_Formula!$I$7)),0)</x:f>
        <x:v>59</x:v>
      </x:c>
      <x:c r="AG51" t="n">
        <x:f>Profiles_140!AJ47</x:f>
        <x:v>0</x:v>
      </x:c>
      <x:c r="AH51" s="60" t="n">
        <x:f>Model_Formula!$I$8*(AE51*100)+(1-Model_Formula!$I$8)*AD51+AG51</x:f>
        <x:v>68.05782260836548</x:v>
      </x:c>
      <x:c r="AI51" t="n">
        <x:f>RANK.EQ(AH51,$AH$6:$AH$135,0)+COUNTIF($AH$6:AH51,AH51)-1</x:f>
        <x:v>90</x:v>
      </x:c>
    </x:row>
    <x:row r="52">
      <x:c r="A52" t="str">
        <x:f>Profiles_140!A48</x:f>
        <x:v>カイリュー</x:v>
      </x:c>
      <x:c r="B52" t="str">
        <x:f>Profiles_140!C48</x:f>
        <x:v>カイリュー-2</x:v>
      </x:c>
      <x:c r="C52" t="str">
        <x:f>Profiles_140!D48</x:f>
        <x:v>げきりん</x:v>
      </x:c>
      <x:c r="D52" t="str">
        <x:f>Profiles_140!B48</x:f>
        <x:v>バランス型</x:v>
      </x:c>
      <x:c r="E52" t="str">
        <x:f>Profiles_140!I48</x:f>
        <x:v>高</x:v>
      </x:c>
      <x:c r="F52" s="66" t="n">
        <x:f>Model_Formula!$M$13*(Profiles_140!K48-Simulator!$L$11)^2*IF(Profiles_140!K48&gt;Simulator!$L$11,1+Model_Formula!$N$13,1)</x:f>
        <x:v>400</x:v>
      </x:c>
      <x:c r="G52" s="66" t="n">
        <x:f>Model_Formula!$M$14*(Profiles_140!L48-Simulator!$L$12)^2*IF(Profiles_140!L48&gt;Simulator!$L$12,1+Model_Formula!$N$14,1)</x:f>
        <x:v>656.25</x:v>
      </x:c>
      <x:c r="H52" s="66" t="n">
        <x:f>Model_Formula!$M$15*(Profiles_140!M48-Simulator!$L$13)^2*IF(Profiles_140!M48&gt;Simulator!$L$13,1+Model_Formula!$N$15,1)</x:f>
        <x:v>900</x:v>
      </x:c>
      <x:c r="I52" s="66" t="n">
        <x:f>Model_Formula!$M$16*(Profiles_140!N48-Simulator!$L$14)^2*IF(Profiles_140!N48&gt;Simulator!$L$14,1+Model_Formula!$N$16,1)</x:f>
        <x:v>2025</x:v>
      </x:c>
      <x:c r="J52" s="66" t="n">
        <x:f>Model_Formula!$M$17*(Profiles_140!O48-Simulator!$L$15)^2*IF(Profiles_140!O48&gt;Simulator!$L$15,1+Model_Formula!$N$17,1)</x:f>
        <x:v>2500</x:v>
      </x:c>
      <x:c r="K52" s="66" t="n">
        <x:f>Model_Formula!$M$18*(Profiles_140!P48-Simulator!$L$16)^2*IF(Profiles_140!P48&gt;Simulator!$L$16,1+Model_Formula!$N$18,1)</x:f>
        <x:v>22.5</x:v>
      </x:c>
      <x:c r="L52" s="66" t="n">
        <x:f>Model_Formula!$M$19*(Profiles_140!Q48-Simulator!$L$17)^2*IF(Profiles_140!Q48&gt;Simulator!$L$17,1+Model_Formula!$N$19,1)</x:f>
        <x:v>0</x:v>
      </x:c>
      <x:c r="M52" s="66" t="n">
        <x:f>Model_Formula!$M$20*(Profiles_140!R48-Simulator!$L$18)^2*IF(Profiles_140!R48&gt;Simulator!$L$18,1+Model_Formula!$N$20,1)</x:f>
        <x:v>2500</x:v>
      </x:c>
      <x:c r="N52" s="66" t="n">
        <x:f>Model_Formula!$M$21*(Profiles_140!S48-Simulator!$L$19)^2*IF(Profiles_140!S48&gt;Simulator!$L$19,1+Model_Formula!$N$21,1)</x:f>
        <x:v>25</x:v>
      </x:c>
      <x:c r="O52" s="66" t="n">
        <x:f>Model_Formula!$M$22*(Profiles_140!T48-Simulator!$L$20)^2*IF(Profiles_140!T48&gt;Simulator!$L$20,1+Model_Formula!$N$22,1)</x:f>
        <x:v>1225</x:v>
      </x:c>
      <x:c r="P52" s="66" t="n">
        <x:f>Model_Formula!$M$23*(Profiles_140!U48-Simulator!$L$21)^2*IF(Profiles_140!U48&gt;Simulator!$L$21,1+Model_Formula!$N$23,1)</x:f>
        <x:v>180</x:v>
      </x:c>
      <x:c r="Q52" s="66" t="n">
        <x:f>Model_Formula!$M$24*(Profiles_140!V48-Simulator!$L$22)^2*IF(Profiles_140!V48&gt;Simulator!$L$22,1+Model_Formula!$N$24,1)</x:f>
        <x:v>90</x:v>
      </x:c>
      <x:c r="R52" s="66" t="n">
        <x:f>Model_Formula!$M$25*(Profiles_140!W48-Simulator!$L$23)^2*IF(Profiles_140!W48&gt;Simulator!$L$23,1+Model_Formula!$N$25,1)</x:f>
        <x:v>11.25</x:v>
      </x:c>
      <x:c r="S52" s="66" t="n">
        <x:f>Model_Formula!$M$26*(Profiles_140!X48-Simulator!$L$24)^2*IF(Profiles_140!X48&gt;Simulator!$L$24,1+Model_Formula!$N$26,1)</x:f>
        <x:v>148.50000000000003</x:v>
      </x:c>
      <x:c r="T52" s="66" t="n">
        <x:f>Model_Formula!$M$27*(Profiles_140!Y48-Simulator!$L$25)^2*IF(Profiles_140!Y48&gt;Simulator!$L$25,1+Model_Formula!$N$27,1)</x:f>
        <x:v>120.74999999999999</x:v>
      </x:c>
      <x:c r="U52" s="60" t="n">
        <x:f>SUM(F52:T52)/SUM($F$4:$T$4)</x:f>
        <x:v>806.287313432836</x:v>
      </x:c>
      <x:c r="V52" s="60" t="n">
        <x:f>SQRT(U52)</x:f>
        <x:v>28.395198774314576</x:v>
      </x:c>
      <x:c r="W52" s="60" t="n">
        <x:f>MAX(0,100-V52)</x:f>
        <x:v>71.60480122568542</x:v>
      </x:c>
      <x:c r="X52" s="60" t="n">
        <x:f>SUMPRODUCT(Profiles_140!K48:Y48,$F$4:$T$4)/SUM($F$4:$T$4)</x:f>
        <x:v>53.320895522388064</x:v>
      </x:c>
      <x:c r="Y52" s="60" t="n">
        <x:f>IFERROR(50+50*SUMPRODUCT(($F$3:$T$3-$X$3)*(Profiles_140!K48:Y48-X52),$F$4:$T$4)/SQRT(SUMPRODUCT(($F$3:$T$3-$X$3)^2,$F$4:$T$4)*SUMPRODUCT((Profiles_140!K48:Y48-X52)^2,$F$4:$T$4)),50)</x:f>
        <x:v>50.00000000000001</x:v>
      </x:c>
      <x:c r="Z52" s="60" t="n">
        <x:f>$Z$3</x:f>
        <x:v>3.9474596431116675e-16</x:v>
      </x:c>
      <x:c r="AA52" s="60" t="n">
        <x:f>W52*(1-Model_Formula!$F$8*Z52)+Y52*(Model_Formula!$F$8*Z52)</x:f>
        <x:v>71.60480122568542</x:v>
      </x:c>
      <x:c r="AB52" s="60" t="n">
        <x:f>SQRT(SUMPRODUCT((Profiles_140!K48:Y48-50)^2,$F$4:$T$4)/SUM($F$4:$T$4))</x:f>
        <x:v>28.323820469176635</x:v>
      </x:c>
      <x:c r="AC52" s="60" t="n">
        <x:f>MAX(-Model_Formula!$F$11,MIN(Model_Formula!$F$11,Model_Formula!$F$10*(AB52-AVERAGE($AB$6:$AB$135))))</x:f>
        <x:v>-0.36597143965442475</x:v>
      </x:c>
      <x:c r="AD52" s="60" t="n">
        <x:f>MAX(0,MIN(100,AA52+AC52))</x:f>
        <x:v>71.23882978603099</x:v>
      </x:c>
      <x:c r="AE52" s="60" t="n">
        <x:f>MAX(0,MIN(1,IFERROR((MATCH(AD52,Percentile_Calibration!$F48:$DB48,1)-1)/100,0)))</x:f>
        <x:v>0.7</x:v>
      </x:c>
      <x:c r="AF52" s="62" t="n">
        <x:f>ROUND(MAX(Model_Formula!$I$9,Model_Formula!$I$5+Model_Formula!$I$6*POWER(AE52,Model_Formula!$I$7)),0)</x:f>
        <x:v>61</x:v>
      </x:c>
      <x:c r="AG52" t="n">
        <x:f>Profiles_140!AJ48</x:f>
        <x:v>0</x:v>
      </x:c>
      <x:c r="AH52" s="60" t="n">
        <x:f>Model_Formula!$I$8*(AE52*100)+(1-Model_Formula!$I$8)*AD52+AG52</x:f>
        <x:v>70.2477659572062</x:v>
      </x:c>
      <x:c r="AI52" t="n">
        <x:f>RANK.EQ(AH52,$AH$6:$AH$135,0)+COUNTIF($AH$6:AH52,AH52)-1</x:f>
        <x:v>76</x:v>
      </x:c>
    </x:row>
    <x:row r="53">
      <x:c r="A53" t="str">
        <x:f>Profiles_140!A49</x:f>
        <x:v>ガブリアス</x:v>
      </x:c>
      <x:c r="B53" t="str">
        <x:f>Profiles_140!C49</x:f>
        <x:v>ガブリアス-1</x:v>
      </x:c>
      <x:c r="C53" t="str">
        <x:f>Profiles_140!D49</x:f>
        <x:v>共通</x:v>
      </x:c>
      <x:c r="D53" t="str">
        <x:f>Profiles_140!B49</x:f>
        <x:v>バランス型</x:v>
      </x:c>
      <x:c r="E53" t="str">
        <x:f>Profiles_140!I49</x:f>
        <x:v>高</x:v>
      </x:c>
      <x:c r="F53" s="66" t="n">
        <x:f>Model_Formula!$M$13*(Profiles_140!K49-Simulator!$L$11)^2*IF(Profiles_140!K49&gt;Simulator!$L$11,1+Model_Formula!$N$13,1)</x:f>
        <x:v>25</x:v>
      </x:c>
      <x:c r="G53" s="66" t="n">
        <x:f>Model_Formula!$M$14*(Profiles_140!L49-Simulator!$L$12)^2*IF(Profiles_140!L49&gt;Simulator!$L$12,1+Model_Formula!$N$14,1)</x:f>
        <x:v>26.25</x:v>
      </x:c>
      <x:c r="H53" s="66" t="n">
        <x:f>Model_Formula!$M$15*(Profiles_140!M49-Simulator!$L$13)^2*IF(Profiles_140!M49&gt;Simulator!$L$13,1+Model_Formula!$N$15,1)</x:f>
        <x:v>225</x:v>
      </x:c>
      <x:c r="I53" s="66" t="n">
        <x:f>Model_Formula!$M$16*(Profiles_140!N49-Simulator!$L$14)^2*IF(Profiles_140!N49&gt;Simulator!$L$14,1+Model_Formula!$N$16,1)</x:f>
        <x:v>2500</x:v>
      </x:c>
      <x:c r="J53" s="66" t="n">
        <x:f>Model_Formula!$M$17*(Profiles_140!O49-Simulator!$L$15)^2*IF(Profiles_140!O49&gt;Simulator!$L$15,1+Model_Formula!$N$17,1)</x:f>
        <x:v>1600</x:v>
      </x:c>
      <x:c r="K53" s="66" t="n">
        <x:f>Model_Formula!$M$18*(Profiles_140!P49-Simulator!$L$16)^2*IF(Profiles_140!P49&gt;Simulator!$L$16,1+Model_Formula!$N$18,1)</x:f>
        <x:v>1822.5</x:v>
      </x:c>
      <x:c r="L53" s="66" t="n">
        <x:f>Model_Formula!$M$19*(Profiles_140!Q49-Simulator!$L$17)^2*IF(Profiles_140!Q49&gt;Simulator!$L$17,1+Model_Formula!$N$19,1)</x:f>
        <x:v>400</x:v>
      </x:c>
      <x:c r="M53" s="66" t="n">
        <x:f>Model_Formula!$M$20*(Profiles_140!R49-Simulator!$L$18)^2*IF(Profiles_140!R49&gt;Simulator!$L$18,1+Model_Formula!$N$20,1)</x:f>
        <x:v>2025</x:v>
      </x:c>
      <x:c r="N53" s="66" t="n">
        <x:f>Model_Formula!$M$21*(Profiles_140!S49-Simulator!$L$19)^2*IF(Profiles_140!S49&gt;Simulator!$L$19,1+Model_Formula!$N$21,1)</x:f>
        <x:v>1225</x:v>
      </x:c>
      <x:c r="O53" s="66" t="n">
        <x:f>Model_Formula!$M$22*(Profiles_140!T49-Simulator!$L$20)^2*IF(Profiles_140!T49&gt;Simulator!$L$20,1+Model_Formula!$N$22,1)</x:f>
        <x:v>900</x:v>
      </x:c>
      <x:c r="P53" s="66" t="n">
        <x:f>Model_Formula!$M$23*(Profiles_140!U49-Simulator!$L$21)^2*IF(Profiles_140!U49&gt;Simulator!$L$21,1+Model_Formula!$N$23,1)</x:f>
        <x:v>405</x:v>
      </x:c>
      <x:c r="Q53" s="66" t="n">
        <x:f>Model_Formula!$M$24*(Profiles_140!V49-Simulator!$L$22)^2*IF(Profiles_140!V49&gt;Simulator!$L$22,1+Model_Formula!$N$24,1)</x:f>
        <x:v>640</x:v>
      </x:c>
      <x:c r="R53" s="66" t="n">
        <x:f>Model_Formula!$M$25*(Profiles_140!W49-Simulator!$L$23)^2*IF(Profiles_140!W49&gt;Simulator!$L$23,1+Model_Formula!$N$25,1)</x:f>
        <x:v>45</x:v>
      </x:c>
      <x:c r="S53" s="66" t="n">
        <x:f>Model_Formula!$M$26*(Profiles_140!X49-Simulator!$L$24)^2*IF(Profiles_140!X49&gt;Simulator!$L$24,1+Model_Formula!$N$26,1)</x:f>
        <x:v>0</x:v>
      </x:c>
      <x:c r="T53" s="66" t="n">
        <x:f>Model_Formula!$M$27*(Profiles_140!Y49-Simulator!$L$25)^2*IF(Profiles_140!Y49&gt;Simulator!$L$25,1+Model_Formula!$N$27,1)</x:f>
        <x:v>0</x:v>
      </x:c>
      <x:c r="U53" s="60" t="n">
        <x:f>SUM(F53:T53)/SUM($F$4:$T$4)</x:f>
        <x:v>883.4888059701493</x:v>
      </x:c>
      <x:c r="V53" s="60" t="n">
        <x:f>SQRT(U53)</x:f>
        <x:v>29.723539593563707</x:v>
      </x:c>
      <x:c r="W53" s="60" t="n">
        <x:f>MAX(0,100-V53)</x:f>
        <x:v>70.27646040643629</x:v>
      </x:c>
      <x:c r="X53" s="60" t="n">
        <x:f>SUMPRODUCT(Profiles_140!K49:Y49,$F$4:$T$4)/SUM($F$4:$T$4)</x:f>
        <x:v>50.05597014925374</x:v>
      </x:c>
      <x:c r="Y53" s="60" t="n">
        <x:f>IFERROR(50+50*SUMPRODUCT(($F$3:$T$3-$X$3)*(Profiles_140!K49:Y49-X53),$F$4:$T$4)/SQRT(SUMPRODUCT(($F$3:$T$3-$X$3)^2,$F$4:$T$4)*SUMPRODUCT((Profiles_140!K49:Y49-X53)^2,$F$4:$T$4)),50)</x:f>
        <x:v>50.000000000000014</x:v>
      </x:c>
      <x:c r="Z53" s="60" t="n">
        <x:f>$Z$3</x:f>
        <x:v>3.9474596431116675e-16</x:v>
      </x:c>
      <x:c r="AA53" s="60" t="n">
        <x:f>W53*(1-Model_Formula!$F$8*Z53)+Y53*(Model_Formula!$F$8*Z53)</x:f>
        <x:v>70.27646040643629</x:v>
      </x:c>
      <x:c r="AB53" s="60" t="n">
        <x:f>SQRT(SUMPRODUCT((Profiles_140!K49:Y49-50)^2,$F$4:$T$4)/SUM($F$4:$T$4))</x:f>
        <x:v>29.723539593563707</x:v>
      </x:c>
      <x:c r="AC53" s="60" t="n">
        <x:f>MAX(-Model_Formula!$F$11,MIN(Model_Formula!$F$11,Model_Formula!$F$10*(AB53-AVERAGE($AB$6:$AB$135))))</x:f>
        <x:v>0.2639021663197578</x:v>
      </x:c>
      <x:c r="AD53" s="60" t="n">
        <x:f>MAX(0,MIN(100,AA53+AC53))</x:f>
        <x:v>70.54036257275604</x:v>
      </x:c>
      <x:c r="AE53" s="60" t="n">
        <x:f>MAX(0,MIN(1,IFERROR((MATCH(AD53,Percentile_Calibration!$F49:$DB49,1)-1)/100,0)))</x:f>
        <x:v>0.83</x:v>
      </x:c>
      <x:c r="AF53" s="62" t="n">
        <x:f>ROUND(MAX(Model_Formula!$I$9,Model_Formula!$I$5+Model_Formula!$I$6*POWER(AE53,Model_Formula!$I$7)),0)</x:f>
        <x:v>73</x:v>
      </x:c>
      <x:c r="AG53" t="n">
        <x:f>Profiles_140!AJ49</x:f>
        <x:v>0</x:v>
      </x:c>
      <x:c r="AH53" s="60" t="n">
        <x:f>Model_Formula!$I$8*(AE53*100)+(1-Model_Formula!$I$8)*AD53+AG53</x:f>
        <x:v>80.50807251455122</x:v>
      </x:c>
      <x:c r="AI53" t="n">
        <x:f>RANK.EQ(AH53,$AH$6:$AH$135,0)+COUNTIF($AH$6:AH53,AH53)-1</x:f>
        <x:v>34</x:v>
      </x:c>
    </x:row>
    <x:row r="54">
      <x:c r="A54" t="str">
        <x:f>Profiles_140!A50</x:f>
        <x:v>ギャラドス</x:v>
      </x:c>
      <x:c r="B54" t="str">
        <x:f>Profiles_140!C50</x:f>
        <x:v>ギャラドス-1</x:v>
      </x:c>
      <x:c r="C54" t="str">
        <x:f>Profiles_140!D50</x:f>
        <x:v>共通</x:v>
      </x:c>
      <x:c r="D54" t="str">
        <x:f>Profiles_140!B50</x:f>
        <x:v>バランス型</x:v>
      </x:c>
      <x:c r="E54" t="str">
        <x:f>Profiles_140!I50</x:f>
        <x:v>高</x:v>
      </x:c>
      <x:c r="F54" s="66" t="n">
        <x:f>Model_Formula!$M$13*(Profiles_140!K50-Simulator!$L$11)^2*IF(Profiles_140!K50&gt;Simulator!$L$11,1+Model_Formula!$N$13,1)</x:f>
        <x:v>2025</x:v>
      </x:c>
      <x:c r="G54" s="66" t="n">
        <x:f>Model_Formula!$M$14*(Profiles_140!L50-Simulator!$L$12)^2*IF(Profiles_140!L50&gt;Simulator!$L$12,1+Model_Formula!$N$14,1)</x:f>
        <x:v>2625</x:v>
      </x:c>
      <x:c r="H54" s="66" t="n">
        <x:f>Model_Formula!$M$15*(Profiles_140!M50-Simulator!$L$13)^2*IF(Profiles_140!M50&gt;Simulator!$L$13,1+Model_Formula!$N$15,1)</x:f>
        <x:v>900</x:v>
      </x:c>
      <x:c r="I54" s="66" t="n">
        <x:f>Model_Formula!$M$16*(Profiles_140!N50-Simulator!$L$14)^2*IF(Profiles_140!N50&gt;Simulator!$L$14,1+Model_Formula!$N$16,1)</x:f>
        <x:v>25</x:v>
      </x:c>
      <x:c r="J54" s="66" t="n">
        <x:f>Model_Formula!$M$17*(Profiles_140!O50-Simulator!$L$15)^2*IF(Profiles_140!O50&gt;Simulator!$L$15,1+Model_Formula!$N$17,1)</x:f>
        <x:v>1600</x:v>
      </x:c>
      <x:c r="K54" s="66" t="n">
        <x:f>Model_Formula!$M$18*(Profiles_140!P50-Simulator!$L$16)^2*IF(Profiles_140!P50&gt;Simulator!$L$16,1+Model_Formula!$N$18,1)</x:f>
        <x:v>202.5</x:v>
      </x:c>
      <x:c r="L54" s="66" t="n">
        <x:f>Model_Formula!$M$19*(Profiles_140!Q50-Simulator!$L$17)^2*IF(Profiles_140!Q50&gt;Simulator!$L$17,1+Model_Formula!$N$19,1)</x:f>
        <x:v>25</x:v>
      </x:c>
      <x:c r="M54" s="66" t="n">
        <x:f>Model_Formula!$M$20*(Profiles_140!R50-Simulator!$L$18)^2*IF(Profiles_140!R50&gt;Simulator!$L$18,1+Model_Formula!$N$20,1)</x:f>
        <x:v>2025</x:v>
      </x:c>
      <x:c r="N54" s="66" t="n">
        <x:f>Model_Formula!$M$21*(Profiles_140!S50-Simulator!$L$19)^2*IF(Profiles_140!S50&gt;Simulator!$L$19,1+Model_Formula!$N$21,1)</x:f>
        <x:v>900</x:v>
      </x:c>
      <x:c r="O54" s="66" t="n">
        <x:f>Model_Formula!$M$22*(Profiles_140!T50-Simulator!$L$20)^2*IF(Profiles_140!T50&gt;Simulator!$L$20,1+Model_Formula!$N$22,1)</x:f>
        <x:v>400</x:v>
      </x:c>
      <x:c r="P54" s="66" t="n">
        <x:f>Model_Formula!$M$23*(Profiles_140!U50-Simulator!$L$21)^2*IF(Profiles_140!U50&gt;Simulator!$L$21,1+Model_Formula!$N$23,1)</x:f>
        <x:v>45</x:v>
      </x:c>
      <x:c r="Q54" s="66" t="n">
        <x:f>Model_Formula!$M$24*(Profiles_140!V50-Simulator!$L$22)^2*IF(Profiles_140!V50&gt;Simulator!$L$22,1+Model_Formula!$N$24,1)</x:f>
        <x:v>40</x:v>
      </x:c>
      <x:c r="R54" s="66" t="n">
        <x:f>Model_Formula!$M$25*(Profiles_140!W50-Simulator!$L$23)^2*IF(Profiles_140!W50&gt;Simulator!$L$23,1+Model_Formula!$N$25,1)</x:f>
        <x:v>11.25</x:v>
      </x:c>
      <x:c r="S54" s="66" t="n">
        <x:f>Model_Formula!$M$26*(Profiles_140!X50-Simulator!$L$24)^2*IF(Profiles_140!X50&gt;Simulator!$L$24,1+Model_Formula!$N$26,1)</x:f>
        <x:v>334.12500000000006</x:v>
      </x:c>
      <x:c r="T54" s="66" t="n">
        <x:f>Model_Formula!$M$27*(Profiles_140!Y50-Simulator!$L$25)^2*IF(Profiles_140!Y50&gt;Simulator!$L$25,1+Model_Formula!$N$27,1)</x:f>
        <x:v>482.99999999999994</x:v>
      </x:c>
      <x:c r="U54" s="60" t="n">
        <x:f>SUM(F54:T54)/SUM($F$4:$T$4)</x:f>
        <x:v>868.7220149253732</x:v>
      </x:c>
      <x:c r="V54" s="60" t="n">
        <x:f>SQRT(U54)</x:f>
        <x:v>29.47409056994589</x:v>
      </x:c>
      <x:c r="W54" s="60" t="n">
        <x:f>MAX(0,100-V54)</x:f>
        <x:v>70.52590943005411</x:v>
      </x:c>
      <x:c r="X54" s="60" t="n">
        <x:f>SUMPRODUCT(Profiles_140!K50:Y50,$F$4:$T$4)/SUM($F$4:$T$4)</x:f>
        <x:v>55.018656716417915</x:v>
      </x:c>
      <x:c r="Y54" s="60" t="n">
        <x:f>IFERROR(50+50*SUMPRODUCT(($F$3:$T$3-$X$3)*(Profiles_140!K50:Y50-X54),$F$4:$T$4)/SQRT(SUMPRODUCT(($F$3:$T$3-$X$3)^2,$F$4:$T$4)*SUMPRODUCT((Profiles_140!K50:Y50-X54)^2,$F$4:$T$4)),50)</x:f>
        <x:v>50.00000000000001</x:v>
      </x:c>
      <x:c r="Z54" s="60" t="n">
        <x:f>$Z$3</x:f>
        <x:v>3.9474596431116675e-16</x:v>
      </x:c>
      <x:c r="AA54" s="60" t="n">
        <x:f>W54*(1-Model_Formula!$F$8*Z54)+Y54*(Model_Formula!$F$8*Z54)</x:f>
        <x:v>70.52590943005411</x:v>
      </x:c>
      <x:c r="AB54" s="60" t="n">
        <x:f>SQRT(SUMPRODUCT((Profiles_140!K50:Y50-50)^2,$F$4:$T$4)/SUM($F$4:$T$4))</x:f>
        <x:v>29.28405658629374</x:v>
      </x:c>
      <x:c r="AC54" s="60" t="n">
        <x:f>MAX(-Model_Formula!$F$11,MIN(Model_Formula!$F$11,Model_Formula!$F$10*(AB54-AVERAGE($AB$6:$AB$135))))</x:f>
        <x:v>0.06613481304827272</x:v>
      </x:c>
      <x:c r="AD54" s="60" t="n">
        <x:f>MAX(0,MIN(100,AA54+AC54))</x:f>
        <x:v>70.5920442431024</x:v>
      </x:c>
      <x:c r="AE54" s="60" t="n">
        <x:f>MAX(0,MIN(1,IFERROR((MATCH(AD54,Percentile_Calibration!$F50:$DB50,1)-1)/100,0)))</x:f>
        <x:v>0.66</x:v>
      </x:c>
      <x:c r="AF54" s="62" t="n">
        <x:f>ROUND(MAX(Model_Formula!$I$9,Model_Formula!$I$5+Model_Formula!$I$6*POWER(AE54,Model_Formula!$I$7)),0)</x:f>
        <x:v>58</x:v>
      </x:c>
      <x:c r="AG54" t="n">
        <x:f>Profiles_140!AJ50</x:f>
        <x:v>0</x:v>
      </x:c>
      <x:c r="AH54" s="60" t="n">
        <x:f>Model_Formula!$I$8*(AE54*100)+(1-Model_Formula!$I$8)*AD54+AG54</x:f>
        <x:v>66.91840884862049</x:v>
      </x:c>
      <x:c r="AI54" t="n">
        <x:f>RANK.EQ(AH54,$AH$6:$AH$135,0)+COUNTIF($AH$6:AH54,AH54)-1</x:f>
        <x:v>101</x:v>
      </x:c>
    </x:row>
    <x:row r="55">
      <x:c r="A55" t="str">
        <x:f>Profiles_140!A51</x:f>
        <x:v>メガギャラドス</x:v>
      </x:c>
      <x:c r="B55" t="str">
        <x:f>Profiles_140!C51</x:f>
        <x:v>メガギャラドス-1</x:v>
      </x:c>
      <x:c r="C55" t="str">
        <x:f>Profiles_140!D51</x:f>
        <x:v>共通</x:v>
      </x:c>
      <x:c r="D55" t="str">
        <x:f>Profiles_140!B51</x:f>
        <x:v>バランス型</x:v>
      </x:c>
      <x:c r="E55" t="str">
        <x:f>Profiles_140!I51</x:f>
        <x:v>中</x:v>
      </x:c>
      <x:c r="F55" s="66" t="n">
        <x:f>Model_Formula!$M$13*(Profiles_140!K51-Simulator!$L$11)^2*IF(Profiles_140!K51&gt;Simulator!$L$11,1+Model_Formula!$N$13,1)</x:f>
        <x:v>900</x:v>
      </x:c>
      <x:c r="G55" s="66" t="n">
        <x:f>Model_Formula!$M$14*(Profiles_140!L51-Simulator!$L$12)^2*IF(Profiles_140!L51&gt;Simulator!$L$12,1+Model_Formula!$N$14,1)</x:f>
        <x:v>2625</x:v>
      </x:c>
      <x:c r="H55" s="66" t="n">
        <x:f>Model_Formula!$M$15*(Profiles_140!M51-Simulator!$L$13)^2*IF(Profiles_140!M51&gt;Simulator!$L$13,1+Model_Formula!$N$15,1)</x:f>
        <x:v>900</x:v>
      </x:c>
      <x:c r="I55" s="66" t="n">
        <x:f>Model_Formula!$M$16*(Profiles_140!N51-Simulator!$L$14)^2*IF(Profiles_140!N51&gt;Simulator!$L$14,1+Model_Formula!$N$16,1)</x:f>
        <x:v>900</x:v>
      </x:c>
      <x:c r="J55" s="66" t="n">
        <x:f>Model_Formula!$M$17*(Profiles_140!O51-Simulator!$L$15)^2*IF(Profiles_140!O51&gt;Simulator!$L$15,1+Model_Formula!$N$17,1)</x:f>
        <x:v>1600</x:v>
      </x:c>
      <x:c r="K55" s="66" t="n">
        <x:f>Model_Formula!$M$18*(Profiles_140!P51-Simulator!$L$16)^2*IF(Profiles_140!P51&gt;Simulator!$L$16,1+Model_Formula!$N$18,1)</x:f>
        <x:v>22.5</x:v>
      </x:c>
      <x:c r="L55" s="66" t="n">
        <x:f>Model_Formula!$M$19*(Profiles_140!Q51-Simulator!$L$17)^2*IF(Profiles_140!Q51&gt;Simulator!$L$17,1+Model_Formula!$N$19,1)</x:f>
        <x:v>25</x:v>
      </x:c>
      <x:c r="M55" s="66" t="n">
        <x:f>Model_Formula!$M$20*(Profiles_140!R51-Simulator!$L$18)^2*IF(Profiles_140!R51&gt;Simulator!$L$18,1+Model_Formula!$N$20,1)</x:f>
        <x:v>2025</x:v>
      </x:c>
      <x:c r="N55" s="66" t="n">
        <x:f>Model_Formula!$M$21*(Profiles_140!S51-Simulator!$L$19)^2*IF(Profiles_140!S51&gt;Simulator!$L$19,1+Model_Formula!$N$21,1)</x:f>
        <x:v>1600</x:v>
      </x:c>
      <x:c r="O55" s="66" t="n">
        <x:f>Model_Formula!$M$22*(Profiles_140!T51-Simulator!$L$20)^2*IF(Profiles_140!T51&gt;Simulator!$L$20,1+Model_Formula!$N$22,1)</x:f>
        <x:v>900</x:v>
      </x:c>
      <x:c r="P55" s="66" t="n">
        <x:f>Model_Formula!$M$23*(Profiles_140!U51-Simulator!$L$21)^2*IF(Profiles_140!U51&gt;Simulator!$L$21,1+Model_Formula!$N$23,1)</x:f>
        <x:v>45</x:v>
      </x:c>
      <x:c r="Q55" s="66" t="n">
        <x:f>Model_Formula!$M$24*(Profiles_140!V51-Simulator!$L$22)^2*IF(Profiles_140!V51&gt;Simulator!$L$22,1+Model_Formula!$N$24,1)</x:f>
        <x:v>40</x:v>
      </x:c>
      <x:c r="R55" s="66" t="n">
        <x:f>Model_Formula!$M$25*(Profiles_140!W51-Simulator!$L$23)^2*IF(Profiles_140!W51&gt;Simulator!$L$23,1+Model_Formula!$N$25,1)</x:f>
        <x:v>11.25</x:v>
      </x:c>
      <x:c r="S55" s="66" t="n">
        <x:f>Model_Formula!$M$26*(Profiles_140!X51-Simulator!$L$24)^2*IF(Profiles_140!X51&gt;Simulator!$L$24,1+Model_Formula!$N$26,1)</x:f>
        <x:v>334.12500000000006</x:v>
      </x:c>
      <x:c r="T55" s="66" t="n">
        <x:f>Model_Formula!$M$27*(Profiles_140!Y51-Simulator!$L$25)^2*IF(Profiles_140!Y51&gt;Simulator!$L$25,1+Model_Formula!$N$27,1)</x:f>
        <x:v>482.99999999999994</x:v>
      </x:c>
      <x:c r="U55" s="60" t="n">
        <x:f>SUM(F55:T55)/SUM($F$4:$T$4)</x:f>
        <x:v>926.1847014925374</x:v>
      </x:c>
      <x:c r="V55" s="60" t="n">
        <x:f>SQRT(U55)</x:f>
        <x:v>30.433282791912827</x:v>
      </x:c>
      <x:c r="W55" s="60" t="n">
        <x:f>MAX(0,100-V55)</x:f>
        <x:v>69.56671720808717</x:v>
      </x:c>
      <x:c r="X55" s="60" t="n">
        <x:f>SUMPRODUCT(Profiles_140!K51:Y51,$F$4:$T$4)/SUM($F$4:$T$4)</x:f>
        <x:v>58.60074626865672</x:v>
      </x:c>
      <x:c r="Y55" s="60" t="n">
        <x:f>IFERROR(50+50*SUMPRODUCT(($F$3:$T$3-$X$3)*(Profiles_140!K51:Y51-X55),$F$4:$T$4)/SQRT(SUMPRODUCT(($F$3:$T$3-$X$3)^2,$F$4:$T$4)*SUMPRODUCT((Profiles_140!K51:Y51-X55)^2,$F$4:$T$4)),50)</x:f>
        <x:v>50.00000000000001</x:v>
      </x:c>
      <x:c r="Z55" s="60" t="n">
        <x:f>$Z$3</x:f>
        <x:v>3.9474596431116675e-16</x:v>
      </x:c>
      <x:c r="AA55" s="60" t="n">
        <x:f>W55*(1-Model_Formula!$F$8*Z55)+Y55*(Model_Formula!$F$8*Z55)</x:f>
        <x:v>69.56671720808717</x:v>
      </x:c>
      <x:c r="AB55" s="60" t="n">
        <x:f>SQRT(SUMPRODUCT((Profiles_140!K51:Y51-50)^2,$F$4:$T$4)/SUM($F$4:$T$4))</x:f>
        <x:v>30.24927530894613</x:v>
      </x:c>
      <x:c r="AC55" s="60" t="n">
        <x:f>MAX(-Model_Formula!$F$11,MIN(Model_Formula!$F$11,Model_Formula!$F$10*(AB55-AVERAGE($AB$6:$AB$135))))</x:f>
        <x:v>0.5004832382418488</x:v>
      </x:c>
      <x:c r="AD55" s="60" t="n">
        <x:f>MAX(0,MIN(100,AA55+AC55))</x:f>
        <x:v>70.06720044632902</x:v>
      </x:c>
      <x:c r="AE55" s="60" t="n">
        <x:f>MAX(0,MIN(1,IFERROR((MATCH(AD55,Percentile_Calibration!$F51:$DB51,1)-1)/100,0)))</x:f>
        <x:v>0.66</x:v>
      </x:c>
      <x:c r="AF55" s="62" t="n">
        <x:f>ROUND(MAX(Model_Formula!$I$9,Model_Formula!$I$5+Model_Formula!$I$6*POWER(AE55,Model_Formula!$I$7)),0)</x:f>
        <x:v>58</x:v>
      </x:c>
      <x:c r="AG55" t="n">
        <x:f>Profiles_140!AJ51</x:f>
        <x:v>0</x:v>
      </x:c>
      <x:c r="AH55" s="60" t="n">
        <x:f>Model_Formula!$I$8*(AE55*100)+(1-Model_Formula!$I$8)*AD55+AG55</x:f>
        <x:v>66.81344008926581</x:v>
      </x:c>
      <x:c r="AI55" t="n">
        <x:f>RANK.EQ(AH55,$AH$6:$AH$135,0)+COUNTIF($AH$6:AH55,AH55)-1</x:f>
        <x:v>104</x:v>
      </x:c>
    </x:row>
    <x:row r="56">
      <x:c r="A56" t="str">
        <x:f>Profiles_140!A52</x:f>
        <x:v>ギルガルド</x:v>
      </x:c>
      <x:c r="B56" t="str">
        <x:f>Profiles_140!C52</x:f>
        <x:v>ギルガルド-1</x:v>
      </x:c>
      <x:c r="C56" t="str">
        <x:f>Profiles_140!D52</x:f>
        <x:v>共通</x:v>
      </x:c>
      <x:c r="D56" t="str">
        <x:f>Profiles_140!B52</x:f>
        <x:v>バランス型</x:v>
      </x:c>
      <x:c r="E56" t="str">
        <x:f>Profiles_140!I52</x:f>
        <x:v>高</x:v>
      </x:c>
      <x:c r="F56" s="66" t="n">
        <x:f>Model_Formula!$M$13*(Profiles_140!K52-Simulator!$L$11)^2*IF(Profiles_140!K52&gt;Simulator!$L$11,1+Model_Formula!$N$13,1)</x:f>
        <x:v>100</x:v>
      </x:c>
      <x:c r="G56" s="66" t="n">
        <x:f>Model_Formula!$M$14*(Profiles_140!L52-Simulator!$L$12)^2*IF(Profiles_140!L52&gt;Simulator!$L$12,1+Model_Formula!$N$14,1)</x:f>
        <x:v>945</x:v>
      </x:c>
      <x:c r="H56" s="66" t="n">
        <x:f>Model_Formula!$M$15*(Profiles_140!M52-Simulator!$L$13)^2*IF(Profiles_140!M52&gt;Simulator!$L$13,1+Model_Formula!$N$15,1)</x:f>
        <x:v>625</x:v>
      </x:c>
      <x:c r="I56" s="66" t="n">
        <x:f>Model_Formula!$M$16*(Profiles_140!N52-Simulator!$L$14)^2*IF(Profiles_140!N52&gt;Simulator!$L$14,1+Model_Formula!$N$16,1)</x:f>
        <x:v>1225</x:v>
      </x:c>
      <x:c r="J56" s="66" t="n">
        <x:f>Model_Formula!$M$17*(Profiles_140!O52-Simulator!$L$15)^2*IF(Profiles_140!O52&gt;Simulator!$L$15,1+Model_Formula!$N$17,1)</x:f>
        <x:v>900</x:v>
      </x:c>
      <x:c r="K56" s="66" t="n">
        <x:f>Model_Formula!$M$18*(Profiles_140!P52-Simulator!$L$16)^2*IF(Profiles_140!P52&gt;Simulator!$L$16,1+Model_Formula!$N$18,1)</x:f>
        <x:v>360</x:v>
      </x:c>
      <x:c r="L56" s="66" t="n">
        <x:f>Model_Formula!$M$19*(Profiles_140!Q52-Simulator!$L$17)^2*IF(Profiles_140!Q52&gt;Simulator!$L$17,1+Model_Formula!$N$19,1)</x:f>
        <x:v>225</x:v>
      </x:c>
      <x:c r="M56" s="66" t="n">
        <x:f>Model_Formula!$M$20*(Profiles_140!R52-Simulator!$L$18)^2*IF(Profiles_140!R52&gt;Simulator!$L$18,1+Model_Formula!$N$20,1)</x:f>
        <x:v>2025</x:v>
      </x:c>
      <x:c r="N56" s="66" t="n">
        <x:f>Model_Formula!$M$21*(Profiles_140!S52-Simulator!$L$19)^2*IF(Profiles_140!S52&gt;Simulator!$L$19,1+Model_Formula!$N$21,1)</x:f>
        <x:v>400</x:v>
      </x:c>
      <x:c r="O56" s="66" t="n">
        <x:f>Model_Formula!$M$22*(Profiles_140!T52-Simulator!$L$20)^2*IF(Profiles_140!T52&gt;Simulator!$L$20,1+Model_Formula!$N$22,1)</x:f>
        <x:v>625</x:v>
      </x:c>
      <x:c r="P56" s="66" t="n">
        <x:f>Model_Formula!$M$23*(Profiles_140!U52-Simulator!$L$21)^2*IF(Profiles_140!U52&gt;Simulator!$L$21,1+Model_Formula!$N$23,1)</x:f>
        <x:v>180</x:v>
      </x:c>
      <x:c r="Q56" s="66" t="n">
        <x:f>Model_Formula!$M$24*(Profiles_140!V52-Simulator!$L$22)^2*IF(Profiles_140!V52&gt;Simulator!$L$22,1+Model_Formula!$N$24,1)</x:f>
        <x:v>90</x:v>
      </x:c>
      <x:c r="R56" s="66" t="n">
        <x:f>Model_Formula!$M$25*(Profiles_140!W52-Simulator!$L$23)^2*IF(Profiles_140!W52&gt;Simulator!$L$23,1+Model_Formula!$N$25,1)</x:f>
        <x:v>101.25</x:v>
      </x:c>
      <x:c r="S56" s="66" t="n">
        <x:f>Model_Formula!$M$26*(Profiles_140!X52-Simulator!$L$24)^2*IF(Profiles_140!X52&gt;Simulator!$L$24,1+Model_Formula!$N$26,1)</x:f>
        <x:v>2376.0000000000005</x:v>
      </x:c>
      <x:c r="T56" s="66" t="n">
        <x:f>Model_Formula!$M$27*(Profiles_140!Y52-Simulator!$L$25)^2*IF(Profiles_140!Y52&gt;Simulator!$L$25,1+Model_Formula!$N$27,1)</x:f>
        <x:v>271.6875</x:v>
      </x:c>
      <x:c r="U56" s="60" t="n">
        <x:f>SUM(F56:T56)/SUM($F$4:$T$4)</x:f>
        <x:v>779.7714552238807</x:v>
      </x:c>
      <x:c r="V56" s="60" t="n">
        <x:f>SQRT(U56)</x:f>
        <x:v>27.92438817993835</x:v>
      </x:c>
      <x:c r="W56" s="60" t="n">
        <x:f>MAX(0,100-V56)</x:f>
        <x:v>72.07561182006165</x:v>
      </x:c>
      <x:c r="X56" s="60" t="n">
        <x:f>SUMPRODUCT(Profiles_140!K52:Y52,$F$4:$T$4)/SUM($F$4:$T$4)</x:f>
        <x:v>57.910447761194035</x:v>
      </x:c>
      <x:c r="Y56" s="60" t="n">
        <x:f>IFERROR(50+50*SUMPRODUCT(($F$3:$T$3-$X$3)*(Profiles_140!K52:Y52-X56),$F$4:$T$4)/SQRT(SUMPRODUCT(($F$3:$T$3-$X$3)^2,$F$4:$T$4)*SUMPRODUCT((Profiles_140!K52:Y52-X56)^2,$F$4:$T$4)),50)</x:f>
        <x:v>50.00000000000001</x:v>
      </x:c>
      <x:c r="Z56" s="60" t="n">
        <x:f>$Z$3</x:f>
        <x:v>3.9474596431116675e-16</x:v>
      </x:c>
      <x:c r="AA56" s="60" t="n">
        <x:f>W56*(1-Model_Formula!$F$8*Z56)+Y56*(Model_Formula!$F$8*Z56)</x:f>
        <x:v>72.07561182006165</x:v>
      </x:c>
      <x:c r="AB56" s="60" t="n">
        <x:f>SQRT(SUMPRODUCT((Profiles_140!K52:Y52-50)^2,$F$4:$T$4)/SUM($F$4:$T$4))</x:f>
        <x:v>27.03990969692596</x:v>
      </x:c>
      <x:c r="AC56" s="60" t="n">
        <x:f>MAX(-Model_Formula!$F$11,MIN(Model_Formula!$F$11,Model_Formula!$F$10*(AB56-AVERAGE($AB$6:$AB$135))))</x:f>
        <x:v>-0.9437312871672283</x:v>
      </x:c>
      <x:c r="AD56" s="60" t="n">
        <x:f>MAX(0,MIN(100,AA56+AC56))</x:f>
        <x:v>71.13188053289443</x:v>
      </x:c>
      <x:c r="AE56" s="60" t="n">
        <x:f>MAX(0,MIN(1,IFERROR((MATCH(AD56,Percentile_Calibration!$F52:$DB52,1)-1)/100,0)))</x:f>
        <x:v>0.69</x:v>
      </x:c>
      <x:c r="AF56" s="62" t="n">
        <x:f>ROUND(MAX(Model_Formula!$I$9,Model_Formula!$I$5+Model_Formula!$I$6*POWER(AE56,Model_Formula!$I$7)),0)</x:f>
        <x:v>60</x:v>
      </x:c>
      <x:c r="AG56" t="n">
        <x:f>Profiles_140!AJ52</x:f>
        <x:v>0</x:v>
      </x:c>
      <x:c r="AH56" s="60" t="n">
        <x:f>Model_Formula!$I$8*(AE56*100)+(1-Model_Formula!$I$8)*AD56+AG56</x:f>
        <x:v>69.42637610657889</x:v>
      </x:c>
      <x:c r="AI56" t="n">
        <x:f>RANK.EQ(AH56,$AH$6:$AH$135,0)+COUNTIF($AH$6:AH56,AH56)-1</x:f>
        <x:v>80</x:v>
      </x:c>
    </x:row>
    <x:row r="57">
      <x:c r="A57" t="str">
        <x:f>Profiles_140!A53</x:f>
        <x:v>ザシアン</x:v>
      </x:c>
      <x:c r="B57" t="str">
        <x:f>Profiles_140!C53</x:f>
        <x:v>ザシアン-1</x:v>
      </x:c>
      <x:c r="C57" t="str">
        <x:f>Profiles_140!D53</x:f>
        <x:v>共通</x:v>
      </x:c>
      <x:c r="D57" t="str">
        <x:f>Profiles_140!B53</x:f>
        <x:v>バランス型</x:v>
      </x:c>
      <x:c r="E57" t="str">
        <x:f>Profiles_140!I53</x:f>
        <x:v>高</x:v>
      </x:c>
      <x:c r="F57" s="66" t="n">
        <x:f>Model_Formula!$M$13*(Profiles_140!K53-Simulator!$L$11)^2*IF(Profiles_140!K53&gt;Simulator!$L$11,1+Model_Formula!$N$13,1)</x:f>
        <x:v>225</x:v>
      </x:c>
      <x:c r="G57" s="66" t="n">
        <x:f>Model_Formula!$M$14*(Profiles_140!L53-Simulator!$L$12)^2*IF(Profiles_140!L53&gt;Simulator!$L$12,1+Model_Formula!$N$14,1)</x:f>
        <x:v>945</x:v>
      </x:c>
      <x:c r="H57" s="66" t="n">
        <x:f>Model_Formula!$M$15*(Profiles_140!M53-Simulator!$L$13)^2*IF(Profiles_140!M53&gt;Simulator!$L$13,1+Model_Formula!$N$15,1)</x:f>
        <x:v>625</x:v>
      </x:c>
      <x:c r="I57" s="66" t="n">
        <x:f>Model_Formula!$M$16*(Profiles_140!N53-Simulator!$L$14)^2*IF(Profiles_140!N53&gt;Simulator!$L$14,1+Model_Formula!$N$16,1)</x:f>
        <x:v>625</x:v>
      </x:c>
      <x:c r="J57" s="66" t="n">
        <x:f>Model_Formula!$M$17*(Profiles_140!O53-Simulator!$L$15)^2*IF(Profiles_140!O53&gt;Simulator!$L$15,1+Model_Formula!$N$17,1)</x:f>
        <x:v>900</x:v>
      </x:c>
      <x:c r="K57" s="66" t="n">
        <x:f>Model_Formula!$M$18*(Profiles_140!P53-Simulator!$L$16)^2*IF(Profiles_140!P53&gt;Simulator!$L$16,1+Model_Formula!$N$18,1)</x:f>
        <x:v>202.5</x:v>
      </x:c>
      <x:c r="L57" s="66" t="n">
        <x:f>Model_Formula!$M$19*(Profiles_140!Q53-Simulator!$L$17)^2*IF(Profiles_140!Q53&gt;Simulator!$L$17,1+Model_Formula!$N$19,1)</x:f>
        <x:v>225</x:v>
      </x:c>
      <x:c r="M57" s="66" t="n">
        <x:f>Model_Formula!$M$20*(Profiles_140!R53-Simulator!$L$18)^2*IF(Profiles_140!R53&gt;Simulator!$L$18,1+Model_Formula!$N$20,1)</x:f>
        <x:v>2025</x:v>
      </x:c>
      <x:c r="N57" s="66" t="n">
        <x:f>Model_Formula!$M$21*(Profiles_140!S53-Simulator!$L$19)^2*IF(Profiles_140!S53&gt;Simulator!$L$19,1+Model_Formula!$N$21,1)</x:f>
        <x:v>900</x:v>
      </x:c>
      <x:c r="O57" s="66" t="n">
        <x:f>Model_Formula!$M$22*(Profiles_140!T53-Simulator!$L$20)^2*IF(Profiles_140!T53&gt;Simulator!$L$20,1+Model_Formula!$N$22,1)</x:f>
        <x:v>1225</x:v>
      </x:c>
      <x:c r="P57" s="66" t="n">
        <x:f>Model_Formula!$M$23*(Profiles_140!U53-Simulator!$L$21)^2*IF(Profiles_140!U53&gt;Simulator!$L$21,1+Model_Formula!$N$23,1)</x:f>
        <x:v>180</x:v>
      </x:c>
      <x:c r="Q57" s="66" t="n">
        <x:f>Model_Formula!$M$24*(Profiles_140!V53-Simulator!$L$22)^2*IF(Profiles_140!V53&gt;Simulator!$L$22,1+Model_Formula!$N$24,1)</x:f>
        <x:v>250</x:v>
      </x:c>
      <x:c r="R57" s="66" t="n">
        <x:f>Model_Formula!$M$25*(Profiles_140!W53-Simulator!$L$23)^2*IF(Profiles_140!W53&gt;Simulator!$L$23,1+Model_Formula!$N$25,1)</x:f>
        <x:v>11.25</x:v>
      </x:c>
      <x:c r="S57" s="66" t="n">
        <x:f>Model_Formula!$M$26*(Profiles_140!X53-Simulator!$L$24)^2*IF(Profiles_140!X53&gt;Simulator!$L$24,1+Model_Formula!$N$26,1)</x:f>
        <x:v>594.0000000000001</x:v>
      </x:c>
      <x:c r="T57" s="66" t="n">
        <x:f>Model_Formula!$M$27*(Profiles_140!Y53-Simulator!$L$25)^2*IF(Profiles_140!Y53&gt;Simulator!$L$25,1+Model_Formula!$N$27,1)</x:f>
        <x:v>271.6875</x:v>
      </x:c>
      <x:c r="U57" s="60" t="n">
        <x:f>SUM(F57:T57)/SUM($F$4:$T$4)</x:f>
        <x:v>686.8983208955225</x:v>
      </x:c>
      <x:c r="V57" s="60" t="n">
        <x:f>SQRT(U57)</x:f>
        <x:v>26.208745122487695</x:v>
      </x:c>
      <x:c r="W57" s="60" t="n">
        <x:f>MAX(0,100-V57)</x:f>
        <x:v>73.7912548775123</x:v>
      </x:c>
      <x:c r="X57" s="60" t="n">
        <x:f>SUMPRODUCT(Profiles_140!K53:Y53,$F$4:$T$4)/SUM($F$4:$T$4)</x:f>
        <x:v>57.01492537313433</x:v>
      </x:c>
      <x:c r="Y57" s="60" t="n">
        <x:f>IFERROR(50+50*SUMPRODUCT(($F$3:$T$3-$X$3)*(Profiles_140!K53:Y53-X57),$F$4:$T$4)/SQRT(SUMPRODUCT(($F$3:$T$3-$X$3)^2,$F$4:$T$4)*SUMPRODUCT((Profiles_140!K53:Y53-X57)^2,$F$4:$T$4)),50)</x:f>
        <x:v>50.00000000000001</x:v>
      </x:c>
      <x:c r="Z57" s="60" t="n">
        <x:f>$Z$3</x:f>
        <x:v>3.9474596431116675e-16</x:v>
      </x:c>
      <x:c r="AA57" s="60" t="n">
        <x:f>W57*(1-Model_Formula!$F$8*Z57)+Y57*(Model_Formula!$F$8*Z57)</x:f>
        <x:v>73.7912548775123</x:v>
      </x:c>
      <x:c r="AB57" s="60" t="n">
        <x:f>SQRT(SUMPRODUCT((Profiles_140!K53:Y53-50)^2,$F$4:$T$4)/SUM($F$4:$T$4))</x:f>
        <x:v>25.937640486941962</x:v>
      </x:c>
      <x:c r="AC57" s="60" t="n">
        <x:f>MAX(-Model_Formula!$F$11,MIN(Model_Formula!$F$11,Model_Formula!$F$10*(AB57-AVERAGE($AB$6:$AB$135))))</x:f>
        <x:v>-1.4397524316600274</x:v>
      </x:c>
      <x:c r="AD57" s="60" t="n">
        <x:f>MAX(0,MIN(100,AA57+AC57))</x:f>
        <x:v>72.35150244585228</x:v>
      </x:c>
      <x:c r="AE57" s="60" t="n">
        <x:f>MAX(0,MIN(1,IFERROR((MATCH(AD57,Percentile_Calibration!$F53:$DB53,1)-1)/100,0)))</x:f>
        <x:v>0.7</x:v>
      </x:c>
      <x:c r="AF57" s="62" t="n">
        <x:f>ROUND(MAX(Model_Formula!$I$9,Model_Formula!$I$5+Model_Formula!$I$6*POWER(AE57,Model_Formula!$I$7)),0)</x:f>
        <x:v>61</x:v>
      </x:c>
      <x:c r="AG57" t="n">
        <x:f>Profiles_140!AJ53</x:f>
        <x:v>0</x:v>
      </x:c>
      <x:c r="AH57" s="60" t="n">
        <x:f>Model_Formula!$I$8*(AE57*100)+(1-Model_Formula!$I$8)*AD57+AG57</x:f>
        <x:v>70.47030048917046</x:v>
      </x:c>
      <x:c r="AI57" t="n">
        <x:f>RANK.EQ(AH57,$AH$6:$AH$135,0)+COUNTIF($AH$6:AH57,AH57)-1</x:f>
        <x:v>74</x:v>
      </x:c>
    </x:row>
    <x:row r="58">
      <x:c r="A58" t="str">
        <x:f>Profiles_140!A54</x:f>
        <x:v>スイクン</x:v>
      </x:c>
      <x:c r="B58" t="str">
        <x:f>Profiles_140!C54</x:f>
        <x:v>スイクン-1</x:v>
      </x:c>
      <x:c r="C58" t="str">
        <x:f>Profiles_140!D54</x:f>
        <x:v>共通</x:v>
      </x:c>
      <x:c r="D58" t="str">
        <x:f>Profiles_140!B54</x:f>
        <x:v>バランス型</x:v>
      </x:c>
      <x:c r="E58" t="str">
        <x:f>Profiles_140!I54</x:f>
        <x:v>高</x:v>
      </x:c>
      <x:c r="F58" s="66" t="n">
        <x:f>Model_Formula!$M$13*(Profiles_140!K54-Simulator!$L$11)^2*IF(Profiles_140!K54&gt;Simulator!$L$11,1+Model_Formula!$N$13,1)</x:f>
        <x:v>400</x:v>
      </x:c>
      <x:c r="G58" s="66" t="n">
        <x:f>Model_Formula!$M$14*(Profiles_140!L54-Simulator!$L$12)^2*IF(Profiles_140!L54&gt;Simulator!$L$12,1+Model_Formula!$N$14,1)</x:f>
        <x:v>1286.25</x:v>
      </x:c>
      <x:c r="H58" s="66" t="n">
        <x:f>Model_Formula!$M$15*(Profiles_140!M54-Simulator!$L$13)^2*IF(Profiles_140!M54&gt;Simulator!$L$13,1+Model_Formula!$N$15,1)</x:f>
        <x:v>225</x:v>
      </x:c>
      <x:c r="I58" s="66" t="n">
        <x:f>Model_Formula!$M$16*(Profiles_140!N54-Simulator!$L$14)^2*IF(Profiles_140!N54&gt;Simulator!$L$14,1+Model_Formula!$N$16,1)</x:f>
        <x:v>625</x:v>
      </x:c>
      <x:c r="J58" s="66" t="n">
        <x:f>Model_Formula!$M$17*(Profiles_140!O54-Simulator!$L$15)^2*IF(Profiles_140!O54&gt;Simulator!$L$15,1+Model_Formula!$N$17,1)</x:f>
        <x:v>625</x:v>
      </x:c>
      <x:c r="K58" s="66" t="n">
        <x:f>Model_Formula!$M$18*(Profiles_140!P54-Simulator!$L$16)^2*IF(Profiles_140!P54&gt;Simulator!$L$16,1+Model_Formula!$N$18,1)</x:f>
        <x:v>562.5</x:v>
      </x:c>
      <x:c r="L58" s="66" t="n">
        <x:f>Model_Formula!$M$19*(Profiles_140!Q54-Simulator!$L$17)^2*IF(Profiles_140!Q54&gt;Simulator!$L$17,1+Model_Formula!$N$19,1)</x:f>
        <x:v>1225</x:v>
      </x:c>
      <x:c r="M58" s="66" t="n">
        <x:f>Model_Formula!$M$20*(Profiles_140!R54-Simulator!$L$18)^2*IF(Profiles_140!R54&gt;Simulator!$L$18,1+Model_Formula!$N$20,1)</x:f>
        <x:v>1600</x:v>
      </x:c>
      <x:c r="N58" s="66" t="n">
        <x:f>Model_Formula!$M$21*(Profiles_140!S54-Simulator!$L$19)^2*IF(Profiles_140!S54&gt;Simulator!$L$19,1+Model_Formula!$N$21,1)</x:f>
        <x:v>2025</x:v>
      </x:c>
      <x:c r="O58" s="66" t="n">
        <x:f>Model_Formula!$M$22*(Profiles_140!T54-Simulator!$L$20)^2*IF(Profiles_140!T54&gt;Simulator!$L$20,1+Model_Formula!$N$22,1)</x:f>
        <x:v>225</x:v>
      </x:c>
      <x:c r="P58" s="66" t="n">
        <x:f>Model_Formula!$M$23*(Profiles_140!U54-Simulator!$L$21)^2*IF(Profiles_140!U54&gt;Simulator!$L$21,1+Model_Formula!$N$23,1)</x:f>
        <x:v>101.25</x:v>
      </x:c>
      <x:c r="Q58" s="66" t="n">
        <x:f>Model_Formula!$M$24*(Profiles_140!V54-Simulator!$L$22)^2*IF(Profiles_140!V54&gt;Simulator!$L$22,1+Model_Formula!$N$24,1)</x:f>
        <x:v>0</x:v>
      </x:c>
      <x:c r="R58" s="66" t="n">
        <x:f>Model_Formula!$M$25*(Profiles_140!W54-Simulator!$L$23)^2*IF(Profiles_140!W54&gt;Simulator!$L$23,1+Model_Formula!$N$25,1)</x:f>
        <x:v>281.25</x:v>
      </x:c>
      <x:c r="S58" s="66" t="n">
        <x:f>Model_Formula!$M$26*(Profiles_140!X54-Simulator!$L$24)^2*IF(Profiles_140!X54&gt;Simulator!$L$24,1+Model_Formula!$N$26,1)</x:f>
        <x:v>148.50000000000003</x:v>
      </x:c>
      <x:c r="T58" s="66" t="n">
        <x:f>Model_Formula!$M$27*(Profiles_140!Y54-Simulator!$L$25)^2*IF(Profiles_140!Y54&gt;Simulator!$L$25,1+Model_Formula!$N$27,1)</x:f>
        <x:v>482.99999999999994</x:v>
      </x:c>
      <x:c r="U58" s="60" t="n">
        <x:f>SUM(F58:T58)/SUM($F$4:$T$4)</x:f>
        <x:v>732.2947761194031</x:v>
      </x:c>
      <x:c r="V58" s="60" t="n">
        <x:f>SQRT(U58)</x:f>
        <x:v>27.060945588050007</x:v>
      </x:c>
      <x:c r="W58" s="60" t="n">
        <x:f>MAX(0,100-V58)</x:f>
        <x:v>72.93905441195</x:v>
      </x:c>
      <x:c r="X58" s="60" t="n">
        <x:f>SUMPRODUCT(Profiles_140!K54:Y54,$F$4:$T$4)/SUM($F$4:$T$4)</x:f>
        <x:v>40.1679104477612</x:v>
      </x:c>
      <x:c r="Y58" s="60" t="n">
        <x:f>IFERROR(50+50*SUMPRODUCT(($F$3:$T$3-$X$3)*(Profiles_140!K54:Y54-X58),$F$4:$T$4)/SQRT(SUMPRODUCT(($F$3:$T$3-$X$3)^2,$F$4:$T$4)*SUMPRODUCT((Profiles_140!K54:Y54-X58)^2,$F$4:$T$4)),50)</x:f>
        <x:v>50.000000000000014</x:v>
      </x:c>
      <x:c r="Z58" s="60" t="n">
        <x:f>$Z$3</x:f>
        <x:v>3.9474596431116675e-16</x:v>
      </x:c>
      <x:c r="AA58" s="60" t="n">
        <x:f>W58*(1-Model_Formula!$F$8*Z58)+Y58*(Model_Formula!$F$8*Z58)</x:f>
        <x:v>72.93905441195</x:v>
      </x:c>
      <x:c r="AB58" s="60" t="n">
        <x:f>SQRT(SUMPRODUCT((Profiles_140!K54:Y54-50)^2,$F$4:$T$4)/SUM($F$4:$T$4))</x:f>
        <x:v>26.92062683619628</x:v>
      </x:c>
      <x:c r="AC58" s="60" t="n">
        <x:f>MAX(-Model_Formula!$F$11,MIN(Model_Formula!$F$11,Model_Formula!$F$10*(AB58-AVERAGE($AB$6:$AB$135))))</x:f>
        <x:v>-0.9974085744955842</x:v>
      </x:c>
      <x:c r="AD58" s="60" t="n">
        <x:f>MAX(0,MIN(100,AA58+AC58))</x:f>
        <x:v>71.94164583745442</x:v>
      </x:c>
      <x:c r="AE58" s="60" t="n">
        <x:f>MAX(0,MIN(1,IFERROR((MATCH(AD58,Percentile_Calibration!$F54:$DB54,1)-1)/100,0)))</x:f>
        <x:v>0.85</x:v>
      </x:c>
      <x:c r="AF58" s="62" t="n">
        <x:f>ROUND(MAX(Model_Formula!$I$9,Model_Formula!$I$5+Model_Formula!$I$6*POWER(AE58,Model_Formula!$I$7)),0)</x:f>
        <x:v>76</x:v>
      </x:c>
      <x:c r="AG58" t="n">
        <x:f>Profiles_140!AJ54</x:f>
        <x:v>0</x:v>
      </x:c>
      <x:c r="AH58" s="60" t="n">
        <x:f>Model_Formula!$I$8*(AE58*100)+(1-Model_Formula!$I$8)*AD58+AG58</x:f>
        <x:v>82.38832916749088</x:v>
      </x:c>
      <x:c r="AI58" t="n">
        <x:f>RANK.EQ(AH58,$AH$6:$AH$135,0)+COUNTIF($AH$6:AH58,AH58)-1</x:f>
        <x:v>24</x:v>
      </x:c>
    </x:row>
    <x:row r="59">
      <x:c r="A59" t="str">
        <x:f>Profiles_140!A55</x:f>
        <x:v>ソウブレイズ</x:v>
      </x:c>
      <x:c r="B59" t="str">
        <x:f>Profiles_140!C55</x:f>
        <x:v>ソウブレイズ-1</x:v>
      </x:c>
      <x:c r="C59" t="str">
        <x:f>Profiles_140!D55</x:f>
        <x:v>共通</x:v>
      </x:c>
      <x:c r="D59" t="str">
        <x:f>Profiles_140!B55</x:f>
        <x:v>バランス型</x:v>
      </x:c>
      <x:c r="E59" t="str">
        <x:f>Profiles_140!I55</x:f>
        <x:v>高</x:v>
      </x:c>
      <x:c r="F59" s="66" t="n">
        <x:f>Model_Formula!$M$13*(Profiles_140!K55-Simulator!$L$11)^2*IF(Profiles_140!K55&gt;Simulator!$L$11,1+Model_Formula!$N$13,1)</x:f>
        <x:v>100</x:v>
      </x:c>
      <x:c r="G59" s="66" t="n">
        <x:f>Model_Formula!$M$14*(Profiles_140!L55-Simulator!$L$12)^2*IF(Profiles_140!L55&gt;Simulator!$L$12,1+Model_Formula!$N$14,1)</x:f>
        <x:v>945</x:v>
      </x:c>
      <x:c r="H59" s="66" t="n">
        <x:f>Model_Formula!$M$15*(Profiles_140!M55-Simulator!$L$13)^2*IF(Profiles_140!M55&gt;Simulator!$L$13,1+Model_Formula!$N$15,1)</x:f>
        <x:v>625</x:v>
      </x:c>
      <x:c r="I59" s="66" t="n">
        <x:f>Model_Formula!$M$16*(Profiles_140!N55-Simulator!$L$14)^2*IF(Profiles_140!N55&gt;Simulator!$L$14,1+Model_Formula!$N$16,1)</x:f>
        <x:v>625</x:v>
      </x:c>
      <x:c r="J59" s="66" t="n">
        <x:f>Model_Formula!$M$17*(Profiles_140!O55-Simulator!$L$15)^2*IF(Profiles_140!O55&gt;Simulator!$L$15,1+Model_Formula!$N$17,1)</x:f>
        <x:v>900</x:v>
      </x:c>
      <x:c r="K59" s="66" t="n">
        <x:f>Model_Formula!$M$18*(Profiles_140!P55-Simulator!$L$16)^2*IF(Profiles_140!P55&gt;Simulator!$L$16,1+Model_Formula!$N$18,1)</x:f>
        <x:v>1102.5</x:v>
      </x:c>
      <x:c r="L59" s="66" t="n">
        <x:f>Model_Formula!$M$19*(Profiles_140!Q55-Simulator!$L$17)^2*IF(Profiles_140!Q55&gt;Simulator!$L$17,1+Model_Formula!$N$19,1)</x:f>
        <x:v>900</x:v>
      </x:c>
      <x:c r="M59" s="66" t="n">
        <x:f>Model_Formula!$M$20*(Profiles_140!R55-Simulator!$L$18)^2*IF(Profiles_140!R55&gt;Simulator!$L$18,1+Model_Formula!$N$20,1)</x:f>
        <x:v>2025</x:v>
      </x:c>
      <x:c r="N59" s="66" t="n">
        <x:f>Model_Formula!$M$21*(Profiles_140!S55-Simulator!$L$19)^2*IF(Profiles_140!S55&gt;Simulator!$L$19,1+Model_Formula!$N$21,1)</x:f>
        <x:v>900</x:v>
      </x:c>
      <x:c r="O59" s="66" t="n">
        <x:f>Model_Formula!$M$22*(Profiles_140!T55-Simulator!$L$20)^2*IF(Profiles_140!T55&gt;Simulator!$L$20,1+Model_Formula!$N$22,1)</x:f>
        <x:v>1600</x:v>
      </x:c>
      <x:c r="P59" s="66" t="n">
        <x:f>Model_Formula!$M$23*(Profiles_140!U55-Simulator!$L$21)^2*IF(Profiles_140!U55&gt;Simulator!$L$21,1+Model_Formula!$N$23,1)</x:f>
        <x:v>180</x:v>
      </x:c>
      <x:c r="Q59" s="66" t="n">
        <x:f>Model_Formula!$M$24*(Profiles_140!V55-Simulator!$L$22)^2*IF(Profiles_140!V55&gt;Simulator!$L$22,1+Model_Formula!$N$24,1)</x:f>
        <x:v>250</x:v>
      </x:c>
      <x:c r="R59" s="66" t="n">
        <x:f>Model_Formula!$M$25*(Profiles_140!W55-Simulator!$L$23)^2*IF(Profiles_140!W55&gt;Simulator!$L$23,1+Model_Formula!$N$25,1)</x:f>
        <x:v>101.25</x:v>
      </x:c>
      <x:c r="S59" s="66" t="n">
        <x:f>Model_Formula!$M$26*(Profiles_140!X55-Simulator!$L$24)^2*IF(Profiles_140!X55&gt;Simulator!$L$24,1+Model_Formula!$N$26,1)</x:f>
        <x:v>594.0000000000001</x:v>
      </x:c>
      <x:c r="T59" s="66" t="n">
        <x:f>Model_Formula!$M$27*(Profiles_140!Y55-Simulator!$L$25)^2*IF(Profiles_140!Y55&gt;Simulator!$L$25,1+Model_Formula!$N$27,1)</x:f>
        <x:v>271.6875</x:v>
      </x:c>
      <x:c r="U59" s="60" t="n">
        <x:f>SUM(F59:T59)/SUM($F$4:$T$4)</x:f>
        <x:v>829.8087686567166</x:v>
      </x:c>
      <x:c r="V59" s="60" t="n">
        <x:f>SQRT(U59)</x:f>
        <x:v>28.806401522174138</x:v>
      </x:c>
      <x:c r="W59" s="60" t="n">
        <x:f>MAX(0,100-V59)</x:f>
        <x:v>71.19359847782586</x:v>
      </x:c>
      <x:c r="X59" s="60" t="n">
        <x:f>SUMPRODUCT(Profiles_140!K55:Y55,$F$4:$T$4)/SUM($F$4:$T$4)</x:f>
        <x:v>57.57462686567165</x:v>
      </x:c>
      <x:c r="Y59" s="60" t="n">
        <x:f>IFERROR(50+50*SUMPRODUCT(($F$3:$T$3-$X$3)*(Profiles_140!K55:Y55-X59),$F$4:$T$4)/SQRT(SUMPRODUCT(($F$3:$T$3-$X$3)^2,$F$4:$T$4)*SUMPRODUCT((Profiles_140!K55:Y55-X59)^2,$F$4:$T$4)),50)</x:f>
        <x:v>50.00000000000001</x:v>
      </x:c>
      <x:c r="Z59" s="60" t="n">
        <x:f>$Z$3</x:f>
        <x:v>3.9474596431116675e-16</x:v>
      </x:c>
      <x:c r="AA59" s="60" t="n">
        <x:f>W59*(1-Model_Formula!$F$8*Z59)+Y59*(Model_Formula!$F$8*Z59)</x:f>
        <x:v>71.19359847782586</x:v>
      </x:c>
      <x:c r="AB59" s="60" t="n">
        <x:f>SQRT(SUMPRODUCT((Profiles_140!K55:Y55-50)^2,$F$4:$T$4)/SUM($F$4:$T$4))</x:f>
        <x:v>28.55996571760976</x:v>
      </x:c>
      <x:c r="AC59" s="60" t="n">
        <x:f>MAX(-Model_Formula!$F$11,MIN(Model_Formula!$F$11,Model_Formula!$F$10*(AB59-AVERAGE($AB$6:$AB$135))))</x:f>
        <x:v>-0.2597060778595184</x:v>
      </x:c>
      <x:c r="AD59" s="60" t="n">
        <x:f>MAX(0,MIN(100,AA59+AC59))</x:f>
        <x:v>70.93389239996634</x:v>
      </x:c>
      <x:c r="AE59" s="60" t="n">
        <x:f>MAX(0,MIN(1,IFERROR((MATCH(AD59,Percentile_Calibration!$F55:$DB55,1)-1)/100,0)))</x:f>
        <x:v>0.69</x:v>
      </x:c>
      <x:c r="AF59" s="62" t="n">
        <x:f>ROUND(MAX(Model_Formula!$I$9,Model_Formula!$I$5+Model_Formula!$I$6*POWER(AE59,Model_Formula!$I$7)),0)</x:f>
        <x:v>60</x:v>
      </x:c>
      <x:c r="AG59" t="n">
        <x:f>Profiles_140!AJ55</x:f>
        <x:v>0</x:v>
      </x:c>
      <x:c r="AH59" s="60" t="n">
        <x:f>Model_Formula!$I$8*(AE59*100)+(1-Model_Formula!$I$8)*AD59+AG59</x:f>
        <x:v>69.38677847999327</x:v>
      </x:c>
      <x:c r="AI59" t="n">
        <x:f>RANK.EQ(AH59,$AH$6:$AH$135,0)+COUNTIF($AH$6:AH59,AH59)-1</x:f>
        <x:v>81</x:v>
      </x:c>
    </x:row>
    <x:row r="60">
      <x:c r="A60" t="str">
        <x:f>Profiles_140!A56</x:f>
        <x:v>ソルガレオ</x:v>
      </x:c>
      <x:c r="B60" t="str">
        <x:f>Profiles_140!C56</x:f>
        <x:v>ソルガレオ-1</x:v>
      </x:c>
      <x:c r="C60" t="str">
        <x:f>Profiles_140!D56</x:f>
        <x:v>共通</x:v>
      </x:c>
      <x:c r="D60" t="str">
        <x:f>Profiles_140!B56</x:f>
        <x:v>バランス型</x:v>
      </x:c>
      <x:c r="E60" t="str">
        <x:f>Profiles_140!I56</x:f>
        <x:v>低</x:v>
      </x:c>
      <x:c r="F60" s="66" t="n">
        <x:f>Model_Formula!$M$13*(Profiles_140!K56-Simulator!$L$11)^2*IF(Profiles_140!K56&gt;Simulator!$L$11,1+Model_Formula!$N$13,1)</x:f>
        <x:v>25</x:v>
      </x:c>
      <x:c r="G60" s="66" t="n">
        <x:f>Model_Formula!$M$14*(Profiles_140!L56-Simulator!$L$12)^2*IF(Profiles_140!L56&gt;Simulator!$L$12,1+Model_Formula!$N$14,1)</x:f>
        <x:v>26.25</x:v>
      </x:c>
      <x:c r="H60" s="66" t="n">
        <x:f>Model_Formula!$M$15*(Profiles_140!M56-Simulator!$L$13)^2*IF(Profiles_140!M56&gt;Simulator!$L$13,1+Model_Formula!$N$15,1)</x:f>
        <x:v>225</x:v>
      </x:c>
      <x:c r="I60" s="66" t="n">
        <x:f>Model_Formula!$M$16*(Profiles_140!N56-Simulator!$L$14)^2*IF(Profiles_140!N56&gt;Simulator!$L$14,1+Model_Formula!$N$16,1)</x:f>
        <x:v>2025</x:v>
      </x:c>
      <x:c r="J60" s="66" t="n">
        <x:f>Model_Formula!$M$17*(Profiles_140!O56-Simulator!$L$15)^2*IF(Profiles_140!O56&gt;Simulator!$L$15,1+Model_Formula!$N$17,1)</x:f>
        <x:v>1600</x:v>
      </x:c>
      <x:c r="K60" s="66" t="n">
        <x:f>Model_Formula!$M$18*(Profiles_140!P56-Simulator!$L$16)^2*IF(Profiles_140!P56&gt;Simulator!$L$16,1+Model_Formula!$N$18,1)</x:f>
        <x:v>562.5</x:v>
      </x:c>
      <x:c r="L60" s="66" t="n">
        <x:f>Model_Formula!$M$19*(Profiles_140!Q56-Simulator!$L$17)^2*IF(Profiles_140!Q56&gt;Simulator!$L$17,1+Model_Formula!$N$19,1)</x:f>
        <x:v>25</x:v>
      </x:c>
      <x:c r="M60" s="66" t="n">
        <x:f>Model_Formula!$M$20*(Profiles_140!R56-Simulator!$L$18)^2*IF(Profiles_140!R56&gt;Simulator!$L$18,1+Model_Formula!$N$20,1)</x:f>
        <x:v>2025</x:v>
      </x:c>
      <x:c r="N60" s="66" t="n">
        <x:f>Model_Formula!$M$21*(Profiles_140!S56-Simulator!$L$19)^2*IF(Profiles_140!S56&gt;Simulator!$L$19,1+Model_Formula!$N$21,1)</x:f>
        <x:v>625</x:v>
      </x:c>
      <x:c r="O60" s="66" t="n">
        <x:f>Model_Formula!$M$22*(Profiles_140!T56-Simulator!$L$20)^2*IF(Profiles_140!T56&gt;Simulator!$L$20,1+Model_Formula!$N$22,1)</x:f>
        <x:v>400</x:v>
      </x:c>
      <x:c r="P60" s="66" t="n">
        <x:f>Model_Formula!$M$23*(Profiles_140!U56-Simulator!$L$21)^2*IF(Profiles_140!U56&gt;Simulator!$L$21,1+Model_Formula!$N$23,1)</x:f>
        <x:v>180</x:v>
      </x:c>
      <x:c r="Q60" s="66" t="n">
        <x:f>Model_Formula!$M$24*(Profiles_140!V56-Simulator!$L$22)^2*IF(Profiles_140!V56&gt;Simulator!$L$22,1+Model_Formula!$N$24,1)</x:f>
        <x:v>250</x:v>
      </x:c>
      <x:c r="R60" s="66" t="n">
        <x:f>Model_Formula!$M$25*(Profiles_140!W56-Simulator!$L$23)^2*IF(Profiles_140!W56&gt;Simulator!$L$23,1+Model_Formula!$N$25,1)</x:f>
        <x:v>45</x:v>
      </x:c>
      <x:c r="S60" s="66" t="n">
        <x:f>Model_Formula!$M$26*(Profiles_140!X56-Simulator!$L$24)^2*IF(Profiles_140!X56&gt;Simulator!$L$24,1+Model_Formula!$N$26,1)</x:f>
        <x:v>0</x:v>
      </x:c>
      <x:c r="T60" s="66" t="n">
        <x:f>Model_Formula!$M$27*(Profiles_140!Y56-Simulator!$L$25)^2*IF(Profiles_140!Y56&gt;Simulator!$L$25,1+Model_Formula!$N$27,1)</x:f>
        <x:v>30.187499999999996</x:v>
      </x:c>
      <x:c r="U60" s="60" t="n">
        <x:f>SUM(F60:T60)/SUM($F$4:$T$4)</x:f>
        <x:v>600.2938432835822</x:v>
      </x:c>
      <x:c r="V60" s="60" t="n">
        <x:f>SQRT(U60)</x:f>
        <x:v>24.500894744551314</x:v>
      </x:c>
      <x:c r="W60" s="60" t="n">
        <x:f>MAX(0,100-V60)</x:f>
        <x:v>75.49910525544868</x:v>
      </x:c>
      <x:c r="X60" s="60" t="n">
        <x:f>SUMPRODUCT(Profiles_140!K56:Y56,$F$4:$T$4)/SUM($F$4:$T$4)</x:f>
        <x:v>49.06716417910448</x:v>
      </x:c>
      <x:c r="Y60" s="60" t="n">
        <x:f>IFERROR(50+50*SUMPRODUCT(($F$3:$T$3-$X$3)*(Profiles_140!K56:Y56-X60),$F$4:$T$4)/SQRT(SUMPRODUCT(($F$3:$T$3-$X$3)^2,$F$4:$T$4)*SUMPRODUCT((Profiles_140!K56:Y56-X60)^2,$F$4:$T$4)),50)</x:f>
        <x:v>50.00000000000001</x:v>
      </x:c>
      <x:c r="Z60" s="60" t="n">
        <x:f>$Z$3</x:f>
        <x:v>3.9474596431116675e-16</x:v>
      </x:c>
      <x:c r="AA60" s="60" t="n">
        <x:f>W60*(1-Model_Formula!$F$8*Z60)+Y60*(Model_Formula!$F$8*Z60)</x:f>
        <x:v>75.49910525544868</x:v>
      </x:c>
      <x:c r="AB60" s="60" t="n">
        <x:f>SQRT(SUMPRODUCT((Profiles_140!K56:Y56-50)^2,$F$4:$T$4)/SUM($F$4:$T$4))</x:f>
        <x:v>24.494897427831784</x:v>
      </x:c>
      <x:c r="AC60" s="60" t="n">
        <x:f>MAX(-Model_Formula!$F$11,MIN(Model_Formula!$F$11,Model_Formula!$F$10*(AB60-AVERAGE($AB$6:$AB$135))))</x:f>
        <x:v>-2.0889868082596075</x:v>
      </x:c>
      <x:c r="AD60" s="60" t="n">
        <x:f>MAX(0,MIN(100,AA60+AC60))</x:f>
        <x:v>73.41011844718908</x:v>
      </x:c>
      <x:c r="AE60" s="60" t="n">
        <x:f>MAX(0,MIN(1,IFERROR((MATCH(AD60,Percentile_Calibration!$F56:$DB56,1)-1)/100,0)))</x:f>
        <x:v>0.9</x:v>
      </x:c>
      <x:c r="AF60" s="62" t="n">
        <x:f>ROUND(MAX(Model_Formula!$I$9,Model_Formula!$I$5+Model_Formula!$I$6*POWER(AE60,Model_Formula!$I$7)),0)</x:f>
        <x:v>82</x:v>
      </x:c>
      <x:c r="AG60" t="n">
        <x:f>Profiles_140!AJ56</x:f>
        <x:v>0</x:v>
      </x:c>
      <x:c r="AH60" s="60" t="n">
        <x:f>Model_Formula!$I$8*(AE60*100)+(1-Model_Formula!$I$8)*AD60+AG60</x:f>
        <x:v>86.68202368943781</x:v>
      </x:c>
      <x:c r="AI60" t="n">
        <x:f>RANK.EQ(AH60,$AH$6:$AH$135,0)+COUNTIF($AH$6:AH60,AH60)-1</x:f>
        <x:v>10</x:v>
      </x:c>
    </x:row>
    <x:row r="61">
      <x:c r="A61" t="str">
        <x:f>Profiles_140!A57</x:f>
        <x:v>タイレーツ</x:v>
      </x:c>
      <x:c r="B61" t="str">
        <x:f>Profiles_140!C57</x:f>
        <x:v>タイレーツ-1</x:v>
      </x:c>
      <x:c r="C61" t="str">
        <x:f>Profiles_140!D57</x:f>
        <x:v>はいすいのじん</x:v>
      </x:c>
      <x:c r="D61" t="str">
        <x:f>Profiles_140!B57</x:f>
        <x:v>バランス型</x:v>
      </x:c>
      <x:c r="E61" t="str">
        <x:f>Profiles_140!I57</x:f>
        <x:v>高</x:v>
      </x:c>
      <x:c r="F61" s="66" t="n">
        <x:f>Model_Formula!$M$13*(Profiles_140!K57-Simulator!$L$11)^2*IF(Profiles_140!K57&gt;Simulator!$L$11,1+Model_Formula!$N$13,1)</x:f>
        <x:v>25</x:v>
      </x:c>
      <x:c r="G61" s="66" t="n">
        <x:f>Model_Formula!$M$14*(Profiles_140!L57-Simulator!$L$12)^2*IF(Profiles_140!L57&gt;Simulator!$L$12,1+Model_Formula!$N$14,1)</x:f>
        <x:v>26.25</x:v>
      </x:c>
      <x:c r="H61" s="66" t="n">
        <x:f>Model_Formula!$M$15*(Profiles_140!M57-Simulator!$L$13)^2*IF(Profiles_140!M57&gt;Simulator!$L$13,1+Model_Formula!$N$15,1)</x:f>
        <x:v>225</x:v>
      </x:c>
      <x:c r="I61" s="66" t="n">
        <x:f>Model_Formula!$M$16*(Profiles_140!N57-Simulator!$L$14)^2*IF(Profiles_140!N57&gt;Simulator!$L$14,1+Model_Formula!$N$16,1)</x:f>
        <x:v>2500</x:v>
      </x:c>
      <x:c r="J61" s="66" t="n">
        <x:f>Model_Formula!$M$17*(Profiles_140!O57-Simulator!$L$15)^2*IF(Profiles_140!O57&gt;Simulator!$L$15,1+Model_Formula!$N$17,1)</x:f>
        <x:v>1600</x:v>
      </x:c>
      <x:c r="K61" s="66" t="n">
        <x:f>Model_Formula!$M$18*(Profiles_140!P57-Simulator!$L$16)^2*IF(Profiles_140!P57&gt;Simulator!$L$16,1+Model_Formula!$N$18,1)</x:f>
        <x:v>202.5</x:v>
      </x:c>
      <x:c r="L61" s="66" t="n">
        <x:f>Model_Formula!$M$19*(Profiles_140!Q57-Simulator!$L$17)^2*IF(Profiles_140!Q57&gt;Simulator!$L$17,1+Model_Formula!$N$19,1)</x:f>
        <x:v>225</x:v>
      </x:c>
      <x:c r="M61" s="66" t="n">
        <x:f>Model_Formula!$M$20*(Profiles_140!R57-Simulator!$L$18)^2*IF(Profiles_140!R57&gt;Simulator!$L$18,1+Model_Formula!$N$20,1)</x:f>
        <x:v>2025</x:v>
      </x:c>
      <x:c r="N61" s="66" t="n">
        <x:f>Model_Formula!$M$21*(Profiles_140!S57-Simulator!$L$19)^2*IF(Profiles_140!S57&gt;Simulator!$L$19,1+Model_Formula!$N$21,1)</x:f>
        <x:v>1600</x:v>
      </x:c>
      <x:c r="O61" s="66" t="n">
        <x:f>Model_Formula!$M$22*(Profiles_140!T57-Simulator!$L$20)^2*IF(Profiles_140!T57&gt;Simulator!$L$20,1+Model_Formula!$N$22,1)</x:f>
        <x:v>400</x:v>
      </x:c>
      <x:c r="P61" s="66" t="n">
        <x:f>Model_Formula!$M$23*(Profiles_140!U57-Simulator!$L$21)^2*IF(Profiles_140!U57&gt;Simulator!$L$21,1+Model_Formula!$N$23,1)</x:f>
        <x:v>405</x:v>
      </x:c>
      <x:c r="Q61" s="66" t="n">
        <x:f>Model_Formula!$M$24*(Profiles_140!V57-Simulator!$L$22)^2*IF(Profiles_140!V57&gt;Simulator!$L$22,1+Model_Formula!$N$24,1)</x:f>
        <x:v>250</x:v>
      </x:c>
      <x:c r="R61" s="66" t="n">
        <x:f>Model_Formula!$M$25*(Profiles_140!W57-Simulator!$L$23)^2*IF(Profiles_140!W57&gt;Simulator!$L$23,1+Model_Formula!$N$25,1)</x:f>
        <x:v>45</x:v>
      </x:c>
      <x:c r="S61" s="66" t="n">
        <x:f>Model_Formula!$M$26*(Profiles_140!X57-Simulator!$L$24)^2*IF(Profiles_140!X57&gt;Simulator!$L$24,1+Model_Formula!$N$26,1)</x:f>
        <x:v>334.12500000000006</x:v>
      </x:c>
      <x:c r="T61" s="66" t="n">
        <x:f>Model_Formula!$M$27*(Profiles_140!Y57-Simulator!$L$25)^2*IF(Profiles_140!Y57&gt;Simulator!$L$25,1+Model_Formula!$N$27,1)</x:f>
        <x:v>120.74999999999999</x:v>
      </x:c>
      <x:c r="U61" s="60" t="n">
        <x:f>SUM(F61:T61)/SUM($F$4:$T$4)</x:f>
        <x:v>745.0466417910449</x:v>
      </x:c>
      <x:c r="V61" s="60" t="n">
        <x:f>SQRT(U61)</x:f>
        <x:v>27.29554252604342</x:v>
      </x:c>
      <x:c r="W61" s="60" t="n">
        <x:f>MAX(0,100-V61)</x:f>
        <x:v>72.70445747395658</x:v>
      </x:c>
      <x:c r="X61" s="60" t="n">
        <x:f>SUMPRODUCT(Profiles_140!K57:Y57,$F$4:$T$4)/SUM($F$4:$T$4)</x:f>
        <x:v>48.86194029850747</x:v>
      </x:c>
      <x:c r="Y61" s="60" t="n">
        <x:f>IFERROR(50+50*SUMPRODUCT(($F$3:$T$3-$X$3)*(Profiles_140!K57:Y57-X61),$F$4:$T$4)/SQRT(SUMPRODUCT(($F$3:$T$3-$X$3)^2,$F$4:$T$4)*SUMPRODUCT((Profiles_140!K57:Y57-X61)^2,$F$4:$T$4)),50)</x:f>
        <x:v>50.000000000000014</x:v>
      </x:c>
      <x:c r="Z61" s="60" t="n">
        <x:f>$Z$3</x:f>
        <x:v>3.9474596431116675e-16</x:v>
      </x:c>
      <x:c r="AA61" s="60" t="n">
        <x:f>W61*(1-Model_Formula!$F$8*Z61)+Y61*(Model_Formula!$F$8*Z61)</x:f>
        <x:v>72.70445747395658</x:v>
      </x:c>
      <x:c r="AB61" s="60" t="n">
        <x:f>SQRT(SUMPRODUCT((Profiles_140!K57:Y57-50)^2,$F$4:$T$4)/SUM($F$4:$T$4))</x:f>
        <x:v>27.15523368372864</x:v>
      </x:c>
      <x:c r="AC61" s="60" t="n">
        <x:f>MAX(-Model_Formula!$F$11,MIN(Model_Formula!$F$11,Model_Formula!$F$10*(AB61-AVERAGE($AB$6:$AB$135))))</x:f>
        <x:v>-0.891835493106023</x:v>
      </x:c>
      <x:c r="AD61" s="60" t="n">
        <x:f>MAX(0,MIN(100,AA61+AC61))</x:f>
        <x:v>71.81262198085055</x:v>
      </x:c>
      <x:c r="AE61" s="60" t="n">
        <x:f>MAX(0,MIN(1,IFERROR((MATCH(AD61,Percentile_Calibration!$F57:$DB57,1)-1)/100,0)))</x:f>
        <x:v>0.86</x:v>
      </x:c>
      <x:c r="AF61" s="62" t="n">
        <x:f>ROUND(MAX(Model_Formula!$I$9,Model_Formula!$I$5+Model_Formula!$I$6*POWER(AE61,Model_Formula!$I$7)),0)</x:f>
        <x:v>77</x:v>
      </x:c>
      <x:c r="AG61" t="n">
        <x:f>Profiles_140!AJ57</x:f>
        <x:v>0</x:v>
      </x:c>
      <x:c r="AH61" s="60" t="n">
        <x:f>Model_Formula!$I$8*(AE61*100)+(1-Model_Formula!$I$8)*AD61+AG61</x:f>
        <x:v>83.1625243961701</x:v>
      </x:c>
      <x:c r="AI61" t="n">
        <x:f>RANK.EQ(AH61,$AH$6:$AH$135,0)+COUNTIF($AH$6:AH61,AH61)-1</x:f>
        <x:v>19</x:v>
      </x:c>
    </x:row>
    <x:row r="62">
      <x:c r="A62" t="str">
        <x:f>Profiles_140!A58</x:f>
        <x:v>タイレーツ</x:v>
      </x:c>
      <x:c r="B62" t="str">
        <x:f>Profiles_140!C58</x:f>
        <x:v>タイレーツ-2</x:v>
      </x:c>
      <x:c r="C62" t="str">
        <x:f>Profiles_140!D58</x:f>
        <x:v>ふくろだたき</x:v>
      </x:c>
      <x:c r="D62" t="str">
        <x:f>Profiles_140!B58</x:f>
        <x:v>バランス型</x:v>
      </x:c>
      <x:c r="E62" t="str">
        <x:f>Profiles_140!I58</x:f>
        <x:v>高</x:v>
      </x:c>
      <x:c r="F62" s="66" t="n">
        <x:f>Model_Formula!$M$13*(Profiles_140!K58-Simulator!$L$11)^2*IF(Profiles_140!K58&gt;Simulator!$L$11,1+Model_Formula!$N$13,1)</x:f>
        <x:v>400</x:v>
      </x:c>
      <x:c r="G62" s="66" t="n">
        <x:f>Model_Formula!$M$14*(Profiles_140!L58-Simulator!$L$12)^2*IF(Profiles_140!L58&gt;Simulator!$L$12,1+Model_Formula!$N$14,1)</x:f>
        <x:v>2625</x:v>
      </x:c>
      <x:c r="H62" s="66" t="n">
        <x:f>Model_Formula!$M$15*(Profiles_140!M58-Simulator!$L$13)^2*IF(Profiles_140!M58&gt;Simulator!$L$13,1+Model_Formula!$N$15,1)</x:f>
        <x:v>900</x:v>
      </x:c>
      <x:c r="I62" s="66" t="n">
        <x:f>Model_Formula!$M$16*(Profiles_140!N58-Simulator!$L$14)^2*IF(Profiles_140!N58&gt;Simulator!$L$14,1+Model_Formula!$N$16,1)</x:f>
        <x:v>25</x:v>
      </x:c>
      <x:c r="J62" s="66" t="n">
        <x:f>Model_Formula!$M$17*(Profiles_140!O58-Simulator!$L$15)^2*IF(Profiles_140!O58&gt;Simulator!$L$15,1+Model_Formula!$N$17,1)</x:f>
        <x:v>1600</x:v>
      </x:c>
      <x:c r="K62" s="66" t="n">
        <x:f>Model_Formula!$M$18*(Profiles_140!P58-Simulator!$L$16)^2*IF(Profiles_140!P58&gt;Simulator!$L$16,1+Model_Formula!$N$18,1)</x:f>
        <x:v>202.5</x:v>
      </x:c>
      <x:c r="L62" s="66" t="n">
        <x:f>Model_Formula!$M$19*(Profiles_140!Q58-Simulator!$L$17)^2*IF(Profiles_140!Q58&gt;Simulator!$L$17,1+Model_Formula!$N$19,1)</x:f>
        <x:v>225</x:v>
      </x:c>
      <x:c r="M62" s="66" t="n">
        <x:f>Model_Formula!$M$20*(Profiles_140!R58-Simulator!$L$18)^2*IF(Profiles_140!R58&gt;Simulator!$L$18,1+Model_Formula!$N$20,1)</x:f>
        <x:v>2025</x:v>
      </x:c>
      <x:c r="N62" s="66" t="n">
        <x:f>Model_Formula!$M$21*(Profiles_140!S58-Simulator!$L$19)^2*IF(Profiles_140!S58&gt;Simulator!$L$19,1+Model_Formula!$N$21,1)</x:f>
        <x:v>2500</x:v>
      </x:c>
      <x:c r="O62" s="66" t="n">
        <x:f>Model_Formula!$M$22*(Profiles_140!T58-Simulator!$L$20)^2*IF(Profiles_140!T58&gt;Simulator!$L$20,1+Model_Formula!$N$22,1)</x:f>
        <x:v>400</x:v>
      </x:c>
      <x:c r="P62" s="66" t="n">
        <x:f>Model_Formula!$M$23*(Profiles_140!U58-Simulator!$L$21)^2*IF(Profiles_140!U58&gt;Simulator!$L$21,1+Model_Formula!$N$23,1)</x:f>
        <x:v>45</x:v>
      </x:c>
      <x:c r="Q62" s="66" t="n">
        <x:f>Model_Formula!$M$24*(Profiles_140!V58-Simulator!$L$22)^2*IF(Profiles_140!V58&gt;Simulator!$L$22,1+Model_Formula!$N$24,1)</x:f>
        <x:v>40</x:v>
      </x:c>
      <x:c r="R62" s="66" t="n">
        <x:f>Model_Formula!$M$25*(Profiles_140!W58-Simulator!$L$23)^2*IF(Profiles_140!W58&gt;Simulator!$L$23,1+Model_Formula!$N$25,1)</x:f>
        <x:v>101.25</x:v>
      </x:c>
      <x:c r="S62" s="66" t="n">
        <x:f>Model_Formula!$M$26*(Profiles_140!X58-Simulator!$L$24)^2*IF(Profiles_140!X58&gt;Simulator!$L$24,1+Model_Formula!$N$26,1)</x:f>
        <x:v>334.12500000000006</x:v>
      </x:c>
      <x:c r="T62" s="66" t="n">
        <x:f>Model_Formula!$M$27*(Profiles_140!Y58-Simulator!$L$25)^2*IF(Profiles_140!Y58&gt;Simulator!$L$25,1+Model_Formula!$N$27,1)</x:f>
        <x:v>482.99999999999994</x:v>
      </x:c>
      <x:c r="U62" s="60" t="n">
        <x:f>SUM(F62:T62)/SUM($F$4:$T$4)</x:f>
        <x:v>888.4981343283583</x:v>
      </x:c>
      <x:c r="V62" s="60" t="n">
        <x:f>SQRT(U62)</x:f>
        <x:v>29.807685826450168</x:v>
      </x:c>
      <x:c r="W62" s="60" t="n">
        <x:f>MAX(0,100-V62)</x:f>
        <x:v>70.19231417354983</x:v>
      </x:c>
      <x:c r="X62" s="60" t="n">
        <x:f>SUMPRODUCT(Profiles_140!K58:Y58,$F$4:$T$4)/SUM($F$4:$T$4)</x:f>
        <x:v>56.25000000000001</x:v>
      </x:c>
      <x:c r="Y62" s="60" t="n">
        <x:f>IFERROR(50+50*SUMPRODUCT(($F$3:$T$3-$X$3)*(Profiles_140!K58:Y58-X62),$F$4:$T$4)/SQRT(SUMPRODUCT(($F$3:$T$3-$X$3)^2,$F$4:$T$4)*SUMPRODUCT((Profiles_140!K58:Y58-X62)^2,$F$4:$T$4)),50)</x:f>
        <x:v>50.000000000000014</x:v>
      </x:c>
      <x:c r="Z62" s="60" t="n">
        <x:f>$Z$3</x:f>
        <x:v>3.9474596431116675e-16</x:v>
      </x:c>
      <x:c r="AA62" s="60" t="n">
        <x:f>W62*(1-Model_Formula!$F$8*Z62)+Y62*(Model_Formula!$F$8*Z62)</x:f>
        <x:v>70.19231417354983</x:v>
      </x:c>
      <x:c r="AB62" s="60" t="n">
        <x:f>SQRT(SUMPRODUCT((Profiles_140!K58:Y58-50)^2,$F$4:$T$4)/SUM($F$4:$T$4))</x:f>
        <x:v>29.619792192928006</x:v>
      </x:c>
      <x:c r="AC62" s="60" t="n">
        <x:f>MAX(-Model_Formula!$F$11,MIN(Model_Formula!$F$11,Model_Formula!$F$10*(AB62-AVERAGE($AB$6:$AB$135))))</x:f>
        <x:v>0.21721583603369243</x:v>
      </x:c>
      <x:c r="AD62" s="60" t="n">
        <x:f>MAX(0,MIN(100,AA62+AC62))</x:f>
        <x:v>70.40953000958352</x:v>
      </x:c>
      <x:c r="AE62" s="60" t="n">
        <x:f>MAX(0,MIN(1,IFERROR((MATCH(AD62,Percentile_Calibration!$F58:$DB58,1)-1)/100,0)))</x:f>
        <x:v>0.68</x:v>
      </x:c>
      <x:c r="AF62" s="62" t="n">
        <x:f>ROUND(MAX(Model_Formula!$I$9,Model_Formula!$I$5+Model_Formula!$I$6*POWER(AE62,Model_Formula!$I$7)),0)</x:f>
        <x:v>59</x:v>
      </x:c>
      <x:c r="AG62" t="n">
        <x:f>Profiles_140!AJ58</x:f>
        <x:v>0</x:v>
      </x:c>
      <x:c r="AH62" s="60" t="n">
        <x:f>Model_Formula!$I$8*(AE62*100)+(1-Model_Formula!$I$8)*AD62+AG62</x:f>
        <x:v>68.48190600191671</x:v>
      </x:c>
      <x:c r="AI62" t="n">
        <x:f>RANK.EQ(AH62,$AH$6:$AH$135,0)+COUNTIF($AH$6:AH62,AH62)-1</x:f>
        <x:v>89</x:v>
      </x:c>
    </x:row>
    <x:row r="63">
      <x:c r="A63" t="str">
        <x:f>Profiles_140!A59</x:f>
        <x:v>ダダリン</x:v>
      </x:c>
      <x:c r="B63" t="str">
        <x:f>Profiles_140!C59</x:f>
        <x:v>ダダリン-1</x:v>
      </x:c>
      <x:c r="C63" t="str">
        <x:f>Profiles_140!D59</x:f>
        <x:v>共通</x:v>
      </x:c>
      <x:c r="D63" t="str">
        <x:f>Profiles_140!B59</x:f>
        <x:v>バランス型</x:v>
      </x:c>
      <x:c r="E63" t="str">
        <x:f>Profiles_140!I59</x:f>
        <x:v>高</x:v>
      </x:c>
      <x:c r="F63" s="66" t="n">
        <x:f>Model_Formula!$M$13*(Profiles_140!K59-Simulator!$L$11)^2*IF(Profiles_140!K59&gt;Simulator!$L$11,1+Model_Formula!$N$13,1)</x:f>
        <x:v>625</x:v>
      </x:c>
      <x:c r="G63" s="66" t="n">
        <x:f>Model_Formula!$M$14*(Profiles_140!L59-Simulator!$L$12)^2*IF(Profiles_140!L59&gt;Simulator!$L$12,1+Model_Formula!$N$14,1)</x:f>
        <x:v>105</x:v>
      </x:c>
      <x:c r="H63" s="66" t="n">
        <x:f>Model_Formula!$M$15*(Profiles_140!M59-Simulator!$L$13)^2*IF(Profiles_140!M59&gt;Simulator!$L$13,1+Model_Formula!$N$15,1)</x:f>
        <x:v>0</x:v>
      </x:c>
      <x:c r="I63" s="66" t="n">
        <x:f>Model_Formula!$M$16*(Profiles_140!N59-Simulator!$L$14)^2*IF(Profiles_140!N59&gt;Simulator!$L$14,1+Model_Formula!$N$16,1)</x:f>
        <x:v>0</x:v>
      </x:c>
      <x:c r="J63" s="66" t="n">
        <x:f>Model_Formula!$M$17*(Profiles_140!O59-Simulator!$L$15)^2*IF(Profiles_140!O59&gt;Simulator!$L$15,1+Model_Formula!$N$17,1)</x:f>
        <x:v>0</x:v>
      </x:c>
      <x:c r="K63" s="66" t="n">
        <x:f>Model_Formula!$M$18*(Profiles_140!P59-Simulator!$L$16)^2*IF(Profiles_140!P59&gt;Simulator!$L$16,1+Model_Formula!$N$18,1)</x:f>
        <x:v>360</x:v>
      </x:c>
      <x:c r="L63" s="66" t="n">
        <x:f>Model_Formula!$M$19*(Profiles_140!Q59-Simulator!$L$17)^2*IF(Profiles_140!Q59&gt;Simulator!$L$17,1+Model_Formula!$N$19,1)</x:f>
        <x:v>2500</x:v>
      </x:c>
      <x:c r="M63" s="66" t="n">
        <x:f>Model_Formula!$M$20*(Profiles_140!R59-Simulator!$L$18)^2*IF(Profiles_140!R59&gt;Simulator!$L$18,1+Model_Formula!$N$20,1)</x:f>
        <x:v>1600</x:v>
      </x:c>
      <x:c r="N63" s="66" t="n">
        <x:f>Model_Formula!$M$21*(Profiles_140!S59-Simulator!$L$19)^2*IF(Profiles_140!S59&gt;Simulator!$L$19,1+Model_Formula!$N$21,1)</x:f>
        <x:v>900</x:v>
      </x:c>
      <x:c r="O63" s="66" t="n">
        <x:f>Model_Formula!$M$22*(Profiles_140!T59-Simulator!$L$20)^2*IF(Profiles_140!T59&gt;Simulator!$L$20,1+Model_Formula!$N$22,1)</x:f>
        <x:v>0</x:v>
      </x:c>
      <x:c r="P63" s="66" t="n">
        <x:f>Model_Formula!$M$23*(Profiles_140!U59-Simulator!$L$21)^2*IF(Profiles_140!U59&gt;Simulator!$L$21,1+Model_Formula!$N$23,1)</x:f>
        <x:v>180</x:v>
      </x:c>
      <x:c r="Q63" s="66" t="n">
        <x:f>Model_Formula!$M$24*(Profiles_140!V59-Simulator!$L$22)^2*IF(Profiles_140!V59&gt;Simulator!$L$22,1+Model_Formula!$N$24,1)</x:f>
        <x:v>10</x:v>
      </x:c>
      <x:c r="R63" s="66" t="n">
        <x:f>Model_Formula!$M$25*(Profiles_140!W59-Simulator!$L$23)^2*IF(Profiles_140!W59&gt;Simulator!$L$23,1+Model_Formula!$N$25,1)</x:f>
        <x:v>281.25</x:v>
      </x:c>
      <x:c r="S63" s="66" t="n">
        <x:f>Model_Formula!$M$26*(Profiles_140!X59-Simulator!$L$24)^2*IF(Profiles_140!X59&gt;Simulator!$L$24,1+Model_Formula!$N$26,1)</x:f>
        <x:v>334.12500000000006</x:v>
      </x:c>
      <x:c r="T63" s="66" t="n">
        <x:f>Model_Formula!$M$27*(Profiles_140!Y59-Simulator!$L$25)^2*IF(Profiles_140!Y59&gt;Simulator!$L$25,1+Model_Formula!$N$27,1)</x:f>
        <x:v>2445.1875</x:v>
      </x:c>
      <x:c r="U63" s="60" t="n">
        <x:f>SUM(F63:T63)/SUM($F$4:$T$4)</x:f>
        <x:v>697.0569029850747</x:v>
      </x:c>
      <x:c r="V63" s="60" t="n">
        <x:f>SQRT(U63)</x:f>
        <x:v>26.401835220019738</x:v>
      </x:c>
      <x:c r="W63" s="60" t="n">
        <x:f>MAX(0,100-V63)</x:f>
        <x:v>73.59816477998027</x:v>
      </x:c>
      <x:c r="X63" s="60" t="n">
        <x:f>SUMPRODUCT(Profiles_140!K59:Y59,$F$4:$T$4)/SUM($F$4:$T$4)</x:f>
        <x:v>51.343283582089555</x:v>
      </x:c>
      <x:c r="Y63" s="60" t="n">
        <x:f>IFERROR(50+50*SUMPRODUCT(($F$3:$T$3-$X$3)*(Profiles_140!K59:Y59-X63),$F$4:$T$4)/SQRT(SUMPRODUCT(($F$3:$T$3-$X$3)^2,$F$4:$T$4)*SUMPRODUCT((Profiles_140!K59:Y59-X63)^2,$F$4:$T$4)),50)</x:f>
        <x:v>50.00000000000001</x:v>
      </x:c>
      <x:c r="Z63" s="60" t="n">
        <x:f>$Z$3</x:f>
        <x:v>3.9474596431116675e-16</x:v>
      </x:c>
      <x:c r="AA63" s="60" t="n">
        <x:f>W63*(1-Model_Formula!$F$8*Z63)+Y63*(Model_Formula!$F$8*Z63)</x:f>
        <x:v>73.59816477998027</x:v>
      </x:c>
      <x:c r="AB63" s="60" t="n">
        <x:f>SQRT(SUMPRODUCT((Profiles_140!K59:Y59-50)^2,$F$4:$T$4)/SUM($F$4:$T$4))</x:f>
        <x:v>25.82229743411921</x:v>
      </x:c>
      <x:c r="AC63" s="60" t="n">
        <x:f>MAX(-Model_Formula!$F$11,MIN(Model_Formula!$F$11,Model_Formula!$F$10*(AB63-AVERAGE($AB$6:$AB$135))))</x:f>
        <x:v>-1.4916568054302657</x:v>
      </x:c>
      <x:c r="AD63" s="60" t="n">
        <x:f>MAX(0,MIN(100,AA63+AC63))</x:f>
        <x:v>72.10650797455</x:v>
      </x:c>
      <x:c r="AE63" s="60" t="n">
        <x:f>MAX(0,MIN(1,IFERROR((MATCH(AD63,Percentile_Calibration!$F59:$DB59,1)-1)/100,0)))</x:f>
        <x:v>0.96</x:v>
      </x:c>
      <x:c r="AF63" s="62" t="n">
        <x:f>ROUND(MAX(Model_Formula!$I$9,Model_Formula!$I$5+Model_Formula!$I$6*POWER(AE63,Model_Formula!$I$7)),0)</x:f>
        <x:v>91</x:v>
      </x:c>
      <x:c r="AG63" t="n">
        <x:f>Profiles_140!AJ59</x:f>
        <x:v>0</x:v>
      </x:c>
      <x:c r="AH63" s="60" t="n">
        <x:f>Model_Formula!$I$8*(AE63*100)+(1-Model_Formula!$I$8)*AD63+AG63</x:f>
        <x:v>91.22130159491</x:v>
      </x:c>
      <x:c r="AI63" t="n">
        <x:f>RANK.EQ(AH63,$AH$6:$AH$135,0)+COUNTIF($AH$6:AH63,AH63)-1</x:f>
        <x:v>2</x:v>
      </x:c>
    </x:row>
    <x:row r="64">
      <x:c r="A64" t="str">
        <x:f>Profiles_140!A60</x:f>
        <x:v>デカヌチャン</x:v>
      </x:c>
      <x:c r="B64" t="str">
        <x:f>Profiles_140!C60</x:f>
        <x:v>デカヌチャン-1</x:v>
      </x:c>
      <x:c r="C64" t="str">
        <x:f>Profiles_140!D60</x:f>
        <x:v>共通</x:v>
      </x:c>
      <x:c r="D64" t="str">
        <x:f>Profiles_140!B60</x:f>
        <x:v>バランス型</x:v>
      </x:c>
      <x:c r="E64" t="str">
        <x:f>Profiles_140!I60</x:f>
        <x:v>高</x:v>
      </x:c>
      <x:c r="F64" s="66" t="n">
        <x:f>Model_Formula!$M$13*(Profiles_140!K60-Simulator!$L$11)^2*IF(Profiles_140!K60&gt;Simulator!$L$11,1+Model_Formula!$N$13,1)</x:f>
        <x:v>25</x:v>
      </x:c>
      <x:c r="G64" s="66" t="n">
        <x:f>Model_Formula!$M$14*(Profiles_140!L60-Simulator!$L$12)^2*IF(Profiles_140!L60&gt;Simulator!$L$12,1+Model_Formula!$N$14,1)</x:f>
        <x:v>26.25</x:v>
      </x:c>
      <x:c r="H64" s="66" t="n">
        <x:f>Model_Formula!$M$15*(Profiles_140!M60-Simulator!$L$13)^2*IF(Profiles_140!M60&gt;Simulator!$L$13,1+Model_Formula!$N$15,1)</x:f>
        <x:v>225</x:v>
      </x:c>
      <x:c r="I64" s="66" t="n">
        <x:f>Model_Formula!$M$16*(Profiles_140!N60-Simulator!$L$14)^2*IF(Profiles_140!N60&gt;Simulator!$L$14,1+Model_Formula!$N$16,1)</x:f>
        <x:v>2500</x:v>
      </x:c>
      <x:c r="J64" s="66" t="n">
        <x:f>Model_Formula!$M$17*(Profiles_140!O60-Simulator!$L$15)^2*IF(Profiles_140!O60&gt;Simulator!$L$15,1+Model_Formula!$N$17,1)</x:f>
        <x:v>1600</x:v>
      </x:c>
      <x:c r="K64" s="66" t="n">
        <x:f>Model_Formula!$M$18*(Profiles_140!P60-Simulator!$L$16)^2*IF(Profiles_140!P60&gt;Simulator!$L$16,1+Model_Formula!$N$18,1)</x:f>
        <x:v>562.5</x:v>
      </x:c>
      <x:c r="L64" s="66" t="n">
        <x:f>Model_Formula!$M$19*(Profiles_140!Q60-Simulator!$L$17)^2*IF(Profiles_140!Q60&gt;Simulator!$L$17,1+Model_Formula!$N$19,1)</x:f>
        <x:v>225</x:v>
      </x:c>
      <x:c r="M64" s="66" t="n">
        <x:f>Model_Formula!$M$20*(Profiles_140!R60-Simulator!$L$18)^2*IF(Profiles_140!R60&gt;Simulator!$L$18,1+Model_Formula!$N$20,1)</x:f>
        <x:v>2025</x:v>
      </x:c>
      <x:c r="N64" s="66" t="n">
        <x:f>Model_Formula!$M$21*(Profiles_140!S60-Simulator!$L$19)^2*IF(Profiles_140!S60&gt;Simulator!$L$19,1+Model_Formula!$N$21,1)</x:f>
        <x:v>1600</x:v>
      </x:c>
      <x:c r="O64" s="66" t="n">
        <x:f>Model_Formula!$M$22*(Profiles_140!T60-Simulator!$L$20)^2*IF(Profiles_140!T60&gt;Simulator!$L$20,1+Model_Formula!$N$22,1)</x:f>
        <x:v>400</x:v>
      </x:c>
      <x:c r="P64" s="66" t="n">
        <x:f>Model_Formula!$M$23*(Profiles_140!U60-Simulator!$L$21)^2*IF(Profiles_140!U60&gt;Simulator!$L$21,1+Model_Formula!$N$23,1)</x:f>
        <x:v>720</x:v>
      </x:c>
      <x:c r="Q64" s="66" t="n">
        <x:f>Model_Formula!$M$24*(Profiles_140!V60-Simulator!$L$22)^2*IF(Profiles_140!V60&gt;Simulator!$L$22,1+Model_Formula!$N$24,1)</x:f>
        <x:v>250</x:v>
      </x:c>
      <x:c r="R64" s="66" t="n">
        <x:f>Model_Formula!$M$25*(Profiles_140!W60-Simulator!$L$23)^2*IF(Profiles_140!W60&gt;Simulator!$L$23,1+Model_Formula!$N$25,1)</x:f>
        <x:v>45</x:v>
      </x:c>
      <x:c r="S64" s="66" t="n">
        <x:f>Model_Formula!$M$26*(Profiles_140!X60-Simulator!$L$24)^2*IF(Profiles_140!X60&gt;Simulator!$L$24,1+Model_Formula!$N$26,1)</x:f>
        <x:v>110.00000000000001</x:v>
      </x:c>
      <x:c r="T64" s="66" t="n">
        <x:f>Model_Formula!$M$27*(Profiles_140!Y60-Simulator!$L$25)^2*IF(Profiles_140!Y60&gt;Simulator!$L$25,1+Model_Formula!$N$27,1)</x:f>
        <x:v>0</x:v>
      </x:c>
      <x:c r="U64" s="60" t="n">
        <x:f>SUM(F64:T64)/SUM($F$4:$T$4)</x:f>
        <x:v>769.6828358208955</x:v>
      </x:c>
      <x:c r="V64" s="60" t="n">
        <x:f>SQRT(U64)</x:f>
        <x:v>27.743158360592176</x:v>
      </x:c>
      <x:c r="W64" s="60" t="n">
        <x:f>MAX(0,100-V64)</x:f>
        <x:v>72.25684163940782</x:v>
      </x:c>
      <x:c r="X64" s="60" t="n">
        <x:f>SUMPRODUCT(Profiles_140!K60:Y60,$F$4:$T$4)/SUM($F$4:$T$4)</x:f>
        <x:v>47.03358208955224</x:v>
      </x:c>
      <x:c r="Y64" s="60" t="n">
        <x:f>IFERROR(50+50*SUMPRODUCT(($F$3:$T$3-$X$3)*(Profiles_140!K60:Y60-X64),$F$4:$T$4)/SQRT(SUMPRODUCT(($F$3:$T$3-$X$3)^2,$F$4:$T$4)*SUMPRODUCT((Profiles_140!K60:Y60-X64)^2,$F$4:$T$4)),50)</x:f>
        <x:v>50</x:v>
      </x:c>
      <x:c r="Z64" s="60" t="n">
        <x:f>$Z$3</x:f>
        <x:v>3.9474596431116675e-16</x:v>
      </x:c>
      <x:c r="AA64" s="60" t="n">
        <x:f>W64*(1-Model_Formula!$F$8*Z64)+Y64*(Model_Formula!$F$8*Z64)</x:f>
        <x:v>72.25684163940782</x:v>
      </x:c>
      <x:c r="AB64" s="60" t="n">
        <x:f>SQRT(SUMPRODUCT((Profiles_140!K60:Y60-50)^2,$F$4:$T$4)/SUM($F$4:$T$4))</x:f>
        <x:v>27.743158360592176</x:v>
      </x:c>
      <x:c r="AC64" s="60" t="n">
        <x:f>MAX(-Model_Formula!$F$11,MIN(Model_Formula!$F$11,Model_Formula!$F$10*(AB64-AVERAGE($AB$6:$AB$135))))</x:f>
        <x:v>-0.6272693885174313</x:v>
      </x:c>
      <x:c r="AD64" s="60" t="n">
        <x:f>MAX(0,MIN(100,AA64+AC64))</x:f>
        <x:v>71.62957225089039</x:v>
      </x:c>
      <x:c r="AE64" s="60" t="n">
        <x:f>MAX(0,MIN(1,IFERROR((MATCH(AD64,Percentile_Calibration!$F60:$DB60,1)-1)/100,0)))</x:f>
        <x:v>0.87</x:v>
      </x:c>
      <x:c r="AF64" s="62" t="n">
        <x:f>ROUND(MAX(Model_Formula!$I$9,Model_Formula!$I$5+Model_Formula!$I$6*POWER(AE64,Model_Formula!$I$7)),0)</x:f>
        <x:v>78</x:v>
      </x:c>
      <x:c r="AG64" t="n">
        <x:f>Profiles_140!AJ60</x:f>
        <x:v>0</x:v>
      </x:c>
      <x:c r="AH64" s="60" t="n">
        <x:f>Model_Formula!$I$8*(AE64*100)+(1-Model_Formula!$I$8)*AD64+AG64</x:f>
        <x:v>83.92591445017808</x:v>
      </x:c>
      <x:c r="AI64" t="n">
        <x:f>RANK.EQ(AH64,$AH$6:$AH$135,0)+COUNTIF($AH$6:AH64,AH64)-1</x:f>
        <x:v>16</x:v>
      </x:c>
    </x:row>
    <x:row r="65">
      <x:c r="A65" t="str">
        <x:f>Profiles_140!A61</x:f>
        <x:v>ネギガナイト</x:v>
      </x:c>
      <x:c r="B65" t="str">
        <x:f>Profiles_140!C61</x:f>
        <x:v>ネギガナイト-1</x:v>
      </x:c>
      <x:c r="C65" t="str">
        <x:f>Profiles_140!D61</x:f>
        <x:v>共通</x:v>
      </x:c>
      <x:c r="D65" t="str">
        <x:f>Profiles_140!B61</x:f>
        <x:v>バランス型</x:v>
      </x:c>
      <x:c r="E65" t="str">
        <x:f>Profiles_140!I61</x:f>
        <x:v>高</x:v>
      </x:c>
      <x:c r="F65" s="66" t="n">
        <x:f>Model_Formula!$M$13*(Profiles_140!K61-Simulator!$L$11)^2*IF(Profiles_140!K61&gt;Simulator!$L$11,1+Model_Formula!$N$13,1)</x:f>
        <x:v>900</x:v>
      </x:c>
      <x:c r="G65" s="66" t="n">
        <x:f>Model_Formula!$M$14*(Profiles_140!L61-Simulator!$L$12)^2*IF(Profiles_140!L61&gt;Simulator!$L$12,1+Model_Formula!$N$14,1)</x:f>
        <x:v>2625</x:v>
      </x:c>
      <x:c r="H65" s="66" t="n">
        <x:f>Model_Formula!$M$15*(Profiles_140!M61-Simulator!$L$13)^2*IF(Profiles_140!M61&gt;Simulator!$L$13,1+Model_Formula!$N$15,1)</x:f>
        <x:v>900</x:v>
      </x:c>
      <x:c r="I65" s="66" t="n">
        <x:f>Model_Formula!$M$16*(Profiles_140!N61-Simulator!$L$14)^2*IF(Profiles_140!N61&gt;Simulator!$L$14,1+Model_Formula!$N$16,1)</x:f>
        <x:v>225</x:v>
      </x:c>
      <x:c r="J65" s="66" t="n">
        <x:f>Model_Formula!$M$17*(Profiles_140!O61-Simulator!$L$15)^2*IF(Profiles_140!O61&gt;Simulator!$L$15,1+Model_Formula!$N$17,1)</x:f>
        <x:v>1600</x:v>
      </x:c>
      <x:c r="K65" s="66" t="n">
        <x:f>Model_Formula!$M$18*(Profiles_140!P61-Simulator!$L$16)^2*IF(Profiles_140!P61&gt;Simulator!$L$16,1+Model_Formula!$N$18,1)</x:f>
        <x:v>202.5</x:v>
      </x:c>
      <x:c r="L65" s="66" t="n">
        <x:f>Model_Formula!$M$19*(Profiles_140!Q61-Simulator!$L$17)^2*IF(Profiles_140!Q61&gt;Simulator!$L$17,1+Model_Formula!$N$19,1)</x:f>
        <x:v>25</x:v>
      </x:c>
      <x:c r="M65" s="66" t="n">
        <x:f>Model_Formula!$M$20*(Profiles_140!R61-Simulator!$L$18)^2*IF(Profiles_140!R61&gt;Simulator!$L$18,1+Model_Formula!$N$20,1)</x:f>
        <x:v>2025</x:v>
      </x:c>
      <x:c r="N65" s="66" t="n">
        <x:f>Model_Formula!$M$21*(Profiles_140!S61-Simulator!$L$19)^2*IF(Profiles_140!S61&gt;Simulator!$L$19,1+Model_Formula!$N$21,1)</x:f>
        <x:v>625</x:v>
      </x:c>
      <x:c r="O65" s="66" t="n">
        <x:f>Model_Formula!$M$22*(Profiles_140!T61-Simulator!$L$20)^2*IF(Profiles_140!T61&gt;Simulator!$L$20,1+Model_Formula!$N$22,1)</x:f>
        <x:v>900</x:v>
      </x:c>
      <x:c r="P65" s="66" t="n">
        <x:f>Model_Formula!$M$23*(Profiles_140!U61-Simulator!$L$21)^2*IF(Profiles_140!U61&gt;Simulator!$L$21,1+Model_Formula!$N$23,1)</x:f>
        <x:v>45</x:v>
      </x:c>
      <x:c r="Q65" s="66" t="n">
        <x:f>Model_Formula!$M$24*(Profiles_140!V61-Simulator!$L$22)^2*IF(Profiles_140!V61&gt;Simulator!$L$22,1+Model_Formula!$N$24,1)</x:f>
        <x:v>40</x:v>
      </x:c>
      <x:c r="R65" s="66" t="n">
        <x:f>Model_Formula!$M$25*(Profiles_140!W61-Simulator!$L$23)^2*IF(Profiles_140!W61&gt;Simulator!$L$23,1+Model_Formula!$N$25,1)</x:f>
        <x:v>11.25</x:v>
      </x:c>
      <x:c r="S65" s="66" t="n">
        <x:f>Model_Formula!$M$26*(Profiles_140!X61-Simulator!$L$24)^2*IF(Profiles_140!X61&gt;Simulator!$L$24,1+Model_Formula!$N$26,1)</x:f>
        <x:v>2376.0000000000005</x:v>
      </x:c>
      <x:c r="T65" s="66" t="n">
        <x:f>Model_Formula!$M$27*(Profiles_140!Y61-Simulator!$L$25)^2*IF(Profiles_140!Y61&gt;Simulator!$L$25,1+Model_Formula!$N$27,1)</x:f>
        <x:v>482.99999999999994</x:v>
      </x:c>
      <x:c r="U65" s="60" t="n">
        <x:f>SUM(F65:T65)/SUM($F$4:$T$4)</x:f>
        <x:v>968.8619402985075</x:v>
      </x:c>
      <x:c r="V65" s="60" t="n">
        <x:f>SQRT(U65)</x:f>
        <x:v>31.126547195256133</x:v>
      </x:c>
      <x:c r="W65" s="60" t="n">
        <x:f>MAX(0,100-V65)</x:f>
        <x:v>68.87345280474386</x:v>
      </x:c>
      <x:c r="X65" s="60" t="n">
        <x:f>SUMPRODUCT(Profiles_140!K61:Y61,$F$4:$T$4)/SUM($F$4:$T$4)</x:f>
        <x:v>57.070895522388064</x:v>
      </x:c>
      <x:c r="Y65" s="60" t="n">
        <x:f>IFERROR(50+50*SUMPRODUCT(($F$3:$T$3-$X$3)*(Profiles_140!K61:Y61-X65),$F$4:$T$4)/SQRT(SUMPRODUCT(($F$3:$T$3-$X$3)^2,$F$4:$T$4)*SUMPRODUCT((Profiles_140!K61:Y61-X65)^2,$F$4:$T$4)),50)</x:f>
        <x:v>50.00000000000001</x:v>
      </x:c>
      <x:c r="Z65" s="60" t="n">
        <x:f>$Z$3</x:f>
        <x:v>3.9474596431116675e-16</x:v>
      </x:c>
      <x:c r="AA65" s="60" t="n">
        <x:f>W65*(1-Model_Formula!$F$8*Z65)+Y65*(Model_Formula!$F$8*Z65)</x:f>
        <x:v>68.87345280474386</x:v>
      </x:c>
      <x:c r="AB65" s="60" t="n">
        <x:f>SQRT(SUMPRODUCT((Profiles_140!K61:Y61-50)^2,$F$4:$T$4)/SUM($F$4:$T$4))</x:f>
        <x:v>30.301655045681297</x:v>
      </x:c>
      <x:c r="AC65" s="60" t="n">
        <x:f>MAX(-Model_Formula!$F$11,MIN(Model_Formula!$F$11,Model_Formula!$F$10*(AB65-AVERAGE($AB$6:$AB$135))))</x:f>
        <x:v>0.5240541197726734</x:v>
      </x:c>
      <x:c r="AD65" s="60" t="n">
        <x:f>MAX(0,MIN(100,AA65+AC65))</x:f>
        <x:v>69.39750692451653</x:v>
      </x:c>
      <x:c r="AE65" s="60" t="n">
        <x:f>MAX(0,MIN(1,IFERROR((MATCH(AD65,Percentile_Calibration!$F61:$DB61,1)-1)/100,0)))</x:f>
        <x:v>0.65</x:v>
      </x:c>
      <x:c r="AF65" s="62" t="n">
        <x:f>ROUND(MAX(Model_Formula!$I$9,Model_Formula!$I$5+Model_Formula!$I$6*POWER(AE65,Model_Formula!$I$7)),0)</x:f>
        <x:v>57</x:v>
      </x:c>
      <x:c r="AG65" t="n">
        <x:f>Profiles_140!AJ61</x:f>
        <x:v>0</x:v>
      </x:c>
      <x:c r="AH65" s="60" t="n">
        <x:f>Model_Formula!$I$8*(AE65*100)+(1-Model_Formula!$I$8)*AD65+AG65</x:f>
        <x:v>65.8795013849033</x:v>
      </x:c>
      <x:c r="AI65" t="n">
        <x:f>RANK.EQ(AH65,$AH$6:$AH$135,0)+COUNTIF($AH$6:AH65,AH65)-1</x:f>
        <x:v>110</x:v>
      </x:c>
    </x:row>
    <x:row r="66">
      <x:c r="A66" t="str">
        <x:f>Profiles_140!A62</x:f>
        <x:v>ハッサム</x:v>
      </x:c>
      <x:c r="B66" t="str">
        <x:f>Profiles_140!C62</x:f>
        <x:v>ハッサム-1</x:v>
      </x:c>
      <x:c r="C66" t="str">
        <x:f>Profiles_140!D62</x:f>
        <x:v>ストライク</x:v>
      </x:c>
      <x:c r="D66" t="str">
        <x:f>Profiles_140!B62</x:f>
        <x:v>バランス型</x:v>
      </x:c>
      <x:c r="E66" t="str">
        <x:f>Profiles_140!I62</x:f>
        <x:v>高</x:v>
      </x:c>
      <x:c r="F66" s="66" t="n">
        <x:f>Model_Formula!$M$13*(Profiles_140!K62-Simulator!$L$11)^2*IF(Profiles_140!K62&gt;Simulator!$L$11,1+Model_Formula!$N$13,1)</x:f>
        <x:v>25</x:v>
      </x:c>
      <x:c r="G66" s="66" t="n">
        <x:f>Model_Formula!$M$14*(Profiles_140!L62-Simulator!$L$12)^2*IF(Profiles_140!L62&gt;Simulator!$L$12,1+Model_Formula!$N$14,1)</x:f>
        <x:v>2625</x:v>
      </x:c>
      <x:c r="H66" s="66" t="n">
        <x:f>Model_Formula!$M$15*(Profiles_140!M62-Simulator!$L$13)^2*IF(Profiles_140!M62&gt;Simulator!$L$13,1+Model_Formula!$N$15,1)</x:f>
        <x:v>2500</x:v>
      </x:c>
      <x:c r="I66" s="66" t="n">
        <x:f>Model_Formula!$M$16*(Profiles_140!N62-Simulator!$L$14)^2*IF(Profiles_140!N62&gt;Simulator!$L$14,1+Model_Formula!$N$16,1)</x:f>
        <x:v>2500</x:v>
      </x:c>
      <x:c r="J66" s="66" t="n">
        <x:f>Model_Formula!$M$17*(Profiles_140!O62-Simulator!$L$15)^2*IF(Profiles_140!O62&gt;Simulator!$L$15,1+Model_Formula!$N$17,1)</x:f>
        <x:v>1225</x:v>
      </x:c>
      <x:c r="K66" s="66" t="n">
        <x:f>Model_Formula!$M$18*(Profiles_140!P62-Simulator!$L$16)^2*IF(Profiles_140!P62&gt;Simulator!$L$16,1+Model_Formula!$N$18,1)</x:f>
        <x:v>2250</x:v>
      </x:c>
      <x:c r="L66" s="66" t="n">
        <x:f>Model_Formula!$M$19*(Profiles_140!Q62-Simulator!$L$17)^2*IF(Profiles_140!Q62&gt;Simulator!$L$17,1+Model_Formula!$N$19,1)</x:f>
        <x:v>625</x:v>
      </x:c>
      <x:c r="M66" s="66" t="n">
        <x:f>Model_Formula!$M$20*(Profiles_140!R62-Simulator!$L$18)^2*IF(Profiles_140!R62&gt;Simulator!$L$18,1+Model_Formula!$N$20,1)</x:f>
        <x:v>2025</x:v>
      </x:c>
      <x:c r="N66" s="66" t="n">
        <x:f>Model_Formula!$M$21*(Profiles_140!S62-Simulator!$L$19)^2*IF(Profiles_140!S62&gt;Simulator!$L$19,1+Model_Formula!$N$21,1)</x:f>
        <x:v>2500</x:v>
      </x:c>
      <x:c r="O66" s="66" t="n">
        <x:f>Model_Formula!$M$22*(Profiles_140!T62-Simulator!$L$20)^2*IF(Profiles_140!T62&gt;Simulator!$L$20,1+Model_Formula!$N$22,1)</x:f>
        <x:v>225</x:v>
      </x:c>
      <x:c r="P66" s="66" t="n">
        <x:f>Model_Formula!$M$23*(Profiles_140!U62-Simulator!$L$21)^2*IF(Profiles_140!U62&gt;Simulator!$L$21,1+Model_Formula!$N$23,1)</x:f>
        <x:v>101.25</x:v>
      </x:c>
      <x:c r="Q66" s="66" t="n">
        <x:f>Model_Formula!$M$24*(Profiles_140!V62-Simulator!$L$22)^2*IF(Profiles_140!V62&gt;Simulator!$L$22,1+Model_Formula!$N$24,1)</x:f>
        <x:v>160</x:v>
      </x:c>
      <x:c r="R66" s="66" t="n">
        <x:f>Model_Formula!$M$25*(Profiles_140!W62-Simulator!$L$23)^2*IF(Profiles_140!W62&gt;Simulator!$L$23,1+Model_Formula!$N$25,1)</x:f>
        <x:v>551.25</x:v>
      </x:c>
      <x:c r="S66" s="66" t="n">
        <x:f>Model_Formula!$M$26*(Profiles_140!X62-Simulator!$L$24)^2*IF(Profiles_140!X62&gt;Simulator!$L$24,1+Model_Formula!$N$26,1)</x:f>
        <x:v>2376.0000000000005</x:v>
      </x:c>
      <x:c r="T66" s="66" t="n">
        <x:f>Model_Formula!$M$27*(Profiles_140!Y62-Simulator!$L$25)^2*IF(Profiles_140!Y62&gt;Simulator!$L$25,1+Model_Formula!$N$27,1)</x:f>
        <x:v>754.6874999999999</x:v>
      </x:c>
      <x:c r="U66" s="60" t="n">
        <x:f>SUM(F66:T66)/SUM($F$4:$T$4)</x:f>
        <x:v>1525.6110074626868</x:v>
      </x:c>
      <x:c r="V66" s="60" t="n">
        <x:f>SQRT(U66)</x:f>
        <x:v>39.05907074499708</x:v>
      </x:c>
      <x:c r="W66" s="60" t="n">
        <x:f>MAX(0,100-V66)</x:f>
        <x:v>60.94092925500292</x:v>
      </x:c>
      <x:c r="X66" s="60" t="n">
        <x:f>SUMPRODUCT(Profiles_140!K62:Y62,$F$4:$T$4)/SUM($F$4:$T$4)</x:f>
        <x:v>48.00373134328359</x:v>
      </x:c>
      <x:c r="Y66" s="60" t="n">
        <x:f>IFERROR(50+50*SUMPRODUCT(($F$3:$T$3-$X$3)*(Profiles_140!K62:Y62-X66),$F$4:$T$4)/SQRT(SUMPRODUCT(($F$3:$T$3-$X$3)^2,$F$4:$T$4)*SUMPRODUCT((Profiles_140!K62:Y62-X66)^2,$F$4:$T$4)),50)</x:f>
        <x:v>50.00000000000001</x:v>
      </x:c>
      <x:c r="Z66" s="60" t="n">
        <x:f>$Z$3</x:f>
        <x:v>3.9474596431116675e-16</x:v>
      </x:c>
      <x:c r="AA66" s="60" t="n">
        <x:f>W66*(1-Model_Formula!$F$8*Z66)+Y66*(Model_Formula!$F$8*Z66)</x:f>
        <x:v>60.94092925500292</x:v>
      </x:c>
      <x:c r="AB66" s="60" t="n">
        <x:f>SQRT(SUMPRODUCT((Profiles_140!K62:Y62-50)^2,$F$4:$T$4)/SUM($F$4:$T$4))</x:f>
        <x:v>38.370493561060734</x:v>
      </x:c>
      <x:c r="AC66" s="60" t="n">
        <x:f>MAX(-Model_Formula!$F$11,MIN(Model_Formula!$F$11,Model_Formula!$F$10*(AB66-AVERAGE($AB$6:$AB$135))))</x:f>
        <x:v>4.15503145169342</x:v>
      </x:c>
      <x:c r="AD66" s="60" t="n">
        <x:f>MAX(0,MIN(100,AA66+AC66))</x:f>
        <x:v>65.09596070669635</x:v>
      </x:c>
      <x:c r="AE66" s="60" t="n">
        <x:f>MAX(0,MIN(1,IFERROR((MATCH(AD66,Percentile_Calibration!$F62:$DB62,1)-1)/100,0)))</x:f>
        <x:v>0.61</x:v>
      </x:c>
      <x:c r="AF66" s="62" t="n">
        <x:f>ROUND(MAX(Model_Formula!$I$9,Model_Formula!$I$5+Model_Formula!$I$6*POWER(AE66,Model_Formula!$I$7)),0)</x:f>
        <x:v>55</x:v>
      </x:c>
      <x:c r="AG66" t="n">
        <x:f>Profiles_140!AJ62</x:f>
        <x:v>0</x:v>
      </x:c>
      <x:c r="AH66" s="60" t="n">
        <x:f>Model_Formula!$I$8*(AE66*100)+(1-Model_Formula!$I$8)*AD66+AG66</x:f>
        <x:v>61.81919214133927</x:v>
      </x:c>
      <x:c r="AI66" t="n">
        <x:f>RANK.EQ(AH66,$AH$6:$AH$135,0)+COUNTIF($AH$6:AH66,AH66)-1</x:f>
        <x:v>129</x:v>
      </x:c>
    </x:row>
    <x:row r="67">
      <x:c r="A67" t="str">
        <x:f>Profiles_140!A63</x:f>
        <x:v>ハッサム</x:v>
      </x:c>
      <x:c r="B67" t="str">
        <x:f>Profiles_140!C63</x:f>
        <x:v>ハッサム-2</x:v>
      </x:c>
      <x:c r="C67" t="str">
        <x:f>Profiles_140!D63</x:f>
        <x:v>ハッサム</x:v>
      </x:c>
      <x:c r="D67" t="str">
        <x:f>Profiles_140!B63</x:f>
        <x:v>バランス型</x:v>
      </x:c>
      <x:c r="E67" t="str">
        <x:f>Profiles_140!I63</x:f>
        <x:v>高</x:v>
      </x:c>
      <x:c r="F67" s="66" t="n">
        <x:f>Model_Formula!$M$13*(Profiles_140!K63-Simulator!$L$11)^2*IF(Profiles_140!K63&gt;Simulator!$L$11,1+Model_Formula!$N$13,1)</x:f>
        <x:v>100</x:v>
      </x:c>
      <x:c r="G67" s="66" t="n">
        <x:f>Model_Formula!$M$14*(Profiles_140!L63-Simulator!$L$12)^2*IF(Profiles_140!L63&gt;Simulator!$L$12,1+Model_Formula!$N$14,1)</x:f>
        <x:v>105</x:v>
      </x:c>
      <x:c r="H67" s="66" t="n">
        <x:f>Model_Formula!$M$15*(Profiles_140!M63-Simulator!$L$13)^2*IF(Profiles_140!M63&gt;Simulator!$L$13,1+Model_Formula!$N$15,1)</x:f>
        <x:v>225</x:v>
      </x:c>
      <x:c r="I67" s="66" t="n">
        <x:f>Model_Formula!$M$16*(Profiles_140!N63-Simulator!$L$14)^2*IF(Profiles_140!N63&gt;Simulator!$L$14,1+Model_Formula!$N$16,1)</x:f>
        <x:v>2025</x:v>
      </x:c>
      <x:c r="J67" s="66" t="n">
        <x:f>Model_Formula!$M$17*(Profiles_140!O63-Simulator!$L$15)^2*IF(Profiles_140!O63&gt;Simulator!$L$15,1+Model_Formula!$N$17,1)</x:f>
        <x:v>900</x:v>
      </x:c>
      <x:c r="K67" s="66" t="n">
        <x:f>Model_Formula!$M$18*(Profiles_140!P63-Simulator!$L$16)^2*IF(Profiles_140!P63&gt;Simulator!$L$16,1+Model_Formula!$N$18,1)</x:f>
        <x:v>1102.5</x:v>
      </x:c>
      <x:c r="L67" s="66" t="n">
        <x:f>Model_Formula!$M$19*(Profiles_140!Q63-Simulator!$L$17)^2*IF(Profiles_140!Q63&gt;Simulator!$L$17,1+Model_Formula!$N$19,1)</x:f>
        <x:v>225</x:v>
      </x:c>
      <x:c r="M67" s="66" t="n">
        <x:f>Model_Formula!$M$20*(Profiles_140!R63-Simulator!$L$18)^2*IF(Profiles_140!R63&gt;Simulator!$L$18,1+Model_Formula!$N$20,1)</x:f>
        <x:v>1225</x:v>
      </x:c>
      <x:c r="N67" s="66" t="n">
        <x:f>Model_Formula!$M$21*(Profiles_140!S63-Simulator!$L$19)^2*IF(Profiles_140!S63&gt;Simulator!$L$19,1+Model_Formula!$N$21,1)</x:f>
        <x:v>0</x:v>
      </x:c>
      <x:c r="O67" s="66" t="n">
        <x:f>Model_Formula!$M$22*(Profiles_140!T63-Simulator!$L$20)^2*IF(Profiles_140!T63&gt;Simulator!$L$20,1+Model_Formula!$N$22,1)</x:f>
        <x:v>625</x:v>
      </x:c>
      <x:c r="P67" s="66" t="n">
        <x:f>Model_Formula!$M$23*(Profiles_140!U63-Simulator!$L$21)^2*IF(Profiles_140!U63&gt;Simulator!$L$21,1+Model_Formula!$N$23,1)</x:f>
        <x:v>180</x:v>
      </x:c>
      <x:c r="Q67" s="66" t="n">
        <x:f>Model_Formula!$M$24*(Profiles_140!V63-Simulator!$L$22)^2*IF(Profiles_140!V63&gt;Simulator!$L$22,1+Model_Formula!$N$24,1)</x:f>
        <x:v>90</x:v>
      </x:c>
      <x:c r="R67" s="66" t="n">
        <x:f>Model_Formula!$M$25*(Profiles_140!W63-Simulator!$L$23)^2*IF(Profiles_140!W63&gt;Simulator!$L$23,1+Model_Formula!$N$25,1)</x:f>
        <x:v>11.25</x:v>
      </x:c>
      <x:c r="S67" s="66" t="n">
        <x:f>Model_Formula!$M$26*(Profiles_140!X63-Simulator!$L$24)^2*IF(Profiles_140!X63&gt;Simulator!$L$24,1+Model_Formula!$N$26,1)</x:f>
        <x:v>37.12500000000001</x:v>
      </x:c>
      <x:c r="T67" s="66" t="n">
        <x:f>Model_Formula!$M$27*(Profiles_140!Y63-Simulator!$L$25)^2*IF(Profiles_140!Y63&gt;Simulator!$L$25,1+Model_Formula!$N$27,1)</x:f>
        <x:v>271.6875</x:v>
      </x:c>
      <x:c r="U67" s="60" t="n">
        <x:f>SUM(F67:T67)/SUM($F$4:$T$4)</x:f>
        <x:v>531.5345149253732</x:v>
      </x:c>
      <x:c r="V67" s="60" t="n">
        <x:f>SQRT(U67)</x:f>
        <x:v>23.05503231239057</x:v>
      </x:c>
      <x:c r="W67" s="60" t="n">
        <x:f>MAX(0,100-V67)</x:f>
        <x:v>76.94496768760943</x:v>
      </x:c>
      <x:c r="X67" s="60" t="n">
        <x:f>SUMPRODUCT(Profiles_140!K63:Y63,$F$4:$T$4)/SUM($F$4:$T$4)</x:f>
        <x:v>54.888059701492544</x:v>
      </x:c>
      <x:c r="Y67" s="60" t="n">
        <x:f>IFERROR(50+50*SUMPRODUCT(($F$3:$T$3-$X$3)*(Profiles_140!K63:Y63-X67),$F$4:$T$4)/SQRT(SUMPRODUCT(($F$3:$T$3-$X$3)^2,$F$4:$T$4)*SUMPRODUCT((Profiles_140!K63:Y63-X67)^2,$F$4:$T$4)),50)</x:f>
        <x:v>50.000000000000014</x:v>
      </x:c>
      <x:c r="Z67" s="60" t="n">
        <x:f>$Z$3</x:f>
        <x:v>3.9474596431116675e-16</x:v>
      </x:c>
      <x:c r="AA67" s="60" t="n">
        <x:f>W67*(1-Model_Formula!$F$8*Z67)+Y67*(Model_Formula!$F$8*Z67)</x:f>
        <x:v>76.94496768760943</x:v>
      </x:c>
      <x:c r="AB67" s="60" t="n">
        <x:f>SQRT(SUMPRODUCT((Profiles_140!K63:Y63-50)^2,$F$4:$T$4)/SUM($F$4:$T$4))</x:f>
        <x:v>22.981985157750078</x:v>
      </x:c>
      <x:c r="AC67" s="60" t="n">
        <x:f>MAX(-Model_Formula!$F$11,MIN(Model_Formula!$F$11,Model_Formula!$F$10*(AB67-AVERAGE($AB$6:$AB$135))))</x:f>
        <x:v>-2.7697973297963756</x:v>
      </x:c>
      <x:c r="AD67" s="60" t="n">
        <x:f>MAX(0,MIN(100,AA67+AC67))</x:f>
        <x:v>74.17517035781306</x:v>
      </x:c>
      <x:c r="AE67" s="60" t="n">
        <x:f>MAX(0,MIN(1,IFERROR((MATCH(AD67,Percentile_Calibration!$F63:$DB63,1)-1)/100,0)))</x:f>
        <x:v>0.84</x:v>
      </x:c>
      <x:c r="AF67" s="62" t="n">
        <x:f>ROUND(MAX(Model_Formula!$I$9,Model_Formula!$I$5+Model_Formula!$I$6*POWER(AE67,Model_Formula!$I$7)),0)</x:f>
        <x:v>75</x:v>
      </x:c>
      <x:c r="AG67" t="n">
        <x:f>Profiles_140!AJ63</x:f>
        <x:v>0</x:v>
      </x:c>
      <x:c r="AH67" s="60" t="n">
        <x:f>Model_Formula!$I$8*(AE67*100)+(1-Model_Formula!$I$8)*AD67+AG67</x:f>
        <x:v>82.0350340715626</x:v>
      </x:c>
      <x:c r="AI67" t="n">
        <x:f>RANK.EQ(AH67,$AH$6:$AH$135,0)+COUNTIF($AH$6:AH67,AH67)-1</x:f>
        <x:v>29</x:v>
      </x:c>
    </x:row>
    <x:row r="68">
      <x:c r="A68" t="str">
        <x:f>Profiles_140!A64</x:f>
        <x:v>バシャーモ</x:v>
      </x:c>
      <x:c r="B68" t="str">
        <x:f>Profiles_140!C64</x:f>
        <x:v>バシャーモ-1</x:v>
      </x:c>
      <x:c r="C68" t="str">
        <x:f>Profiles_140!D64</x:f>
        <x:v>共通</x:v>
      </x:c>
      <x:c r="D68" t="str">
        <x:f>Profiles_140!B64</x:f>
        <x:v>バランス型</x:v>
      </x:c>
      <x:c r="E68" t="str">
        <x:f>Profiles_140!I64</x:f>
        <x:v>高</x:v>
      </x:c>
      <x:c r="F68" s="66" t="n">
        <x:f>Model_Formula!$M$13*(Profiles_140!K64-Simulator!$L$11)^2*IF(Profiles_140!K64&gt;Simulator!$L$11,1+Model_Formula!$N$13,1)</x:f>
        <x:v>900</x:v>
      </x:c>
      <x:c r="G68" s="66" t="n">
        <x:f>Model_Formula!$M$14*(Profiles_140!L64-Simulator!$L$12)^2*IF(Profiles_140!L64&gt;Simulator!$L$12,1+Model_Formula!$N$14,1)</x:f>
        <x:v>2625</x:v>
      </x:c>
      <x:c r="H68" s="66" t="n">
        <x:f>Model_Formula!$M$15*(Profiles_140!M64-Simulator!$L$13)^2*IF(Profiles_140!M64&gt;Simulator!$L$13,1+Model_Formula!$N$15,1)</x:f>
        <x:v>900</x:v>
      </x:c>
      <x:c r="I68" s="66" t="n">
        <x:f>Model_Formula!$M$16*(Profiles_140!N64-Simulator!$L$14)^2*IF(Profiles_140!N64&gt;Simulator!$L$14,1+Model_Formula!$N$16,1)</x:f>
        <x:v>25</x:v>
      </x:c>
      <x:c r="J68" s="66" t="n">
        <x:f>Model_Formula!$M$17*(Profiles_140!O64-Simulator!$L$15)^2*IF(Profiles_140!O64&gt;Simulator!$L$15,1+Model_Formula!$N$17,1)</x:f>
        <x:v>1600</x:v>
      </x:c>
      <x:c r="K68" s="66" t="n">
        <x:f>Model_Formula!$M$18*(Profiles_140!P64-Simulator!$L$16)^2*IF(Profiles_140!P64&gt;Simulator!$L$16,1+Model_Formula!$N$18,1)</x:f>
        <x:v>22.5</x:v>
      </x:c>
      <x:c r="L68" s="66" t="n">
        <x:f>Model_Formula!$M$19*(Profiles_140!Q64-Simulator!$L$17)^2*IF(Profiles_140!Q64&gt;Simulator!$L$17,1+Model_Formula!$N$19,1)</x:f>
        <x:v>25</x:v>
      </x:c>
      <x:c r="M68" s="66" t="n">
        <x:f>Model_Formula!$M$20*(Profiles_140!R64-Simulator!$L$18)^2*IF(Profiles_140!R64&gt;Simulator!$L$18,1+Model_Formula!$N$20,1)</x:f>
        <x:v>2025</x:v>
      </x:c>
      <x:c r="N68" s="66" t="n">
        <x:f>Model_Formula!$M$21*(Profiles_140!S64-Simulator!$L$19)^2*IF(Profiles_140!S64&gt;Simulator!$L$19,1+Model_Formula!$N$21,1)</x:f>
        <x:v>900</x:v>
      </x:c>
      <x:c r="O68" s="66" t="n">
        <x:f>Model_Formula!$M$22*(Profiles_140!T64-Simulator!$L$20)^2*IF(Profiles_140!T64&gt;Simulator!$L$20,1+Model_Formula!$N$22,1)</x:f>
        <x:v>400</x:v>
      </x:c>
      <x:c r="P68" s="66" t="n">
        <x:f>Model_Formula!$M$23*(Profiles_140!U64-Simulator!$L$21)^2*IF(Profiles_140!U64&gt;Simulator!$L$21,1+Model_Formula!$N$23,1)</x:f>
        <x:v>45</x:v>
      </x:c>
      <x:c r="Q68" s="66" t="n">
        <x:f>Model_Formula!$M$24*(Profiles_140!V64-Simulator!$L$22)^2*IF(Profiles_140!V64&gt;Simulator!$L$22,1+Model_Formula!$N$24,1)</x:f>
        <x:v>40</x:v>
      </x:c>
      <x:c r="R68" s="66" t="n">
        <x:f>Model_Formula!$M$25*(Profiles_140!W64-Simulator!$L$23)^2*IF(Profiles_140!W64&gt;Simulator!$L$23,1+Model_Formula!$N$25,1)</x:f>
        <x:v>11.25</x:v>
      </x:c>
      <x:c r="S68" s="66" t="n">
        <x:f>Model_Formula!$M$26*(Profiles_140!X64-Simulator!$L$24)^2*IF(Profiles_140!X64&gt;Simulator!$L$24,1+Model_Formula!$N$26,1)</x:f>
        <x:v>1819.1250000000002</x:v>
      </x:c>
      <x:c r="T68" s="66" t="n">
        <x:f>Model_Formula!$M$27*(Profiles_140!Y64-Simulator!$L$25)^2*IF(Profiles_140!Y64&gt;Simulator!$L$25,1+Model_Formula!$N$27,1)</x:f>
        <x:v>1086.75</x:v>
      </x:c>
      <x:c r="U68" s="60" t="n">
        <x:f>SUM(F68:T68)/SUM($F$4:$T$4)</x:f>
        <x:v>927.2108208955225</x:v>
      </x:c>
      <x:c r="V68" s="60" t="n">
        <x:f>SQRT(U68)</x:f>
        <x:v>30.450136631803847</x:v>
      </x:c>
      <x:c r="W68" s="60" t="n">
        <x:f>MAX(0,100-V68)</x:f>
        <x:v>69.54986336819616</x:v>
      </x:c>
      <x:c r="X68" s="60" t="n">
        <x:f>SUMPRODUCT(Profiles_140!K64:Y64,$F$4:$T$4)/SUM($F$4:$T$4)</x:f>
        <x:v>57.6679104477612</x:v>
      </x:c>
      <x:c r="Y68" s="60" t="n">
        <x:f>IFERROR(50+50*SUMPRODUCT(($F$3:$T$3-$X$3)*(Profiles_140!K64:Y64-X68),$F$4:$T$4)/SQRT(SUMPRODUCT(($F$3:$T$3-$X$3)^2,$F$4:$T$4)*SUMPRODUCT((Profiles_140!K64:Y64-X68)^2,$F$4:$T$4)),50)</x:f>
        <x:v>50.00000000000001</x:v>
      </x:c>
      <x:c r="Z68" s="60" t="n">
        <x:f>$Z$3</x:f>
        <x:v>3.9474596431116675e-16</x:v>
      </x:c>
      <x:c r="AA68" s="60" t="n">
        <x:f>W68*(1-Model_Formula!$F$8*Z68)+Y68*(Model_Formula!$F$8*Z68)</x:f>
        <x:v>69.54986336819616</x:v>
      </x:c>
      <x:c r="AB68" s="60" t="n">
        <x:f>SQRT(SUMPRODUCT((Profiles_140!K64:Y64-50)^2,$F$4:$T$4)/SUM($F$4:$T$4))</x:f>
        <x:v>29.6889974092117</x:v>
      </x:c>
      <x:c r="AC68" s="60" t="n">
        <x:f>MAX(-Model_Formula!$F$11,MIN(Model_Formula!$F$11,Model_Formula!$F$10*(AB68-AVERAGE($AB$6:$AB$135))))</x:f>
        <x:v>0.24835818336135526</x:v>
      </x:c>
      <x:c r="AD68" s="60" t="n">
        <x:f>MAX(0,MIN(100,AA68+AC68))</x:f>
        <x:v>69.79822155155752</x:v>
      </x:c>
      <x:c r="AE68" s="60" t="n">
        <x:f>MAX(0,MIN(1,IFERROR((MATCH(AD68,Percentile_Calibration!$F64:$DB64,1)-1)/100,0)))</x:f>
        <x:v>0.67</x:v>
      </x:c>
      <x:c r="AF68" s="62" t="n">
        <x:f>ROUND(MAX(Model_Formula!$I$9,Model_Formula!$I$5+Model_Formula!$I$6*POWER(AE68,Model_Formula!$I$7)),0)</x:f>
        <x:v>59</x:v>
      </x:c>
      <x:c r="AG68" t="n">
        <x:f>Profiles_140!AJ64</x:f>
        <x:v>0</x:v>
      </x:c>
      <x:c r="AH68" s="60" t="n">
        <x:f>Model_Formula!$I$8*(AE68*100)+(1-Model_Formula!$I$8)*AD68+AG68</x:f>
        <x:v>67.5596443103115</x:v>
      </x:c>
      <x:c r="AI68" t="n">
        <x:f>RANK.EQ(AH68,$AH$6:$AH$135,0)+COUNTIF($AH$6:AH68,AH68)-1</x:f>
        <x:v>96</x:v>
      </x:c>
    </x:row>
    <x:row r="69">
      <x:c r="A69" t="str">
        <x:f>Profiles_140!A65</x:f>
        <x:v>バンギラス</x:v>
      </x:c>
      <x:c r="B69" t="str">
        <x:f>Profiles_140!C65</x:f>
        <x:v>バンギラス-1</x:v>
      </x:c>
      <x:c r="C69" t="str">
        <x:f>Profiles_140!D65</x:f>
        <x:v>共通</x:v>
      </x:c>
      <x:c r="D69" t="str">
        <x:f>Profiles_140!B65</x:f>
        <x:v>バランス型</x:v>
      </x:c>
      <x:c r="E69" t="str">
        <x:f>Profiles_140!I65</x:f>
        <x:v>高</x:v>
      </x:c>
      <x:c r="F69" s="66" t="n">
        <x:f>Model_Formula!$M$13*(Profiles_140!K65-Simulator!$L$11)^2*IF(Profiles_140!K65&gt;Simulator!$L$11,1+Model_Formula!$N$13,1)</x:f>
        <x:v>25</x:v>
      </x:c>
      <x:c r="G69" s="66" t="n">
        <x:f>Model_Formula!$M$14*(Profiles_140!L65-Simulator!$L$12)^2*IF(Profiles_140!L65&gt;Simulator!$L$12,1+Model_Formula!$N$14,1)</x:f>
        <x:v>26.25</x:v>
      </x:c>
      <x:c r="H69" s="66" t="n">
        <x:f>Model_Formula!$M$15*(Profiles_140!M65-Simulator!$L$13)^2*IF(Profiles_140!M65&gt;Simulator!$L$13,1+Model_Formula!$N$15,1)</x:f>
        <x:v>225</x:v>
      </x:c>
      <x:c r="I69" s="66" t="n">
        <x:f>Model_Formula!$M$16*(Profiles_140!N65-Simulator!$L$14)^2*IF(Profiles_140!N65&gt;Simulator!$L$14,1+Model_Formula!$N$16,1)</x:f>
        <x:v>2500</x:v>
      </x:c>
      <x:c r="J69" s="66" t="n">
        <x:f>Model_Formula!$M$17*(Profiles_140!O65-Simulator!$L$15)^2*IF(Profiles_140!O65&gt;Simulator!$L$15,1+Model_Formula!$N$17,1)</x:f>
        <x:v>1600</x:v>
      </x:c>
      <x:c r="K69" s="66" t="n">
        <x:f>Model_Formula!$M$18*(Profiles_140!P65-Simulator!$L$16)^2*IF(Profiles_140!P65&gt;Simulator!$L$16,1+Model_Formula!$N$18,1)</x:f>
        <x:v>562.5</x:v>
      </x:c>
      <x:c r="L69" s="66" t="n">
        <x:f>Model_Formula!$M$19*(Profiles_140!Q65-Simulator!$L$17)^2*IF(Profiles_140!Q65&gt;Simulator!$L$17,1+Model_Formula!$N$19,1)</x:f>
        <x:v>225</x:v>
      </x:c>
      <x:c r="M69" s="66" t="n">
        <x:f>Model_Formula!$M$20*(Profiles_140!R65-Simulator!$L$18)^2*IF(Profiles_140!R65&gt;Simulator!$L$18,1+Model_Formula!$N$20,1)</x:f>
        <x:v>2025</x:v>
      </x:c>
      <x:c r="N69" s="66" t="n">
        <x:f>Model_Formula!$M$21*(Profiles_140!S65-Simulator!$L$19)^2*IF(Profiles_140!S65&gt;Simulator!$L$19,1+Model_Formula!$N$21,1)</x:f>
        <x:v>1600</x:v>
      </x:c>
      <x:c r="O69" s="66" t="n">
        <x:f>Model_Formula!$M$22*(Profiles_140!T65-Simulator!$L$20)^2*IF(Profiles_140!T65&gt;Simulator!$L$20,1+Model_Formula!$N$22,1)</x:f>
        <x:v>900</x:v>
      </x:c>
      <x:c r="P69" s="66" t="n">
        <x:f>Model_Formula!$M$23*(Profiles_140!U65-Simulator!$L$21)^2*IF(Profiles_140!U65&gt;Simulator!$L$21,1+Model_Formula!$N$23,1)</x:f>
        <x:v>720</x:v>
      </x:c>
      <x:c r="Q69" s="66" t="n">
        <x:f>Model_Formula!$M$24*(Profiles_140!V65-Simulator!$L$22)^2*IF(Profiles_140!V65&gt;Simulator!$L$22,1+Model_Formula!$N$24,1)</x:f>
        <x:v>10</x:v>
      </x:c>
      <x:c r="R69" s="66" t="n">
        <x:f>Model_Formula!$M$25*(Profiles_140!W65-Simulator!$L$23)^2*IF(Profiles_140!W65&gt;Simulator!$L$23,1+Model_Formula!$N$25,1)</x:f>
        <x:v>45</x:v>
      </x:c>
      <x:c r="S69" s="66" t="n">
        <x:f>Model_Formula!$M$26*(Profiles_140!X65-Simulator!$L$24)^2*IF(Profiles_140!X65&gt;Simulator!$L$24,1+Model_Formula!$N$26,1)</x:f>
        <x:v>0</x:v>
      </x:c>
      <x:c r="T69" s="66" t="n">
        <x:f>Model_Formula!$M$27*(Profiles_140!Y65-Simulator!$L$25)^2*IF(Profiles_140!Y65&gt;Simulator!$L$25,1+Model_Formula!$N$27,1)</x:f>
        <x:v>0</x:v>
      </x:c>
      <x:c r="U69" s="60" t="n">
        <x:f>SUM(F69:T69)/SUM($F$4:$T$4)</x:f>
        <x:v>780.8768656716419</x:v>
      </x:c>
      <x:c r="V69" s="60" t="n">
        <x:f>SQRT(U69)</x:f>
        <x:v>27.944174091778805</x:v>
      </x:c>
      <x:c r="W69" s="60" t="n">
        <x:f>MAX(0,100-V69)</x:f>
        <x:v>72.0558259082212</x:v>
      </x:c>
      <x:c r="X69" s="60" t="n">
        <x:f>SUMPRODUCT(Profiles_140!K65:Y65,$F$4:$T$4)/SUM($F$4:$T$4)</x:f>
        <x:v>48.00373134328359</x:v>
      </x:c>
      <x:c r="Y69" s="60" t="n">
        <x:f>IFERROR(50+50*SUMPRODUCT(($F$3:$T$3-$X$3)*(Profiles_140!K65:Y65-X69),$F$4:$T$4)/SQRT(SUMPRODUCT(($F$3:$T$3-$X$3)^2,$F$4:$T$4)*SUMPRODUCT((Profiles_140!K65:Y65-X69)^2,$F$4:$T$4)),50)</x:f>
        <x:v>50.000000000000014</x:v>
      </x:c>
      <x:c r="Z69" s="60" t="n">
        <x:f>$Z$3</x:f>
        <x:v>3.9474596431116675e-16</x:v>
      </x:c>
      <x:c r="AA69" s="60" t="n">
        <x:f>W69*(1-Model_Formula!$F$8*Z69)+Y69*(Model_Formula!$F$8*Z69)</x:f>
        <x:v>72.0558259082212</x:v>
      </x:c>
      <x:c r="AB69" s="60" t="n">
        <x:f>SQRT(SUMPRODUCT((Profiles_140!K65:Y65-50)^2,$F$4:$T$4)/SUM($F$4:$T$4))</x:f>
        <x:v>27.944174091778805</x:v>
      </x:c>
      <x:c r="AC69" s="60" t="n">
        <x:f>MAX(-Model_Formula!$F$11,MIN(Model_Formula!$F$11,Model_Formula!$F$10*(AB69-AVERAGE($AB$6:$AB$135))))</x:f>
        <x:v>-0.536812309483448</x:v>
      </x:c>
      <x:c r="AD69" s="60" t="n">
        <x:f>MAX(0,MIN(100,AA69+AC69))</x:f>
        <x:v>71.51901359873774</x:v>
      </x:c>
      <x:c r="AE69" s="60" t="n">
        <x:f>MAX(0,MIN(1,IFERROR((MATCH(AD69,Percentile_Calibration!$F65:$DB65,1)-1)/100,0)))</x:f>
        <x:v>0.85</x:v>
      </x:c>
      <x:c r="AF69" s="62" t="n">
        <x:f>ROUND(MAX(Model_Formula!$I$9,Model_Formula!$I$5+Model_Formula!$I$6*POWER(AE69,Model_Formula!$I$7)),0)</x:f>
        <x:v>76</x:v>
      </x:c>
      <x:c r="AG69" t="n">
        <x:f>Profiles_140!AJ65</x:f>
        <x:v>0</x:v>
      </x:c>
      <x:c r="AH69" s="60" t="n">
        <x:f>Model_Formula!$I$8*(AE69*100)+(1-Model_Formula!$I$8)*AD69+AG69</x:f>
        <x:v>82.30380271974755</x:v>
      </x:c>
      <x:c r="AI69" t="n">
        <x:f>RANK.EQ(AH69,$AH$6:$AH$135,0)+COUNTIF($AH$6:AH69,AH69)-1</x:f>
        <x:v>27</x:v>
      </x:c>
    </x:row>
    <x:row r="70">
      <x:c r="A70" t="str">
        <x:f>Profiles_140!A66</x:f>
        <x:v>パルキア</x:v>
      </x:c>
      <x:c r="B70" t="str">
        <x:f>Profiles_140!C66</x:f>
        <x:v>パルキア-1</x:v>
      </x:c>
      <x:c r="C70" t="str">
        <x:f>Profiles_140!D66</x:f>
        <x:v>共通</x:v>
      </x:c>
      <x:c r="D70" t="str">
        <x:f>Profiles_140!B66</x:f>
        <x:v>バランス型</x:v>
      </x:c>
      <x:c r="E70" t="str">
        <x:f>Profiles_140!I66</x:f>
        <x:v>中</x:v>
      </x:c>
      <x:c r="F70" s="66" t="n">
        <x:f>Model_Formula!$M$13*(Profiles_140!K66-Simulator!$L$11)^2*IF(Profiles_140!K66&gt;Simulator!$L$11,1+Model_Formula!$N$13,1)</x:f>
        <x:v>900</x:v>
      </x:c>
      <x:c r="G70" s="66" t="n">
        <x:f>Model_Formula!$M$14*(Profiles_140!L66-Simulator!$L$12)^2*IF(Profiles_140!L66&gt;Simulator!$L$12,1+Model_Formula!$N$14,1)</x:f>
        <x:v>2625</x:v>
      </x:c>
      <x:c r="H70" s="66" t="n">
        <x:f>Model_Formula!$M$15*(Profiles_140!M66-Simulator!$L$13)^2*IF(Profiles_140!M66&gt;Simulator!$L$13,1+Model_Formula!$N$15,1)</x:f>
        <x:v>900</x:v>
      </x:c>
      <x:c r="I70" s="66" t="n">
        <x:f>Model_Formula!$M$16*(Profiles_140!N66-Simulator!$L$14)^2*IF(Profiles_140!N66&gt;Simulator!$L$14,1+Model_Formula!$N$16,1)</x:f>
        <x:v>900</x:v>
      </x:c>
      <x:c r="J70" s="66" t="n">
        <x:f>Model_Formula!$M$17*(Profiles_140!O66-Simulator!$L$15)^2*IF(Profiles_140!O66&gt;Simulator!$L$15,1+Model_Formula!$N$17,1)</x:f>
        <x:v>1600</x:v>
      </x:c>
      <x:c r="K70" s="66" t="n">
        <x:f>Model_Formula!$M$18*(Profiles_140!P66-Simulator!$L$16)^2*IF(Profiles_140!P66&gt;Simulator!$L$16,1+Model_Formula!$N$18,1)</x:f>
        <x:v>22.5</x:v>
      </x:c>
      <x:c r="L70" s="66" t="n">
        <x:f>Model_Formula!$M$19*(Profiles_140!Q66-Simulator!$L$17)^2*IF(Profiles_140!Q66&gt;Simulator!$L$17,1+Model_Formula!$N$19,1)</x:f>
        <x:v>25</x:v>
      </x:c>
      <x:c r="M70" s="66" t="n">
        <x:f>Model_Formula!$M$20*(Profiles_140!R66-Simulator!$L$18)^2*IF(Profiles_140!R66&gt;Simulator!$L$18,1+Model_Formula!$N$20,1)</x:f>
        <x:v>2025</x:v>
      </x:c>
      <x:c r="N70" s="66" t="n">
        <x:f>Model_Formula!$M$21*(Profiles_140!S66-Simulator!$L$19)^2*IF(Profiles_140!S66&gt;Simulator!$L$19,1+Model_Formula!$N$21,1)</x:f>
        <x:v>1600</x:v>
      </x:c>
      <x:c r="O70" s="66" t="n">
        <x:f>Model_Formula!$M$22*(Profiles_140!T66-Simulator!$L$20)^2*IF(Profiles_140!T66&gt;Simulator!$L$20,1+Model_Formula!$N$22,1)</x:f>
        <x:v>400</x:v>
      </x:c>
      <x:c r="P70" s="66" t="n">
        <x:f>Model_Formula!$M$23*(Profiles_140!U66-Simulator!$L$21)^2*IF(Profiles_140!U66&gt;Simulator!$L$21,1+Model_Formula!$N$23,1)</x:f>
        <x:v>45</x:v>
      </x:c>
      <x:c r="Q70" s="66" t="n">
        <x:f>Model_Formula!$M$24*(Profiles_140!V66-Simulator!$L$22)^2*IF(Profiles_140!V66&gt;Simulator!$L$22,1+Model_Formula!$N$24,1)</x:f>
        <x:v>40</x:v>
      </x:c>
      <x:c r="R70" s="66" t="n">
        <x:f>Model_Formula!$M$25*(Profiles_140!W66-Simulator!$L$23)^2*IF(Profiles_140!W66&gt;Simulator!$L$23,1+Model_Formula!$N$25,1)</x:f>
        <x:v>11.25</x:v>
      </x:c>
      <x:c r="S70" s="66" t="n">
        <x:f>Model_Formula!$M$26*(Profiles_140!X66-Simulator!$L$24)^2*IF(Profiles_140!X66&gt;Simulator!$L$24,1+Model_Formula!$N$26,1)</x:f>
        <x:v>334.12500000000006</x:v>
      </x:c>
      <x:c r="T70" s="66" t="n">
        <x:f>Model_Formula!$M$27*(Profiles_140!Y66-Simulator!$L$25)^2*IF(Profiles_140!Y66&gt;Simulator!$L$25,1+Model_Formula!$N$27,1)</x:f>
        <x:v>482.99999999999994</x:v>
      </x:c>
      <x:c r="U70" s="60" t="n">
        <x:f>SUM(F70:T70)/SUM($F$4:$T$4)</x:f>
        <x:v>888.8712686567166</x:v>
      </x:c>
      <x:c r="V70" s="60" t="n">
        <x:f>SQRT(U70)</x:f>
        <x:v>29.8139441982559</x:v>
      </x:c>
      <x:c r="W70" s="60" t="n">
        <x:f>MAX(0,100-V70)</x:f>
        <x:v>70.1860558017441</x:v>
      </x:c>
      <x:c r="X70" s="60" t="n">
        <x:f>SUMPRODUCT(Profiles_140!K66:Y66,$F$4:$T$4)/SUM($F$4:$T$4)</x:f>
        <x:v>57.18283582089553</x:v>
      </x:c>
      <x:c r="Y70" s="60" t="n">
        <x:f>IFERROR(50+50*SUMPRODUCT(($F$3:$T$3-$X$3)*(Profiles_140!K66:Y66-X70),$F$4:$T$4)/SQRT(SUMPRODUCT(($F$3:$T$3-$X$3)^2,$F$4:$T$4)*SUMPRODUCT((Profiles_140!K66:Y66-X70)^2,$F$4:$T$4)),50)</x:f>
        <x:v>50.00000000000001</x:v>
      </x:c>
      <x:c r="Z70" s="60" t="n">
        <x:f>$Z$3</x:f>
        <x:v>3.9474596431116675e-16</x:v>
      </x:c>
      <x:c r="AA70" s="60" t="n">
        <x:f>W70*(1-Model_Formula!$F$8*Z70)+Y70*(Model_Formula!$F$8*Z70)</x:f>
        <x:v>70.1860558017441</x:v>
      </x:c>
      <x:c r="AB70" s="60" t="n">
        <x:f>SQRT(SUMPRODUCT((Profiles_140!K66:Y66-50)^2,$F$4:$T$4)/SUM($F$4:$T$4))</x:f>
        <x:v>29.62609025640402</x:v>
      </x:c>
      <x:c r="AC70" s="60" t="n">
        <x:f>MAX(-Model_Formula!$F$11,MIN(Model_Formula!$F$11,Model_Formula!$F$10*(AB70-AVERAGE($AB$6:$AB$135))))</x:f>
        <x:v>0.2200499645978983</x:v>
      </x:c>
      <x:c r="AD70" s="60" t="n">
        <x:f>MAX(0,MIN(100,AA70+AC70))</x:f>
        <x:v>70.40610576634201</x:v>
      </x:c>
      <x:c r="AE70" s="60" t="n">
        <x:f>MAX(0,MIN(1,IFERROR((MATCH(AD70,Percentile_Calibration!$F66:$DB66,1)-1)/100,0)))</x:f>
        <x:v>0.66</x:v>
      </x:c>
      <x:c r="AF70" s="62" t="n">
        <x:f>ROUND(MAX(Model_Formula!$I$9,Model_Formula!$I$5+Model_Formula!$I$6*POWER(AE70,Model_Formula!$I$7)),0)</x:f>
        <x:v>58</x:v>
      </x:c>
      <x:c r="AG70" t="n">
        <x:f>Profiles_140!AJ66</x:f>
        <x:v>0</x:v>
      </x:c>
      <x:c r="AH70" s="60" t="n">
        <x:f>Model_Formula!$I$8*(AE70*100)+(1-Model_Formula!$I$8)*AD70+AG70</x:f>
        <x:v>66.8812211532684</x:v>
      </x:c>
      <x:c r="AI70" t="n">
        <x:f>RANK.EQ(AH70,$AH$6:$AH$135,0)+COUNTIF($AH$6:AH70,AH70)-1</x:f>
        <x:v>102</x:v>
      </x:c>
    </x:row>
    <x:row r="71">
      <x:c r="A71" t="str">
        <x:f>Profiles_140!A67</x:f>
        <x:v>パーモット</x:v>
      </x:c>
      <x:c r="B71" t="str">
        <x:f>Profiles_140!C67</x:f>
        <x:v>パーモット-1</x:v>
      </x:c>
      <x:c r="C71" t="str">
        <x:f>Profiles_140!D67</x:f>
        <x:v>共通</x:v>
      </x:c>
      <x:c r="D71" t="str">
        <x:f>Profiles_140!B67</x:f>
        <x:v>バランス型</x:v>
      </x:c>
      <x:c r="E71" t="str">
        <x:f>Profiles_140!I67</x:f>
        <x:v>高</x:v>
      </x:c>
      <x:c r="F71" s="66" t="n">
        <x:f>Model_Formula!$M$13*(Profiles_140!K67-Simulator!$L$11)^2*IF(Profiles_140!K67&gt;Simulator!$L$11,1+Model_Formula!$N$13,1)</x:f>
        <x:v>900</x:v>
      </x:c>
      <x:c r="G71" s="66" t="n">
        <x:f>Model_Formula!$M$14*(Profiles_140!L67-Simulator!$L$12)^2*IF(Profiles_140!L67&gt;Simulator!$L$12,1+Model_Formula!$N$14,1)</x:f>
        <x:v>2625</x:v>
      </x:c>
      <x:c r="H71" s="66" t="n">
        <x:f>Model_Formula!$M$15*(Profiles_140!M67-Simulator!$L$13)^2*IF(Profiles_140!M67&gt;Simulator!$L$13,1+Model_Formula!$N$15,1)</x:f>
        <x:v>900</x:v>
      </x:c>
      <x:c r="I71" s="66" t="n">
        <x:f>Model_Formula!$M$16*(Profiles_140!N67-Simulator!$L$14)^2*IF(Profiles_140!N67&gt;Simulator!$L$14,1+Model_Formula!$N$16,1)</x:f>
        <x:v>25</x:v>
      </x:c>
      <x:c r="J71" s="66" t="n">
        <x:f>Model_Formula!$M$17*(Profiles_140!O67-Simulator!$L$15)^2*IF(Profiles_140!O67&gt;Simulator!$L$15,1+Model_Formula!$N$17,1)</x:f>
        <x:v>1600</x:v>
      </x:c>
      <x:c r="K71" s="66" t="n">
        <x:f>Model_Formula!$M$18*(Profiles_140!P67-Simulator!$L$16)^2*IF(Profiles_140!P67&gt;Simulator!$L$16,1+Model_Formula!$N$18,1)</x:f>
        <x:v>202.5</x:v>
      </x:c>
      <x:c r="L71" s="66" t="n">
        <x:f>Model_Formula!$M$19*(Profiles_140!Q67-Simulator!$L$17)^2*IF(Profiles_140!Q67&gt;Simulator!$L$17,1+Model_Formula!$N$19,1)</x:f>
        <x:v>25</x:v>
      </x:c>
      <x:c r="M71" s="66" t="n">
        <x:f>Model_Formula!$M$20*(Profiles_140!R67-Simulator!$L$18)^2*IF(Profiles_140!R67&gt;Simulator!$L$18,1+Model_Formula!$N$20,1)</x:f>
        <x:v>2025</x:v>
      </x:c>
      <x:c r="N71" s="66" t="n">
        <x:f>Model_Formula!$M$21*(Profiles_140!S67-Simulator!$L$19)^2*IF(Profiles_140!S67&gt;Simulator!$L$19,1+Model_Formula!$N$21,1)</x:f>
        <x:v>1600</x:v>
      </x:c>
      <x:c r="O71" s="66" t="n">
        <x:f>Model_Formula!$M$22*(Profiles_140!T67-Simulator!$L$20)^2*IF(Profiles_140!T67&gt;Simulator!$L$20,1+Model_Formula!$N$22,1)</x:f>
        <x:v>400</x:v>
      </x:c>
      <x:c r="P71" s="66" t="n">
        <x:f>Model_Formula!$M$23*(Profiles_140!U67-Simulator!$L$21)^2*IF(Profiles_140!U67&gt;Simulator!$L$21,1+Model_Formula!$N$23,1)</x:f>
        <x:v>281.25</x:v>
      </x:c>
      <x:c r="Q71" s="66" t="n">
        <x:f>Model_Formula!$M$24*(Profiles_140!V67-Simulator!$L$22)^2*IF(Profiles_140!V67&gt;Simulator!$L$22,1+Model_Formula!$N$24,1)</x:f>
        <x:v>40</x:v>
      </x:c>
      <x:c r="R71" s="66" t="n">
        <x:f>Model_Formula!$M$25*(Profiles_140!W67-Simulator!$L$23)^2*IF(Profiles_140!W67&gt;Simulator!$L$23,1+Model_Formula!$N$25,1)</x:f>
        <x:v>11.25</x:v>
      </x:c>
      <x:c r="S71" s="66" t="n">
        <x:f>Model_Formula!$M$26*(Profiles_140!X67-Simulator!$L$24)^2*IF(Profiles_140!X67&gt;Simulator!$L$24,1+Model_Formula!$N$26,1)</x:f>
        <x:v>594.0000000000001</x:v>
      </x:c>
      <x:c r="T71" s="66" t="n">
        <x:f>Model_Formula!$M$27*(Profiles_140!Y67-Simulator!$L$25)^2*IF(Profiles_140!Y67&gt;Simulator!$L$25,1+Model_Formula!$N$27,1)</x:f>
        <x:v>482.99999999999994</x:v>
      </x:c>
      <x:c r="U71" s="60" t="n">
        <x:f>SUM(F71:T71)/SUM($F$4:$T$4)</x:f>
        <x:v>874.0298507462687</x:v>
      </x:c>
      <x:c r="V71" s="60" t="n">
        <x:f>SQRT(U71)</x:f>
        <x:v>29.563995852155518</x:v>
      </x:c>
      <x:c r="W71" s="60" t="n">
        <x:f>MAX(0,100-V71)</x:f>
        <x:v>70.43600414784449</x:v>
      </x:c>
      <x:c r="X71" s="60" t="n">
        <x:f>SUMPRODUCT(Profiles_140!K67:Y67,$F$4:$T$4)/SUM($F$4:$T$4)</x:f>
        <x:v>55.55970149253732</x:v>
      </x:c>
      <x:c r="Y71" s="60" t="n">
        <x:f>IFERROR(50+50*SUMPRODUCT(($F$3:$T$3-$X$3)*(Profiles_140!K67:Y67-X71),$F$4:$T$4)/SQRT(SUMPRODUCT(($F$3:$T$3-$X$3)^2,$F$4:$T$4)*SUMPRODUCT((Profiles_140!K67:Y67-X71)^2,$F$4:$T$4)),50)</x:f>
        <x:v>50.000000000000014</x:v>
      </x:c>
      <x:c r="Z71" s="60" t="n">
        <x:f>$Z$3</x:f>
        <x:v>3.9474596431116675e-16</x:v>
      </x:c>
      <x:c r="AA71" s="60" t="n">
        <x:f>W71*(1-Model_Formula!$F$8*Z71)+Y71*(Model_Formula!$F$8*Z71)</x:f>
        <x:v>70.43600414784449</x:v>
      </x:c>
      <x:c r="AB71" s="60" t="n">
        <x:f>SQRT(SUMPRODUCT((Profiles_140!K67:Y67-50)^2,$F$4:$T$4)/SUM($F$4:$T$4))</x:f>
        <x:v>29.28883440657075</x:v>
      </x:c>
      <x:c r="AC71" s="60" t="n">
        <x:f>MAX(-Model_Formula!$F$11,MIN(Model_Formula!$F$11,Model_Formula!$F$10*(AB71-AVERAGE($AB$6:$AB$135))))</x:f>
        <x:v>0.06828483217292707</x:v>
      </x:c>
      <x:c r="AD71" s="60" t="n">
        <x:f>MAX(0,MIN(100,AA71+AC71))</x:f>
        <x:v>70.5042889800174</x:v>
      </x:c>
      <x:c r="AE71" s="60" t="n">
        <x:f>MAX(0,MIN(1,IFERROR((MATCH(AD71,Percentile_Calibration!$F67:$DB67,1)-1)/100,0)))</x:f>
        <x:v>0.67</x:v>
      </x:c>
      <x:c r="AF71" s="62" t="n">
        <x:f>ROUND(MAX(Model_Formula!$I$9,Model_Formula!$I$5+Model_Formula!$I$6*POWER(AE71,Model_Formula!$I$7)),0)</x:f>
        <x:v>59</x:v>
      </x:c>
      <x:c r="AG71" t="n">
        <x:f>Profiles_140!AJ67</x:f>
        <x:v>0.15</x:v>
      </x:c>
      <x:c r="AH71" s="60" t="n">
        <x:f>Model_Formula!$I$8*(AE71*100)+(1-Model_Formula!$I$8)*AD71+AG71</x:f>
        <x:v>67.85085779600348</x:v>
      </x:c>
      <x:c r="AI71" t="n">
        <x:f>RANK.EQ(AH71,$AH$6:$AH$135,0)+COUNTIF($AH$6:AH71,AH71)-1</x:f>
        <x:v>91</x:v>
      </x:c>
    </x:row>
    <x:row r="72">
      <x:c r="A72" t="str">
        <x:f>Profiles_140!A68</x:f>
        <x:v>ファイヤー</x:v>
      </x:c>
      <x:c r="B72" t="str">
        <x:f>Profiles_140!C68</x:f>
        <x:v>ファイヤー-1</x:v>
      </x:c>
      <x:c r="C72" t="str">
        <x:f>Profiles_140!D68</x:f>
        <x:v>共通</x:v>
      </x:c>
      <x:c r="D72" t="str">
        <x:f>Profiles_140!B68</x:f>
        <x:v>バランス型</x:v>
      </x:c>
      <x:c r="E72" t="str">
        <x:f>Profiles_140!I68</x:f>
        <x:v>中</x:v>
      </x:c>
      <x:c r="F72" s="66" t="n">
        <x:f>Model_Formula!$M$13*(Profiles_140!K68-Simulator!$L$11)^2*IF(Profiles_140!K68&gt;Simulator!$L$11,1+Model_Formula!$N$13,1)</x:f>
        <x:v>25</x:v>
      </x:c>
      <x:c r="G72" s="66" t="n">
        <x:f>Model_Formula!$M$14*(Profiles_140!L68-Simulator!$L$12)^2*IF(Profiles_140!L68&gt;Simulator!$L$12,1+Model_Formula!$N$14,1)</x:f>
        <x:v>26.25</x:v>
      </x:c>
      <x:c r="H72" s="66" t="n">
        <x:f>Model_Formula!$M$15*(Profiles_140!M68-Simulator!$L$13)^2*IF(Profiles_140!M68&gt;Simulator!$L$13,1+Model_Formula!$N$15,1)</x:f>
        <x:v>225</x:v>
      </x:c>
      <x:c r="I72" s="66" t="n">
        <x:f>Model_Formula!$M$16*(Profiles_140!N68-Simulator!$L$14)^2*IF(Profiles_140!N68&gt;Simulator!$L$14,1+Model_Formula!$N$16,1)</x:f>
        <x:v>2500</x:v>
      </x:c>
      <x:c r="J72" s="66" t="n">
        <x:f>Model_Formula!$M$17*(Profiles_140!O68-Simulator!$L$15)^2*IF(Profiles_140!O68&gt;Simulator!$L$15,1+Model_Formula!$N$17,1)</x:f>
        <x:v>1600</x:v>
      </x:c>
      <x:c r="K72" s="66" t="n">
        <x:f>Model_Formula!$M$18*(Profiles_140!P68-Simulator!$L$16)^2*IF(Profiles_140!P68&gt;Simulator!$L$16,1+Model_Formula!$N$18,1)</x:f>
        <x:v>1440</x:v>
      </x:c>
      <x:c r="L72" s="66" t="n">
        <x:f>Model_Formula!$M$19*(Profiles_140!Q68-Simulator!$L$17)^2*IF(Profiles_140!Q68&gt;Simulator!$L$17,1+Model_Formula!$N$19,1)</x:f>
        <x:v>625</x:v>
      </x:c>
      <x:c r="M72" s="66" t="n">
        <x:f>Model_Formula!$M$20*(Profiles_140!R68-Simulator!$L$18)^2*IF(Profiles_140!R68&gt;Simulator!$L$18,1+Model_Formula!$N$20,1)</x:f>
        <x:v>2025</x:v>
      </x:c>
      <x:c r="N72" s="66" t="n">
        <x:f>Model_Formula!$M$21*(Profiles_140!S68-Simulator!$L$19)^2*IF(Profiles_140!S68&gt;Simulator!$L$19,1+Model_Formula!$N$21,1)</x:f>
        <x:v>625</x:v>
      </x:c>
      <x:c r="O72" s="66" t="n">
        <x:f>Model_Formula!$M$22*(Profiles_140!T68-Simulator!$L$20)^2*IF(Profiles_140!T68&gt;Simulator!$L$20,1+Model_Formula!$N$22,1)</x:f>
        <x:v>400</x:v>
      </x:c>
      <x:c r="P72" s="66" t="n">
        <x:f>Model_Formula!$M$23*(Profiles_140!U68-Simulator!$L$21)^2*IF(Profiles_140!U68&gt;Simulator!$L$21,1+Model_Formula!$N$23,1)</x:f>
        <x:v>405</x:v>
      </x:c>
      <x:c r="Q72" s="66" t="n">
        <x:f>Model_Formula!$M$24*(Profiles_140!V68-Simulator!$L$22)^2*IF(Profiles_140!V68&gt;Simulator!$L$22,1+Model_Formula!$N$24,1)</x:f>
        <x:v>250</x:v>
      </x:c>
      <x:c r="R72" s="66" t="n">
        <x:f>Model_Formula!$M$25*(Profiles_140!W68-Simulator!$L$23)^2*IF(Profiles_140!W68&gt;Simulator!$L$23,1+Model_Formula!$N$25,1)</x:f>
        <x:v>45</x:v>
      </x:c>
      <x:c r="S72" s="66" t="n">
        <x:f>Model_Formula!$M$26*(Profiles_140!X68-Simulator!$L$24)^2*IF(Profiles_140!X68&gt;Simulator!$L$24,1+Model_Formula!$N$26,1)</x:f>
        <x:v>0</x:v>
      </x:c>
      <x:c r="T72" s="66" t="n">
        <x:f>Model_Formula!$M$27*(Profiles_140!Y68-Simulator!$L$25)^2*IF(Profiles_140!Y68&gt;Simulator!$L$25,1+Model_Formula!$N$27,1)</x:f>
        <x:v>0</x:v>
      </x:c>
      <x:c r="U72" s="60" t="n">
        <x:f>SUM(F72:T72)/SUM($F$4:$T$4)</x:f>
        <x:v>760.5410447761195</x:v>
      </x:c>
      <x:c r="V72" s="60" t="n">
        <x:f>SQRT(U72)</x:f>
        <x:v>27.5779086367353</x:v>
      </x:c>
      <x:c r="W72" s="60" t="n">
        <x:f>MAX(0,100-V72)</x:f>
        <x:v>72.4220913632647</x:v>
      </x:c>
      <x:c r="X72" s="60" t="n">
        <x:f>SUMPRODUCT(Profiles_140!K68:Y68,$F$4:$T$4)/SUM($F$4:$T$4)</x:f>
        <x:v>48.899253731343286</x:v>
      </x:c>
      <x:c r="Y72" s="60" t="n">
        <x:f>IFERROR(50+50*SUMPRODUCT(($F$3:$T$3-$X$3)*(Profiles_140!K68:Y68-X72),$F$4:$T$4)/SQRT(SUMPRODUCT(($F$3:$T$3-$X$3)^2,$F$4:$T$4)*SUMPRODUCT((Profiles_140!K68:Y68-X72)^2,$F$4:$T$4)),50)</x:f>
        <x:v>50.00000000000001</x:v>
      </x:c>
      <x:c r="Z72" s="60" t="n">
        <x:f>$Z$3</x:f>
        <x:v>3.9474596431116675e-16</x:v>
      </x:c>
      <x:c r="AA72" s="60" t="n">
        <x:f>W72*(1-Model_Formula!$F$8*Z72)+Y72*(Model_Formula!$F$8*Z72)</x:f>
        <x:v>72.4220913632647</x:v>
      </x:c>
      <x:c r="AB72" s="60" t="n">
        <x:f>SQRT(SUMPRODUCT((Profiles_140!K68:Y68-50)^2,$F$4:$T$4)/SUM($F$4:$T$4))</x:f>
        <x:v>27.5779086367353</x:v>
      </x:c>
      <x:c r="AC72" s="60" t="n">
        <x:f>MAX(-Model_Formula!$F$11,MIN(Model_Formula!$F$11,Model_Formula!$F$10*(AB72-AVERAGE($AB$6:$AB$135))))</x:f>
        <x:v>-0.7016317642530246</x:v>
      </x:c>
      <x:c r="AD72" s="60" t="n">
        <x:f>MAX(0,MIN(100,AA72+AC72))</x:f>
        <x:v>71.72045959901168</x:v>
      </x:c>
      <x:c r="AE72" s="60" t="n">
        <x:f>MAX(0,MIN(1,IFERROR((MATCH(AD72,Percentile_Calibration!$F68:$DB68,1)-1)/100,0)))</x:f>
        <x:v>0.85</x:v>
      </x:c>
      <x:c r="AF72" s="62" t="n">
        <x:f>ROUND(MAX(Model_Formula!$I$9,Model_Formula!$I$5+Model_Formula!$I$6*POWER(AE72,Model_Formula!$I$7)),0)</x:f>
        <x:v>76</x:v>
      </x:c>
      <x:c r="AG72" t="n">
        <x:f>Profiles_140!AJ68</x:f>
        <x:v>0</x:v>
      </x:c>
      <x:c r="AH72" s="60" t="n">
        <x:f>Model_Formula!$I$8*(AE72*100)+(1-Model_Formula!$I$8)*AD72+AG72</x:f>
        <x:v>82.34409191980234</x:v>
      </x:c>
      <x:c r="AI72" t="n">
        <x:f>RANK.EQ(AH72,$AH$6:$AH$135,0)+COUNTIF($AH$6:AH72,AH72)-1</x:f>
        <x:v>25</x:v>
      </x:c>
    </x:row>
    <x:row r="73">
      <x:c r="A73" t="str">
        <x:f>Profiles_140!A69</x:f>
        <x:v>マッシブーン</x:v>
      </x:c>
      <x:c r="B73" t="str">
        <x:f>Profiles_140!C69</x:f>
        <x:v>マッシブーン-1</x:v>
      </x:c>
      <x:c r="C73" t="str">
        <x:f>Profiles_140!D69</x:f>
        <x:v>共通</x:v>
      </x:c>
      <x:c r="D73" t="str">
        <x:f>Profiles_140!B69</x:f>
        <x:v>バランス型</x:v>
      </x:c>
      <x:c r="E73" t="str">
        <x:f>Profiles_140!I69</x:f>
        <x:v>高</x:v>
      </x:c>
      <x:c r="F73" s="66" t="n">
        <x:f>Model_Formula!$M$13*(Profiles_140!K69-Simulator!$L$11)^2*IF(Profiles_140!K69&gt;Simulator!$L$11,1+Model_Formula!$N$13,1)</x:f>
        <x:v>625</x:v>
      </x:c>
      <x:c r="G73" s="66" t="n">
        <x:f>Model_Formula!$M$14*(Profiles_140!L69-Simulator!$L$12)^2*IF(Profiles_140!L69&gt;Simulator!$L$12,1+Model_Formula!$N$14,1)</x:f>
        <x:v>105</x:v>
      </x:c>
      <x:c r="H73" s="66" t="n">
        <x:f>Model_Formula!$M$15*(Profiles_140!M69-Simulator!$L$13)^2*IF(Profiles_140!M69&gt;Simulator!$L$13,1+Model_Formula!$N$15,1)</x:f>
        <x:v>0</x:v>
      </x:c>
      <x:c r="I73" s="66" t="n">
        <x:f>Model_Formula!$M$16*(Profiles_140!N69-Simulator!$L$14)^2*IF(Profiles_140!N69&gt;Simulator!$L$14,1+Model_Formula!$N$16,1)</x:f>
        <x:v>0</x:v>
      </x:c>
      <x:c r="J73" s="66" t="n">
        <x:f>Model_Formula!$M$17*(Profiles_140!O69-Simulator!$L$15)^2*IF(Profiles_140!O69&gt;Simulator!$L$15,1+Model_Formula!$N$17,1)</x:f>
        <x:v>0</x:v>
      </x:c>
      <x:c r="K73" s="66" t="n">
        <x:f>Model_Formula!$M$18*(Profiles_140!P69-Simulator!$L$16)^2*IF(Profiles_140!P69&gt;Simulator!$L$16,1+Model_Formula!$N$18,1)</x:f>
        <x:v>202.5</x:v>
      </x:c>
      <x:c r="L73" s="66" t="n">
        <x:f>Model_Formula!$M$19*(Profiles_140!Q69-Simulator!$L$17)^2*IF(Profiles_140!Q69&gt;Simulator!$L$17,1+Model_Formula!$N$19,1)</x:f>
        <x:v>2500</x:v>
      </x:c>
      <x:c r="M73" s="66" t="n">
        <x:f>Model_Formula!$M$20*(Profiles_140!R69-Simulator!$L$18)^2*IF(Profiles_140!R69&gt;Simulator!$L$18,1+Model_Formula!$N$20,1)</x:f>
        <x:v>900</x:v>
      </x:c>
      <x:c r="N73" s="66" t="n">
        <x:f>Model_Formula!$M$21*(Profiles_140!S69-Simulator!$L$19)^2*IF(Profiles_140!S69&gt;Simulator!$L$19,1+Model_Formula!$N$21,1)</x:f>
        <x:v>100</x:v>
      </x:c>
      <x:c r="O73" s="66" t="n">
        <x:f>Model_Formula!$M$22*(Profiles_140!T69-Simulator!$L$20)^2*IF(Profiles_140!T69&gt;Simulator!$L$20,1+Model_Formula!$N$22,1)</x:f>
        <x:v>25</x:v>
      </x:c>
      <x:c r="P73" s="66" t="n">
        <x:f>Model_Formula!$M$23*(Profiles_140!U69-Simulator!$L$21)^2*IF(Profiles_140!U69&gt;Simulator!$L$21,1+Model_Formula!$N$23,1)</x:f>
        <x:v>180</x:v>
      </x:c>
      <x:c r="Q73" s="66" t="n">
        <x:f>Model_Formula!$M$24*(Profiles_140!V69-Simulator!$L$22)^2*IF(Profiles_140!V69&gt;Simulator!$L$22,1+Model_Formula!$N$24,1)</x:f>
        <x:v>10</x:v>
      </x:c>
      <x:c r="R73" s="66" t="n">
        <x:f>Model_Formula!$M$25*(Profiles_140!W69-Simulator!$L$23)^2*IF(Profiles_140!W69&gt;Simulator!$L$23,1+Model_Formula!$N$25,1)</x:f>
        <x:v>281.25</x:v>
      </x:c>
      <x:c r="S73" s="66" t="n">
        <x:f>Model_Formula!$M$26*(Profiles_140!X69-Simulator!$L$24)^2*IF(Profiles_140!X69&gt;Simulator!$L$24,1+Model_Formula!$N$26,1)</x:f>
        <x:v>594.0000000000001</x:v>
      </x:c>
      <x:c r="T73" s="66" t="n">
        <x:f>Model_Formula!$M$27*(Profiles_140!Y69-Simulator!$L$25)^2*IF(Profiles_140!Y69&gt;Simulator!$L$25,1+Model_Formula!$N$27,1)</x:f>
        <x:v>2445.1875</x:v>
      </x:c>
      <x:c r="U73" s="60" t="n">
        <x:f>SUM(F73:T73)/SUM($F$4:$T$4)</x:f>
        <x:v>594.6222014925373</x:v>
      </x:c>
      <x:c r="V73" s="60" t="n">
        <x:f>SQRT(U73)</x:f>
        <x:v>24.384876491229914</x:v>
      </x:c>
      <x:c r="W73" s="60" t="n">
        <x:f>MAX(0,100-V73)</x:f>
        <x:v>75.61512350877008</x:v>
      </x:c>
      <x:c r="X73" s="60" t="n">
        <x:f>SUMPRODUCT(Profiles_140!K69:Y69,$F$4:$T$4)/SUM($F$4:$T$4)</x:f>
        <x:v>54.70149253731344</x:v>
      </x:c>
      <x:c r="Y73" s="60" t="n">
        <x:f>IFERROR(50+50*SUMPRODUCT(($F$3:$T$3-$X$3)*(Profiles_140!K69:Y69-X73),$F$4:$T$4)/SQRT(SUMPRODUCT(($F$3:$T$3-$X$3)^2,$F$4:$T$4)*SUMPRODUCT((Profiles_140!K69:Y69-X73)^2,$F$4:$T$4)),50)</x:f>
        <x:v>50.00000000000002</x:v>
      </x:c>
      <x:c r="Z73" s="60" t="n">
        <x:f>$Z$3</x:f>
        <x:v>3.9474596431116675e-16</x:v>
      </x:c>
      <x:c r="AA73" s="60" t="n">
        <x:f>W73*(1-Model_Formula!$F$8*Z73)+Y73*(Model_Formula!$F$8*Z73)</x:f>
        <x:v>75.61512350877008</x:v>
      </x:c>
      <x:c r="AB73" s="60" t="n">
        <x:f>SQRT(SUMPRODUCT((Profiles_140!K69:Y69-50)^2,$F$4:$T$4)/SUM($F$4:$T$4))</x:f>
        <x:v>23.650123851873488</x:v>
      </x:c>
      <x:c r="AC73" s="60" t="n">
        <x:f>MAX(-Model_Formula!$F$11,MIN(Model_Formula!$F$11,Model_Formula!$F$10*(AB73-AVERAGE($AB$6:$AB$135))))</x:f>
        <x:v>-2.469134917440841</x:v>
      </x:c>
      <x:c r="AD73" s="60" t="n">
        <x:f>MAX(0,MIN(100,AA73+AC73))</x:f>
        <x:v>73.14598859132924</x:v>
      </x:c>
      <x:c r="AE73" s="60" t="n">
        <x:f>MAX(0,MIN(1,IFERROR((MATCH(AD73,Percentile_Calibration!$F69:$DB69,1)-1)/100,0)))</x:f>
        <x:v>0.93</x:v>
      </x:c>
      <x:c r="AF73" s="62" t="n">
        <x:f>ROUND(MAX(Model_Formula!$I$9,Model_Formula!$I$5+Model_Formula!$I$6*POWER(AE73,Model_Formula!$I$7)),0)</x:f>
        <x:v>86</x:v>
      </x:c>
      <x:c r="AG73" t="n">
        <x:f>Profiles_140!AJ69</x:f>
        <x:v>0</x:v>
      </x:c>
      <x:c r="AH73" s="60" t="n">
        <x:f>Model_Formula!$I$8*(AE73*100)+(1-Model_Formula!$I$8)*AD73+AG73</x:f>
        <x:v>89.02919771826585</x:v>
      </x:c>
      <x:c r="AI73" t="n">
        <x:f>RANK.EQ(AH73,$AH$6:$AH$135,0)+COUNTIF($AH$6:AH73,AH73)-1</x:f>
        <x:v>7</x:v>
      </x:c>
    </x:row>
    <x:row r="74">
      <x:c r="A74" t="str">
        <x:f>Profiles_140!A70</x:f>
        <x:v>マリルリ</x:v>
      </x:c>
      <x:c r="B74" t="str">
        <x:f>Profiles_140!C70</x:f>
        <x:v>マリルリ-1</x:v>
      </x:c>
      <x:c r="C74" t="str">
        <x:f>Profiles_140!D70</x:f>
        <x:v>共通</x:v>
      </x:c>
      <x:c r="D74" t="str">
        <x:f>Profiles_140!B70</x:f>
        <x:v>バランス型</x:v>
      </x:c>
      <x:c r="E74" t="str">
        <x:f>Profiles_140!I70</x:f>
        <x:v>高</x:v>
      </x:c>
      <x:c r="F74" s="66" t="n">
        <x:f>Model_Formula!$M$13*(Profiles_140!K70-Simulator!$L$11)^2*IF(Profiles_140!K70&gt;Simulator!$L$11,1+Model_Formula!$N$13,1)</x:f>
        <x:v>900</x:v>
      </x:c>
      <x:c r="G74" s="66" t="n">
        <x:f>Model_Formula!$M$14*(Profiles_140!L70-Simulator!$L$12)^2*IF(Profiles_140!L70&gt;Simulator!$L$12,1+Model_Formula!$N$14,1)</x:f>
        <x:v>2625</x:v>
      </x:c>
      <x:c r="H74" s="66" t="n">
        <x:f>Model_Formula!$M$15*(Profiles_140!M70-Simulator!$L$13)^2*IF(Profiles_140!M70&gt;Simulator!$L$13,1+Model_Formula!$N$15,1)</x:f>
        <x:v>900</x:v>
      </x:c>
      <x:c r="I74" s="66" t="n">
        <x:f>Model_Formula!$M$16*(Profiles_140!N70-Simulator!$L$14)^2*IF(Profiles_140!N70&gt;Simulator!$L$14,1+Model_Formula!$N$16,1)</x:f>
        <x:v>25</x:v>
      </x:c>
      <x:c r="J74" s="66" t="n">
        <x:f>Model_Formula!$M$17*(Profiles_140!O70-Simulator!$L$15)^2*IF(Profiles_140!O70&gt;Simulator!$L$15,1+Model_Formula!$N$17,1)</x:f>
        <x:v>1600</x:v>
      </x:c>
      <x:c r="K74" s="66" t="n">
        <x:f>Model_Formula!$M$18*(Profiles_140!P70-Simulator!$L$16)^2*IF(Profiles_140!P70&gt;Simulator!$L$16,1+Model_Formula!$N$18,1)</x:f>
        <x:v>0</x:v>
      </x:c>
      <x:c r="L74" s="66" t="n">
        <x:f>Model_Formula!$M$19*(Profiles_140!Q70-Simulator!$L$17)^2*IF(Profiles_140!Q70&gt;Simulator!$L$17,1+Model_Formula!$N$19,1)</x:f>
        <x:v>25</x:v>
      </x:c>
      <x:c r="M74" s="66" t="n">
        <x:f>Model_Formula!$M$20*(Profiles_140!R70-Simulator!$L$18)^2*IF(Profiles_140!R70&gt;Simulator!$L$18,1+Model_Formula!$N$20,1)</x:f>
        <x:v>2025</x:v>
      </x:c>
      <x:c r="N74" s="66" t="n">
        <x:f>Model_Formula!$M$21*(Profiles_140!S70-Simulator!$L$19)^2*IF(Profiles_140!S70&gt;Simulator!$L$19,1+Model_Formula!$N$21,1)</x:f>
        <x:v>100</x:v>
      </x:c>
      <x:c r="O74" s="66" t="n">
        <x:f>Model_Formula!$M$22*(Profiles_140!T70-Simulator!$L$20)^2*IF(Profiles_140!T70&gt;Simulator!$L$20,1+Model_Formula!$N$22,1)</x:f>
        <x:v>900</x:v>
      </x:c>
      <x:c r="P74" s="66" t="n">
        <x:f>Model_Formula!$M$23*(Profiles_140!U70-Simulator!$L$21)^2*IF(Profiles_140!U70&gt;Simulator!$L$21,1+Model_Formula!$N$23,1)</x:f>
        <x:v>11.25</x:v>
      </x:c>
      <x:c r="Q74" s="66" t="n">
        <x:f>Model_Formula!$M$24*(Profiles_140!V70-Simulator!$L$22)^2*IF(Profiles_140!V70&gt;Simulator!$L$22,1+Model_Formula!$N$24,1)</x:f>
        <x:v>40</x:v>
      </x:c>
      <x:c r="R74" s="66" t="n">
        <x:f>Model_Formula!$M$25*(Profiles_140!W70-Simulator!$L$23)^2*IF(Profiles_140!W70&gt;Simulator!$L$23,1+Model_Formula!$N$25,1)</x:f>
        <x:v>11.25</x:v>
      </x:c>
      <x:c r="S74" s="66" t="n">
        <x:f>Model_Formula!$M$26*(Profiles_140!X70-Simulator!$L$24)^2*IF(Profiles_140!X70&gt;Simulator!$L$24,1+Model_Formula!$N$26,1)</x:f>
        <x:v>334.12500000000006</x:v>
      </x:c>
      <x:c r="T74" s="66" t="n">
        <x:f>Model_Formula!$M$27*(Profiles_140!Y70-Simulator!$L$25)^2*IF(Profiles_140!Y70&gt;Simulator!$L$25,1+Model_Formula!$N$27,1)</x:f>
        <x:v>482.99999999999994</x:v>
      </x:c>
      <x:c r="U74" s="60" t="n">
        <x:f>SUM(F74:T74)/SUM($F$4:$T$4)</x:f>
        <x:v>744.7481343283583</x:v>
      </x:c>
      <x:c r="V74" s="60" t="n">
        <x:f>SQRT(U74)</x:f>
        <x:v>27.290073915773082</x:v>
      </x:c>
      <x:c r="W74" s="60" t="n">
        <x:f>MAX(0,100-V74)</x:f>
        <x:v>72.70992608422692</x:v>
      </x:c>
      <x:c r="X74" s="60" t="n">
        <x:f>SUMPRODUCT(Profiles_140!K70:Y70,$F$4:$T$4)/SUM($F$4:$T$4)</x:f>
        <x:v>53.65671641791045</x:v>
      </x:c>
      <x:c r="Y74" s="60" t="n">
        <x:f>IFERROR(50+50*SUMPRODUCT(($F$3:$T$3-$X$3)*(Profiles_140!K70:Y70-X74),$F$4:$T$4)/SQRT(SUMPRODUCT(($F$3:$T$3-$X$3)^2,$F$4:$T$4)*SUMPRODUCT((Profiles_140!K70:Y70-X74)^2,$F$4:$T$4)),50)</x:f>
        <x:v>50.00000000000001</x:v>
      </x:c>
      <x:c r="Z74" s="60" t="n">
        <x:f>$Z$3</x:f>
        <x:v>3.9474596431116675e-16</x:v>
      </x:c>
      <x:c r="AA74" s="60" t="n">
        <x:f>W74*(1-Model_Formula!$F$8*Z74)+Y74*(Model_Formula!$F$8*Z74)</x:f>
        <x:v>72.70992608422692</x:v>
      </x:c>
      <x:c r="AB74" s="60" t="n">
        <x:f>SQRT(SUMPRODUCT((Profiles_140!K70:Y70-50)^2,$F$4:$T$4)/SUM($F$4:$T$4))</x:f>
        <x:v>27.084720592102087</x:v>
      </x:c>
      <x:c r="AC74" s="60" t="n">
        <x:f>MAX(-Model_Formula!$F$11,MIN(Model_Formula!$F$11,Model_Formula!$F$10*(AB74-AVERAGE($AB$6:$AB$135))))</x:f>
        <x:v>-0.9235663843379712</x:v>
      </x:c>
      <x:c r="AD74" s="60" t="n">
        <x:f>MAX(0,MIN(100,AA74+AC74))</x:f>
        <x:v>71.78635969988895</x:v>
      </x:c>
      <x:c r="AE74" s="60" t="n">
        <x:f>MAX(0,MIN(1,IFERROR((MATCH(AD74,Percentile_Calibration!$F70:$DB70,1)-1)/100,0)))</x:f>
        <x:v>0.69</x:v>
      </x:c>
      <x:c r="AF74" s="62" t="n">
        <x:f>ROUND(MAX(Model_Formula!$I$9,Model_Formula!$I$5+Model_Formula!$I$6*POWER(AE74,Model_Formula!$I$7)),0)</x:f>
        <x:v>60</x:v>
      </x:c>
      <x:c r="AG74" t="n">
        <x:f>Profiles_140!AJ70</x:f>
        <x:v>0</x:v>
      </x:c>
      <x:c r="AH74" s="60" t="n">
        <x:f>Model_Formula!$I$8*(AE74*100)+(1-Model_Formula!$I$8)*AD74+AG74</x:f>
        <x:v>69.5572719399778</x:v>
      </x:c>
      <x:c r="AI74" t="n">
        <x:f>RANK.EQ(AH74,$AH$6:$AH$135,0)+COUNTIF($AH$6:AH74,AH74)-1</x:f>
        <x:v>79</x:v>
      </x:c>
    </x:row>
    <x:row r="75">
      <x:c r="A75" t="str">
        <x:f>Profiles_140!A71</x:f>
        <x:v>ミミッキュ</x:v>
      </x:c>
      <x:c r="B75" t="str">
        <x:f>Profiles_140!C71</x:f>
        <x:v>ミミッキュ-1</x:v>
      </x:c>
      <x:c r="C75" t="str">
        <x:f>Profiles_140!D71</x:f>
        <x:v>じゃれつく</x:v>
      </x:c>
      <x:c r="D75" t="str">
        <x:f>Profiles_140!B71</x:f>
        <x:v>バランス型</x:v>
      </x:c>
      <x:c r="E75" t="str">
        <x:f>Profiles_140!I71</x:f>
        <x:v>高</x:v>
      </x:c>
      <x:c r="F75" s="66" t="n">
        <x:f>Model_Formula!$M$13*(Profiles_140!K71-Simulator!$L$11)^2*IF(Profiles_140!K71&gt;Simulator!$L$11,1+Model_Formula!$N$13,1)</x:f>
        <x:v>25</x:v>
      </x:c>
      <x:c r="G75" s="66" t="n">
        <x:f>Model_Formula!$M$14*(Profiles_140!L71-Simulator!$L$12)^2*IF(Profiles_140!L71&gt;Simulator!$L$12,1+Model_Formula!$N$14,1)</x:f>
        <x:v>2625</x:v>
      </x:c>
      <x:c r="H75" s="66" t="n">
        <x:f>Model_Formula!$M$15*(Profiles_140!M71-Simulator!$L$13)^2*IF(Profiles_140!M71&gt;Simulator!$L$13,1+Model_Formula!$N$15,1)</x:f>
        <x:v>2500</x:v>
      </x:c>
      <x:c r="I75" s="66" t="n">
        <x:f>Model_Formula!$M$16*(Profiles_140!N71-Simulator!$L$14)^2*IF(Profiles_140!N71&gt;Simulator!$L$14,1+Model_Formula!$N$16,1)</x:f>
        <x:v>900</x:v>
      </x:c>
      <x:c r="J75" s="66" t="n">
        <x:f>Model_Formula!$M$17*(Profiles_140!O71-Simulator!$L$15)^2*IF(Profiles_140!O71&gt;Simulator!$L$15,1+Model_Formula!$N$17,1)</x:f>
        <x:v>1225</x:v>
      </x:c>
      <x:c r="K75" s="66" t="n">
        <x:f>Model_Formula!$M$18*(Profiles_140!P71-Simulator!$L$16)^2*IF(Profiles_140!P71&gt;Simulator!$L$16,1+Model_Formula!$N$18,1)</x:f>
        <x:v>2250</x:v>
      </x:c>
      <x:c r="L75" s="66" t="n">
        <x:f>Model_Formula!$M$19*(Profiles_140!Q71-Simulator!$L$17)^2*IF(Profiles_140!Q71&gt;Simulator!$L$17,1+Model_Formula!$N$19,1)</x:f>
        <x:v>625</x:v>
      </x:c>
      <x:c r="M75" s="66" t="n">
        <x:f>Model_Formula!$M$20*(Profiles_140!R71-Simulator!$L$18)^2*IF(Profiles_140!R71&gt;Simulator!$L$18,1+Model_Formula!$N$20,1)</x:f>
        <x:v>2025</x:v>
      </x:c>
      <x:c r="N75" s="66" t="n">
        <x:f>Model_Formula!$M$21*(Profiles_140!S71-Simulator!$L$19)^2*IF(Profiles_140!S71&gt;Simulator!$L$19,1+Model_Formula!$N$21,1)</x:f>
        <x:v>2500</x:v>
      </x:c>
      <x:c r="O75" s="66" t="n">
        <x:f>Model_Formula!$M$22*(Profiles_140!T71-Simulator!$L$20)^2*IF(Profiles_140!T71&gt;Simulator!$L$20,1+Model_Formula!$N$22,1)</x:f>
        <x:v>400</x:v>
      </x:c>
      <x:c r="P75" s="66" t="n">
        <x:f>Model_Formula!$M$23*(Profiles_140!U71-Simulator!$L$21)^2*IF(Profiles_140!U71&gt;Simulator!$L$21,1+Model_Formula!$N$23,1)</x:f>
        <x:v>101.25</x:v>
      </x:c>
      <x:c r="Q75" s="66" t="n">
        <x:f>Model_Formula!$M$24*(Profiles_140!V71-Simulator!$L$22)^2*IF(Profiles_140!V71&gt;Simulator!$L$22,1+Model_Formula!$N$24,1)</x:f>
        <x:v>160</x:v>
      </x:c>
      <x:c r="R75" s="66" t="n">
        <x:f>Model_Formula!$M$25*(Profiles_140!W71-Simulator!$L$23)^2*IF(Profiles_140!W71&gt;Simulator!$L$23,1+Model_Formula!$N$25,1)</x:f>
        <x:v>551.25</x:v>
      </x:c>
      <x:c r="S75" s="66" t="n">
        <x:f>Model_Formula!$M$26*(Profiles_140!X71-Simulator!$L$24)^2*IF(Profiles_140!X71&gt;Simulator!$L$24,1+Model_Formula!$N$26,1)</x:f>
        <x:v>1336.5000000000002</x:v>
      </x:c>
      <x:c r="T75" s="66" t="n">
        <x:f>Model_Formula!$M$27*(Profiles_140!Y71-Simulator!$L$25)^2*IF(Profiles_140!Y71&gt;Simulator!$L$25,1+Model_Formula!$N$27,1)</x:f>
        <x:v>754.6874999999999</x:v>
      </x:c>
      <x:c r="U75" s="60" t="n">
        <x:f>SUM(F75:T75)/SUM($F$4:$T$4)</x:f>
        <x:v>1341.6930970149256</x:v>
      </x:c>
      <x:c r="V75" s="60" t="n">
        <x:f>SQRT(U75)</x:f>
        <x:v>36.629129078029216</x:v>
      </x:c>
      <x:c r="W75" s="60" t="n">
        <x:f>MAX(0,100-V75)</x:f>
        <x:v>63.370870921970784</x:v>
      </x:c>
      <x:c r="X75" s="60" t="n">
        <x:f>SUMPRODUCT(Profiles_140!K71:Y71,$F$4:$T$4)/SUM($F$4:$T$4)</x:f>
        <x:v>49.04850746268657</x:v>
      </x:c>
      <x:c r="Y75" s="60" t="n">
        <x:f>IFERROR(50+50*SUMPRODUCT(($F$3:$T$3-$X$3)*(Profiles_140!K71:Y71-X75),$F$4:$T$4)/SQRT(SUMPRODUCT(($F$3:$T$3-$X$3)^2,$F$4:$T$4)*SUMPRODUCT((Profiles_140!K71:Y71-X75)^2,$F$4:$T$4)),50)</x:f>
        <x:v>50.00000000000001</x:v>
      </x:c>
      <x:c r="Z75" s="60" t="n">
        <x:f>$Z$3</x:f>
        <x:v>3.9474596431116675e-16</x:v>
      </x:c>
      <x:c r="AA75" s="60" t="n">
        <x:f>W75*(1-Model_Formula!$F$8*Z75)+Y75*(Model_Formula!$F$8*Z75)</x:f>
        <x:v>63.370870921970784</x:v>
      </x:c>
      <x:c r="AB75" s="60" t="n">
        <x:f>SQRT(SUMPRODUCT((Profiles_140!K71:Y71-50)^2,$F$4:$T$4)/SUM($F$4:$T$4))</x:f>
        <x:v>36.173039766795235</x:v>
      </x:c>
      <x:c r="AC75" s="60" t="n">
        <x:f>MAX(-Model_Formula!$F$11,MIN(Model_Formula!$F$11,Model_Formula!$F$10*(AB75-AVERAGE($AB$6:$AB$135))))</x:f>
        <x:v>3.1661772442739453</x:v>
      </x:c>
      <x:c r="AD75" s="60" t="n">
        <x:f>MAX(0,MIN(100,AA75+AC75))</x:f>
        <x:v>66.53704816624473</x:v>
      </x:c>
      <x:c r="AE75" s="60" t="n">
        <x:f>MAX(0,MIN(1,IFERROR((MATCH(AD75,Percentile_Calibration!$F71:$DB71,1)-1)/100,0)))</x:f>
        <x:v>0.62</x:v>
      </x:c>
      <x:c r="AF75" s="62" t="n">
        <x:f>ROUND(MAX(Model_Formula!$I$9,Model_Formula!$I$5+Model_Formula!$I$6*POWER(AE75,Model_Formula!$I$7)),0)</x:f>
        <x:v>55</x:v>
      </x:c>
      <x:c r="AG75" t="n">
        <x:f>Profiles_140!AJ71</x:f>
        <x:v>0</x:v>
      </x:c>
      <x:c r="AH75" s="60" t="n">
        <x:f>Model_Formula!$I$8*(AE75*100)+(1-Model_Formula!$I$8)*AD75+AG75</x:f>
        <x:v>62.907409633248946</x:v>
      </x:c>
      <x:c r="AI75" t="n">
        <x:f>RANK.EQ(AH75,$AH$6:$AH$135,0)+COUNTIF($AH$6:AH75,AH75)-1</x:f>
        <x:v>123</x:v>
      </x:c>
    </x:row>
    <x:row r="76">
      <x:c r="A76" t="str">
        <x:f>Profiles_140!A72</x:f>
        <x:v>ミミッキュ</x:v>
      </x:c>
      <x:c r="B76" t="str">
        <x:f>Profiles_140!C72</x:f>
        <x:v>ミミッキュ-2</x:v>
      </x:c>
      <x:c r="C76" t="str">
        <x:f>Profiles_140!D72</x:f>
        <x:v>シャドークロー</x:v>
      </x:c>
      <x:c r="D76" t="str">
        <x:f>Profiles_140!B72</x:f>
        <x:v>バランス型</x:v>
      </x:c>
      <x:c r="E76" t="str">
        <x:f>Profiles_140!I72</x:f>
        <x:v>高</x:v>
      </x:c>
      <x:c r="F76" s="66" t="n">
        <x:f>Model_Formula!$M$13*(Profiles_140!K72-Simulator!$L$11)^2*IF(Profiles_140!K72&gt;Simulator!$L$11,1+Model_Formula!$N$13,1)</x:f>
        <x:v>100</x:v>
      </x:c>
      <x:c r="G76" s="66" t="n">
        <x:f>Model_Formula!$M$14*(Profiles_140!L72-Simulator!$L$12)^2*IF(Profiles_140!L72&gt;Simulator!$L$12,1+Model_Formula!$N$14,1)</x:f>
        <x:v>945</x:v>
      </x:c>
      <x:c r="H76" s="66" t="n">
        <x:f>Model_Formula!$M$15*(Profiles_140!M72-Simulator!$L$13)^2*IF(Profiles_140!M72&gt;Simulator!$L$13,1+Model_Formula!$N$15,1)</x:f>
        <x:v>625</x:v>
      </x:c>
      <x:c r="I76" s="66" t="n">
        <x:f>Model_Formula!$M$16*(Profiles_140!N72-Simulator!$L$14)^2*IF(Profiles_140!N72&gt;Simulator!$L$14,1+Model_Formula!$N$16,1)</x:f>
        <x:v>1225</x:v>
      </x:c>
      <x:c r="J76" s="66" t="n">
        <x:f>Model_Formula!$M$17*(Profiles_140!O72-Simulator!$L$15)^2*IF(Profiles_140!O72&gt;Simulator!$L$15,1+Model_Formula!$N$17,1)</x:f>
        <x:v>900</x:v>
      </x:c>
      <x:c r="K76" s="66" t="n">
        <x:f>Model_Formula!$M$18*(Profiles_140!P72-Simulator!$L$16)^2*IF(Profiles_140!P72&gt;Simulator!$L$16,1+Model_Formula!$N$18,1)</x:f>
        <x:v>1102.5</x:v>
      </x:c>
      <x:c r="L76" s="66" t="n">
        <x:f>Model_Formula!$M$19*(Profiles_140!Q72-Simulator!$L$17)^2*IF(Profiles_140!Q72&gt;Simulator!$L$17,1+Model_Formula!$N$19,1)</x:f>
        <x:v>225</x:v>
      </x:c>
      <x:c r="M76" s="66" t="n">
        <x:f>Model_Formula!$M$20*(Profiles_140!R72-Simulator!$L$18)^2*IF(Profiles_140!R72&gt;Simulator!$L$18,1+Model_Formula!$N$20,1)</x:f>
        <x:v>2025</x:v>
      </x:c>
      <x:c r="N76" s="66" t="n">
        <x:f>Model_Formula!$M$21*(Profiles_140!S72-Simulator!$L$19)^2*IF(Profiles_140!S72&gt;Simulator!$L$19,1+Model_Formula!$N$21,1)</x:f>
        <x:v>900</x:v>
      </x:c>
      <x:c r="O76" s="66" t="n">
        <x:f>Model_Formula!$M$22*(Profiles_140!T72-Simulator!$L$20)^2*IF(Profiles_140!T72&gt;Simulator!$L$20,1+Model_Formula!$N$22,1)</x:f>
        <x:v>625</x:v>
      </x:c>
      <x:c r="P76" s="66" t="n">
        <x:f>Model_Formula!$M$23*(Profiles_140!U72-Simulator!$L$21)^2*IF(Profiles_140!U72&gt;Simulator!$L$21,1+Model_Formula!$N$23,1)</x:f>
        <x:v>180</x:v>
      </x:c>
      <x:c r="Q76" s="66" t="n">
        <x:f>Model_Formula!$M$24*(Profiles_140!V72-Simulator!$L$22)^2*IF(Profiles_140!V72&gt;Simulator!$L$22,1+Model_Formula!$N$24,1)</x:f>
        <x:v>90</x:v>
      </x:c>
      <x:c r="R76" s="66" t="n">
        <x:f>Model_Formula!$M$25*(Profiles_140!W72-Simulator!$L$23)^2*IF(Profiles_140!W72&gt;Simulator!$L$23,1+Model_Formula!$N$25,1)</x:f>
        <x:v>101.25</x:v>
      </x:c>
      <x:c r="S76" s="66" t="n">
        <x:f>Model_Formula!$M$26*(Profiles_140!X72-Simulator!$L$24)^2*IF(Profiles_140!X72&gt;Simulator!$L$24,1+Model_Formula!$N$26,1)</x:f>
        <x:v>594.0000000000001</x:v>
      </x:c>
      <x:c r="T76" s="66" t="n">
        <x:f>Model_Formula!$M$27*(Profiles_140!Y72-Simulator!$L$25)^2*IF(Profiles_140!Y72&gt;Simulator!$L$25,1+Model_Formula!$N$27,1)</x:f>
        <x:v>271.6875</x:v>
      </x:c>
      <x:c r="U76" s="60" t="n">
        <x:f>SUM(F76:T76)/SUM($F$4:$T$4)</x:f>
        <x:v>739.5102611940299</x:v>
      </x:c>
      <x:c r="V76" s="60" t="n">
        <x:f>SQRT(U76)</x:f>
        <x:v>27.193937949367132</x:v>
      </x:c>
      <x:c r="W76" s="60" t="n">
        <x:f>MAX(0,100-V76)</x:f>
        <x:v>72.80606205063287</x:v>
      </x:c>
      <x:c r="X76" s="60" t="n">
        <x:f>SUMPRODUCT(Profiles_140!K72:Y72,$F$4:$T$4)/SUM($F$4:$T$4)</x:f>
        <x:v>58.0223880597015</x:v>
      </x:c>
      <x:c r="Y76" s="60" t="n">
        <x:f>IFERROR(50+50*SUMPRODUCT(($F$3:$T$3-$X$3)*(Profiles_140!K72:Y72-X76),$F$4:$T$4)/SQRT(SUMPRODUCT(($F$3:$T$3-$X$3)^2,$F$4:$T$4)*SUMPRODUCT((Profiles_140!K72:Y72-X76)^2,$F$4:$T$4)),50)</x:f>
        <x:v>50.000000000000014</x:v>
      </x:c>
      <x:c r="Z76" s="60" t="n">
        <x:f>$Z$3</x:f>
        <x:v>3.9474596431116675e-16</x:v>
      </x:c>
      <x:c r="AA76" s="60" t="n">
        <x:f>W76*(1-Model_Formula!$F$8*Z76)+Y76*(Model_Formula!$F$8*Z76)</x:f>
        <x:v>72.80606205063287</x:v>
      </x:c>
      <x:c r="AB76" s="60" t="n">
        <x:f>SQRT(SUMPRODUCT((Profiles_140!K72:Y72-50)^2,$F$4:$T$4)/SUM($F$4:$T$4))</x:f>
        <x:v>26.93275207490609</x:v>
      </x:c>
      <x:c r="AC76" s="60" t="n">
        <x:f>MAX(-Model_Formula!$F$11,MIN(Model_Formula!$F$11,Model_Formula!$F$10*(AB76-AVERAGE($AB$6:$AB$135))))</x:f>
        <x:v>-0.9919522170761695</x:v>
      </x:c>
      <x:c r="AD76" s="60" t="n">
        <x:f>MAX(0,MIN(100,AA76+AC76))</x:f>
        <x:v>71.8141098335567</x:v>
      </x:c>
      <x:c r="AE76" s="60" t="n">
        <x:f>MAX(0,MIN(1,IFERROR((MATCH(AD76,Percentile_Calibration!$F72:$DB72,1)-1)/100,0)))</x:f>
        <x:v>0.71</x:v>
      </x:c>
      <x:c r="AF76" s="62" t="n">
        <x:f>ROUND(MAX(Model_Formula!$I$9,Model_Formula!$I$5+Model_Formula!$I$6*POWER(AE76,Model_Formula!$I$7)),0)</x:f>
        <x:v>62</x:v>
      </x:c>
      <x:c r="AG76" t="n">
        <x:f>Profiles_140!AJ72</x:f>
        <x:v>0</x:v>
      </x:c>
      <x:c r="AH76" s="60" t="n">
        <x:f>Model_Formula!$I$8*(AE76*100)+(1-Model_Formula!$I$8)*AD76+AG76</x:f>
        <x:v>71.16282196671133</x:v>
      </x:c>
      <x:c r="AI76" t="n">
        <x:f>RANK.EQ(AH76,$AH$6:$AH$135,0)+COUNTIF($AH$6:AH76,AH76)-1</x:f>
        <x:v>70</x:v>
      </x:c>
    </x:row>
    <x:row r="77">
      <x:c r="A77" t="str">
        <x:f>Profiles_140!A73</x:f>
        <x:v>ミュウツー(X)</x:v>
      </x:c>
      <x:c r="B77" t="str">
        <x:f>Profiles_140!C73</x:f>
        <x:v>ミュウツー(X)-1</x:v>
      </x:c>
      <x:c r="C77" t="str">
        <x:f>Profiles_140!D73</x:f>
        <x:v>共通</x:v>
      </x:c>
      <x:c r="D77" t="str">
        <x:f>Profiles_140!B73</x:f>
        <x:v>バランス型</x:v>
      </x:c>
      <x:c r="E77" t="str">
        <x:f>Profiles_140!I73</x:f>
        <x:v>高</x:v>
      </x:c>
      <x:c r="F77" s="66" t="n">
        <x:f>Model_Formula!$M$13*(Profiles_140!K73-Simulator!$L$11)^2*IF(Profiles_140!K73&gt;Simulator!$L$11,1+Model_Formula!$N$13,1)</x:f>
        <x:v>225</x:v>
      </x:c>
      <x:c r="G77" s="66" t="n">
        <x:f>Model_Formula!$M$14*(Profiles_140!L73-Simulator!$L$12)^2*IF(Profiles_140!L73&gt;Simulator!$L$12,1+Model_Formula!$N$14,1)</x:f>
        <x:v>26.25</x:v>
      </x:c>
      <x:c r="H77" s="66" t="n">
        <x:f>Model_Formula!$M$15*(Profiles_140!M73-Simulator!$L$13)^2*IF(Profiles_140!M73&gt;Simulator!$L$13,1+Model_Formula!$N$15,1)</x:f>
        <x:v>25</x:v>
      </x:c>
      <x:c r="I77" s="66" t="n">
        <x:f>Model_Formula!$M$16*(Profiles_140!N73-Simulator!$L$14)^2*IF(Profiles_140!N73&gt;Simulator!$L$14,1+Model_Formula!$N$16,1)</x:f>
        <x:v>2500</x:v>
      </x:c>
      <x:c r="J77" s="66" t="n">
        <x:f>Model_Formula!$M$17*(Profiles_140!O73-Simulator!$L$15)^2*IF(Profiles_140!O73&gt;Simulator!$L$15,1+Model_Formula!$N$17,1)</x:f>
        <x:v>225</x:v>
      </x:c>
      <x:c r="K77" s="66" t="n">
        <x:f>Model_Formula!$M$18*(Profiles_140!P73-Simulator!$L$16)^2*IF(Profiles_140!P73&gt;Simulator!$L$16,1+Model_Formula!$N$18,1)</x:f>
        <x:v>22.5</x:v>
      </x:c>
      <x:c r="L77" s="66" t="n">
        <x:f>Model_Formula!$M$19*(Profiles_140!Q73-Simulator!$L$17)^2*IF(Profiles_140!Q73&gt;Simulator!$L$17,1+Model_Formula!$N$19,1)</x:f>
        <x:v>625</x:v>
      </x:c>
      <x:c r="M77" s="66" t="n">
        <x:f>Model_Formula!$M$20*(Profiles_140!R73-Simulator!$L$18)^2*IF(Profiles_140!R73&gt;Simulator!$L$18,1+Model_Formula!$N$20,1)</x:f>
        <x:v>2025</x:v>
      </x:c>
      <x:c r="N77" s="66" t="n">
        <x:f>Model_Formula!$M$21*(Profiles_140!S73-Simulator!$L$19)^2*IF(Profiles_140!S73&gt;Simulator!$L$19,1+Model_Formula!$N$21,1)</x:f>
        <x:v>100</x:v>
      </x:c>
      <x:c r="O77" s="66" t="n">
        <x:f>Model_Formula!$M$22*(Profiles_140!T73-Simulator!$L$20)^2*IF(Profiles_140!T73&gt;Simulator!$L$20,1+Model_Formula!$N$22,1)</x:f>
        <x:v>100</x:v>
      </x:c>
      <x:c r="P77" s="66" t="n">
        <x:f>Model_Formula!$M$23*(Profiles_140!U73-Simulator!$L$21)^2*IF(Profiles_140!U73&gt;Simulator!$L$21,1+Model_Formula!$N$23,1)</x:f>
        <x:v>0</x:v>
      </x:c>
      <x:c r="Q77" s="66" t="n">
        <x:f>Model_Formula!$M$24*(Profiles_140!V73-Simulator!$L$22)^2*IF(Profiles_140!V73&gt;Simulator!$L$22,1+Model_Formula!$N$24,1)</x:f>
        <x:v>10</x:v>
      </x:c>
      <x:c r="R77" s="66" t="n">
        <x:f>Model_Formula!$M$25*(Profiles_140!W73-Simulator!$L$23)^2*IF(Profiles_140!W73&gt;Simulator!$L$23,1+Model_Formula!$N$25,1)</x:f>
        <x:v>180</x:v>
      </x:c>
      <x:c r="S77" s="66" t="n">
        <x:f>Model_Formula!$M$26*(Profiles_140!X73-Simulator!$L$24)^2*IF(Profiles_140!X73&gt;Simulator!$L$24,1+Model_Formula!$N$26,1)</x:f>
        <x:v>247.50000000000003</x:v>
      </x:c>
      <x:c r="T77" s="66" t="n">
        <x:f>Model_Formula!$M$27*(Profiles_140!Y73-Simulator!$L$25)^2*IF(Profiles_140!Y73&gt;Simulator!$L$25,1+Model_Formula!$N$27,1)</x:f>
        <x:v>754.6874999999999</x:v>
      </x:c>
      <x:c r="U77" s="60" t="n">
        <x:f>SUM(F77:T77)/SUM($F$4:$T$4)</x:f>
        <x:v>527.3087686567164</x:v>
      </x:c>
      <x:c r="V77" s="60" t="n">
        <x:f>SQRT(U77)</x:f>
        <x:v>22.963204668702417</x:v>
      </x:c>
      <x:c r="W77" s="60" t="n">
        <x:f>MAX(0,100-V77)</x:f>
        <x:v>77.03679533129758</x:v>
      </x:c>
      <x:c r="X77" s="60" t="n">
        <x:f>SUMPRODUCT(Profiles_140!K73:Y73,$F$4:$T$4)/SUM($F$4:$T$4)</x:f>
        <x:v>52.01492537313433</x:v>
      </x:c>
      <x:c r="Y77" s="60" t="n">
        <x:f>IFERROR(50+50*SUMPRODUCT(($F$3:$T$3-$X$3)*(Profiles_140!K73:Y73-X77),$F$4:$T$4)/SQRT(SUMPRODUCT(($F$3:$T$3-$X$3)^2,$F$4:$T$4)*SUMPRODUCT((Profiles_140!K73:Y73-X77)^2,$F$4:$T$4)),50)</x:f>
        <x:v>50.00000000000001</x:v>
      </x:c>
      <x:c r="Z77" s="60" t="n">
        <x:f>$Z$3</x:f>
        <x:v>3.9474596431116675e-16</x:v>
      </x:c>
      <x:c r="AA77" s="60" t="n">
        <x:f>W77*(1-Model_Formula!$F$8*Z77)+Y77*(Model_Formula!$F$8*Z77)</x:f>
        <x:v>77.03679533129758</x:v>
      </x:c>
      <x:c r="AB77" s="60" t="n">
        <x:f>SQRT(SUMPRODUCT((Profiles_140!K73:Y73-50)^2,$F$4:$T$4)/SUM($F$4:$T$4))</x:f>
        <x:v>22.802690336167885</x:v>
      </x:c>
      <x:c r="AC77" s="60" t="n">
        <x:f>MAX(-Model_Formula!$F$11,MIN(Model_Formula!$F$11,Model_Formula!$F$10*(AB77-AVERAGE($AB$6:$AB$135))))</x:f>
        <x:v>-2.8504799995083623</x:v>
      </x:c>
      <x:c r="AD77" s="60" t="n">
        <x:f>MAX(0,MIN(100,AA77+AC77))</x:f>
        <x:v>74.18631533178922</x:v>
      </x:c>
      <x:c r="AE77" s="60" t="n">
        <x:f>MAX(0,MIN(1,IFERROR((MATCH(AD77,Percentile_Calibration!$F73:$DB73,1)-1)/100,0)))</x:f>
        <x:v>0.98</x:v>
      </x:c>
      <x:c r="AF77" s="62" t="n">
        <x:f>ROUND(MAX(Model_Formula!$I$9,Model_Formula!$I$5+Model_Formula!$I$6*POWER(AE77,Model_Formula!$I$7)),0)</x:f>
        <x:v>94</x:v>
      </x:c>
      <x:c r="AG77" t="n">
        <x:f>Profiles_140!AJ73</x:f>
        <x:v>0</x:v>
      </x:c>
      <x:c r="AH77" s="60" t="n">
        <x:f>Model_Formula!$I$8*(AE77*100)+(1-Model_Formula!$I$8)*AD77+AG77</x:f>
        <x:v>93.23726306635784</x:v>
      </x:c>
      <x:c r="AI77" t="n">
        <x:f>RANK.EQ(AH77,$AH$6:$AH$135,0)+COUNTIF($AH$6:AH77,AH77)-1</x:f>
        <x:v>1</x:v>
      </x:c>
    </x:row>
    <x:row r="78">
      <x:c r="A78" t="str">
        <x:f>Profiles_140!A74</x:f>
        <x:v>メタグロス</x:v>
      </x:c>
      <x:c r="B78" t="str">
        <x:f>Profiles_140!C74</x:f>
        <x:v>メタグロス-1</x:v>
      </x:c>
      <x:c r="C78" t="str">
        <x:f>Profiles_140!D74</x:f>
        <x:v>共通</x:v>
      </x:c>
      <x:c r="D78" t="str">
        <x:f>Profiles_140!B74</x:f>
        <x:v>バランス型</x:v>
      </x:c>
      <x:c r="E78" t="str">
        <x:f>Profiles_140!I74</x:f>
        <x:v>高</x:v>
      </x:c>
      <x:c r="F78" s="66" t="n">
        <x:f>Model_Formula!$M$13*(Profiles_140!K74-Simulator!$L$11)^2*IF(Profiles_140!K74&gt;Simulator!$L$11,1+Model_Formula!$N$13,1)</x:f>
        <x:v>400</x:v>
      </x:c>
      <x:c r="G78" s="66" t="n">
        <x:f>Model_Formula!$M$14*(Profiles_140!L74-Simulator!$L$12)^2*IF(Profiles_140!L74&gt;Simulator!$L$12,1+Model_Formula!$N$14,1)</x:f>
        <x:v>656.25</x:v>
      </x:c>
      <x:c r="H78" s="66" t="n">
        <x:f>Model_Formula!$M$15*(Profiles_140!M74-Simulator!$L$13)^2*IF(Profiles_140!M74&gt;Simulator!$L$13,1+Model_Formula!$N$15,1)</x:f>
        <x:v>400</x:v>
      </x:c>
      <x:c r="I78" s="66" t="n">
        <x:f>Model_Formula!$M$16*(Profiles_140!N74-Simulator!$L$14)^2*IF(Profiles_140!N74&gt;Simulator!$L$14,1+Model_Formula!$N$16,1)</x:f>
        <x:v>1600</x:v>
      </x:c>
      <x:c r="J78" s="66" t="n">
        <x:f>Model_Formula!$M$17*(Profiles_140!O74-Simulator!$L$15)^2*IF(Profiles_140!O74&gt;Simulator!$L$15,1+Model_Formula!$N$17,1)</x:f>
        <x:v>1600</x:v>
      </x:c>
      <x:c r="K78" s="66" t="n">
        <x:f>Model_Formula!$M$18*(Profiles_140!P74-Simulator!$L$16)^2*IF(Profiles_140!P74&gt;Simulator!$L$16,1+Model_Formula!$N$18,1)</x:f>
        <x:v>202.5</x:v>
      </x:c>
      <x:c r="L78" s="66" t="n">
        <x:f>Model_Formula!$M$19*(Profiles_140!Q74-Simulator!$L$17)^2*IF(Profiles_140!Q74&gt;Simulator!$L$17,1+Model_Formula!$N$19,1)</x:f>
        <x:v>25</x:v>
      </x:c>
      <x:c r="M78" s="66" t="n">
        <x:f>Model_Formula!$M$20*(Profiles_140!R74-Simulator!$L$18)^2*IF(Profiles_140!R74&gt;Simulator!$L$18,1+Model_Formula!$N$20,1)</x:f>
        <x:v>2025</x:v>
      </x:c>
      <x:c r="N78" s="66" t="n">
        <x:f>Model_Formula!$M$21*(Profiles_140!S74-Simulator!$L$19)^2*IF(Profiles_140!S74&gt;Simulator!$L$19,1+Model_Formula!$N$21,1)</x:f>
        <x:v>25</x:v>
      </x:c>
      <x:c r="O78" s="66" t="n">
        <x:f>Model_Formula!$M$22*(Profiles_140!T74-Simulator!$L$20)^2*IF(Profiles_140!T74&gt;Simulator!$L$20,1+Model_Formula!$N$22,1)</x:f>
        <x:v>400</x:v>
      </x:c>
      <x:c r="P78" s="66" t="n">
        <x:f>Model_Formula!$M$23*(Profiles_140!U74-Simulator!$L$21)^2*IF(Profiles_140!U74&gt;Simulator!$L$21,1+Model_Formula!$N$23,1)</x:f>
        <x:v>45</x:v>
      </x:c>
      <x:c r="Q78" s="66" t="n">
        <x:f>Model_Formula!$M$24*(Profiles_140!V74-Simulator!$L$22)^2*IF(Profiles_140!V74&gt;Simulator!$L$22,1+Model_Formula!$N$24,1)</x:f>
        <x:v>160</x:v>
      </x:c>
      <x:c r="R78" s="66" t="n">
        <x:f>Model_Formula!$M$25*(Profiles_140!W74-Simulator!$L$23)^2*IF(Profiles_140!W74&gt;Simulator!$L$23,1+Model_Formula!$N$25,1)</x:f>
        <x:v>45</x:v>
      </x:c>
      <x:c r="S78" s="66" t="n">
        <x:f>Model_Formula!$M$26*(Profiles_140!X74-Simulator!$L$24)^2*IF(Profiles_140!X74&gt;Simulator!$L$24,1+Model_Formula!$N$26,1)</x:f>
        <x:v>0</x:v>
      </x:c>
      <x:c r="T78" s="66" t="n">
        <x:f>Model_Formula!$M$27*(Profiles_140!Y74-Simulator!$L$25)^2*IF(Profiles_140!Y74&gt;Simulator!$L$25,1+Model_Formula!$N$27,1)</x:f>
        <x:v>120.74999999999999</x:v>
      </x:c>
      <x:c r="U78" s="60" t="n">
        <x:f>SUM(F78:T78)/SUM($F$4:$T$4)</x:f>
        <x:v>574.9626865671643</x:v>
      </x:c>
      <x:c r="V78" s="60" t="n">
        <x:f>SQRT(U78)</x:f>
        <x:v>23.978379565082463</x:v>
      </x:c>
      <x:c r="W78" s="60" t="n">
        <x:f>MAX(0,100-V78)</x:f>
        <x:v>76.02162043491754</x:v>
      </x:c>
      <x:c r="X78" s="60" t="n">
        <x:f>SUMPRODUCT(Profiles_140!K74:Y74,$F$4:$T$4)/SUM($F$4:$T$4)</x:f>
        <x:v>52.48134328358209</x:v>
      </x:c>
      <x:c r="Y78" s="60" t="n">
        <x:f>IFERROR(50+50*SUMPRODUCT(($F$3:$T$3-$X$3)*(Profiles_140!K74:Y74-X78),$F$4:$T$4)/SQRT(SUMPRODUCT(($F$3:$T$3-$X$3)^2,$F$4:$T$4)*SUMPRODUCT((Profiles_140!K74:Y74-X78)^2,$F$4:$T$4)),50)</x:f>
        <x:v>50.00000000000001</x:v>
      </x:c>
      <x:c r="Z78" s="60" t="n">
        <x:f>$Z$3</x:f>
        <x:v>3.9474596431116675e-16</x:v>
      </x:c>
      <x:c r="AA78" s="60" t="n">
        <x:f>W78*(1-Model_Formula!$F$8*Z78)+Y78*(Model_Formula!$F$8*Z78)</x:f>
        <x:v>76.02162043491754</x:v>
      </x:c>
      <x:c r="AB78" s="60" t="n">
        <x:f>SQRT(SUMPRODUCT((Profiles_140!K74:Y74-50)^2,$F$4:$T$4)/SUM($F$4:$T$4))</x:f>
        <x:v>23.95385800727799</x:v>
      </x:c>
      <x:c r="AC78" s="60" t="n">
        <x:f>MAX(-Model_Formula!$F$11,MIN(Model_Formula!$F$11,Model_Formula!$F$10*(AB78-AVERAGE($AB$6:$AB$135))))</x:f>
        <x:v>-2.332454547508815</x:v>
      </x:c>
      <x:c r="AD78" s="60" t="n">
        <x:f>MAX(0,MIN(100,AA78+AC78))</x:f>
        <x:v>73.68916588740872</x:v>
      </x:c>
      <x:c r="AE78" s="60" t="n">
        <x:f>MAX(0,MIN(1,IFERROR((MATCH(AD78,Percentile_Calibration!$F74:$DB74,1)-1)/100,0)))</x:f>
        <x:v>0.76</x:v>
      </x:c>
      <x:c r="AF78" s="62" t="n">
        <x:f>ROUND(MAX(Model_Formula!$I$9,Model_Formula!$I$5+Model_Formula!$I$6*POWER(AE78,Model_Formula!$I$7)),0)</x:f>
        <x:v>66</x:v>
      </x:c>
      <x:c r="AG78" t="n">
        <x:f>Profiles_140!AJ74</x:f>
        <x:v>0</x:v>
      </x:c>
      <x:c r="AH78" s="60" t="n">
        <x:f>Model_Formula!$I$8*(AE78*100)+(1-Model_Formula!$I$8)*AD78+AG78</x:f>
        <x:v>75.53783317748174</x:v>
      </x:c>
      <x:c r="AI78" t="n">
        <x:f>RANK.EQ(AH78,$AH$6:$AH$135,0)+COUNTIF($AH$6:AH78,AH78)-1</x:f>
        <x:v>50</x:v>
      </x:c>
    </x:row>
    <x:row r="79">
      <x:c r="A79" t="str">
        <x:f>Profiles_140!A75</x:f>
        <x:v>リザードン</x:v>
      </x:c>
      <x:c r="B79" t="str">
        <x:f>Profiles_140!C75</x:f>
        <x:v>リザードン-1</x:v>
      </x:c>
      <x:c r="C79" t="str">
        <x:f>Profiles_140!D75</x:f>
        <x:v>だいもんじ</x:v>
      </x:c>
      <x:c r="D79" t="str">
        <x:f>Profiles_140!B75</x:f>
        <x:v>バランス型</x:v>
      </x:c>
      <x:c r="E79" t="str">
        <x:f>Profiles_140!I75</x:f>
        <x:v>高</x:v>
      </x:c>
      <x:c r="F79" s="66" t="n">
        <x:f>Model_Formula!$M$13*(Profiles_140!K75-Simulator!$L$11)^2*IF(Profiles_140!K75&gt;Simulator!$L$11,1+Model_Formula!$N$13,1)</x:f>
        <x:v>625</x:v>
      </x:c>
      <x:c r="G79" s="66" t="n">
        <x:f>Model_Formula!$M$14*(Profiles_140!L75-Simulator!$L$12)^2*IF(Profiles_140!L75&gt;Simulator!$L$12,1+Model_Formula!$N$14,1)</x:f>
        <x:v>1680</x:v>
      </x:c>
      <x:c r="H79" s="66" t="n">
        <x:f>Model_Formula!$M$15*(Profiles_140!M75-Simulator!$L$13)^2*IF(Profiles_140!M75&gt;Simulator!$L$13,1+Model_Formula!$N$15,1)</x:f>
        <x:v>900</x:v>
      </x:c>
      <x:c r="I79" s="66" t="n">
        <x:f>Model_Formula!$M$16*(Profiles_140!N75-Simulator!$L$14)^2*IF(Profiles_140!N75&gt;Simulator!$L$14,1+Model_Formula!$N$16,1)</x:f>
        <x:v>900</x:v>
      </x:c>
      <x:c r="J79" s="66" t="n">
        <x:f>Model_Formula!$M$17*(Profiles_140!O75-Simulator!$L$15)^2*IF(Profiles_140!O75&gt;Simulator!$L$15,1+Model_Formula!$N$17,1)</x:f>
        <x:v>625</x:v>
      </x:c>
      <x:c r="K79" s="66" t="n">
        <x:f>Model_Formula!$M$18*(Profiles_140!P75-Simulator!$L$16)^2*IF(Profiles_140!P75&gt;Simulator!$L$16,1+Model_Formula!$N$18,1)</x:f>
        <x:v>360</x:v>
      </x:c>
      <x:c r="L79" s="66" t="n">
        <x:f>Model_Formula!$M$19*(Profiles_140!Q75-Simulator!$L$17)^2*IF(Profiles_140!Q75&gt;Simulator!$L$17,1+Model_Formula!$N$19,1)</x:f>
        <x:v>625</x:v>
      </x:c>
      <x:c r="M79" s="66" t="n">
        <x:f>Model_Formula!$M$20*(Profiles_140!R75-Simulator!$L$18)^2*IF(Profiles_140!R75&gt;Simulator!$L$18,1+Model_Formula!$N$20,1)</x:f>
        <x:v>2500</x:v>
      </x:c>
      <x:c r="N79" s="66" t="n">
        <x:f>Model_Formula!$M$21*(Profiles_140!S75-Simulator!$L$19)^2*IF(Profiles_140!S75&gt;Simulator!$L$19,1+Model_Formula!$N$21,1)</x:f>
        <x:v>0</x:v>
      </x:c>
      <x:c r="O79" s="66" t="n">
        <x:f>Model_Formula!$M$22*(Profiles_140!T75-Simulator!$L$20)^2*IF(Profiles_140!T75&gt;Simulator!$L$20,1+Model_Formula!$N$22,1)</x:f>
        <x:v>100</x:v>
      </x:c>
      <x:c r="P79" s="66" t="n">
        <x:f>Model_Formula!$M$23*(Profiles_140!U75-Simulator!$L$21)^2*IF(Profiles_140!U75&gt;Simulator!$L$21,1+Model_Formula!$N$23,1)</x:f>
        <x:v>180</x:v>
      </x:c>
      <x:c r="Q79" s="66" t="n">
        <x:f>Model_Formula!$M$24*(Profiles_140!V75-Simulator!$L$22)^2*IF(Profiles_140!V75&gt;Simulator!$L$22,1+Model_Formula!$N$24,1)</x:f>
        <x:v>250</x:v>
      </x:c>
      <x:c r="R79" s="66" t="n">
        <x:f>Model_Formula!$M$25*(Profiles_140!W75-Simulator!$L$23)^2*IF(Profiles_140!W75&gt;Simulator!$L$23,1+Model_Formula!$N$25,1)</x:f>
        <x:v>11.25</x:v>
      </x:c>
      <x:c r="S79" s="66" t="n">
        <x:f>Model_Formula!$M$26*(Profiles_140!X75-Simulator!$L$24)^2*IF(Profiles_140!X75&gt;Simulator!$L$24,1+Model_Formula!$N$26,1)</x:f>
        <x:v>148.50000000000003</x:v>
      </x:c>
      <x:c r="T79" s="66" t="n">
        <x:f>Model_Formula!$M$27*(Profiles_140!Y75-Simulator!$L$25)^2*IF(Profiles_140!Y75&gt;Simulator!$L$25,1+Model_Formula!$N$27,1)</x:f>
        <x:v>271.6875</x:v>
      </x:c>
      <x:c r="U79" s="60" t="n">
        <x:f>SUM(F79:T79)/SUM($F$4:$T$4)</x:f>
        <x:v>684.8087686567164</x:v>
      </x:c>
      <x:c r="V79" s="60" t="n">
        <x:f>SQRT(U79)</x:f>
        <x:v>26.16885111457353</x:v>
      </x:c>
      <x:c r="W79" s="60" t="n">
        <x:f>MAX(0,100-V79)</x:f>
        <x:v>73.83114888542647</x:v>
      </x:c>
      <x:c r="X79" s="60" t="n">
        <x:f>SUMPRODUCT(Profiles_140!K75:Y75,$F$4:$T$4)/SUM($F$4:$T$4)</x:f>
        <x:v>42.126865671641795</x:v>
      </x:c>
      <x:c r="Y79" s="60" t="n">
        <x:f>IFERROR(50+50*SUMPRODUCT(($F$3:$T$3-$X$3)*(Profiles_140!K75:Y75-X79),$F$4:$T$4)/SQRT(SUMPRODUCT(($F$3:$T$3-$X$3)^2,$F$4:$T$4)*SUMPRODUCT((Profiles_140!K75:Y75-X79)^2,$F$4:$T$4)),50)</x:f>
        <x:v>50.00000000000001</x:v>
      </x:c>
      <x:c r="Z79" s="60" t="n">
        <x:f>$Z$3</x:f>
        <x:v>3.9474596431116675e-16</x:v>
      </x:c>
      <x:c r="AA79" s="60" t="n">
        <x:f>W79*(1-Model_Formula!$F$8*Z79)+Y79*(Model_Formula!$F$8*Z79)</x:f>
        <x:v>73.83114888542647</x:v>
      </x:c>
      <x:c r="AB79" s="60" t="n">
        <x:f>SQRT(SUMPRODUCT((Profiles_140!K75:Y75-50)^2,$F$4:$T$4)/SUM($F$4:$T$4))</x:f>
        <x:v>26.063212479971067</x:v>
      </x:c>
      <x:c r="AC79" s="60" t="n">
        <x:f>MAX(-Model_Formula!$F$11,MIN(Model_Formula!$F$11,Model_Formula!$F$10*(AB79-AVERAGE($AB$6:$AB$135))))</x:f>
        <x:v>-1.38324503479693</x:v>
      </x:c>
      <x:c r="AD79" s="60" t="n">
        <x:f>MAX(0,MIN(100,AA79+AC79))</x:f>
        <x:v>72.44790385062954</x:v>
      </x:c>
      <x:c r="AE79" s="60" t="n">
        <x:f>MAX(0,MIN(1,IFERROR((MATCH(AD79,Percentile_Calibration!$F75:$DB75,1)-1)/100,0)))</x:f>
        <x:v>0.75</x:v>
      </x:c>
      <x:c r="AF79" s="62" t="n">
        <x:f>ROUND(MAX(Model_Formula!$I$9,Model_Formula!$I$5+Model_Formula!$I$6*POWER(AE79,Model_Formula!$I$7)),0)</x:f>
        <x:v>65</x:v>
      </x:c>
      <x:c r="AG79" t="n">
        <x:f>Profiles_140!AJ75</x:f>
        <x:v>0</x:v>
      </x:c>
      <x:c r="AH79" s="60" t="n">
        <x:f>Model_Formula!$I$8*(AE79*100)+(1-Model_Formula!$I$8)*AD79+AG79</x:f>
        <x:v>74.48958077012591</x:v>
      </x:c>
      <x:c r="AI79" t="n">
        <x:f>RANK.EQ(AH79,$AH$6:$AH$135,0)+COUNTIF($AH$6:AH79,AH79)-1</x:f>
        <x:v>56</x:v>
      </x:c>
    </x:row>
    <x:row r="80">
      <x:c r="A80" t="str">
        <x:f>Profiles_140!A76</x:f>
        <x:v>リザードン</x:v>
      </x:c>
      <x:c r="B80" t="str">
        <x:f>Profiles_140!C76</x:f>
        <x:v>リザードン-2</x:v>
      </x:c>
      <x:c r="C80" t="str">
        <x:f>Profiles_140!D76</x:f>
        <x:v>フレアドライブ</x:v>
      </x:c>
      <x:c r="D80" t="str">
        <x:f>Profiles_140!B76</x:f>
        <x:v>バランス型</x:v>
      </x:c>
      <x:c r="E80" t="str">
        <x:f>Profiles_140!I76</x:f>
        <x:v>高</x:v>
      </x:c>
      <x:c r="F80" s="66" t="n">
        <x:f>Model_Formula!$M$13*(Profiles_140!K76-Simulator!$L$11)^2*IF(Profiles_140!K76&gt;Simulator!$L$11,1+Model_Formula!$N$13,1)</x:f>
        <x:v>900</x:v>
      </x:c>
      <x:c r="G80" s="66" t="n">
        <x:f>Model_Formula!$M$14*(Profiles_140!L76-Simulator!$L$12)^2*IF(Profiles_140!L76&gt;Simulator!$L$12,1+Model_Formula!$N$14,1)</x:f>
        <x:v>2625</x:v>
      </x:c>
      <x:c r="H80" s="66" t="n">
        <x:f>Model_Formula!$M$15*(Profiles_140!M76-Simulator!$L$13)^2*IF(Profiles_140!M76&gt;Simulator!$L$13,1+Model_Formula!$N$15,1)</x:f>
        <x:v>900</x:v>
      </x:c>
      <x:c r="I80" s="66" t="n">
        <x:f>Model_Formula!$M$16*(Profiles_140!N76-Simulator!$L$14)^2*IF(Profiles_140!N76&gt;Simulator!$L$14,1+Model_Formula!$N$16,1)</x:f>
        <x:v>900</x:v>
      </x:c>
      <x:c r="J80" s="66" t="n">
        <x:f>Model_Formula!$M$17*(Profiles_140!O76-Simulator!$L$15)^2*IF(Profiles_140!O76&gt;Simulator!$L$15,1+Model_Formula!$N$17,1)</x:f>
        <x:v>2500</x:v>
      </x:c>
      <x:c r="K80" s="66" t="n">
        <x:f>Model_Formula!$M$18*(Profiles_140!P76-Simulator!$L$16)^2*IF(Profiles_140!P76&gt;Simulator!$L$16,1+Model_Formula!$N$18,1)</x:f>
        <x:v>202.5</x:v>
      </x:c>
      <x:c r="L80" s="66" t="n">
        <x:f>Model_Formula!$M$19*(Profiles_140!Q76-Simulator!$L$17)^2*IF(Profiles_140!Q76&gt;Simulator!$L$17,1+Model_Formula!$N$19,1)</x:f>
        <x:v>25</x:v>
      </x:c>
      <x:c r="M80" s="66" t="n">
        <x:f>Model_Formula!$M$20*(Profiles_140!R76-Simulator!$L$18)^2*IF(Profiles_140!R76&gt;Simulator!$L$18,1+Model_Formula!$N$20,1)</x:f>
        <x:v>2025</x:v>
      </x:c>
      <x:c r="N80" s="66" t="n">
        <x:f>Model_Formula!$M$21*(Profiles_140!S76-Simulator!$L$19)^2*IF(Profiles_140!S76&gt;Simulator!$L$19,1+Model_Formula!$N$21,1)</x:f>
        <x:v>900</x:v>
      </x:c>
      <x:c r="O80" s="66" t="n">
        <x:f>Model_Formula!$M$22*(Profiles_140!T76-Simulator!$L$20)^2*IF(Profiles_140!T76&gt;Simulator!$L$20,1+Model_Formula!$N$22,1)</x:f>
        <x:v>400</x:v>
      </x:c>
      <x:c r="P80" s="66" t="n">
        <x:f>Model_Formula!$M$23*(Profiles_140!U76-Simulator!$L$21)^2*IF(Profiles_140!U76&gt;Simulator!$L$21,1+Model_Formula!$N$23,1)</x:f>
        <x:v>45</x:v>
      </x:c>
      <x:c r="Q80" s="66" t="n">
        <x:f>Model_Formula!$M$24*(Profiles_140!V76-Simulator!$L$22)^2*IF(Profiles_140!V76&gt;Simulator!$L$22,1+Model_Formula!$N$24,1)</x:f>
        <x:v>40</x:v>
      </x:c>
      <x:c r="R80" s="66" t="n">
        <x:f>Model_Formula!$M$25*(Profiles_140!W76-Simulator!$L$23)^2*IF(Profiles_140!W76&gt;Simulator!$L$23,1+Model_Formula!$N$25,1)</x:f>
        <x:v>11.25</x:v>
      </x:c>
      <x:c r="S80" s="66" t="n">
        <x:f>Model_Formula!$M$26*(Profiles_140!X76-Simulator!$L$24)^2*IF(Profiles_140!X76&gt;Simulator!$L$24,1+Model_Formula!$N$26,1)</x:f>
        <x:v>334.12500000000006</x:v>
      </x:c>
      <x:c r="T80" s="66" t="n">
        <x:f>Model_Formula!$M$27*(Profiles_140!Y76-Simulator!$L$25)^2*IF(Profiles_140!Y76&gt;Simulator!$L$25,1+Model_Formula!$N$27,1)</x:f>
        <x:v>482.99999999999994</x:v>
      </x:c>
      <x:c r="U80" s="60" t="n">
        <x:f>SUM(F80:T80)/SUM($F$4:$T$4)</x:f>
        <x:v>917.2294776119404</x:v>
      </x:c>
      <x:c r="V80" s="60" t="n">
        <x:f>SQRT(U80)</x:f>
        <x:v>30.28579663162157</x:v>
      </x:c>
      <x:c r="W80" s="60" t="n">
        <x:f>MAX(0,100-V80)</x:f>
        <x:v>69.71420336837843</x:v>
      </x:c>
      <x:c r="X80" s="60" t="n">
        <x:f>SUMPRODUCT(Profiles_140!K76:Y76,$F$4:$T$4)/SUM($F$4:$T$4)</x:f>
        <x:v>57.03358208955225</x:v>
      </x:c>
      <x:c r="Y80" s="60" t="n">
        <x:f>IFERROR(50+50*SUMPRODUCT(($F$3:$T$3-$X$3)*(Profiles_140!K76:Y76-X80),$F$4:$T$4)/SQRT(SUMPRODUCT(($F$3:$T$3-$X$3)^2,$F$4:$T$4)*SUMPRODUCT((Profiles_140!K76:Y76-X80)^2,$F$4:$T$4)),50)</x:f>
        <x:v>50.000000000000014</x:v>
      </x:c>
      <x:c r="Z80" s="60" t="n">
        <x:f>$Z$3</x:f>
        <x:v>3.9474596431116675e-16</x:v>
      </x:c>
      <x:c r="AA80" s="60" t="n">
        <x:f>W80*(1-Model_Formula!$F$8*Z80)+Y80*(Model_Formula!$F$8*Z80)</x:f>
        <x:v>69.71420336837843</x:v>
      </x:c>
      <x:c r="AB80" s="60" t="n">
        <x:f>SQRT(SUMPRODUCT((Profiles_140!K76:Y76-50)^2,$F$4:$T$4)/SUM($F$4:$T$4))</x:f>
        <x:v>30.100887575548683</x:v>
      </x:c>
      <x:c r="AC80" s="60" t="n">
        <x:f>MAX(-Model_Formula!$F$11,MIN(Model_Formula!$F$11,Model_Formula!$F$10*(AB80-AVERAGE($AB$6:$AB$135))))</x:f>
        <x:v>0.43370875821299676</x:v>
      </x:c>
      <x:c r="AD80" s="60" t="n">
        <x:f>MAX(0,MIN(100,AA80+AC80))</x:f>
        <x:v>70.14791212659144</x:v>
      </x:c>
      <x:c r="AE80" s="60" t="n">
        <x:f>MAX(0,MIN(1,IFERROR((MATCH(AD80,Percentile_Calibration!$F76:$DB76,1)-1)/100,0)))</x:f>
        <x:v>0.67</x:v>
      </x:c>
      <x:c r="AF80" s="62" t="n">
        <x:f>ROUND(MAX(Model_Formula!$I$9,Model_Formula!$I$5+Model_Formula!$I$6*POWER(AE80,Model_Formula!$I$7)),0)</x:f>
        <x:v>59</x:v>
      </x:c>
      <x:c r="AG80" t="n">
        <x:f>Profiles_140!AJ76</x:f>
        <x:v>0</x:v>
      </x:c>
      <x:c r="AH80" s="60" t="n">
        <x:f>Model_Formula!$I$8*(AE80*100)+(1-Model_Formula!$I$8)*AD80+AG80</x:f>
        <x:v>67.62958242531829</x:v>
      </x:c>
      <x:c r="AI80" t="n">
        <x:f>RANK.EQ(AH80,$AH$6:$AH$135,0)+COUNTIF($AH$6:AH80,AH80)-1</x:f>
        <x:v>95</x:v>
      </x:c>
    </x:row>
    <x:row r="81">
      <x:c r="A81" t="str">
        <x:f>Profiles_140!A77</x:f>
        <x:v>メガリザードンX</x:v>
      </x:c>
      <x:c r="B81" t="str">
        <x:f>Profiles_140!C77</x:f>
        <x:v>メガリザードンX-1</x:v>
      </x:c>
      <x:c r="C81" t="str">
        <x:f>Profiles_140!D77</x:f>
        <x:v>共通</x:v>
      </x:c>
      <x:c r="D81" t="str">
        <x:f>Profiles_140!B77</x:f>
        <x:v>バランス型</x:v>
      </x:c>
      <x:c r="E81" t="str">
        <x:f>Profiles_140!I77</x:f>
        <x:v>中</x:v>
      </x:c>
      <x:c r="F81" s="66" t="n">
        <x:f>Model_Formula!$M$13*(Profiles_140!K77-Simulator!$L$11)^2*IF(Profiles_140!K77&gt;Simulator!$L$11,1+Model_Formula!$N$13,1)</x:f>
        <x:v>900</x:v>
      </x:c>
      <x:c r="G81" s="66" t="n">
        <x:f>Model_Formula!$M$14*(Profiles_140!L77-Simulator!$L$12)^2*IF(Profiles_140!L77&gt;Simulator!$L$12,1+Model_Formula!$N$14,1)</x:f>
        <x:v>2625</x:v>
      </x:c>
      <x:c r="H81" s="66" t="n">
        <x:f>Model_Formula!$M$15*(Profiles_140!M77-Simulator!$L$13)^2*IF(Profiles_140!M77&gt;Simulator!$L$13,1+Model_Formula!$N$15,1)</x:f>
        <x:v>900</x:v>
      </x:c>
      <x:c r="I81" s="66" t="n">
        <x:f>Model_Formula!$M$16*(Profiles_140!N77-Simulator!$L$14)^2*IF(Profiles_140!N77&gt;Simulator!$L$14,1+Model_Formula!$N$16,1)</x:f>
        <x:v>1225</x:v>
      </x:c>
      <x:c r="J81" s="66" t="n">
        <x:f>Model_Formula!$M$17*(Profiles_140!O77-Simulator!$L$15)^2*IF(Profiles_140!O77&gt;Simulator!$L$15,1+Model_Formula!$N$17,1)</x:f>
        <x:v>1600</x:v>
      </x:c>
      <x:c r="K81" s="66" t="n">
        <x:f>Model_Formula!$M$18*(Profiles_140!P77-Simulator!$L$16)^2*IF(Profiles_140!P77&gt;Simulator!$L$16,1+Model_Formula!$N$18,1)</x:f>
        <x:v>22.5</x:v>
      </x:c>
      <x:c r="L81" s="66" t="n">
        <x:f>Model_Formula!$M$19*(Profiles_140!Q77-Simulator!$L$17)^2*IF(Profiles_140!Q77&gt;Simulator!$L$17,1+Model_Formula!$N$19,1)</x:f>
        <x:v>25</x:v>
      </x:c>
      <x:c r="M81" s="66" t="n">
        <x:f>Model_Formula!$M$20*(Profiles_140!R77-Simulator!$L$18)^2*IF(Profiles_140!R77&gt;Simulator!$L$18,1+Model_Formula!$N$20,1)</x:f>
        <x:v>2025</x:v>
      </x:c>
      <x:c r="N81" s="66" t="n">
        <x:f>Model_Formula!$M$21*(Profiles_140!S77-Simulator!$L$19)^2*IF(Profiles_140!S77&gt;Simulator!$L$19,1+Model_Formula!$N$21,1)</x:f>
        <x:v>900</x:v>
      </x:c>
      <x:c r="O81" s="66" t="n">
        <x:f>Model_Formula!$M$22*(Profiles_140!T77-Simulator!$L$20)^2*IF(Profiles_140!T77&gt;Simulator!$L$20,1+Model_Formula!$N$22,1)</x:f>
        <x:v>900</x:v>
      </x:c>
      <x:c r="P81" s="66" t="n">
        <x:f>Model_Formula!$M$23*(Profiles_140!U77-Simulator!$L$21)^2*IF(Profiles_140!U77&gt;Simulator!$L$21,1+Model_Formula!$N$23,1)</x:f>
        <x:v>45</x:v>
      </x:c>
      <x:c r="Q81" s="66" t="n">
        <x:f>Model_Formula!$M$24*(Profiles_140!V77-Simulator!$L$22)^2*IF(Profiles_140!V77&gt;Simulator!$L$22,1+Model_Formula!$N$24,1)</x:f>
        <x:v>40</x:v>
      </x:c>
      <x:c r="R81" s="66" t="n">
        <x:f>Model_Formula!$M$25*(Profiles_140!W77-Simulator!$L$23)^2*IF(Profiles_140!W77&gt;Simulator!$L$23,1+Model_Formula!$N$25,1)</x:f>
        <x:v>11.25</x:v>
      </x:c>
      <x:c r="S81" s="66" t="n">
        <x:f>Model_Formula!$M$26*(Profiles_140!X77-Simulator!$L$24)^2*IF(Profiles_140!X77&gt;Simulator!$L$24,1+Model_Formula!$N$26,1)</x:f>
        <x:v>334.12500000000006</x:v>
      </x:c>
      <x:c r="T81" s="66" t="n">
        <x:f>Model_Formula!$M$27*(Profiles_140!Y77-Simulator!$L$25)^2*IF(Profiles_140!Y77&gt;Simulator!$L$25,1+Model_Formula!$N$27,1)</x:f>
        <x:v>482.99999999999994</x:v>
      </x:c>
      <x:c r="U81" s="60" t="n">
        <x:f>SUM(F81:T81)/SUM($F$4:$T$4)</x:f>
        <x:v>898.1996268656717</x:v>
      </x:c>
      <x:c r="V81" s="60" t="n">
        <x:f>SQRT(U81)</x:f>
        <x:v>29.969978759846857</x:v>
      </x:c>
      <x:c r="W81" s="60" t="n">
        <x:f>MAX(0,100-V81)</x:f>
        <x:v>70.03002124015315</x:v>
      </x:c>
      <x:c r="X81" s="60" t="n">
        <x:f>SUMPRODUCT(Profiles_140!K77:Y77,$F$4:$T$4)/SUM($F$4:$T$4)</x:f>
        <x:v>57.55597014925374</x:v>
      </x:c>
      <x:c r="Y81" s="60" t="n">
        <x:f>IFERROR(50+50*SUMPRODUCT(($F$3:$T$3-$X$3)*(Profiles_140!K77:Y77-X81),$F$4:$T$4)/SQRT(SUMPRODUCT(($F$3:$T$3-$X$3)^2,$F$4:$T$4)*SUMPRODUCT((Profiles_140!K77:Y77-X81)^2,$F$4:$T$4)),50)</x:f>
        <x:v>50.000000000000014</x:v>
      </x:c>
      <x:c r="Z81" s="60" t="n">
        <x:f>$Z$3</x:f>
        <x:v>3.9474596431116675e-16</x:v>
      </x:c>
      <x:c r="AA81" s="60" t="n">
        <x:f>W81*(1-Model_Formula!$F$8*Z81)+Y81*(Model_Formula!$F$8*Z81)</x:f>
        <x:v>70.03002124015315</x:v>
      </x:c>
      <x:c r="AB81" s="60" t="n">
        <x:f>SQRT(SUMPRODUCT((Profiles_140!K77:Y77-50)^2,$F$4:$T$4)/SUM($F$4:$T$4))</x:f>
        <x:v>29.783109006441087</x:v>
      </x:c>
      <x:c r="AC81" s="60" t="n">
        <x:f>MAX(-Model_Formula!$F$11,MIN(Model_Formula!$F$11,Model_Formula!$F$10*(AB81-AVERAGE($AB$6:$AB$135))))</x:f>
        <x:v>0.2907084021145789</x:v>
      </x:c>
      <x:c r="AD81" s="60" t="n">
        <x:f>MAX(0,MIN(100,AA81+AC81))</x:f>
        <x:v>70.32072964226772</x:v>
      </x:c>
      <x:c r="AE81" s="60" t="n">
        <x:f>MAX(0,MIN(1,IFERROR((MATCH(AD81,Percentile_Calibration!$F77:$DB77,1)-1)/100,0)))</x:f>
        <x:v>0.66</x:v>
      </x:c>
      <x:c r="AF81" s="62" t="n">
        <x:f>ROUND(MAX(Model_Formula!$I$9,Model_Formula!$I$5+Model_Formula!$I$6*POWER(AE81,Model_Formula!$I$7)),0)</x:f>
        <x:v>58</x:v>
      </x:c>
      <x:c r="AG81" t="n">
        <x:f>Profiles_140!AJ77</x:f>
        <x:v>0</x:v>
      </x:c>
      <x:c r="AH81" s="60" t="n">
        <x:f>Model_Formula!$I$8*(AE81*100)+(1-Model_Formula!$I$8)*AD81+AG81</x:f>
        <x:v>66.86414592845355</x:v>
      </x:c>
      <x:c r="AI81" t="n">
        <x:f>RANK.EQ(AH81,$AH$6:$AH$135,0)+COUNTIF($AH$6:AH81,AH81)-1</x:f>
        <x:v>103</x:v>
      </x:c>
    </x:row>
    <x:row r="82">
      <x:c r="A82" t="str">
        <x:f>Profiles_140!A78</x:f>
        <x:v>メガリザードンY</x:v>
      </x:c>
      <x:c r="B82" t="str">
        <x:f>Profiles_140!C78</x:f>
        <x:v>メガリザードンY-1</x:v>
      </x:c>
      <x:c r="C82" t="str">
        <x:f>Profiles_140!D78</x:f>
        <x:v>共通</x:v>
      </x:c>
      <x:c r="D82" t="str">
        <x:f>Profiles_140!B78</x:f>
        <x:v>バランス型</x:v>
      </x:c>
      <x:c r="E82" t="str">
        <x:f>Profiles_140!I78</x:f>
        <x:v>中</x:v>
      </x:c>
      <x:c r="F82" s="66" t="n">
        <x:f>Model_Formula!$M$13*(Profiles_140!K78-Simulator!$L$11)^2*IF(Profiles_140!K78&gt;Simulator!$L$11,1+Model_Formula!$N$13,1)</x:f>
        <x:v>100</x:v>
      </x:c>
      <x:c r="G82" s="66" t="n">
        <x:f>Model_Formula!$M$14*(Profiles_140!L78-Simulator!$L$12)^2*IF(Profiles_140!L78&gt;Simulator!$L$12,1+Model_Formula!$N$14,1)</x:f>
        <x:v>420</x:v>
      </x:c>
      <x:c r="H82" s="66" t="n">
        <x:f>Model_Formula!$M$15*(Profiles_140!M78-Simulator!$L$13)^2*IF(Profiles_140!M78&gt;Simulator!$L$13,1+Model_Formula!$N$15,1)</x:f>
        <x:v>900</x:v>
      </x:c>
      <x:c r="I82" s="66" t="n">
        <x:f>Model_Formula!$M$16*(Profiles_140!N78-Simulator!$L$14)^2*IF(Profiles_140!N78&gt;Simulator!$L$14,1+Model_Formula!$N$16,1)</x:f>
        <x:v>25</x:v>
      </x:c>
      <x:c r="J82" s="66" t="n">
        <x:f>Model_Formula!$M$17*(Profiles_140!O78-Simulator!$L$15)^2*IF(Profiles_140!O78&gt;Simulator!$L$15,1+Model_Formula!$N$17,1)</x:f>
        <x:v>225</x:v>
      </x:c>
      <x:c r="K82" s="66" t="n">
        <x:f>Model_Formula!$M$18*(Profiles_140!P78-Simulator!$L$16)^2*IF(Profiles_140!P78&gt;Simulator!$L$16,1+Model_Formula!$N$18,1)</x:f>
        <x:v>202.5</x:v>
      </x:c>
      <x:c r="L82" s="66" t="n">
        <x:f>Model_Formula!$M$19*(Profiles_140!Q78-Simulator!$L$17)^2*IF(Profiles_140!Q78&gt;Simulator!$L$17,1+Model_Formula!$N$19,1)</x:f>
        <x:v>25</x:v>
      </x:c>
      <x:c r="M82" s="66" t="n">
        <x:f>Model_Formula!$M$20*(Profiles_140!R78-Simulator!$L$18)^2*IF(Profiles_140!R78&gt;Simulator!$L$18,1+Model_Formula!$N$20,1)</x:f>
        <x:v>2025</x:v>
      </x:c>
      <x:c r="N82" s="66" t="n">
        <x:f>Model_Formula!$M$21*(Profiles_140!S78-Simulator!$L$19)^2*IF(Profiles_140!S78&gt;Simulator!$L$19,1+Model_Formula!$N$21,1)</x:f>
        <x:v>900</x:v>
      </x:c>
      <x:c r="O82" s="66" t="n">
        <x:f>Model_Formula!$M$22*(Profiles_140!T78-Simulator!$L$20)^2*IF(Profiles_140!T78&gt;Simulator!$L$20,1+Model_Formula!$N$22,1)</x:f>
        <x:v>400</x:v>
      </x:c>
      <x:c r="P82" s="66" t="n">
        <x:f>Model_Formula!$M$23*(Profiles_140!U78-Simulator!$L$21)^2*IF(Profiles_140!U78&gt;Simulator!$L$21,1+Model_Formula!$N$23,1)</x:f>
        <x:v>45</x:v>
      </x:c>
      <x:c r="Q82" s="66" t="n">
        <x:f>Model_Formula!$M$24*(Profiles_140!V78-Simulator!$L$22)^2*IF(Profiles_140!V78&gt;Simulator!$L$22,1+Model_Formula!$N$24,1)</x:f>
        <x:v>40</x:v>
      </x:c>
      <x:c r="R82" s="66" t="n">
        <x:f>Model_Formula!$M$25*(Profiles_140!W78-Simulator!$L$23)^2*IF(Profiles_140!W78&gt;Simulator!$L$23,1+Model_Formula!$N$25,1)</x:f>
        <x:v>45</x:v>
      </x:c>
      <x:c r="S82" s="66" t="n">
        <x:f>Model_Formula!$M$26*(Profiles_140!X78-Simulator!$L$24)^2*IF(Profiles_140!X78&gt;Simulator!$L$24,1+Model_Formula!$N$26,1)</x:f>
        <x:v>334.12500000000006</x:v>
      </x:c>
      <x:c r="T82" s="66" t="n">
        <x:f>Model_Formula!$M$27*(Profiles_140!Y78-Simulator!$L$25)^2*IF(Profiles_140!Y78&gt;Simulator!$L$25,1+Model_Formula!$N$27,1)</x:f>
        <x:v>482.99999999999994</x:v>
      </x:c>
      <x:c r="U82" s="60" t="n">
        <x:f>SUM(F82:T82)/SUM($F$4:$T$4)</x:f>
        <x:v>460.419776119403</x:v>
      </x:c>
      <x:c r="V82" s="60" t="n">
        <x:f>SQRT(U82)</x:f>
        <x:v>21.457394439199813</x:v>
      </x:c>
      <x:c r="W82" s="60" t="n">
        <x:f>MAX(0,100-V82)</x:f>
        <x:v>78.54260556080018</x:v>
      </x:c>
      <x:c r="X82" s="60" t="n">
        <x:f>SUMPRODUCT(Profiles_140!K78:Y78,$F$4:$T$4)/SUM($F$4:$T$4)</x:f>
        <x:v>52.68656716417911</x:v>
      </x:c>
      <x:c r="Y82" s="60" t="n">
        <x:f>IFERROR(50+50*SUMPRODUCT(($F$3:$T$3-$X$3)*(Profiles_140!K78:Y78-X82),$F$4:$T$4)/SQRT(SUMPRODUCT(($F$3:$T$3-$X$3)^2,$F$4:$T$4)*SUMPRODUCT((Profiles_140!K78:Y78-X82)^2,$F$4:$T$4)),50)</x:f>
        <x:v>50.000000000000014</x:v>
      </x:c>
      <x:c r="Z82" s="60" t="n">
        <x:f>$Z$3</x:f>
        <x:v>3.9474596431116675e-16</x:v>
      </x:c>
      <x:c r="AA82" s="60" t="n">
        <x:f>W82*(1-Model_Formula!$F$8*Z82)+Y82*(Model_Formula!$F$8*Z82)</x:f>
        <x:v>78.54260556080018</x:v>
      </x:c>
      <x:c r="AB82" s="60" t="n">
        <x:f>SQRT(SUMPRODUCT((Profiles_140!K78:Y78-50)^2,$F$4:$T$4)/SUM($F$4:$T$4))</x:f>
        <x:v>21.195606416030742</x:v>
      </x:c>
      <x:c r="AC82" s="60" t="n">
        <x:f>MAX(-Model_Formula!$F$11,MIN(Model_Formula!$F$11,Model_Formula!$F$10*(AB82-AVERAGE($AB$6:$AB$135))))</x:f>
        <x:v>-3.5736677635700764</x:v>
      </x:c>
      <x:c r="AD82" s="60" t="n">
        <x:f>MAX(0,MIN(100,AA82+AC82))</x:f>
        <x:v>74.96893779723011</x:v>
      </x:c>
      <x:c r="AE82" s="60" t="n">
        <x:f>MAX(0,MIN(1,IFERROR((MATCH(AD82,Percentile_Calibration!$F78:$DB78,1)-1)/100,0)))</x:f>
        <x:v>0.78</x:v>
      </x:c>
      <x:c r="AF82" s="62" t="n">
        <x:f>ROUND(MAX(Model_Formula!$I$9,Model_Formula!$I$5+Model_Formula!$I$6*POWER(AE82,Model_Formula!$I$7)),0)</x:f>
        <x:v>68</x:v>
      </x:c>
      <x:c r="AG82" t="n">
        <x:f>Profiles_140!AJ78</x:f>
        <x:v>0</x:v>
      </x:c>
      <x:c r="AH82" s="60" t="n">
        <x:f>Model_Formula!$I$8*(AE82*100)+(1-Model_Formula!$I$8)*AD82+AG82</x:f>
        <x:v>77.39378755944603</x:v>
      </x:c>
      <x:c r="AI82" t="n">
        <x:f>RANK.EQ(AH82,$AH$6:$AH$135,0)+COUNTIF($AH$6:AH82,AH82)-1</x:f>
        <x:v>41</x:v>
      </x:c>
    </x:row>
    <x:row r="83">
      <x:c r="A83" t="str">
        <x:f>Profiles_140!A79</x:f>
        <x:v>ルカリオ</x:v>
      </x:c>
      <x:c r="B83" t="str">
        <x:f>Profiles_140!C79</x:f>
        <x:v>ルカリオ-1</x:v>
      </x:c>
      <x:c r="C83" t="str">
        <x:f>Profiles_140!D79</x:f>
        <x:v>しんそく</x:v>
      </x:c>
      <x:c r="D83" t="str">
        <x:f>Profiles_140!B79</x:f>
        <x:v>バランス型</x:v>
      </x:c>
      <x:c r="E83" t="str">
        <x:f>Profiles_140!I79</x:f>
        <x:v>高</x:v>
      </x:c>
      <x:c r="F83" s="66" t="n">
        <x:f>Model_Formula!$M$13*(Profiles_140!K79-Simulator!$L$11)^2*IF(Profiles_140!K79&gt;Simulator!$L$11,1+Model_Formula!$N$13,1)</x:f>
        <x:v>25</x:v>
      </x:c>
      <x:c r="G83" s="66" t="n">
        <x:f>Model_Formula!$M$14*(Profiles_140!L79-Simulator!$L$12)^2*IF(Profiles_140!L79&gt;Simulator!$L$12,1+Model_Formula!$N$14,1)</x:f>
        <x:v>2625</x:v>
      </x:c>
      <x:c r="H83" s="66" t="n">
        <x:f>Model_Formula!$M$15*(Profiles_140!M79-Simulator!$L$13)^2*IF(Profiles_140!M79&gt;Simulator!$L$13,1+Model_Formula!$N$15,1)</x:f>
        <x:v>1225</x:v>
      </x:c>
      <x:c r="I83" s="66" t="n">
        <x:f>Model_Formula!$M$16*(Profiles_140!N79-Simulator!$L$14)^2*IF(Profiles_140!N79&gt;Simulator!$L$14,1+Model_Formula!$N$16,1)</x:f>
        <x:v>100</x:v>
      </x:c>
      <x:c r="J83" s="66" t="n">
        <x:f>Model_Formula!$M$17*(Profiles_140!O79-Simulator!$L$15)^2*IF(Profiles_140!O79&gt;Simulator!$L$15,1+Model_Formula!$N$17,1)</x:f>
        <x:v>1225</x:v>
      </x:c>
      <x:c r="K83" s="66" t="n">
        <x:f>Model_Formula!$M$18*(Profiles_140!P79-Simulator!$L$16)^2*IF(Profiles_140!P79&gt;Simulator!$L$16,1+Model_Formula!$N$18,1)</x:f>
        <x:v>90</x:v>
      </x:c>
      <x:c r="L83" s="66" t="n">
        <x:f>Model_Formula!$M$19*(Profiles_140!Q79-Simulator!$L$17)^2*IF(Profiles_140!Q79&gt;Simulator!$L$17,1+Model_Formula!$N$19,1)</x:f>
        <x:v>625</x:v>
      </x:c>
      <x:c r="M83" s="66" t="n">
        <x:f>Model_Formula!$M$20*(Profiles_140!R79-Simulator!$L$18)^2*IF(Profiles_140!R79&gt;Simulator!$L$18,1+Model_Formula!$N$20,1)</x:f>
        <x:v>2025</x:v>
      </x:c>
      <x:c r="N83" s="66" t="n">
        <x:f>Model_Formula!$M$21*(Profiles_140!S79-Simulator!$L$19)^2*IF(Profiles_140!S79&gt;Simulator!$L$19,1+Model_Formula!$N$21,1)</x:f>
        <x:v>2500</x:v>
      </x:c>
      <x:c r="O83" s="66" t="n">
        <x:f>Model_Formula!$M$22*(Profiles_140!T79-Simulator!$L$20)^2*IF(Profiles_140!T79&gt;Simulator!$L$20,1+Model_Formula!$N$22,1)</x:f>
        <x:v>400</x:v>
      </x:c>
      <x:c r="P83" s="66" t="n">
        <x:f>Model_Formula!$M$23*(Profiles_140!U79-Simulator!$L$21)^2*IF(Profiles_140!U79&gt;Simulator!$L$21,1+Model_Formula!$N$23,1)</x:f>
        <x:v>101.25</x:v>
      </x:c>
      <x:c r="Q83" s="66" t="n">
        <x:f>Model_Formula!$M$24*(Profiles_140!V79-Simulator!$L$22)^2*IF(Profiles_140!V79&gt;Simulator!$L$22,1+Model_Formula!$N$24,1)</x:f>
        <x:v>160</x:v>
      </x:c>
      <x:c r="R83" s="66" t="n">
        <x:f>Model_Formula!$M$25*(Profiles_140!W79-Simulator!$L$23)^2*IF(Profiles_140!W79&gt;Simulator!$L$23,1+Model_Formula!$N$25,1)</x:f>
        <x:v>281.25</x:v>
      </x:c>
      <x:c r="S83" s="66" t="n">
        <x:f>Model_Formula!$M$26*(Profiles_140!X79-Simulator!$L$24)^2*IF(Profiles_140!X79&gt;Simulator!$L$24,1+Model_Formula!$N$26,1)</x:f>
        <x:v>3712.5000000000005</x:v>
      </x:c>
      <x:c r="T83" s="66" t="n">
        <x:f>Model_Formula!$M$27*(Profiles_140!Y79-Simulator!$L$25)^2*IF(Profiles_140!Y79&gt;Simulator!$L$25,1+Model_Formula!$N$27,1)</x:f>
        <x:v>120.74999999999999</x:v>
      </x:c>
      <x:c r="U83" s="60" t="n">
        <x:f>SUM(F83:T83)/SUM($F$4:$T$4)</x:f>
        <x:v>1135.5037313432838</x:v>
      </x:c>
      <x:c r="V83" s="60" t="n">
        <x:f>SQRT(U83)</x:f>
        <x:v>33.69723625675085</x:v>
      </x:c>
      <x:c r="W83" s="60" t="n">
        <x:f>MAX(0,100-V83)</x:f>
        <x:v>66.30276374324916</x:v>
      </x:c>
      <x:c r="X83" s="60" t="n">
        <x:f>SUMPRODUCT(Profiles_140!K79:Y79,$F$4:$T$4)/SUM($F$4:$T$4)</x:f>
        <x:v>54.477611940298516</x:v>
      </x:c>
      <x:c r="Y83" s="60" t="n">
        <x:f>IFERROR(50+50*SUMPRODUCT(($F$3:$T$3-$X$3)*(Profiles_140!K79:Y79-X83),$F$4:$T$4)/SQRT(SUMPRODUCT(($F$3:$T$3-$X$3)^2,$F$4:$T$4)*SUMPRODUCT((Profiles_140!K79:Y79-X83)^2,$F$4:$T$4)),50)</x:f>
        <x:v>50.000000000000014</x:v>
      </x:c>
      <x:c r="Z83" s="60" t="n">
        <x:f>$Z$3</x:f>
        <x:v>3.9474596431116675e-16</x:v>
      </x:c>
      <x:c r="AA83" s="60" t="n">
        <x:f>W83*(1-Model_Formula!$F$8*Z83)+Y83*(Model_Formula!$F$8*Z83)</x:f>
        <x:v>66.30276374324916</x:v>
      </x:c>
      <x:c r="AB83" s="60" t="n">
        <x:f>SQRT(SUMPRODUCT((Profiles_140!K79:Y79-50)^2,$F$4:$T$4)/SUM($F$4:$T$4))</x:f>
        <x:v>32.59601202601324</x:v>
      </x:c>
      <x:c r="AC83" s="60" t="n">
        <x:f>MAX(-Model_Formula!$F$11,MIN(Model_Formula!$F$11,Model_Formula!$F$10*(AB83-AVERAGE($AB$6:$AB$135))))</x:f>
        <x:v>1.5565147609220482</x:v>
      </x:c>
      <x:c r="AD83" s="60" t="n">
        <x:f>MAX(0,MIN(100,AA83+AC83))</x:f>
        <x:v>67.8592785041712</x:v>
      </x:c>
      <x:c r="AE83" s="60" t="n">
        <x:f>MAX(0,MIN(1,IFERROR((MATCH(AD83,Percentile_Calibration!$F79:$DB79,1)-1)/100,0)))</x:f>
        <x:v>0.64</x:v>
      </x:c>
      <x:c r="AF83" s="62" t="n">
        <x:f>ROUND(MAX(Model_Formula!$I$9,Model_Formula!$I$5+Model_Formula!$I$6*POWER(AE83,Model_Formula!$I$7)),0)</x:f>
        <x:v>56</x:v>
      </x:c>
      <x:c r="AG83" t="n">
        <x:f>Profiles_140!AJ79</x:f>
        <x:v>0</x:v>
      </x:c>
      <x:c r="AH83" s="60" t="n">
        <x:f>Model_Formula!$I$8*(AE83*100)+(1-Model_Formula!$I$8)*AD83+AG83</x:f>
        <x:v>64.77185570083424</x:v>
      </x:c>
      <x:c r="AI83" t="n">
        <x:f>RANK.EQ(AH83,$AH$6:$AH$135,0)+COUNTIF($AH$6:AH83,AH83)-1</x:f>
        <x:v>119</x:v>
      </x:c>
    </x:row>
    <x:row r="84">
      <x:c r="A84" t="str">
        <x:f>Profiles_140!A80</x:f>
        <x:v>ルカリオ</x:v>
      </x:c>
      <x:c r="B84" t="str">
        <x:f>Profiles_140!C80</x:f>
        <x:v>ルカリオ-2</x:v>
      </x:c>
      <x:c r="C84" t="str">
        <x:f>Profiles_140!D80</x:f>
        <x:v>グロウパンチ</x:v>
      </x:c>
      <x:c r="D84" t="str">
        <x:f>Profiles_140!B80</x:f>
        <x:v>バランス型</x:v>
      </x:c>
      <x:c r="E84" t="str">
        <x:f>Profiles_140!I80</x:f>
        <x:v>高</x:v>
      </x:c>
      <x:c r="F84" s="66" t="n">
        <x:f>Model_Formula!$M$13*(Profiles_140!K80-Simulator!$L$11)^2*IF(Profiles_140!K80&gt;Simulator!$L$11,1+Model_Formula!$N$13,1)</x:f>
        <x:v>400</x:v>
      </x:c>
      <x:c r="G84" s="66" t="n">
        <x:f>Model_Formula!$M$14*(Profiles_140!L80-Simulator!$L$12)^2*IF(Profiles_140!L80&gt;Simulator!$L$12,1+Model_Formula!$N$14,1)</x:f>
        <x:v>1680</x:v>
      </x:c>
      <x:c r="H84" s="66" t="n">
        <x:f>Model_Formula!$M$15*(Profiles_140!M80-Simulator!$L$13)^2*IF(Profiles_140!M80&gt;Simulator!$L$13,1+Model_Formula!$N$15,1)</x:f>
        <x:v>900</x:v>
      </x:c>
      <x:c r="I84" s="66" t="n">
        <x:f>Model_Formula!$M$16*(Profiles_140!N80-Simulator!$L$14)^2*IF(Profiles_140!N80&gt;Simulator!$L$14,1+Model_Formula!$N$16,1)</x:f>
        <x:v>225</x:v>
      </x:c>
      <x:c r="J84" s="66" t="n">
        <x:f>Model_Formula!$M$17*(Profiles_140!O80-Simulator!$L$15)^2*IF(Profiles_140!O80&gt;Simulator!$L$15,1+Model_Formula!$N$17,1)</x:f>
        <x:v>1600</x:v>
      </x:c>
      <x:c r="K84" s="66" t="n">
        <x:f>Model_Formula!$M$18*(Profiles_140!P80-Simulator!$L$16)^2*IF(Profiles_140!P80&gt;Simulator!$L$16,1+Model_Formula!$N$18,1)</x:f>
        <x:v>22.5</x:v>
      </x:c>
      <x:c r="L84" s="66" t="n">
        <x:f>Model_Formula!$M$19*(Profiles_140!Q80-Simulator!$L$17)^2*IF(Profiles_140!Q80&gt;Simulator!$L$17,1+Model_Formula!$N$19,1)</x:f>
        <x:v>225</x:v>
      </x:c>
      <x:c r="M84" s="66" t="n">
        <x:f>Model_Formula!$M$20*(Profiles_140!R80-Simulator!$L$18)^2*IF(Profiles_140!R80&gt;Simulator!$L$18,1+Model_Formula!$N$20,1)</x:f>
        <x:v>2025</x:v>
      </x:c>
      <x:c r="N84" s="66" t="n">
        <x:f>Model_Formula!$M$21*(Profiles_140!S80-Simulator!$L$19)^2*IF(Profiles_140!S80&gt;Simulator!$L$19,1+Model_Formula!$N$21,1)</x:f>
        <x:v>900</x:v>
      </x:c>
      <x:c r="O84" s="66" t="n">
        <x:f>Model_Formula!$M$22*(Profiles_140!T80-Simulator!$L$20)^2*IF(Profiles_140!T80&gt;Simulator!$L$20,1+Model_Formula!$N$22,1)</x:f>
        <x:v>900</x:v>
      </x:c>
      <x:c r="P84" s="66" t="n">
        <x:f>Model_Formula!$M$23*(Profiles_140!U80-Simulator!$L$21)^2*IF(Profiles_140!U80&gt;Simulator!$L$21,1+Model_Formula!$N$23,1)</x:f>
        <x:v>45</x:v>
      </x:c>
      <x:c r="Q84" s="66" t="n">
        <x:f>Model_Formula!$M$24*(Profiles_140!V80-Simulator!$L$22)^2*IF(Profiles_140!V80&gt;Simulator!$L$22,1+Model_Formula!$N$24,1)</x:f>
        <x:v>360</x:v>
      </x:c>
      <x:c r="R84" s="66" t="n">
        <x:f>Model_Formula!$M$25*(Profiles_140!W80-Simulator!$L$23)^2*IF(Profiles_140!W80&gt;Simulator!$L$23,1+Model_Formula!$N$25,1)</x:f>
        <x:v>11.25</x:v>
      </x:c>
      <x:c r="S84" s="66" t="n">
        <x:f>Model_Formula!$M$26*(Profiles_140!X80-Simulator!$L$24)^2*IF(Profiles_140!X80&gt;Simulator!$L$24,1+Model_Formula!$N$26,1)</x:f>
        <x:v>334.12500000000006</x:v>
      </x:c>
      <x:c r="T84" s="66" t="n">
        <x:f>Model_Formula!$M$27*(Profiles_140!Y80-Simulator!$L$25)^2*IF(Profiles_140!Y80&gt;Simulator!$L$25,1+Model_Formula!$N$27,1)</x:f>
        <x:v>482.99999999999994</x:v>
      </x:c>
      <x:c r="U84" s="60" t="n">
        <x:f>SUM(F84:T84)/SUM($F$4:$T$4)</x:f>
        <x:v>754.5429104477613</x:v>
      </x:c>
      <x:c r="V84" s="60" t="n">
        <x:f>SQRT(U84)</x:f>
        <x:v>27.468944472763443</x:v>
      </x:c>
      <x:c r="W84" s="60" t="n">
        <x:f>MAX(0,100-V84)</x:f>
        <x:v>72.53105552723656</x:v>
      </x:c>
      <x:c r="X84" s="60" t="n">
        <x:f>SUMPRODUCT(Profiles_140!K80:Y80,$F$4:$T$4)/SUM($F$4:$T$4)</x:f>
        <x:v>55.05597014925374</x:v>
      </x:c>
      <x:c r="Y84" s="60" t="n">
        <x:f>IFERROR(50+50*SUMPRODUCT(($F$3:$T$3-$X$3)*(Profiles_140!K80:Y80-X84),$F$4:$T$4)/SQRT(SUMPRODUCT(($F$3:$T$3-$X$3)^2,$F$4:$T$4)*SUMPRODUCT((Profiles_140!K80:Y80-X84)^2,$F$4:$T$4)),50)</x:f>
        <x:v>50.000000000000014</x:v>
      </x:c>
      <x:c r="Z84" s="60" t="n">
        <x:f>$Z$3</x:f>
        <x:v>3.9474596431116675e-16</x:v>
      </x:c>
      <x:c r="AA84" s="60" t="n">
        <x:f>W84*(1-Model_Formula!$F$8*Z84)+Y84*(Model_Formula!$F$8*Z84)</x:f>
        <x:v>72.53105552723656</x:v>
      </x:c>
      <x:c r="AB84" s="60" t="n">
        <x:f>SQRT(SUMPRODUCT((Profiles_140!K80:Y80-50)^2,$F$4:$T$4)/SUM($F$4:$T$4))</x:f>
        <x:v>27.264938394789045</x:v>
      </x:c>
      <x:c r="AC84" s="60" t="n">
        <x:f>MAX(-Model_Formula!$F$11,MIN(Model_Formula!$F$11,Model_Formula!$F$10*(AB84-AVERAGE($AB$6:$AB$135))))</x:f>
        <x:v>-0.8424683731288403</x:v>
      </x:c>
      <x:c r="AD84" s="60" t="n">
        <x:f>MAX(0,MIN(100,AA84+AC84))</x:f>
        <x:v>71.68858715410772</x:v>
      </x:c>
      <x:c r="AE84" s="60" t="n">
        <x:f>MAX(0,MIN(1,IFERROR((MATCH(AD84,Percentile_Calibration!$F80:$DB80,1)-1)/100,0)))</x:f>
        <x:v>0.68</x:v>
      </x:c>
      <x:c r="AF84" s="62" t="n">
        <x:f>ROUND(MAX(Model_Formula!$I$9,Model_Formula!$I$5+Model_Formula!$I$6*POWER(AE84,Model_Formula!$I$7)),0)</x:f>
        <x:v>59</x:v>
      </x:c>
      <x:c r="AG84" t="n">
        <x:f>Profiles_140!AJ80</x:f>
        <x:v>0</x:v>
      </x:c>
      <x:c r="AH84" s="60" t="n">
        <x:f>Model_Formula!$I$8*(AE84*100)+(1-Model_Formula!$I$8)*AD84+AG84</x:f>
        <x:v>68.73771743082155</x:v>
      </x:c>
      <x:c r="AI84" t="n">
        <x:f>RANK.EQ(AH84,$AH$6:$AH$135,0)+COUNTIF($AH$6:AH84,AH84)-1</x:f>
        <x:v>86</x:v>
      </x:c>
    </x:row>
    <x:row r="85">
      <x:c r="A85" t="str">
        <x:f>Profiles_140!A81</x:f>
        <x:v>メガルカリオ</x:v>
      </x:c>
      <x:c r="B85" t="str">
        <x:f>Profiles_140!C81</x:f>
        <x:v>メガルカリオ-1</x:v>
      </x:c>
      <x:c r="C85" t="str">
        <x:f>Profiles_140!D81</x:f>
        <x:v>共通</x:v>
      </x:c>
      <x:c r="D85" t="str">
        <x:f>Profiles_140!B81</x:f>
        <x:v>バランス型</x:v>
      </x:c>
      <x:c r="E85" t="str">
        <x:f>Profiles_140!I81</x:f>
        <x:v>中</x:v>
      </x:c>
      <x:c r="F85" s="66" t="n">
        <x:f>Model_Formula!$M$13*(Profiles_140!K81-Simulator!$L$11)^2*IF(Profiles_140!K81&gt;Simulator!$L$11,1+Model_Formula!$N$13,1)</x:f>
        <x:v>900</x:v>
      </x:c>
      <x:c r="G85" s="66" t="n">
        <x:f>Model_Formula!$M$14*(Profiles_140!L81-Simulator!$L$12)^2*IF(Profiles_140!L81&gt;Simulator!$L$12,1+Model_Formula!$N$14,1)</x:f>
        <x:v>2625</x:v>
      </x:c>
      <x:c r="H85" s="66" t="n">
        <x:f>Model_Formula!$M$15*(Profiles_140!M81-Simulator!$L$13)^2*IF(Profiles_140!M81&gt;Simulator!$L$13,1+Model_Formula!$N$15,1)</x:f>
        <x:v>900</x:v>
      </x:c>
      <x:c r="I85" s="66" t="n">
        <x:f>Model_Formula!$M$16*(Profiles_140!N81-Simulator!$L$14)^2*IF(Profiles_140!N81&gt;Simulator!$L$14,1+Model_Formula!$N$16,1)</x:f>
        <x:v>900</x:v>
      </x:c>
      <x:c r="J85" s="66" t="n">
        <x:f>Model_Formula!$M$17*(Profiles_140!O81-Simulator!$L$15)^2*IF(Profiles_140!O81&gt;Simulator!$L$15,1+Model_Formula!$N$17,1)</x:f>
        <x:v>1600</x:v>
      </x:c>
      <x:c r="K85" s="66" t="n">
        <x:f>Model_Formula!$M$18*(Profiles_140!P81-Simulator!$L$16)^2*IF(Profiles_140!P81&gt;Simulator!$L$16,1+Model_Formula!$N$18,1)</x:f>
        <x:v>202.5</x:v>
      </x:c>
      <x:c r="L85" s="66" t="n">
        <x:f>Model_Formula!$M$19*(Profiles_140!Q81-Simulator!$L$17)^2*IF(Profiles_140!Q81&gt;Simulator!$L$17,1+Model_Formula!$N$19,1)</x:f>
        <x:v>25</x:v>
      </x:c>
      <x:c r="M85" s="66" t="n">
        <x:f>Model_Formula!$M$20*(Profiles_140!R81-Simulator!$L$18)^2*IF(Profiles_140!R81&gt;Simulator!$L$18,1+Model_Formula!$N$20,1)</x:f>
        <x:v>2025</x:v>
      </x:c>
      <x:c r="N85" s="66" t="n">
        <x:f>Model_Formula!$M$21*(Profiles_140!S81-Simulator!$L$19)^2*IF(Profiles_140!S81&gt;Simulator!$L$19,1+Model_Formula!$N$21,1)</x:f>
        <x:v>1600</x:v>
      </x:c>
      <x:c r="O85" s="66" t="n">
        <x:f>Model_Formula!$M$22*(Profiles_140!T81-Simulator!$L$20)^2*IF(Profiles_140!T81&gt;Simulator!$L$20,1+Model_Formula!$N$22,1)</x:f>
        <x:v>400</x:v>
      </x:c>
      <x:c r="P85" s="66" t="n">
        <x:f>Model_Formula!$M$23*(Profiles_140!U81-Simulator!$L$21)^2*IF(Profiles_140!U81&gt;Simulator!$L$21,1+Model_Formula!$N$23,1)</x:f>
        <x:v>45</x:v>
      </x:c>
      <x:c r="Q85" s="66" t="n">
        <x:f>Model_Formula!$M$24*(Profiles_140!V81-Simulator!$L$22)^2*IF(Profiles_140!V81&gt;Simulator!$L$22,1+Model_Formula!$N$24,1)</x:f>
        <x:v>40</x:v>
      </x:c>
      <x:c r="R85" s="66" t="n">
        <x:f>Model_Formula!$M$25*(Profiles_140!W81-Simulator!$L$23)^2*IF(Profiles_140!W81&gt;Simulator!$L$23,1+Model_Formula!$N$25,1)</x:f>
        <x:v>11.25</x:v>
      </x:c>
      <x:c r="S85" s="66" t="n">
        <x:f>Model_Formula!$M$26*(Profiles_140!X81-Simulator!$L$24)^2*IF(Profiles_140!X81&gt;Simulator!$L$24,1+Model_Formula!$N$26,1)</x:f>
        <x:v>1819.1250000000002</x:v>
      </x:c>
      <x:c r="T85" s="66" t="n">
        <x:f>Model_Formula!$M$27*(Profiles_140!Y81-Simulator!$L$25)^2*IF(Profiles_140!Y81&gt;Simulator!$L$25,1+Model_Formula!$N$27,1)</x:f>
        <x:v>754.6874999999999</x:v>
      </x:c>
      <x:c r="U85" s="60" t="n">
        <x:f>SUM(F85:T85)/SUM($F$4:$T$4)</x:f>
        <x:v>1033.4001865671644</x:v>
      </x:c>
      <x:c r="V85" s="60" t="n">
        <x:f>SQRT(U85)</x:f>
        <x:v>32.14654237343675</x:v>
      </x:c>
      <x:c r="W85" s="60" t="n">
        <x:f>MAX(0,100-V85)</x:f>
        <x:v>67.85345762656326</x:v>
      </x:c>
      <x:c r="X85" s="60" t="n">
        <x:f>SUMPRODUCT(Profiles_140!K81:Y81,$F$4:$T$4)/SUM($F$4:$T$4)</x:f>
        <x:v>58.54477611940299</x:v>
      </x:c>
      <x:c r="Y85" s="60" t="n">
        <x:f>IFERROR(50+50*SUMPRODUCT(($F$3:$T$3-$X$3)*(Profiles_140!K81:Y81-X85),$F$4:$T$4)/SQRT(SUMPRODUCT(($F$3:$T$3-$X$3)^2,$F$4:$T$4)*SUMPRODUCT((Profiles_140!K81:Y81-X85)^2,$F$4:$T$4)),50)</x:f>
        <x:v>50.00000000000001</x:v>
      </x:c>
      <x:c r="Z85" s="60" t="n">
        <x:f>$Z$3</x:f>
        <x:v>3.9474596431116675e-16</x:v>
      </x:c>
      <x:c r="AA85" s="60" t="n">
        <x:f>W85*(1-Model_Formula!$F$8*Z85)+Y85*(Model_Formula!$F$8*Z85)</x:f>
        <x:v>67.85345762656326</x:v>
      </x:c>
      <x:c r="AB85" s="60" t="n">
        <x:f>SQRT(SUMPRODUCT((Profiles_140!K81:Y81-50)^2,$F$4:$T$4)/SUM($F$4:$T$4))</x:f>
        <x:v>31.477900326343622</x:v>
      </x:c>
      <x:c r="AC85" s="60" t="n">
        <x:f>MAX(-Model_Formula!$F$11,MIN(Model_Formula!$F$11,Model_Formula!$F$10*(AB85-AVERAGE($AB$6:$AB$135))))</x:f>
        <x:v>1.0533644960707196</x:v>
      </x:c>
      <x:c r="AD85" s="60" t="n">
        <x:f>MAX(0,MIN(100,AA85+AC85))</x:f>
        <x:v>68.90682212263397</x:v>
      </x:c>
      <x:c r="AE85" s="60" t="n">
        <x:f>MAX(0,MIN(1,IFERROR((MATCH(AD85,Percentile_Calibration!$F81:$DB81,1)-1)/100,0)))</x:f>
        <x:v>0.64</x:v>
      </x:c>
      <x:c r="AF85" s="62" t="n">
        <x:f>ROUND(MAX(Model_Formula!$I$9,Model_Formula!$I$5+Model_Formula!$I$6*POWER(AE85,Model_Formula!$I$7)),0)</x:f>
        <x:v>56</x:v>
      </x:c>
      <x:c r="AG85" t="n">
        <x:f>Profiles_140!AJ81</x:f>
        <x:v>0</x:v>
      </x:c>
      <x:c r="AH85" s="60" t="n">
        <x:f>Model_Formula!$I$8*(AE85*100)+(1-Model_Formula!$I$8)*AD85+AG85</x:f>
        <x:v>64.98136442452679</x:v>
      </x:c>
      <x:c r="AI85" t="n">
        <x:f>RANK.EQ(AH85,$AH$6:$AH$135,0)+COUNTIF($AH$6:AH85,AH85)-1</x:f>
        <x:v>116</x:v>
      </x:c>
    </x:row>
    <x:row r="86">
      <x:c r="A86" t="str">
        <x:f>Profiles_140!A82</x:f>
        <x:v>アブソル</x:v>
      </x:c>
      <x:c r="B86" t="str">
        <x:f>Profiles_140!C82</x:f>
        <x:v>アブソル-1</x:v>
      </x:c>
      <x:c r="C86" t="str">
        <x:f>Profiles_140!D82</x:f>
        <x:v>共通</x:v>
      </x:c>
      <x:c r="D86" t="str">
        <x:f>Profiles_140!B82</x:f>
        <x:v>スピード型</x:v>
      </x:c>
      <x:c r="E86" t="str">
        <x:f>Profiles_140!I82</x:f>
        <x:v>高</x:v>
      </x:c>
      <x:c r="F86" s="66" t="n">
        <x:f>Model_Formula!$M$13*(Profiles_140!K82-Simulator!$L$11)^2*IF(Profiles_140!K82&gt;Simulator!$L$11,1+Model_Formula!$N$13,1)</x:f>
        <x:v>25</x:v>
      </x:c>
      <x:c r="G86" s="66" t="n">
        <x:f>Model_Formula!$M$14*(Profiles_140!L82-Simulator!$L$12)^2*IF(Profiles_140!L82&gt;Simulator!$L$12,1+Model_Formula!$N$14,1)</x:f>
        <x:v>2625</x:v>
      </x:c>
      <x:c r="H86" s="66" t="n">
        <x:f>Model_Formula!$M$15*(Profiles_140!M82-Simulator!$L$13)^2*IF(Profiles_140!M82&gt;Simulator!$L$13,1+Model_Formula!$N$15,1)</x:f>
        <x:v>2500</x:v>
      </x:c>
      <x:c r="I86" s="66" t="n">
        <x:f>Model_Formula!$M$16*(Profiles_140!N82-Simulator!$L$14)^2*IF(Profiles_140!N82&gt;Simulator!$L$14,1+Model_Formula!$N$16,1)</x:f>
        <x:v>2500</x:v>
      </x:c>
      <x:c r="J86" s="66" t="n">
        <x:f>Model_Formula!$M$17*(Profiles_140!O82-Simulator!$L$15)^2*IF(Profiles_140!O82&gt;Simulator!$L$15,1+Model_Formula!$N$17,1)</x:f>
        <x:v>1225</x:v>
      </x:c>
      <x:c r="K86" s="66" t="n">
        <x:f>Model_Formula!$M$18*(Profiles_140!P82-Simulator!$L$16)^2*IF(Profiles_140!P82&gt;Simulator!$L$16,1+Model_Formula!$N$18,1)</x:f>
        <x:v>2250</x:v>
      </x:c>
      <x:c r="L86" s="66" t="n">
        <x:f>Model_Formula!$M$19*(Profiles_140!Q82-Simulator!$L$17)^2*IF(Profiles_140!Q82&gt;Simulator!$L$17,1+Model_Formula!$N$19,1)</x:f>
        <x:v>625</x:v>
      </x:c>
      <x:c r="M86" s="66" t="n">
        <x:f>Model_Formula!$M$20*(Profiles_140!R82-Simulator!$L$18)^2*IF(Profiles_140!R82&gt;Simulator!$L$18,1+Model_Formula!$N$20,1)</x:f>
        <x:v>2025</x:v>
      </x:c>
      <x:c r="N86" s="66" t="n">
        <x:f>Model_Formula!$M$21*(Profiles_140!S82-Simulator!$L$19)^2*IF(Profiles_140!S82&gt;Simulator!$L$19,1+Model_Formula!$N$21,1)</x:f>
        <x:v>2500</x:v>
      </x:c>
      <x:c r="O86" s="66" t="n">
        <x:f>Model_Formula!$M$22*(Profiles_140!T82-Simulator!$L$20)^2*IF(Profiles_140!T82&gt;Simulator!$L$20,1+Model_Formula!$N$22,1)</x:f>
        <x:v>100</x:v>
      </x:c>
      <x:c r="P86" s="66" t="n">
        <x:f>Model_Formula!$M$23*(Profiles_140!U82-Simulator!$L$21)^2*IF(Profiles_140!U82&gt;Simulator!$L$21,1+Model_Formula!$N$23,1)</x:f>
        <x:v>45</x:v>
      </x:c>
      <x:c r="Q86" s="66" t="n">
        <x:f>Model_Formula!$M$24*(Profiles_140!V82-Simulator!$L$22)^2*IF(Profiles_140!V82&gt;Simulator!$L$22,1+Model_Formula!$N$24,1)</x:f>
        <x:v>360</x:v>
      </x:c>
      <x:c r="R86" s="66" t="n">
        <x:f>Model_Formula!$M$25*(Profiles_140!W82-Simulator!$L$23)^2*IF(Profiles_140!W82&gt;Simulator!$L$23,1+Model_Formula!$N$25,1)</x:f>
        <x:v>551.25</x:v>
      </x:c>
      <x:c r="S86" s="66" t="n">
        <x:f>Model_Formula!$M$26*(Profiles_140!X82-Simulator!$L$24)^2*IF(Profiles_140!X82&gt;Simulator!$L$24,1+Model_Formula!$N$26,1)</x:f>
        <x:v>2376.0000000000005</x:v>
      </x:c>
      <x:c r="T86" s="66" t="n">
        <x:f>Model_Formula!$M$27*(Profiles_140!Y82-Simulator!$L$25)^2*IF(Profiles_140!Y82&gt;Simulator!$L$25,1+Model_Formula!$N$27,1)</x:f>
        <x:v>1479.1874999999998</x:v>
      </x:c>
      <x:c r="U86" s="60" t="n">
        <x:f>SUM(F86:T86)/SUM($F$4:$T$4)</x:f>
        <x:v>1581.0774253731345</x:v>
      </x:c>
      <x:c r="V86" s="60" t="n">
        <x:f>SQRT(U86)</x:f>
        <x:v>39.76276430749168</x:v>
      </x:c>
      <x:c r="W86" s="60" t="n">
        <x:f>MAX(0,100-V86)</x:f>
        <x:v>60.23723569250832</x:v>
      </x:c>
      <x:c r="X86" s="60" t="n">
        <x:f>SUMPRODUCT(Profiles_140!K82:Y82,$F$4:$T$4)/SUM($F$4:$T$4)</x:f>
        <x:v>47.87313432835821</x:v>
      </x:c>
      <x:c r="Y86" s="60" t="n">
        <x:f>IFERROR(50+50*SUMPRODUCT(($F$3:$T$3-$X$3)*(Profiles_140!K82:Y82-X86),$F$4:$T$4)/SQRT(SUMPRODUCT(($F$3:$T$3-$X$3)^2,$F$4:$T$4)*SUMPRODUCT((Profiles_140!K82:Y82-X86)^2,$F$4:$T$4)),50)</x:f>
        <x:v>50</x:v>
      </x:c>
      <x:c r="Z86" s="60" t="n">
        <x:f>$Z$3</x:f>
        <x:v>3.9474596431116675e-16</x:v>
      </x:c>
      <x:c r="AA86" s="60" t="n">
        <x:f>W86*(1-Model_Formula!$F$8*Z86)+Y86*(Model_Formula!$F$8*Z86)</x:f>
        <x:v>60.23723569250832</x:v>
      </x:c>
      <x:c r="AB86" s="60" t="n">
        <x:f>SQRT(SUMPRODUCT((Profiles_140!K82:Y82-50)^2,$F$4:$T$4)/SUM($F$4:$T$4))</x:f>
        <x:v>38.996268478200335</x:v>
      </x:c>
      <x:c r="AC86" s="60" t="n">
        <x:f>MAX(-Model_Formula!$F$11,MIN(Model_Formula!$F$11,Model_Formula!$F$10*(AB86-AVERAGE($AB$6:$AB$135))))</x:f>
        <x:v>4.436630164406241</x:v>
      </x:c>
      <x:c r="AD86" s="60" t="n">
        <x:f>MAX(0,MIN(100,AA86+AC86))</x:f>
        <x:v>64.67386585691456</x:v>
      </x:c>
      <x:c r="AE86" s="60" t="n">
        <x:f>MAX(0,MIN(1,IFERROR((MATCH(AD86,Percentile_Calibration!$F82:$DB82,1)-1)/100,0)))</x:f>
        <x:v>0.61</x:v>
      </x:c>
      <x:c r="AF86" s="62" t="n">
        <x:f>ROUND(MAX(Model_Formula!$I$9,Model_Formula!$I$5+Model_Formula!$I$6*POWER(AE86,Model_Formula!$I$7)),0)</x:f>
        <x:v>55</x:v>
      </x:c>
      <x:c r="AG86" t="n">
        <x:f>Profiles_140!AJ82</x:f>
        <x:v>0.3</x:v>
      </x:c>
      <x:c r="AH86" s="60" t="n">
        <x:f>Model_Formula!$I$8*(AE86*100)+(1-Model_Formula!$I$8)*AD86+AG86</x:f>
        <x:v>62.03477317138291</x:v>
      </x:c>
      <x:c r="AI86" t="n">
        <x:f>RANK.EQ(AH86,$AH$6:$AH$135,0)+COUNTIF($AH$6:AH86,AH86)-1</x:f>
        <x:v>127</x:v>
      </x:c>
    </x:row>
    <x:row r="87">
      <x:c r="A87" t="str">
        <x:f>Profiles_140!A83</x:f>
        <x:v>ガラルギャロップ</x:v>
      </x:c>
      <x:c r="B87" t="str">
        <x:f>Profiles_140!C83</x:f>
        <x:v>ガラルギャロップ-1</x:v>
      </x:c>
      <x:c r="C87" t="str">
        <x:f>Profiles_140!D83</x:f>
        <x:v>共通</x:v>
      </x:c>
      <x:c r="D87" t="str">
        <x:f>Profiles_140!B83</x:f>
        <x:v>スピード型</x:v>
      </x:c>
      <x:c r="E87" t="str">
        <x:f>Profiles_140!I83</x:f>
        <x:v>高</x:v>
      </x:c>
      <x:c r="F87" s="66" t="n">
        <x:f>Model_Formula!$M$13*(Profiles_140!K83-Simulator!$L$11)^2*IF(Profiles_140!K83&gt;Simulator!$L$11,1+Model_Formula!$N$13,1)</x:f>
        <x:v>900</x:v>
      </x:c>
      <x:c r="G87" s="66" t="n">
        <x:f>Model_Formula!$M$14*(Profiles_140!L83-Simulator!$L$12)^2*IF(Profiles_140!L83&gt;Simulator!$L$12,1+Model_Formula!$N$14,1)</x:f>
        <x:v>2625</x:v>
      </x:c>
      <x:c r="H87" s="66" t="n">
        <x:f>Model_Formula!$M$15*(Profiles_140!M83-Simulator!$L$13)^2*IF(Profiles_140!M83&gt;Simulator!$L$13,1+Model_Formula!$N$15,1)</x:f>
        <x:v>900</x:v>
      </x:c>
      <x:c r="I87" s="66" t="n">
        <x:f>Model_Formula!$M$16*(Profiles_140!N83-Simulator!$L$14)^2*IF(Profiles_140!N83&gt;Simulator!$L$14,1+Model_Formula!$N$16,1)</x:f>
        <x:v>25</x:v>
      </x:c>
      <x:c r="J87" s="66" t="n">
        <x:f>Model_Formula!$M$17*(Profiles_140!O83-Simulator!$L$15)^2*IF(Profiles_140!O83&gt;Simulator!$L$15,1+Model_Formula!$N$17,1)</x:f>
        <x:v>1600</x:v>
      </x:c>
      <x:c r="K87" s="66" t="n">
        <x:f>Model_Formula!$M$18*(Profiles_140!P83-Simulator!$L$16)^2*IF(Profiles_140!P83&gt;Simulator!$L$16,1+Model_Formula!$N$18,1)</x:f>
        <x:v>22.5</x:v>
      </x:c>
      <x:c r="L87" s="66" t="n">
        <x:f>Model_Formula!$M$19*(Profiles_140!Q83-Simulator!$L$17)^2*IF(Profiles_140!Q83&gt;Simulator!$L$17,1+Model_Formula!$N$19,1)</x:f>
        <x:v>25</x:v>
      </x:c>
      <x:c r="M87" s="66" t="n">
        <x:f>Model_Formula!$M$20*(Profiles_140!R83-Simulator!$L$18)^2*IF(Profiles_140!R83&gt;Simulator!$L$18,1+Model_Formula!$N$20,1)</x:f>
        <x:v>2025</x:v>
      </x:c>
      <x:c r="N87" s="66" t="n">
        <x:f>Model_Formula!$M$21*(Profiles_140!S83-Simulator!$L$19)^2*IF(Profiles_140!S83&gt;Simulator!$L$19,1+Model_Formula!$N$21,1)</x:f>
        <x:v>2500</x:v>
      </x:c>
      <x:c r="O87" s="66" t="n">
        <x:f>Model_Formula!$M$22*(Profiles_140!T83-Simulator!$L$20)^2*IF(Profiles_140!T83&gt;Simulator!$L$20,1+Model_Formula!$N$22,1)</x:f>
        <x:v>400</x:v>
      </x:c>
      <x:c r="P87" s="66" t="n">
        <x:f>Model_Formula!$M$23*(Profiles_140!U83-Simulator!$L$21)^2*IF(Profiles_140!U83&gt;Simulator!$L$21,1+Model_Formula!$N$23,1)</x:f>
        <x:v>0</x:v>
      </x:c>
      <x:c r="Q87" s="66" t="n">
        <x:f>Model_Formula!$M$24*(Profiles_140!V83-Simulator!$L$22)^2*IF(Profiles_140!V83&gt;Simulator!$L$22,1+Model_Formula!$N$24,1)</x:f>
        <x:v>40</x:v>
      </x:c>
      <x:c r="R87" s="66" t="n">
        <x:f>Model_Formula!$M$25*(Profiles_140!W83-Simulator!$L$23)^2*IF(Profiles_140!W83&gt;Simulator!$L$23,1+Model_Formula!$N$25,1)</x:f>
        <x:v>101.25</x:v>
      </x:c>
      <x:c r="S87" s="66" t="n">
        <x:f>Model_Formula!$M$26*(Profiles_140!X83-Simulator!$L$24)^2*IF(Profiles_140!X83&gt;Simulator!$L$24,1+Model_Formula!$N$26,1)</x:f>
        <x:v>334.12500000000006</x:v>
      </x:c>
      <x:c r="T87" s="66" t="n">
        <x:f>Model_Formula!$M$27*(Profiles_140!Y83-Simulator!$L$25)^2*IF(Profiles_140!Y83&gt;Simulator!$L$25,1+Model_Formula!$N$27,1)</x:f>
        <x:v>482.99999999999994</x:v>
      </x:c>
      <x:c r="U87" s="60" t="n">
        <x:f>SUM(F87:T87)/SUM($F$4:$T$4)</x:f>
        <x:v>894.0951492537314</x:v>
      </x:c>
      <x:c r="V87" s="60" t="n">
        <x:f>SQRT(U87)</x:f>
        <x:v>29.901423866661123</x:v>
      </x:c>
      <x:c r="W87" s="60" t="n">
        <x:f>MAX(0,100-V87)</x:f>
        <x:v>70.09857613333888</x:v>
      </x:c>
      <x:c r="X87" s="60" t="n">
        <x:f>SUMPRODUCT(Profiles_140!K83:Y83,$F$4:$T$4)/SUM($F$4:$T$4)</x:f>
        <x:v>56.063432835820905</x:v>
      </x:c>
      <x:c r="Y87" s="60" t="n">
        <x:f>IFERROR(50+50*SUMPRODUCT(($F$3:$T$3-$X$3)*(Profiles_140!K83:Y83-X87),$F$4:$T$4)/SQRT(SUMPRODUCT(($F$3:$T$3-$X$3)^2,$F$4:$T$4)*SUMPRODUCT((Profiles_140!K83:Y83-X87)^2,$F$4:$T$4)),50)</x:f>
        <x:v>50.000000000000014</x:v>
      </x:c>
      <x:c r="Z87" s="60" t="n">
        <x:f>$Z$3</x:f>
        <x:v>3.9474596431116675e-16</x:v>
      </x:c>
      <x:c r="AA87" s="60" t="n">
        <x:f>W87*(1-Model_Formula!$F$8*Z87)+Y87*(Model_Formula!$F$8*Z87)</x:f>
        <x:v>70.09857613333888</x:v>
      </x:c>
      <x:c r="AB87" s="60" t="n">
        <x:f>SQRT(SUMPRODUCT((Profiles_140!K83:Y83-50)^2,$F$4:$T$4)/SUM($F$4:$T$4))</x:f>
        <x:v>29.714122980118596</x:v>
      </x:c>
      <x:c r="AC87" s="60" t="n">
        <x:f>MAX(-Model_Formula!$F$11,MIN(Model_Formula!$F$11,Model_Formula!$F$10*(AB87-AVERAGE($AB$6:$AB$135))))</x:f>
        <x:v>0.25966469026945765</x:v>
      </x:c>
      <x:c r="AD87" s="60" t="n">
        <x:f>MAX(0,MIN(100,AA87+AC87))</x:f>
        <x:v>70.35824082360834</x:v>
      </x:c>
      <x:c r="AE87" s="60" t="n">
        <x:f>MAX(0,MIN(1,IFERROR((MATCH(AD87,Percentile_Calibration!$F83:$DB83,1)-1)/100,0)))</x:f>
        <x:v>0.67</x:v>
      </x:c>
      <x:c r="AF87" s="62" t="n">
        <x:f>ROUND(MAX(Model_Formula!$I$9,Model_Formula!$I$5+Model_Formula!$I$6*POWER(AE87,Model_Formula!$I$7)),0)</x:f>
        <x:v>59</x:v>
      </x:c>
      <x:c r="AG87" t="n">
        <x:f>Profiles_140!AJ83</x:f>
        <x:v>0</x:v>
      </x:c>
      <x:c r="AH87" s="60" t="n">
        <x:f>Model_Formula!$I$8*(AE87*100)+(1-Model_Formula!$I$8)*AD87+AG87</x:f>
        <x:v>67.67164816472166</x:v>
      </x:c>
      <x:c r="AI87" t="n">
        <x:f>RANK.EQ(AH87,$AH$6:$AH$135,0)+COUNTIF($AH$6:AH87,AH87)-1</x:f>
        <x:v>94</x:v>
      </x:c>
    </x:row>
    <x:row r="88">
      <x:c r="A88" t="str">
        <x:f>Profiles_140!A84</x:f>
        <x:v>ゲンガー</x:v>
      </x:c>
      <x:c r="B88" t="str">
        <x:f>Profiles_140!C84</x:f>
        <x:v>ゲンガー-1</x:v>
      </x:c>
      <x:c r="C88" t="str">
        <x:f>Profiles_140!D84</x:f>
        <x:v>共通</x:v>
      </x:c>
      <x:c r="D88" t="str">
        <x:f>Profiles_140!B84</x:f>
        <x:v>スピード型</x:v>
      </x:c>
      <x:c r="E88" t="str">
        <x:f>Profiles_140!I84</x:f>
        <x:v>高</x:v>
      </x:c>
      <x:c r="F88" s="66" t="n">
        <x:f>Model_Formula!$M$13*(Profiles_140!K84-Simulator!$L$11)^2*IF(Profiles_140!K84&gt;Simulator!$L$11,1+Model_Formula!$N$13,1)</x:f>
        <x:v>25</x:v>
      </x:c>
      <x:c r="G88" s="66" t="n">
        <x:f>Model_Formula!$M$14*(Profiles_140!L84-Simulator!$L$12)^2*IF(Profiles_140!L84&gt;Simulator!$L$12,1+Model_Formula!$N$14,1)</x:f>
        <x:v>2625</x:v>
      </x:c>
      <x:c r="H88" s="66" t="n">
        <x:f>Model_Formula!$M$15*(Profiles_140!M84-Simulator!$L$13)^2*IF(Profiles_140!M84&gt;Simulator!$L$13,1+Model_Formula!$N$15,1)</x:f>
        <x:v>1225</x:v>
      </x:c>
      <x:c r="I88" s="66" t="n">
        <x:f>Model_Formula!$M$16*(Profiles_140!N84-Simulator!$L$14)^2*IF(Profiles_140!N84&gt;Simulator!$L$14,1+Model_Formula!$N$16,1)</x:f>
        <x:v>400</x:v>
      </x:c>
      <x:c r="J88" s="66" t="n">
        <x:f>Model_Formula!$M$17*(Profiles_140!O84-Simulator!$L$15)^2*IF(Profiles_140!O84&gt;Simulator!$L$15,1+Model_Formula!$N$17,1)</x:f>
        <x:v>1225</x:v>
      </x:c>
      <x:c r="K88" s="66" t="n">
        <x:f>Model_Formula!$M$18*(Profiles_140!P84-Simulator!$L$16)^2*IF(Profiles_140!P84&gt;Simulator!$L$16,1+Model_Formula!$N$18,1)</x:f>
        <x:v>202.5</x:v>
      </x:c>
      <x:c r="L88" s="66" t="n">
        <x:f>Model_Formula!$M$19*(Profiles_140!Q84-Simulator!$L$17)^2*IF(Profiles_140!Q84&gt;Simulator!$L$17,1+Model_Formula!$N$19,1)</x:f>
        <x:v>625</x:v>
      </x:c>
      <x:c r="M88" s="66" t="n">
        <x:f>Model_Formula!$M$20*(Profiles_140!R84-Simulator!$L$18)^2*IF(Profiles_140!R84&gt;Simulator!$L$18,1+Model_Formula!$N$20,1)</x:f>
        <x:v>2025</x:v>
      </x:c>
      <x:c r="N88" s="66" t="n">
        <x:f>Model_Formula!$M$21*(Profiles_140!S84-Simulator!$L$19)^2*IF(Profiles_140!S84&gt;Simulator!$L$19,1+Model_Formula!$N$21,1)</x:f>
        <x:v>2500</x:v>
      </x:c>
      <x:c r="O88" s="66" t="n">
        <x:f>Model_Formula!$M$22*(Profiles_140!T84-Simulator!$L$20)^2*IF(Profiles_140!T84&gt;Simulator!$L$20,1+Model_Formula!$N$22,1)</x:f>
        <x:v>400</x:v>
      </x:c>
      <x:c r="P88" s="66" t="n">
        <x:f>Model_Formula!$M$23*(Profiles_140!U84-Simulator!$L$21)^2*IF(Profiles_140!U84&gt;Simulator!$L$21,1+Model_Formula!$N$23,1)</x:f>
        <x:v>11.25</x:v>
      </x:c>
      <x:c r="Q88" s="66" t="n">
        <x:f>Model_Formula!$M$24*(Profiles_140!V84-Simulator!$L$22)^2*IF(Profiles_140!V84&gt;Simulator!$L$22,1+Model_Formula!$N$24,1)</x:f>
        <x:v>160</x:v>
      </x:c>
      <x:c r="R88" s="66" t="n">
        <x:f>Model_Formula!$M$25*(Profiles_140!W84-Simulator!$L$23)^2*IF(Profiles_140!W84&gt;Simulator!$L$23,1+Model_Formula!$N$25,1)</x:f>
        <x:v>281.25</x:v>
      </x:c>
      <x:c r="S88" s="66" t="n">
        <x:f>Model_Formula!$M$26*(Profiles_140!X84-Simulator!$L$24)^2*IF(Profiles_140!X84&gt;Simulator!$L$24,1+Model_Formula!$N$26,1)</x:f>
        <x:v>2376.0000000000005</x:v>
      </x:c>
      <x:c r="T88" s="66" t="n">
        <x:f>Model_Formula!$M$27*(Profiles_140!Y84-Simulator!$L$25)^2*IF(Profiles_140!Y84&gt;Simulator!$L$25,1+Model_Formula!$N$27,1)</x:f>
        <x:v>754.6874999999999</x:v>
      </x:c>
      <x:c r="U88" s="60" t="n">
        <x:f>SUM(F88:T88)/SUM($F$4:$T$4)</x:f>
        <x:v>1107.1408582089553</x:v>
      </x:c>
      <x:c r="V88" s="60" t="n">
        <x:f>SQRT(U88)</x:f>
        <x:v>33.273726244725815</x:v>
      </x:c>
      <x:c r="W88" s="60" t="n">
        <x:f>MAX(0,100-V88)</x:f>
        <x:v>66.72627375527418</x:v>
      </x:c>
      <x:c r="X88" s="60" t="n">
        <x:f>SUMPRODUCT(Profiles_140!K84:Y84,$F$4:$T$4)/SUM($F$4:$T$4)</x:f>
        <x:v>53.41417910447762</x:v>
      </x:c>
      <x:c r="Y88" s="60" t="n">
        <x:f>IFERROR(50+50*SUMPRODUCT(($F$3:$T$3-$X$3)*(Profiles_140!K84:Y84-X88),$F$4:$T$4)/SQRT(SUMPRODUCT(($F$3:$T$3-$X$3)^2,$F$4:$T$4)*SUMPRODUCT((Profiles_140!K84:Y84-X88)^2,$F$4:$T$4)),50)</x:f>
        <x:v>50.000000000000014</x:v>
      </x:c>
      <x:c r="Z88" s="60" t="n">
        <x:f>$Z$3</x:f>
        <x:v>3.9474596431116675e-16</x:v>
      </x:c>
      <x:c r="AA88" s="60" t="n">
        <x:f>W88*(1-Model_Formula!$F$8*Z88)+Y88*(Model_Formula!$F$8*Z88)</x:f>
        <x:v>66.72627375527418</x:v>
      </x:c>
      <x:c r="AB88" s="60" t="n">
        <x:f>SQRT(SUMPRODUCT((Profiles_140!K84:Y84-50)^2,$F$4:$T$4)/SUM($F$4:$T$4))</x:f>
        <x:v>32.462665122655466</x:v>
      </x:c>
      <x:c r="AC88" s="60" t="n">
        <x:f>MAX(-Model_Formula!$F$11,MIN(Model_Formula!$F$11,Model_Formula!$F$10*(AB88-AVERAGE($AB$6:$AB$135))))</x:f>
        <x:v>1.496508654411049</x:v>
      </x:c>
      <x:c r="AD88" s="60" t="n">
        <x:f>MAX(0,MIN(100,AA88+AC88))</x:f>
        <x:v>68.22278240968522</x:v>
      </x:c>
      <x:c r="AE88" s="60" t="n">
        <x:f>MAX(0,MIN(1,IFERROR((MATCH(AD88,Percentile_Calibration!$F84:$DB84,1)-1)/100,0)))</x:f>
        <x:v>0.65</x:v>
      </x:c>
      <x:c r="AF88" s="62" t="n">
        <x:f>ROUND(MAX(Model_Formula!$I$9,Model_Formula!$I$5+Model_Formula!$I$6*POWER(AE88,Model_Formula!$I$7)),0)</x:f>
        <x:v>57</x:v>
      </x:c>
      <x:c r="AG88" t="n">
        <x:f>Profiles_140!AJ84</x:f>
        <x:v>0.15</x:v>
      </x:c>
      <x:c r="AH88" s="60" t="n">
        <x:f>Model_Formula!$I$8*(AE88*100)+(1-Model_Formula!$I$8)*AD88+AG88</x:f>
        <x:v>65.79455648193705</x:v>
      </x:c>
      <x:c r="AI88" t="n">
        <x:f>RANK.EQ(AH88,$AH$6:$AH$135,0)+COUNTIF($AH$6:AH88,AH88)-1</x:f>
        <x:v>111</x:v>
      </x:c>
    </x:row>
    <x:row r="89">
      <x:c r="A89" t="str">
        <x:f>Profiles_140!A85</x:f>
        <x:v>ゼラオラ</x:v>
      </x:c>
      <x:c r="B89" t="str">
        <x:f>Profiles_140!C85</x:f>
        <x:v>ゼラオラ-1</x:v>
      </x:c>
      <x:c r="C89" t="str">
        <x:f>Profiles_140!D85</x:f>
        <x:v>ほうでん</x:v>
      </x:c>
      <x:c r="D89" t="str">
        <x:f>Profiles_140!B85</x:f>
        <x:v>スピード型</x:v>
      </x:c>
      <x:c r="E89" t="str">
        <x:f>Profiles_140!I85</x:f>
        <x:v>高</x:v>
      </x:c>
      <x:c r="F89" s="66" t="n">
        <x:f>Model_Formula!$M$13*(Profiles_140!K85-Simulator!$L$11)^2*IF(Profiles_140!K85&gt;Simulator!$L$11,1+Model_Formula!$N$13,1)</x:f>
        <x:v>100</x:v>
      </x:c>
      <x:c r="G89" s="66" t="n">
        <x:f>Model_Formula!$M$14*(Profiles_140!L85-Simulator!$L$12)^2*IF(Profiles_140!L85&gt;Simulator!$L$12,1+Model_Formula!$N$14,1)</x:f>
        <x:v>945</x:v>
      </x:c>
      <x:c r="H89" s="66" t="n">
        <x:f>Model_Formula!$M$15*(Profiles_140!M85-Simulator!$L$13)^2*IF(Profiles_140!M85&gt;Simulator!$L$13,1+Model_Formula!$N$15,1)</x:f>
        <x:v>625</x:v>
      </x:c>
      <x:c r="I89" s="66" t="n">
        <x:f>Model_Formula!$M$16*(Profiles_140!N85-Simulator!$L$14)^2*IF(Profiles_140!N85&gt;Simulator!$L$14,1+Model_Formula!$N$16,1)</x:f>
        <x:v>100</x:v>
      </x:c>
      <x:c r="J89" s="66" t="n">
        <x:f>Model_Formula!$M$17*(Profiles_140!O85-Simulator!$L$15)^2*IF(Profiles_140!O85&gt;Simulator!$L$15,1+Model_Formula!$N$17,1)</x:f>
        <x:v>900</x:v>
      </x:c>
      <x:c r="K89" s="66" t="n">
        <x:f>Model_Formula!$M$18*(Profiles_140!P85-Simulator!$L$16)^2*IF(Profiles_140!P85&gt;Simulator!$L$16,1+Model_Formula!$N$18,1)</x:f>
        <x:v>360</x:v>
      </x:c>
      <x:c r="L89" s="66" t="n">
        <x:f>Model_Formula!$M$19*(Profiles_140!Q85-Simulator!$L$17)^2*IF(Profiles_140!Q85&gt;Simulator!$L$17,1+Model_Formula!$N$19,1)</x:f>
        <x:v>25</x:v>
      </x:c>
      <x:c r="M89" s="66" t="n">
        <x:f>Model_Formula!$M$20*(Profiles_140!R85-Simulator!$L$18)^2*IF(Profiles_140!R85&gt;Simulator!$L$18,1+Model_Formula!$N$20,1)</x:f>
        <x:v>2025</x:v>
      </x:c>
      <x:c r="N89" s="66" t="n">
        <x:f>Model_Formula!$M$21*(Profiles_140!S85-Simulator!$L$19)^2*IF(Profiles_140!S85&gt;Simulator!$L$19,1+Model_Formula!$N$21,1)</x:f>
        <x:v>900</x:v>
      </x:c>
      <x:c r="O89" s="66" t="n">
        <x:f>Model_Formula!$M$22*(Profiles_140!T85-Simulator!$L$20)^2*IF(Profiles_140!T85&gt;Simulator!$L$20,1+Model_Formula!$N$22,1)</x:f>
        <x:v>625</x:v>
      </x:c>
      <x:c r="P89" s="66" t="n">
        <x:f>Model_Formula!$M$23*(Profiles_140!U85-Simulator!$L$21)^2*IF(Profiles_140!U85&gt;Simulator!$L$21,1+Model_Formula!$N$23,1)</x:f>
        <x:v>11.25</x:v>
      </x:c>
      <x:c r="Q89" s="66" t="n">
        <x:f>Model_Formula!$M$24*(Profiles_140!V85-Simulator!$L$22)^2*IF(Profiles_140!V85&gt;Simulator!$L$22,1+Model_Formula!$N$24,1)</x:f>
        <x:v>90</x:v>
      </x:c>
      <x:c r="R89" s="66" t="n">
        <x:f>Model_Formula!$M$25*(Profiles_140!W85-Simulator!$L$23)^2*IF(Profiles_140!W85&gt;Simulator!$L$23,1+Model_Formula!$N$25,1)</x:f>
        <x:v>281.25</x:v>
      </x:c>
      <x:c r="S89" s="66" t="n">
        <x:f>Model_Formula!$M$26*(Profiles_140!X85-Simulator!$L$24)^2*IF(Profiles_140!X85&gt;Simulator!$L$24,1+Model_Formula!$N$26,1)</x:f>
        <x:v>594.0000000000001</x:v>
      </x:c>
      <x:c r="T89" s="66" t="n">
        <x:f>Model_Formula!$M$27*(Profiles_140!Y85-Simulator!$L$25)^2*IF(Profiles_140!Y85&gt;Simulator!$L$25,1+Model_Formula!$N$27,1)</x:f>
        <x:v>271.6875</x:v>
      </x:c>
      <x:c r="U89" s="60" t="n">
        <x:f>SUM(F89:T89)/SUM($F$4:$T$4)</x:f>
        <x:v>586.0587686567164</x:v>
      </x:c>
      <x:c r="V89" s="60" t="n">
        <x:f>SQRT(U89)</x:f>
        <x:v>24.20865069880427</x:v>
      </x:c>
      <x:c r="W89" s="60" t="n">
        <x:f>MAX(0,100-V89)</x:f>
        <x:v>75.79134930119574</x:v>
      </x:c>
      <x:c r="X89" s="60" t="n">
        <x:f>SUMPRODUCT(Profiles_140!K85:Y85,$F$4:$T$4)/SUM($F$4:$T$4)</x:f>
        <x:v>55.727611940298516</x:v>
      </x:c>
      <x:c r="Y89" s="60" t="n">
        <x:f>IFERROR(50+50*SUMPRODUCT(($F$3:$T$3-$X$3)*(Profiles_140!K85:Y85-X89),$F$4:$T$4)/SQRT(SUMPRODUCT(($F$3:$T$3-$X$3)^2,$F$4:$T$4)*SUMPRODUCT((Profiles_140!K85:Y85-X89)^2,$F$4:$T$4)),50)</x:f>
        <x:v>50.00000000000002</x:v>
      </x:c>
      <x:c r="Z89" s="60" t="n">
        <x:f>$Z$3</x:f>
        <x:v>3.9474596431116675e-16</x:v>
      </x:c>
      <x:c r="AA89" s="60" t="n">
        <x:f>W89*(1-Model_Formula!$F$8*Z89)+Y89*(Model_Formula!$F$8*Z89)</x:f>
        <x:v>75.79134930119574</x:v>
      </x:c>
      <x:c r="AB89" s="60" t="n">
        <x:f>SQRT(SUMPRODUCT((Profiles_140!K85:Y85-50)^2,$F$4:$T$4)/SUM($F$4:$T$4))</x:f>
        <x:v>23.914883269442168</x:v>
      </x:c>
      <x:c r="AC89" s="60" t="n">
        <x:f>MAX(-Model_Formula!$F$11,MIN(Model_Formula!$F$11,Model_Formula!$F$10*(AB89-AVERAGE($AB$6:$AB$135))))</x:f>
        <x:v>-2.349993179534935</x:v>
      </x:c>
      <x:c r="AD89" s="60" t="n">
        <x:f>MAX(0,MIN(100,AA89+AC89))</x:f>
        <x:v>73.4413561216608</x:v>
      </x:c>
      <x:c r="AE89" s="60" t="n">
        <x:f>MAX(0,MIN(1,IFERROR((MATCH(AD89,Percentile_Calibration!$F85:$DB85,1)-1)/100,0)))</x:f>
        <x:v>0.72</x:v>
      </x:c>
      <x:c r="AF89" s="62" t="n">
        <x:f>ROUND(MAX(Model_Formula!$I$9,Model_Formula!$I$5+Model_Formula!$I$6*POWER(AE89,Model_Formula!$I$7)),0)</x:f>
        <x:v>63</x:v>
      </x:c>
      <x:c r="AG89" t="n">
        <x:f>Profiles_140!AJ85</x:f>
        <x:v>0</x:v>
      </x:c>
      <x:c r="AH89" s="60" t="n">
        <x:f>Model_Formula!$I$8*(AE89*100)+(1-Model_Formula!$I$8)*AD89+AG89</x:f>
        <x:v>72.28827122433216</x:v>
      </x:c>
      <x:c r="AI89" t="n">
        <x:f>RANK.EQ(AH89,$AH$6:$AH$135,0)+COUNTIF($AH$6:AH89,AH89)-1</x:f>
        <x:v>64</x:v>
      </x:c>
    </x:row>
    <x:row r="90">
      <x:c r="A90" t="str">
        <x:f>Profiles_140!A86</x:f>
        <x:v>ゼラオラ</x:v>
      </x:c>
      <x:c r="B90" t="str">
        <x:f>Profiles_140!C86</x:f>
        <x:v>ゼラオラ-2</x:v>
      </x:c>
      <x:c r="C90" t="str">
        <x:f>Profiles_140!D86</x:f>
        <x:v>ワイルドボルト</x:v>
      </x:c>
      <x:c r="D90" t="str">
        <x:f>Profiles_140!B86</x:f>
        <x:v>スピード型</x:v>
      </x:c>
      <x:c r="E90" t="str">
        <x:f>Profiles_140!I86</x:f>
        <x:v>高</x:v>
      </x:c>
      <x:c r="F90" s="66" t="n">
        <x:f>Model_Formula!$M$13*(Profiles_140!K86-Simulator!$L$11)^2*IF(Profiles_140!K86&gt;Simulator!$L$11,1+Model_Formula!$N$13,1)</x:f>
        <x:v>225</x:v>
      </x:c>
      <x:c r="G90" s="66" t="n">
        <x:f>Model_Formula!$M$14*(Profiles_140!L86-Simulator!$L$12)^2*IF(Profiles_140!L86&gt;Simulator!$L$12,1+Model_Formula!$N$14,1)</x:f>
        <x:v>2625</x:v>
      </x:c>
      <x:c r="H90" s="66" t="n">
        <x:f>Model_Formula!$M$15*(Profiles_140!M86-Simulator!$L$13)^2*IF(Profiles_140!M86&gt;Simulator!$L$13,1+Model_Formula!$N$15,1)</x:f>
        <x:v>1225</x:v>
      </x:c>
      <x:c r="I90" s="66" t="n">
        <x:f>Model_Formula!$M$16*(Profiles_140!N86-Simulator!$L$14)^2*IF(Profiles_140!N86&gt;Simulator!$L$14,1+Model_Formula!$N$16,1)</x:f>
        <x:v>400</x:v>
      </x:c>
      <x:c r="J90" s="66" t="n">
        <x:f>Model_Formula!$M$17*(Profiles_140!O86-Simulator!$L$15)^2*IF(Profiles_140!O86&gt;Simulator!$L$15,1+Model_Formula!$N$17,1)</x:f>
        <x:v>1225</x:v>
      </x:c>
      <x:c r="K90" s="66" t="n">
        <x:f>Model_Formula!$M$18*(Profiles_140!P86-Simulator!$L$16)^2*IF(Profiles_140!P86&gt;Simulator!$L$16,1+Model_Formula!$N$18,1)</x:f>
        <x:v>1440</x:v>
      </x:c>
      <x:c r="L90" s="66" t="n">
        <x:f>Model_Formula!$M$19*(Profiles_140!Q86-Simulator!$L$17)^2*IF(Profiles_140!Q86&gt;Simulator!$L$17,1+Model_Formula!$N$19,1)</x:f>
        <x:v>225</x:v>
      </x:c>
      <x:c r="M90" s="66" t="n">
        <x:f>Model_Formula!$M$20*(Profiles_140!R86-Simulator!$L$18)^2*IF(Profiles_140!R86&gt;Simulator!$L$18,1+Model_Formula!$N$20,1)</x:f>
        <x:v>2025</x:v>
      </x:c>
      <x:c r="N90" s="66" t="n">
        <x:f>Model_Formula!$M$21*(Profiles_140!S86-Simulator!$L$19)^2*IF(Profiles_140!S86&gt;Simulator!$L$19,1+Model_Formula!$N$21,1)</x:f>
        <x:v>2500</x:v>
      </x:c>
      <x:c r="O90" s="66" t="n">
        <x:f>Model_Formula!$M$22*(Profiles_140!T86-Simulator!$L$20)^2*IF(Profiles_140!T86&gt;Simulator!$L$20,1+Model_Formula!$N$22,1)</x:f>
        <x:v>400</x:v>
      </x:c>
      <x:c r="P90" s="66" t="n">
        <x:f>Model_Formula!$M$23*(Profiles_140!U86-Simulator!$L$21)^2*IF(Profiles_140!U86&gt;Simulator!$L$21,1+Model_Formula!$N$23,1)</x:f>
        <x:v>11.25</x:v>
      </x:c>
      <x:c r="Q90" s="66" t="n">
        <x:f>Model_Formula!$M$24*(Profiles_140!V86-Simulator!$L$22)^2*IF(Profiles_140!V86&gt;Simulator!$L$22,1+Model_Formula!$N$24,1)</x:f>
        <x:v>160</x:v>
      </x:c>
      <x:c r="R90" s="66" t="n">
        <x:f>Model_Formula!$M$25*(Profiles_140!W86-Simulator!$L$23)^2*IF(Profiles_140!W86&gt;Simulator!$L$23,1+Model_Formula!$N$25,1)</x:f>
        <x:v>281.25</x:v>
      </x:c>
      <x:c r="S90" s="66" t="n">
        <x:f>Model_Formula!$M$26*(Profiles_140!X86-Simulator!$L$24)^2*IF(Profiles_140!X86&gt;Simulator!$L$24,1+Model_Formula!$N$26,1)</x:f>
        <x:v>334.12500000000006</x:v>
      </x:c>
      <x:c r="T90" s="66" t="n">
        <x:f>Model_Formula!$M$27*(Profiles_140!Y86-Simulator!$L$25)^2*IF(Profiles_140!Y86&gt;Simulator!$L$25,1+Model_Formula!$N$27,1)</x:f>
        <x:v>754.6874999999999</x:v>
      </x:c>
      <x:c r="U90" s="60" t="n">
        <x:f>SUM(F90:T90)/SUM($F$4:$T$4)</x:f>
        <x:v>1032.1875</x:v>
      </x:c>
      <x:c r="V90" s="60" t="n">
        <x:f>SQRT(U90)</x:f>
        <x:v>32.12767498590584</x:v>
      </x:c>
      <x:c r="W90" s="60" t="n">
        <x:f>MAX(0,100-V90)</x:f>
        <x:v>67.87232501409416</x:v>
      </x:c>
      <x:c r="X90" s="60" t="n">
        <x:f>SUMPRODUCT(Profiles_140!K86:Y86,$F$4:$T$4)/SUM($F$4:$T$4)</x:f>
        <x:v>51.17537313432836</x:v>
      </x:c>
      <x:c r="Y90" s="60" t="n">
        <x:f>IFERROR(50+50*SUMPRODUCT(($F$3:$T$3-$X$3)*(Profiles_140!K86:Y86-X90),$F$4:$T$4)/SQRT(SUMPRODUCT(($F$3:$T$3-$X$3)^2,$F$4:$T$4)*SUMPRODUCT((Profiles_140!K86:Y86-X90)^2,$F$4:$T$4)),50)</x:f>
        <x:v>50.00000000000001</x:v>
      </x:c>
      <x:c r="Z90" s="60" t="n">
        <x:f>$Z$3</x:f>
        <x:v>3.9474596431116675e-16</x:v>
      </x:c>
      <x:c r="AA90" s="60" t="n">
        <x:f>W90*(1-Model_Formula!$F$8*Z90)+Y90*(Model_Formula!$F$8*Z90)</x:f>
        <x:v>67.87232501409416</x:v>
      </x:c>
      <x:c r="AB90" s="60" t="n">
        <x:f>SQRT(SUMPRODUCT((Profiles_140!K86:Y86-50)^2,$F$4:$T$4)/SUM($F$4:$T$4))</x:f>
        <x:v>31.9120175744443</x:v>
      </x:c>
      <x:c r="AC90" s="60" t="n">
        <x:f>MAX(-Model_Formula!$F$11,MIN(Model_Formula!$F$11,Model_Formula!$F$10*(AB90-AVERAGE($AB$6:$AB$135))))</x:f>
        <x:v>1.2487172577160242</x:v>
      </x:c>
      <x:c r="AD90" s="60" t="n">
        <x:f>MAX(0,MIN(100,AA90+AC90))</x:f>
        <x:v>69.12104227181018</x:v>
      </x:c>
      <x:c r="AE90" s="60" t="n">
        <x:f>MAX(0,MIN(1,IFERROR((MATCH(AD90,Percentile_Calibration!$F86:$DB86,1)-1)/100,0)))</x:f>
        <x:v>0.66</x:v>
      </x:c>
      <x:c r="AF90" s="62" t="n">
        <x:f>ROUND(MAX(Model_Formula!$I$9,Model_Formula!$I$5+Model_Formula!$I$6*POWER(AE90,Model_Formula!$I$7)),0)</x:f>
        <x:v>58</x:v>
      </x:c>
      <x:c r="AG90" t="n">
        <x:f>Profiles_140!AJ86</x:f>
        <x:v>0</x:v>
      </x:c>
      <x:c r="AH90" s="60" t="n">
        <x:f>Model_Formula!$I$8*(AE90*100)+(1-Model_Formula!$I$8)*AD90+AG90</x:f>
        <x:v>66.62420845436203</x:v>
      </x:c>
      <x:c r="AI90" t="n">
        <x:f>RANK.EQ(AH90,$AH$6:$AH$135,0)+COUNTIF($AH$6:AH90,AH90)-1</x:f>
        <x:v>107</x:v>
      </x:c>
    </x:row>
    <x:row r="91">
      <x:c r="A91" t="str">
        <x:f>Profiles_140!A87</x:f>
        <x:v>ゾロアーク</x:v>
      </x:c>
      <x:c r="B91" t="str">
        <x:f>Profiles_140!C87</x:f>
        <x:v>ゾロアーク-1</x:v>
      </x:c>
      <x:c r="C91" t="str">
        <x:f>Profiles_140!D87</x:f>
        <x:v>共通</x:v>
      </x:c>
      <x:c r="D91" t="str">
        <x:f>Profiles_140!B87</x:f>
        <x:v>スピード型</x:v>
      </x:c>
      <x:c r="E91" t="str">
        <x:f>Profiles_140!I87</x:f>
        <x:v>高</x:v>
      </x:c>
      <x:c r="F91" s="66" t="n">
        <x:f>Model_Formula!$M$13*(Profiles_140!K87-Simulator!$L$11)^2*IF(Profiles_140!K87&gt;Simulator!$L$11,1+Model_Formula!$N$13,1)</x:f>
        <x:v>25</x:v>
      </x:c>
      <x:c r="G91" s="66" t="n">
        <x:f>Model_Formula!$M$14*(Profiles_140!L87-Simulator!$L$12)^2*IF(Profiles_140!L87&gt;Simulator!$L$12,1+Model_Formula!$N$14,1)</x:f>
        <x:v>2625</x:v>
      </x:c>
      <x:c r="H91" s="66" t="n">
        <x:f>Model_Formula!$M$15*(Profiles_140!M87-Simulator!$L$13)^2*IF(Profiles_140!M87&gt;Simulator!$L$13,1+Model_Formula!$N$15,1)</x:f>
        <x:v>2500</x:v>
      </x:c>
      <x:c r="I91" s="66" t="n">
        <x:f>Model_Formula!$M$16*(Profiles_140!N87-Simulator!$L$14)^2*IF(Profiles_140!N87&gt;Simulator!$L$14,1+Model_Formula!$N$16,1)</x:f>
        <x:v>2500</x:v>
      </x:c>
      <x:c r="J91" s="66" t="n">
        <x:f>Model_Formula!$M$17*(Profiles_140!O87-Simulator!$L$15)^2*IF(Profiles_140!O87&gt;Simulator!$L$15,1+Model_Formula!$N$17,1)</x:f>
        <x:v>1225</x:v>
      </x:c>
      <x:c r="K91" s="66" t="n">
        <x:f>Model_Formula!$M$18*(Profiles_140!P87-Simulator!$L$16)^2*IF(Profiles_140!P87&gt;Simulator!$L$16,1+Model_Formula!$N$18,1)</x:f>
        <x:v>1440</x:v>
      </x:c>
      <x:c r="L91" s="66" t="n">
        <x:f>Model_Formula!$M$19*(Profiles_140!Q87-Simulator!$L$17)^2*IF(Profiles_140!Q87&gt;Simulator!$L$17,1+Model_Formula!$N$19,1)</x:f>
        <x:v>625</x:v>
      </x:c>
      <x:c r="M91" s="66" t="n">
        <x:f>Model_Formula!$M$20*(Profiles_140!R87-Simulator!$L$18)^2*IF(Profiles_140!R87&gt;Simulator!$L$18,1+Model_Formula!$N$20,1)</x:f>
        <x:v>2025</x:v>
      </x:c>
      <x:c r="N91" s="66" t="n">
        <x:f>Model_Formula!$M$21*(Profiles_140!S87-Simulator!$L$19)^2*IF(Profiles_140!S87&gt;Simulator!$L$19,1+Model_Formula!$N$21,1)</x:f>
        <x:v>2500</x:v>
      </x:c>
      <x:c r="O91" s="66" t="n">
        <x:f>Model_Formula!$M$22*(Profiles_140!T87-Simulator!$L$20)^2*IF(Profiles_140!T87&gt;Simulator!$L$20,1+Model_Formula!$N$22,1)</x:f>
        <x:v>225</x:v>
      </x:c>
      <x:c r="P91" s="66" t="n">
        <x:f>Model_Formula!$M$23*(Profiles_140!U87-Simulator!$L$21)^2*IF(Profiles_140!U87&gt;Simulator!$L$21,1+Model_Formula!$N$23,1)</x:f>
        <x:v>11.25</x:v>
      </x:c>
      <x:c r="Q91" s="66" t="n">
        <x:f>Model_Formula!$M$24*(Profiles_140!V87-Simulator!$L$22)^2*IF(Profiles_140!V87&gt;Simulator!$L$22,1+Model_Formula!$N$24,1)</x:f>
        <x:v>160</x:v>
      </x:c>
      <x:c r="R91" s="66" t="n">
        <x:f>Model_Formula!$M$25*(Profiles_140!W87-Simulator!$L$23)^2*IF(Profiles_140!W87&gt;Simulator!$L$23,1+Model_Formula!$N$25,1)</x:f>
        <x:v>551.25</x:v>
      </x:c>
      <x:c r="S91" s="66" t="n">
        <x:f>Model_Formula!$M$26*(Profiles_140!X87-Simulator!$L$24)^2*IF(Profiles_140!X87&gt;Simulator!$L$24,1+Model_Formula!$N$26,1)</x:f>
        <x:v>3712.5000000000005</x:v>
      </x:c>
      <x:c r="T91" s="66" t="n">
        <x:f>Model_Formula!$M$27*(Profiles_140!Y87-Simulator!$L$25)^2*IF(Profiles_140!Y87&gt;Simulator!$L$25,1+Model_Formula!$N$27,1)</x:f>
        <x:v>2445.1875</x:v>
      </x:c>
      <x:c r="U91" s="60" t="n">
        <x:f>SUM(F91:T91)/SUM($F$4:$T$4)</x:f>
        <x:v>1684.342350746269</x:v>
      </x:c>
      <x:c r="V91" s="60" t="n">
        <x:f>SQRT(U91)</x:f>
        <x:v>41.04074013399696</x:v>
      </x:c>
      <x:c r="W91" s="60" t="n">
        <x:f>MAX(0,100-V91)</x:f>
        <x:v>58.95925986600304</x:v>
      </x:c>
      <x:c r="X91" s="60" t="n">
        <x:f>SUMPRODUCT(Profiles_140!K87:Y87,$F$4:$T$4)/SUM($F$4:$T$4)</x:f>
        <x:v>50.727611940298516</x:v>
      </x:c>
      <x:c r="Y91" s="60" t="n">
        <x:f>IFERROR(50+50*SUMPRODUCT(($F$3:$T$3-$X$3)*(Profiles_140!K87:Y87-X91),$F$4:$T$4)/SQRT(SUMPRODUCT(($F$3:$T$3-$X$3)^2,$F$4:$T$4)*SUMPRODUCT((Profiles_140!K87:Y87-X91)^2,$F$4:$T$4)),50)</x:f>
        <x:v>50.00000000000001</x:v>
      </x:c>
      <x:c r="Z91" s="60" t="n">
        <x:f>$Z$3</x:f>
        <x:v>3.9474596431116675e-16</x:v>
      </x:c>
      <x:c r="AA91" s="60" t="n">
        <x:f>W91*(1-Model_Formula!$F$8*Z91)+Y91*(Model_Formula!$F$8*Z91)</x:f>
        <x:v>58.95925986600304</x:v>
      </x:c>
      <x:c r="AB91" s="60" t="n">
        <x:f>SQRT(SUMPRODUCT((Profiles_140!K87:Y87-50)^2,$F$4:$T$4)/SUM($F$4:$T$4))</x:f>
        <x:v>39.858658865636265</x:v>
      </x:c>
      <x:c r="AC91" s="60" t="n">
        <x:f>MAX(-Model_Formula!$F$11,MIN(Model_Formula!$F$11,Model_Formula!$F$10*(AB91-AVERAGE($AB$6:$AB$135))))</x:f>
        <x:v>4.824705838752409</x:v>
      </x:c>
      <x:c r="AD91" s="60" t="n">
        <x:f>MAX(0,MIN(100,AA91+AC91))</x:f>
        <x:v>63.783965704755445</x:v>
      </x:c>
      <x:c r="AE91" s="60" t="n">
        <x:f>MAX(0,MIN(1,IFERROR((MATCH(AD91,Percentile_Calibration!$F87:$DB87,1)-1)/100,0)))</x:f>
        <x:v>0.6</x:v>
      </x:c>
      <x:c r="AF91" s="62" t="n">
        <x:f>ROUND(MAX(Model_Formula!$I$9,Model_Formula!$I$5+Model_Formula!$I$6*POWER(AE91,Model_Formula!$I$7)),0)</x:f>
        <x:v>55</x:v>
      </x:c>
      <x:c r="AG91" t="n">
        <x:f>Profiles_140!AJ87</x:f>
        <x:v>0.45</x:v>
      </x:c>
      <x:c r="AH91" s="60" t="n">
        <x:f>Model_Formula!$I$8*(AE91*100)+(1-Model_Formula!$I$8)*AD91+AG91</x:f>
        <x:v>61.20679314095109</x:v>
      </x:c>
      <x:c r="AI91" t="n">
        <x:f>RANK.EQ(AH91,$AH$6:$AH$135,0)+COUNTIF($AH$6:AH91,AH91)-1</x:f>
        <x:v>130</x:v>
      </x:c>
    </x:row>
    <x:row r="92">
      <x:c r="A92" t="str">
        <x:f>Profiles_140!A88</x:f>
        <x:v>ダークライ</x:v>
      </x:c>
      <x:c r="B92" t="str">
        <x:f>Profiles_140!C88</x:f>
        <x:v>ダークライ-1</x:v>
      </x:c>
      <x:c r="C92" t="str">
        <x:f>Profiles_140!D88</x:f>
        <x:v>共通</x:v>
      </x:c>
      <x:c r="D92" t="str">
        <x:f>Profiles_140!B88</x:f>
        <x:v>スピード型</x:v>
      </x:c>
      <x:c r="E92" t="str">
        <x:f>Profiles_140!I88</x:f>
        <x:v>高</x:v>
      </x:c>
      <x:c r="F92" s="66" t="n">
        <x:f>Model_Formula!$M$13*(Profiles_140!K88-Simulator!$L$11)^2*IF(Profiles_140!K88&gt;Simulator!$L$11,1+Model_Formula!$N$13,1)</x:f>
        <x:v>25</x:v>
      </x:c>
      <x:c r="G92" s="66" t="n">
        <x:f>Model_Formula!$M$14*(Profiles_140!L88-Simulator!$L$12)^2*IF(Profiles_140!L88&gt;Simulator!$L$12,1+Model_Formula!$N$14,1)</x:f>
        <x:v>2625</x:v>
      </x:c>
      <x:c r="H92" s="66" t="n">
        <x:f>Model_Formula!$M$15*(Profiles_140!M88-Simulator!$L$13)^2*IF(Profiles_140!M88&gt;Simulator!$L$13,1+Model_Formula!$N$15,1)</x:f>
        <x:v>2500</x:v>
      </x:c>
      <x:c r="I92" s="66" t="n">
        <x:f>Model_Formula!$M$16*(Profiles_140!N88-Simulator!$L$14)^2*IF(Profiles_140!N88&gt;Simulator!$L$14,1+Model_Formula!$N$16,1)</x:f>
        <x:v>2500</x:v>
      </x:c>
      <x:c r="J92" s="66" t="n">
        <x:f>Model_Formula!$M$17*(Profiles_140!O88-Simulator!$L$15)^2*IF(Profiles_140!O88&gt;Simulator!$L$15,1+Model_Formula!$N$17,1)</x:f>
        <x:v>1225</x:v>
      </x:c>
      <x:c r="K92" s="66" t="n">
        <x:f>Model_Formula!$M$18*(Profiles_140!P88-Simulator!$L$16)^2*IF(Profiles_140!P88&gt;Simulator!$L$16,1+Model_Formula!$N$18,1)</x:f>
        <x:v>1440</x:v>
      </x:c>
      <x:c r="L92" s="66" t="n">
        <x:f>Model_Formula!$M$19*(Profiles_140!Q88-Simulator!$L$17)^2*IF(Profiles_140!Q88&gt;Simulator!$L$17,1+Model_Formula!$N$19,1)</x:f>
        <x:v>25</x:v>
      </x:c>
      <x:c r="M92" s="66" t="n">
        <x:f>Model_Formula!$M$20*(Profiles_140!R88-Simulator!$L$18)^2*IF(Profiles_140!R88&gt;Simulator!$L$18,1+Model_Formula!$N$20,1)</x:f>
        <x:v>2025</x:v>
      </x:c>
      <x:c r="N92" s="66" t="n">
        <x:f>Model_Formula!$M$21*(Profiles_140!S88-Simulator!$L$19)^2*IF(Profiles_140!S88&gt;Simulator!$L$19,1+Model_Formula!$N$21,1)</x:f>
        <x:v>2500</x:v>
      </x:c>
      <x:c r="O92" s="66" t="n">
        <x:f>Model_Formula!$M$22*(Profiles_140!T88-Simulator!$L$20)^2*IF(Profiles_140!T88&gt;Simulator!$L$20,1+Model_Formula!$N$22,1)</x:f>
        <x:v>100</x:v>
      </x:c>
      <x:c r="P92" s="66" t="n">
        <x:f>Model_Formula!$M$23*(Profiles_140!U88-Simulator!$L$21)^2*IF(Profiles_140!U88&gt;Simulator!$L$21,1+Model_Formula!$N$23,1)</x:f>
        <x:v>11.25</x:v>
      </x:c>
      <x:c r="Q92" s="66" t="n">
        <x:f>Model_Formula!$M$24*(Profiles_140!V88-Simulator!$L$22)^2*IF(Profiles_140!V88&gt;Simulator!$L$22,1+Model_Formula!$N$24,1)</x:f>
        <x:v>0</x:v>
      </x:c>
      <x:c r="R92" s="66" t="n">
        <x:f>Model_Formula!$M$25*(Profiles_140!W88-Simulator!$L$23)^2*IF(Profiles_140!W88&gt;Simulator!$L$23,1+Model_Formula!$N$25,1)</x:f>
        <x:v>551.25</x:v>
      </x:c>
      <x:c r="S92" s="66" t="n">
        <x:f>Model_Formula!$M$26*(Profiles_140!X88-Simulator!$L$24)^2*IF(Profiles_140!X88&gt;Simulator!$L$24,1+Model_Formula!$N$26,1)</x:f>
        <x:v>2376.0000000000005</x:v>
      </x:c>
      <x:c r="T92" s="66" t="n">
        <x:f>Model_Formula!$M$27*(Profiles_140!Y88-Simulator!$L$25)^2*IF(Profiles_140!Y88&gt;Simulator!$L$25,1+Model_Formula!$N$27,1)</x:f>
        <x:v>1479.1874999999998</x:v>
      </x:c>
      <x:c r="U92" s="60" t="n">
        <x:f>SUM(F92:T92)/SUM($F$4:$T$4)</x:f>
        <x:v>1446.4692164179105</x:v>
      </x:c>
      <x:c r="V92" s="60" t="n">
        <x:f>SQRT(U92)</x:f>
        <x:v>38.03247581236213</x:v>
      </x:c>
      <x:c r="W92" s="60" t="n">
        <x:f>MAX(0,100-V92)</x:f>
        <x:v>61.96752418763787</x:v>
      </x:c>
      <x:c r="X92" s="60" t="n">
        <x:f>SUMPRODUCT(Profiles_140!K88:Y88,$F$4:$T$4)/SUM($F$4:$T$4)</x:f>
        <x:v>48.15298507462687</x:v>
      </x:c>
      <x:c r="Y92" s="60" t="n">
        <x:f>IFERROR(50+50*SUMPRODUCT(($F$3:$T$3-$X$3)*(Profiles_140!K88:Y88-X92),$F$4:$T$4)/SQRT(SUMPRODUCT(($F$3:$T$3-$X$3)^2,$F$4:$T$4)*SUMPRODUCT((Profiles_140!K88:Y88-X92)^2,$F$4:$T$4)),50)</x:f>
        <x:v>50.00000000000001</x:v>
      </x:c>
      <x:c r="Z92" s="60" t="n">
        <x:f>$Z$3</x:f>
        <x:v>3.9474596431116675e-16</x:v>
      </x:c>
      <x:c r="AA92" s="60" t="n">
        <x:f>W92*(1-Model_Formula!$F$8*Z92)+Y92*(Model_Formula!$F$8*Z92)</x:f>
        <x:v>61.96752418763787</x:v>
      </x:c>
      <x:c r="AB92" s="60" t="n">
        <x:f>SQRT(SUMPRODUCT((Profiles_140!K88:Y88-50)^2,$F$4:$T$4)/SUM($F$4:$T$4))</x:f>
        <x:v>37.23037397433253</x:v>
      </x:c>
      <x:c r="AC92" s="60" t="n">
        <x:f>MAX(-Model_Formula!$F$11,MIN(Model_Formula!$F$11,Model_Formula!$F$10*(AB92-AVERAGE($AB$6:$AB$135))))</x:f>
        <x:v>3.641977637665728</x:v>
      </x:c>
      <x:c r="AD92" s="60" t="n">
        <x:f>MAX(0,MIN(100,AA92+AC92))</x:f>
        <x:v>65.6095018253036</x:v>
      </x:c>
      <x:c r="AE92" s="60" t="n">
        <x:f>MAX(0,MIN(1,IFERROR((MATCH(AD92,Percentile_Calibration!$F88:$DB88,1)-1)/100,0)))</x:f>
        <x:v>0.64</x:v>
      </x:c>
      <x:c r="AF92" s="62" t="n">
        <x:f>ROUND(MAX(Model_Formula!$I$9,Model_Formula!$I$5+Model_Formula!$I$6*POWER(AE92,Model_Formula!$I$7)),0)</x:f>
        <x:v>56</x:v>
      </x:c>
      <x:c r="AG92" t="n">
        <x:f>Profiles_140!AJ88</x:f>
        <x:v>0</x:v>
      </x:c>
      <x:c r="AH92" s="60" t="n">
        <x:f>Model_Formula!$I$8*(AE92*100)+(1-Model_Formula!$I$8)*AD92+AG92</x:f>
        <x:v>64.32190036506071</x:v>
      </x:c>
      <x:c r="AI92" t="n">
        <x:f>RANK.EQ(AH92,$AH$6:$AH$135,0)+COUNTIF($AH$6:AH92,AH92)-1</x:f>
        <x:v>120</x:v>
      </x:c>
    </x:row>
    <x:row r="93">
      <x:c r="A93" t="str">
        <x:f>Profiles_140!A89</x:f>
        <x:v>ドードリオ</x:v>
      </x:c>
      <x:c r="B93" t="str">
        <x:f>Profiles_140!C89</x:f>
        <x:v>ドードリオ-1</x:v>
      </x:c>
      <x:c r="C93" t="str">
        <x:f>Profiles_140!D89</x:f>
        <x:v>共通</x:v>
      </x:c>
      <x:c r="D93" t="str">
        <x:f>Profiles_140!B89</x:f>
        <x:v>スピード型</x:v>
      </x:c>
      <x:c r="E93" t="str">
        <x:f>Profiles_140!I89</x:f>
        <x:v>高</x:v>
      </x:c>
      <x:c r="F93" s="66" t="n">
        <x:f>Model_Formula!$M$13*(Profiles_140!K89-Simulator!$L$11)^2*IF(Profiles_140!K89&gt;Simulator!$L$11,1+Model_Formula!$N$13,1)</x:f>
        <x:v>900</x:v>
      </x:c>
      <x:c r="G93" s="66" t="n">
        <x:f>Model_Formula!$M$14*(Profiles_140!L89-Simulator!$L$12)^2*IF(Profiles_140!L89&gt;Simulator!$L$12,1+Model_Formula!$N$14,1)</x:f>
        <x:v>2625</x:v>
      </x:c>
      <x:c r="H93" s="66" t="n">
        <x:f>Model_Formula!$M$15*(Profiles_140!M89-Simulator!$L$13)^2*IF(Profiles_140!M89&gt;Simulator!$L$13,1+Model_Formula!$N$15,1)</x:f>
        <x:v>900</x:v>
      </x:c>
      <x:c r="I93" s="66" t="n">
        <x:f>Model_Formula!$M$16*(Profiles_140!N89-Simulator!$L$14)^2*IF(Profiles_140!N89&gt;Simulator!$L$14,1+Model_Formula!$N$16,1)</x:f>
        <x:v>25</x:v>
      </x:c>
      <x:c r="J93" s="66" t="n">
        <x:f>Model_Formula!$M$17*(Profiles_140!O89-Simulator!$L$15)^2*IF(Profiles_140!O89&gt;Simulator!$L$15,1+Model_Formula!$N$17,1)</x:f>
        <x:v>1600</x:v>
      </x:c>
      <x:c r="K93" s="66" t="n">
        <x:f>Model_Formula!$M$18*(Profiles_140!P89-Simulator!$L$16)^2*IF(Profiles_140!P89&gt;Simulator!$L$16,1+Model_Formula!$N$18,1)</x:f>
        <x:v>202.5</x:v>
      </x:c>
      <x:c r="L93" s="66" t="n">
        <x:f>Model_Formula!$M$19*(Profiles_140!Q89-Simulator!$L$17)^2*IF(Profiles_140!Q89&gt;Simulator!$L$17,1+Model_Formula!$N$19,1)</x:f>
        <x:v>25</x:v>
      </x:c>
      <x:c r="M93" s="66" t="n">
        <x:f>Model_Formula!$M$20*(Profiles_140!R89-Simulator!$L$18)^2*IF(Profiles_140!R89&gt;Simulator!$L$18,1+Model_Formula!$N$20,1)</x:f>
        <x:v>2025</x:v>
      </x:c>
      <x:c r="N93" s="66" t="n">
        <x:f>Model_Formula!$M$21*(Profiles_140!S89-Simulator!$L$19)^2*IF(Profiles_140!S89&gt;Simulator!$L$19,1+Model_Formula!$N$21,1)</x:f>
        <x:v>2500</x:v>
      </x:c>
      <x:c r="O93" s="66" t="n">
        <x:f>Model_Formula!$M$22*(Profiles_140!T89-Simulator!$L$20)^2*IF(Profiles_140!T89&gt;Simulator!$L$20,1+Model_Formula!$N$22,1)</x:f>
        <x:v>400</x:v>
      </x:c>
      <x:c r="P93" s="66" t="n">
        <x:f>Model_Formula!$M$23*(Profiles_140!U89-Simulator!$L$21)^2*IF(Profiles_140!U89&gt;Simulator!$L$21,1+Model_Formula!$N$23,1)</x:f>
        <x:v>0</x:v>
      </x:c>
      <x:c r="Q93" s="66" t="n">
        <x:f>Model_Formula!$M$24*(Profiles_140!V89-Simulator!$L$22)^2*IF(Profiles_140!V89&gt;Simulator!$L$22,1+Model_Formula!$N$24,1)</x:f>
        <x:v>40</x:v>
      </x:c>
      <x:c r="R93" s="66" t="n">
        <x:f>Model_Formula!$M$25*(Profiles_140!W89-Simulator!$L$23)^2*IF(Profiles_140!W89&gt;Simulator!$L$23,1+Model_Formula!$N$25,1)</x:f>
        <x:v>405</x:v>
      </x:c>
      <x:c r="S93" s="66" t="n">
        <x:f>Model_Formula!$M$26*(Profiles_140!X89-Simulator!$L$24)^2*IF(Profiles_140!X89&gt;Simulator!$L$24,1+Model_Formula!$N$26,1)</x:f>
        <x:v>1819.1250000000002</x:v>
      </x:c>
      <x:c r="T93" s="66" t="n">
        <x:f>Model_Formula!$M$27*(Profiles_140!Y89-Simulator!$L$25)^2*IF(Profiles_140!Y89&gt;Simulator!$L$25,1+Model_Formula!$N$27,1)</x:f>
        <x:v>1086.75</x:v>
      </x:c>
      <x:c r="U93" s="60" t="n">
        <x:f>SUM(F93:T93)/SUM($F$4:$T$4)</x:f>
        <x:v>1086.07276119403</x:v>
      </x:c>
      <x:c r="V93" s="60" t="n">
        <x:f>SQRT(U93)</x:f>
        <x:v>32.955618052071635</x:v>
      </x:c>
      <x:c r="W93" s="60" t="n">
        <x:f>MAX(0,100-V93)</x:f>
        <x:v>67.04438194792837</x:v>
      </x:c>
      <x:c r="X93" s="60" t="n">
        <x:f>SUMPRODUCT(Profiles_140!K89:Y89,$F$4:$T$4)/SUM($F$4:$T$4)</x:f>
        <x:v>57.57462686567165</x:v>
      </x:c>
      <x:c r="Y93" s="60" t="n">
        <x:f>IFERROR(50+50*SUMPRODUCT(($F$3:$T$3-$X$3)*(Profiles_140!K89:Y89-X93),$F$4:$T$4)/SQRT(SUMPRODUCT(($F$3:$T$3-$X$3)^2,$F$4:$T$4)*SUMPRODUCT((Profiles_140!K89:Y89-X93)^2,$F$4:$T$4)),50)</x:f>
        <x:v>50.00000000000001</x:v>
      </x:c>
      <x:c r="Z93" s="60" t="n">
        <x:f>$Z$3</x:f>
        <x:v>3.9474596431116675e-16</x:v>
      </x:c>
      <x:c r="AA93" s="60" t="n">
        <x:f>W93*(1-Model_Formula!$F$8*Z93)+Y93*(Model_Formula!$F$8*Z93)</x:f>
        <x:v>67.04438194792837</x:v>
      </x:c>
      <x:c r="AB93" s="60" t="n">
        <x:f>SQRT(SUMPRODUCT((Profiles_140!K89:Y89-50)^2,$F$4:$T$4)/SUM($F$4:$T$4))</x:f>
        <x:v>32.253658822879096</x:v>
      </x:c>
      <x:c r="AC93" s="60" t="n">
        <x:f>MAX(-Model_Formula!$F$11,MIN(Model_Formula!$F$11,Model_Formula!$F$10*(AB93-AVERAGE($AB$6:$AB$135))))</x:f>
        <x:v>1.402455819511683</x:v>
      </x:c>
      <x:c r="AD93" s="60" t="n">
        <x:f>MAX(0,MIN(100,AA93+AC93))</x:f>
        <x:v>68.44683776744006</x:v>
      </x:c>
      <x:c r="AE93" s="60" t="n">
        <x:f>MAX(0,MIN(1,IFERROR((MATCH(AD93,Percentile_Calibration!$F89:$DB89,1)-1)/100,0)))</x:f>
        <x:v>0.64</x:v>
      </x:c>
      <x:c r="AF93" s="62" t="n">
        <x:f>ROUND(MAX(Model_Formula!$I$9,Model_Formula!$I$5+Model_Formula!$I$6*POWER(AE93,Model_Formula!$I$7)),0)</x:f>
        <x:v>56</x:v>
      </x:c>
      <x:c r="AG93" t="n">
        <x:f>Profiles_140!AJ89</x:f>
        <x:v>0</x:v>
      </x:c>
      <x:c r="AH93" s="60" t="n">
        <x:f>Model_Formula!$I$8*(AE93*100)+(1-Model_Formula!$I$8)*AD93+AG93</x:f>
        <x:v>64.88936755348801</x:v>
      </x:c>
      <x:c r="AI93" t="n">
        <x:f>RANK.EQ(AH93,$AH$6:$AH$135,0)+COUNTIF($AH$6:AH93,AH93)-1</x:f>
        <x:v>118</x:v>
      </x:c>
    </x:row>
    <x:row r="94">
      <x:c r="A94" t="str">
        <x:f>Profiles_140!A90</x:f>
        <x:v>ニャース</x:v>
      </x:c>
      <x:c r="B94" t="str">
        <x:f>Profiles_140!C90</x:f>
        <x:v>ニャース-1</x:v>
      </x:c>
      <x:c r="C94" t="str">
        <x:f>Profiles_140!D90</x:f>
        <x:v>共通</x:v>
      </x:c>
      <x:c r="D94" t="str">
        <x:f>Profiles_140!B90</x:f>
        <x:v>スピード型</x:v>
      </x:c>
      <x:c r="E94" t="str">
        <x:f>Profiles_140!I90</x:f>
        <x:v>高</x:v>
      </x:c>
      <x:c r="F94" s="66" t="n">
        <x:f>Model_Formula!$M$13*(Profiles_140!K90-Simulator!$L$11)^2*IF(Profiles_140!K90&gt;Simulator!$L$11,1+Model_Formula!$N$13,1)</x:f>
        <x:v>100</x:v>
      </x:c>
      <x:c r="G94" s="66" t="n">
        <x:f>Model_Formula!$M$14*(Profiles_140!L90-Simulator!$L$12)^2*IF(Profiles_140!L90&gt;Simulator!$L$12,1+Model_Formula!$N$14,1)</x:f>
        <x:v>945</x:v>
      </x:c>
      <x:c r="H94" s="66" t="n">
        <x:f>Model_Formula!$M$15*(Profiles_140!M90-Simulator!$L$13)^2*IF(Profiles_140!M90&gt;Simulator!$L$13,1+Model_Formula!$N$15,1)</x:f>
        <x:v>625</x:v>
      </x:c>
      <x:c r="I94" s="66" t="n">
        <x:f>Model_Formula!$M$16*(Profiles_140!N90-Simulator!$L$14)^2*IF(Profiles_140!N90&gt;Simulator!$L$14,1+Model_Formula!$N$16,1)</x:f>
        <x:v>0</x:v>
      </x:c>
      <x:c r="J94" s="66" t="n">
        <x:f>Model_Formula!$M$17*(Profiles_140!O90-Simulator!$L$15)^2*IF(Profiles_140!O90&gt;Simulator!$L$15,1+Model_Formula!$N$17,1)</x:f>
        <x:v>225</x:v>
      </x:c>
      <x:c r="K94" s="66" t="n">
        <x:f>Model_Formula!$M$18*(Profiles_140!P90-Simulator!$L$16)^2*IF(Profiles_140!P90&gt;Simulator!$L$16,1+Model_Formula!$N$18,1)</x:f>
        <x:v>90</x:v>
      </x:c>
      <x:c r="L94" s="66" t="n">
        <x:f>Model_Formula!$M$19*(Profiles_140!Q90-Simulator!$L$17)^2*IF(Profiles_140!Q90&gt;Simulator!$L$17,1+Model_Formula!$N$19,1)</x:f>
        <x:v>225</x:v>
      </x:c>
      <x:c r="M94" s="66" t="n">
        <x:f>Model_Formula!$M$20*(Profiles_140!R90-Simulator!$L$18)^2*IF(Profiles_140!R90&gt;Simulator!$L$18,1+Model_Formula!$N$20,1)</x:f>
        <x:v>2025</x:v>
      </x:c>
      <x:c r="N94" s="66" t="n">
        <x:f>Model_Formula!$M$21*(Profiles_140!S90-Simulator!$L$19)^2*IF(Profiles_140!S90&gt;Simulator!$L$19,1+Model_Formula!$N$21,1)</x:f>
        <x:v>1600</x:v>
      </x:c>
      <x:c r="O94" s="66" t="n">
        <x:f>Model_Formula!$M$22*(Profiles_140!T90-Simulator!$L$20)^2*IF(Profiles_140!T90&gt;Simulator!$L$20,1+Model_Formula!$N$22,1)</x:f>
        <x:v>625</x:v>
      </x:c>
      <x:c r="P94" s="66" t="n">
        <x:f>Model_Formula!$M$23*(Profiles_140!U90-Simulator!$L$21)^2*IF(Profiles_140!U90&gt;Simulator!$L$21,1+Model_Formula!$N$23,1)</x:f>
        <x:v>11.25</x:v>
      </x:c>
      <x:c r="Q94" s="66" t="n">
        <x:f>Model_Formula!$M$24*(Profiles_140!V90-Simulator!$L$22)^2*IF(Profiles_140!V90&gt;Simulator!$L$22,1+Model_Formula!$N$24,1)</x:f>
        <x:v>90</x:v>
      </x:c>
      <x:c r="R94" s="66" t="n">
        <x:f>Model_Formula!$M$25*(Profiles_140!W90-Simulator!$L$23)^2*IF(Profiles_140!W90&gt;Simulator!$L$23,1+Model_Formula!$N$25,1)</x:f>
        <x:v>281.25</x:v>
      </x:c>
      <x:c r="S94" s="66" t="n">
        <x:f>Model_Formula!$M$26*(Profiles_140!X90-Simulator!$L$24)^2*IF(Profiles_140!X90&gt;Simulator!$L$24,1+Model_Formula!$N$26,1)</x:f>
        <x:v>594.0000000000001</x:v>
      </x:c>
      <x:c r="T94" s="66" t="n">
        <x:f>Model_Formula!$M$27*(Profiles_140!Y90-Simulator!$L$25)^2*IF(Profiles_140!Y90&gt;Simulator!$L$25,1+Model_Formula!$N$27,1)</x:f>
        <x:v>754.6874999999999</x:v>
      </x:c>
      <x:c r="U94" s="60" t="n">
        <x:f>SUM(F94:T94)/SUM($F$4:$T$4)</x:f>
        <x:v>611.2826492537314</x:v>
      </x:c>
      <x:c r="V94" s="60" t="n">
        <x:f>SQRT(U94)</x:f>
        <x:v>24.724130909978037</x:v>
      </x:c>
      <x:c r="W94" s="60" t="n">
        <x:f>MAX(0,100-V94)</x:f>
        <x:v>75.27586909002196</x:v>
      </x:c>
      <x:c r="X94" s="60" t="n">
        <x:f>SUMPRODUCT(Profiles_140!K90:Y90,$F$4:$T$4)/SUM($F$4:$T$4)</x:f>
        <x:v>56.212686567164184</x:v>
      </x:c>
      <x:c r="Y94" s="60" t="n">
        <x:f>IFERROR(50+50*SUMPRODUCT(($F$3:$T$3-$X$3)*(Profiles_140!K90:Y90-X94),$F$4:$T$4)/SQRT(SUMPRODUCT(($F$3:$T$3-$X$3)^2,$F$4:$T$4)*SUMPRODUCT((Profiles_140!K90:Y90-X94)^2,$F$4:$T$4)),50)</x:f>
        <x:v>50.00000000000001</x:v>
      </x:c>
      <x:c r="Z94" s="60" t="n">
        <x:f>$Z$3</x:f>
        <x:v>3.9474596431116675e-16</x:v>
      </x:c>
      <x:c r="AA94" s="60" t="n">
        <x:f>W94*(1-Model_Formula!$F$8*Z94)+Y94*(Model_Formula!$F$8*Z94)</x:f>
        <x:v>75.27586909002196</x:v>
      </x:c>
      <x:c r="AB94" s="60" t="n">
        <x:f>SQRT(SUMPRODUCT((Profiles_140!K90:Y90-50)^2,$F$4:$T$4)/SUM($F$4:$T$4))</x:f>
        <x:v>24.34017316805175</x:v>
      </x:c>
      <x:c r="AC94" s="60" t="n">
        <x:f>MAX(-Model_Formula!$F$11,MIN(Model_Formula!$F$11,Model_Formula!$F$10*(AB94-AVERAGE($AB$6:$AB$135))))</x:f>
        <x:v>-2.1586127251606237</x:v>
      </x:c>
      <x:c r="AD94" s="60" t="n">
        <x:f>MAX(0,MIN(100,AA94+AC94))</x:f>
        <x:v>73.11725636486133</x:v>
      </x:c>
      <x:c r="AE94" s="60" t="n">
        <x:f>MAX(0,MIN(1,IFERROR((MATCH(AD94,Percentile_Calibration!$F90:$DB90,1)-1)/100,0)))</x:f>
        <x:v>0.72</x:v>
      </x:c>
      <x:c r="AF94" s="62" t="n">
        <x:f>ROUND(MAX(Model_Formula!$I$9,Model_Formula!$I$5+Model_Formula!$I$6*POWER(AE94,Model_Formula!$I$7)),0)</x:f>
        <x:v>63</x:v>
      </x:c>
      <x:c r="AG94" t="n">
        <x:f>Profiles_140!AJ90</x:f>
        <x:v>0</x:v>
      </x:c>
      <x:c r="AH94" s="60" t="n">
        <x:f>Model_Formula!$I$8*(AE94*100)+(1-Model_Formula!$I$8)*AD94+AG94</x:f>
        <x:v>72.22345127297227</x:v>
      </x:c>
      <x:c r="AI94" t="n">
        <x:f>RANK.EQ(AH94,$AH$6:$AH$135,0)+COUNTIF($AH$6:AH94,AH94)-1</x:f>
        <x:v>65</x:v>
      </x:c>
    </x:row>
    <x:row r="95">
      <x:c r="A95" t="str">
        <x:f>Profiles_140!A91</x:f>
        <x:v>ファイアロー</x:v>
      </x:c>
      <x:c r="B95" t="str">
        <x:f>Profiles_140!C91</x:f>
        <x:v>ファイアロー-1</x:v>
      </x:c>
      <x:c r="C95" t="str">
        <x:f>Profiles_140!D91</x:f>
        <x:v>共通</x:v>
      </x:c>
      <x:c r="D95" t="str">
        <x:f>Profiles_140!B91</x:f>
        <x:v>スピード型</x:v>
      </x:c>
      <x:c r="E95" t="str">
        <x:f>Profiles_140!I91</x:f>
        <x:v>高</x:v>
      </x:c>
      <x:c r="F95" s="66" t="n">
        <x:f>Model_Formula!$M$13*(Profiles_140!K91-Simulator!$L$11)^2*IF(Profiles_140!K91&gt;Simulator!$L$11,1+Model_Formula!$N$13,1)</x:f>
        <x:v>225</x:v>
      </x:c>
      <x:c r="G95" s="66" t="n">
        <x:f>Model_Formula!$M$14*(Profiles_140!L91-Simulator!$L$12)^2*IF(Profiles_140!L91&gt;Simulator!$L$12,1+Model_Formula!$N$14,1)</x:f>
        <x:v>2625</x:v>
      </x:c>
      <x:c r="H95" s="66" t="n">
        <x:f>Model_Formula!$M$15*(Profiles_140!M91-Simulator!$L$13)^2*IF(Profiles_140!M91&gt;Simulator!$L$13,1+Model_Formula!$N$15,1)</x:f>
        <x:v>1225</x:v>
      </x:c>
      <x:c r="I95" s="66" t="n">
        <x:f>Model_Formula!$M$16*(Profiles_140!N91-Simulator!$L$14)^2*IF(Profiles_140!N91&gt;Simulator!$L$14,1+Model_Formula!$N$16,1)</x:f>
        <x:v>400</x:v>
      </x:c>
      <x:c r="J95" s="66" t="n">
        <x:f>Model_Formula!$M$17*(Profiles_140!O91-Simulator!$L$15)^2*IF(Profiles_140!O91&gt;Simulator!$L$15,1+Model_Formula!$N$17,1)</x:f>
        <x:v>1225</x:v>
      </x:c>
      <x:c r="K95" s="66" t="n">
        <x:f>Model_Formula!$M$18*(Profiles_140!P91-Simulator!$L$16)^2*IF(Profiles_140!P91&gt;Simulator!$L$16,1+Model_Formula!$N$18,1)</x:f>
        <x:v>2250</x:v>
      </x:c>
      <x:c r="L95" s="66" t="n">
        <x:f>Model_Formula!$M$19*(Profiles_140!Q91-Simulator!$L$17)^2*IF(Profiles_140!Q91&gt;Simulator!$L$17,1+Model_Formula!$N$19,1)</x:f>
        <x:v>225</x:v>
      </x:c>
      <x:c r="M95" s="66" t="n">
        <x:f>Model_Formula!$M$20*(Profiles_140!R91-Simulator!$L$18)^2*IF(Profiles_140!R91&gt;Simulator!$L$18,1+Model_Formula!$N$20,1)</x:f>
        <x:v>2025</x:v>
      </x:c>
      <x:c r="N95" s="66" t="n">
        <x:f>Model_Formula!$M$21*(Profiles_140!S91-Simulator!$L$19)^2*IF(Profiles_140!S91&gt;Simulator!$L$19,1+Model_Formula!$N$21,1)</x:f>
        <x:v>2500</x:v>
      </x:c>
      <x:c r="O95" s="66" t="n">
        <x:f>Model_Formula!$M$22*(Profiles_140!T91-Simulator!$L$20)^2*IF(Profiles_140!T91&gt;Simulator!$L$20,1+Model_Formula!$N$22,1)</x:f>
        <x:v>400</x:v>
      </x:c>
      <x:c r="P95" s="66" t="n">
        <x:f>Model_Formula!$M$23*(Profiles_140!U91-Simulator!$L$21)^2*IF(Profiles_140!U91&gt;Simulator!$L$21,1+Model_Formula!$N$23,1)</x:f>
        <x:v>11.25</x:v>
      </x:c>
      <x:c r="Q95" s="66" t="n">
        <x:f>Model_Formula!$M$24*(Profiles_140!V91-Simulator!$L$22)^2*IF(Profiles_140!V91&gt;Simulator!$L$22,1+Model_Formula!$N$24,1)</x:f>
        <x:v>490</x:v>
      </x:c>
      <x:c r="R95" s="66" t="n">
        <x:f>Model_Formula!$M$25*(Profiles_140!W91-Simulator!$L$23)^2*IF(Profiles_140!W91&gt;Simulator!$L$23,1+Model_Formula!$N$25,1)</x:f>
        <x:v>911.25</x:v>
      </x:c>
      <x:c r="S95" s="66" t="n">
        <x:f>Model_Formula!$M$26*(Profiles_140!X91-Simulator!$L$24)^2*IF(Profiles_140!X91&gt;Simulator!$L$24,1+Model_Formula!$N$26,1)</x:f>
        <x:v>1336.5000000000002</x:v>
      </x:c>
      <x:c r="T95" s="66" t="n">
        <x:f>Model_Formula!$M$27*(Profiles_140!Y91-Simulator!$L$25)^2*IF(Profiles_140!Y91&gt;Simulator!$L$25,1+Model_Formula!$N$27,1)</x:f>
        <x:v>1479.1874999999998</x:v>
      </x:c>
      <x:c r="U95" s="60" t="n">
        <x:f>SUM(F95:T95)/SUM($F$4:$T$4)</x:f>
        <x:v>1293.1483208955226</x:v>
      </x:c>
      <x:c r="V95" s="60" t="n">
        <x:f>SQRT(U95)</x:f>
        <x:v>35.96037153444779</x:v>
      </x:c>
      <x:c r="W95" s="60" t="n">
        <x:f>MAX(0,100-V95)</x:f>
        <x:v>64.03962846555221</x:v>
      </x:c>
      <x:c r="X95" s="60" t="n">
        <x:f>SUMPRODUCT(Profiles_140!K91:Y91,$F$4:$T$4)/SUM($F$4:$T$4)</x:f>
        <x:v>53.638059701492544</x:v>
      </x:c>
      <x:c r="Y95" s="60" t="n">
        <x:f>IFERROR(50+50*SUMPRODUCT(($F$3:$T$3-$X$3)*(Profiles_140!K91:Y91-X95),$F$4:$T$4)/SQRT(SUMPRODUCT(($F$3:$T$3-$X$3)^2,$F$4:$T$4)*SUMPRODUCT((Profiles_140!K91:Y91-X95)^2,$F$4:$T$4)),50)</x:f>
        <x:v>50.000000000000014</x:v>
      </x:c>
      <x:c r="Z95" s="60" t="n">
        <x:f>$Z$3</x:f>
        <x:v>3.9474596431116675e-16</x:v>
      </x:c>
      <x:c r="AA95" s="60" t="n">
        <x:f>W95*(1-Model_Formula!$F$8*Z95)+Y95*(Model_Formula!$F$8*Z95)</x:f>
        <x:v>64.03962846555221</x:v>
      </x:c>
      <x:c r="AB95" s="60" t="n">
        <x:f>SQRT(SUMPRODUCT((Profiles_140!K91:Y91-50)^2,$F$4:$T$4)/SUM($F$4:$T$4))</x:f>
        <x:v>35.39621153520213</x:v>
      </x:c>
      <x:c r="AC95" s="60" t="n">
        <x:f>MAX(-Model_Formula!$F$11,MIN(Model_Formula!$F$11,Model_Formula!$F$10*(AB95-AVERAGE($AB$6:$AB$135))))</x:f>
        <x:v>2.816604540057047</x:v>
      </x:c>
      <x:c r="AD95" s="60" t="n">
        <x:f>MAX(0,MIN(100,AA95+AC95))</x:f>
        <x:v>66.85623300560925</x:v>
      </x:c>
      <x:c r="AE95" s="60" t="n">
        <x:f>MAX(0,MIN(1,IFERROR((MATCH(AD95,Percentile_Calibration!$F91:$DB91,1)-1)/100,0)))</x:f>
        <x:v>0.63</x:v>
      </x:c>
      <x:c r="AF95" s="62" t="n">
        <x:f>ROUND(MAX(Model_Formula!$I$9,Model_Formula!$I$5+Model_Formula!$I$6*POWER(AE95,Model_Formula!$I$7)),0)</x:f>
        <x:v>56</x:v>
      </x:c>
      <x:c r="AG95" t="n">
        <x:f>Profiles_140!AJ91</x:f>
        <x:v>0.45</x:v>
      </x:c>
      <x:c r="AH95" s="60" t="n">
        <x:f>Model_Formula!$I$8*(AE95*100)+(1-Model_Formula!$I$8)*AD95+AG95</x:f>
        <x:v>64.22124660112185</x:v>
      </x:c>
      <x:c r="AI95" t="n">
        <x:f>RANK.EQ(AH95,$AH$6:$AH$135,0)+COUNTIF($AH$6:AH95,AH95)-1</x:f>
        <x:v>121</x:v>
      </x:c>
    </x:row>
    <x:row r="96">
      <x:c r="A96" t="str">
        <x:f>Profiles_140!A92</x:f>
        <x:v>マスカーニャ</x:v>
      </x:c>
      <x:c r="B96" t="str">
        <x:f>Profiles_140!C92</x:f>
        <x:v>マスカーニャ-1</x:v>
      </x:c>
      <x:c r="C96" t="str">
        <x:f>Profiles_140!D92</x:f>
        <x:v>トリックフラワー</x:v>
      </x:c>
      <x:c r="D96" t="str">
        <x:f>Profiles_140!B92</x:f>
        <x:v>スピード型</x:v>
      </x:c>
      <x:c r="E96" t="str">
        <x:f>Profiles_140!I92</x:f>
        <x:v>高</x:v>
      </x:c>
      <x:c r="F96" s="66" t="n">
        <x:f>Model_Formula!$M$13*(Profiles_140!K92-Simulator!$L$11)^2*IF(Profiles_140!K92&gt;Simulator!$L$11,1+Model_Formula!$N$13,1)</x:f>
        <x:v>25</x:v>
      </x:c>
      <x:c r="G96" s="66" t="n">
        <x:f>Model_Formula!$M$14*(Profiles_140!L92-Simulator!$L$12)^2*IF(Profiles_140!L92&gt;Simulator!$L$12,1+Model_Formula!$N$14,1)</x:f>
        <x:v>420</x:v>
      </x:c>
      <x:c r="H96" s="66" t="n">
        <x:f>Model_Formula!$M$15*(Profiles_140!M92-Simulator!$L$13)^2*IF(Profiles_140!M92&gt;Simulator!$L$13,1+Model_Formula!$N$15,1)</x:f>
        <x:v>400</x:v>
      </x:c>
      <x:c r="I96" s="66" t="n">
        <x:f>Model_Formula!$M$16*(Profiles_140!N92-Simulator!$L$14)^2*IF(Profiles_140!N92&gt;Simulator!$L$14,1+Model_Formula!$N$16,1)</x:f>
        <x:v>900</x:v>
      </x:c>
      <x:c r="J96" s="66" t="n">
        <x:f>Model_Formula!$M$17*(Profiles_140!O92-Simulator!$L$15)^2*IF(Profiles_140!O92&gt;Simulator!$L$15,1+Model_Formula!$N$17,1)</x:f>
        <x:v>625</x:v>
      </x:c>
      <x:c r="K96" s="66" t="n">
        <x:f>Model_Formula!$M$18*(Profiles_140!P92-Simulator!$L$16)^2*IF(Profiles_140!P92&gt;Simulator!$L$16,1+Model_Formula!$N$18,1)</x:f>
        <x:v>562.5</x:v>
      </x:c>
      <x:c r="L96" s="66" t="n">
        <x:f>Model_Formula!$M$19*(Profiles_140!Q92-Simulator!$L$17)^2*IF(Profiles_140!Q92&gt;Simulator!$L$17,1+Model_Formula!$N$19,1)</x:f>
        <x:v>0</x:v>
      </x:c>
      <x:c r="M96" s="66" t="n">
        <x:f>Model_Formula!$M$20*(Profiles_140!R92-Simulator!$L$18)^2*IF(Profiles_140!R92&gt;Simulator!$L$18,1+Model_Formula!$N$20,1)</x:f>
        <x:v>400</x:v>
      </x:c>
      <x:c r="N96" s="66" t="n">
        <x:f>Model_Formula!$M$21*(Profiles_140!S92-Simulator!$L$19)^2*IF(Profiles_140!S92&gt;Simulator!$L$19,1+Model_Formula!$N$21,1)</x:f>
        <x:v>1600</x:v>
      </x:c>
      <x:c r="O96" s="66" t="n">
        <x:f>Model_Formula!$M$22*(Profiles_140!T92-Simulator!$L$20)^2*IF(Profiles_140!T92&gt;Simulator!$L$20,1+Model_Formula!$N$22,1)</x:f>
        <x:v>100</x:v>
      </x:c>
      <x:c r="P96" s="66" t="n">
        <x:f>Model_Formula!$M$23*(Profiles_140!U92-Simulator!$L$21)^2*IF(Profiles_140!U92&gt;Simulator!$L$21,1+Model_Formula!$N$23,1)</x:f>
        <x:v>11.25</x:v>
      </x:c>
      <x:c r="Q96" s="66" t="n">
        <x:f>Model_Formula!$M$24*(Profiles_140!V92-Simulator!$L$22)^2*IF(Profiles_140!V92&gt;Simulator!$L$22,1+Model_Formula!$N$24,1)</x:f>
        <x:v>40</x:v>
      </x:c>
      <x:c r="R96" s="66" t="n">
        <x:f>Model_Formula!$M$25*(Profiles_140!W92-Simulator!$L$23)^2*IF(Profiles_140!W92&gt;Simulator!$L$23,1+Model_Formula!$N$25,1)</x:f>
        <x:v>551.25</x:v>
      </x:c>
      <x:c r="S96" s="66" t="n">
        <x:f>Model_Formula!$M$26*(Profiles_140!X92-Simulator!$L$24)^2*IF(Profiles_140!X92&gt;Simulator!$L$24,1+Model_Formula!$N$26,1)</x:f>
        <x:v>1336.5000000000002</x:v>
      </x:c>
      <x:c r="T96" s="66" t="n">
        <x:f>Model_Formula!$M$27*(Profiles_140!Y92-Simulator!$L$25)^2*IF(Profiles_140!Y92&gt;Simulator!$L$25,1+Model_Formula!$N$27,1)</x:f>
        <x:v>3018.7499999999995</x:v>
      </x:c>
      <x:c r="U96" s="60" t="n">
        <x:f>SUM(F96:T96)/SUM($F$4:$T$4)</x:f>
        <x:v>745.5410447761195</x:v>
      </x:c>
      <x:c r="V96" s="60" t="n">
        <x:f>SQRT(U96)</x:f>
        <x:v>27.304597502547434</x:v>
      </x:c>
      <x:c r="W96" s="60" t="n">
        <x:f>MAX(0,100-V96)</x:f>
        <x:v>72.69540249745256</x:v>
      </x:c>
      <x:c r="X96" s="60" t="n">
        <x:f>SUMPRODUCT(Profiles_140!K92:Y92,$F$4:$T$4)/SUM($F$4:$T$4)</x:f>
        <x:v>54.58955223880598</x:v>
      </x:c>
      <x:c r="Y96" s="60" t="n">
        <x:f>IFERROR(50+50*SUMPRODUCT(($F$3:$T$3-$X$3)*(Profiles_140!K92:Y92-X96),$F$4:$T$4)/SQRT(SUMPRODUCT(($F$3:$T$3-$X$3)^2,$F$4:$T$4)*SUMPRODUCT((Profiles_140!K92:Y92-X96)^2,$F$4:$T$4)),50)</x:f>
        <x:v>50.000000000000014</x:v>
      </x:c>
      <x:c r="Z96" s="60" t="n">
        <x:f>$Z$3</x:f>
        <x:v>3.9474596431116675e-16</x:v>
      </x:c>
      <x:c r="AA96" s="60" t="n">
        <x:f>W96*(1-Model_Formula!$F$8*Z96)+Y96*(Model_Formula!$F$8*Z96)</x:f>
        <x:v>72.69540249745256</x:v>
      </x:c>
      <x:c r="AB96" s="60" t="n">
        <x:f>SQRT(SUMPRODUCT((Profiles_140!K92:Y92-50)^2,$F$4:$T$4)/SUM($F$4:$T$4))</x:f>
        <x:v>26.27353245117007</x:v>
      </x:c>
      <x:c r="AC96" s="60" t="n">
        <x:f>MAX(-Model_Formula!$F$11,MIN(Model_Formula!$F$11,Model_Formula!$F$10*(AB96-AVERAGE($AB$6:$AB$135))))</x:f>
        <x:v>-1.288601047757379</x:v>
      </x:c>
      <x:c r="AD96" s="60" t="n">
        <x:f>MAX(0,MIN(100,AA96+AC96))</x:f>
        <x:v>71.40680144969518</x:v>
      </x:c>
      <x:c r="AE96" s="60" t="n">
        <x:f>MAX(0,MIN(1,IFERROR((MATCH(AD96,Percentile_Calibration!$F92:$DB92,1)-1)/100,0)))</x:f>
        <x:v>0.78</x:v>
      </x:c>
      <x:c r="AF96" s="62" t="n">
        <x:f>ROUND(MAX(Model_Formula!$I$9,Model_Formula!$I$5+Model_Formula!$I$6*POWER(AE96,Model_Formula!$I$7)),0)</x:f>
        <x:v>68</x:v>
      </x:c>
      <x:c r="AG96" t="n">
        <x:f>Profiles_140!AJ92</x:f>
        <x:v>0</x:v>
      </x:c>
      <x:c r="AH96" s="60" t="n">
        <x:f>Model_Formula!$I$8*(AE96*100)+(1-Model_Formula!$I$8)*AD96+AG96</x:f>
        <x:v>76.68136028993904</x:v>
      </x:c>
      <x:c r="AI96" t="n">
        <x:f>RANK.EQ(AH96,$AH$6:$AH$135,0)+COUNTIF($AH$6:AH96,AH96)-1</x:f>
        <x:v>46</x:v>
      </x:c>
    </x:row>
    <x:row r="97">
      <x:c r="A97" t="str">
        <x:f>Profiles_140!A93</x:f>
        <x:v>マスカーニャ</x:v>
      </x:c>
      <x:c r="B97" t="str">
        <x:f>Profiles_140!C93</x:f>
        <x:v>マスカーニャ-2</x:v>
      </x:c>
      <x:c r="C97" t="str">
        <x:f>Profiles_140!D93</x:f>
        <x:v>つじぎり</x:v>
      </x:c>
      <x:c r="D97" t="str">
        <x:f>Profiles_140!B93</x:f>
        <x:v>スピード型</x:v>
      </x:c>
      <x:c r="E97" t="str">
        <x:f>Profiles_140!I93</x:f>
        <x:v>高</x:v>
      </x:c>
      <x:c r="F97" s="66" t="n">
        <x:f>Model_Formula!$M$13*(Profiles_140!K93-Simulator!$L$11)^2*IF(Profiles_140!K93&gt;Simulator!$L$11,1+Model_Formula!$N$13,1)</x:f>
        <x:v>100</x:v>
      </x:c>
      <x:c r="G97" s="66" t="n">
        <x:f>Model_Formula!$M$14*(Profiles_140!L93-Simulator!$L$12)^2*IF(Profiles_140!L93&gt;Simulator!$L$12,1+Model_Formula!$N$14,1)</x:f>
        <x:v>1680</x:v>
      </x:c>
      <x:c r="H97" s="66" t="n">
        <x:f>Model_Formula!$M$15*(Profiles_140!M93-Simulator!$L$13)^2*IF(Profiles_140!M93&gt;Simulator!$L$13,1+Model_Formula!$N$15,1)</x:f>
        <x:v>1225</x:v>
      </x:c>
      <x:c r="I97" s="66" t="n">
        <x:f>Model_Formula!$M$16*(Profiles_140!N93-Simulator!$L$14)^2*IF(Profiles_140!N93&gt;Simulator!$L$14,1+Model_Formula!$N$16,1)</x:f>
        <x:v>225</x:v>
      </x:c>
      <x:c r="J97" s="66" t="n">
        <x:f>Model_Formula!$M$17*(Profiles_140!O93-Simulator!$L$15)^2*IF(Profiles_140!O93&gt;Simulator!$L$15,1+Model_Formula!$N$17,1)</x:f>
        <x:v>1600</x:v>
      </x:c>
      <x:c r="K97" s="66" t="n">
        <x:f>Model_Formula!$M$18*(Profiles_140!P93-Simulator!$L$16)^2*IF(Profiles_140!P93&gt;Simulator!$L$16,1+Model_Formula!$N$18,1)</x:f>
        <x:v>0</x:v>
      </x:c>
      <x:c r="L97" s="66" t="n">
        <x:f>Model_Formula!$M$19*(Profiles_140!Q93-Simulator!$L$17)^2*IF(Profiles_140!Q93&gt;Simulator!$L$17,1+Model_Formula!$N$19,1)</x:f>
        <x:v>625</x:v>
      </x:c>
      <x:c r="M97" s="66" t="n">
        <x:f>Model_Formula!$M$20*(Profiles_140!R93-Simulator!$L$18)^2*IF(Profiles_140!R93&gt;Simulator!$L$18,1+Model_Formula!$N$20,1)</x:f>
        <x:v>2025</x:v>
      </x:c>
      <x:c r="N97" s="66" t="n">
        <x:f>Model_Formula!$M$21*(Profiles_140!S93-Simulator!$L$19)^2*IF(Profiles_140!S93&gt;Simulator!$L$19,1+Model_Formula!$N$21,1)</x:f>
        <x:v>2500</x:v>
      </x:c>
      <x:c r="O97" s="66" t="n">
        <x:f>Model_Formula!$M$22*(Profiles_140!T93-Simulator!$L$20)^2*IF(Profiles_140!T93&gt;Simulator!$L$20,1+Model_Formula!$N$22,1)</x:f>
        <x:v>225</x:v>
      </x:c>
      <x:c r="P97" s="66" t="n">
        <x:f>Model_Formula!$M$23*(Profiles_140!U93-Simulator!$L$21)^2*IF(Profiles_140!U93&gt;Simulator!$L$21,1+Model_Formula!$N$23,1)</x:f>
        <x:v>11.25</x:v>
      </x:c>
      <x:c r="Q97" s="66" t="n">
        <x:f>Model_Formula!$M$24*(Profiles_140!V93-Simulator!$L$22)^2*IF(Profiles_140!V93&gt;Simulator!$L$22,1+Model_Formula!$N$24,1)</x:f>
        <x:v>250</x:v>
      </x:c>
      <x:c r="R97" s="66" t="n">
        <x:f>Model_Formula!$M$25*(Profiles_140!W93-Simulator!$L$23)^2*IF(Profiles_140!W93&gt;Simulator!$L$23,1+Model_Formula!$N$25,1)</x:f>
        <x:v>551.25</x:v>
      </x:c>
      <x:c r="S97" s="66" t="n">
        <x:f>Model_Formula!$M$26*(Profiles_140!X93-Simulator!$L$24)^2*IF(Profiles_140!X93&gt;Simulator!$L$24,1+Model_Formula!$N$26,1)</x:f>
        <x:v>1336.5000000000002</x:v>
      </x:c>
      <x:c r="T97" s="66" t="n">
        <x:f>Model_Formula!$M$27*(Profiles_140!Y93-Simulator!$L$25)^2*IF(Profiles_140!Y93&gt;Simulator!$L$25,1+Model_Formula!$N$27,1)</x:f>
        <x:v>754.6874999999999</x:v>
      </x:c>
      <x:c r="U97" s="60" t="n">
        <x:f>SUM(F97:T97)/SUM($F$4:$T$4)</x:f>
        <x:v>978.2602611940299</x:v>
      </x:c>
      <x:c r="V97" s="60" t="n">
        <x:f>SQRT(U97)</x:f>
        <x:v>31.27715238307397</x:v>
      </x:c>
      <x:c r="W97" s="60" t="n">
        <x:f>MAX(0,100-V97)</x:f>
        <x:v>68.72284761692603</x:v>
      </x:c>
      <x:c r="X97" s="60" t="n">
        <x:f>SUMPRODUCT(Profiles_140!K93:Y93,$F$4:$T$4)/SUM($F$4:$T$4)</x:f>
        <x:v>53.302238805970156</x:v>
      </x:c>
      <x:c r="Y97" s="60" t="n">
        <x:f>IFERROR(50+50*SUMPRODUCT(($F$3:$T$3-$X$3)*(Profiles_140!K93:Y93-X97),$F$4:$T$4)/SQRT(SUMPRODUCT(($F$3:$T$3-$X$3)^2,$F$4:$T$4)*SUMPRODUCT((Profiles_140!K93:Y93-X97)^2,$F$4:$T$4)),50)</x:f>
        <x:v>50.00000000000001</x:v>
      </x:c>
      <x:c r="Z97" s="60" t="n">
        <x:f>$Z$3</x:f>
        <x:v>3.9474596431116675e-16</x:v>
      </x:c>
      <x:c r="AA97" s="60" t="n">
        <x:f>W97*(1-Model_Formula!$F$8*Z97)+Y97*(Model_Formula!$F$8*Z97)</x:f>
        <x:v>68.72284761692603</x:v>
      </x:c>
      <x:c r="AB97" s="60" t="n">
        <x:f>SQRT(SUMPRODUCT((Profiles_140!K93:Y93-50)^2,$F$4:$T$4)/SUM($F$4:$T$4))</x:f>
        <x:v>30.741762638945314</x:v>
      </x:c>
      <x:c r="AC97" s="60" t="n">
        <x:f>MAX(-Model_Formula!$F$11,MIN(Model_Formula!$F$11,Model_Formula!$F$10*(AB97-AVERAGE($AB$6:$AB$135))))</x:f>
        <x:v>0.722102536741481</x:v>
      </x:c>
      <x:c r="AD97" s="60" t="n">
        <x:f>MAX(0,MIN(100,AA97+AC97))</x:f>
        <x:v>69.4449501536675</x:v>
      </x:c>
      <x:c r="AE97" s="60" t="n">
        <x:f>MAX(0,MIN(1,IFERROR((MATCH(AD97,Percentile_Calibration!$F93:$DB93,1)-1)/100,0)))</x:f>
        <x:v>0.67</x:v>
      </x:c>
      <x:c r="AF97" s="62" t="n">
        <x:f>ROUND(MAX(Model_Formula!$I$9,Model_Formula!$I$5+Model_Formula!$I$6*POWER(AE97,Model_Formula!$I$7)),0)</x:f>
        <x:v>59</x:v>
      </x:c>
      <x:c r="AG97" t="n">
        <x:f>Profiles_140!AJ93</x:f>
        <x:v>0</x:v>
      </x:c>
      <x:c r="AH97" s="60" t="n">
        <x:f>Model_Formula!$I$8*(AE97*100)+(1-Model_Formula!$I$8)*AD97+AG97</x:f>
        <x:v>67.4889900307335</x:v>
      </x:c>
      <x:c r="AI97" t="n">
        <x:f>RANK.EQ(AH97,$AH$6:$AH$135,0)+COUNTIF($AH$6:AH97,AH97)-1</x:f>
        <x:v>97</x:v>
      </x:c>
    </x:row>
    <x:row r="98">
      <x:c r="A98" t="str">
        <x:f>Profiles_140!A94</x:f>
        <x:v>モルペコ</x:v>
      </x:c>
      <x:c r="B98" t="str">
        <x:f>Profiles_140!C94</x:f>
        <x:v>モルペコ-1</x:v>
      </x:c>
      <x:c r="C98" t="str">
        <x:f>Profiles_140!D94</x:f>
        <x:v>共通</x:v>
      </x:c>
      <x:c r="D98" t="str">
        <x:f>Profiles_140!B94</x:f>
        <x:v>スピード型</x:v>
      </x:c>
      <x:c r="E98" t="str">
        <x:f>Profiles_140!I94</x:f>
        <x:v>低</x:v>
      </x:c>
      <x:c r="F98" s="66" t="n">
        <x:f>Model_Formula!$M$13*(Profiles_140!K94-Simulator!$L$11)^2*IF(Profiles_140!K94&gt;Simulator!$L$11,1+Model_Formula!$N$13,1)</x:f>
        <x:v>25</x:v>
      </x:c>
      <x:c r="G98" s="66" t="n">
        <x:f>Model_Formula!$M$14*(Profiles_140!L94-Simulator!$L$12)^2*IF(Profiles_140!L94&gt;Simulator!$L$12,1+Model_Formula!$N$14,1)</x:f>
        <x:v>2625</x:v>
      </x:c>
      <x:c r="H98" s="66" t="n">
        <x:f>Model_Formula!$M$15*(Profiles_140!M94-Simulator!$L$13)^2*IF(Profiles_140!M94&gt;Simulator!$L$13,1+Model_Formula!$N$15,1)</x:f>
        <x:v>2500</x:v>
      </x:c>
      <x:c r="I98" s="66" t="n">
        <x:f>Model_Formula!$M$16*(Profiles_140!N94-Simulator!$L$14)^2*IF(Profiles_140!N94&gt;Simulator!$L$14,1+Model_Formula!$N$16,1)</x:f>
        <x:v>2500</x:v>
      </x:c>
      <x:c r="J98" s="66" t="n">
        <x:f>Model_Formula!$M$17*(Profiles_140!O94-Simulator!$L$15)^2*IF(Profiles_140!O94&gt;Simulator!$L$15,1+Model_Formula!$N$17,1)</x:f>
        <x:v>1225</x:v>
      </x:c>
      <x:c r="K98" s="66" t="n">
        <x:f>Model_Formula!$M$18*(Profiles_140!P94-Simulator!$L$16)^2*IF(Profiles_140!P94&gt;Simulator!$L$16,1+Model_Formula!$N$18,1)</x:f>
        <x:v>1440</x:v>
      </x:c>
      <x:c r="L98" s="66" t="n">
        <x:f>Model_Formula!$M$19*(Profiles_140!Q94-Simulator!$L$17)^2*IF(Profiles_140!Q94&gt;Simulator!$L$17,1+Model_Formula!$N$19,1)</x:f>
        <x:v>625</x:v>
      </x:c>
      <x:c r="M98" s="66" t="n">
        <x:f>Model_Formula!$M$20*(Profiles_140!R94-Simulator!$L$18)^2*IF(Profiles_140!R94&gt;Simulator!$L$18,1+Model_Formula!$N$20,1)</x:f>
        <x:v>2025</x:v>
      </x:c>
      <x:c r="N98" s="66" t="n">
        <x:f>Model_Formula!$M$21*(Profiles_140!S94-Simulator!$L$19)^2*IF(Profiles_140!S94&gt;Simulator!$L$19,1+Model_Formula!$N$21,1)</x:f>
        <x:v>2500</x:v>
      </x:c>
      <x:c r="O98" s="66" t="n">
        <x:f>Model_Formula!$M$22*(Profiles_140!T94-Simulator!$L$20)^2*IF(Profiles_140!T94&gt;Simulator!$L$20,1+Model_Formula!$N$22,1)</x:f>
        <x:v>100</x:v>
      </x:c>
      <x:c r="P98" s="66" t="n">
        <x:f>Model_Formula!$M$23*(Profiles_140!U94-Simulator!$L$21)^2*IF(Profiles_140!U94&gt;Simulator!$L$21,1+Model_Formula!$N$23,1)</x:f>
        <x:v>11.25</x:v>
      </x:c>
      <x:c r="Q98" s="66" t="n">
        <x:f>Model_Formula!$M$24*(Profiles_140!V94-Simulator!$L$22)^2*IF(Profiles_140!V94&gt;Simulator!$L$22,1+Model_Formula!$N$24,1)</x:f>
        <x:v>160</x:v>
      </x:c>
      <x:c r="R98" s="66" t="n">
        <x:f>Model_Formula!$M$25*(Profiles_140!W94-Simulator!$L$23)^2*IF(Profiles_140!W94&gt;Simulator!$L$23,1+Model_Formula!$N$25,1)</x:f>
        <x:v>551.25</x:v>
      </x:c>
      <x:c r="S98" s="66" t="n">
        <x:f>Model_Formula!$M$26*(Profiles_140!X94-Simulator!$L$24)^2*IF(Profiles_140!X94&gt;Simulator!$L$24,1+Model_Formula!$N$26,1)</x:f>
        <x:v>2376.0000000000005</x:v>
      </x:c>
      <x:c r="T98" s="66" t="n">
        <x:f>Model_Formula!$M$27*(Profiles_140!Y94-Simulator!$L$25)^2*IF(Profiles_140!Y94&gt;Simulator!$L$25,1+Model_Formula!$N$27,1)</x:f>
        <x:v>754.6874999999999</x:v>
      </x:c>
      <x:c r="U98" s="60" t="n">
        <x:f>SUM(F98:T98)/SUM($F$4:$T$4)</x:f>
        <x:v>1449.1184701492539</x:v>
      </x:c>
      <x:c r="V98" s="60" t="n">
        <x:f>SQRT(U98)</x:f>
        <x:v>38.06728871550027</x:v>
      </x:c>
      <x:c r="W98" s="60" t="n">
        <x:f>MAX(0,100-V98)</x:f>
        <x:v>61.93271128449973</x:v>
      </x:c>
      <x:c r="X98" s="60" t="n">
        <x:f>SUMPRODUCT(Profiles_140!K94:Y94,$F$4:$T$4)/SUM($F$4:$T$4)</x:f>
        <x:v>47.96641791044777</x:v>
      </x:c>
      <x:c r="Y98" s="60" t="n">
        <x:f>IFERROR(50+50*SUMPRODUCT(($F$3:$T$3-$X$3)*(Profiles_140!K94:Y94-X98),$F$4:$T$4)/SQRT(SUMPRODUCT(($F$3:$T$3-$X$3)^2,$F$4:$T$4)*SUMPRODUCT((Profiles_140!K94:Y94-X98)^2,$F$4:$T$4)),50)</x:f>
        <x:v>50.000000000000014</x:v>
      </x:c>
      <x:c r="Z98" s="60" t="n">
        <x:f>$Z$3</x:f>
        <x:v>3.9474596431116675e-16</x:v>
      </x:c>
      <x:c r="AA98" s="60" t="n">
        <x:f>W98*(1-Model_Formula!$F$8*Z98)+Y98*(Model_Formula!$F$8*Z98)</x:f>
        <x:v>61.93271128449973</x:v>
      </x:c>
      <x:c r="AB98" s="60" t="n">
        <x:f>SQRT(SUMPRODUCT((Profiles_140!K94:Y94-50)^2,$F$4:$T$4)/SUM($F$4:$T$4))</x:f>
        <x:v>37.360436812301465</x:v>
      </x:c>
      <x:c r="AC98" s="60" t="n">
        <x:f>MAX(-Model_Formula!$F$11,MIN(Model_Formula!$F$11,Model_Formula!$F$10*(AB98-AVERAGE($AB$6:$AB$135))))</x:f>
        <x:v>3.700505914751749</x:v>
      </x:c>
      <x:c r="AD98" s="60" t="n">
        <x:f>MAX(0,MIN(100,AA98+AC98))</x:f>
        <x:v>65.63321719925148</x:v>
      </x:c>
      <x:c r="AE98" s="60" t="n">
        <x:f>MAX(0,MIN(1,IFERROR((MATCH(AD98,Percentile_Calibration!$F94:$DB94,1)-1)/100,0)))</x:f>
        <x:v>0.62</x:v>
      </x:c>
      <x:c r="AF98" s="62" t="n">
        <x:f>ROUND(MAX(Model_Formula!$I$9,Model_Formula!$I$5+Model_Formula!$I$6*POWER(AE98,Model_Formula!$I$7)),0)</x:f>
        <x:v>55</x:v>
      </x:c>
      <x:c r="AG98" t="n">
        <x:f>Profiles_140!AJ94</x:f>
        <x:v>0.15</x:v>
      </x:c>
      <x:c r="AH98" s="60" t="n">
        <x:f>Model_Formula!$I$8*(AE98*100)+(1-Model_Formula!$I$8)*AD98+AG98</x:f>
        <x:v>62.87664343985029</x:v>
      </x:c>
      <x:c r="AI98" t="n">
        <x:f>RANK.EQ(AH98,$AH$6:$AH$135,0)+COUNTIF($AH$6:AH98,AH98)-1</x:f>
        <x:v>124</x:v>
      </x:c>
    </x:row>
    <x:row r="99">
      <x:c r="A99" t="str">
        <x:f>Profiles_140!A95</x:f>
        <x:v>リーフィア</x:v>
      </x:c>
      <x:c r="B99" t="str">
        <x:f>Profiles_140!C95</x:f>
        <x:v>リーフィア-1</x:v>
      </x:c>
      <x:c r="C99" t="str">
        <x:f>Profiles_140!D95</x:f>
        <x:v>共通</x:v>
      </x:c>
      <x:c r="D99" t="str">
        <x:f>Profiles_140!B95</x:f>
        <x:v>スピード型</x:v>
      </x:c>
      <x:c r="E99" t="str">
        <x:f>Profiles_140!I95</x:f>
        <x:v>高</x:v>
      </x:c>
      <x:c r="F99" s="66" t="n">
        <x:f>Model_Formula!$M$13*(Profiles_140!K95-Simulator!$L$11)^2*IF(Profiles_140!K95&gt;Simulator!$L$11,1+Model_Formula!$N$13,1)</x:f>
        <x:v>25</x:v>
      </x:c>
      <x:c r="G99" s="66" t="n">
        <x:f>Model_Formula!$M$14*(Profiles_140!L95-Simulator!$L$12)^2*IF(Profiles_140!L95&gt;Simulator!$L$12,1+Model_Formula!$N$14,1)</x:f>
        <x:v>2625</x:v>
      </x:c>
      <x:c r="H99" s="66" t="n">
        <x:f>Model_Formula!$M$15*(Profiles_140!M95-Simulator!$L$13)^2*IF(Profiles_140!M95&gt;Simulator!$L$13,1+Model_Formula!$N$15,1)</x:f>
        <x:v>2500</x:v>
      </x:c>
      <x:c r="I99" s="66" t="n">
        <x:f>Model_Formula!$M$16*(Profiles_140!N95-Simulator!$L$14)^2*IF(Profiles_140!N95&gt;Simulator!$L$14,1+Model_Formula!$N$16,1)</x:f>
        <x:v>2500</x:v>
      </x:c>
      <x:c r="J99" s="66" t="n">
        <x:f>Model_Formula!$M$17*(Profiles_140!O95-Simulator!$L$15)^2*IF(Profiles_140!O95&gt;Simulator!$L$15,1+Model_Formula!$N$17,1)</x:f>
        <x:v>1225</x:v>
      </x:c>
      <x:c r="K99" s="66" t="n">
        <x:f>Model_Formula!$M$18*(Profiles_140!P95-Simulator!$L$16)^2*IF(Profiles_140!P95&gt;Simulator!$L$16,1+Model_Formula!$N$18,1)</x:f>
        <x:v>2250</x:v>
      </x:c>
      <x:c r="L99" s="66" t="n">
        <x:f>Model_Formula!$M$19*(Profiles_140!Q95-Simulator!$L$17)^2*IF(Profiles_140!Q95&gt;Simulator!$L$17,1+Model_Formula!$N$19,1)</x:f>
        <x:v>625</x:v>
      </x:c>
      <x:c r="M99" s="66" t="n">
        <x:f>Model_Formula!$M$20*(Profiles_140!R95-Simulator!$L$18)^2*IF(Profiles_140!R95&gt;Simulator!$L$18,1+Model_Formula!$N$20,1)</x:f>
        <x:v>2025</x:v>
      </x:c>
      <x:c r="N99" s="66" t="n">
        <x:f>Model_Formula!$M$21*(Profiles_140!S95-Simulator!$L$19)^2*IF(Profiles_140!S95&gt;Simulator!$L$19,1+Model_Formula!$N$21,1)</x:f>
        <x:v>2500</x:v>
      </x:c>
      <x:c r="O99" s="66" t="n">
        <x:f>Model_Formula!$M$22*(Profiles_140!T95-Simulator!$L$20)^2*IF(Profiles_140!T95&gt;Simulator!$L$20,1+Model_Formula!$N$22,1)</x:f>
        <x:v>100</x:v>
      </x:c>
      <x:c r="P99" s="66" t="n">
        <x:f>Model_Formula!$M$23*(Profiles_140!U95-Simulator!$L$21)^2*IF(Profiles_140!U95&gt;Simulator!$L$21,1+Model_Formula!$N$23,1)</x:f>
        <x:v>101.25</x:v>
      </x:c>
      <x:c r="Q99" s="66" t="n">
        <x:f>Model_Formula!$M$24*(Profiles_140!V95-Simulator!$L$22)^2*IF(Profiles_140!V95&gt;Simulator!$L$22,1+Model_Formula!$N$24,1)</x:f>
        <x:v>160</x:v>
      </x:c>
      <x:c r="R99" s="66" t="n">
        <x:f>Model_Formula!$M$25*(Profiles_140!W95-Simulator!$L$23)^2*IF(Profiles_140!W95&gt;Simulator!$L$23,1+Model_Formula!$N$25,1)</x:f>
        <x:v>551.25</x:v>
      </x:c>
      <x:c r="S99" s="66" t="n">
        <x:f>Model_Formula!$M$26*(Profiles_140!X95-Simulator!$L$24)^2*IF(Profiles_140!X95&gt;Simulator!$L$24,1+Model_Formula!$N$26,1)</x:f>
        <x:v>1819.1250000000002</x:v>
      </x:c>
      <x:c r="T99" s="66" t="n">
        <x:f>Model_Formula!$M$27*(Profiles_140!Y95-Simulator!$L$25)^2*IF(Profiles_140!Y95&gt;Simulator!$L$25,1+Model_Formula!$N$27,1)</x:f>
        <x:v>754.6874999999999</x:v>
      </x:c>
      <x:c r="U99" s="60" t="n">
        <x:f>SUM(F99:T99)/SUM($F$4:$T$4)</x:f>
        <x:v>1474.724813432836</x:v>
      </x:c>
      <x:c r="V99" s="60" t="n">
        <x:f>SQRT(U99)</x:f>
        <x:v>38.40214594827789</x:v>
      </x:c>
      <x:c r="W99" s="60" t="n">
        <x:f>MAX(0,100-V99)</x:f>
        <x:v>61.59785405172211</x:v>
      </x:c>
      <x:c r="X99" s="60" t="n">
        <x:f>SUMPRODUCT(Profiles_140!K95:Y95,$F$4:$T$4)/SUM($F$4:$T$4)</x:f>
        <x:v>46.212686567164184</x:v>
      </x:c>
      <x:c r="Y99" s="60" t="n">
        <x:f>IFERROR(50+50*SUMPRODUCT(($F$3:$T$3-$X$3)*(Profiles_140!K95:Y95-X99),$F$4:$T$4)/SQRT(SUMPRODUCT(($F$3:$T$3-$X$3)^2,$F$4:$T$4)*SUMPRODUCT((Profiles_140!K95:Y95-X99)^2,$F$4:$T$4)),50)</x:f>
        <x:v>50.00000000000001</x:v>
      </x:c>
      <x:c r="Z99" s="60" t="n">
        <x:f>$Z$3</x:f>
        <x:v>3.9474596431116675e-16</x:v>
      </x:c>
      <x:c r="AA99" s="60" t="n">
        <x:f>W99*(1-Model_Formula!$F$8*Z99)+Y99*(Model_Formula!$F$8*Z99)</x:f>
        <x:v>61.59785405172211</x:v>
      </x:c>
      <x:c r="AB99" s="60" t="n">
        <x:f>SQRT(SUMPRODUCT((Profiles_140!K95:Y95-50)^2,$F$4:$T$4)/SUM($F$4:$T$4))</x:f>
        <x:v>37.844191573092104</x:v>
      </x:c>
      <x:c r="AC99" s="60" t="n">
        <x:f>MAX(-Model_Formula!$F$11,MIN(Model_Formula!$F$11,Model_Formula!$F$10*(AB99-AVERAGE($AB$6:$AB$135))))</x:f>
        <x:v>3.9181955571075364</x:v>
      </x:c>
      <x:c r="AD99" s="60" t="n">
        <x:f>MAX(0,MIN(100,AA99+AC99))</x:f>
        <x:v>65.51604960882965</x:v>
      </x:c>
      <x:c r="AE99" s="60" t="n">
        <x:f>MAX(0,MIN(1,IFERROR((MATCH(AD99,Percentile_Calibration!$F95:$DB95,1)-1)/100,0)))</x:f>
        <x:v>0.62</x:v>
      </x:c>
      <x:c r="AF99" s="62" t="n">
        <x:f>ROUND(MAX(Model_Formula!$I$9,Model_Formula!$I$5+Model_Formula!$I$6*POWER(AE99,Model_Formula!$I$7)),0)</x:f>
        <x:v>55</x:v>
      </x:c>
      <x:c r="AG99" t="n">
        <x:f>Profiles_140!AJ95</x:f>
        <x:v>0</x:v>
      </x:c>
      <x:c r="AH99" s="60" t="n">
        <x:f>Model_Formula!$I$8*(AE99*100)+(1-Model_Formula!$I$8)*AD99+AG99</x:f>
        <x:v>62.70320992176593</x:v>
      </x:c>
      <x:c r="AI99" t="n">
        <x:f>RANK.EQ(AH99,$AH$6:$AH$135,0)+COUNTIF($AH$6:AH99,AH99)-1</x:f>
        <x:v>125</x:v>
      </x:c>
    </x:row>
    <x:row r="100">
      <x:c r="A100" t="str">
        <x:f>Profiles_140!A96</x:f>
        <x:v>イワパレス</x:v>
      </x:c>
      <x:c r="B100" t="str">
        <x:f>Profiles_140!C96</x:f>
        <x:v>イワパレス-1</x:v>
      </x:c>
      <x:c r="C100" t="str">
        <x:f>Profiles_140!D96</x:f>
        <x:v>がんせきふうじ</x:v>
      </x:c>
      <x:c r="D100" t="str">
        <x:f>Profiles_140!B96</x:f>
        <x:v>ディフェンス型</x:v>
      </x:c>
      <x:c r="E100" t="str">
        <x:f>Profiles_140!I96</x:f>
        <x:v>高</x:v>
      </x:c>
      <x:c r="F100" s="66" t="n">
        <x:f>Model_Formula!$M$13*(Profiles_140!K96-Simulator!$L$11)^2*IF(Profiles_140!K96&gt;Simulator!$L$11,1+Model_Formula!$N$13,1)</x:f>
        <x:v>2500</x:v>
      </x:c>
      <x:c r="G100" s="66" t="n">
        <x:f>Model_Formula!$M$14*(Profiles_140!L96-Simulator!$L$12)^2*IF(Profiles_140!L96&gt;Simulator!$L$12,1+Model_Formula!$N$14,1)</x:f>
        <x:v>945</x:v>
      </x:c>
      <x:c r="H100" s="66" t="n">
        <x:f>Model_Formula!$M$15*(Profiles_140!M96-Simulator!$L$13)^2*IF(Profiles_140!M96&gt;Simulator!$L$13,1+Model_Formula!$N$15,1)</x:f>
        <x:v>100</x:v>
      </x:c>
      <x:c r="I100" s="66" t="n">
        <x:f>Model_Formula!$M$16*(Profiles_140!N96-Simulator!$L$14)^2*IF(Profiles_140!N96&gt;Simulator!$L$14,1+Model_Formula!$N$16,1)</x:f>
        <x:v>2500</x:v>
      </x:c>
      <x:c r="J100" s="66" t="n">
        <x:f>Model_Formula!$M$17*(Profiles_140!O96-Simulator!$L$15)^2*IF(Profiles_140!O96&gt;Simulator!$L$15,1+Model_Formula!$N$17,1)</x:f>
        <x:v>900</x:v>
      </x:c>
      <x:c r="K100" s="66" t="n">
        <x:f>Model_Formula!$M$18*(Profiles_140!P96-Simulator!$L$16)^2*IF(Profiles_140!P96&gt;Simulator!$L$16,1+Model_Formula!$N$18,1)</x:f>
        <x:v>22.5</x:v>
      </x:c>
      <x:c r="L100" s="66" t="n">
        <x:f>Model_Formula!$M$19*(Profiles_140!Q96-Simulator!$L$17)^2*IF(Profiles_140!Q96&gt;Simulator!$L$17,1+Model_Formula!$N$19,1)</x:f>
        <x:v>2500</x:v>
      </x:c>
      <x:c r="M100" s="66" t="n">
        <x:f>Model_Formula!$M$20*(Profiles_140!R96-Simulator!$L$18)^2*IF(Profiles_140!R96&gt;Simulator!$L$18,1+Model_Formula!$N$20,1)</x:f>
        <x:v>1600</x:v>
      </x:c>
      <x:c r="N100" s="66" t="n">
        <x:f>Model_Formula!$M$21*(Profiles_140!S96-Simulator!$L$19)^2*IF(Profiles_140!S96&gt;Simulator!$L$19,1+Model_Formula!$N$21,1)</x:f>
        <x:v>400</x:v>
      </x:c>
      <x:c r="O100" s="66" t="n">
        <x:f>Model_Formula!$M$22*(Profiles_140!T96-Simulator!$L$20)^2*IF(Profiles_140!T96&gt;Simulator!$L$20,1+Model_Formula!$N$22,1)</x:f>
        <x:v>0</x:v>
      </x:c>
      <x:c r="P100" s="66" t="n">
        <x:f>Model_Formula!$M$23*(Profiles_140!U96-Simulator!$L$21)^2*IF(Profiles_140!U96&gt;Simulator!$L$21,1+Model_Formula!$N$23,1)</x:f>
        <x:v>551.25</x:v>
      </x:c>
      <x:c r="Q100" s="66" t="n">
        <x:f>Model_Formula!$M$24*(Profiles_140!V96-Simulator!$L$22)^2*IF(Profiles_140!V96&gt;Simulator!$L$22,1+Model_Formula!$N$24,1)</x:f>
        <x:v>40</x:v>
      </x:c>
      <x:c r="R100" s="66" t="n">
        <x:f>Model_Formula!$M$25*(Profiles_140!W96-Simulator!$L$23)^2*IF(Profiles_140!W96&gt;Simulator!$L$23,1+Model_Formula!$N$25,1)</x:f>
        <x:v>720</x:v>
      </x:c>
      <x:c r="S100" s="66" t="n">
        <x:f>Model_Formula!$M$26*(Profiles_140!X96-Simulator!$L$24)^2*IF(Profiles_140!X96&gt;Simulator!$L$24,1+Model_Formula!$N$26,1)</x:f>
        <x:v>37.12500000000001</x:v>
      </x:c>
      <x:c r="T100" s="66" t="n">
        <x:f>Model_Formula!$M$27*(Profiles_140!Y96-Simulator!$L$25)^2*IF(Profiles_140!Y96&gt;Simulator!$L$25,1+Model_Formula!$N$27,1)</x:f>
        <x:v>754.6874999999999</x:v>
      </x:c>
      <x:c r="U100" s="60" t="n">
        <x:f>SUM(F100:T100)/SUM($F$4:$T$4)</x:f>
        <x:v>1012.7285447761195</x:v>
      </x:c>
      <x:c r="V100" s="60" t="n">
        <x:f>SQRT(U100)</x:f>
        <x:v>31.823396185450093</x:v>
      </x:c>
      <x:c r="W100" s="60" t="n">
        <x:f>MAX(0,100-V100)</x:f>
        <x:v>68.1766038145499</x:v>
      </x:c>
      <x:c r="X100" s="60" t="n">
        <x:f>SUMPRODUCT(Profiles_140!K96:Y96,$F$4:$T$4)/SUM($F$4:$T$4)</x:f>
        <x:v>57.462686567164184</x:v>
      </x:c>
      <x:c r="Y100" s="60" t="n">
        <x:f>IFERROR(50+50*SUMPRODUCT(($F$3:$T$3-$X$3)*(Profiles_140!K96:Y96-X100),$F$4:$T$4)/SQRT(SUMPRODUCT(($F$3:$T$3-$X$3)^2,$F$4:$T$4)*SUMPRODUCT((Profiles_140!K96:Y96-X100)^2,$F$4:$T$4)),50)</x:f>
        <x:v>50.00000000000001</x:v>
      </x:c>
      <x:c r="Z100" s="60" t="n">
        <x:f>$Z$3</x:f>
        <x:v>3.9474596431116675e-16</x:v>
      </x:c>
      <x:c r="AA100" s="60" t="n">
        <x:f>W100*(1-Model_Formula!$F$8*Z100)+Y100*(Model_Formula!$F$8*Z100)</x:f>
        <x:v>68.1766038145499</x:v>
      </x:c>
      <x:c r="AB100" s="60" t="n">
        <x:f>SQRT(SUMPRODUCT((Profiles_140!K96:Y96-50)^2,$F$4:$T$4)/SUM($F$4:$T$4))</x:f>
        <x:v>31.69643795609339</x:v>
      </x:c>
      <x:c r="AC100" s="60" t="n">
        <x:f>MAX(-Model_Formula!$F$11,MIN(Model_Formula!$F$11,Model_Formula!$F$10*(AB100-AVERAGE($AB$6:$AB$135))))</x:f>
        <x:v>1.1517064294581154</x:v>
      </x:c>
      <x:c r="AD100" s="60" t="n">
        <x:f>MAX(0,MIN(100,AA100+AC100))</x:f>
        <x:v>69.32831024400802</x:v>
      </x:c>
      <x:c r="AE100" s="60" t="n">
        <x:f>MAX(0,MIN(1,IFERROR((MATCH(AD100,Percentile_Calibration!$F96:$DB96,1)-1)/100,0)))</x:f>
        <x:v>0.79</x:v>
      </x:c>
      <x:c r="AF100" s="62" t="n">
        <x:f>ROUND(MAX(Model_Formula!$I$9,Model_Formula!$I$5+Model_Formula!$I$6*POWER(AE100,Model_Formula!$I$7)),0)</x:f>
        <x:v>69</x:v>
      </x:c>
      <x:c r="AG100" t="n">
        <x:f>Profiles_140!AJ96</x:f>
        <x:v>0</x:v>
      </x:c>
      <x:c r="AH100" s="60" t="n">
        <x:f>Model_Formula!$I$8*(AE100*100)+(1-Model_Formula!$I$8)*AD100+AG100</x:f>
        <x:v>77.0656620488016</x:v>
      </x:c>
      <x:c r="AI100" t="n">
        <x:f>RANK.EQ(AH100,$AH$6:$AH$135,0)+COUNTIF($AH$6:AH100,AH100)-1</x:f>
        <x:v>43</x:v>
      </x:c>
    </x:row>
    <x:row r="101">
      <x:c r="A101" t="str">
        <x:f>Profiles_140!A97</x:f>
        <x:v>イワパレス</x:v>
      </x:c>
      <x:c r="B101" t="str">
        <x:f>Profiles_140!C97</x:f>
        <x:v>イワパレス-2</x:v>
      </x:c>
      <x:c r="C101" t="str">
        <x:f>Profiles_140!D97</x:f>
        <x:v>からをやぶる</x:v>
      </x:c>
      <x:c r="D101" t="str">
        <x:f>Profiles_140!B97</x:f>
        <x:v>ディフェンス型</x:v>
      </x:c>
      <x:c r="E101" t="str">
        <x:f>Profiles_140!I97</x:f>
        <x:v>高</x:v>
      </x:c>
      <x:c r="F101" s="66" t="n">
        <x:f>Model_Formula!$M$13*(Profiles_140!K97-Simulator!$L$11)^2*IF(Profiles_140!K97&gt;Simulator!$L$11,1+Model_Formula!$N$13,1)</x:f>
        <x:v>400</x:v>
      </x:c>
      <x:c r="G101" s="66" t="n">
        <x:f>Model_Formula!$M$14*(Profiles_140!L97-Simulator!$L$12)^2*IF(Profiles_140!L97&gt;Simulator!$L$12,1+Model_Formula!$N$14,1)</x:f>
        <x:v>420</x:v>
      </x:c>
      <x:c r="H101" s="66" t="n">
        <x:f>Model_Formula!$M$15*(Profiles_140!M97-Simulator!$L$13)^2*IF(Profiles_140!M97&gt;Simulator!$L$13,1+Model_Formula!$N$15,1)</x:f>
        <x:v>900</x:v>
      </x:c>
      <x:c r="I101" s="66" t="n">
        <x:f>Model_Formula!$M$16*(Profiles_140!N97-Simulator!$L$14)^2*IF(Profiles_140!N97&gt;Simulator!$L$14,1+Model_Formula!$N$16,1)</x:f>
        <x:v>1225</x:v>
      </x:c>
      <x:c r="J101" s="66" t="n">
        <x:f>Model_Formula!$M$17*(Profiles_140!O97-Simulator!$L$15)^2*IF(Profiles_140!O97&gt;Simulator!$L$15,1+Model_Formula!$N$17,1)</x:f>
        <x:v>1600</x:v>
      </x:c>
      <x:c r="K101" s="66" t="n">
        <x:f>Model_Formula!$M$18*(Profiles_140!P97-Simulator!$L$16)^2*IF(Profiles_140!P97&gt;Simulator!$L$16,1+Model_Formula!$N$18,1)</x:f>
        <x:v>22.5</x:v>
      </x:c>
      <x:c r="L101" s="66" t="n">
        <x:f>Model_Formula!$M$19*(Profiles_140!Q97-Simulator!$L$17)^2*IF(Profiles_140!Q97&gt;Simulator!$L$17,1+Model_Formula!$N$19,1)</x:f>
        <x:v>25</x:v>
      </x:c>
      <x:c r="M101" s="66" t="n">
        <x:f>Model_Formula!$M$20*(Profiles_140!R97-Simulator!$L$18)^2*IF(Profiles_140!R97&gt;Simulator!$L$18,1+Model_Formula!$N$20,1)</x:f>
        <x:v>2025</x:v>
      </x:c>
      <x:c r="N101" s="66" t="n">
        <x:f>Model_Formula!$M$21*(Profiles_140!S97-Simulator!$L$19)^2*IF(Profiles_140!S97&gt;Simulator!$L$19,1+Model_Formula!$N$21,1)</x:f>
        <x:v>225</x:v>
      </x:c>
      <x:c r="O101" s="66" t="n">
        <x:f>Model_Formula!$M$22*(Profiles_140!T97-Simulator!$L$20)^2*IF(Profiles_140!T97&gt;Simulator!$L$20,1+Model_Formula!$N$22,1)</x:f>
        <x:v>900</x:v>
      </x:c>
      <x:c r="P101" s="66" t="n">
        <x:f>Model_Formula!$M$23*(Profiles_140!U97-Simulator!$L$21)^2*IF(Profiles_140!U97&gt;Simulator!$L$21,1+Model_Formula!$N$23,1)</x:f>
        <x:v>0</x:v>
      </x:c>
      <x:c r="Q101" s="66" t="n">
        <x:f>Model_Formula!$M$24*(Profiles_140!V97-Simulator!$L$22)^2*IF(Profiles_140!V97&gt;Simulator!$L$22,1+Model_Formula!$N$24,1)</x:f>
        <x:v>160</x:v>
      </x:c>
      <x:c r="R101" s="66" t="n">
        <x:f>Model_Formula!$M$25*(Profiles_140!W97-Simulator!$L$23)^2*IF(Profiles_140!W97&gt;Simulator!$L$23,1+Model_Formula!$N$25,1)</x:f>
        <x:v>101.25</x:v>
      </x:c>
      <x:c r="S101" s="66" t="n">
        <x:f>Model_Formula!$M$26*(Profiles_140!X97-Simulator!$L$24)^2*IF(Profiles_140!X97&gt;Simulator!$L$24,1+Model_Formula!$N$26,1)</x:f>
        <x:v>0</x:v>
      </x:c>
      <x:c r="T101" s="66" t="n">
        <x:f>Model_Formula!$M$27*(Profiles_140!Y97-Simulator!$L$25)^2*IF(Profiles_140!Y97&gt;Simulator!$L$25,1+Model_Formula!$N$27,1)</x:f>
        <x:v>120.74999999999999</x:v>
      </x:c>
      <x:c r="U101" s="60" t="n">
        <x:f>SUM(F101:T101)/SUM($F$4:$T$4)</x:f>
        <x:v>606.3059701492538</x:v>
      </x:c>
      <x:c r="V101" s="60" t="n">
        <x:f>SQRT(U101)</x:f>
        <x:v>24.623281059786766</x:v>
      </x:c>
      <x:c r="W101" s="60" t="n">
        <x:f>MAX(0,100-V101)</x:f>
        <x:v>75.37671894021324</x:v>
      </x:c>
      <x:c r="X101" s="60" t="n">
        <x:f>SUMPRODUCT(Profiles_140!K97:Y97,$F$4:$T$4)/SUM($F$4:$T$4)</x:f>
        <x:v>51.62313432835821</x:v>
      </x:c>
      <x:c r="Y101" s="60" t="n">
        <x:f>IFERROR(50+50*SUMPRODUCT(($F$3:$T$3-$X$3)*(Profiles_140!K97:Y97-X101),$F$4:$T$4)/SQRT(SUMPRODUCT(($F$3:$T$3-$X$3)^2,$F$4:$T$4)*SUMPRODUCT((Profiles_140!K97:Y97-X101)^2,$F$4:$T$4)),50)</x:f>
        <x:v>50.00000000000001</x:v>
      </x:c>
      <x:c r="Z101" s="60" t="n">
        <x:f>$Z$3</x:f>
        <x:v>3.9474596431116675e-16</x:v>
      </x:c>
      <x:c r="AA101" s="60" t="n">
        <x:f>W101*(1-Model_Formula!$F$8*Z101)+Y101*(Model_Formula!$F$8*Z101)</x:f>
        <x:v>75.37671894021324</x:v>
      </x:c>
      <x:c r="AB101" s="60" t="n">
        <x:f>SQRT(SUMPRODUCT((Profiles_140!K97:Y97-50)^2,$F$4:$T$4)/SUM($F$4:$T$4))</x:f>
        <x:v>24.599402371092786</x:v>
      </x:c>
      <x:c r="AC101" s="60" t="n">
        <x:f>MAX(-Model_Formula!$F$11,MIN(Model_Formula!$F$11,Model_Formula!$F$10*(AB101-AVERAGE($AB$6:$AB$135))))</x:f>
        <x:v>-2.0419595837921567</x:v>
      </x:c>
      <x:c r="AD101" s="60" t="n">
        <x:f>MAX(0,MIN(100,AA101+AC101))</x:f>
        <x:v>73.33475935642107</x:v>
      </x:c>
      <x:c r="AE101" s="60" t="n">
        <x:f>MAX(0,MIN(1,IFERROR((MATCH(AD101,Percentile_Calibration!$F97:$DB97,1)-1)/100,0)))</x:f>
        <x:v>0.71</x:v>
      </x:c>
      <x:c r="AF101" s="62" t="n">
        <x:f>ROUND(MAX(Model_Formula!$I$9,Model_Formula!$I$5+Model_Formula!$I$6*POWER(AE101,Model_Formula!$I$7)),0)</x:f>
        <x:v>62</x:v>
      </x:c>
      <x:c r="AG101" t="n">
        <x:f>Profiles_140!AJ97</x:f>
        <x:v>0</x:v>
      </x:c>
      <x:c r="AH101" s="60" t="n">
        <x:f>Model_Formula!$I$8*(AE101*100)+(1-Model_Formula!$I$8)*AD101+AG101</x:f>
        <x:v>71.46695187128421</x:v>
      </x:c>
      <x:c r="AI101" t="n">
        <x:f>RANK.EQ(AH101,$AH$6:$AH$135,0)+COUNTIF($AH$6:AH101,AH101)-1</x:f>
        <x:v>69</x:v>
      </x:c>
    </x:row>
    <x:row r="102">
      <x:c r="A102" t="str">
        <x:f>Profiles_140!A98</x:f>
        <x:v>オーロット</x:v>
      </x:c>
      <x:c r="B102" t="str">
        <x:f>Profiles_140!C98</x:f>
        <x:v>オーロット-1</x:v>
      </x:c>
      <x:c r="C102" t="str">
        <x:f>Profiles_140!D98</x:f>
        <x:v>ウッドハンマー</x:v>
      </x:c>
      <x:c r="D102" t="str">
        <x:f>Profiles_140!B98</x:f>
        <x:v>ディフェンス型</x:v>
      </x:c>
      <x:c r="E102" t="str">
        <x:f>Profiles_140!I98</x:f>
        <x:v>高</x:v>
      </x:c>
      <x:c r="F102" s="66" t="n">
        <x:f>Model_Formula!$M$13*(Profiles_140!K98-Simulator!$L$11)^2*IF(Profiles_140!K98&gt;Simulator!$L$11,1+Model_Formula!$N$13,1)</x:f>
        <x:v>1600</x:v>
      </x:c>
      <x:c r="G102" s="66" t="n">
        <x:f>Model_Formula!$M$14*(Profiles_140!L98-Simulator!$L$12)^2*IF(Profiles_140!L98&gt;Simulator!$L$12,1+Model_Formula!$N$14,1)</x:f>
        <x:v>26.25</x:v>
      </x:c>
      <x:c r="H102" s="66" t="n">
        <x:f>Model_Formula!$M$15*(Profiles_140!M98-Simulator!$L$13)^2*IF(Profiles_140!M98&gt;Simulator!$L$13,1+Model_Formula!$N$15,1)</x:f>
        <x:v>1600</x:v>
      </x:c>
      <x:c r="I102" s="66" t="n">
        <x:f>Model_Formula!$M$16*(Profiles_140!N98-Simulator!$L$14)^2*IF(Profiles_140!N98&gt;Simulator!$L$14,1+Model_Formula!$N$16,1)</x:f>
        <x:v>2500</x:v>
      </x:c>
      <x:c r="J102" s="66" t="n">
        <x:f>Model_Formula!$M$17*(Profiles_140!O98-Simulator!$L$15)^2*IF(Profiles_140!O98&gt;Simulator!$L$15,1+Model_Formula!$N$17,1)</x:f>
        <x:v>2500</x:v>
      </x:c>
      <x:c r="K102" s="66" t="n">
        <x:f>Model_Formula!$M$18*(Profiles_140!P98-Simulator!$L$16)^2*IF(Profiles_140!P98&gt;Simulator!$L$16,1+Model_Formula!$N$18,1)</x:f>
        <x:v>202.5</x:v>
      </x:c>
      <x:c r="L102" s="66" t="n">
        <x:f>Model_Formula!$M$19*(Profiles_140!Q98-Simulator!$L$17)^2*IF(Profiles_140!Q98&gt;Simulator!$L$17,1+Model_Formula!$N$19,1)</x:f>
        <x:v>2500</x:v>
      </x:c>
      <x:c r="M102" s="66" t="n">
        <x:f>Model_Formula!$M$20*(Profiles_140!R98-Simulator!$L$18)^2*IF(Profiles_140!R98&gt;Simulator!$L$18,1+Model_Formula!$N$20,1)</x:f>
        <x:v>400</x:v>
      </x:c>
      <x:c r="N102" s="66" t="n">
        <x:f>Model_Formula!$M$21*(Profiles_140!S98-Simulator!$L$19)^2*IF(Profiles_140!S98&gt;Simulator!$L$19,1+Model_Formula!$N$21,1)</x:f>
        <x:v>400</x:v>
      </x:c>
      <x:c r="O102" s="66" t="n">
        <x:f>Model_Formula!$M$22*(Profiles_140!T98-Simulator!$L$20)^2*IF(Profiles_140!T98&gt;Simulator!$L$20,1+Model_Formula!$N$22,1)</x:f>
        <x:v>0</x:v>
      </x:c>
      <x:c r="P102" s="66" t="n">
        <x:f>Model_Formula!$M$23*(Profiles_140!U98-Simulator!$L$21)^2*IF(Profiles_140!U98&gt;Simulator!$L$21,1+Model_Formula!$N$23,1)</x:f>
        <x:v>551.25</x:v>
      </x:c>
      <x:c r="Q102" s="66" t="n">
        <x:f>Model_Formula!$M$24*(Profiles_140!V98-Simulator!$L$22)^2*IF(Profiles_140!V98&gt;Simulator!$L$22,1+Model_Formula!$N$24,1)</x:f>
        <x:v>160</x:v>
      </x:c>
      <x:c r="R102" s="66" t="n">
        <x:f>Model_Formula!$M$25*(Profiles_140!W98-Simulator!$L$23)^2*IF(Profiles_140!W98&gt;Simulator!$L$23,1+Model_Formula!$N$25,1)</x:f>
        <x:v>720</x:v>
      </x:c>
      <x:c r="S102" s="66" t="n">
        <x:f>Model_Formula!$M$26*(Profiles_140!X98-Simulator!$L$24)^2*IF(Profiles_140!X98&gt;Simulator!$L$24,1+Model_Formula!$N$26,1)</x:f>
        <x:v>37.12500000000001</x:v>
      </x:c>
      <x:c r="T102" s="66" t="n">
        <x:f>Model_Formula!$M$27*(Profiles_140!Y98-Simulator!$L$25)^2*IF(Profiles_140!Y98&gt;Simulator!$L$25,1+Model_Formula!$N$27,1)</x:f>
        <x:v>1479.1874999999998</x:v>
      </x:c>
      <x:c r="U102" s="60" t="n">
        <x:f>SUM(F102:T102)/SUM($F$4:$T$4)</x:f>
        <x:v>1095.2472014925374</x:v>
      </x:c>
      <x:c r="V102" s="60" t="n">
        <x:f>SQRT(U102)</x:f>
        <x:v>33.09451920624527</x:v>
      </x:c>
      <x:c r="W102" s="60" t="n">
        <x:f>MAX(0,100-V102)</x:f>
        <x:v>66.90548079375472</x:v>
      </x:c>
      <x:c r="X102" s="60" t="n">
        <x:f>SUMPRODUCT(Profiles_140!K98:Y98,$F$4:$T$4)/SUM($F$4:$T$4)</x:f>
        <x:v>57.369402985074636</x:v>
      </x:c>
      <x:c r="Y102" s="60" t="n">
        <x:f>IFERROR(50+50*SUMPRODUCT(($F$3:$T$3-$X$3)*(Profiles_140!K98:Y98-X102),$F$4:$T$4)/SQRT(SUMPRODUCT(($F$3:$T$3-$X$3)^2,$F$4:$T$4)*SUMPRODUCT((Profiles_140!K98:Y98-X102)^2,$F$4:$T$4)),50)</x:f>
        <x:v>50.000000000000014</x:v>
      </x:c>
      <x:c r="Z102" s="60" t="n">
        <x:f>$Z$3</x:f>
        <x:v>3.9474596431116675e-16</x:v>
      </x:c>
      <x:c r="AA102" s="60" t="n">
        <x:f>W102*(1-Model_Formula!$F$8*Z102)+Y102*(Model_Formula!$F$8*Z102)</x:f>
        <x:v>66.90548079375472</x:v>
      </x:c>
      <x:c r="AB102" s="60" t="n">
        <x:f>SQRT(SUMPRODUCT((Profiles_140!K98:Y98-50)^2,$F$4:$T$4)/SUM($F$4:$T$4))</x:f>
        <x:v>32.86534036055196</x:v>
      </x:c>
      <x:c r="AC102" s="60" t="n">
        <x:f>MAX(-Model_Formula!$F$11,MIN(Model_Formula!$F$11,Model_Formula!$F$10*(AB102-AVERAGE($AB$6:$AB$135))))</x:f>
        <x:v>1.6777125114644722</x:v>
      </x:c>
      <x:c r="AD102" s="60" t="n">
        <x:f>MAX(0,MIN(100,AA102+AC102))</x:f>
        <x:v>68.5831933052192</x:v>
      </x:c>
      <x:c r="AE102" s="60" t="n">
        <x:f>MAX(0,MIN(1,IFERROR((MATCH(AD102,Percentile_Calibration!$F98:$DB98,1)-1)/100,0)))</x:f>
        <x:v>0.8</x:v>
      </x:c>
      <x:c r="AF102" s="62" t="n">
        <x:f>ROUND(MAX(Model_Formula!$I$9,Model_Formula!$I$5+Model_Formula!$I$6*POWER(AE102,Model_Formula!$I$7)),0)</x:f>
        <x:v>70</x:v>
      </x:c>
      <x:c r="AG102" t="n">
        <x:f>Profiles_140!AJ98</x:f>
        <x:v>0</x:v>
      </x:c>
      <x:c r="AH102" s="60" t="n">
        <x:f>Model_Formula!$I$8*(AE102*100)+(1-Model_Formula!$I$8)*AD102+AG102</x:f>
        <x:v>77.71663866104383</x:v>
      </x:c>
      <x:c r="AI102" t="n">
        <x:f>RANK.EQ(AH102,$AH$6:$AH$135,0)+COUNTIF($AH$6:AH102,AH102)-1</x:f>
        <x:v>39</x:v>
      </x:c>
    </x:row>
    <x:row r="103">
      <x:c r="A103" t="str">
        <x:f>Profiles_140!A99</x:f>
        <x:v>オーロット</x:v>
      </x:c>
      <x:c r="B103" t="str">
        <x:f>Profiles_140!C99</x:f>
        <x:v>オーロット-2</x:v>
      </x:c>
      <x:c r="C103" t="str">
        <x:f>Profiles_140!D99</x:f>
        <x:v>のろい</x:v>
      </x:c>
      <x:c r="D103" t="str">
        <x:f>Profiles_140!B99</x:f>
        <x:v>ディフェンス型</x:v>
      </x:c>
      <x:c r="E103" t="str">
        <x:f>Profiles_140!I99</x:f>
        <x:v>高</x:v>
      </x:c>
      <x:c r="F103" s="66" t="n">
        <x:f>Model_Formula!$M$13*(Profiles_140!K99-Simulator!$L$11)^2*IF(Profiles_140!K99&gt;Simulator!$L$11,1+Model_Formula!$N$13,1)</x:f>
        <x:v>25</x:v>
      </x:c>
      <x:c r="G103" s="66" t="n">
        <x:f>Model_Formula!$M$14*(Profiles_140!L99-Simulator!$L$12)^2*IF(Profiles_140!L99&gt;Simulator!$L$12,1+Model_Formula!$N$14,1)</x:f>
        <x:v>26.25</x:v>
      </x:c>
      <x:c r="H103" s="66" t="n">
        <x:f>Model_Formula!$M$15*(Profiles_140!M99-Simulator!$L$13)^2*IF(Profiles_140!M99&gt;Simulator!$L$13,1+Model_Formula!$N$15,1)</x:f>
        <x:v>25</x:v>
      </x:c>
      <x:c r="I103" s="66" t="n">
        <x:f>Model_Formula!$M$16*(Profiles_140!N99-Simulator!$L$14)^2*IF(Profiles_140!N99&gt;Simulator!$L$14,1+Model_Formula!$N$16,1)</x:f>
        <x:v>2500</x:v>
      </x:c>
      <x:c r="J103" s="66" t="n">
        <x:f>Model_Formula!$M$17*(Profiles_140!O99-Simulator!$L$15)^2*IF(Profiles_140!O99&gt;Simulator!$L$15,1+Model_Formula!$N$17,1)</x:f>
        <x:v>1600</x:v>
      </x:c>
      <x:c r="K103" s="66" t="n">
        <x:f>Model_Formula!$M$18*(Profiles_140!P99-Simulator!$L$16)^2*IF(Profiles_140!P99&gt;Simulator!$L$16,1+Model_Formula!$N$18,1)</x:f>
        <x:v>1822.5</x:v>
      </x:c>
      <x:c r="L103" s="66" t="n">
        <x:f>Model_Formula!$M$19*(Profiles_140!Q99-Simulator!$L$17)^2*IF(Profiles_140!Q99&gt;Simulator!$L$17,1+Model_Formula!$N$19,1)</x:f>
        <x:v>100</x:v>
      </x:c>
      <x:c r="M103" s="66" t="n">
        <x:f>Model_Formula!$M$20*(Profiles_140!R99-Simulator!$L$18)^2*IF(Profiles_140!R99&gt;Simulator!$L$18,1+Model_Formula!$N$20,1)</x:f>
        <x:v>2500</x:v>
      </x:c>
      <x:c r="N103" s="66" t="n">
        <x:f>Model_Formula!$M$21*(Profiles_140!S99-Simulator!$L$19)^2*IF(Profiles_140!S99&gt;Simulator!$L$19,1+Model_Formula!$N$21,1)</x:f>
        <x:v>1225</x:v>
      </x:c>
      <x:c r="O103" s="66" t="n">
        <x:f>Model_Formula!$M$22*(Profiles_140!T99-Simulator!$L$20)^2*IF(Profiles_140!T99&gt;Simulator!$L$20,1+Model_Formula!$N$22,1)</x:f>
        <x:v>225</x:v>
      </x:c>
      <x:c r="P103" s="66" t="n">
        <x:f>Model_Formula!$M$23*(Profiles_140!U99-Simulator!$L$21)^2*IF(Profiles_140!U99&gt;Simulator!$L$21,1+Model_Formula!$N$23,1)</x:f>
        <x:v>180</x:v>
      </x:c>
      <x:c r="Q103" s="66" t="n">
        <x:f>Model_Formula!$M$24*(Profiles_140!V99-Simulator!$L$22)^2*IF(Profiles_140!V99&gt;Simulator!$L$22,1+Model_Formula!$N$24,1)</x:f>
        <x:v>250</x:v>
      </x:c>
      <x:c r="R103" s="66" t="n">
        <x:f>Model_Formula!$M$25*(Profiles_140!W99-Simulator!$L$23)^2*IF(Profiles_140!W99&gt;Simulator!$L$23,1+Model_Formula!$N$25,1)</x:f>
        <x:v>180</x:v>
      </x:c>
      <x:c r="S103" s="66" t="n">
        <x:f>Model_Formula!$M$26*(Profiles_140!X99-Simulator!$L$24)^2*IF(Profiles_140!X99&gt;Simulator!$L$24,1+Model_Formula!$N$26,1)</x:f>
        <x:v>0</x:v>
      </x:c>
      <x:c r="T103" s="66" t="n">
        <x:f>Model_Formula!$M$27*(Profiles_140!Y99-Simulator!$L$25)^2*IF(Profiles_140!Y99&gt;Simulator!$L$25,1+Model_Formula!$N$27,1)</x:f>
        <x:v>0</x:v>
      </x:c>
      <x:c r="U103" s="60" t="n">
        <x:f>SUM(F103:T103)/SUM($F$4:$T$4)</x:f>
        <x:v>795.429104477612</x:v>
      </x:c>
      <x:c r="V103" s="60" t="n">
        <x:f>SQRT(U103)</x:f>
        <x:v>28.20335271696633</x:v>
      </x:c>
      <x:c r="W103" s="60" t="n">
        <x:f>MAX(0,100-V103)</x:f>
        <x:v>71.79664728303368</x:v>
      </x:c>
      <x:c r="X103" s="60" t="n">
        <x:f>SUMPRODUCT(Profiles_140!K99:Y99,$F$4:$T$4)/SUM($F$4:$T$4)</x:f>
        <x:v>48.15298507462687</x:v>
      </x:c>
      <x:c r="Y103" s="60" t="n">
        <x:f>IFERROR(50+50*SUMPRODUCT(($F$3:$T$3-$X$3)*(Profiles_140!K99:Y99-X103),$F$4:$T$4)/SQRT(SUMPRODUCT(($F$3:$T$3-$X$3)^2,$F$4:$T$4)*SUMPRODUCT((Profiles_140!K99:Y99-X103)^2,$F$4:$T$4)),50)</x:f>
        <x:v>50.00000000000001</x:v>
      </x:c>
      <x:c r="Z103" s="60" t="n">
        <x:f>$Z$3</x:f>
        <x:v>3.9474596431116675e-16</x:v>
      </x:c>
      <x:c r="AA103" s="60" t="n">
        <x:f>W103*(1-Model_Formula!$F$8*Z103)+Y103*(Model_Formula!$F$8*Z103)</x:f>
        <x:v>71.79664728303368</x:v>
      </x:c>
      <x:c r="AB103" s="60" t="n">
        <x:f>SQRT(SUMPRODUCT((Profiles_140!K99:Y99-50)^2,$F$4:$T$4)/SUM($F$4:$T$4))</x:f>
        <x:v>28.20335271696633</x:v>
      </x:c>
      <x:c r="AC103" s="60" t="n">
        <x:f>MAX(-Model_Formula!$F$11,MIN(Model_Formula!$F$11,Model_Formula!$F$10*(AB103-AVERAGE($AB$6:$AB$135))))</x:f>
        <x:v>-0.4201819281490625</x:v>
      </x:c>
      <x:c r="AD103" s="60" t="n">
        <x:f>MAX(0,MIN(100,AA103+AC103))</x:f>
        <x:v>71.37646535488462</x:v>
      </x:c>
      <x:c r="AE103" s="60" t="n">
        <x:f>MAX(0,MIN(1,IFERROR((MATCH(AD103,Percentile_Calibration!$F99:$DB99,1)-1)/100,0)))</x:f>
        <x:v>0.95</x:v>
      </x:c>
      <x:c r="AF103" s="62" t="n">
        <x:f>ROUND(MAX(Model_Formula!$I$9,Model_Formula!$I$5+Model_Formula!$I$6*POWER(AE103,Model_Formula!$I$7)),0)</x:f>
        <x:v>89</x:v>
      </x:c>
      <x:c r="AG103" t="n">
        <x:f>Profiles_140!AJ99</x:f>
        <x:v>0</x:v>
      </x:c>
      <x:c r="AH103" s="60" t="n">
        <x:f>Model_Formula!$I$8*(AE103*100)+(1-Model_Formula!$I$8)*AD103+AG103</x:f>
        <x:v>90.27529307097691</x:v>
      </x:c>
      <x:c r="AI103" t="n">
        <x:f>RANK.EQ(AH103,$AH$6:$AH$135,0)+COUNTIF($AH$6:AH103,AH103)-1</x:f>
        <x:v>4</x:v>
      </x:c>
    </x:row>
    <x:row r="104">
      <x:c r="A104" t="str">
        <x:f>Profiles_140!A100</x:f>
        <x:v>カビゴン</x:v>
      </x:c>
      <x:c r="B104" t="str">
        <x:f>Profiles_140!C100</x:f>
        <x:v>カビゴン-1</x:v>
      </x:c>
      <x:c r="C104" t="str">
        <x:f>Profiles_140!D100</x:f>
        <x:v>ヘビーボンバー</x:v>
      </x:c>
      <x:c r="D104" t="str">
        <x:f>Profiles_140!B100</x:f>
        <x:v>ディフェンス型</x:v>
      </x:c>
      <x:c r="E104" t="str">
        <x:f>Profiles_140!I100</x:f>
        <x:v>高</x:v>
      </x:c>
      <x:c r="F104" s="66" t="n">
        <x:f>Model_Formula!$M$13*(Profiles_140!K100-Simulator!$L$11)^2*IF(Profiles_140!K100&gt;Simulator!$L$11,1+Model_Formula!$N$13,1)</x:f>
        <x:v>2500</x:v>
      </x:c>
      <x:c r="G104" s="66" t="n">
        <x:f>Model_Formula!$M$14*(Profiles_140!L100-Simulator!$L$12)^2*IF(Profiles_140!L100&gt;Simulator!$L$12,1+Model_Formula!$N$14,1)</x:f>
        <x:v>26.25</x:v>
      </x:c>
      <x:c r="H104" s="66" t="n">
        <x:f>Model_Formula!$M$15*(Profiles_140!M100-Simulator!$L$13)^2*IF(Profiles_140!M100&gt;Simulator!$L$13,1+Model_Formula!$N$15,1)</x:f>
        <x:v>2025</x:v>
      </x:c>
      <x:c r="I104" s="66" t="n">
        <x:f>Model_Formula!$M$16*(Profiles_140!N100-Simulator!$L$14)^2*IF(Profiles_140!N100&gt;Simulator!$L$14,1+Model_Formula!$N$16,1)</x:f>
        <x:v>2500</x:v>
      </x:c>
      <x:c r="J104" s="66" t="n">
        <x:f>Model_Formula!$M$17*(Profiles_140!O100-Simulator!$L$15)^2*IF(Profiles_140!O100&gt;Simulator!$L$15,1+Model_Formula!$N$17,1)</x:f>
        <x:v>2500</x:v>
      </x:c>
      <x:c r="K104" s="66" t="n">
        <x:f>Model_Formula!$M$18*(Profiles_140!P100-Simulator!$L$16)^2*IF(Profiles_140!P100&gt;Simulator!$L$16,1+Model_Formula!$N$18,1)</x:f>
        <x:v>22.5</x:v>
      </x:c>
      <x:c r="L104" s="66" t="n">
        <x:f>Model_Formula!$M$19*(Profiles_140!Q100-Simulator!$L$17)^2*IF(Profiles_140!Q100&gt;Simulator!$L$17,1+Model_Formula!$N$19,1)</x:f>
        <x:v>2500</x:v>
      </x:c>
      <x:c r="M104" s="66" t="n">
        <x:f>Model_Formula!$M$20*(Profiles_140!R100-Simulator!$L$18)^2*IF(Profiles_140!R100&gt;Simulator!$L$18,1+Model_Formula!$N$20,1)</x:f>
        <x:v>400</x:v>
      </x:c>
      <x:c r="N104" s="66" t="n">
        <x:f>Model_Formula!$M$21*(Profiles_140!S100-Simulator!$L$19)^2*IF(Profiles_140!S100&gt;Simulator!$L$19,1+Model_Formula!$N$21,1)</x:f>
        <x:v>225</x:v>
      </x:c>
      <x:c r="O104" s="66" t="n">
        <x:f>Model_Formula!$M$22*(Profiles_140!T100-Simulator!$L$20)^2*IF(Profiles_140!T100&gt;Simulator!$L$20,1+Model_Formula!$N$22,1)</x:f>
        <x:v>100</x:v>
      </x:c>
      <x:c r="P104" s="66" t="n">
        <x:f>Model_Formula!$M$23*(Profiles_140!U100-Simulator!$L$21)^2*IF(Profiles_140!U100&gt;Simulator!$L$21,1+Model_Formula!$N$23,1)</x:f>
        <x:v>911.25</x:v>
      </x:c>
      <x:c r="Q104" s="66" t="n">
        <x:f>Model_Formula!$M$24*(Profiles_140!V100-Simulator!$L$22)^2*IF(Profiles_140!V100&gt;Simulator!$L$22,1+Model_Formula!$N$24,1)</x:f>
        <x:v>160</x:v>
      </x:c>
      <x:c r="R104" s="66" t="n">
        <x:f>Model_Formula!$M$25*(Profiles_140!W100-Simulator!$L$23)^2*IF(Profiles_140!W100&gt;Simulator!$L$23,1+Model_Formula!$N$25,1)</x:f>
        <x:v>720</x:v>
      </x:c>
      <x:c r="S104" s="66" t="n">
        <x:f>Model_Formula!$M$26*(Profiles_140!X100-Simulator!$L$24)^2*IF(Profiles_140!X100&gt;Simulator!$L$24,1+Model_Formula!$N$26,1)</x:f>
        <x:v>27.500000000000004</x:v>
      </x:c>
      <x:c r="T104" s="66" t="n">
        <x:f>Model_Formula!$M$27*(Profiles_140!Y100-Simulator!$L$25)^2*IF(Profiles_140!Y100&gt;Simulator!$L$25,1+Model_Formula!$N$27,1)</x:f>
        <x:v>1479.1874999999998</x:v>
      </x:c>
      <x:c r="U104" s="60" t="n">
        <x:f>SUM(F104:T104)/SUM($F$4:$T$4)</x:f>
        <x:v>1201.2453358208957</x:v>
      </x:c>
      <x:c r="V104" s="60" t="n">
        <x:f>SQRT(U104)</x:f>
        <x:v>34.65898636459087</x:v>
      </x:c>
      <x:c r="W104" s="60" t="n">
        <x:f>MAX(0,100-V104)</x:f>
        <x:v>65.34101363540913</x:v>
      </x:c>
      <x:c r="X104" s="60" t="n">
        <x:f>SUMPRODUCT(Profiles_140!K100:Y100,$F$4:$T$4)/SUM($F$4:$T$4)</x:f>
        <x:v>56.28731343283582</x:v>
      </x:c>
      <x:c r="Y104" s="60" t="n">
        <x:f>IFERROR(50+50*SUMPRODUCT(($F$3:$T$3-$X$3)*(Profiles_140!K100:Y100-X104),$F$4:$T$4)/SQRT(SUMPRODUCT(($F$3:$T$3-$X$3)^2,$F$4:$T$4)*SUMPRODUCT((Profiles_140!K100:Y100-X104)^2,$F$4:$T$4)),50)</x:f>
        <x:v>50</x:v>
      </x:c>
      <x:c r="Z104" s="60" t="n">
        <x:f>$Z$3</x:f>
        <x:v>3.9474596431116675e-16</x:v>
      </x:c>
      <x:c r="AA104" s="60" t="n">
        <x:f>W104*(1-Model_Formula!$F$8*Z104)+Y104*(Model_Formula!$F$8*Z104)</x:f>
        <x:v>65.34101363540913</x:v>
      </x:c>
      <x:c r="AB104" s="60" t="n">
        <x:f>SQRT(SUMPRODUCT((Profiles_140!K100:Y100-50)^2,$F$4:$T$4)/SUM($F$4:$T$4))</x:f>
        <x:v>34.45064607413587</x:v>
      </x:c>
      <x:c r="AC104" s="60" t="n">
        <x:f>MAX(-Model_Formula!$F$11,MIN(Model_Formula!$F$11,Model_Formula!$F$10*(AB104-AVERAGE($AB$6:$AB$135))))</x:f>
        <x:v>2.39110008257723</x:v>
      </x:c>
      <x:c r="AD104" s="60" t="n">
        <x:f>MAX(0,MIN(100,AA104+AC104))</x:f>
        <x:v>67.73211371798635</x:v>
      </x:c>
      <x:c r="AE104" s="60" t="n">
        <x:f>MAX(0,MIN(1,IFERROR((MATCH(AD104,Percentile_Calibration!$F100:$DB100,1)-1)/100,0)))</x:f>
        <x:v>0.73</x:v>
      </x:c>
      <x:c r="AF104" s="62" t="n">
        <x:f>ROUND(MAX(Model_Formula!$I$9,Model_Formula!$I$5+Model_Formula!$I$6*POWER(AE104,Model_Formula!$I$7)),0)</x:f>
        <x:v>63</x:v>
      </x:c>
      <x:c r="AG104" t="n">
        <x:f>Profiles_140!AJ100</x:f>
        <x:v>-0.1</x:v>
      </x:c>
      <x:c r="AH104" s="60" t="n">
        <x:f>Model_Formula!$I$8*(AE104*100)+(1-Model_Formula!$I$8)*AD104+AG104</x:f>
        <x:v>71.84642274359727</x:v>
      </x:c>
      <x:c r="AI104" t="n">
        <x:f>RANK.EQ(AH104,$AH$6:$AH$135,0)+COUNTIF($AH$6:AH104,AH104)-1</x:f>
        <x:v>68</x:v>
      </x:c>
    </x:row>
    <x:row r="105">
      <x:c r="A105" t="str">
        <x:f>Profiles_140!A101</x:f>
        <x:v>カビゴン</x:v>
      </x:c>
      <x:c r="B105" t="str">
        <x:f>Profiles_140!C101</x:f>
        <x:v>カビゴン-2</x:v>
      </x:c>
      <x:c r="C105" t="str">
        <x:f>Profiles_140!D101</x:f>
        <x:v>じたばた</x:v>
      </x:c>
      <x:c r="D105" t="str">
        <x:f>Profiles_140!B101</x:f>
        <x:v>ディフェンス型</x:v>
      </x:c>
      <x:c r="E105" t="str">
        <x:f>Profiles_140!I101</x:f>
        <x:v>高</x:v>
      </x:c>
      <x:c r="F105" s="66" t="n">
        <x:f>Model_Formula!$M$13*(Profiles_140!K101-Simulator!$L$11)^2*IF(Profiles_140!K101&gt;Simulator!$L$11,1+Model_Formula!$N$13,1)</x:f>
        <x:v>400</x:v>
      </x:c>
      <x:c r="G105" s="66" t="n">
        <x:f>Model_Formula!$M$14*(Profiles_140!L101-Simulator!$L$12)^2*IF(Profiles_140!L101&gt;Simulator!$L$12,1+Model_Formula!$N$14,1)</x:f>
        <x:v>26.25</x:v>
      </x:c>
      <x:c r="H105" s="66" t="n">
        <x:f>Model_Formula!$M$15*(Profiles_140!M101-Simulator!$L$13)^2*IF(Profiles_140!M101&gt;Simulator!$L$13,1+Model_Formula!$N$15,1)</x:f>
        <x:v>225</x:v>
      </x:c>
      <x:c r="I105" s="66" t="n">
        <x:f>Model_Formula!$M$16*(Profiles_140!N101-Simulator!$L$14)^2*IF(Profiles_140!N101&gt;Simulator!$L$14,1+Model_Formula!$N$16,1)</x:f>
        <x:v>2025</x:v>
      </x:c>
      <x:c r="J105" s="66" t="n">
        <x:f>Model_Formula!$M$17*(Profiles_140!O101-Simulator!$L$15)^2*IF(Profiles_140!O101&gt;Simulator!$L$15,1+Model_Formula!$N$17,1)</x:f>
        <x:v>225</x:v>
      </x:c>
      <x:c r="K105" s="66" t="n">
        <x:f>Model_Formula!$M$18*(Profiles_140!P101-Simulator!$L$16)^2*IF(Profiles_140!P101&gt;Simulator!$L$16,1+Model_Formula!$N$18,1)</x:f>
        <x:v>360</x:v>
      </x:c>
      <x:c r="L105" s="66" t="n">
        <x:f>Model_Formula!$M$19*(Profiles_140!Q101-Simulator!$L$17)^2*IF(Profiles_140!Q101&gt;Simulator!$L$17,1+Model_Formula!$N$19,1)</x:f>
        <x:v>100</x:v>
      </x:c>
      <x:c r="M105" s="66" t="n">
        <x:f>Model_Formula!$M$20*(Profiles_140!R101-Simulator!$L$18)^2*IF(Profiles_140!R101&gt;Simulator!$L$18,1+Model_Formula!$N$20,1)</x:f>
        <x:v>2025</x:v>
      </x:c>
      <x:c r="N105" s="66" t="n">
        <x:f>Model_Formula!$M$21*(Profiles_140!S101-Simulator!$L$19)^2*IF(Profiles_140!S101&gt;Simulator!$L$19,1+Model_Formula!$N$21,1)</x:f>
        <x:v>100</x:v>
      </x:c>
      <x:c r="O105" s="66" t="n">
        <x:f>Model_Formula!$M$22*(Profiles_140!T101-Simulator!$L$20)^2*IF(Profiles_140!T101&gt;Simulator!$L$20,1+Model_Formula!$N$22,1)</x:f>
        <x:v>400</x:v>
      </x:c>
      <x:c r="P105" s="66" t="n">
        <x:f>Model_Formula!$M$23*(Profiles_140!U101-Simulator!$L$21)^2*IF(Profiles_140!U101&gt;Simulator!$L$21,1+Model_Formula!$N$23,1)</x:f>
        <x:v>0</x:v>
      </x:c>
      <x:c r="Q105" s="66" t="n">
        <x:f>Model_Formula!$M$24*(Profiles_140!V101-Simulator!$L$22)^2*IF(Profiles_140!V101&gt;Simulator!$L$22,1+Model_Formula!$N$24,1)</x:f>
        <x:v>10</x:v>
      </x:c>
      <x:c r="R105" s="66" t="n">
        <x:f>Model_Formula!$M$25*(Profiles_140!W101-Simulator!$L$23)^2*IF(Profiles_140!W101&gt;Simulator!$L$23,1+Model_Formula!$N$25,1)</x:f>
        <x:v>180</x:v>
      </x:c>
      <x:c r="S105" s="66" t="n">
        <x:f>Model_Formula!$M$26*(Profiles_140!X101-Simulator!$L$24)^2*IF(Profiles_140!X101&gt;Simulator!$L$24,1+Model_Formula!$N$26,1)</x:f>
        <x:v>148.50000000000003</x:v>
      </x:c>
      <x:c r="T105" s="66" t="n">
        <x:f>Model_Formula!$M$27*(Profiles_140!Y101-Simulator!$L$25)^2*IF(Profiles_140!Y101&gt;Simulator!$L$25,1+Model_Formula!$N$27,1)</x:f>
        <x:v>754.6874999999999</x:v>
      </x:c>
      <x:c r="U105" s="60" t="n">
        <x:f>SUM(F105:T105)/SUM($F$4:$T$4)</x:f>
        <x:v>520.8535447761194</x:v>
      </x:c>
      <x:c r="V105" s="60" t="n">
        <x:f>SQRT(U105)</x:f>
        <x:v>22.82221603561143</x:v>
      </x:c>
      <x:c r="W105" s="60" t="n">
        <x:f>MAX(0,100-V105)</x:f>
        <x:v>77.17778396438857</x:v>
      </x:c>
      <x:c r="X105" s="60" t="n">
        <x:f>SUMPRODUCT(Profiles_140!K101:Y101,$F$4:$T$4)/SUM($F$4:$T$4)</x:f>
        <x:v>53.95522388059702</x:v>
      </x:c>
      <x:c r="Y105" s="60" t="n">
        <x:f>IFERROR(50+50*SUMPRODUCT(($F$3:$T$3-$X$3)*(Profiles_140!K101:Y101-X105),$F$4:$T$4)/SQRT(SUMPRODUCT(($F$3:$T$3-$X$3)^2,$F$4:$T$4)*SUMPRODUCT((Profiles_140!K101:Y101-X105)^2,$F$4:$T$4)),50)</x:f>
        <x:v>50.00000000000001</x:v>
      </x:c>
      <x:c r="Z105" s="60" t="n">
        <x:f>$Z$3</x:f>
        <x:v>3.9474596431116675e-16</x:v>
      </x:c>
      <x:c r="AA105" s="60" t="n">
        <x:f>W105*(1-Model_Formula!$F$8*Z105)+Y105*(Model_Formula!$F$8*Z105)</x:f>
        <x:v>77.17778396438857</x:v>
      </x:c>
      <x:c r="AB105" s="60" t="n">
        <x:f>SQRT(SUMPRODUCT((Profiles_140!K101:Y101-50)^2,$F$4:$T$4)/SUM($F$4:$T$4))</x:f>
        <x:v>22.59721948289676</x:v>
      </x:c>
      <x:c r="AC105" s="60" t="n">
        <x:f>MAX(-Model_Formula!$F$11,MIN(Model_Formula!$F$11,Model_Formula!$F$10*(AB105-AVERAGE($AB$6:$AB$135))))</x:f>
        <x:v>-2.942941883480368</x:v>
      </x:c>
      <x:c r="AD105" s="60" t="n">
        <x:f>MAX(0,MIN(100,AA105+AC105))</x:f>
        <x:v>74.2348420809082</x:v>
      </x:c>
      <x:c r="AE105" s="60" t="n">
        <x:f>MAX(0,MIN(1,IFERROR((MATCH(AD105,Percentile_Calibration!$F101:$DB101,1)-1)/100,0)))</x:f>
        <x:v>0.94</x:v>
      </x:c>
      <x:c r="AF105" s="62" t="n">
        <x:f>ROUND(MAX(Model_Formula!$I$9,Model_Formula!$I$5+Model_Formula!$I$6*POWER(AE105,Model_Formula!$I$7)),0)</x:f>
        <x:v>88</x:v>
      </x:c>
      <x:c r="AG105" t="n">
        <x:f>Profiles_140!AJ101</x:f>
        <x:v>-0.1</x:v>
      </x:c>
      <x:c r="AH105" s="60" t="n">
        <x:f>Model_Formula!$I$8*(AE105*100)+(1-Model_Formula!$I$8)*AD105+AG105</x:f>
        <x:v>89.94696841618165</x:v>
      </x:c>
      <x:c r="AI105" t="n">
        <x:f>RANK.EQ(AH105,$AH$6:$AH$135,0)+COUNTIF($AH$6:AH105,AH105)-1</x:f>
        <x:v>5</x:v>
      </x:c>
    </x:row>
    <x:row r="106">
      <x:c r="A106" t="str">
        <x:f>Profiles_140!A102</x:f>
        <x:v>カメックス</x:v>
      </x:c>
      <x:c r="B106" t="str">
        <x:f>Profiles_140!C102</x:f>
        <x:v>カメックス-1</x:v>
      </x:c>
      <x:c r="C106" t="str">
        <x:f>Profiles_140!D102</x:f>
        <x:v>なみのり</x:v>
      </x:c>
      <x:c r="D106" t="str">
        <x:f>Profiles_140!B102</x:f>
        <x:v>ディフェンス型</x:v>
      </x:c>
      <x:c r="E106" t="str">
        <x:f>Profiles_140!I102</x:f>
        <x:v>高</x:v>
      </x:c>
      <x:c r="F106" s="66" t="n">
        <x:f>Model_Formula!$M$13*(Profiles_140!K102-Simulator!$L$11)^2*IF(Profiles_140!K102&gt;Simulator!$L$11,1+Model_Formula!$N$13,1)</x:f>
        <x:v>625</x:v>
      </x:c>
      <x:c r="G106" s="66" t="n">
        <x:f>Model_Formula!$M$14*(Profiles_140!L102-Simulator!$L$12)^2*IF(Profiles_140!L102&gt;Simulator!$L$12,1+Model_Formula!$N$14,1)</x:f>
        <x:v>105</x:v>
      </x:c>
      <x:c r="H106" s="66" t="n">
        <x:f>Model_Formula!$M$15*(Profiles_140!M102-Simulator!$L$13)^2*IF(Profiles_140!M102&gt;Simulator!$L$13,1+Model_Formula!$N$15,1)</x:f>
        <x:v>2500</x:v>
      </x:c>
      <x:c r="I106" s="66" t="n">
        <x:f>Model_Formula!$M$16*(Profiles_140!N102-Simulator!$L$14)^2*IF(Profiles_140!N102&gt;Simulator!$L$14,1+Model_Formula!$N$16,1)</x:f>
        <x:v>2500</x:v>
      </x:c>
      <x:c r="J106" s="66" t="n">
        <x:f>Model_Formula!$M$17*(Profiles_140!O102-Simulator!$L$15)^2*IF(Profiles_140!O102&gt;Simulator!$L$15,1+Model_Formula!$N$17,1)</x:f>
        <x:v>1600</x:v>
      </x:c>
      <x:c r="K106" s="66" t="n">
        <x:f>Model_Formula!$M$18*(Profiles_140!P102-Simulator!$L$16)^2*IF(Profiles_140!P102&gt;Simulator!$L$16,1+Model_Formula!$N$18,1)</x:f>
        <x:v>22.5</x:v>
      </x:c>
      <x:c r="L106" s="66" t="n">
        <x:f>Model_Formula!$M$19*(Profiles_140!Q102-Simulator!$L$17)^2*IF(Profiles_140!Q102&gt;Simulator!$L$17,1+Model_Formula!$N$19,1)</x:f>
        <x:v>2500</x:v>
      </x:c>
      <x:c r="M106" s="66" t="n">
        <x:f>Model_Formula!$M$20*(Profiles_140!R102-Simulator!$L$18)^2*IF(Profiles_140!R102&gt;Simulator!$L$18,1+Model_Formula!$N$20,1)</x:f>
        <x:v>100</x:v>
      </x:c>
      <x:c r="N106" s="66" t="n">
        <x:f>Model_Formula!$M$21*(Profiles_140!S102-Simulator!$L$19)^2*IF(Profiles_140!S102&gt;Simulator!$L$19,1+Model_Formula!$N$21,1)</x:f>
        <x:v>400</x:v>
      </x:c>
      <x:c r="O106" s="66" t="n">
        <x:f>Model_Formula!$M$22*(Profiles_140!T102-Simulator!$L$20)^2*IF(Profiles_140!T102&gt;Simulator!$L$20,1+Model_Formula!$N$22,1)</x:f>
        <x:v>25</x:v>
      </x:c>
      <x:c r="P106" s="66" t="n">
        <x:f>Model_Formula!$M$23*(Profiles_140!U102-Simulator!$L$21)^2*IF(Profiles_140!U102&gt;Simulator!$L$21,1+Model_Formula!$N$23,1)</x:f>
        <x:v>720</x:v>
      </x:c>
      <x:c r="Q106" s="66" t="n">
        <x:f>Model_Formula!$M$24*(Profiles_140!V102-Simulator!$L$22)^2*IF(Profiles_140!V102&gt;Simulator!$L$22,1+Model_Formula!$N$24,1)</x:f>
        <x:v>160</x:v>
      </x:c>
      <x:c r="R106" s="66" t="n">
        <x:f>Model_Formula!$M$25*(Profiles_140!W102-Simulator!$L$23)^2*IF(Profiles_140!W102&gt;Simulator!$L$23,1+Model_Formula!$N$25,1)</x:f>
        <x:v>405</x:v>
      </x:c>
      <x:c r="S106" s="66" t="n">
        <x:f>Model_Formula!$M$26*(Profiles_140!X102-Simulator!$L$24)^2*IF(Profiles_140!X102&gt;Simulator!$L$24,1+Model_Formula!$N$26,1)</x:f>
        <x:v>0</x:v>
      </x:c>
      <x:c r="T106" s="66" t="n">
        <x:f>Model_Formula!$M$27*(Profiles_140!Y102-Simulator!$L$25)^2*IF(Profiles_140!Y102&gt;Simulator!$L$25,1+Model_Formula!$N$27,1)</x:f>
        <x:v>1479.1874999999998</x:v>
      </x:c>
      <x:c r="U106" s="60" t="n">
        <x:f>SUM(F106:T106)/SUM($F$4:$T$4)</x:f>
        <x:v>980.7229477611942</x:v>
      </x:c>
      <x:c r="V106" s="60" t="n">
        <x:f>SQRT(U106)</x:f>
        <x:v>31.316496415806068</x:v>
      </x:c>
      <x:c r="W106" s="60" t="n">
        <x:f>MAX(0,100-V106)</x:f>
        <x:v>68.68350358419393</x:v>
      </x:c>
      <x:c r="X106" s="60" t="n">
        <x:f>SUMPRODUCT(Profiles_140!K102:Y102,$F$4:$T$4)/SUM($F$4:$T$4)</x:f>
        <x:v>56.138059701492544</x:v>
      </x:c>
      <x:c r="Y106" s="60" t="n">
        <x:f>IFERROR(50+50*SUMPRODUCT(($F$3:$T$3-$X$3)*(Profiles_140!K102:Y102-X106),$F$4:$T$4)/SQRT(SUMPRODUCT(($F$3:$T$3-$X$3)^2,$F$4:$T$4)*SUMPRODUCT((Profiles_140!K102:Y102-X106)^2,$F$4:$T$4)),50)</x:f>
        <x:v>50.00000000000001</x:v>
      </x:c>
      <x:c r="Z106" s="60" t="n">
        <x:f>$Z$3</x:f>
        <x:v>3.9474596431116675e-16</x:v>
      </x:c>
      <x:c r="AA106" s="60" t="n">
        <x:f>W106*(1-Model_Formula!$F$8*Z106)+Y106*(Model_Formula!$F$8*Z106)</x:f>
        <x:v>68.68350358419393</x:v>
      </x:c>
      <x:c r="AB106" s="60" t="n">
        <x:f>SQRT(SUMPRODUCT((Profiles_140!K102:Y102-50)^2,$F$4:$T$4)/SUM($F$4:$T$4))</x:f>
        <x:v>31.085762446265843</x:v>
      </x:c>
      <x:c r="AC106" s="60" t="n">
        <x:f>MAX(-Model_Formula!$F$11,MIN(Model_Formula!$F$11,Model_Formula!$F$10*(AB106-AVERAGE($AB$6:$AB$135))))</x:f>
        <x:v>0.8769024500357189</x:v>
      </x:c>
      <x:c r="AD106" s="60" t="n">
        <x:f>MAX(0,MIN(100,AA106+AC106))</x:f>
        <x:v>69.56040603422964</x:v>
      </x:c>
      <x:c r="AE106" s="60" t="n">
        <x:f>MAX(0,MIN(1,IFERROR((MATCH(AD106,Percentile_Calibration!$F102:$DB102,1)-1)/100,0)))</x:f>
        <x:v>0.78</x:v>
      </x:c>
      <x:c r="AF106" s="62" t="n">
        <x:f>ROUND(MAX(Model_Formula!$I$9,Model_Formula!$I$5+Model_Formula!$I$6*POWER(AE106,Model_Formula!$I$7)),0)</x:f>
        <x:v>68</x:v>
      </x:c>
      <x:c r="AG106" t="n">
        <x:f>Profiles_140!AJ102</x:f>
        <x:v>0</x:v>
      </x:c>
      <x:c r="AH106" s="60" t="n">
        <x:f>Model_Formula!$I$8*(AE106*100)+(1-Model_Formula!$I$8)*AD106+AG106</x:f>
        <x:v>76.31208120684593</x:v>
      </x:c>
      <x:c r="AI106" t="n">
        <x:f>RANK.EQ(AH106,$AH$6:$AH$135,0)+COUNTIF($AH$6:AH106,AH106)-1</x:f>
        <x:v>47</x:v>
      </x:c>
    </x:row>
    <x:row r="107">
      <x:c r="A107" t="str">
        <x:f>Profiles_140!A103</x:f>
        <x:v>カメックス</x:v>
      </x:c>
      <x:c r="B107" t="str">
        <x:f>Profiles_140!C103</x:f>
        <x:v>カメックス-2</x:v>
      </x:c>
      <x:c r="C107" t="str">
        <x:f>Profiles_140!D103</x:f>
        <x:v>こうそくスピン</x:v>
      </x:c>
      <x:c r="D107" t="str">
        <x:f>Profiles_140!B103</x:f>
        <x:v>ディフェンス型</x:v>
      </x:c>
      <x:c r="E107" t="str">
        <x:f>Profiles_140!I103</x:f>
        <x:v>高</x:v>
      </x:c>
      <x:c r="F107" s="66" t="n">
        <x:f>Model_Formula!$M$13*(Profiles_140!K103-Simulator!$L$11)^2*IF(Profiles_140!K103&gt;Simulator!$L$11,1+Model_Formula!$N$13,1)</x:f>
        <x:v>400</x:v>
      </x:c>
      <x:c r="G107" s="66" t="n">
        <x:f>Model_Formula!$M$14*(Profiles_140!L103-Simulator!$L$12)^2*IF(Profiles_140!L103&gt;Simulator!$L$12,1+Model_Formula!$N$14,1)</x:f>
        <x:v>656.25</x:v>
      </x:c>
      <x:c r="H107" s="66" t="n">
        <x:f>Model_Formula!$M$15*(Profiles_140!M103-Simulator!$L$13)^2*IF(Profiles_140!M103&gt;Simulator!$L$13,1+Model_Formula!$N$15,1)</x:f>
        <x:v>1600</x:v>
      </x:c>
      <x:c r="I107" s="66" t="n">
        <x:f>Model_Formula!$M$16*(Profiles_140!N103-Simulator!$L$14)^2*IF(Profiles_140!N103&gt;Simulator!$L$14,1+Model_Formula!$N$16,1)</x:f>
        <x:v>1225</x:v>
      </x:c>
      <x:c r="J107" s="66" t="n">
        <x:f>Model_Formula!$M$17*(Profiles_140!O103-Simulator!$L$15)^2*IF(Profiles_140!O103&gt;Simulator!$L$15,1+Model_Formula!$N$17,1)</x:f>
        <x:v>2500</x:v>
      </x:c>
      <x:c r="K107" s="66" t="n">
        <x:f>Model_Formula!$M$18*(Profiles_140!P103-Simulator!$L$16)^2*IF(Profiles_140!P103&gt;Simulator!$L$16,1+Model_Formula!$N$18,1)</x:f>
        <x:v>202.5</x:v>
      </x:c>
      <x:c r="L107" s="66" t="n">
        <x:f>Model_Formula!$M$19*(Profiles_140!Q103-Simulator!$L$17)^2*IF(Profiles_140!Q103&gt;Simulator!$L$17,1+Model_Formula!$N$19,1)</x:f>
        <x:v>25</x:v>
      </x:c>
      <x:c r="M107" s="66" t="n">
        <x:f>Model_Formula!$M$20*(Profiles_140!R103-Simulator!$L$18)^2*IF(Profiles_140!R103&gt;Simulator!$L$18,1+Model_Formula!$N$20,1)</x:f>
        <x:v>2025</x:v>
      </x:c>
      <x:c r="N107" s="66" t="n">
        <x:f>Model_Formula!$M$21*(Profiles_140!S103-Simulator!$L$19)^2*IF(Profiles_140!S103&gt;Simulator!$L$19,1+Model_Formula!$N$21,1)</x:f>
        <x:v>225</x:v>
      </x:c>
      <x:c r="O107" s="66" t="n">
        <x:f>Model_Formula!$M$22*(Profiles_140!T103-Simulator!$L$20)^2*IF(Profiles_140!T103&gt;Simulator!$L$20,1+Model_Formula!$N$22,1)</x:f>
        <x:v>900</x:v>
      </x:c>
      <x:c r="P107" s="66" t="n">
        <x:f>Model_Formula!$M$23*(Profiles_140!U103-Simulator!$L$21)^2*IF(Profiles_140!U103&gt;Simulator!$L$21,1+Model_Formula!$N$23,1)</x:f>
        <x:v>0</x:v>
      </x:c>
      <x:c r="Q107" s="66" t="n">
        <x:f>Model_Formula!$M$24*(Profiles_140!V103-Simulator!$L$22)^2*IF(Profiles_140!V103&gt;Simulator!$L$22,1+Model_Formula!$N$24,1)</x:f>
        <x:v>160</x:v>
      </x:c>
      <x:c r="R107" s="66" t="n">
        <x:f>Model_Formula!$M$25*(Profiles_140!W103-Simulator!$L$23)^2*IF(Profiles_140!W103&gt;Simulator!$L$23,1+Model_Formula!$N$25,1)</x:f>
        <x:v>45</x:v>
      </x:c>
      <x:c r="S107" s="66" t="n">
        <x:f>Model_Formula!$M$26*(Profiles_140!X103-Simulator!$L$24)^2*IF(Profiles_140!X103&gt;Simulator!$L$24,1+Model_Formula!$N$26,1)</x:f>
        <x:v>0</x:v>
      </x:c>
      <x:c r="T107" s="66" t="n">
        <x:f>Model_Formula!$M$27*(Profiles_140!Y103-Simulator!$L$25)^2*IF(Profiles_140!Y103&gt;Simulator!$L$25,1+Model_Formula!$N$27,1)</x:f>
        <x:v>120.74999999999999</x:v>
      </x:c>
      <x:c r="U107" s="60" t="n">
        <x:f>SUM(F107:T107)/SUM($F$4:$T$4)</x:f>
        <x:v>752.5746268656717</x:v>
      </x:c>
      <x:c r="V107" s="60" t="n">
        <x:f>SQRT(U107)</x:f>
        <x:v>27.433093643730224</x:v>
      </x:c>
      <x:c r="W107" s="60" t="n">
        <x:f>MAX(0,100-V107)</x:f>
        <x:v>72.56690635626978</x:v>
      </x:c>
      <x:c r="X107" s="60" t="n">
        <x:f>SUMPRODUCT(Profiles_140!K103:Y103,$F$4:$T$4)/SUM($F$4:$T$4)</x:f>
        <x:v>51.02611940298508</x:v>
      </x:c>
      <x:c r="Y107" s="60" t="n">
        <x:f>IFERROR(50+50*SUMPRODUCT(($F$3:$T$3-$X$3)*(Profiles_140!K103:Y103-X107),$F$4:$T$4)/SQRT(SUMPRODUCT(($F$3:$T$3-$X$3)^2,$F$4:$T$4)*SUMPRODUCT((Profiles_140!K103:Y103-X107)^2,$F$4:$T$4)),50)</x:f>
        <x:v>50.000000000000014</x:v>
      </x:c>
      <x:c r="Z107" s="60" t="n">
        <x:f>$Z$3</x:f>
        <x:v>3.9474596431116675e-16</x:v>
      </x:c>
      <x:c r="AA107" s="60" t="n">
        <x:f>W107*(1-Model_Formula!$F$8*Z107)+Y107*(Model_Formula!$F$8*Z107)</x:f>
        <x:v>72.56690635626978</x:v>
      </x:c>
      <x:c r="AB107" s="60" t="n">
        <x:f>SQRT(SUMPRODUCT((Profiles_140!K103:Y103-50)^2,$F$4:$T$4)/SUM($F$4:$T$4))</x:f>
        <x:v>27.411662731971283</x:v>
      </x:c>
      <x:c r="AC107" s="60" t="n">
        <x:f>MAX(-Model_Formula!$F$11,MIN(Model_Formula!$F$11,Model_Formula!$F$10*(AB107-AVERAGE($AB$6:$AB$135))))</x:f>
        <x:v>-0.776442421396833</x:v>
      </x:c>
      <x:c r="AD107" s="60" t="n">
        <x:f>MAX(0,MIN(100,AA107+AC107))</x:f>
        <x:v>71.79046393487295</x:v>
      </x:c>
      <x:c r="AE107" s="60" t="n">
        <x:f>MAX(0,MIN(1,IFERROR((MATCH(AD107,Percentile_Calibration!$F103:$DB103,1)-1)/100,0)))</x:f>
        <x:v>0.71</x:v>
      </x:c>
      <x:c r="AF107" s="62" t="n">
        <x:f>ROUND(MAX(Model_Formula!$I$9,Model_Formula!$I$5+Model_Formula!$I$6*POWER(AE107,Model_Formula!$I$7)),0)</x:f>
        <x:v>62</x:v>
      </x:c>
      <x:c r="AG107" t="n">
        <x:f>Profiles_140!AJ103</x:f>
        <x:v>0</x:v>
      </x:c>
      <x:c r="AH107" s="60" t="n">
        <x:f>Model_Formula!$I$8*(AE107*100)+(1-Model_Formula!$I$8)*AD107+AG107</x:f>
        <x:v>71.15809278697459</x:v>
      </x:c>
      <x:c r="AI107" t="n">
        <x:f>RANK.EQ(AH107,$AH$6:$AH$135,0)+COUNTIF($AH$6:AH107,AH107)-1</x:f>
        <x:v>71</x:v>
      </x:c>
    </x:row>
    <x:row r="108">
      <x:c r="A108" t="str">
        <x:f>Profiles_140!A104</x:f>
        <x:v>シャワーズ</x:v>
      </x:c>
      <x:c r="B108" t="str">
        <x:f>Profiles_140!C104</x:f>
        <x:v>シャワーズ-1</x:v>
      </x:c>
      <x:c r="C108" t="str">
        <x:f>Profiles_140!D104</x:f>
        <x:v>アクアリング</x:v>
      </x:c>
      <x:c r="D108" t="str">
        <x:f>Profiles_140!B104</x:f>
        <x:v>ディフェンス型</x:v>
      </x:c>
      <x:c r="E108" t="str">
        <x:f>Profiles_140!I104</x:f>
        <x:v>高</x:v>
      </x:c>
      <x:c r="F108" s="66" t="n">
        <x:f>Model_Formula!$M$13*(Profiles_140!K104-Simulator!$L$11)^2*IF(Profiles_140!K104&gt;Simulator!$L$11,1+Model_Formula!$N$13,1)</x:f>
        <x:v>400</x:v>
      </x:c>
      <x:c r="G108" s="66" t="n">
        <x:f>Model_Formula!$M$14*(Profiles_140!L104-Simulator!$L$12)^2*IF(Profiles_140!L104&gt;Simulator!$L$12,1+Model_Formula!$N$14,1)</x:f>
        <x:v>2625</x:v>
      </x:c>
      <x:c r="H108" s="66" t="n">
        <x:f>Model_Formula!$M$15*(Profiles_140!M104-Simulator!$L$13)^2*IF(Profiles_140!M104&gt;Simulator!$L$13,1+Model_Formula!$N$15,1)</x:f>
        <x:v>2500</x:v>
      </x:c>
      <x:c r="I108" s="66" t="n">
        <x:f>Model_Formula!$M$16*(Profiles_140!N104-Simulator!$L$14)^2*IF(Profiles_140!N104&gt;Simulator!$L$14,1+Model_Formula!$N$16,1)</x:f>
        <x:v>225</x:v>
      </x:c>
      <x:c r="J108" s="66" t="n">
        <x:f>Model_Formula!$M$17*(Profiles_140!O104-Simulator!$L$15)^2*IF(Profiles_140!O104&gt;Simulator!$L$15,1+Model_Formula!$N$17,1)</x:f>
        <x:v>625</x:v>
      </x:c>
      <x:c r="K108" s="66" t="n">
        <x:f>Model_Formula!$M$18*(Profiles_140!P104-Simulator!$L$16)^2*IF(Profiles_140!P104&gt;Simulator!$L$16,1+Model_Formula!$N$18,1)</x:f>
        <x:v>22.5</x:v>
      </x:c>
      <x:c r="L108" s="66" t="n">
        <x:f>Model_Formula!$M$19*(Profiles_140!Q104-Simulator!$L$17)^2*IF(Profiles_140!Q104&gt;Simulator!$L$17,1+Model_Formula!$N$19,1)</x:f>
        <x:v>625</x:v>
      </x:c>
      <x:c r="M108" s="66" t="n">
        <x:f>Model_Formula!$M$20*(Profiles_140!R104-Simulator!$L$18)^2*IF(Profiles_140!R104&gt;Simulator!$L$18,1+Model_Formula!$N$20,1)</x:f>
        <x:v>2500</x:v>
      </x:c>
      <x:c r="N108" s="66" t="n">
        <x:f>Model_Formula!$M$21*(Profiles_140!S104-Simulator!$L$19)^2*IF(Profiles_140!S104&gt;Simulator!$L$19,1+Model_Formula!$N$21,1)</x:f>
        <x:v>1225</x:v>
      </x:c>
      <x:c r="O108" s="66" t="n">
        <x:f>Model_Formula!$M$22*(Profiles_140!T104-Simulator!$L$20)^2*IF(Profiles_140!T104&gt;Simulator!$L$20,1+Model_Formula!$N$22,1)</x:f>
        <x:v>100</x:v>
      </x:c>
      <x:c r="P108" s="66" t="n">
        <x:f>Model_Formula!$M$23*(Profiles_140!U104-Simulator!$L$21)^2*IF(Profiles_140!U104&gt;Simulator!$L$21,1+Model_Formula!$N$23,1)</x:f>
        <x:v>720</x:v>
      </x:c>
      <x:c r="Q108" s="66" t="n">
        <x:f>Model_Formula!$M$24*(Profiles_140!V104-Simulator!$L$22)^2*IF(Profiles_140!V104&gt;Simulator!$L$22,1+Model_Formula!$N$24,1)</x:f>
        <x:v>250</x:v>
      </x:c>
      <x:c r="R108" s="66" t="n">
        <x:f>Model_Formula!$M$25*(Profiles_140!W104-Simulator!$L$23)^2*IF(Profiles_140!W104&gt;Simulator!$L$23,1+Model_Formula!$N$25,1)</x:f>
        <x:v>551.25</x:v>
      </x:c>
      <x:c r="S108" s="66" t="n">
        <x:f>Model_Formula!$M$26*(Profiles_140!X104-Simulator!$L$24)^2*IF(Profiles_140!X104&gt;Simulator!$L$24,1+Model_Formula!$N$26,1)</x:f>
        <x:v>0</x:v>
      </x:c>
      <x:c r="T108" s="66" t="n">
        <x:f>Model_Formula!$M$27*(Profiles_140!Y104-Simulator!$L$25)^2*IF(Profiles_140!Y104&gt;Simulator!$L$25,1+Model_Formula!$N$27,1)</x:f>
        <x:v>2445.1875</x:v>
      </x:c>
      <x:c r="U108" s="60" t="n">
        <x:f>SUM(F108:T108)/SUM($F$4:$T$4)</x:f>
        <x:v>1105.517723880597</x:v>
      </x:c>
      <x:c r="V108" s="60" t="n">
        <x:f>SQRT(U108)</x:f>
        <x:v>33.24932666807852</x:v>
      </x:c>
      <x:c r="W108" s="60" t="n">
        <x:f>MAX(0,100-V108)</x:f>
        <x:v>66.75067333192149</x:v>
      </x:c>
      <x:c r="X108" s="60" t="n">
        <x:f>SUMPRODUCT(Profiles_140!K104:Y104,$F$4:$T$4)/SUM($F$4:$T$4)</x:f>
        <x:v>50.410447761194035</x:v>
      </x:c>
      <x:c r="Y108" s="60" t="n">
        <x:f>IFERROR(50+50*SUMPRODUCT(($F$3:$T$3-$X$3)*(Profiles_140!K104:Y104-X108),$F$4:$T$4)/SQRT(SUMPRODUCT(($F$3:$T$3-$X$3)^2,$F$4:$T$4)*SUMPRODUCT((Profiles_140!K104:Y104-X108)^2,$F$4:$T$4)),50)</x:f>
        <x:v>50.00000000000001</x:v>
      </x:c>
      <x:c r="Z108" s="60" t="n">
        <x:f>$Z$3</x:f>
        <x:v>3.9474596431116675e-16</x:v>
      </x:c>
      <x:c r="AA108" s="60" t="n">
        <x:f>W108*(1-Model_Formula!$F$8*Z108)+Y108*(Model_Formula!$F$8*Z108)</x:f>
        <x:v>66.75067333192149</x:v>
      </x:c>
      <x:c r="AB108" s="60" t="n">
        <x:f>SQRT(SUMPRODUCT((Profiles_140!K104:Y104-50)^2,$F$4:$T$4)/SUM($F$4:$T$4))</x:f>
        <x:v>32.88945754965332</x:v>
      </x:c>
      <x:c r="AC108" s="60" t="n">
        <x:f>MAX(-Model_Formula!$F$11,MIN(Model_Formula!$F$11,Model_Formula!$F$10*(AB108-AVERAGE($AB$6:$AB$135))))</x:f>
        <x:v>1.6885652465600847</x:v>
      </x:c>
      <x:c r="AD108" s="60" t="n">
        <x:f>MAX(0,MIN(100,AA108+AC108))</x:f>
        <x:v>68.43923857848158</x:v>
      </x:c>
      <x:c r="AE108" s="60" t="n">
        <x:f>MAX(0,MIN(1,IFERROR((MATCH(AD108,Percentile_Calibration!$F104:$DB104,1)-1)/100,0)))</x:f>
        <x:v>0.67</x:v>
      </x:c>
      <x:c r="AF108" s="62" t="n">
        <x:f>ROUND(MAX(Model_Formula!$I$9,Model_Formula!$I$5+Model_Formula!$I$6*POWER(AE108,Model_Formula!$I$7)),0)</x:f>
        <x:v>59</x:v>
      </x:c>
      <x:c r="AG108" t="n">
        <x:f>Profiles_140!AJ104</x:f>
        <x:v>0</x:v>
      </x:c>
      <x:c r="AH108" s="60" t="n">
        <x:f>Model_Formula!$I$8*(AE108*100)+(1-Model_Formula!$I$8)*AD108+AG108</x:f>
        <x:v>67.28784771569632</x:v>
      </x:c>
      <x:c r="AI108" t="n">
        <x:f>RANK.EQ(AH108,$AH$6:$AH$135,0)+COUNTIF($AH$6:AH108,AH108)-1</x:f>
        <x:v>99</x:v>
      </x:c>
    </x:row>
    <x:row r="109">
      <x:c r="A109" t="str">
        <x:f>Profiles_140!A105</x:f>
        <x:v>シャワーズ</x:v>
      </x:c>
      <x:c r="B109" t="str">
        <x:f>Profiles_140!C105</x:f>
        <x:v>シャワーズ-2</x:v>
      </x:c>
      <x:c r="C109" t="str">
        <x:f>Profiles_140!D105</x:f>
        <x:v>クイックターン</x:v>
      </x:c>
      <x:c r="D109" t="str">
        <x:f>Profiles_140!B105</x:f>
        <x:v>ディフェンス型</x:v>
      </x:c>
      <x:c r="E109" t="str">
        <x:f>Profiles_140!I105</x:f>
        <x:v>高</x:v>
      </x:c>
      <x:c r="F109" s="66" t="n">
        <x:f>Model_Formula!$M$13*(Profiles_140!K105-Simulator!$L$11)^2*IF(Profiles_140!K105&gt;Simulator!$L$11,1+Model_Formula!$N$13,1)</x:f>
        <x:v>225</x:v>
      </x:c>
      <x:c r="G109" s="66" t="n">
        <x:f>Model_Formula!$M$14*(Profiles_140!L105-Simulator!$L$12)^2*IF(Profiles_140!L105&gt;Simulator!$L$12,1+Model_Formula!$N$14,1)</x:f>
        <x:v>26.25</x:v>
      </x:c>
      <x:c r="H109" s="66" t="n">
        <x:f>Model_Formula!$M$15*(Profiles_140!M105-Simulator!$L$13)^2*IF(Profiles_140!M105&gt;Simulator!$L$13,1+Model_Formula!$N$15,1)</x:f>
        <x:v>625</x:v>
      </x:c>
      <x:c r="I109" s="66" t="n">
        <x:f>Model_Formula!$M$16*(Profiles_140!N105-Simulator!$L$14)^2*IF(Profiles_140!N105&gt;Simulator!$L$14,1+Model_Formula!$N$16,1)</x:f>
        <x:v>1225</x:v>
      </x:c>
      <x:c r="J109" s="66" t="n">
        <x:f>Model_Formula!$M$17*(Profiles_140!O105-Simulator!$L$15)^2*IF(Profiles_140!O105&gt;Simulator!$L$15,1+Model_Formula!$N$17,1)</x:f>
        <x:v>1600</x:v>
      </x:c>
      <x:c r="K109" s="66" t="n">
        <x:f>Model_Formula!$M$18*(Profiles_140!P105-Simulator!$L$16)^2*IF(Profiles_140!P105&gt;Simulator!$L$16,1+Model_Formula!$N$18,1)</x:f>
        <x:v>22.5</x:v>
      </x:c>
      <x:c r="L109" s="66" t="n">
        <x:f>Model_Formula!$M$19*(Profiles_140!Q105-Simulator!$L$17)^2*IF(Profiles_140!Q105&gt;Simulator!$L$17,1+Model_Formula!$N$19,1)</x:f>
        <x:v>1600</x:v>
      </x:c>
      <x:c r="M109" s="66" t="n">
        <x:f>Model_Formula!$M$20*(Profiles_140!R105-Simulator!$L$18)^2*IF(Profiles_140!R105&gt;Simulator!$L$18,1+Model_Formula!$N$20,1)</x:f>
        <x:v>1225</x:v>
      </x:c>
      <x:c r="N109" s="66" t="n">
        <x:f>Model_Formula!$M$21*(Profiles_140!S105-Simulator!$L$19)^2*IF(Profiles_140!S105&gt;Simulator!$L$19,1+Model_Formula!$N$21,1)</x:f>
        <x:v>25</x:v>
      </x:c>
      <x:c r="O109" s="66" t="n">
        <x:f>Model_Formula!$M$22*(Profiles_140!T105-Simulator!$L$20)^2*IF(Profiles_140!T105&gt;Simulator!$L$20,1+Model_Formula!$N$22,1)</x:f>
        <x:v>100</x:v>
      </x:c>
      <x:c r="P109" s="66" t="n">
        <x:f>Model_Formula!$M$23*(Profiles_140!U105-Simulator!$L$21)^2*IF(Profiles_140!U105&gt;Simulator!$L$21,1+Model_Formula!$N$23,1)</x:f>
        <x:v>180</x:v>
      </x:c>
      <x:c r="Q109" s="66" t="n">
        <x:f>Model_Formula!$M$24*(Profiles_140!V105-Simulator!$L$22)^2*IF(Profiles_140!V105&gt;Simulator!$L$22,1+Model_Formula!$N$24,1)</x:f>
        <x:v>40</x:v>
      </x:c>
      <x:c r="R109" s="66" t="n">
        <x:f>Model_Formula!$M$25*(Profiles_140!W105-Simulator!$L$23)^2*IF(Profiles_140!W105&gt;Simulator!$L$23,1+Model_Formula!$N$25,1)</x:f>
        <x:v>180</x:v>
      </x:c>
      <x:c r="S109" s="66" t="n">
        <x:f>Model_Formula!$M$26*(Profiles_140!X105-Simulator!$L$24)^2*IF(Profiles_140!X105&gt;Simulator!$L$24,1+Model_Formula!$N$26,1)</x:f>
        <x:v>148.50000000000003</x:v>
      </x:c>
      <x:c r="T109" s="66" t="n">
        <x:f>Model_Formula!$M$27*(Profiles_140!Y105-Simulator!$L$25)^2*IF(Profiles_140!Y105&gt;Simulator!$L$25,1+Model_Formula!$N$27,1)</x:f>
        <x:v>754.6874999999999</x:v>
      </x:c>
      <x:c r="U109" s="60" t="n">
        <x:f>SUM(F109:T109)/SUM($F$4:$T$4)</x:f>
        <x:v>595.2938432835822</x:v>
      </x:c>
      <x:c r="V109" s="60" t="n">
        <x:f>SQRT(U109)</x:f>
        <x:v>24.398644291918806</x:v>
      </x:c>
      <x:c r="W109" s="60" t="n">
        <x:f>MAX(0,100-V109)</x:f>
        <x:v>75.6013557080812</x:v>
      </x:c>
      <x:c r="X109" s="60" t="n">
        <x:f>SUMPRODUCT(Profiles_140!K105:Y105,$F$4:$T$4)/SUM($F$4:$T$4)</x:f>
        <x:v>54.51492537313433</x:v>
      </x:c>
      <x:c r="Y109" s="60" t="n">
        <x:f>IFERROR(50+50*SUMPRODUCT(($F$3:$T$3-$X$3)*(Profiles_140!K105:Y105-X109),$F$4:$T$4)/SQRT(SUMPRODUCT(($F$3:$T$3-$X$3)^2,$F$4:$T$4)*SUMPRODUCT((Profiles_140!K105:Y105-X109)^2,$F$4:$T$4)),50)</x:f>
        <x:v>50.00000000000001</x:v>
      </x:c>
      <x:c r="Z109" s="60" t="n">
        <x:f>$Z$3</x:f>
        <x:v>3.9474596431116675e-16</x:v>
      </x:c>
      <x:c r="AA109" s="60" t="n">
        <x:f>W109*(1-Model_Formula!$F$8*Z109)+Y109*(Model_Formula!$F$8*Z109)</x:f>
        <x:v>75.6013557080812</x:v>
      </x:c>
      <x:c r="AB109" s="60" t="n">
        <x:f>SQRT(SUMPRODUCT((Profiles_140!K105:Y105-50)^2,$F$4:$T$4)/SUM($F$4:$T$4))</x:f>
        <x:v>24.188315916278086</x:v>
      </x:c>
      <x:c r="AC109" s="60" t="n">
        <x:f>MAX(-Model_Formula!$F$11,MIN(Model_Formula!$F$11,Model_Formula!$F$10*(AB109-AVERAGE($AB$6:$AB$135))))</x:f>
        <x:v>-2.226948488458772</x:v>
      </x:c>
      <x:c r="AD109" s="60" t="n">
        <x:f>MAX(0,MIN(100,AA109+AC109))</x:f>
        <x:v>73.37440721962243</x:v>
      </x:c>
      <x:c r="AE109" s="60" t="n">
        <x:f>MAX(0,MIN(1,IFERROR((MATCH(AD109,Percentile_Calibration!$F105:$DB105,1)-1)/100,0)))</x:f>
        <x:v>0.94</x:v>
      </x:c>
      <x:c r="AF109" s="62" t="n">
        <x:f>ROUND(MAX(Model_Formula!$I$9,Model_Formula!$I$5+Model_Formula!$I$6*POWER(AE109,Model_Formula!$I$7)),0)</x:f>
        <x:v>88</x:v>
      </x:c>
      <x:c r="AG109" t="n">
        <x:f>Profiles_140!AJ105</x:f>
        <x:v>0</x:v>
      </x:c>
      <x:c r="AH109" s="60" t="n">
        <x:f>Model_Formula!$I$8*(AE109*100)+(1-Model_Formula!$I$8)*AD109+AG109</x:f>
        <x:v>89.87488144392448</x:v>
      </x:c>
      <x:c r="AI109" t="n">
        <x:f>RANK.EQ(AH109,$AH$6:$AH$135,0)+COUNTIF($AH$6:AH109,AH109)-1</x:f>
        <x:v>6</x:v>
      </x:c>
    </x:row>
    <x:row r="110">
      <x:c r="A110" t="str">
        <x:f>Profiles_140!A106</x:f>
        <x:v>ヌメルゴン</x:v>
      </x:c>
      <x:c r="B110" t="str">
        <x:f>Profiles_140!C106</x:f>
        <x:v>ヌメルゴン-1</x:v>
      </x:c>
      <x:c r="C110" t="str">
        <x:f>Profiles_140!D106</x:f>
        <x:v>共通</x:v>
      </x:c>
      <x:c r="D110" t="str">
        <x:f>Profiles_140!B106</x:f>
        <x:v>ディフェンス型</x:v>
      </x:c>
      <x:c r="E110" t="str">
        <x:f>Profiles_140!I106</x:f>
        <x:v>高</x:v>
      </x:c>
      <x:c r="F110" s="66" t="n">
        <x:f>Model_Formula!$M$13*(Profiles_140!K106-Simulator!$L$11)^2*IF(Profiles_140!K106&gt;Simulator!$L$11,1+Model_Formula!$N$13,1)</x:f>
        <x:v>25</x:v>
      </x:c>
      <x:c r="G110" s="66" t="n">
        <x:f>Model_Formula!$M$14*(Profiles_140!L106-Simulator!$L$12)^2*IF(Profiles_140!L106&gt;Simulator!$L$12,1+Model_Formula!$N$14,1)</x:f>
        <x:v>26.25</x:v>
      </x:c>
      <x:c r="H110" s="66" t="n">
        <x:f>Model_Formula!$M$15*(Profiles_140!M106-Simulator!$L$13)^2*IF(Profiles_140!M106&gt;Simulator!$L$13,1+Model_Formula!$N$15,1)</x:f>
        <x:v>25</x:v>
      </x:c>
      <x:c r="I110" s="66" t="n">
        <x:f>Model_Formula!$M$16*(Profiles_140!N106-Simulator!$L$14)^2*IF(Profiles_140!N106&gt;Simulator!$L$14,1+Model_Formula!$N$16,1)</x:f>
        <x:v>2500</x:v>
      </x:c>
      <x:c r="J110" s="66" t="n">
        <x:f>Model_Formula!$M$17*(Profiles_140!O106-Simulator!$L$15)^2*IF(Profiles_140!O106&gt;Simulator!$L$15,1+Model_Formula!$N$17,1)</x:f>
        <x:v>1600</x:v>
      </x:c>
      <x:c r="K110" s="66" t="n">
        <x:f>Model_Formula!$M$18*(Profiles_140!P106-Simulator!$L$16)^2*IF(Profiles_140!P106&gt;Simulator!$L$16,1+Model_Formula!$N$18,1)</x:f>
        <x:v>1440</x:v>
      </x:c>
      <x:c r="L110" s="66" t="n">
        <x:f>Model_Formula!$M$19*(Profiles_140!Q106-Simulator!$L$17)^2*IF(Profiles_140!Q106&gt;Simulator!$L$17,1+Model_Formula!$N$19,1)</x:f>
        <x:v>900</x:v>
      </x:c>
      <x:c r="M110" s="66" t="n">
        <x:f>Model_Formula!$M$20*(Profiles_140!R106-Simulator!$L$18)^2*IF(Profiles_140!R106&gt;Simulator!$L$18,1+Model_Formula!$N$20,1)</x:f>
        <x:v>2025</x:v>
      </x:c>
      <x:c r="N110" s="66" t="n">
        <x:f>Model_Formula!$M$21*(Profiles_140!S106-Simulator!$L$19)^2*IF(Profiles_140!S106&gt;Simulator!$L$19,1+Model_Formula!$N$21,1)</x:f>
        <x:v>900</x:v>
      </x:c>
      <x:c r="O110" s="66" t="n">
        <x:f>Model_Formula!$M$22*(Profiles_140!T106-Simulator!$L$20)^2*IF(Profiles_140!T106&gt;Simulator!$L$20,1+Model_Formula!$N$22,1)</x:f>
        <x:v>1225</x:v>
      </x:c>
      <x:c r="P110" s="66" t="n">
        <x:f>Model_Formula!$M$23*(Profiles_140!U106-Simulator!$L$21)^2*IF(Profiles_140!U106&gt;Simulator!$L$21,1+Model_Formula!$N$23,1)</x:f>
        <x:v>180</x:v>
      </x:c>
      <x:c r="Q110" s="66" t="n">
        <x:f>Model_Formula!$M$24*(Profiles_140!V106-Simulator!$L$22)^2*IF(Profiles_140!V106&gt;Simulator!$L$22,1+Model_Formula!$N$24,1)</x:f>
        <x:v>250</x:v>
      </x:c>
      <x:c r="R110" s="66" t="n">
        <x:f>Model_Formula!$M$25*(Profiles_140!W106-Simulator!$L$23)^2*IF(Profiles_140!W106&gt;Simulator!$L$23,1+Model_Formula!$N$25,1)</x:f>
        <x:v>180</x:v>
      </x:c>
      <x:c r="S110" s="66" t="n">
        <x:f>Model_Formula!$M$26*(Profiles_140!X106-Simulator!$L$24)^2*IF(Profiles_140!X106&gt;Simulator!$L$24,1+Model_Formula!$N$26,1)</x:f>
        <x:v>0</x:v>
      </x:c>
      <x:c r="T110" s="66" t="n">
        <x:f>Model_Formula!$M$27*(Profiles_140!Y106-Simulator!$L$25)^2*IF(Profiles_140!Y106&gt;Simulator!$L$25,1+Model_Formula!$N$27,1)</x:f>
        <x:v>0</x:v>
      </x:c>
      <x:c r="U110" s="60" t="n">
        <x:f>SUM(F110:T110)/SUM($F$4:$T$4)</x:f>
        <x:v>841.5111940298508</x:v>
      </x:c>
      <x:c r="V110" s="60" t="n">
        <x:f>SQRT(U110)</x:f>
        <x:v>29.00881235124683</x:v>
      </x:c>
      <x:c r="W110" s="60" t="n">
        <x:f>MAX(0,100-V110)</x:f>
        <x:v>70.99118764875317</x:v>
      </x:c>
      <x:c r="X110" s="60" t="n">
        <x:f>SUMPRODUCT(Profiles_140!K106:Y106,$F$4:$T$4)/SUM($F$4:$T$4)</x:f>
        <x:v>48.5634328358209</x:v>
      </x:c>
      <x:c r="Y110" s="60" t="n">
        <x:f>IFERROR(50+50*SUMPRODUCT(($F$3:$T$3-$X$3)*(Profiles_140!K106:Y106-X110),$F$4:$T$4)/SQRT(SUMPRODUCT(($F$3:$T$3-$X$3)^2,$F$4:$T$4)*SUMPRODUCT((Profiles_140!K106:Y106-X110)^2,$F$4:$T$4)),50)</x:f>
        <x:v>50</x:v>
      </x:c>
      <x:c r="Z110" s="60" t="n">
        <x:f>$Z$3</x:f>
        <x:v>3.9474596431116675e-16</x:v>
      </x:c>
      <x:c r="AA110" s="60" t="n">
        <x:f>W110*(1-Model_Formula!$F$8*Z110)+Y110*(Model_Formula!$F$8*Z110)</x:f>
        <x:v>70.99118764875317</x:v>
      </x:c>
      <x:c r="AB110" s="60" t="n">
        <x:f>SQRT(SUMPRODUCT((Profiles_140!K106:Y106-50)^2,$F$4:$T$4)/SUM($F$4:$T$4))</x:f>
        <x:v>29.00881235124683</x:v>
      </x:c>
      <x:c r="AC110" s="60" t="n">
        <x:f>MAX(-Model_Formula!$F$11,MIN(Model_Formula!$F$11,Model_Formula!$F$10*(AB110-AVERAGE($AB$6:$AB$135))))</x:f>
        <x:v>-0.05772509272283628</x:v>
      </x:c>
      <x:c r="AD110" s="60" t="n">
        <x:f>MAX(0,MIN(100,AA110+AC110))</x:f>
        <x:v>70.93346255603034</x:v>
      </x:c>
      <x:c r="AE110" s="60" t="n">
        <x:f>MAX(0,MIN(1,IFERROR((MATCH(AD110,Percentile_Calibration!$F106:$DB106,1)-1)/100,0)))</x:f>
        <x:v>0.86</x:v>
      </x:c>
      <x:c r="AF110" s="62" t="n">
        <x:f>ROUND(MAX(Model_Formula!$I$9,Model_Formula!$I$5+Model_Formula!$I$6*POWER(AE110,Model_Formula!$I$7)),0)</x:f>
        <x:v>77</x:v>
      </x:c>
      <x:c r="AG110" t="n">
        <x:f>Profiles_140!AJ106</x:f>
        <x:v>0</x:v>
      </x:c>
      <x:c r="AH110" s="60" t="n">
        <x:f>Model_Formula!$I$8*(AE110*100)+(1-Model_Formula!$I$8)*AD110+AG110</x:f>
        <x:v>82.98669251120606</x:v>
      </x:c>
      <x:c r="AI110" t="n">
        <x:f>RANK.EQ(AH110,$AH$6:$AH$135,0)+COUNTIF($AH$6:AH110,AH110)-1</x:f>
        <x:v>21</x:v>
      </x:c>
    </x:row>
    <x:row r="111">
      <x:c r="A111" t="str">
        <x:f>Profiles_140!A107</x:f>
        <x:v>フリーザー</x:v>
      </x:c>
      <x:c r="B111" t="str">
        <x:f>Profiles_140!C107</x:f>
        <x:v>フリーザー-1</x:v>
      </x:c>
      <x:c r="C111" t="str">
        <x:f>Profiles_140!D107</x:f>
        <x:v>共通</x:v>
      </x:c>
      <x:c r="D111" t="str">
        <x:f>Profiles_140!B107</x:f>
        <x:v>ディフェンス型</x:v>
      </x:c>
      <x:c r="E111" t="str">
        <x:f>Profiles_140!I107</x:f>
        <x:v>中</x:v>
      </x:c>
      <x:c r="F111" s="66" t="n">
        <x:f>Model_Formula!$M$13*(Profiles_140!K107-Simulator!$L$11)^2*IF(Profiles_140!K107&gt;Simulator!$L$11,1+Model_Formula!$N$13,1)</x:f>
        <x:v>225</x:v>
      </x:c>
      <x:c r="G111" s="66" t="n">
        <x:f>Model_Formula!$M$14*(Profiles_140!L107-Simulator!$L$12)^2*IF(Profiles_140!L107&gt;Simulator!$L$12,1+Model_Formula!$N$14,1)</x:f>
        <x:v>2625</x:v>
      </x:c>
      <x:c r="H111" s="66" t="n">
        <x:f>Model_Formula!$M$15*(Profiles_140!M107-Simulator!$L$13)^2*IF(Profiles_140!M107&gt;Simulator!$L$13,1+Model_Formula!$N$15,1)</x:f>
        <x:v>2500</x:v>
      </x:c>
      <x:c r="I111" s="66" t="n">
        <x:f>Model_Formula!$M$16*(Profiles_140!N107-Simulator!$L$14)^2*IF(Profiles_140!N107&gt;Simulator!$L$14,1+Model_Formula!$N$16,1)</x:f>
        <x:v>2500</x:v>
      </x:c>
      <x:c r="J111" s="66" t="n">
        <x:f>Model_Formula!$M$17*(Profiles_140!O107-Simulator!$L$15)^2*IF(Profiles_140!O107&gt;Simulator!$L$15,1+Model_Formula!$N$17,1)</x:f>
        <x:v>400</x:v>
      </x:c>
      <x:c r="K111" s="66" t="n">
        <x:f>Model_Formula!$M$18*(Profiles_140!P107-Simulator!$L$16)^2*IF(Profiles_140!P107&gt;Simulator!$L$16,1+Model_Formula!$N$18,1)</x:f>
        <x:v>90</x:v>
      </x:c>
      <x:c r="L111" s="66" t="n">
        <x:f>Model_Formula!$M$19*(Profiles_140!Q107-Simulator!$L$17)^2*IF(Profiles_140!Q107&gt;Simulator!$L$17,1+Model_Formula!$N$19,1)</x:f>
        <x:v>2500</x:v>
      </x:c>
      <x:c r="M111" s="66" t="n">
        <x:f>Model_Formula!$M$20*(Profiles_140!R107-Simulator!$L$18)^2*IF(Profiles_140!R107&gt;Simulator!$L$18,1+Model_Formula!$N$20,1)</x:f>
        <x:v>0</x:v>
      </x:c>
      <x:c r="N111" s="66" t="n">
        <x:f>Model_Formula!$M$21*(Profiles_140!S107-Simulator!$L$19)^2*IF(Profiles_140!S107&gt;Simulator!$L$19,1+Model_Formula!$N$21,1)</x:f>
        <x:v>1600</x:v>
      </x:c>
      <x:c r="O111" s="66" t="n">
        <x:f>Model_Formula!$M$22*(Profiles_140!T107-Simulator!$L$20)^2*IF(Profiles_140!T107&gt;Simulator!$L$20,1+Model_Formula!$N$22,1)</x:f>
        <x:v>25</x:v>
      </x:c>
      <x:c r="P111" s="66" t="n">
        <x:f>Model_Formula!$M$23*(Profiles_140!U107-Simulator!$L$21)^2*IF(Profiles_140!U107&gt;Simulator!$L$21,1+Model_Formula!$N$23,1)</x:f>
        <x:v>720</x:v>
      </x:c>
      <x:c r="Q111" s="66" t="n">
        <x:f>Model_Formula!$M$24*(Profiles_140!V107-Simulator!$L$22)^2*IF(Profiles_140!V107&gt;Simulator!$L$22,1+Model_Formula!$N$24,1)</x:f>
        <x:v>160</x:v>
      </x:c>
      <x:c r="R111" s="66" t="n">
        <x:f>Model_Formula!$M$25*(Profiles_140!W107-Simulator!$L$23)^2*IF(Profiles_140!W107&gt;Simulator!$L$23,1+Model_Formula!$N$25,1)</x:f>
        <x:v>720</x:v>
      </x:c>
      <x:c r="S111" s="66" t="n">
        <x:f>Model_Formula!$M$26*(Profiles_140!X107-Simulator!$L$24)^2*IF(Profiles_140!X107&gt;Simulator!$L$24,1+Model_Formula!$N$26,1)</x:f>
        <x:v>0</x:v>
      </x:c>
      <x:c r="T111" s="66" t="n">
        <x:f>Model_Formula!$M$27*(Profiles_140!Y107-Simulator!$L$25)^2*IF(Profiles_140!Y107&gt;Simulator!$L$25,1+Model_Formula!$N$27,1)</x:f>
        <x:v>1479.1874999999998</x:v>
      </x:c>
      <x:c r="U111" s="60" t="n">
        <x:f>SUM(F111:T111)/SUM($F$4:$T$4)</x:f>
        <x:v>1160.0139925373135</x:v>
      </x:c>
      <x:c r="V111" s="60" t="n">
        <x:f>SQRT(U111)</x:f>
        <x:v>34.058978148754164</x:v>
      </x:c>
      <x:c r="W111" s="60" t="n">
        <x:f>MAX(0,100-V111)</x:f>
        <x:v>65.94102185124584</x:v>
      </x:c>
      <x:c r="X111" s="60" t="n">
        <x:f>SUMPRODUCT(Profiles_140!K107:Y107,$F$4:$T$4)/SUM($F$4:$T$4)</x:f>
        <x:v>51.43656716417911</x:v>
      </x:c>
      <x:c r="Y111" s="60" t="n">
        <x:f>IFERROR(50+50*SUMPRODUCT(($F$3:$T$3-$X$3)*(Profiles_140!K107:Y107-X111),$F$4:$T$4)/SQRT(SUMPRODUCT(($F$3:$T$3-$X$3)^2,$F$4:$T$4)*SUMPRODUCT((Profiles_140!K107:Y107-X111)^2,$F$4:$T$4)),50)</x:f>
        <x:v>50.00000000000001</x:v>
      </x:c>
      <x:c r="Z111" s="60" t="n">
        <x:f>$Z$3</x:f>
        <x:v>3.9474596431116675e-16</x:v>
      </x:c>
      <x:c r="AA111" s="60" t="n">
        <x:f>W111*(1-Model_Formula!$F$8*Z111)+Y111*(Model_Formula!$F$8*Z111)</x:f>
        <x:v>65.94102185124584</x:v>
      </x:c>
      <x:c r="AB111" s="60" t="n">
        <x:f>SQRT(SUMPRODUCT((Profiles_140!K107:Y107-50)^2,$F$4:$T$4)/SUM($F$4:$T$4))</x:f>
        <x:v>33.84694479036167</x:v>
      </x:c>
      <x:c r="AC111" s="60" t="n">
        <x:f>MAX(-Model_Formula!$F$11,MIN(Model_Formula!$F$11,Model_Formula!$F$10*(AB111-AVERAGE($AB$6:$AB$135))))</x:f>
        <x:v>2.1194345048788406</x:v>
      </x:c>
      <x:c r="AD111" s="60" t="n">
        <x:f>MAX(0,MIN(100,AA111+AC111))</x:f>
        <x:v>68.06045635612467</x:v>
      </x:c>
      <x:c r="AE111" s="60" t="n">
        <x:f>MAX(0,MIN(1,IFERROR((MATCH(AD111,Percentile_Calibration!$F107:$DB107,1)-1)/100,0)))</x:f>
        <x:v>0.73</x:v>
      </x:c>
      <x:c r="AF111" s="62" t="n">
        <x:f>ROUND(MAX(Model_Formula!$I$9,Model_Formula!$I$5+Model_Formula!$I$6*POWER(AE111,Model_Formula!$I$7)),0)</x:f>
        <x:v>63</x:v>
      </x:c>
      <x:c r="AG111" t="n">
        <x:f>Profiles_140!AJ107</x:f>
        <x:v>0</x:v>
      </x:c>
      <x:c r="AH111" s="60" t="n">
        <x:f>Model_Formula!$I$8*(AE111*100)+(1-Model_Formula!$I$8)*AD111+AG111</x:f>
        <x:v>72.01209127122493</x:v>
      </x:c>
      <x:c r="AI111" t="n">
        <x:f>RANK.EQ(AH111,$AH$6:$AH$135,0)+COUNTIF($AH$6:AH111,AH111)-1</x:f>
        <x:v>67</x:v>
      </x:c>
    </x:row>
    <x:row r="112">
      <x:c r="A112" t="str">
        <x:f>Profiles_140!A108</x:f>
        <x:v>ブラッキー</x:v>
      </x:c>
      <x:c r="B112" t="str">
        <x:f>Profiles_140!C108</x:f>
        <x:v>ブラッキー-1</x:v>
      </x:c>
      <x:c r="C112" t="str">
        <x:f>Profiles_140!D108</x:f>
        <x:v>ねがいごと</x:v>
      </x:c>
      <x:c r="D112" t="str">
        <x:f>Profiles_140!B108</x:f>
        <x:v>ディフェンス型</x:v>
      </x:c>
      <x:c r="E112" t="str">
        <x:f>Profiles_140!I108</x:f>
        <x:v>高</x:v>
      </x:c>
      <x:c r="F112" s="66" t="n">
        <x:f>Model_Formula!$M$13*(Profiles_140!K108-Simulator!$L$11)^2*IF(Profiles_140!K108&gt;Simulator!$L$11,1+Model_Formula!$N$13,1)</x:f>
        <x:v>900</x:v>
      </x:c>
      <x:c r="G112" s="66" t="n">
        <x:f>Model_Formula!$M$14*(Profiles_140!L108-Simulator!$L$12)^2*IF(Profiles_140!L108&gt;Simulator!$L$12,1+Model_Formula!$N$14,1)</x:f>
        <x:v>2625</x:v>
      </x:c>
      <x:c r="H112" s="66" t="n">
        <x:f>Model_Formula!$M$15*(Profiles_140!M108-Simulator!$L$13)^2*IF(Profiles_140!M108&gt;Simulator!$L$13,1+Model_Formula!$N$15,1)</x:f>
        <x:v>2500</x:v>
      </x:c>
      <x:c r="I112" s="66" t="n">
        <x:f>Model_Formula!$M$16*(Profiles_140!N108-Simulator!$L$14)^2*IF(Profiles_140!N108&gt;Simulator!$L$14,1+Model_Formula!$N$16,1)</x:f>
        <x:v>100</x:v>
      </x:c>
      <x:c r="J112" s="66" t="n">
        <x:f>Model_Formula!$M$17*(Profiles_140!O108-Simulator!$L$15)^2*IF(Profiles_140!O108&gt;Simulator!$L$15,1+Model_Formula!$N$17,1)</x:f>
        <x:v>625</x:v>
      </x:c>
      <x:c r="K112" s="66" t="n">
        <x:f>Model_Formula!$M$18*(Profiles_140!P108-Simulator!$L$16)^2*IF(Profiles_140!P108&gt;Simulator!$L$16,1+Model_Formula!$N$18,1)</x:f>
        <x:v>22.5</x:v>
      </x:c>
      <x:c r="L112" s="66" t="n">
        <x:f>Model_Formula!$M$19*(Profiles_140!Q108-Simulator!$L$17)^2*IF(Profiles_140!Q108&gt;Simulator!$L$17,1+Model_Formula!$N$19,1)</x:f>
        <x:v>900</x:v>
      </x:c>
      <x:c r="M112" s="66" t="n">
        <x:f>Model_Formula!$M$20*(Profiles_140!R108-Simulator!$L$18)^2*IF(Profiles_140!R108&gt;Simulator!$L$18,1+Model_Formula!$N$20,1)</x:f>
        <x:v>2025</x:v>
      </x:c>
      <x:c r="N112" s="66" t="n">
        <x:f>Model_Formula!$M$21*(Profiles_140!S108-Simulator!$L$19)^2*IF(Profiles_140!S108&gt;Simulator!$L$19,1+Model_Formula!$N$21,1)</x:f>
        <x:v>900</x:v>
      </x:c>
      <x:c r="O112" s="66" t="n">
        <x:f>Model_Formula!$M$22*(Profiles_140!T108-Simulator!$L$20)^2*IF(Profiles_140!T108&gt;Simulator!$L$20,1+Model_Formula!$N$22,1)</x:f>
        <x:v>100</x:v>
      </x:c>
      <x:c r="P112" s="66" t="n">
        <x:f>Model_Formula!$M$23*(Profiles_140!U108-Simulator!$L$21)^2*IF(Profiles_140!U108&gt;Simulator!$L$21,1+Model_Formula!$N$23,1)</x:f>
        <x:v>720</x:v>
      </x:c>
      <x:c r="Q112" s="66" t="n">
        <x:f>Model_Formula!$M$24*(Profiles_140!V108-Simulator!$L$22)^2*IF(Profiles_140!V108&gt;Simulator!$L$22,1+Model_Formula!$N$24,1)</x:f>
        <x:v>250</x:v>
      </x:c>
      <x:c r="R112" s="66" t="n">
        <x:f>Model_Formula!$M$25*(Profiles_140!W108-Simulator!$L$23)^2*IF(Profiles_140!W108&gt;Simulator!$L$23,1+Model_Formula!$N$25,1)</x:f>
        <x:v>551.25</x:v>
      </x:c>
      <x:c r="S112" s="66" t="n">
        <x:f>Model_Formula!$M$26*(Profiles_140!X108-Simulator!$L$24)^2*IF(Profiles_140!X108&gt;Simulator!$L$24,1+Model_Formula!$N$26,1)</x:f>
        <x:v>0</x:v>
      </x:c>
      <x:c r="T112" s="66" t="n">
        <x:f>Model_Formula!$M$27*(Profiles_140!Y108-Simulator!$L$25)^2*IF(Profiles_140!Y108&gt;Simulator!$L$25,1+Model_Formula!$N$27,1)</x:f>
        <x:v>2445.1875</x:v>
      </x:c>
      <x:c r="U112" s="60" t="n">
        <x:f>SUM(F112:T112)/SUM($F$4:$T$4)</x:f>
        <x:v>1094.323694029851</x:v>
      </x:c>
      <x:c r="V112" s="60" t="n">
        <x:f>SQRT(U112)</x:f>
        <x:v>33.08056368972347</x:v>
      </x:c>
      <x:c r="W112" s="60" t="n">
        <x:f>MAX(0,100-V112)</x:f>
        <x:v>66.91943631027652</x:v>
      </x:c>
      <x:c r="X112" s="60" t="n">
        <x:f>SUMPRODUCT(Profiles_140!K108:Y108,$F$4:$T$4)/SUM($F$4:$T$4)</x:f>
        <x:v>49.66417910447762</x:v>
      </x:c>
      <x:c r="Y112" s="60" t="n">
        <x:f>IFERROR(50+50*SUMPRODUCT(($F$3:$T$3-$X$3)*(Profiles_140!K108:Y108-X112),$F$4:$T$4)/SQRT(SUMPRODUCT(($F$3:$T$3-$X$3)^2,$F$4:$T$4)*SUMPRODUCT((Profiles_140!K108:Y108-X112)^2,$F$4:$T$4)),50)</x:f>
        <x:v>50.00000000000001</x:v>
      </x:c>
      <x:c r="Z112" s="60" t="n">
        <x:f>$Z$3</x:f>
        <x:v>3.9474596431116675e-16</x:v>
      </x:c>
      <x:c r="AA112" s="60" t="n">
        <x:f>W112*(1-Model_Formula!$F$8*Z112)+Y112*(Model_Formula!$F$8*Z112)</x:f>
        <x:v>66.91943631027652</x:v>
      </x:c>
      <x:c r="AB112" s="60" t="n">
        <x:f>SQRT(SUMPRODUCT((Profiles_140!K108:Y108-50)^2,$F$4:$T$4)/SUM($F$4:$T$4))</x:f>
        <x:v>32.71883842772695</x:v>
      </x:c>
      <x:c r="AC112" s="60" t="n">
        <x:f>MAX(-Model_Formula!$F$11,MIN(Model_Formula!$F$11,Model_Formula!$F$10*(AB112-AVERAGE($AB$6:$AB$135))))</x:f>
        <x:v>1.6117866416932174</x:v>
      </x:c>
      <x:c r="AD112" s="60" t="n">
        <x:f>MAX(0,MIN(100,AA112+AC112))</x:f>
        <x:v>68.53122295196974</x:v>
      </x:c>
      <x:c r="AE112" s="60" t="n">
        <x:f>MAX(0,MIN(1,IFERROR((MATCH(AD112,Percentile_Calibration!$F108:$DB108,1)-1)/100,0)))</x:f>
        <x:v>0.67</x:v>
      </x:c>
      <x:c r="AF112" s="62" t="n">
        <x:f>ROUND(MAX(Model_Formula!$I$9,Model_Formula!$I$5+Model_Formula!$I$6*POWER(AE112,Model_Formula!$I$7)),0)</x:f>
        <x:v>59</x:v>
      </x:c>
      <x:c r="AG112" t="n">
        <x:f>Profiles_140!AJ108</x:f>
        <x:v>0</x:v>
      </x:c>
      <x:c r="AH112" s="60" t="n">
        <x:f>Model_Formula!$I$8*(AE112*100)+(1-Model_Formula!$I$8)*AD112+AG112</x:f>
        <x:v>67.30624459039394</x:v>
      </x:c>
      <x:c r="AI112" t="n">
        <x:f>RANK.EQ(AH112,$AH$6:$AH$135,0)+COUNTIF($AH$6:AH112,AH112)-1</x:f>
        <x:v>98</x:v>
      </x:c>
    </x:row>
    <x:row r="113">
      <x:c r="A113" t="str">
        <x:f>Profiles_140!A109</x:f>
        <x:v>ブラッキー</x:v>
      </x:c>
      <x:c r="B113" t="str">
        <x:f>Profiles_140!C109</x:f>
        <x:v>ブラッキー-2</x:v>
      </x:c>
      <x:c r="C113" t="str">
        <x:f>Profiles_140!D109</x:f>
        <x:v>イカサマ</x:v>
      </x:c>
      <x:c r="D113" t="str">
        <x:f>Profiles_140!B109</x:f>
        <x:v>ディフェンス型</x:v>
      </x:c>
      <x:c r="E113" t="str">
        <x:f>Profiles_140!I109</x:f>
        <x:v>高</x:v>
      </x:c>
      <x:c r="F113" s="66" t="n">
        <x:f>Model_Formula!$M$13*(Profiles_140!K109-Simulator!$L$11)^2*IF(Profiles_140!K109&gt;Simulator!$L$11,1+Model_Formula!$N$13,1)</x:f>
        <x:v>2500</x:v>
      </x:c>
      <x:c r="G113" s="66" t="n">
        <x:f>Model_Formula!$M$14*(Profiles_140!L109-Simulator!$L$12)^2*IF(Profiles_140!L109&gt;Simulator!$L$12,1+Model_Formula!$N$14,1)</x:f>
        <x:v>26.25</x:v>
      </x:c>
      <x:c r="H113" s="66" t="n">
        <x:f>Model_Formula!$M$15*(Profiles_140!M109-Simulator!$L$13)^2*IF(Profiles_140!M109&gt;Simulator!$L$13,1+Model_Formula!$N$15,1)</x:f>
        <x:v>900</x:v>
      </x:c>
      <x:c r="I113" s="66" t="n">
        <x:f>Model_Formula!$M$16*(Profiles_140!N109-Simulator!$L$14)^2*IF(Profiles_140!N109&gt;Simulator!$L$14,1+Model_Formula!$N$16,1)</x:f>
        <x:v>2500</x:v>
      </x:c>
      <x:c r="J113" s="66" t="n">
        <x:f>Model_Formula!$M$17*(Profiles_140!O109-Simulator!$L$15)^2*IF(Profiles_140!O109&gt;Simulator!$L$15,1+Model_Formula!$N$17,1)</x:f>
        <x:v>2500</x:v>
      </x:c>
      <x:c r="K113" s="66" t="n">
        <x:f>Model_Formula!$M$18*(Profiles_140!P109-Simulator!$L$16)^2*IF(Profiles_140!P109&gt;Simulator!$L$16,1+Model_Formula!$N$18,1)</x:f>
        <x:v>22.5</x:v>
      </x:c>
      <x:c r="L113" s="66" t="n">
        <x:f>Model_Formula!$M$19*(Profiles_140!Q109-Simulator!$L$17)^2*IF(Profiles_140!Q109&gt;Simulator!$L$17,1+Model_Formula!$N$19,1)</x:f>
        <x:v>2500</x:v>
      </x:c>
      <x:c r="M113" s="66" t="n">
        <x:f>Model_Formula!$M$20*(Profiles_140!R109-Simulator!$L$18)^2*IF(Profiles_140!R109&gt;Simulator!$L$18,1+Model_Formula!$N$20,1)</x:f>
        <x:v>1600</x:v>
      </x:c>
      <x:c r="N113" s="66" t="n">
        <x:f>Model_Formula!$M$21*(Profiles_140!S109-Simulator!$L$19)^2*IF(Profiles_140!S109&gt;Simulator!$L$19,1+Model_Formula!$N$21,1)</x:f>
        <x:v>225</x:v>
      </x:c>
      <x:c r="O113" s="66" t="n">
        <x:f>Model_Formula!$M$22*(Profiles_140!T109-Simulator!$L$20)^2*IF(Profiles_140!T109&gt;Simulator!$L$20,1+Model_Formula!$N$22,1)</x:f>
        <x:v>0</x:v>
      </x:c>
      <x:c r="P113" s="66" t="n">
        <x:f>Model_Formula!$M$23*(Profiles_140!U109-Simulator!$L$21)^2*IF(Profiles_140!U109&gt;Simulator!$L$21,1+Model_Formula!$N$23,1)</x:f>
        <x:v>551.25</x:v>
      </x:c>
      <x:c r="Q113" s="66" t="n">
        <x:f>Model_Formula!$M$24*(Profiles_140!V109-Simulator!$L$22)^2*IF(Profiles_140!V109&gt;Simulator!$L$22,1+Model_Formula!$N$24,1)</x:f>
        <x:v>160</x:v>
      </x:c>
      <x:c r="R113" s="66" t="n">
        <x:f>Model_Formula!$M$25*(Profiles_140!W109-Simulator!$L$23)^2*IF(Profiles_140!W109&gt;Simulator!$L$23,1+Model_Formula!$N$25,1)</x:f>
        <x:v>720</x:v>
      </x:c>
      <x:c r="S113" s="66" t="n">
        <x:f>Model_Formula!$M$26*(Profiles_140!X109-Simulator!$L$24)^2*IF(Profiles_140!X109&gt;Simulator!$L$24,1+Model_Formula!$N$26,1)</x:f>
        <x:v>37.12500000000001</x:v>
      </x:c>
      <x:c r="T113" s="66" t="n">
        <x:f>Model_Formula!$M$27*(Profiles_140!Y109-Simulator!$L$25)^2*IF(Profiles_140!Y109&gt;Simulator!$L$25,1+Model_Formula!$N$27,1)</x:f>
        <x:v>1479.1874999999998</x:v>
      </x:c>
      <x:c r="U113" s="60" t="n">
        <x:f>SUM(F113:T113)/SUM($F$4:$T$4)</x:f>
        <x:v>1173.2322761194032</x:v>
      </x:c>
      <x:c r="V113" s="60" t="n">
        <x:f>SQRT(U113)</x:f>
        <x:v>34.25247839382434</x:v>
      </x:c>
      <x:c r="W113" s="60" t="n">
        <x:f>MAX(0,100-V113)</x:f>
        <x:v>65.74752160617567</x:v>
      </x:c>
      <x:c r="X113" s="60" t="n">
        <x:f>SUMPRODUCT(Profiles_140!K109:Y109,$F$4:$T$4)/SUM($F$4:$T$4)</x:f>
        <x:v>55.57835820895523</x:v>
      </x:c>
      <x:c r="Y113" s="60" t="n">
        <x:f>IFERROR(50+50*SUMPRODUCT(($F$3:$T$3-$X$3)*(Profiles_140!K109:Y109-X113),$F$4:$T$4)/SQRT(SUMPRODUCT(($F$3:$T$3-$X$3)^2,$F$4:$T$4)*SUMPRODUCT((Profiles_140!K109:Y109-X113)^2,$F$4:$T$4)),50)</x:f>
        <x:v>50.00000000000001</x:v>
      </x:c>
      <x:c r="Z113" s="60" t="n">
        <x:f>$Z$3</x:f>
        <x:v>3.9474596431116675e-16</x:v>
      </x:c>
      <x:c r="AA113" s="60" t="n">
        <x:f>W113*(1-Model_Formula!$F$8*Z113)+Y113*(Model_Formula!$F$8*Z113)</x:f>
        <x:v>65.74752160617567</x:v>
      </x:c>
      <x:c r="AB113" s="60" t="n">
        <x:f>SQRT(SUMPRODUCT((Profiles_140!K109:Y109-50)^2,$F$4:$T$4)/SUM($F$4:$T$4))</x:f>
        <x:v>34.0310985958695</x:v>
      </x:c>
      <x:c r="AC113" s="60" t="n">
        <x:f>MAX(-Model_Formula!$F$11,MIN(Model_Formula!$F$11,Model_Formula!$F$10*(AB113-AVERAGE($AB$6:$AB$135))))</x:f>
        <x:v>2.202303717357365</x:v>
      </x:c>
      <x:c r="AD113" s="60" t="n">
        <x:f>MAX(0,MIN(100,AA113+AC113))</x:f>
        <x:v>67.94982532353303</x:v>
      </x:c>
      <x:c r="AE113" s="60" t="n">
        <x:f>MAX(0,MIN(1,IFERROR((MATCH(AD113,Percentile_Calibration!$F109:$DB109,1)-1)/100,0)))</x:f>
        <x:v>0.79</x:v>
      </x:c>
      <x:c r="AF113" s="62" t="n">
        <x:f>ROUND(MAX(Model_Formula!$I$9,Model_Formula!$I$5+Model_Formula!$I$6*POWER(AE113,Model_Formula!$I$7)),0)</x:f>
        <x:v>69</x:v>
      </x:c>
      <x:c r="AG113" t="n">
        <x:f>Profiles_140!AJ109</x:f>
        <x:v>0</x:v>
      </x:c>
      <x:c r="AH113" s="60" t="n">
        <x:f>Model_Formula!$I$8*(AE113*100)+(1-Model_Formula!$I$8)*AD113+AG113</x:f>
        <x:v>76.7899650647066</x:v>
      </x:c>
      <x:c r="AI113" t="n">
        <x:f>RANK.EQ(AH113,$AH$6:$AH$135,0)+COUNTIF($AH$6:AH113,AH113)-1</x:f>
        <x:v>45</x:v>
      </x:c>
    </x:row>
    <x:row r="114">
      <x:c r="A114" t="str">
        <x:f>Profiles_140!A110</x:f>
        <x:v>ホウオウ</x:v>
      </x:c>
      <x:c r="B114" t="str">
        <x:f>Profiles_140!C110</x:f>
        <x:v>ホウオウ-1</x:v>
      </x:c>
      <x:c r="C114" t="str">
        <x:f>Profiles_140!D110</x:f>
        <x:v>かえんほうしゃ</x:v>
      </x:c>
      <x:c r="D114" t="str">
        <x:f>Profiles_140!B110</x:f>
        <x:v>ディフェンス型</x:v>
      </x:c>
      <x:c r="E114" t="str">
        <x:f>Profiles_140!I110</x:f>
        <x:v>高</x:v>
      </x:c>
      <x:c r="F114" s="66" t="n">
        <x:f>Model_Formula!$M$13*(Profiles_140!K110-Simulator!$L$11)^2*IF(Profiles_140!K110&gt;Simulator!$L$11,1+Model_Formula!$N$13,1)</x:f>
        <x:v>625</x:v>
      </x:c>
      <x:c r="G114" s="66" t="n">
        <x:f>Model_Formula!$M$14*(Profiles_140!L110-Simulator!$L$12)^2*IF(Profiles_140!L110&gt;Simulator!$L$12,1+Model_Formula!$N$14,1)</x:f>
        <x:v>1680</x:v>
      </x:c>
      <x:c r="H114" s="66" t="n">
        <x:f>Model_Formula!$M$15*(Profiles_140!M110-Simulator!$L$13)^2*IF(Profiles_140!M110&gt;Simulator!$L$13,1+Model_Formula!$N$15,1)</x:f>
        <x:v>100</x:v>
      </x:c>
      <x:c r="I114" s="66" t="n">
        <x:f>Model_Formula!$M$16*(Profiles_140!N110-Simulator!$L$14)^2*IF(Profiles_140!N110&gt;Simulator!$L$14,1+Model_Formula!$N$16,1)</x:f>
        <x:v>2025</x:v>
      </x:c>
      <x:c r="J114" s="66" t="n">
        <x:f>Model_Formula!$M$17*(Profiles_140!O110-Simulator!$L$15)^2*IF(Profiles_140!O110&gt;Simulator!$L$15,1+Model_Formula!$N$17,1)</x:f>
        <x:v>25</x:v>
      </x:c>
      <x:c r="K114" s="66" t="n">
        <x:f>Model_Formula!$M$18*(Profiles_140!P110-Simulator!$L$16)^2*IF(Profiles_140!P110&gt;Simulator!$L$16,1+Model_Formula!$N$18,1)</x:f>
        <x:v>1822.5</x:v>
      </x:c>
      <x:c r="L114" s="66" t="n">
        <x:f>Model_Formula!$M$19*(Profiles_140!Q110-Simulator!$L$17)^2*IF(Profiles_140!Q110&gt;Simulator!$L$17,1+Model_Formula!$N$19,1)</x:f>
        <x:v>0</x:v>
      </x:c>
      <x:c r="M114" s="66" t="n">
        <x:f>Model_Formula!$M$20*(Profiles_140!R110-Simulator!$L$18)^2*IF(Profiles_140!R110&gt;Simulator!$L$18,1+Model_Formula!$N$20,1)</x:f>
        <x:v>25</x:v>
      </x:c>
      <x:c r="N114" s="66" t="n">
        <x:f>Model_Formula!$M$21*(Profiles_140!S110-Simulator!$L$19)^2*IF(Profiles_140!S110&gt;Simulator!$L$19,1+Model_Formula!$N$21,1)</x:f>
        <x:v>1600</x:v>
      </x:c>
      <x:c r="O114" s="66" t="n">
        <x:f>Model_Formula!$M$22*(Profiles_140!T110-Simulator!$L$20)^2*IF(Profiles_140!T110&gt;Simulator!$L$20,1+Model_Formula!$N$22,1)</x:f>
        <x:v>100</x:v>
      </x:c>
      <x:c r="P114" s="66" t="n">
        <x:f>Model_Formula!$M$23*(Profiles_140!U110-Simulator!$L$21)^2*IF(Profiles_140!U110&gt;Simulator!$L$21,1+Model_Formula!$N$23,1)</x:f>
        <x:v>911.25</x:v>
      </x:c>
      <x:c r="Q114" s="66" t="n">
        <x:f>Model_Formula!$M$24*(Profiles_140!V110-Simulator!$L$22)^2*IF(Profiles_140!V110&gt;Simulator!$L$22,1+Model_Formula!$N$24,1)</x:f>
        <x:v>490</x:v>
      </x:c>
      <x:c r="R114" s="66" t="n">
        <x:f>Model_Formula!$M$25*(Profiles_140!W110-Simulator!$L$23)^2*IF(Profiles_140!W110&gt;Simulator!$L$23,1+Model_Formula!$N$25,1)</x:f>
        <x:v>720</x:v>
      </x:c>
      <x:c r="S114" s="66" t="n">
        <x:f>Model_Formula!$M$26*(Profiles_140!X110-Simulator!$L$24)^2*IF(Profiles_140!X110&gt;Simulator!$L$24,1+Model_Formula!$N$26,1)</x:f>
        <x:v>440.00000000000006</x:v>
      </x:c>
      <x:c r="T114" s="66" t="n">
        <x:f>Model_Formula!$M$27*(Profiles_140!Y110-Simulator!$L$25)^2*IF(Profiles_140!Y110&gt;Simulator!$L$25,1+Model_Formula!$N$27,1)</x:f>
        <x:v>754.6874999999999</x:v>
      </x:c>
      <x:c r="U114" s="60" t="n">
        <x:f>SUM(F114:T114)/SUM($F$4:$T$4)</x:f>
        <x:v>844.6595149253732</x:v>
      </x:c>
      <x:c r="V114" s="60" t="n">
        <x:f>SQRT(U114)</x:f>
        <x:v>29.063026596095824</x:v>
      </x:c>
      <x:c r="W114" s="60" t="n">
        <x:f>MAX(0,100-V114)</x:f>
        <x:v>70.93697340390418</x:v>
      </x:c>
      <x:c r="X114" s="60" t="n">
        <x:f>SUMPRODUCT(Profiles_140!K110:Y110,$F$4:$T$4)/SUM($F$4:$T$4)</x:f>
        <x:v>44.8134328358209</x:v>
      </x:c>
      <x:c r="Y114" s="60" t="n">
        <x:f>IFERROR(50+50*SUMPRODUCT(($F$3:$T$3-$X$3)*(Profiles_140!K110:Y110-X114),$F$4:$T$4)/SQRT(SUMPRODUCT(($F$3:$T$3-$X$3)^2,$F$4:$T$4)*SUMPRODUCT((Profiles_140!K110:Y110-X114)^2,$F$4:$T$4)),50)</x:f>
        <x:v>50.00000000000001</x:v>
      </x:c>
      <x:c r="Z114" s="60" t="n">
        <x:f>$Z$3</x:f>
        <x:v>3.9474596431116675e-16</x:v>
      </x:c>
      <x:c r="AA114" s="60" t="n">
        <x:f>W114*(1-Model_Formula!$F$8*Z114)+Y114*(Model_Formula!$F$8*Z114)</x:f>
        <x:v>70.93697340390418</x:v>
      </x:c>
      <x:c r="AB114" s="60" t="n">
        <x:f>SQRT(SUMPRODUCT((Profiles_140!K110:Y110-50)^2,$F$4:$T$4)/SUM($F$4:$T$4))</x:f>
        <x:v>28.936368687791855</x:v>
      </x:c>
      <x:c r="AC114" s="60" t="n">
        <x:f>MAX(-Model_Formula!$F$11,MIN(Model_Formula!$F$11,Model_Formula!$F$10*(AB114-AVERAGE($AB$6:$AB$135))))</x:f>
        <x:v>-0.09032474127757553</x:v>
      </x:c>
      <x:c r="AD114" s="60" t="n">
        <x:f>MAX(0,MIN(100,AA114+AC114))</x:f>
        <x:v>70.8466486626266</x:v>
      </x:c>
      <x:c r="AE114" s="60" t="n">
        <x:f>MAX(0,MIN(1,IFERROR((MATCH(AD114,Percentile_Calibration!$F110:$DB110,1)-1)/100,0)))</x:f>
        <x:v>0.83</x:v>
      </x:c>
      <x:c r="AF114" s="62" t="n">
        <x:f>ROUND(MAX(Model_Formula!$I$9,Model_Formula!$I$5+Model_Formula!$I$6*POWER(AE114,Model_Formula!$I$7)),0)</x:f>
        <x:v>73</x:v>
      </x:c>
      <x:c r="AG114" t="n">
        <x:f>Profiles_140!AJ110</x:f>
        <x:v>-0.9</x:v>
      </x:c>
      <x:c r="AH114" s="60" t="n">
        <x:f>Model_Formula!$I$8*(AE114*100)+(1-Model_Formula!$I$8)*AD114+AG114</x:f>
        <x:v>79.66932973252531</x:v>
      </x:c>
      <x:c r="AI114" t="n">
        <x:f>RANK.EQ(AH114,$AH$6:$AH$135,0)+COUNTIF($AH$6:AH114,AH114)-1</x:f>
        <x:v>35</x:v>
      </x:c>
    </x:row>
    <x:row r="115">
      <x:c r="A115" t="str">
        <x:f>Profiles_140!A111</x:f>
        <x:v>ホウオウ</x:v>
      </x:c>
      <x:c r="B115" t="str">
        <x:f>Profiles_140!C111</x:f>
        <x:v>ホウオウ-2</x:v>
      </x:c>
      <x:c r="C115" t="str">
        <x:f>Profiles_140!D111</x:f>
        <x:v>ゴッドバード</x:v>
      </x:c>
      <x:c r="D115" t="str">
        <x:f>Profiles_140!B111</x:f>
        <x:v>ディフェンス型</x:v>
      </x:c>
      <x:c r="E115" t="str">
        <x:f>Profiles_140!I111</x:f>
        <x:v>高</x:v>
      </x:c>
      <x:c r="F115" s="66" t="n">
        <x:f>Model_Formula!$M$13*(Profiles_140!K111-Simulator!$L$11)^2*IF(Profiles_140!K111&gt;Simulator!$L$11,1+Model_Formula!$N$13,1)</x:f>
        <x:v>100</x:v>
      </x:c>
      <x:c r="G115" s="66" t="n">
        <x:f>Model_Formula!$M$14*(Profiles_140!L111-Simulator!$L$12)^2*IF(Profiles_140!L111&gt;Simulator!$L$12,1+Model_Formula!$N$14,1)</x:f>
        <x:v>420</x:v>
      </x:c>
      <x:c r="H115" s="66" t="n">
        <x:f>Model_Formula!$M$15*(Profiles_140!M111-Simulator!$L$13)^2*IF(Profiles_140!M111&gt;Simulator!$L$13,1+Model_Formula!$N$15,1)</x:f>
        <x:v>225</x:v>
      </x:c>
      <x:c r="I115" s="66" t="n">
        <x:f>Model_Formula!$M$16*(Profiles_140!N111-Simulator!$L$14)^2*IF(Profiles_140!N111&gt;Simulator!$L$14,1+Model_Formula!$N$16,1)</x:f>
        <x:v>225</x:v>
      </x:c>
      <x:c r="J115" s="66" t="n">
        <x:f>Model_Formula!$M$17*(Profiles_140!O111-Simulator!$L$15)^2*IF(Profiles_140!O111&gt;Simulator!$L$15,1+Model_Formula!$N$17,1)</x:f>
        <x:v>25</x:v>
      </x:c>
      <x:c r="K115" s="66" t="n">
        <x:f>Model_Formula!$M$18*(Profiles_140!P111-Simulator!$L$16)^2*IF(Profiles_140!P111&gt;Simulator!$L$16,1+Model_Formula!$N$18,1)</x:f>
        <x:v>22.5</x:v>
      </x:c>
      <x:c r="L115" s="66" t="n">
        <x:f>Model_Formula!$M$19*(Profiles_140!Q111-Simulator!$L$17)^2*IF(Profiles_140!Q111&gt;Simulator!$L$17,1+Model_Formula!$N$19,1)</x:f>
        <x:v>0</x:v>
      </x:c>
      <x:c r="M115" s="66" t="n">
        <x:f>Model_Formula!$M$20*(Profiles_140!R111-Simulator!$L$18)^2*IF(Profiles_140!R111&gt;Simulator!$L$18,1+Model_Formula!$N$20,1)</x:f>
        <x:v>100</x:v>
      </x:c>
      <x:c r="N115" s="66" t="n">
        <x:f>Model_Formula!$M$21*(Profiles_140!S111-Simulator!$L$19)^2*IF(Profiles_140!S111&gt;Simulator!$L$19,1+Model_Formula!$N$21,1)</x:f>
        <x:v>2500</x:v>
      </x:c>
      <x:c r="O115" s="66" t="n">
        <x:f>Model_Formula!$M$22*(Profiles_140!T111-Simulator!$L$20)^2*IF(Profiles_140!T111&gt;Simulator!$L$20,1+Model_Formula!$N$22,1)</x:f>
        <x:v>0</x:v>
      </x:c>
      <x:c r="P115" s="66" t="n">
        <x:f>Model_Formula!$M$23*(Profiles_140!U111-Simulator!$L$21)^2*IF(Profiles_140!U111&gt;Simulator!$L$21,1+Model_Formula!$N$23,1)</x:f>
        <x:v>551.25</x:v>
      </x:c>
      <x:c r="Q115" s="66" t="n">
        <x:f>Model_Formula!$M$24*(Profiles_140!V111-Simulator!$L$22)^2*IF(Profiles_140!V111&gt;Simulator!$L$22,1+Model_Formula!$N$24,1)</x:f>
        <x:v>360</x:v>
      </x:c>
      <x:c r="R115" s="66" t="n">
        <x:f>Model_Formula!$M$25*(Profiles_140!W111-Simulator!$L$23)^2*IF(Profiles_140!W111&gt;Simulator!$L$23,1+Model_Formula!$N$25,1)</x:f>
        <x:v>720</x:v>
      </x:c>
      <x:c r="S115" s="66" t="n">
        <x:f>Model_Formula!$M$26*(Profiles_140!X111-Simulator!$L$24)^2*IF(Profiles_140!X111&gt;Simulator!$L$24,1+Model_Formula!$N$26,1)</x:f>
        <x:v>37.12500000000001</x:v>
      </x:c>
      <x:c r="T115" s="66" t="n">
        <x:f>Model_Formula!$M$27*(Profiles_140!Y111-Simulator!$L$25)^2*IF(Profiles_140!Y111&gt;Simulator!$L$25,1+Model_Formula!$N$27,1)</x:f>
        <x:v>1479.1874999999998</x:v>
      </x:c>
      <x:c r="U115" s="60" t="n">
        <x:f>SUM(F115:T115)/SUM($F$4:$T$4)</x:f>
        <x:v>504.85541044776124</x:v>
      </x:c>
      <x:c r="V115" s="60" t="n">
        <x:f>SQRT(U115)</x:f>
        <x:v>22.468987748622794</x:v>
      </x:c>
      <x:c r="W115" s="60" t="n">
        <x:f>MAX(0,100-V115)</x:f>
        <x:v>77.5310122513772</x:v>
      </x:c>
      <x:c r="X115" s="60" t="n">
        <x:f>SUMPRODUCT(Profiles_140!K111:Y111,$F$4:$T$4)/SUM($F$4:$T$4)</x:f>
        <x:v>56.94029850746269</x:v>
      </x:c>
      <x:c r="Y115" s="60" t="n">
        <x:f>IFERROR(50+50*SUMPRODUCT(($F$3:$T$3-$X$3)*(Profiles_140!K111:Y111-X115),$F$4:$T$4)/SQRT(SUMPRODUCT(($F$3:$T$3-$X$3)^2,$F$4:$T$4)*SUMPRODUCT((Profiles_140!K111:Y111-X115)^2,$F$4:$T$4)),50)</x:f>
        <x:v>50.000000000000014</x:v>
      </x:c>
      <x:c r="Z115" s="60" t="n">
        <x:f>$Z$3</x:f>
        <x:v>3.9474596431116675e-16</x:v>
      </x:c>
      <x:c r="AA115" s="60" t="n">
        <x:f>W115*(1-Model_Formula!$F$8*Z115)+Y115*(Model_Formula!$F$8*Z115)</x:f>
        <x:v>77.5310122513772</x:v>
      </x:c>
      <x:c r="AB115" s="60" t="n">
        <x:f>SQRT(SUMPRODUCT((Profiles_140!K111:Y111-50)^2,$F$4:$T$4)/SUM($F$4:$T$4))</x:f>
        <x:v>22.130043062998077</x:v>
      </x:c>
      <x:c r="AC115" s="60" t="n">
        <x:f>MAX(-Model_Formula!$F$11,MIN(Model_Formula!$F$11,Model_Formula!$F$10*(AB115-AVERAGE($AB$6:$AB$135))))</x:f>
        <x:v>-3.153171272434776</x:v>
      </x:c>
      <x:c r="AD115" s="60" t="n">
        <x:f>MAX(0,MIN(100,AA115+AC115))</x:f>
        <x:v>74.37784097894243</x:v>
      </x:c>
      <x:c r="AE115" s="60" t="n">
        <x:f>MAX(0,MIN(1,IFERROR((MATCH(AD115,Percentile_Calibration!$F111:$DB111,1)-1)/100,0)))</x:f>
        <x:v>0.93</x:v>
      </x:c>
      <x:c r="AF115" s="62" t="n">
        <x:f>ROUND(MAX(Model_Formula!$I$9,Model_Formula!$I$5+Model_Formula!$I$6*POWER(AE115,Model_Formula!$I$7)),0)</x:f>
        <x:v>86</x:v>
      </x:c>
      <x:c r="AG115" t="n">
        <x:f>Profiles_140!AJ111</x:f>
        <x:v>-0.9</x:v>
      </x:c>
      <x:c r="AH115" s="60" t="n">
        <x:f>Model_Formula!$I$8*(AE115*100)+(1-Model_Formula!$I$8)*AD115+AG115</x:f>
        <x:v>88.37556819578849</x:v>
      </x:c>
      <x:c r="AI115" t="n">
        <x:f>RANK.EQ(AH115,$AH$6:$AH$135,0)+COUNTIF($AH$6:AH115,AH115)-1</x:f>
        <x:v>8</x:v>
      </x:c>
    </x:row>
    <x:row r="116">
      <x:c r="A116" t="str">
        <x:f>Profiles_140!A112</x:f>
        <x:v>マンムー</x:v>
      </x:c>
      <x:c r="B116" t="str">
        <x:f>Profiles_140!C112</x:f>
        <x:v>マンムー-1</x:v>
      </x:c>
      <x:c r="C116" t="str">
        <x:f>Profiles_140!D112</x:f>
        <x:v>共通</x:v>
      </x:c>
      <x:c r="D116" t="str">
        <x:f>Profiles_140!B112</x:f>
        <x:v>ディフェンス型</x:v>
      </x:c>
      <x:c r="E116" t="str">
        <x:f>Profiles_140!I112</x:f>
        <x:v>高</x:v>
      </x:c>
      <x:c r="F116" s="66" t="n">
        <x:f>Model_Formula!$M$13*(Profiles_140!K112-Simulator!$L$11)^2*IF(Profiles_140!K112&gt;Simulator!$L$11,1+Model_Formula!$N$13,1)</x:f>
        <x:v>2500</x:v>
      </x:c>
      <x:c r="G116" s="66" t="n">
        <x:f>Model_Formula!$M$14*(Profiles_140!L112-Simulator!$L$12)^2*IF(Profiles_140!L112&gt;Simulator!$L$12,1+Model_Formula!$N$14,1)</x:f>
        <x:v>945</x:v>
      </x:c>
      <x:c r="H116" s="66" t="n">
        <x:f>Model_Formula!$M$15*(Profiles_140!M112-Simulator!$L$13)^2*IF(Profiles_140!M112&gt;Simulator!$L$13,1+Model_Formula!$N$15,1)</x:f>
        <x:v>100</x:v>
      </x:c>
      <x:c r="I116" s="66" t="n">
        <x:f>Model_Formula!$M$16*(Profiles_140!N112-Simulator!$L$14)^2*IF(Profiles_140!N112&gt;Simulator!$L$14,1+Model_Formula!$N$16,1)</x:f>
        <x:v>2500</x:v>
      </x:c>
      <x:c r="J116" s="66" t="n">
        <x:f>Model_Formula!$M$17*(Profiles_140!O112-Simulator!$L$15)^2*IF(Profiles_140!O112&gt;Simulator!$L$15,1+Model_Formula!$N$17,1)</x:f>
        <x:v>2500</x:v>
      </x:c>
      <x:c r="K116" s="66" t="n">
        <x:f>Model_Formula!$M$18*(Profiles_140!P112-Simulator!$L$16)^2*IF(Profiles_140!P112&gt;Simulator!$L$16,1+Model_Formula!$N$18,1)</x:f>
        <x:v>202.5</x:v>
      </x:c>
      <x:c r="L116" s="66" t="n">
        <x:f>Model_Formula!$M$19*(Profiles_140!Q112-Simulator!$L$17)^2*IF(Profiles_140!Q112&gt;Simulator!$L$17,1+Model_Formula!$N$19,1)</x:f>
        <x:v>2500</x:v>
      </x:c>
      <x:c r="M116" s="66" t="n">
        <x:f>Model_Formula!$M$20*(Profiles_140!R112-Simulator!$L$18)^2*IF(Profiles_140!R112&gt;Simulator!$L$18,1+Model_Formula!$N$20,1)</x:f>
        <x:v>1600</x:v>
      </x:c>
      <x:c r="N116" s="66" t="n">
        <x:f>Model_Formula!$M$21*(Profiles_140!S112-Simulator!$L$19)^2*IF(Profiles_140!S112&gt;Simulator!$L$19,1+Model_Formula!$N$21,1)</x:f>
        <x:v>25</x:v>
      </x:c>
      <x:c r="O116" s="66" t="n">
        <x:f>Model_Formula!$M$22*(Profiles_140!T112-Simulator!$L$20)^2*IF(Profiles_140!T112&gt;Simulator!$L$20,1+Model_Formula!$N$22,1)</x:f>
        <x:v>100</x:v>
      </x:c>
      <x:c r="P116" s="66" t="n">
        <x:f>Model_Formula!$M$23*(Profiles_140!U112-Simulator!$L$21)^2*IF(Profiles_140!U112&gt;Simulator!$L$21,1+Model_Formula!$N$23,1)</x:f>
        <x:v>551.25</x:v>
      </x:c>
      <x:c r="Q116" s="66" t="n">
        <x:f>Model_Formula!$M$24*(Profiles_140!V112-Simulator!$L$22)^2*IF(Profiles_140!V112&gt;Simulator!$L$22,1+Model_Formula!$N$24,1)</x:f>
        <x:v>40</x:v>
      </x:c>
      <x:c r="R116" s="66" t="n">
        <x:f>Model_Formula!$M$25*(Profiles_140!W112-Simulator!$L$23)^2*IF(Profiles_140!W112&gt;Simulator!$L$23,1+Model_Formula!$N$25,1)</x:f>
        <x:v>720</x:v>
      </x:c>
      <x:c r="S116" s="66" t="n">
        <x:f>Model_Formula!$M$26*(Profiles_140!X112-Simulator!$L$24)^2*IF(Profiles_140!X112&gt;Simulator!$L$24,1+Model_Formula!$N$26,1)</x:f>
        <x:v>37.12500000000001</x:v>
      </x:c>
      <x:c r="T116" s="66" t="n">
        <x:f>Model_Formula!$M$27*(Profiles_140!Y112-Simulator!$L$25)^2*IF(Profiles_140!Y112&gt;Simulator!$L$25,1+Model_Formula!$N$27,1)</x:f>
        <x:v>754.6874999999999</x:v>
      </x:c>
      <x:c r="U116" s="60" t="n">
        <x:f>SUM(F116:T116)/SUM($F$4:$T$4)</x:f>
        <x:v>1125.0419776119404</x:v>
      </x:c>
      <x:c r="V116" s="60" t="n">
        <x:f>SQRT(U116)</x:f>
        <x:v>33.541645421951806</x:v>
      </x:c>
      <x:c r="W116" s="60" t="n">
        <x:f>MAX(0,100-V116)</x:f>
        <x:v>66.45835457804819</x:v>
      </x:c>
      <x:c r="X116" s="60" t="n">
        <x:f>SUMPRODUCT(Profiles_140!K112:Y112,$F$4:$T$4)/SUM($F$4:$T$4)</x:f>
        <x:v>56.49253731343284</x:v>
      </x:c>
      <x:c r="Y116" s="60" t="n">
        <x:f>IFERROR(50+50*SUMPRODUCT(($F$3:$T$3-$X$3)*(Profiles_140!K112:Y112-X116),$F$4:$T$4)/SQRT(SUMPRODUCT(($F$3:$T$3-$X$3)^2,$F$4:$T$4)*SUMPRODUCT((Profiles_140!K112:Y112-X116)^2,$F$4:$T$4)),50)</x:f>
        <x:v>50.000000000000014</x:v>
      </x:c>
      <x:c r="Z116" s="60" t="n">
        <x:f>$Z$3</x:f>
        <x:v>3.9474596431116675e-16</x:v>
      </x:c>
      <x:c r="AA116" s="60" t="n">
        <x:f>W116*(1-Model_Formula!$F$8*Z116)+Y116*(Model_Formula!$F$8*Z116)</x:f>
        <x:v>66.45835457804819</x:v>
      </x:c>
      <x:c r="AB116" s="60" t="n">
        <x:f>SQRT(SUMPRODUCT((Profiles_140!K112:Y112-50)^2,$F$4:$T$4)/SUM($F$4:$T$4))</x:f>
        <x:v>33.421214997966466</x:v>
      </x:c>
      <x:c r="AC116" s="60" t="n">
        <x:f>MAX(-Model_Formula!$F$11,MIN(Model_Formula!$F$11,Model_Formula!$F$10*(AB116-AVERAGE($AB$6:$AB$135))))</x:f>
        <x:v>1.9278560983009994</x:v>
      </x:c>
      <x:c r="AD116" s="60" t="n">
        <x:f>MAX(0,MIN(100,AA116+AC116))</x:f>
        <x:v>68.38621067634918</x:v>
      </x:c>
      <x:c r="AE116" s="60" t="n">
        <x:f>MAX(0,MIN(1,IFERROR((MATCH(AD116,Percentile_Calibration!$F112:$DB112,1)-1)/100,0)))</x:f>
        <x:v>0.71</x:v>
      </x:c>
      <x:c r="AF116" s="62" t="n">
        <x:f>ROUND(MAX(Model_Formula!$I$9,Model_Formula!$I$5+Model_Formula!$I$6*POWER(AE116,Model_Formula!$I$7)),0)</x:f>
        <x:v>62</x:v>
      </x:c>
      <x:c r="AG116" t="n">
        <x:f>Profiles_140!AJ112</x:f>
        <x:v>0</x:v>
      </x:c>
      <x:c r="AH116" s="60" t="n">
        <x:f>Model_Formula!$I$8*(AE116*100)+(1-Model_Formula!$I$8)*AD116+AG116</x:f>
        <x:v>70.47724213526983</x:v>
      </x:c>
      <x:c r="AI116" t="n">
        <x:f>RANK.EQ(AH116,$AH$6:$AH$135,0)+COUNTIF($AH$6:AH116,AH116)-1</x:f>
        <x:v>73</x:v>
      </x:c>
    </x:row>
    <x:row r="117">
      <x:c r="A117" t="str">
        <x:f>Profiles_140!A113</x:f>
        <x:v>ヤドラン</x:v>
      </x:c>
      <x:c r="B117" t="str">
        <x:f>Profiles_140!C113</x:f>
        <x:v>ヤドラン-1</x:v>
      </x:c>
      <x:c r="C117" t="str">
        <x:f>Profiles_140!D113</x:f>
        <x:v>ドわすれ</x:v>
      </x:c>
      <x:c r="D117" t="str">
        <x:f>Profiles_140!B113</x:f>
        <x:v>ディフェンス型</x:v>
      </x:c>
      <x:c r="E117" t="str">
        <x:f>Profiles_140!I113</x:f>
        <x:v>高</x:v>
      </x:c>
      <x:c r="F117" s="66" t="n">
        <x:f>Model_Formula!$M$13*(Profiles_140!K113-Simulator!$L$11)^2*IF(Profiles_140!K113&gt;Simulator!$L$11,1+Model_Formula!$N$13,1)</x:f>
        <x:v>25</x:v>
      </x:c>
      <x:c r="G117" s="66" t="n">
        <x:f>Model_Formula!$M$14*(Profiles_140!L113-Simulator!$L$12)^2*IF(Profiles_140!L113&gt;Simulator!$L$12,1+Model_Formula!$N$14,1)</x:f>
        <x:v>236.25</x:v>
      </x:c>
      <x:c r="H117" s="66" t="n">
        <x:f>Model_Formula!$M$15*(Profiles_140!M113-Simulator!$L$13)^2*IF(Profiles_140!M113&gt;Simulator!$L$13,1+Model_Formula!$N$15,1)</x:f>
        <x:v>1225</x:v>
      </x:c>
      <x:c r="I117" s="66" t="n">
        <x:f>Model_Formula!$M$16*(Profiles_140!N113-Simulator!$L$14)^2*IF(Profiles_140!N113&gt;Simulator!$L$14,1+Model_Formula!$N$16,1)</x:f>
        <x:v>1225</x:v>
      </x:c>
      <x:c r="J117" s="66" t="n">
        <x:f>Model_Formula!$M$17*(Profiles_140!O113-Simulator!$L$15)^2*IF(Profiles_140!O113&gt;Simulator!$L$15,1+Model_Formula!$N$17,1)</x:f>
        <x:v>100</x:v>
      </x:c>
      <x:c r="K117" s="66" t="n">
        <x:f>Model_Formula!$M$18*(Profiles_140!P113-Simulator!$L$16)^2*IF(Profiles_140!P113&gt;Simulator!$L$16,1+Model_Formula!$N$18,1)</x:f>
        <x:v>202.5</x:v>
      </x:c>
      <x:c r="L117" s="66" t="n">
        <x:f>Model_Formula!$M$19*(Profiles_140!Q113-Simulator!$L$17)^2*IF(Profiles_140!Q113&gt;Simulator!$L$17,1+Model_Formula!$N$19,1)</x:f>
        <x:v>900</x:v>
      </x:c>
      <x:c r="M117" s="66" t="n">
        <x:f>Model_Formula!$M$20*(Profiles_140!R113-Simulator!$L$18)^2*IF(Profiles_140!R113&gt;Simulator!$L$18,1+Model_Formula!$N$20,1)</x:f>
        <x:v>2025</x:v>
      </x:c>
      <x:c r="N117" s="66" t="n">
        <x:f>Model_Formula!$M$21*(Profiles_140!S113-Simulator!$L$19)^2*IF(Profiles_140!S113&gt;Simulator!$L$19,1+Model_Formula!$N$21,1)</x:f>
        <x:v>100</x:v>
      </x:c>
      <x:c r="O117" s="66" t="n">
        <x:f>Model_Formula!$M$22*(Profiles_140!T113-Simulator!$L$20)^2*IF(Profiles_140!T113&gt;Simulator!$L$20,1+Model_Formula!$N$22,1)</x:f>
        <x:v>400</x:v>
      </x:c>
      <x:c r="P117" s="66" t="n">
        <x:f>Model_Formula!$M$23*(Profiles_140!U113-Simulator!$L$21)^2*IF(Profiles_140!U113&gt;Simulator!$L$21,1+Model_Formula!$N$23,1)</x:f>
        <x:v>45</x:v>
      </x:c>
      <x:c r="Q117" s="66" t="n">
        <x:f>Model_Formula!$M$24*(Profiles_140!V113-Simulator!$L$22)^2*IF(Profiles_140!V113&gt;Simulator!$L$22,1+Model_Formula!$N$24,1)</x:f>
        <x:v>250</x:v>
      </x:c>
      <x:c r="R117" s="66" t="n">
        <x:f>Model_Formula!$M$25*(Profiles_140!W113-Simulator!$L$23)^2*IF(Profiles_140!W113&gt;Simulator!$L$23,1+Model_Formula!$N$25,1)</x:f>
        <x:v>45</x:v>
      </x:c>
      <x:c r="S117" s="66" t="n">
        <x:f>Model_Formula!$M$26*(Profiles_140!X113-Simulator!$L$24)^2*IF(Profiles_140!X113&gt;Simulator!$L$24,1+Model_Formula!$N$26,1)</x:f>
        <x:v>148.50000000000003</x:v>
      </x:c>
      <x:c r="T117" s="66" t="n">
        <x:f>Model_Formula!$M$27*(Profiles_140!Y113-Simulator!$L$25)^2*IF(Profiles_140!Y113&gt;Simulator!$L$25,1+Model_Formula!$N$27,1)</x:f>
        <x:v>120.74999999999999</x:v>
      </x:c>
      <x:c r="U117" s="60" t="n">
        <x:f>SUM(F117:T117)/SUM($F$4:$T$4)</x:f>
        <x:v>525.9701492537314</x:v>
      </x:c>
      <x:c r="V117" s="60" t="n">
        <x:f>SQRT(U117)</x:f>
        <x:v>22.93403909593187</x:v>
      </x:c>
      <x:c r="W117" s="60" t="n">
        <x:f>MAX(0,100-V117)</x:f>
        <x:v>77.06596090406813</x:v>
      </x:c>
      <x:c r="X117" s="60" t="n">
        <x:f>SUMPRODUCT(Profiles_140!K113:Y113,$F$4:$T$4)/SUM($F$4:$T$4)</x:f>
        <x:v>46.212686567164184</x:v>
      </x:c>
      <x:c r="Y117" s="60" t="n">
        <x:f>IFERROR(50+50*SUMPRODUCT(($F$3:$T$3-$X$3)*(Profiles_140!K113:Y113-X117),$F$4:$T$4)/SQRT(SUMPRODUCT(($F$3:$T$3-$X$3)^2,$F$4:$T$4)*SUMPRODUCT((Profiles_140!K113:Y113-X117)^2,$F$4:$T$4)),50)</x:f>
        <x:v>50.00000000000001</x:v>
      </x:c>
      <x:c r="Z117" s="60" t="n">
        <x:f>$Z$3</x:f>
        <x:v>3.9474596431116675e-16</x:v>
      </x:c>
      <x:c r="AA117" s="60" t="n">
        <x:f>W117*(1-Model_Formula!$F$8*Z117)+Y117*(Model_Formula!$F$8*Z117)</x:f>
        <x:v>77.06596090406813</x:v>
      </x:c>
      <x:c r="AB117" s="60" t="n">
        <x:f>SQRT(SUMPRODUCT((Profiles_140!K113:Y113-50)^2,$F$4:$T$4)/SUM($F$4:$T$4))</x:f>
        <x:v>22.84560443041604</x:v>
      </x:c>
      <x:c r="AC117" s="60" t="n">
        <x:f>MAX(-Model_Formula!$F$11,MIN(Model_Formula!$F$11,Model_Formula!$F$10*(AB117-AVERAGE($AB$6:$AB$135))))</x:f>
        <x:v>-2.831168657096693</x:v>
      </x:c>
      <x:c r="AD117" s="60" t="n">
        <x:f>MAX(0,MIN(100,AA117+AC117))</x:f>
        <x:v>74.23479224697144</x:v>
      </x:c>
      <x:c r="AE117" s="60" t="n">
        <x:f>MAX(0,MIN(1,IFERROR((MATCH(AD117,Percentile_Calibration!$F113:$DB113,1)-1)/100,0)))</x:f>
        <x:v>0.81</x:v>
      </x:c>
      <x:c r="AF117" s="62" t="n">
        <x:f>ROUND(MAX(Model_Formula!$I$9,Model_Formula!$I$5+Model_Formula!$I$6*POWER(AE117,Model_Formula!$I$7)),0)</x:f>
        <x:v>71</x:v>
      </x:c>
      <x:c r="AG117" t="n">
        <x:f>Profiles_140!AJ113</x:f>
        <x:v>0</x:v>
      </x:c>
      <x:c r="AH117" s="60" t="n">
        <x:f>Model_Formula!$I$8*(AE117*100)+(1-Model_Formula!$I$8)*AD117+AG117</x:f>
        <x:v>79.64695844939428</x:v>
      </x:c>
      <x:c r="AI117" t="n">
        <x:f>RANK.EQ(AH117,$AH$6:$AH$135,0)+COUNTIF($AH$6:AH117,AH117)-1</x:f>
        <x:v>36</x:v>
      </x:c>
    </x:row>
    <x:row r="118">
      <x:c r="A118" t="str">
        <x:f>Profiles_140!A114</x:f>
        <x:v>ヤドラン</x:v>
      </x:c>
      <x:c r="B118" t="str">
        <x:f>Profiles_140!C114</x:f>
        <x:v>ヤドラン-2</x:v>
      </x:c>
      <x:c r="C118" t="str">
        <x:f>Profiles_140!D114</x:f>
        <x:v>テレキネシス</x:v>
      </x:c>
      <x:c r="D118" t="str">
        <x:f>Profiles_140!B114</x:f>
        <x:v>ディフェンス型</x:v>
      </x:c>
      <x:c r="E118" t="str">
        <x:f>Profiles_140!I114</x:f>
        <x:v>高</x:v>
      </x:c>
      <x:c r="F118" s="66" t="n">
        <x:f>Model_Formula!$M$13*(Profiles_140!K114-Simulator!$L$11)^2*IF(Profiles_140!K114&gt;Simulator!$L$11,1+Model_Formula!$N$13,1)</x:f>
        <x:v>25</x:v>
      </x:c>
      <x:c r="G118" s="66" t="n">
        <x:f>Model_Formula!$M$14*(Profiles_140!L114-Simulator!$L$12)^2*IF(Profiles_140!L114&gt;Simulator!$L$12,1+Model_Formula!$N$14,1)</x:f>
        <x:v>945</x:v>
      </x:c>
      <x:c r="H118" s="66" t="n">
        <x:f>Model_Formula!$M$15*(Profiles_140!M114-Simulator!$L$13)^2*IF(Profiles_140!M114&gt;Simulator!$L$13,1+Model_Formula!$N$15,1)</x:f>
        <x:v>2500</x:v>
      </x:c>
      <x:c r="I118" s="66" t="n">
        <x:f>Model_Formula!$M$16*(Profiles_140!N114-Simulator!$L$14)^2*IF(Profiles_140!N114&gt;Simulator!$L$14,1+Model_Formula!$N$16,1)</x:f>
        <x:v>1225</x:v>
      </x:c>
      <x:c r="J118" s="66" t="n">
        <x:f>Model_Formula!$M$17*(Profiles_140!O114-Simulator!$L$15)^2*IF(Profiles_140!O114&gt;Simulator!$L$15,1+Model_Formula!$N$17,1)</x:f>
        <x:v>400</x:v>
      </x:c>
      <x:c r="K118" s="66" t="n">
        <x:f>Model_Formula!$M$18*(Profiles_140!P114-Simulator!$L$16)^2*IF(Profiles_140!P114&gt;Simulator!$L$16,1+Model_Formula!$N$18,1)</x:f>
        <x:v>90</x:v>
      </x:c>
      <x:c r="L118" s="66" t="n">
        <x:f>Model_Formula!$M$19*(Profiles_140!Q114-Simulator!$L$17)^2*IF(Profiles_140!Q114&gt;Simulator!$L$17,1+Model_Formula!$N$19,1)</x:f>
        <x:v>2500</x:v>
      </x:c>
      <x:c r="M118" s="66" t="n">
        <x:f>Model_Formula!$M$20*(Profiles_140!R114-Simulator!$L$18)^2*IF(Profiles_140!R114&gt;Simulator!$L$18,1+Model_Formula!$N$20,1)</x:f>
        <x:v>100</x:v>
      </x:c>
      <x:c r="N118" s="66" t="n">
        <x:f>Model_Formula!$M$21*(Profiles_140!S114-Simulator!$L$19)^2*IF(Profiles_140!S114&gt;Simulator!$L$19,1+Model_Formula!$N$21,1)</x:f>
        <x:v>400</x:v>
      </x:c>
      <x:c r="O118" s="66" t="n">
        <x:f>Model_Formula!$M$22*(Profiles_140!T114-Simulator!$L$20)^2*IF(Profiles_140!T114&gt;Simulator!$L$20,1+Model_Formula!$N$22,1)</x:f>
        <x:v>225</x:v>
      </x:c>
      <x:c r="P118" s="66" t="n">
        <x:f>Model_Formula!$M$23*(Profiles_140!U114-Simulator!$L$21)^2*IF(Profiles_140!U114&gt;Simulator!$L$21,1+Model_Formula!$N$23,1)</x:f>
        <x:v>405</x:v>
      </x:c>
      <x:c r="Q118" s="66" t="n">
        <x:f>Model_Formula!$M$24*(Profiles_140!V114-Simulator!$L$22)^2*IF(Profiles_140!V114&gt;Simulator!$L$22,1+Model_Formula!$N$24,1)</x:f>
        <x:v>160</x:v>
      </x:c>
      <x:c r="R118" s="66" t="n">
        <x:f>Model_Formula!$M$25*(Profiles_140!W114-Simulator!$L$23)^2*IF(Profiles_140!W114&gt;Simulator!$L$23,1+Model_Formula!$N$25,1)</x:f>
        <x:v>405</x:v>
      </x:c>
      <x:c r="S118" s="66" t="n">
        <x:f>Model_Formula!$M$26*(Profiles_140!X114-Simulator!$L$24)^2*IF(Profiles_140!X114&gt;Simulator!$L$24,1+Model_Formula!$N$26,1)</x:f>
        <x:v>148.50000000000003</x:v>
      </x:c>
      <x:c r="T118" s="66" t="n">
        <x:f>Model_Formula!$M$27*(Profiles_140!Y114-Simulator!$L$25)^2*IF(Profiles_140!Y114&gt;Simulator!$L$25,1+Model_Formula!$N$27,1)</x:f>
        <x:v>1479.1874999999998</x:v>
      </x:c>
      <x:c r="U118" s="60" t="n">
        <x:f>SUM(F118:T118)/SUM($F$4:$T$4)</x:f>
        <x:v>821.4692164179105</x:v>
      </x:c>
      <x:c r="V118" s="60" t="n">
        <x:f>SQRT(U118)</x:f>
        <x:v>28.661284277190205</x:v>
      </x:c>
      <x:c r="W118" s="60" t="n">
        <x:f>MAX(0,100-V118)</x:f>
        <x:v>71.3387157228098</x:v>
      </x:c>
      <x:c r="X118" s="60" t="n">
        <x:f>SUMPRODUCT(Profiles_140!K114:Y114,$F$4:$T$4)/SUM($F$4:$T$4)</x:f>
        <x:v>54.869402985074636</x:v>
      </x:c>
      <x:c r="Y118" s="60" t="n">
        <x:f>IFERROR(50+50*SUMPRODUCT(($F$3:$T$3-$X$3)*(Profiles_140!K114:Y114-X118),$F$4:$T$4)/SQRT(SUMPRODUCT(($F$3:$T$3-$X$3)^2,$F$4:$T$4)*SUMPRODUCT((Profiles_140!K114:Y114-X118)^2,$F$4:$T$4)),50)</x:f>
        <x:v>50.000000000000014</x:v>
      </x:c>
      <x:c r="Z118" s="60" t="n">
        <x:f>$Z$3</x:f>
        <x:v>3.9474596431116675e-16</x:v>
      </x:c>
      <x:c r="AA118" s="60" t="n">
        <x:f>W118*(1-Model_Formula!$F$8*Z118)+Y118*(Model_Formula!$F$8*Z118)</x:f>
        <x:v>71.3387157228098</x:v>
      </x:c>
      <x:c r="AB118" s="60" t="n">
        <x:f>SQRT(SUMPRODUCT((Profiles_140!K114:Y114-50)^2,$F$4:$T$4)/SUM($F$4:$T$4))</x:f>
        <x:v>28.358380792880787</x:v>
      </x:c>
      <x:c r="AC118" s="60" t="n">
        <x:f>MAX(-Model_Formula!$F$11,MIN(Model_Formula!$F$11,Model_Formula!$F$10*(AB118-AVERAGE($AB$6:$AB$135))))</x:f>
        <x:v>-0.3504192939875562</x:v>
      </x:c>
      <x:c r="AD118" s="60" t="n">
        <x:f>MAX(0,MIN(100,AA118+AC118))</x:f>
        <x:v>70.98829642882224</x:v>
      </x:c>
      <x:c r="AE118" s="60" t="n">
        <x:f>MAX(0,MIN(1,IFERROR((MATCH(AD118,Percentile_Calibration!$F114:$DB114,1)-1)/100,0)))</x:f>
        <x:v>0.79</x:v>
      </x:c>
      <x:c r="AF118" s="62" t="n">
        <x:f>ROUND(MAX(Model_Formula!$I$9,Model_Formula!$I$5+Model_Formula!$I$6*POWER(AE118,Model_Formula!$I$7)),0)</x:f>
        <x:v>69</x:v>
      </x:c>
      <x:c r="AG118" t="n">
        <x:f>Profiles_140!AJ114</x:f>
        <x:v>0</x:v>
      </x:c>
      <x:c r="AH118" s="60" t="n">
        <x:f>Model_Formula!$I$8*(AE118*100)+(1-Model_Formula!$I$8)*AD118+AG118</x:f>
        <x:v>77.39765928576445</x:v>
      </x:c>
      <x:c r="AI118" t="n">
        <x:f>RANK.EQ(AH118,$AH$6:$AH$135,0)+COUNTIF($AH$6:AH118,AH118)-1</x:f>
        <x:v>40</x:v>
      </x:c>
    </x:row>
    <x:row r="119">
      <x:c r="A119" t="str">
        <x:f>Profiles_140!A115</x:f>
        <x:v>ヨクバリス</x:v>
      </x:c>
      <x:c r="B119" t="str">
        <x:f>Profiles_140!C115</x:f>
        <x:v>ヨクバリス-1</x:v>
      </x:c>
      <x:c r="C119" t="str">
        <x:f>Profiles_140!D115</x:f>
        <x:v>ほおばる</x:v>
      </x:c>
      <x:c r="D119" t="str">
        <x:f>Profiles_140!B115</x:f>
        <x:v>ディフェンス型</x:v>
      </x:c>
      <x:c r="E119" t="str">
        <x:f>Profiles_140!I115</x:f>
        <x:v>高</x:v>
      </x:c>
      <x:c r="F119" s="66" t="n">
        <x:f>Model_Formula!$M$13*(Profiles_140!K115-Simulator!$L$11)^2*IF(Profiles_140!K115&gt;Simulator!$L$11,1+Model_Formula!$N$13,1)</x:f>
        <x:v>25</x:v>
      </x:c>
      <x:c r="G119" s="66" t="n">
        <x:f>Model_Formula!$M$14*(Profiles_140!L115-Simulator!$L$12)^2*IF(Profiles_140!L115&gt;Simulator!$L$12,1+Model_Formula!$N$14,1)</x:f>
        <x:v>236.25</x:v>
      </x:c>
      <x:c r="H119" s="66" t="n">
        <x:f>Model_Formula!$M$15*(Profiles_140!M115-Simulator!$L$13)^2*IF(Profiles_140!M115&gt;Simulator!$L$13,1+Model_Formula!$N$15,1)</x:f>
        <x:v>225</x:v>
      </x:c>
      <x:c r="I119" s="66" t="n">
        <x:f>Model_Formula!$M$16*(Profiles_140!N115-Simulator!$L$14)^2*IF(Profiles_140!N115&gt;Simulator!$L$14,1+Model_Formula!$N$16,1)</x:f>
        <x:v>2500</x:v>
      </x:c>
      <x:c r="J119" s="66" t="n">
        <x:f>Model_Formula!$M$17*(Profiles_140!O115-Simulator!$L$15)^2*IF(Profiles_140!O115&gt;Simulator!$L$15,1+Model_Formula!$N$17,1)</x:f>
        <x:v>1600</x:v>
      </x:c>
      <x:c r="K119" s="66" t="n">
        <x:f>Model_Formula!$M$18*(Profiles_140!P115-Simulator!$L$16)^2*IF(Profiles_140!P115&gt;Simulator!$L$16,1+Model_Formula!$N$18,1)</x:f>
        <x:v>562.5</x:v>
      </x:c>
      <x:c r="L119" s="66" t="n">
        <x:f>Model_Formula!$M$19*(Profiles_140!Q115-Simulator!$L$17)^2*IF(Profiles_140!Q115&gt;Simulator!$L$17,1+Model_Formula!$N$19,1)</x:f>
        <x:v>625</x:v>
      </x:c>
      <x:c r="M119" s="66" t="n">
        <x:f>Model_Formula!$M$20*(Profiles_140!R115-Simulator!$L$18)^2*IF(Profiles_140!R115&gt;Simulator!$L$18,1+Model_Formula!$N$20,1)</x:f>
        <x:v>2025</x:v>
      </x:c>
      <x:c r="N119" s="66" t="n">
        <x:f>Model_Formula!$M$21*(Profiles_140!S115-Simulator!$L$19)^2*IF(Profiles_140!S115&gt;Simulator!$L$19,1+Model_Formula!$N$21,1)</x:f>
        <x:v>25</x:v>
      </x:c>
      <x:c r="O119" s="66" t="n">
        <x:f>Model_Formula!$M$22*(Profiles_140!T115-Simulator!$L$20)^2*IF(Profiles_140!T115&gt;Simulator!$L$20,1+Model_Formula!$N$22,1)</x:f>
        <x:v>1225</x:v>
      </x:c>
      <x:c r="P119" s="66" t="n">
        <x:f>Model_Formula!$M$23*(Profiles_140!U115-Simulator!$L$21)^2*IF(Profiles_140!U115&gt;Simulator!$L$21,1+Model_Formula!$N$23,1)</x:f>
        <x:v>45</x:v>
      </x:c>
      <x:c r="Q119" s="66" t="n">
        <x:f>Model_Formula!$M$24*(Profiles_140!V115-Simulator!$L$22)^2*IF(Profiles_140!V115&gt;Simulator!$L$22,1+Model_Formula!$N$24,1)</x:f>
        <x:v>250</x:v>
      </x:c>
      <x:c r="R119" s="66" t="n">
        <x:f>Model_Formula!$M$25*(Profiles_140!W115-Simulator!$L$23)^2*IF(Profiles_140!W115&gt;Simulator!$L$23,1+Model_Formula!$N$25,1)</x:f>
        <x:v>11.25</x:v>
      </x:c>
      <x:c r="S119" s="66" t="n">
        <x:f>Model_Formula!$M$26*(Profiles_140!X115-Simulator!$L$24)^2*IF(Profiles_140!X115&gt;Simulator!$L$24,1+Model_Formula!$N$26,1)</x:f>
        <x:v>148.50000000000003</x:v>
      </x:c>
      <x:c r="T119" s="66" t="n">
        <x:f>Model_Formula!$M$27*(Profiles_140!Y115-Simulator!$L$25)^2*IF(Profiles_140!Y115&gt;Simulator!$L$25,1+Model_Formula!$N$27,1)</x:f>
        <x:v>0</x:v>
      </x:c>
      <x:c r="U119" s="60" t="n">
        <x:f>SUM(F119:T119)/SUM($F$4:$T$4)</x:f>
        <x:v>709.2164179104478</x:v>
      </x:c>
      <x:c r="V119" s="60" t="n">
        <x:f>SQRT(U119)</x:f>
        <x:v>26.631117473933532</x:v>
      </x:c>
      <x:c r="W119" s="60" t="n">
        <x:f>MAX(0,100-V119)</x:f>
        <x:v>73.36888252606647</x:v>
      </x:c>
      <x:c r="X119" s="60" t="n">
        <x:f>SUMPRODUCT(Profiles_140!K115:Y115,$F$4:$T$4)/SUM($F$4:$T$4)</x:f>
        <x:v>52.68656716417911</x:v>
      </x:c>
      <x:c r="Y119" s="60" t="n">
        <x:f>IFERROR(50+50*SUMPRODUCT(($F$3:$T$3-$X$3)*(Profiles_140!K115:Y115-X119),$F$4:$T$4)/SQRT(SUMPRODUCT(($F$3:$T$3-$X$3)^2,$F$4:$T$4)*SUMPRODUCT((Profiles_140!K115:Y115-X119)^2,$F$4:$T$4)),50)</x:f>
        <x:v>50.00000000000001</x:v>
      </x:c>
      <x:c r="Z119" s="60" t="n">
        <x:f>$Z$3</x:f>
        <x:v>3.9474596431116675e-16</x:v>
      </x:c>
      <x:c r="AA119" s="60" t="n">
        <x:f>W119*(1-Model_Formula!$F$8*Z119)+Y119*(Model_Formula!$F$8*Z119)</x:f>
        <x:v>73.36888252606647</x:v>
      </x:c>
      <x:c r="AB119" s="60" t="n">
        <x:f>SQRT(SUMPRODUCT((Profiles_140!K115:Y115-50)^2,$F$4:$T$4)/SUM($F$4:$T$4))</x:f>
        <x:v>26.577119550133524</x:v>
      </x:c>
      <x:c r="AC119" s="60" t="n">
        <x:f>MAX(-Model_Formula!$F$11,MIN(Model_Formula!$F$11,Model_Formula!$F$10*(AB119-AVERAGE($AB$6:$AB$135))))</x:f>
        <x:v>-1.1519868532238247</x:v>
      </x:c>
      <x:c r="AD119" s="60" t="n">
        <x:f>MAX(0,MIN(100,AA119+AC119))</x:f>
        <x:v>72.21689567284265</x:v>
      </x:c>
      <x:c r="AE119" s="60" t="n">
        <x:f>MAX(0,MIN(1,IFERROR((MATCH(AD119,Percentile_Calibration!$F115:$DB115,1)-1)/100,0)))</x:f>
        <x:v>0.74</x:v>
      </x:c>
      <x:c r="AF119" s="62" t="n">
        <x:f>ROUND(MAX(Model_Formula!$I$9,Model_Formula!$I$5+Model_Formula!$I$6*POWER(AE119,Model_Formula!$I$7)),0)</x:f>
        <x:v>64</x:v>
      </x:c>
      <x:c r="AG119" t="n">
        <x:f>Profiles_140!AJ115</x:f>
        <x:v>0</x:v>
      </x:c>
      <x:c r="AH119" s="60" t="n">
        <x:f>Model_Formula!$I$8*(AE119*100)+(1-Model_Formula!$I$8)*AD119+AG119</x:f>
        <x:v>73.64337913456853</x:v>
      </x:c>
      <x:c r="AI119" t="n">
        <x:f>RANK.EQ(AH119,$AH$6:$AH$135,0)+COUNTIF($AH$6:AH119,AH119)-1</x:f>
        <x:v>58</x:v>
      </x:c>
    </x:row>
    <x:row r="120">
      <x:c r="A120" t="str">
        <x:f>Profiles_140!A116</x:f>
        <x:v>ヨクバリス</x:v>
      </x:c>
      <x:c r="B120" t="str">
        <x:f>Profiles_140!C116</x:f>
        <x:v>ヨクバリス-2</x:v>
      </x:c>
      <x:c r="C120" t="str">
        <x:f>Profiles_140!D116</x:f>
        <x:v>ほしがる</x:v>
      </x:c>
      <x:c r="D120" t="str">
        <x:f>Profiles_140!B116</x:f>
        <x:v>ディフェンス型</x:v>
      </x:c>
      <x:c r="E120" t="str">
        <x:f>Profiles_140!I116</x:f>
        <x:v>高</x:v>
      </x:c>
      <x:c r="F120" s="66" t="n">
        <x:f>Model_Formula!$M$13*(Profiles_140!K116-Simulator!$L$11)^2*IF(Profiles_140!K116&gt;Simulator!$L$11,1+Model_Formula!$N$13,1)</x:f>
        <x:v>400</x:v>
      </x:c>
      <x:c r="G120" s="66" t="n">
        <x:f>Model_Formula!$M$14*(Profiles_140!L116-Simulator!$L$12)^2*IF(Profiles_140!L116&gt;Simulator!$L$12,1+Model_Formula!$N$14,1)</x:f>
        <x:v>236.25</x:v>
      </x:c>
      <x:c r="H120" s="66" t="n">
        <x:f>Model_Formula!$M$15*(Profiles_140!M116-Simulator!$L$13)^2*IF(Profiles_140!M116&gt;Simulator!$L$13,1+Model_Formula!$N$15,1)</x:f>
        <x:v>100</x:v>
      </x:c>
      <x:c r="I120" s="66" t="n">
        <x:f>Model_Formula!$M$16*(Profiles_140!N116-Simulator!$L$14)^2*IF(Profiles_140!N116&gt;Simulator!$L$14,1+Model_Formula!$N$16,1)</x:f>
        <x:v>25</x:v>
      </x:c>
      <x:c r="J120" s="66" t="n">
        <x:f>Model_Formula!$M$17*(Profiles_140!O116-Simulator!$L$15)^2*IF(Profiles_140!O116&gt;Simulator!$L$15,1+Model_Formula!$N$17,1)</x:f>
        <x:v>400</x:v>
      </x:c>
      <x:c r="K120" s="66" t="n">
        <x:f>Model_Formula!$M$18*(Profiles_140!P116-Simulator!$L$16)^2*IF(Profiles_140!P116&gt;Simulator!$L$16,1+Model_Formula!$N$18,1)</x:f>
        <x:v>202.5</x:v>
      </x:c>
      <x:c r="L120" s="66" t="n">
        <x:f>Model_Formula!$M$19*(Profiles_140!Q116-Simulator!$L$17)^2*IF(Profiles_140!Q116&gt;Simulator!$L$17,1+Model_Formula!$N$19,1)</x:f>
        <x:v>400</x:v>
      </x:c>
      <x:c r="M120" s="66" t="n">
        <x:f>Model_Formula!$M$20*(Profiles_140!R116-Simulator!$L$18)^2*IF(Profiles_140!R116&gt;Simulator!$L$18,1+Model_Formula!$N$20,1)</x:f>
        <x:v>225</x:v>
      </x:c>
      <x:c r="N120" s="66" t="n">
        <x:f>Model_Formula!$M$21*(Profiles_140!S116-Simulator!$L$19)^2*IF(Profiles_140!S116&gt;Simulator!$L$19,1+Model_Formula!$N$21,1)</x:f>
        <x:v>2500</x:v>
      </x:c>
      <x:c r="O120" s="66" t="n">
        <x:f>Model_Formula!$M$22*(Profiles_140!T116-Simulator!$L$20)^2*IF(Profiles_140!T116&gt;Simulator!$L$20,1+Model_Formula!$N$22,1)</x:f>
        <x:v>100</x:v>
      </x:c>
      <x:c r="P120" s="66" t="n">
        <x:f>Model_Formula!$M$23*(Profiles_140!U116-Simulator!$L$21)^2*IF(Profiles_140!U116&gt;Simulator!$L$21,1+Model_Formula!$N$23,1)</x:f>
        <x:v>45</x:v>
      </x:c>
      <x:c r="Q120" s="66" t="n">
        <x:f>Model_Formula!$M$24*(Profiles_140!V116-Simulator!$L$22)^2*IF(Profiles_140!V116&gt;Simulator!$L$22,1+Model_Formula!$N$24,1)</x:f>
        <x:v>10</x:v>
      </x:c>
      <x:c r="R120" s="66" t="n">
        <x:f>Model_Formula!$M$25*(Profiles_140!W116-Simulator!$L$23)^2*IF(Profiles_140!W116&gt;Simulator!$L$23,1+Model_Formula!$N$25,1)</x:f>
        <x:v>281.25</x:v>
      </x:c>
      <x:c r="S120" s="66" t="n">
        <x:f>Model_Formula!$M$26*(Profiles_140!X116-Simulator!$L$24)^2*IF(Profiles_140!X116&gt;Simulator!$L$24,1+Model_Formula!$N$26,1)</x:f>
        <x:v>928.1250000000001</x:v>
      </x:c>
      <x:c r="T120" s="66" t="n">
        <x:f>Model_Formula!$M$27*(Profiles_140!Y116-Simulator!$L$25)^2*IF(Profiles_140!Y116&gt;Simulator!$L$25,1+Model_Formula!$N$27,1)</x:f>
        <x:v>1931.9999999999998</x:v>
      </x:c>
      <x:c r="U120" s="60" t="n">
        <x:f>SUM(F120:T120)/SUM($F$4:$T$4)</x:f>
        <x:v>580.9794776119404</x:v>
      </x:c>
      <x:c r="V120" s="60" t="n">
        <x:f>SQRT(U120)</x:f>
        <x:v>24.103515876567478</x:v>
      </x:c>
      <x:c r="W120" s="60" t="n">
        <x:f>MAX(0,100-V120)</x:f>
        <x:v>75.89648412343251</x:v>
      </x:c>
      <x:c r="X120" s="60" t="n">
        <x:f>SUMPRODUCT(Profiles_140!K116:Y116,$F$4:$T$4)/SUM($F$4:$T$4)</x:f>
        <x:v>59.44029850746269</x:v>
      </x:c>
      <x:c r="Y120" s="60" t="n">
        <x:f>IFERROR(50+50*SUMPRODUCT(($F$3:$T$3-$X$3)*(Profiles_140!K116:Y116-X120),$F$4:$T$4)/SQRT(SUMPRODUCT(($F$3:$T$3-$X$3)^2,$F$4:$T$4)*SUMPRODUCT((Profiles_140!K116:Y116-X120)^2,$F$4:$T$4)),50)</x:f>
        <x:v>50.000000000000014</x:v>
      </x:c>
      <x:c r="Z120" s="60" t="n">
        <x:f>$Z$3</x:f>
        <x:v>3.9474596431116675e-16</x:v>
      </x:c>
      <x:c r="AA120" s="60" t="n">
        <x:f>W120*(1-Model_Formula!$F$8*Z120)+Y120*(Model_Formula!$F$8*Z120)</x:f>
        <x:v>75.89648412343251</x:v>
      </x:c>
      <x:c r="AB120" s="60" t="n">
        <x:f>SQRT(SUMPRODUCT((Profiles_140!K116:Y116-50)^2,$F$4:$T$4)/SUM($F$4:$T$4))</x:f>
        <x:v>23.328446538731374</x:v>
      </x:c>
      <x:c r="AC120" s="60" t="n">
        <x:f>MAX(-Model_Formula!$F$11,MIN(Model_Formula!$F$11,Model_Formula!$F$10*(AB120-AVERAGE($AB$6:$AB$135))))</x:f>
        <x:v>-2.6138897083547925</x:v>
      </x:c>
      <x:c r="AD120" s="60" t="n">
        <x:f>MAX(0,MIN(100,AA120+AC120))</x:f>
        <x:v>73.28259441507772</x:v>
      </x:c>
      <x:c r="AE120" s="60" t="n">
        <x:f>MAX(0,MIN(1,IFERROR((MATCH(AD120,Percentile_Calibration!$F116:$DB116,1)-1)/100,0)))</x:f>
        <x:v>0.8</x:v>
      </x:c>
      <x:c r="AF120" s="62" t="n">
        <x:f>ROUND(MAX(Model_Formula!$I$9,Model_Formula!$I$5+Model_Formula!$I$6*POWER(AE120,Model_Formula!$I$7)),0)</x:f>
        <x:v>70</x:v>
      </x:c>
      <x:c r="AG120" t="n">
        <x:f>Profiles_140!AJ116</x:f>
        <x:v>0</x:v>
      </x:c>
      <x:c r="AH120" s="60" t="n">
        <x:f>Model_Formula!$I$8*(AE120*100)+(1-Model_Formula!$I$8)*AD120+AG120</x:f>
        <x:v>78.65651888301554</x:v>
      </x:c>
      <x:c r="AI120" t="n">
        <x:f>RANK.EQ(AH120,$AH$6:$AH$135,0)+COUNTIF($AH$6:AH120,AH120)-1</x:f>
        <x:v>37</x:v>
      </x:c>
    </x:row>
    <x:row r="121">
      <x:c r="A121" t="str">
        <x:f>Profiles_140!A117</x:f>
        <x:v>ラプラス</x:v>
      </x:c>
      <x:c r="B121" t="str">
        <x:f>Profiles_140!C117</x:f>
        <x:v>ラプラス-1</x:v>
      </x:c>
      <x:c r="C121" t="str">
        <x:f>Profiles_140!D117</x:f>
        <x:v>共通</x:v>
      </x:c>
      <x:c r="D121" t="str">
        <x:f>Profiles_140!B117</x:f>
        <x:v>ディフェンス型</x:v>
      </x:c>
      <x:c r="E121" t="str">
        <x:f>Profiles_140!I117</x:f>
        <x:v>高</x:v>
      </x:c>
      <x:c r="F121" s="66" t="n">
        <x:f>Model_Formula!$M$13*(Profiles_140!K117-Simulator!$L$11)^2*IF(Profiles_140!K117&gt;Simulator!$L$11,1+Model_Formula!$N$13,1)</x:f>
        <x:v>225</x:v>
      </x:c>
      <x:c r="G121" s="66" t="n">
        <x:f>Model_Formula!$M$14*(Profiles_140!L117-Simulator!$L$12)^2*IF(Profiles_140!L117&gt;Simulator!$L$12,1+Model_Formula!$N$14,1)</x:f>
        <x:v>1286.25</x:v>
      </x:c>
      <x:c r="H121" s="66" t="n">
        <x:f>Model_Formula!$M$15*(Profiles_140!M117-Simulator!$L$13)^2*IF(Profiles_140!M117&gt;Simulator!$L$13,1+Model_Formula!$N$15,1)</x:f>
        <x:v>225</x:v>
      </x:c>
      <x:c r="I121" s="66" t="n">
        <x:f>Model_Formula!$M$16*(Profiles_140!N117-Simulator!$L$14)^2*IF(Profiles_140!N117&gt;Simulator!$L$14,1+Model_Formula!$N$16,1)</x:f>
        <x:v>1225</x:v>
      </x:c>
      <x:c r="J121" s="66" t="n">
        <x:f>Model_Formula!$M$17*(Profiles_140!O117-Simulator!$L$15)^2*IF(Profiles_140!O117&gt;Simulator!$L$15,1+Model_Formula!$N$17,1)</x:f>
        <x:v>25</x:v>
      </x:c>
      <x:c r="K121" s="66" t="n">
        <x:f>Model_Formula!$M$18*(Profiles_140!P117-Simulator!$L$16)^2*IF(Profiles_140!P117&gt;Simulator!$L$16,1+Model_Formula!$N$18,1)</x:f>
        <x:v>562.5</x:v>
      </x:c>
      <x:c r="L121" s="66" t="n">
        <x:f>Model_Formula!$M$19*(Profiles_140!Q117-Simulator!$L$17)^2*IF(Profiles_140!Q117&gt;Simulator!$L$17,1+Model_Formula!$N$19,1)</x:f>
        <x:v>400</x:v>
      </x:c>
      <x:c r="M121" s="66" t="n">
        <x:f>Model_Formula!$M$20*(Profiles_140!R117-Simulator!$L$18)^2*IF(Profiles_140!R117&gt;Simulator!$L$18,1+Model_Formula!$N$20,1)</x:f>
        <x:v>25</x:v>
      </x:c>
      <x:c r="N121" s="66" t="n">
        <x:f>Model_Formula!$M$21*(Profiles_140!S117-Simulator!$L$19)^2*IF(Profiles_140!S117&gt;Simulator!$L$19,1+Model_Formula!$N$21,1)</x:f>
        <x:v>25</x:v>
      </x:c>
      <x:c r="O121" s="66" t="n">
        <x:f>Model_Formula!$M$22*(Profiles_140!T117-Simulator!$L$20)^2*IF(Profiles_140!T117&gt;Simulator!$L$20,1+Model_Formula!$N$22,1)</x:f>
        <x:v>25</x:v>
      </x:c>
      <x:c r="P121" s="66" t="n">
        <x:f>Model_Formula!$M$23*(Profiles_140!U117-Simulator!$L$21)^2*IF(Profiles_140!U117&gt;Simulator!$L$21,1+Model_Formula!$N$23,1)</x:f>
        <x:v>720</x:v>
      </x:c>
      <x:c r="Q121" s="66" t="n">
        <x:f>Model_Formula!$M$24*(Profiles_140!V117-Simulator!$L$22)^2*IF(Profiles_140!V117&gt;Simulator!$L$22,1+Model_Formula!$N$24,1)</x:f>
        <x:v>250</x:v>
      </x:c>
      <x:c r="R121" s="66" t="n">
        <x:f>Model_Formula!$M$25*(Profiles_140!W117-Simulator!$L$23)^2*IF(Profiles_140!W117&gt;Simulator!$L$23,1+Model_Formula!$N$25,1)</x:f>
        <x:v>45</x:v>
      </x:c>
      <x:c r="S121" s="66" t="n">
        <x:f>Model_Formula!$M$26*(Profiles_140!X117-Simulator!$L$24)^2*IF(Profiles_140!X117&gt;Simulator!$L$24,1+Model_Formula!$N$26,1)</x:f>
        <x:v>440.00000000000006</x:v>
      </x:c>
      <x:c r="T121" s="66" t="n">
        <x:f>Model_Formula!$M$27*(Profiles_140!Y117-Simulator!$L$25)^2*IF(Profiles_140!Y117&gt;Simulator!$L$25,1+Model_Formula!$N$27,1)</x:f>
        <x:v>1086.75</x:v>
      </x:c>
      <x:c r="U121" s="60" t="n">
        <x:f>SUM(F121:T121)/SUM($F$4:$T$4)</x:f>
        <x:v>489.9626865671642</x:v>
      </x:c>
      <x:c r="V121" s="60" t="n">
        <x:f>SQRT(U121)</x:f>
        <x:v>22.13510078059651</x:v>
      </x:c>
      <x:c r="W121" s="60" t="n">
        <x:f>MAX(0,100-V121)</x:f>
        <x:v>77.8648992194035</x:v>
      </x:c>
      <x:c r="X121" s="60" t="n">
        <x:f>SUMPRODUCT(Profiles_140!K117:Y117,$F$4:$T$4)/SUM($F$4:$T$4)</x:f>
        <x:v>50.57835820895523</x:v>
      </x:c>
      <x:c r="Y121" s="60" t="n">
        <x:f>IFERROR(50+50*SUMPRODUCT(($F$3:$T$3-$X$3)*(Profiles_140!K117:Y117-X121),$F$4:$T$4)/SQRT(SUMPRODUCT(($F$3:$T$3-$X$3)^2,$F$4:$T$4)*SUMPRODUCT((Profiles_140!K117:Y117-X121)^2,$F$4:$T$4)),50)</x:f>
        <x:v>50.000000000000014</x:v>
      </x:c>
      <x:c r="Z121" s="60" t="n">
        <x:f>$Z$3</x:f>
        <x:v>3.9474596431116675e-16</x:v>
      </x:c>
      <x:c r="AA121" s="60" t="n">
        <x:f>W121*(1-Model_Formula!$F$8*Z121)+Y121*(Model_Formula!$F$8*Z121)</x:f>
        <x:v>77.8648992194035</x:v>
      </x:c>
      <x:c r="AB121" s="60" t="n">
        <x:f>SQRT(SUMPRODUCT((Profiles_140!K117:Y117-50)^2,$F$4:$T$4)/SUM($F$4:$T$4))</x:f>
        <x:v>21.89484707318617</x:v>
      </x:c>
      <x:c r="AC121" s="60" t="n">
        <x:f>MAX(-Model_Formula!$F$11,MIN(Model_Formula!$F$11,Model_Formula!$F$10*(AB121-AVERAGE($AB$6:$AB$135))))</x:f>
        <x:v>-3.259009467850134</x:v>
      </x:c>
      <x:c r="AD121" s="60" t="n">
        <x:f>MAX(0,MIN(100,AA121+AC121))</x:f>
        <x:v>74.60588975155336</x:v>
      </x:c>
      <x:c r="AE121" s="60" t="n">
        <x:f>MAX(0,MIN(1,IFERROR((MATCH(AD121,Percentile_Calibration!$F117:$DB117,1)-1)/100,0)))</x:f>
        <x:v>0.95</x:v>
      </x:c>
      <x:c r="AF121" s="62" t="n">
        <x:f>ROUND(MAX(Model_Formula!$I$9,Model_Formula!$I$5+Model_Formula!$I$6*POWER(AE121,Model_Formula!$I$7)),0)</x:f>
        <x:v>89</x:v>
      </x:c>
      <x:c r="AG121" t="n">
        <x:f>Profiles_140!AJ117</x:f>
        <x:v>-0.1</x:v>
      </x:c>
      <x:c r="AH121" s="60" t="n">
        <x:f>Model_Formula!$I$8*(AE121*100)+(1-Model_Formula!$I$8)*AD121+AG121</x:f>
        <x:v>90.82117795031067</x:v>
      </x:c>
      <x:c r="AI121" t="n">
        <x:f>RANK.EQ(AH121,$AH$6:$AH$135,0)+COUNTIF($AH$6:AH121,AH121)-1</x:f>
        <x:v>3</x:v>
      </x:c>
    </x:row>
    <x:row r="122">
      <x:c r="A122" t="str">
        <x:f>Profiles_140!A118</x:f>
        <x:v>キュワワー</x:v>
      </x:c>
      <x:c r="B122" t="str">
        <x:f>Profiles_140!C118</x:f>
        <x:v>キュワワー-1</x:v>
      </x:c>
      <x:c r="C122" t="str">
        <x:f>Profiles_140!D118</x:f>
        <x:v>共通</x:v>
      </x:c>
      <x:c r="D122" t="str">
        <x:f>Profiles_140!B118</x:f>
        <x:v>サポート型</x:v>
      </x:c>
      <x:c r="E122" t="str">
        <x:f>Profiles_140!I118</x:f>
        <x:v>高</x:v>
      </x:c>
      <x:c r="F122" s="66" t="n">
        <x:f>Model_Formula!$M$13*(Profiles_140!K118-Simulator!$L$11)^2*IF(Profiles_140!K118&gt;Simulator!$L$11,1+Model_Formula!$N$13,1)</x:f>
        <x:v>2500</x:v>
      </x:c>
      <x:c r="G122" s="66" t="n">
        <x:f>Model_Formula!$M$14*(Profiles_140!L118-Simulator!$L$12)^2*IF(Profiles_140!L118&gt;Simulator!$L$12,1+Model_Formula!$N$14,1)</x:f>
        <x:v>2625</x:v>
      </x:c>
      <x:c r="H122" s="66" t="n">
        <x:f>Model_Formula!$M$15*(Profiles_140!M118-Simulator!$L$13)^2*IF(Profiles_140!M118&gt;Simulator!$L$13,1+Model_Formula!$N$15,1)</x:f>
        <x:v>400</x:v>
      </x:c>
      <x:c r="I122" s="66" t="n">
        <x:f>Model_Formula!$M$16*(Profiles_140!N118-Simulator!$L$14)^2*IF(Profiles_140!N118&gt;Simulator!$L$14,1+Model_Formula!$N$16,1)</x:f>
        <x:v>2500</x:v>
      </x:c>
      <x:c r="J122" s="66" t="n">
        <x:f>Model_Formula!$M$17*(Profiles_140!O118-Simulator!$L$15)^2*IF(Profiles_140!O118&gt;Simulator!$L$15,1+Model_Formula!$N$17,1)</x:f>
        <x:v>1600</x:v>
      </x:c>
      <x:c r="K122" s="66" t="n">
        <x:f>Model_Formula!$M$18*(Profiles_140!P118-Simulator!$L$16)^2*IF(Profiles_140!P118&gt;Simulator!$L$16,1+Model_Formula!$N$18,1)</x:f>
        <x:v>22.5</x:v>
      </x:c>
      <x:c r="L122" s="66" t="n">
        <x:f>Model_Formula!$M$19*(Profiles_140!Q118-Simulator!$L$17)^2*IF(Profiles_140!Q118&gt;Simulator!$L$17,1+Model_Formula!$N$19,1)</x:f>
        <x:v>225</x:v>
      </x:c>
      <x:c r="M122" s="66" t="n">
        <x:f>Model_Formula!$M$20*(Profiles_140!R118-Simulator!$L$18)^2*IF(Profiles_140!R118&gt;Simulator!$L$18,1+Model_Formula!$N$20,1)</x:f>
        <x:v>2500</x:v>
      </x:c>
      <x:c r="N122" s="66" t="n">
        <x:f>Model_Formula!$M$21*(Profiles_140!S118-Simulator!$L$19)^2*IF(Profiles_140!S118&gt;Simulator!$L$19,1+Model_Formula!$N$21,1)</x:f>
        <x:v>625</x:v>
      </x:c>
      <x:c r="O122" s="66" t="n">
        <x:f>Model_Formula!$M$22*(Profiles_140!T118-Simulator!$L$20)^2*IF(Profiles_140!T118&gt;Simulator!$L$20,1+Model_Formula!$N$22,1)</x:f>
        <x:v>1225</x:v>
      </x:c>
      <x:c r="P122" s="66" t="n">
        <x:f>Model_Formula!$M$23*(Profiles_140!U118-Simulator!$L$21)^2*IF(Profiles_140!U118&gt;Simulator!$L$21,1+Model_Formula!$N$23,1)</x:f>
        <x:v>1125</x:v>
      </x:c>
      <x:c r="Q122" s="66" t="n">
        <x:f>Model_Formula!$M$24*(Profiles_140!V118-Simulator!$L$22)^2*IF(Profiles_140!V118&gt;Simulator!$L$22,1+Model_Formula!$N$24,1)</x:f>
        <x:v>810</x:v>
      </x:c>
      <x:c r="R122" s="66" t="n">
        <x:f>Model_Formula!$M$25*(Profiles_140!W118-Simulator!$L$23)^2*IF(Profiles_140!W118&gt;Simulator!$L$23,1+Model_Formula!$N$25,1)</x:f>
        <x:v>1125</x:v>
      </x:c>
      <x:c r="S122" s="66" t="n">
        <x:f>Model_Formula!$M$26*(Profiles_140!X118-Simulator!$L$24)^2*IF(Profiles_140!X118&gt;Simulator!$L$24,1+Model_Formula!$N$26,1)</x:f>
        <x:v>440.00000000000006</x:v>
      </x:c>
      <x:c r="T122" s="66" t="n">
        <x:f>Model_Formula!$M$27*(Profiles_140!Y118-Simulator!$L$25)^2*IF(Profiles_140!Y118&gt;Simulator!$L$25,1+Model_Formula!$N$27,1)</x:f>
        <x:v>2445.1875</x:v>
      </x:c>
      <x:c r="U122" s="60" t="n">
        <x:f>SUM(F122:T122)/SUM($F$4:$T$4)</x:f>
        <x:v>1505.0513059701493</x:v>
      </x:c>
      <x:c r="V122" s="60" t="n">
        <x:f>SQRT(U122)</x:f>
        <x:v>38.794990732956094</x:v>
      </x:c>
      <x:c r="W122" s="60" t="n">
        <x:f>MAX(0,100-V122)</x:f>
        <x:v>61.205009267043906</x:v>
      </x:c>
      <x:c r="X122" s="60" t="n">
        <x:f>SUMPRODUCT(Profiles_140!K118:Y118,$F$4:$T$4)/SUM($F$4:$T$4)</x:f>
        <x:v>35.83955223880597</x:v>
      </x:c>
      <x:c r="Y122" s="60" t="n">
        <x:f>IFERROR(50+50*SUMPRODUCT(($F$3:$T$3-$X$3)*(Profiles_140!K118:Y118-X122),$F$4:$T$4)/SQRT(SUMPRODUCT(($F$3:$T$3-$X$3)^2,$F$4:$T$4)*SUMPRODUCT((Profiles_140!K118:Y118-X122)^2,$F$4:$T$4)),50)</x:f>
        <x:v>50</x:v>
      </x:c>
      <x:c r="Z122" s="60" t="n">
        <x:f>$Z$3</x:f>
        <x:v>3.9474596431116675e-16</x:v>
      </x:c>
      <x:c r="AA122" s="60" t="n">
        <x:f>W122*(1-Model_Formula!$F$8*Z122)+Y122*(Model_Formula!$F$8*Z122)</x:f>
        <x:v>61.205009267043906</x:v>
      </x:c>
      <x:c r="AB122" s="60" t="n">
        <x:f>SQRT(SUMPRODUCT((Profiles_140!K118:Y118-50)^2,$F$4:$T$4)/SUM($F$4:$T$4))</x:f>
        <x:v>38.48701079585163</x:v>
      </x:c>
      <x:c r="AC122" s="60" t="n">
        <x:f>MAX(-Model_Formula!$F$11,MIN(Model_Formula!$F$11,Model_Formula!$F$10*(AB122-AVERAGE($AB$6:$AB$135))))</x:f>
        <x:v>4.207464207349324</x:v>
      </x:c>
      <x:c r="AD122" s="60" t="n">
        <x:f>MAX(0,MIN(100,AA122+AC122))</x:f>
        <x:v>65.41247347439322</x:v>
      </x:c>
      <x:c r="AE122" s="60" t="n">
        <x:f>MAX(0,MIN(1,IFERROR((MATCH(AD122,Percentile_Calibration!$F118:$DB118,1)-1)/100,0)))</x:f>
        <x:v>0.65</x:v>
      </x:c>
      <x:c r="AF122" s="62" t="n">
        <x:f>ROUND(MAX(Model_Formula!$I$9,Model_Formula!$I$5+Model_Formula!$I$6*POWER(AE122,Model_Formula!$I$7)),0)</x:f>
        <x:v>57</x:v>
      </x:c>
      <x:c r="AG122" t="n">
        <x:f>Profiles_140!AJ118</x:f>
        <x:v>0</x:v>
      </x:c>
      <x:c r="AH122" s="60" t="n">
        <x:f>Model_Formula!$I$8*(AE122*100)+(1-Model_Formula!$I$8)*AD122+AG122</x:f>
        <x:v>65.08249469487865</x:v>
      </x:c>
      <x:c r="AI122" t="n">
        <x:f>RANK.EQ(AH122,$AH$6:$AH$135,0)+COUNTIF($AH$6:AH122,AH122)-1</x:f>
        <x:v>115</x:v>
      </x:c>
    </x:row>
    <x:row r="123">
      <x:c r="A123" t="str">
        <x:f>Profiles_140!A119</x:f>
        <x:v>コダック</x:v>
      </x:c>
      <x:c r="B123" t="str">
        <x:f>Profiles_140!C119</x:f>
        <x:v>コダック-1</x:v>
      </x:c>
      <x:c r="C123" t="str">
        <x:f>Profiles_140!D119</x:f>
        <x:v>共通</x:v>
      </x:c>
      <x:c r="D123" t="str">
        <x:f>Profiles_140!B119</x:f>
        <x:v>サポート型</x:v>
      </x:c>
      <x:c r="E123" t="str">
        <x:f>Profiles_140!I119</x:f>
        <x:v>高</x:v>
      </x:c>
      <x:c r="F123" s="66" t="n">
        <x:f>Model_Formula!$M$13*(Profiles_140!K119-Simulator!$L$11)^2*IF(Profiles_140!K119&gt;Simulator!$L$11,1+Model_Formula!$N$13,1)</x:f>
        <x:v>225</x:v>
      </x:c>
      <x:c r="G123" s="66" t="n">
        <x:f>Model_Formula!$M$14*(Profiles_140!L119-Simulator!$L$12)^2*IF(Profiles_140!L119&gt;Simulator!$L$12,1+Model_Formula!$N$14,1)</x:f>
        <x:v>945</x:v>
      </x:c>
      <x:c r="H123" s="66" t="n">
        <x:f>Model_Formula!$M$15*(Profiles_140!M119-Simulator!$L$13)^2*IF(Profiles_140!M119&gt;Simulator!$L$13,1+Model_Formula!$N$15,1)</x:f>
        <x:v>900</x:v>
      </x:c>
      <x:c r="I123" s="66" t="n">
        <x:f>Model_Formula!$M$16*(Profiles_140!N119-Simulator!$L$14)^2*IF(Profiles_140!N119&gt;Simulator!$L$14,1+Model_Formula!$N$16,1)</x:f>
        <x:v>400</x:v>
      </x:c>
      <x:c r="J123" s="66" t="n">
        <x:f>Model_Formula!$M$17*(Profiles_140!O119-Simulator!$L$15)^2*IF(Profiles_140!O119&gt;Simulator!$L$15,1+Model_Formula!$N$17,1)</x:f>
        <x:v>100</x:v>
      </x:c>
      <x:c r="K123" s="66" t="n">
        <x:f>Model_Formula!$M$18*(Profiles_140!P119-Simulator!$L$16)^2*IF(Profiles_140!P119&gt;Simulator!$L$16,1+Model_Formula!$N$18,1)</x:f>
        <x:v>90</x:v>
      </x:c>
      <x:c r="L123" s="66" t="n">
        <x:f>Model_Formula!$M$19*(Profiles_140!Q119-Simulator!$L$17)^2*IF(Profiles_140!Q119&gt;Simulator!$L$17,1+Model_Formula!$N$19,1)</x:f>
        <x:v>2500</x:v>
      </x:c>
      <x:c r="M123" s="66" t="n">
        <x:f>Model_Formula!$M$20*(Profiles_140!R119-Simulator!$L$18)^2*IF(Profiles_140!R119&gt;Simulator!$L$18,1+Model_Formula!$N$20,1)</x:f>
        <x:v>400</x:v>
      </x:c>
      <x:c r="N123" s="66" t="n">
        <x:f>Model_Formula!$M$21*(Profiles_140!S119-Simulator!$L$19)^2*IF(Profiles_140!S119&gt;Simulator!$L$19,1+Model_Formula!$N$21,1)</x:f>
        <x:v>0</x:v>
      </x:c>
      <x:c r="O123" s="66" t="n">
        <x:f>Model_Formula!$M$22*(Profiles_140!T119-Simulator!$L$20)^2*IF(Profiles_140!T119&gt;Simulator!$L$20,1+Model_Formula!$N$22,1)</x:f>
        <x:v>25</x:v>
      </x:c>
      <x:c r="P123" s="66" t="n">
        <x:f>Model_Formula!$M$23*(Profiles_140!U119-Simulator!$L$21)^2*IF(Profiles_140!U119&gt;Simulator!$L$21,1+Model_Formula!$N$23,1)</x:f>
        <x:v>911.25</x:v>
      </x:c>
      <x:c r="Q123" s="66" t="n">
        <x:f>Model_Formula!$M$24*(Profiles_140!V119-Simulator!$L$22)^2*IF(Profiles_140!V119&gt;Simulator!$L$22,1+Model_Formula!$N$24,1)</x:f>
        <x:v>160</x:v>
      </x:c>
      <x:c r="R123" s="66" t="n">
        <x:f>Model_Formula!$M$25*(Profiles_140!W119-Simulator!$L$23)^2*IF(Profiles_140!W119&gt;Simulator!$L$23,1+Model_Formula!$N$25,1)</x:f>
        <x:v>281.25</x:v>
      </x:c>
      <x:c r="S123" s="66" t="n">
        <x:f>Model_Formula!$M$26*(Profiles_140!X119-Simulator!$L$24)^2*IF(Profiles_140!X119&gt;Simulator!$L$24,1+Model_Formula!$N$26,1)</x:f>
        <x:v>37.12500000000001</x:v>
      </x:c>
      <x:c r="T123" s="66" t="n">
        <x:f>Model_Formula!$M$27*(Profiles_140!Y119-Simulator!$L$25)^2*IF(Profiles_140!Y119&gt;Simulator!$L$25,1+Model_Formula!$N$27,1)</x:f>
        <x:v>1086.75</x:v>
      </x:c>
      <x:c r="U123" s="60" t="n">
        <x:f>SUM(F123:T123)/SUM($F$4:$T$4)</x:f>
        <x:v>601.5951492537314</x:v>
      </x:c>
      <x:c r="V123" s="60" t="n">
        <x:f>SQRT(U123)</x:f>
        <x:v>24.52743666292365</x:v>
      </x:c>
      <x:c r="W123" s="60" t="n">
        <x:f>MAX(0,100-V123)</x:f>
        <x:v>75.47256333707635</x:v>
      </x:c>
      <x:c r="X123" s="60" t="n">
        <x:f>SUMPRODUCT(Profiles_140!K119:Y119,$F$4:$T$4)/SUM($F$4:$T$4)</x:f>
        <x:v>52.76119402985075</x:v>
      </x:c>
      <x:c r="Y123" s="60" t="n">
        <x:f>IFERROR(50+50*SUMPRODUCT(($F$3:$T$3-$X$3)*(Profiles_140!K119:Y119-X123),$F$4:$T$4)/SQRT(SUMPRODUCT(($F$3:$T$3-$X$3)^2,$F$4:$T$4)*SUMPRODUCT((Profiles_140!K119:Y119-X123)^2,$F$4:$T$4)),50)</x:f>
        <x:v>50.00000000000001</x:v>
      </x:c>
      <x:c r="Z123" s="60" t="n">
        <x:f>$Z$3</x:f>
        <x:v>3.9474596431116675e-16</x:v>
      </x:c>
      <x:c r="AA123" s="60" t="n">
        <x:f>W123*(1-Model_Formula!$F$8*Z123)+Y123*(Model_Formula!$F$8*Z123)</x:f>
        <x:v>75.47256333707635</x:v>
      </x:c>
      <x:c r="AB123" s="60" t="n">
        <x:f>SQRT(SUMPRODUCT((Profiles_140!K119:Y119-50)^2,$F$4:$T$4)/SUM($F$4:$T$4))</x:f>
        <x:v>24.29605950483919</x:v>
      </x:c>
      <x:c r="AC123" s="60" t="n">
        <x:f>MAX(-Model_Formula!$F$11,MIN(Model_Formula!$F$11,Model_Formula!$F$10*(AB123-AVERAGE($AB$6:$AB$135))))</x:f>
        <x:v>-2.1784638736062756</x:v>
      </x:c>
      <x:c r="AD123" s="60" t="n">
        <x:f>MAX(0,MIN(100,AA123+AC123))</x:f>
        <x:v>73.29409946347008</x:v>
      </x:c>
      <x:c r="AE123" s="60" t="n">
        <x:f>MAX(0,MIN(1,IFERROR((MATCH(AD123,Percentile_Calibration!$F119:$DB119,1)-1)/100,0)))</x:f>
        <x:v>0.91</x:v>
      </x:c>
      <x:c r="AF123" s="62" t="n">
        <x:f>ROUND(MAX(Model_Formula!$I$9,Model_Formula!$I$5+Model_Formula!$I$6*POWER(AE123,Model_Formula!$I$7)),0)</x:f>
        <x:v>83</x:v>
      </x:c>
      <x:c r="AG123" t="n">
        <x:f>Profiles_140!AJ119</x:f>
        <x:v>0</x:v>
      </x:c>
      <x:c r="AH123" s="60" t="n">
        <x:f>Model_Formula!$I$8*(AE123*100)+(1-Model_Formula!$I$8)*AD123+AG123</x:f>
        <x:v>87.45881989269401</x:v>
      </x:c>
      <x:c r="AI123" t="n">
        <x:f>RANK.EQ(AH123,$AH$6:$AH$135,0)+COUNTIF($AH$6:AH123,AH123)-1</x:f>
        <x:v>9</x:v>
      </x:c>
    </x:row>
    <x:row r="124">
      <x:c r="A124" t="str">
        <x:f>Profiles_140!A120</x:f>
        <x:v>ハピナス</x:v>
      </x:c>
      <x:c r="B124" t="str">
        <x:f>Profiles_140!C120</x:f>
        <x:v>ハピナス-1</x:v>
      </x:c>
      <x:c r="C124" t="str">
        <x:f>Profiles_140!D120</x:f>
        <x:v>共通</x:v>
      </x:c>
      <x:c r="D124" t="str">
        <x:f>Profiles_140!B120</x:f>
        <x:v>サポート型</x:v>
      </x:c>
      <x:c r="E124" t="str">
        <x:f>Profiles_140!I120</x:f>
        <x:v>高</x:v>
      </x:c>
      <x:c r="F124" s="66" t="n">
        <x:f>Model_Formula!$M$13*(Profiles_140!K120-Simulator!$L$11)^2*IF(Profiles_140!K120&gt;Simulator!$L$11,1+Model_Formula!$N$13,1)</x:f>
        <x:v>400</x:v>
      </x:c>
      <x:c r="G124" s="66" t="n">
        <x:f>Model_Formula!$M$14*(Profiles_140!L120-Simulator!$L$12)^2*IF(Profiles_140!L120&gt;Simulator!$L$12,1+Model_Formula!$N$14,1)</x:f>
        <x:v>2625</x:v>
      </x:c>
      <x:c r="H124" s="66" t="n">
        <x:f>Model_Formula!$M$15*(Profiles_140!M120-Simulator!$L$13)^2*IF(Profiles_140!M120&gt;Simulator!$L$13,1+Model_Formula!$N$15,1)</x:f>
        <x:v>2025</x:v>
      </x:c>
      <x:c r="I124" s="66" t="n">
        <x:f>Model_Formula!$M$16*(Profiles_140!N120-Simulator!$L$14)^2*IF(Profiles_140!N120&gt;Simulator!$L$14,1+Model_Formula!$N$16,1)</x:f>
        <x:v>1225</x:v>
      </x:c>
      <x:c r="J124" s="66" t="n">
        <x:f>Model_Formula!$M$17*(Profiles_140!O120-Simulator!$L$15)^2*IF(Profiles_140!O120&gt;Simulator!$L$15,1+Model_Formula!$N$17,1)</x:f>
        <x:v>225</x:v>
      </x:c>
      <x:c r="K124" s="66" t="n">
        <x:f>Model_Formula!$M$18*(Profiles_140!P120-Simulator!$L$16)^2*IF(Profiles_140!P120&gt;Simulator!$L$16,1+Model_Formula!$N$18,1)</x:f>
        <x:v>22.5</x:v>
      </x:c>
      <x:c r="L124" s="66" t="n">
        <x:f>Model_Formula!$M$19*(Profiles_140!Q120-Simulator!$L$17)^2*IF(Profiles_140!Q120&gt;Simulator!$L$17,1+Model_Formula!$N$19,1)</x:f>
        <x:v>25</x:v>
      </x:c>
      <x:c r="M124" s="66" t="n">
        <x:f>Model_Formula!$M$20*(Profiles_140!R120-Simulator!$L$18)^2*IF(Profiles_140!R120&gt;Simulator!$L$18,1+Model_Formula!$N$20,1)</x:f>
        <x:v>2500</x:v>
      </x:c>
      <x:c r="N124" s="66" t="n">
        <x:f>Model_Formula!$M$21*(Profiles_140!S120-Simulator!$L$19)^2*IF(Profiles_140!S120&gt;Simulator!$L$19,1+Model_Formula!$N$21,1)</x:f>
        <x:v>0</x:v>
      </x:c>
      <x:c r="O124" s="66" t="n">
        <x:f>Model_Formula!$M$22*(Profiles_140!T120-Simulator!$L$20)^2*IF(Profiles_140!T120&gt;Simulator!$L$20,1+Model_Formula!$N$22,1)</x:f>
        <x:v>625</x:v>
      </x:c>
      <x:c r="P124" s="66" t="n">
        <x:f>Model_Formula!$M$23*(Profiles_140!U120-Simulator!$L$21)^2*IF(Profiles_140!U120&gt;Simulator!$L$21,1+Model_Formula!$N$23,1)</x:f>
        <x:v>720</x:v>
      </x:c>
      <x:c r="Q124" s="66" t="n">
        <x:f>Model_Formula!$M$24*(Profiles_140!V120-Simulator!$L$22)^2*IF(Profiles_140!V120&gt;Simulator!$L$22,1+Model_Formula!$N$24,1)</x:f>
        <x:v>250</x:v>
      </x:c>
      <x:c r="R124" s="66" t="n">
        <x:f>Model_Formula!$M$25*(Profiles_140!W120-Simulator!$L$23)^2*IF(Profiles_140!W120&gt;Simulator!$L$23,1+Model_Formula!$N$25,1)</x:f>
        <x:v>11.25</x:v>
      </x:c>
      <x:c r="S124" s="66" t="n">
        <x:f>Model_Formula!$M$26*(Profiles_140!X120-Simulator!$L$24)^2*IF(Profiles_140!X120&gt;Simulator!$L$24,1+Model_Formula!$N$26,1)</x:f>
        <x:v>148.50000000000003</x:v>
      </x:c>
      <x:c r="T124" s="66" t="n">
        <x:f>Model_Formula!$M$27*(Profiles_140!Y120-Simulator!$L$25)^2*IF(Profiles_140!Y120&gt;Simulator!$L$25,1+Model_Formula!$N$27,1)</x:f>
        <x:v>2445.1875</x:v>
      </x:c>
      <x:c r="U124" s="60" t="n">
        <x:f>SUM(F124:T124)/SUM($F$4:$T$4)</x:f>
        <x:v>988.6147388059702</x:v>
      </x:c>
      <x:c r="V124" s="60" t="n">
        <x:f>SQRT(U124)</x:f>
        <x:v>31.44224449376937</x:v>
      </x:c>
      <x:c r="W124" s="60" t="n">
        <x:f>MAX(0,100-V124)</x:f>
        <x:v>68.55775550623063</x:v>
      </x:c>
      <x:c r="X124" s="60" t="n">
        <x:f>SUMPRODUCT(Profiles_140!K120:Y120,$F$4:$T$4)/SUM($F$4:$T$4)</x:f>
        <x:v>48.88059701492538</x:v>
      </x:c>
      <x:c r="Y124" s="60" t="n">
        <x:f>IFERROR(50+50*SUMPRODUCT(($F$3:$T$3-$X$3)*(Profiles_140!K120:Y120-X124),$F$4:$T$4)/SQRT(SUMPRODUCT(($F$3:$T$3-$X$3)^2,$F$4:$T$4)*SUMPRODUCT((Profiles_140!K120:Y120-X124)^2,$F$4:$T$4)),50)</x:f>
        <x:v>50.00000000000001</x:v>
      </x:c>
      <x:c r="Z124" s="60" t="n">
        <x:f>$Z$3</x:f>
        <x:v>3.9474596431116675e-16</x:v>
      </x:c>
      <x:c r="AA124" s="60" t="n">
        <x:f>W124*(1-Model_Formula!$F$8*Z124)+Y124*(Model_Formula!$F$8*Z124)</x:f>
        <x:v>68.55775550623063</x:v>
      </x:c>
      <x:c r="AB124" s="60" t="n">
        <x:f>SQRT(SUMPRODUCT((Profiles_140!K120:Y120-50)^2,$F$4:$T$4)/SUM($F$4:$T$4))</x:f>
        <x:v>31.015162396922296</x:v>
      </x:c>
      <x:c r="AC124" s="60" t="n">
        <x:f>MAX(-Model_Formula!$F$11,MIN(Model_Formula!$F$11,Model_Formula!$F$10*(AB124-AVERAGE($AB$6:$AB$135))))</x:f>
        <x:v>0.8451324278311229</x:v>
      </x:c>
      <x:c r="AD124" s="60" t="n">
        <x:f>MAX(0,MIN(100,AA124+AC124))</x:f>
        <x:v>69.40288793406175</x:v>
      </x:c>
      <x:c r="AE124" s="60" t="n">
        <x:f>MAX(0,MIN(1,IFERROR((MATCH(AD124,Percentile_Calibration!$F120:$DB120,1)-1)/100,0)))</x:f>
        <x:v>0.69</x:v>
      </x:c>
      <x:c r="AF124" s="62" t="n">
        <x:f>ROUND(MAX(Model_Formula!$I$9,Model_Formula!$I$5+Model_Formula!$I$6*POWER(AE124,Model_Formula!$I$7)),0)</x:f>
        <x:v>60</x:v>
      </x:c>
      <x:c r="AG124" t="n">
        <x:f>Profiles_140!AJ120</x:f>
        <x:v>0</x:v>
      </x:c>
      <x:c r="AH124" s="60" t="n">
        <x:f>Model_Formula!$I$8*(AE124*100)+(1-Model_Formula!$I$8)*AD124+AG124</x:f>
        <x:v>69.08057758681235</x:v>
      </x:c>
      <x:c r="AI124" t="n">
        <x:f>RANK.EQ(AH124,$AH$6:$AH$135,0)+COUNTIF($AH$6:AH124,AH124)-1</x:f>
        <x:v>84</x:v>
      </x:c>
    </x:row>
    <x:row r="125">
      <x:c r="A125" t="str">
        <x:f>Profiles_140!A121</x:f>
        <x:v>バリヤード</x:v>
      </x:c>
      <x:c r="B125" t="str">
        <x:f>Profiles_140!C121</x:f>
        <x:v>バリヤード-1</x:v>
      </x:c>
      <x:c r="C125" t="str">
        <x:f>Profiles_140!D121</x:f>
        <x:v>バリアー</x:v>
      </x:c>
      <x:c r="D125" t="str">
        <x:f>Profiles_140!B121</x:f>
        <x:v>サポート型</x:v>
      </x:c>
      <x:c r="E125" t="str">
        <x:f>Profiles_140!I121</x:f>
        <x:v>高</x:v>
      </x:c>
      <x:c r="F125" s="66" t="n">
        <x:f>Model_Formula!$M$13*(Profiles_140!K121-Simulator!$L$11)^2*IF(Profiles_140!K121&gt;Simulator!$L$11,1+Model_Formula!$N$13,1)</x:f>
        <x:v>1225</x:v>
      </x:c>
      <x:c r="G125" s="66" t="n">
        <x:f>Model_Formula!$M$14*(Profiles_140!L121-Simulator!$L$12)^2*IF(Profiles_140!L121&gt;Simulator!$L$12,1+Model_Formula!$N$14,1)</x:f>
        <x:v>105</x:v>
      </x:c>
      <x:c r="H125" s="66" t="n">
        <x:f>Model_Formula!$M$15*(Profiles_140!M121-Simulator!$L$13)^2*IF(Profiles_140!M121&gt;Simulator!$L$13,1+Model_Formula!$N$15,1)</x:f>
        <x:v>100</x:v>
      </x:c>
      <x:c r="I125" s="66" t="n">
        <x:f>Model_Formula!$M$16*(Profiles_140!N121-Simulator!$L$14)^2*IF(Profiles_140!N121&gt;Simulator!$L$14,1+Model_Formula!$N$16,1)</x:f>
        <x:v>400</x:v>
      </x:c>
      <x:c r="J125" s="66" t="n">
        <x:f>Model_Formula!$M$17*(Profiles_140!O121-Simulator!$L$15)^2*IF(Profiles_140!O121&gt;Simulator!$L$15,1+Model_Formula!$N$17,1)</x:f>
        <x:v>625</x:v>
      </x:c>
      <x:c r="K125" s="66" t="n">
        <x:f>Model_Formula!$M$18*(Profiles_140!P121-Simulator!$L$16)^2*IF(Profiles_140!P121&gt;Simulator!$L$16,1+Model_Formula!$N$18,1)</x:f>
        <x:v>90</x:v>
      </x:c>
      <x:c r="L125" s="66" t="n">
        <x:f>Model_Formula!$M$19*(Profiles_140!Q121-Simulator!$L$17)^2*IF(Profiles_140!Q121&gt;Simulator!$L$17,1+Model_Formula!$N$19,1)</x:f>
        <x:v>2500</x:v>
      </x:c>
      <x:c r="M125" s="66" t="n">
        <x:f>Model_Formula!$M$20*(Profiles_140!R121-Simulator!$L$18)^2*IF(Profiles_140!R121&gt;Simulator!$L$18,1+Model_Formula!$N$20,1)</x:f>
        <x:v>900</x:v>
      </x:c>
      <x:c r="N125" s="66" t="n">
        <x:f>Model_Formula!$M$21*(Profiles_140!S121-Simulator!$L$19)^2*IF(Profiles_140!S121&gt;Simulator!$L$19,1+Model_Formula!$N$21,1)</x:f>
        <x:v>0</x:v>
      </x:c>
      <x:c r="O125" s="66" t="n">
        <x:f>Model_Formula!$M$22*(Profiles_140!T121-Simulator!$L$20)^2*IF(Profiles_140!T121&gt;Simulator!$L$20,1+Model_Formula!$N$22,1)</x:f>
        <x:v>25</x:v>
      </x:c>
      <x:c r="P125" s="66" t="n">
        <x:f>Model_Formula!$M$23*(Profiles_140!U121-Simulator!$L$21)^2*IF(Profiles_140!U121&gt;Simulator!$L$21,1+Model_Formula!$N$23,1)</x:f>
        <x:v>405</x:v>
      </x:c>
      <x:c r="Q125" s="66" t="n">
        <x:f>Model_Formula!$M$24*(Profiles_140!V121-Simulator!$L$22)^2*IF(Profiles_140!V121&gt;Simulator!$L$22,1+Model_Formula!$N$24,1)</x:f>
        <x:v>160</x:v>
      </x:c>
      <x:c r="R125" s="66" t="n">
        <x:f>Model_Formula!$M$25*(Profiles_140!W121-Simulator!$L$23)^2*IF(Profiles_140!W121&gt;Simulator!$L$23,1+Model_Formula!$N$25,1)</x:f>
        <x:v>281.25</x:v>
      </x:c>
      <x:c r="S125" s="66" t="n">
        <x:f>Model_Formula!$M$26*(Profiles_140!X121-Simulator!$L$24)^2*IF(Profiles_140!X121&gt;Simulator!$L$24,1+Model_Formula!$N$26,1)</x:f>
        <x:v>334.12500000000006</x:v>
      </x:c>
      <x:c r="T125" s="66" t="n">
        <x:f>Model_Formula!$M$27*(Profiles_140!Y121-Simulator!$L$25)^2*IF(Profiles_140!Y121&gt;Simulator!$L$25,1+Model_Formula!$N$27,1)</x:f>
        <x:v>1086.75</x:v>
      </x:c>
      <x:c r="U125" s="60" t="n">
        <x:f>SUM(F125:T125)/SUM($F$4:$T$4)</x:f>
        <x:v>614.7108208955225</x:v>
      </x:c>
      <x:c r="V125" s="60" t="n">
        <x:f>SQRT(U125)</x:f>
        <x:v>24.793362436255443</x:v>
      </x:c>
      <x:c r="W125" s="60" t="n">
        <x:f>MAX(0,100-V125)</x:f>
        <x:v>75.20663756374455</x:v>
      </x:c>
      <x:c r="X125" s="60" t="n">
        <x:f>SUMPRODUCT(Profiles_140!K121:Y121,$F$4:$T$4)/SUM($F$4:$T$4)</x:f>
        <x:v>55.354477611940304</x:v>
      </x:c>
      <x:c r="Y125" s="60" t="n">
        <x:f>IFERROR(50+50*SUMPRODUCT(($F$3:$T$3-$X$3)*(Profiles_140!K121:Y121-X125),$F$4:$T$4)/SQRT(SUMPRODUCT(($F$3:$T$3-$X$3)^2,$F$4:$T$4)*SUMPRODUCT((Profiles_140!K121:Y121-X125)^2,$F$4:$T$4)),50)</x:f>
        <x:v>50.000000000000014</x:v>
      </x:c>
      <x:c r="Z125" s="60" t="n">
        <x:f>$Z$3</x:f>
        <x:v>3.9474596431116675e-16</x:v>
      </x:c>
      <x:c r="AA125" s="60" t="n">
        <x:f>W125*(1-Model_Formula!$F$8*Z125)+Y125*(Model_Formula!$F$8*Z125)</x:f>
        <x:v>75.20663756374455</x:v>
      </x:c>
      <x:c r="AB125" s="60" t="n">
        <x:f>SQRT(SUMPRODUCT((Profiles_140!K121:Y121-50)^2,$F$4:$T$4)/SUM($F$4:$T$4))</x:f>
        <x:v>24.447247502485045</x:v>
      </x:c>
      <x:c r="AC125" s="60" t="n">
        <x:f>MAX(-Model_Formula!$F$11,MIN(Model_Formula!$F$11,Model_Formula!$F$10*(AB125-AVERAGE($AB$6:$AB$135))))</x:f>
        <x:v>-2.1104292746656403</x:v>
      </x:c>
      <x:c r="AD125" s="60" t="n">
        <x:f>MAX(0,MIN(100,AA125+AC125))</x:f>
        <x:v>73.09620828907892</x:v>
      </x:c>
      <x:c r="AE125" s="60" t="n">
        <x:f>MAX(0,MIN(1,IFERROR((MATCH(AD125,Percentile_Calibration!$F121:$DB121,1)-1)/100,0)))</x:f>
        <x:v>0.87</x:v>
      </x:c>
      <x:c r="AF125" s="62" t="n">
        <x:f>ROUND(MAX(Model_Formula!$I$9,Model_Formula!$I$5+Model_Formula!$I$6*POWER(AE125,Model_Formula!$I$7)),0)</x:f>
        <x:v>78</x:v>
      </x:c>
      <x:c r="AG125" t="n">
        <x:f>Profiles_140!AJ121</x:f>
        <x:v>0</x:v>
      </x:c>
      <x:c r="AH125" s="60" t="n">
        <x:f>Model_Formula!$I$8*(AE125*100)+(1-Model_Formula!$I$8)*AD125+AG125</x:f>
        <x:v>84.21924165781579</x:v>
      </x:c>
      <x:c r="AI125" t="n">
        <x:f>RANK.EQ(AH125,$AH$6:$AH$135,0)+COUNTIF($AH$6:AH125,AH125)-1</x:f>
        <x:v>15</x:v>
      </x:c>
    </x:row>
    <x:row r="126">
      <x:c r="A126" t="str">
        <x:f>Profiles_140!A122</x:f>
        <x:v>バリヤード</x:v>
      </x:c>
      <x:c r="B126" t="str">
        <x:f>Profiles_140!C122</x:f>
        <x:v>バリヤード-2</x:v>
      </x:c>
      <x:c r="C126" t="str">
        <x:f>Profiles_140!D122</x:f>
        <x:v>パワースワップ</x:v>
      </x:c>
      <x:c r="D126" t="str">
        <x:f>Profiles_140!B122</x:f>
        <x:v>サポート型</x:v>
      </x:c>
      <x:c r="E126" t="str">
        <x:f>Profiles_140!I122</x:f>
        <x:v>高</x:v>
      </x:c>
      <x:c r="F126" s="66" t="n">
        <x:f>Model_Formula!$M$13*(Profiles_140!K122-Simulator!$L$11)^2*IF(Profiles_140!K122&gt;Simulator!$L$11,1+Model_Formula!$N$13,1)</x:f>
        <x:v>400</x:v>
      </x:c>
      <x:c r="G126" s="66" t="n">
        <x:f>Model_Formula!$M$14*(Profiles_140!L122-Simulator!$L$12)^2*IF(Profiles_140!L122&gt;Simulator!$L$12,1+Model_Formula!$N$14,1)</x:f>
        <x:v>1286.25</x:v>
      </x:c>
      <x:c r="H126" s="66" t="n">
        <x:f>Model_Formula!$M$15*(Profiles_140!M122-Simulator!$L$13)^2*IF(Profiles_140!M122&gt;Simulator!$L$13,1+Model_Formula!$N$15,1)</x:f>
        <x:v>225</x:v>
      </x:c>
      <x:c r="I126" s="66" t="n">
        <x:f>Model_Formula!$M$16*(Profiles_140!N122-Simulator!$L$14)^2*IF(Profiles_140!N122&gt;Simulator!$L$14,1+Model_Formula!$N$16,1)</x:f>
        <x:v>625</x:v>
      </x:c>
      <x:c r="J126" s="66" t="n">
        <x:f>Model_Formula!$M$17*(Profiles_140!O122-Simulator!$L$15)^2*IF(Profiles_140!O122&gt;Simulator!$L$15,1+Model_Formula!$N$17,1)</x:f>
        <x:v>225</x:v>
      </x:c>
      <x:c r="K126" s="66" t="n">
        <x:f>Model_Formula!$M$18*(Profiles_140!P122-Simulator!$L$16)^2*IF(Profiles_140!P122&gt;Simulator!$L$16,1+Model_Formula!$N$18,1)</x:f>
        <x:v>202.5</x:v>
      </x:c>
      <x:c r="L126" s="66" t="n">
        <x:f>Model_Formula!$M$19*(Profiles_140!Q122-Simulator!$L$17)^2*IF(Profiles_140!Q122&gt;Simulator!$L$17,1+Model_Formula!$N$19,1)</x:f>
        <x:v>400</x:v>
      </x:c>
      <x:c r="M126" s="66" t="n">
        <x:f>Model_Formula!$M$20*(Profiles_140!R122-Simulator!$L$18)^2*IF(Profiles_140!R122&gt;Simulator!$L$18,1+Model_Formula!$N$20,1)</x:f>
        <x:v>1600</x:v>
      </x:c>
      <x:c r="N126" s="66" t="n">
        <x:f>Model_Formula!$M$21*(Profiles_140!S122-Simulator!$L$19)^2*IF(Profiles_140!S122&gt;Simulator!$L$19,1+Model_Formula!$N$21,1)</x:f>
        <x:v>100</x:v>
      </x:c>
      <x:c r="O126" s="66" t="n">
        <x:f>Model_Formula!$M$22*(Profiles_140!T122-Simulator!$L$20)^2*IF(Profiles_140!T122&gt;Simulator!$L$20,1+Model_Formula!$N$22,1)</x:f>
        <x:v>225</x:v>
      </x:c>
      <x:c r="P126" s="66" t="n">
        <x:f>Model_Formula!$M$23*(Profiles_140!U122-Simulator!$L$21)^2*IF(Profiles_140!U122&gt;Simulator!$L$21,1+Model_Formula!$N$23,1)</x:f>
        <x:v>180</x:v>
      </x:c>
      <x:c r="Q126" s="66" t="n">
        <x:f>Model_Formula!$M$24*(Profiles_140!V122-Simulator!$L$22)^2*IF(Profiles_140!V122&gt;Simulator!$L$22,1+Model_Formula!$N$24,1)</x:f>
        <x:v>40</x:v>
      </x:c>
      <x:c r="R126" s="66" t="n">
        <x:f>Model_Formula!$M$25*(Profiles_140!W122-Simulator!$L$23)^2*IF(Profiles_140!W122&gt;Simulator!$L$23,1+Model_Formula!$N$25,1)</x:f>
        <x:v>101.25</x:v>
      </x:c>
      <x:c r="S126" s="66" t="n">
        <x:f>Model_Formula!$M$26*(Profiles_140!X122-Simulator!$L$24)^2*IF(Profiles_140!X122&gt;Simulator!$L$24,1+Model_Formula!$N$26,1)</x:f>
        <x:v>594.0000000000001</x:v>
      </x:c>
      <x:c r="T126" s="66" t="n">
        <x:f>Model_Formula!$M$27*(Profiles_140!Y122-Simulator!$L$25)^2*IF(Profiles_140!Y122&gt;Simulator!$L$25,1+Model_Formula!$N$27,1)</x:f>
        <x:v>482.99999999999994</x:v>
      </x:c>
      <x:c r="U126" s="60" t="n">
        <x:f>SUM(F126:T126)/SUM($F$4:$T$4)</x:f>
        <x:v>499.0298507462687</x:v>
      </x:c>
      <x:c r="V126" s="60" t="n">
        <x:f>SQRT(U126)</x:f>
        <x:v>22.338976045160816</x:v>
      </x:c>
      <x:c r="W126" s="60" t="n">
        <x:f>MAX(0,100-V126)</x:f>
        <x:v>77.66102395483918</x:v>
      </x:c>
      <x:c r="X126" s="60" t="n">
        <x:f>SUMPRODUCT(Profiles_140!K122:Y122,$F$4:$T$4)/SUM($F$4:$T$4)</x:f>
        <x:v>49.25373134328359</x:v>
      </x:c>
      <x:c r="Y126" s="60" t="n">
        <x:f>IFERROR(50+50*SUMPRODUCT(($F$3:$T$3-$X$3)*(Profiles_140!K122:Y122-X126),$F$4:$T$4)/SQRT(SUMPRODUCT(($F$3:$T$3-$X$3)^2,$F$4:$T$4)*SUMPRODUCT((Profiles_140!K122:Y122-X126)^2,$F$4:$T$4)),50)</x:f>
        <x:v>50.00000000000002</x:v>
      </x:c>
      <x:c r="Z126" s="60" t="n">
        <x:f>$Z$3</x:f>
        <x:v>3.9474596431116675e-16</x:v>
      </x:c>
      <x:c r="AA126" s="60" t="n">
        <x:f>W126*(1-Model_Formula!$F$8*Z126)+Y126*(Model_Formula!$F$8*Z126)</x:f>
        <x:v>77.66102395483918</x:v>
      </x:c>
      <x:c r="AB126" s="60" t="n">
        <x:f>SQRT(SUMPRODUCT((Profiles_140!K122:Y122-50)^2,$F$4:$T$4)/SUM($F$4:$T$4))</x:f>
        <x:v>21.97352545440814</x:v>
      </x:c>
      <x:c r="AC126" s="60" t="n">
        <x:f>MAX(-Model_Formula!$F$11,MIN(Model_Formula!$F$11,Model_Formula!$F$10*(AB126-AVERAGE($AB$6:$AB$135))))</x:f>
        <x:v>-3.2236041963002475</x:v>
      </x:c>
      <x:c r="AD126" s="60" t="n">
        <x:f>MAX(0,MIN(100,AA126+AC126))</x:f>
        <x:v>74.43741975853894</x:v>
      </x:c>
      <x:c r="AE126" s="60" t="n">
        <x:f>MAX(0,MIN(1,IFERROR((MATCH(AD126,Percentile_Calibration!$F122:$DB122,1)-1)/100,0)))</x:f>
        <x:v>0.76</x:v>
      </x:c>
      <x:c r="AF126" s="62" t="n">
        <x:f>ROUND(MAX(Model_Formula!$I$9,Model_Formula!$I$5+Model_Formula!$I$6*POWER(AE126,Model_Formula!$I$7)),0)</x:f>
        <x:v>66</x:v>
      </x:c>
      <x:c r="AG126" t="n">
        <x:f>Profiles_140!AJ122</x:f>
        <x:v>0</x:v>
      </x:c>
      <x:c r="AH126" s="60" t="n">
        <x:f>Model_Formula!$I$8*(AE126*100)+(1-Model_Formula!$I$8)*AD126+AG126</x:f>
        <x:v>75.68748395170779</x:v>
      </x:c>
      <x:c r="AI126" t="n">
        <x:f>RANK.EQ(AH126,$AH$6:$AH$135,0)+COUNTIF($AH$6:AH126,AH126)-1</x:f>
        <x:v>49</x:v>
      </x:c>
    </x:row>
    <x:row r="127">
      <x:c r="A127" t="str">
        <x:f>Profiles_140!A123</x:f>
        <x:v>ピクシー</x:v>
      </x:c>
      <x:c r="B127" t="str">
        <x:f>Profiles_140!C123</x:f>
        <x:v>ピクシー-1</x:v>
      </x:c>
      <x:c r="C127" t="str">
        <x:f>Profiles_140!D123</x:f>
        <x:v>共通</x:v>
      </x:c>
      <x:c r="D127" t="str">
        <x:f>Profiles_140!B123</x:f>
        <x:v>サポート型</x:v>
      </x:c>
      <x:c r="E127" t="str">
        <x:f>Profiles_140!I123</x:f>
        <x:v>高</x:v>
      </x:c>
      <x:c r="F127" s="66" t="n">
        <x:f>Model_Formula!$M$13*(Profiles_140!K123-Simulator!$L$11)^2*IF(Profiles_140!K123&gt;Simulator!$L$11,1+Model_Formula!$N$13,1)</x:f>
        <x:v>900</x:v>
      </x:c>
      <x:c r="G127" s="66" t="n">
        <x:f>Model_Formula!$M$14*(Profiles_140!L123-Simulator!$L$12)^2*IF(Profiles_140!L123&gt;Simulator!$L$12,1+Model_Formula!$N$14,1)</x:f>
        <x:v>2625</x:v>
      </x:c>
      <x:c r="H127" s="66" t="n">
        <x:f>Model_Formula!$M$15*(Profiles_140!M123-Simulator!$L$13)^2*IF(Profiles_140!M123&gt;Simulator!$L$13,1+Model_Formula!$N$15,1)</x:f>
        <x:v>2500</x:v>
      </x:c>
      <x:c r="I127" s="66" t="n">
        <x:f>Model_Formula!$M$16*(Profiles_140!N123-Simulator!$L$14)^2*IF(Profiles_140!N123&gt;Simulator!$L$14,1+Model_Formula!$N$16,1)</x:f>
        <x:v>1225</x:v>
      </x:c>
      <x:c r="J127" s="66" t="n">
        <x:f>Model_Formula!$M$17*(Profiles_140!O123-Simulator!$L$15)^2*IF(Profiles_140!O123&gt;Simulator!$L$15,1+Model_Formula!$N$17,1)</x:f>
        <x:v>225</x:v>
      </x:c>
      <x:c r="K127" s="66" t="n">
        <x:f>Model_Formula!$M$18*(Profiles_140!P123-Simulator!$L$16)^2*IF(Profiles_140!P123&gt;Simulator!$L$16,1+Model_Formula!$N$18,1)</x:f>
        <x:v>22.5</x:v>
      </x:c>
      <x:c r="L127" s="66" t="n">
        <x:f>Model_Formula!$M$19*(Profiles_140!Q123-Simulator!$L$17)^2*IF(Profiles_140!Q123&gt;Simulator!$L$17,1+Model_Formula!$N$19,1)</x:f>
        <x:v>100</x:v>
      </x:c>
      <x:c r="M127" s="66" t="n">
        <x:f>Model_Formula!$M$20*(Profiles_140!R123-Simulator!$L$18)^2*IF(Profiles_140!R123&gt;Simulator!$L$18,1+Model_Formula!$N$20,1)</x:f>
        <x:v>2500</x:v>
      </x:c>
      <x:c r="N127" s="66" t="n">
        <x:f>Model_Formula!$M$21*(Profiles_140!S123-Simulator!$L$19)^2*IF(Profiles_140!S123&gt;Simulator!$L$19,1+Model_Formula!$N$21,1)</x:f>
        <x:v>400</x:v>
      </x:c>
      <x:c r="O127" s="66" t="n">
        <x:f>Model_Formula!$M$22*(Profiles_140!T123-Simulator!$L$20)^2*IF(Profiles_140!T123&gt;Simulator!$L$20,1+Model_Formula!$N$22,1)</x:f>
        <x:v>2025</x:v>
      </x:c>
      <x:c r="P127" s="66" t="n">
        <x:f>Model_Formula!$M$23*(Profiles_140!U123-Simulator!$L$21)^2*IF(Profiles_140!U123&gt;Simulator!$L$21,1+Model_Formula!$N$23,1)</x:f>
        <x:v>1125</x:v>
      </x:c>
      <x:c r="Q127" s="66" t="n">
        <x:f>Model_Formula!$M$24*(Profiles_140!V123-Simulator!$L$22)^2*IF(Profiles_140!V123&gt;Simulator!$L$22,1+Model_Formula!$N$24,1)</x:f>
        <x:v>490</x:v>
      </x:c>
      <x:c r="R127" s="66" t="n">
        <x:f>Model_Formula!$M$25*(Profiles_140!W123-Simulator!$L$23)^2*IF(Profiles_140!W123&gt;Simulator!$L$23,1+Model_Formula!$N$25,1)</x:f>
        <x:v>281.25</x:v>
      </x:c>
      <x:c r="S127" s="66" t="n">
        <x:f>Model_Formula!$M$26*(Profiles_140!X123-Simulator!$L$24)^2*IF(Profiles_140!X123&gt;Simulator!$L$24,1+Model_Formula!$N$26,1)</x:f>
        <x:v>0</x:v>
      </x:c>
      <x:c r="T127" s="66" t="n">
        <x:f>Model_Formula!$M$27*(Profiles_140!Y123-Simulator!$L$25)^2*IF(Profiles_140!Y123&gt;Simulator!$L$25,1+Model_Formula!$N$27,1)</x:f>
        <x:v>2445.1875</x:v>
      </x:c>
      <x:c r="U127" s="60" t="n">
        <x:f>SUM(F127:T127)/SUM($F$4:$T$4)</x:f>
        <x:v>1258.5027985074628</x:v>
      </x:c>
      <x:c r="V127" s="60" t="n">
        <x:f>SQRT(U127)</x:f>
        <x:v>35.47538299310471</x:v>
      </x:c>
      <x:c r="W127" s="60" t="n">
        <x:f>MAX(0,100-V127)</x:f>
        <x:v>64.52461700689528</x:v>
      </x:c>
      <x:c r="X127" s="60" t="n">
        <x:f>SUMPRODUCT(Profiles_140!K123:Y123,$F$4:$T$4)/SUM($F$4:$T$4)</x:f>
        <x:v>43.768656716417915</x:v>
      </x:c>
      <x:c r="Y127" s="60" t="n">
        <x:f>IFERROR(50+50*SUMPRODUCT(($F$3:$T$3-$X$3)*(Profiles_140!K123:Y123-X127),$F$4:$T$4)/SQRT(SUMPRODUCT(($F$3:$T$3-$X$3)^2,$F$4:$T$4)*SUMPRODUCT((Profiles_140!K123:Y123-X127)^2,$F$4:$T$4)),50)</x:f>
        <x:v>50.00000000000001</x:v>
      </x:c>
      <x:c r="Z127" s="60" t="n">
        <x:f>$Z$3</x:f>
        <x:v>3.9474596431116675e-16</x:v>
      </x:c>
      <x:c r="AA127" s="60" t="n">
        <x:f>W127*(1-Model_Formula!$F$8*Z127)+Y127*(Model_Formula!$F$8*Z127)</x:f>
        <x:v>64.52461700689528</x:v>
      </x:c>
      <x:c r="AB127" s="60" t="n">
        <x:f>SQRT(SUMPRODUCT((Profiles_140!K123:Y123-50)^2,$F$4:$T$4)/SUM($F$4:$T$4))</x:f>
        <x:v>35.13831943245598</x:v>
      </x:c>
      <x:c r="AC127" s="60" t="n">
        <x:f>MAX(-Model_Formula!$F$11,MIN(Model_Formula!$F$11,Model_Formula!$F$10*(AB127-AVERAGE($AB$6:$AB$135))))</x:f>
        <x:v>2.7005530938212803</x:v>
      </x:c>
      <x:c r="AD127" s="60" t="n">
        <x:f>MAX(0,MIN(100,AA127+AC127))</x:f>
        <x:v>67.22517010071657</x:v>
      </x:c>
      <x:c r="AE127" s="60" t="n">
        <x:f>MAX(0,MIN(1,IFERROR((MATCH(AD127,Percentile_Calibration!$F123:$DB123,1)-1)/100,0)))</x:f>
        <x:v>0.63</x:v>
      </x:c>
      <x:c r="AF127" s="62" t="n">
        <x:f>ROUND(MAX(Model_Formula!$I$9,Model_Formula!$I$5+Model_Formula!$I$6*POWER(AE127,Model_Formula!$I$7)),0)</x:f>
        <x:v>56</x:v>
      </x:c>
      <x:c r="AG127" t="n">
        <x:f>Profiles_140!AJ123</x:f>
        <x:v>0</x:v>
      </x:c>
      <x:c r="AH127" s="60" t="n">
        <x:f>Model_Formula!$I$8*(AE127*100)+(1-Model_Formula!$I$8)*AD127+AG127</x:f>
        <x:v>63.845034020143316</x:v>
      </x:c>
      <x:c r="AI127" t="n">
        <x:f>RANK.EQ(AH127,$AH$6:$AH$135,0)+COUNTIF($AH$6:AH127,AH127)-1</x:f>
        <x:v>122</x:v>
      </x:c>
    </x:row>
    <x:row r="128">
      <x:c r="A128" t="str">
        <x:f>Profiles_140!A124</x:f>
        <x:v>フーパ</x:v>
      </x:c>
      <x:c r="B128" t="str">
        <x:f>Profiles_140!C124</x:f>
        <x:v>フーパ-1</x:v>
      </x:c>
      <x:c r="C128" t="str">
        <x:f>Profiles_140!D124</x:f>
        <x:v>いじげんホール</x:v>
      </x:c>
      <x:c r="D128" t="str">
        <x:f>Profiles_140!B124</x:f>
        <x:v>サポート型</x:v>
      </x:c>
      <x:c r="E128" t="str">
        <x:f>Profiles_140!I124</x:f>
        <x:v>高</x:v>
      </x:c>
      <x:c r="F128" s="66" t="n">
        <x:f>Model_Formula!$M$13*(Profiles_140!K124-Simulator!$L$11)^2*IF(Profiles_140!K124&gt;Simulator!$L$11,1+Model_Formula!$N$13,1)</x:f>
        <x:v>1600</x:v>
      </x:c>
      <x:c r="G128" s="66" t="n">
        <x:f>Model_Formula!$M$14*(Profiles_140!L124-Simulator!$L$12)^2*IF(Profiles_140!L124&gt;Simulator!$L$12,1+Model_Formula!$N$14,1)</x:f>
        <x:v>2625</x:v>
      </x:c>
      <x:c r="H128" s="66" t="n">
        <x:f>Model_Formula!$M$15*(Profiles_140!M124-Simulator!$L$13)^2*IF(Profiles_140!M124&gt;Simulator!$L$13,1+Model_Formula!$N$15,1)</x:f>
        <x:v>1225</x:v>
      </x:c>
      <x:c r="I128" s="66" t="n">
        <x:f>Model_Formula!$M$16*(Profiles_140!N124-Simulator!$L$14)^2*IF(Profiles_140!N124&gt;Simulator!$L$14,1+Model_Formula!$N$16,1)</x:f>
        <x:v>1225</x:v>
      </x:c>
      <x:c r="J128" s="66" t="n">
        <x:f>Model_Formula!$M$17*(Profiles_140!O124-Simulator!$L$15)^2*IF(Profiles_140!O124&gt;Simulator!$L$15,1+Model_Formula!$N$17,1)</x:f>
        <x:v>625</x:v>
      </x:c>
      <x:c r="K128" s="66" t="n">
        <x:f>Model_Formula!$M$18*(Profiles_140!P124-Simulator!$L$16)^2*IF(Profiles_140!P124&gt;Simulator!$L$16,1+Model_Formula!$N$18,1)</x:f>
        <x:v>22.5</x:v>
      </x:c>
      <x:c r="L128" s="66" t="n">
        <x:f>Model_Formula!$M$19*(Profiles_140!Q124-Simulator!$L$17)^2*IF(Profiles_140!Q124&gt;Simulator!$L$17,1+Model_Formula!$N$19,1)</x:f>
        <x:v>25</x:v>
      </x:c>
      <x:c r="M128" s="66" t="n">
        <x:f>Model_Formula!$M$20*(Profiles_140!R124-Simulator!$L$18)^2*IF(Profiles_140!R124&gt;Simulator!$L$18,1+Model_Formula!$N$20,1)</x:f>
        <x:v>2500</x:v>
      </x:c>
      <x:c r="N128" s="66" t="n">
        <x:f>Model_Formula!$M$21*(Profiles_140!S124-Simulator!$L$19)^2*IF(Profiles_140!S124&gt;Simulator!$L$19,1+Model_Formula!$N$21,1)</x:f>
        <x:v>2500</x:v>
      </x:c>
      <x:c r="O128" s="66" t="n">
        <x:f>Model_Formula!$M$22*(Profiles_140!T124-Simulator!$L$20)^2*IF(Profiles_140!T124&gt;Simulator!$L$20,1+Model_Formula!$N$22,1)</x:f>
        <x:v>625</x:v>
      </x:c>
      <x:c r="P128" s="66" t="n">
        <x:f>Model_Formula!$M$23*(Profiles_140!U124-Simulator!$L$21)^2*IF(Profiles_140!U124&gt;Simulator!$L$21,1+Model_Formula!$N$23,1)</x:f>
        <x:v>1125</x:v>
      </x:c>
      <x:c r="Q128" s="66" t="n">
        <x:f>Model_Formula!$M$24*(Profiles_140!V124-Simulator!$L$22)^2*IF(Profiles_140!V124&gt;Simulator!$L$22,1+Model_Formula!$N$24,1)</x:f>
        <x:v>640</x:v>
      </x:c>
      <x:c r="R128" s="66" t="n">
        <x:f>Model_Formula!$M$25*(Profiles_140!W124-Simulator!$L$23)^2*IF(Profiles_140!W124&gt;Simulator!$L$23,1+Model_Formula!$N$25,1)</x:f>
        <x:v>1125</x:v>
      </x:c>
      <x:c r="S128" s="66" t="n">
        <x:f>Model_Formula!$M$26*(Profiles_140!X124-Simulator!$L$24)^2*IF(Profiles_140!X124&gt;Simulator!$L$24,1+Model_Formula!$N$26,1)</x:f>
        <x:v>148.50000000000003</x:v>
      </x:c>
      <x:c r="T128" s="66" t="n">
        <x:f>Model_Formula!$M$27*(Profiles_140!Y124-Simulator!$L$25)^2*IF(Profiles_140!Y124&gt;Simulator!$L$25,1+Model_Formula!$N$27,1)</x:f>
        <x:v>3018.7499999999995</x:v>
      </x:c>
      <x:c r="U128" s="60" t="n">
        <x:f>SUM(F128:T128)/SUM($F$4:$T$4)</x:f>
        <x:v>1420.1305970149256</x:v>
      </x:c>
      <x:c r="V128" s="60" t="n">
        <x:f>SQRT(U128)</x:f>
        <x:v>37.68462016545909</x:v>
      </x:c>
      <x:c r="W128" s="60" t="n">
        <x:f>MAX(0,100-V128)</x:f>
        <x:v>62.31537983454091</x:v>
      </x:c>
      <x:c r="X128" s="60" t="n">
        <x:f>SUMPRODUCT(Profiles_140!K124:Y124,$F$4:$T$4)/SUM($F$4:$T$4)</x:f>
        <x:v>49.66417910447762</x:v>
      </x:c>
      <x:c r="Y128" s="60" t="n">
        <x:f>IFERROR(50+50*SUMPRODUCT(($F$3:$T$3-$X$3)*(Profiles_140!K124:Y124-X128),$F$4:$T$4)/SQRT(SUMPRODUCT(($F$3:$T$3-$X$3)^2,$F$4:$T$4)*SUMPRODUCT((Profiles_140!K124:Y124-X128)^2,$F$4:$T$4)),50)</x:f>
        <x:v>50.00000000000001</x:v>
      </x:c>
      <x:c r="Z128" s="60" t="n">
        <x:f>$Z$3</x:f>
        <x:v>3.9474596431116675e-16</x:v>
      </x:c>
      <x:c r="AA128" s="60" t="n">
        <x:f>W128*(1-Model_Formula!$F$8*Z128)+Y128*(Model_Formula!$F$8*Z128)</x:f>
        <x:v>62.31537983454091</x:v>
      </x:c>
      <x:c r="AB128" s="60" t="n">
        <x:f>SQRT(SUMPRODUCT((Profiles_140!K124:Y124-50)^2,$F$4:$T$4)/SUM($F$4:$T$4))</x:f>
        <x:v>37.25416935496426</x:v>
      </x:c>
      <x:c r="AC128" s="60" t="n">
        <x:f>MAX(-Model_Formula!$F$11,MIN(Model_Formula!$F$11,Model_Formula!$F$10*(AB128-AVERAGE($AB$6:$AB$135))))</x:f>
        <x:v>3.6526855589500076</x:v>
      </x:c>
      <x:c r="AD128" s="60" t="n">
        <x:f>MAX(0,MIN(100,AA128+AC128))</x:f>
        <x:v>65.96806539349092</x:v>
      </x:c>
      <x:c r="AE128" s="60" t="n">
        <x:f>MAX(0,MIN(1,IFERROR((MATCH(AD128,Percentile_Calibration!$F124:$DB124,1)-1)/100,0)))</x:f>
        <x:v>0.71</x:v>
      </x:c>
      <x:c r="AF128" s="62" t="n">
        <x:f>ROUND(MAX(Model_Formula!$I$9,Model_Formula!$I$5+Model_Formula!$I$6*POWER(AE128,Model_Formula!$I$7)),0)</x:f>
        <x:v>62</x:v>
      </x:c>
      <x:c r="AG128" t="n">
        <x:f>Profiles_140!AJ124</x:f>
        <x:v>0</x:v>
      </x:c>
      <x:c r="AH128" s="60" t="n">
        <x:f>Model_Formula!$I$8*(AE128*100)+(1-Model_Formula!$I$8)*AD128+AG128</x:f>
        <x:v>69.99361307869819</x:v>
      </x:c>
      <x:c r="AI128" t="n">
        <x:f>RANK.EQ(AH128,$AH$6:$AH$135,0)+COUNTIF($AH$6:AH128,AH128)-1</x:f>
        <x:v>77</x:v>
      </x:c>
    </x:row>
    <x:row r="129">
      <x:c r="A129" t="str">
        <x:f>Profiles_140!A125</x:f>
        <x:v>フーパ</x:v>
      </x:c>
      <x:c r="B129" t="str">
        <x:f>Profiles_140!C125</x:f>
        <x:v>フーパ-2</x:v>
      </x:c>
      <x:c r="C129" t="str">
        <x:f>Profiles_140!D125</x:f>
        <x:v>トリック</x:v>
      </x:c>
      <x:c r="D129" t="str">
        <x:f>Profiles_140!B125</x:f>
        <x:v>サポート型</x:v>
      </x:c>
      <x:c r="E129" t="str">
        <x:f>Profiles_140!I125</x:f>
        <x:v>高</x:v>
      </x:c>
      <x:c r="F129" s="66" t="n">
        <x:f>Model_Formula!$M$13*(Profiles_140!K125-Simulator!$L$11)^2*IF(Profiles_140!K125&gt;Simulator!$L$11,1+Model_Formula!$N$13,1)</x:f>
        <x:v>400</x:v>
      </x:c>
      <x:c r="G129" s="66" t="n">
        <x:f>Model_Formula!$M$14*(Profiles_140!L125-Simulator!$L$12)^2*IF(Profiles_140!L125&gt;Simulator!$L$12,1+Model_Formula!$N$14,1)</x:f>
        <x:v>656.25</x:v>
      </x:c>
      <x:c r="H129" s="66" t="n">
        <x:f>Model_Formula!$M$15*(Profiles_140!M125-Simulator!$L$13)^2*IF(Profiles_140!M125&gt;Simulator!$L$13,1+Model_Formula!$N$15,1)</x:f>
        <x:v>900</x:v>
      </x:c>
      <x:c r="I129" s="66" t="n">
        <x:f>Model_Formula!$M$16*(Profiles_140!N125-Simulator!$L$14)^2*IF(Profiles_140!N125&gt;Simulator!$L$14,1+Model_Formula!$N$16,1)</x:f>
        <x:v>1225</x:v>
      </x:c>
      <x:c r="J129" s="66" t="n">
        <x:f>Model_Formula!$M$17*(Profiles_140!O125-Simulator!$L$15)^2*IF(Profiles_140!O125&gt;Simulator!$L$15,1+Model_Formula!$N$17,1)</x:f>
        <x:v>0</x:v>
      </x:c>
      <x:c r="K129" s="66" t="n">
        <x:f>Model_Formula!$M$18*(Profiles_140!P125-Simulator!$L$16)^2*IF(Profiles_140!P125&gt;Simulator!$L$16,1+Model_Formula!$N$18,1)</x:f>
        <x:v>22.5</x:v>
      </x:c>
      <x:c r="L129" s="66" t="n">
        <x:f>Model_Formula!$M$19*(Profiles_140!Q125-Simulator!$L$17)^2*IF(Profiles_140!Q125&gt;Simulator!$L$17,1+Model_Formula!$N$19,1)</x:f>
        <x:v>25</x:v>
      </x:c>
      <x:c r="M129" s="66" t="n">
        <x:f>Model_Formula!$M$20*(Profiles_140!R125-Simulator!$L$18)^2*IF(Profiles_140!R125&gt;Simulator!$L$18,1+Model_Formula!$N$20,1)</x:f>
        <x:v>2500</x:v>
      </x:c>
      <x:c r="N129" s="66" t="n">
        <x:f>Model_Formula!$M$21*(Profiles_140!S125-Simulator!$L$19)^2*IF(Profiles_140!S125&gt;Simulator!$L$19,1+Model_Formula!$N$21,1)</x:f>
        <x:v>400</x:v>
      </x:c>
      <x:c r="O129" s="66" t="n">
        <x:f>Model_Formula!$M$22*(Profiles_140!T125-Simulator!$L$20)^2*IF(Profiles_140!T125&gt;Simulator!$L$20,1+Model_Formula!$N$22,1)</x:f>
        <x:v>225</x:v>
      </x:c>
      <x:c r="P129" s="66" t="n">
        <x:f>Model_Formula!$M$23*(Profiles_140!U125-Simulator!$L$21)^2*IF(Profiles_140!U125&gt;Simulator!$L$21,1+Model_Formula!$N$23,1)</x:f>
        <x:v>720</x:v>
      </x:c>
      <x:c r="Q129" s="66" t="n">
        <x:f>Model_Formula!$M$24*(Profiles_140!V125-Simulator!$L$22)^2*IF(Profiles_140!V125&gt;Simulator!$L$22,1+Model_Formula!$N$24,1)</x:f>
        <x:v>250</x:v>
      </x:c>
      <x:c r="R129" s="66" t="n">
        <x:f>Model_Formula!$M$25*(Profiles_140!W125-Simulator!$L$23)^2*IF(Profiles_140!W125&gt;Simulator!$L$23,1+Model_Formula!$N$25,1)</x:f>
        <x:v>11.25</x:v>
      </x:c>
      <x:c r="S129" s="66" t="n">
        <x:f>Model_Formula!$M$26*(Profiles_140!X125-Simulator!$L$24)^2*IF(Profiles_140!X125&gt;Simulator!$L$24,1+Model_Formula!$N$26,1)</x:f>
        <x:v>148.50000000000003</x:v>
      </x:c>
      <x:c r="T129" s="66" t="n">
        <x:f>Model_Formula!$M$27*(Profiles_140!Y125-Simulator!$L$25)^2*IF(Profiles_140!Y125&gt;Simulator!$L$25,1+Model_Formula!$N$27,1)</x:f>
        <x:v>1479.1874999999998</x:v>
      </x:c>
      <x:c r="U129" s="60" t="n">
        <x:f>SUM(F129:T129)/SUM($F$4:$T$4)</x:f>
        <x:v>668.8572761194031</x:v>
      </x:c>
      <x:c r="V129" s="60" t="n">
        <x:f>SQRT(U129)</x:f>
        <x:v>25.862275153578487</x:v>
      </x:c>
      <x:c r="W129" s="60" t="n">
        <x:f>MAX(0,100-V129)</x:f>
        <x:v>74.13772484642152</x:v>
      </x:c>
      <x:c r="X129" s="60" t="n">
        <x:f>SUMPRODUCT(Profiles_140!K125:Y125,$F$4:$T$4)/SUM($F$4:$T$4)</x:f>
        <x:v>51.62313432835821</x:v>
      </x:c>
      <x:c r="Y129" s="60" t="n">
        <x:f>IFERROR(50+50*SUMPRODUCT(($F$3:$T$3-$X$3)*(Profiles_140!K125:Y125-X129),$F$4:$T$4)/SQRT(SUMPRODUCT(($F$3:$T$3-$X$3)^2,$F$4:$T$4)*SUMPRODUCT((Profiles_140!K125:Y125-X129)^2,$F$4:$T$4)),50)</x:f>
        <x:v>50.00000000000001</x:v>
      </x:c>
      <x:c r="Z129" s="60" t="n">
        <x:f>$Z$3</x:f>
        <x:v>3.9474596431116675e-16</x:v>
      </x:c>
      <x:c r="AA129" s="60" t="n">
        <x:f>W129*(1-Model_Formula!$F$8*Z129)+Y129*(Model_Formula!$F$8*Z129)</x:f>
        <x:v>74.13772484642152</x:v>
      </x:c>
      <x:c r="AB129" s="60" t="n">
        <x:f>SQRT(SUMPRODUCT((Profiles_140!K125:Y125-50)^2,$F$4:$T$4)/SUM($F$4:$T$4))</x:f>
        <x:v>25.526179128407026</x:v>
      </x:c>
      <x:c r="AC129" s="60" t="n">
        <x:f>MAX(-Model_Formula!$F$11,MIN(Model_Formula!$F$11,Model_Formula!$F$10*(AB129-AVERAGE($AB$6:$AB$135))))</x:f>
        <x:v>-1.6249100430007486</x:v>
      </x:c>
      <x:c r="AD129" s="60" t="n">
        <x:f>MAX(0,MIN(100,AA129+AC129))</x:f>
        <x:v>72.51281480342077</x:v>
      </x:c>
      <x:c r="AE129" s="60" t="n">
        <x:f>MAX(0,MIN(1,IFERROR((MATCH(AD129,Percentile_Calibration!$F125:$DB125,1)-1)/100,0)))</x:f>
        <x:v>0.77</x:v>
      </x:c>
      <x:c r="AF129" s="62" t="n">
        <x:f>ROUND(MAX(Model_Formula!$I$9,Model_Formula!$I$5+Model_Formula!$I$6*POWER(AE129,Model_Formula!$I$7)),0)</x:f>
        <x:v>67</x:v>
      </x:c>
      <x:c r="AG129" t="n">
        <x:f>Profiles_140!AJ125</x:f>
        <x:v>0</x:v>
      </x:c>
      <x:c r="AH129" s="60" t="n">
        <x:f>Model_Formula!$I$8*(AE129*100)+(1-Model_Formula!$I$8)*AD129+AG129</x:f>
        <x:v>76.10256296068415</x:v>
      </x:c>
      <x:c r="AI129" t="n">
        <x:f>RANK.EQ(AH129,$AH$6:$AH$135,0)+COUNTIF($AH$6:AH129,AH129)-1</x:f>
        <x:v>48</x:v>
      </x:c>
    </x:row>
    <x:row r="130">
      <x:c r="A130" t="str">
        <x:f>Profiles_140!A126</x:f>
        <x:v>プクリン</x:v>
      </x:c>
      <x:c r="B130" t="str">
        <x:f>Profiles_140!C126</x:f>
        <x:v>プクリン-1</x:v>
      </x:c>
      <x:c r="C130" t="str">
        <x:f>Profiles_140!D126</x:f>
        <x:v>共通</x:v>
      </x:c>
      <x:c r="D130" t="str">
        <x:f>Profiles_140!B126</x:f>
        <x:v>サポート型</x:v>
      </x:c>
      <x:c r="E130" t="str">
        <x:f>Profiles_140!I126</x:f>
        <x:v>高</x:v>
      </x:c>
      <x:c r="F130" s="66" t="n">
        <x:f>Model_Formula!$M$13*(Profiles_140!K126-Simulator!$L$11)^2*IF(Profiles_140!K126&gt;Simulator!$L$11,1+Model_Formula!$N$13,1)</x:f>
        <x:v>25</x:v>
      </x:c>
      <x:c r="G130" s="66" t="n">
        <x:f>Model_Formula!$M$14*(Profiles_140!L126-Simulator!$L$12)^2*IF(Profiles_140!L126&gt;Simulator!$L$12,1+Model_Formula!$N$14,1)</x:f>
        <x:v>2625</x:v>
      </x:c>
      <x:c r="H130" s="66" t="n">
        <x:f>Model_Formula!$M$15*(Profiles_140!M126-Simulator!$L$13)^2*IF(Profiles_140!M126&gt;Simulator!$L$13,1+Model_Formula!$N$15,1)</x:f>
        <x:v>2500</x:v>
      </x:c>
      <x:c r="I130" s="66" t="n">
        <x:f>Model_Formula!$M$16*(Profiles_140!N126-Simulator!$L$14)^2*IF(Profiles_140!N126&gt;Simulator!$L$14,1+Model_Formula!$N$16,1)</x:f>
        <x:v>2025</x:v>
      </x:c>
      <x:c r="J130" s="66" t="n">
        <x:f>Model_Formula!$M$17*(Profiles_140!O126-Simulator!$L$15)^2*IF(Profiles_140!O126&gt;Simulator!$L$15,1+Model_Formula!$N$17,1)</x:f>
        <x:v>900</x:v>
      </x:c>
      <x:c r="K130" s="66" t="n">
        <x:f>Model_Formula!$M$18*(Profiles_140!P126-Simulator!$L$16)^2*IF(Profiles_140!P126&gt;Simulator!$L$16,1+Model_Formula!$N$18,1)</x:f>
        <x:v>90</x:v>
      </x:c>
      <x:c r="L130" s="66" t="n">
        <x:f>Model_Formula!$M$19*(Profiles_140!Q126-Simulator!$L$17)^2*IF(Profiles_140!Q126&gt;Simulator!$L$17,1+Model_Formula!$N$19,1)</x:f>
        <x:v>2500</x:v>
      </x:c>
      <x:c r="M130" s="66" t="n">
        <x:f>Model_Formula!$M$20*(Profiles_140!R126-Simulator!$L$18)^2*IF(Profiles_140!R126&gt;Simulator!$L$18,1+Model_Formula!$N$20,1)</x:f>
        <x:v>0</x:v>
      </x:c>
      <x:c r="N130" s="66" t="n">
        <x:f>Model_Formula!$M$21*(Profiles_140!S126-Simulator!$L$19)^2*IF(Profiles_140!S126&gt;Simulator!$L$19,1+Model_Formula!$N$21,1)</x:f>
        <x:v>900</x:v>
      </x:c>
      <x:c r="O130" s="66" t="n">
        <x:f>Model_Formula!$M$22*(Profiles_140!T126-Simulator!$L$20)^2*IF(Profiles_140!T126&gt;Simulator!$L$20,1+Model_Formula!$N$22,1)</x:f>
        <x:v>225</x:v>
      </x:c>
      <x:c r="P130" s="66" t="n">
        <x:f>Model_Formula!$M$23*(Profiles_140!U126-Simulator!$L$21)^2*IF(Profiles_140!U126&gt;Simulator!$L$21,1+Model_Formula!$N$23,1)</x:f>
        <x:v>1125</x:v>
      </x:c>
      <x:c r="Q130" s="66" t="n">
        <x:f>Model_Formula!$M$24*(Profiles_140!V126-Simulator!$L$22)^2*IF(Profiles_140!V126&gt;Simulator!$L$22,1+Model_Formula!$N$24,1)</x:f>
        <x:v>360</x:v>
      </x:c>
      <x:c r="R130" s="66" t="n">
        <x:f>Model_Formula!$M$25*(Profiles_140!W126-Simulator!$L$23)^2*IF(Profiles_140!W126&gt;Simulator!$L$23,1+Model_Formula!$N$25,1)</x:f>
        <x:v>405</x:v>
      </x:c>
      <x:c r="S130" s="66" t="n">
        <x:f>Model_Formula!$M$26*(Profiles_140!X126-Simulator!$L$24)^2*IF(Profiles_140!X126&gt;Simulator!$L$24,1+Model_Formula!$N$26,1)</x:f>
        <x:v>0</x:v>
      </x:c>
      <x:c r="T130" s="66" t="n">
        <x:f>Model_Formula!$M$27*(Profiles_140!Y126-Simulator!$L$25)^2*IF(Profiles_140!Y126&gt;Simulator!$L$25,1+Model_Formula!$N$27,1)</x:f>
        <x:v>1479.1874999999998</x:v>
      </x:c>
      <x:c r="U130" s="60" t="n">
        <x:f>SUM(F130:T130)/SUM($F$4:$T$4)</x:f>
        <x:v>1131.2826492537315</x:v>
      </x:c>
      <x:c r="V130" s="60" t="n">
        <x:f>SQRT(U130)</x:f>
        <x:v>33.63454547416587</x:v>
      </x:c>
      <x:c r="W130" s="60" t="n">
        <x:f>MAX(0,100-V130)</x:f>
        <x:v>66.36545452583414</x:v>
      </x:c>
      <x:c r="X130" s="60" t="n">
        <x:f>SUMPRODUCT(Profiles_140!K126:Y126,$F$4:$T$4)/SUM($F$4:$T$4)</x:f>
        <x:v>50.76492537313433</x:v>
      </x:c>
      <x:c r="Y130" s="60" t="n">
        <x:f>IFERROR(50+50*SUMPRODUCT(($F$3:$T$3-$X$3)*(Profiles_140!K126:Y126-X130),$F$4:$T$4)/SQRT(SUMPRODUCT(($F$3:$T$3-$X$3)^2,$F$4:$T$4)*SUMPRODUCT((Profiles_140!K126:Y126-X130)^2,$F$4:$T$4)),50)</x:f>
        <x:v>50.00000000000001</x:v>
      </x:c>
      <x:c r="Z130" s="60" t="n">
        <x:f>$Z$3</x:f>
        <x:v>3.9474596431116675e-16</x:v>
      </x:c>
      <x:c r="AA130" s="60" t="n">
        <x:f>W130*(1-Model_Formula!$F$8*Z130)+Y130*(Model_Formula!$F$8*Z130)</x:f>
        <x:v>66.36545452583414</x:v>
      </x:c>
      <x:c r="AB130" s="60" t="n">
        <x:f>SQRT(SUMPRODUCT((Profiles_140!K126:Y126-50)^2,$F$4:$T$4)/SUM($F$4:$T$4))</x:f>
        <x:v>33.41981939445827</x:v>
      </x:c>
      <x:c r="AC130" s="60" t="n">
        <x:f>MAX(-Model_Formula!$F$11,MIN(Model_Formula!$F$11,Model_Formula!$F$10*(AB130-AVERAGE($AB$6:$AB$135))))</x:f>
        <x:v>1.9272280767223122</x:v>
      </x:c>
      <x:c r="AD130" s="60" t="n">
        <x:f>MAX(0,MIN(100,AA130+AC130))</x:f>
        <x:v>68.29268260255645</x:v>
      </x:c>
      <x:c r="AE130" s="60" t="n">
        <x:f>MAX(0,MIN(1,IFERROR((MATCH(AD130,Percentile_Calibration!$F126:$DB126,1)-1)/100,0)))</x:f>
        <x:v>0.73</x:v>
      </x:c>
      <x:c r="AF130" s="62" t="n">
        <x:f>ROUND(MAX(Model_Formula!$I$9,Model_Formula!$I$5+Model_Formula!$I$6*POWER(AE130,Model_Formula!$I$7)),0)</x:f>
        <x:v>63</x:v>
      </x:c>
      <x:c r="AG130" t="n">
        <x:f>Profiles_140!AJ126</x:f>
        <x:v>0</x:v>
      </x:c>
      <x:c r="AH130" s="60" t="n">
        <x:f>Model_Formula!$I$8*(AE130*100)+(1-Model_Formula!$I$8)*AD130+AG130</x:f>
        <x:v>72.0585365205113</x:v>
      </x:c>
      <x:c r="AI130" t="n">
        <x:f>RANK.EQ(AH130,$AH$6:$AH$135,0)+COUNTIF($AH$6:AH130,AH130)-1</x:f>
        <x:v>66</x:v>
      </x:c>
    </x:row>
    <x:row r="131">
      <x:c r="A131" t="str">
        <x:f>Profiles_140!A127</x:f>
        <x:v>マホイップ</x:v>
      </x:c>
      <x:c r="B131" t="str">
        <x:f>Profiles_140!C127</x:f>
        <x:v>マホイップ-1</x:v>
      </x:c>
      <x:c r="C131" t="str">
        <x:f>Profiles_140!D127</x:f>
        <x:v>共通</x:v>
      </x:c>
      <x:c r="D131" t="str">
        <x:f>Profiles_140!B127</x:f>
        <x:v>サポート型</x:v>
      </x:c>
      <x:c r="E131" t="str">
        <x:f>Profiles_140!I127</x:f>
        <x:v>高</x:v>
      </x:c>
      <x:c r="F131" s="66" t="n">
        <x:f>Model_Formula!$M$13*(Profiles_140!K127-Simulator!$L$11)^2*IF(Profiles_140!K127&gt;Simulator!$L$11,1+Model_Formula!$N$13,1)</x:f>
        <x:v>2025</x:v>
      </x:c>
      <x:c r="G131" s="66" t="n">
        <x:f>Model_Formula!$M$14*(Profiles_140!L127-Simulator!$L$12)^2*IF(Profiles_140!L127&gt;Simulator!$L$12,1+Model_Formula!$N$14,1)</x:f>
        <x:v>2625</x:v>
      </x:c>
      <x:c r="H131" s="66" t="n">
        <x:f>Model_Formula!$M$15*(Profiles_140!M127-Simulator!$L$13)^2*IF(Profiles_140!M127&gt;Simulator!$L$13,1+Model_Formula!$N$15,1)</x:f>
        <x:v>2025</x:v>
      </x:c>
      <x:c r="I131" s="66" t="n">
        <x:f>Model_Formula!$M$16*(Profiles_140!N127-Simulator!$L$14)^2*IF(Profiles_140!N127&gt;Simulator!$L$14,1+Model_Formula!$N$16,1)</x:f>
        <x:v>2500</x:v>
      </x:c>
      <x:c r="J131" s="66" t="n">
        <x:f>Model_Formula!$M$17*(Profiles_140!O127-Simulator!$L$15)^2*IF(Profiles_140!O127&gt;Simulator!$L$15,1+Model_Formula!$N$17,1)</x:f>
        <x:v>625</x:v>
      </x:c>
      <x:c r="K131" s="66" t="n">
        <x:f>Model_Formula!$M$18*(Profiles_140!P127-Simulator!$L$16)^2*IF(Profiles_140!P127&gt;Simulator!$L$16,1+Model_Formula!$N$18,1)</x:f>
        <x:v>22.5</x:v>
      </x:c>
      <x:c r="L131" s="66" t="n">
        <x:f>Model_Formula!$M$19*(Profiles_140!Q127-Simulator!$L$17)^2*IF(Profiles_140!Q127&gt;Simulator!$L$17,1+Model_Formula!$N$19,1)</x:f>
        <x:v>225</x:v>
      </x:c>
      <x:c r="M131" s="66" t="n">
        <x:f>Model_Formula!$M$20*(Profiles_140!R127-Simulator!$L$18)^2*IF(Profiles_140!R127&gt;Simulator!$L$18,1+Model_Formula!$N$20,1)</x:f>
        <x:v>2500</x:v>
      </x:c>
      <x:c r="N131" s="66" t="n">
        <x:f>Model_Formula!$M$21*(Profiles_140!S127-Simulator!$L$19)^2*IF(Profiles_140!S127&gt;Simulator!$L$19,1+Model_Formula!$N$21,1)</x:f>
        <x:v>2025</x:v>
      </x:c>
      <x:c r="O131" s="66" t="n">
        <x:f>Model_Formula!$M$22*(Profiles_140!T127-Simulator!$L$20)^2*IF(Profiles_140!T127&gt;Simulator!$L$20,1+Model_Formula!$N$22,1)</x:f>
        <x:v>2025</x:v>
      </x:c>
      <x:c r="P131" s="66" t="n">
        <x:f>Model_Formula!$M$23*(Profiles_140!U127-Simulator!$L$21)^2*IF(Profiles_140!U127&gt;Simulator!$L$21,1+Model_Formula!$N$23,1)</x:f>
        <x:v>720</x:v>
      </x:c>
      <x:c r="Q131" s="66" t="n">
        <x:f>Model_Formula!$M$24*(Profiles_140!V127-Simulator!$L$22)^2*IF(Profiles_140!V127&gt;Simulator!$L$22,1+Model_Formula!$N$24,1)</x:f>
        <x:v>810</x:v>
      </x:c>
      <x:c r="R131" s="66" t="n">
        <x:f>Model_Formula!$M$25*(Profiles_140!W127-Simulator!$L$23)^2*IF(Profiles_140!W127&gt;Simulator!$L$23,1+Model_Formula!$N$25,1)</x:f>
        <x:v>911.25</x:v>
      </x:c>
      <x:c r="S131" s="66" t="n">
        <x:f>Model_Formula!$M$26*(Profiles_140!X127-Simulator!$L$24)^2*IF(Profiles_140!X127&gt;Simulator!$L$24,1+Model_Formula!$N$26,1)</x:f>
        <x:v>110.00000000000001</x:v>
      </x:c>
      <x:c r="T131" s="66" t="n">
        <x:f>Model_Formula!$M$27*(Profiles_140!Y127-Simulator!$L$25)^2*IF(Profiles_140!Y127&gt;Simulator!$L$25,1+Model_Formula!$N$27,1)</x:f>
        <x:v>1479.1874999999998</x:v>
      </x:c>
      <x:c r="U131" s="60" t="n">
        <x:f>SUM(F131:T131)/SUM($F$4:$T$4)</x:f>
        <x:v>1539.3983208955226</x:v>
      </x:c>
      <x:c r="V131" s="60" t="n">
        <x:f>SQRT(U131)</x:f>
        <x:v>39.23516689011941</x:v>
      </x:c>
      <x:c r="W131" s="60" t="n">
        <x:f>MAX(0,100-V131)</x:f>
        <x:v>60.76483310988059</x:v>
      </x:c>
      <x:c r="X131" s="60" t="n">
        <x:f>SUMPRODUCT(Profiles_140!K127:Y127,$F$4:$T$4)/SUM($F$4:$T$4)</x:f>
        <x:v>34.44029850746269</x:v>
      </x:c>
      <x:c r="Y131" s="60" t="n">
        <x:f>IFERROR(50+50*SUMPRODUCT(($F$3:$T$3-$X$3)*(Profiles_140!K127:Y127-X131),$F$4:$T$4)/SQRT(SUMPRODUCT(($F$3:$T$3-$X$3)^2,$F$4:$T$4)*SUMPRODUCT((Profiles_140!K127:Y127-X131)^2,$F$4:$T$4)),50)</x:f>
        <x:v>50.00000000000001</x:v>
      </x:c>
      <x:c r="Z131" s="60" t="n">
        <x:f>$Z$3</x:f>
        <x:v>3.9474596431116675e-16</x:v>
      </x:c>
      <x:c r="AA131" s="60" t="n">
        <x:f>W131*(1-Model_Formula!$F$8*Z131)+Y131*(Model_Formula!$F$8*Z131)</x:f>
        <x:v>60.76483310988059</x:v>
      </x:c>
      <x:c r="AB131" s="60" t="n">
        <x:f>SQRT(SUMPRODUCT((Profiles_140!K127:Y127-50)^2,$F$4:$T$4)/SUM($F$4:$T$4))</x:f>
        <x:v>39.05124837953328</x:v>
      </x:c>
      <x:c r="AC131" s="60" t="n">
        <x:f>MAX(-Model_Formula!$F$11,MIN(Model_Formula!$F$11,Model_Formula!$F$10*(AB131-AVERAGE($AB$6:$AB$135))))</x:f>
        <x:v>4.461371120006064</x:v>
      </x:c>
      <x:c r="AD131" s="60" t="n">
        <x:f>MAX(0,MIN(100,AA131+AC131))</x:f>
        <x:v>65.22620422988666</x:v>
      </x:c>
      <x:c r="AE131" s="60" t="n">
        <x:f>MAX(0,MIN(1,IFERROR((MATCH(AD131,Percentile_Calibration!$F127:$DB127,1)-1)/100,0)))</x:f>
        <x:v>0.61</x:v>
      </x:c>
      <x:c r="AF131" s="62" t="n">
        <x:f>ROUND(MAX(Model_Formula!$I$9,Model_Formula!$I$5+Model_Formula!$I$6*POWER(AE131,Model_Formula!$I$7)),0)</x:f>
        <x:v>55</x:v>
      </x:c>
      <x:c r="AG131" t="n">
        <x:f>Profiles_140!AJ127</x:f>
        <x:v>0</x:v>
      </x:c>
      <x:c r="AH131" s="60" t="n">
        <x:f>Model_Formula!$I$8*(AE131*100)+(1-Model_Formula!$I$8)*AD131+AG131</x:f>
        <x:v>61.84524084597733</x:v>
      </x:c>
      <x:c r="AI131" t="n">
        <x:f>RANK.EQ(AH131,$AH$6:$AH$135,0)+COUNTIF($AH$6:AH131,AH131)-1</x:f>
        <x:v>128</x:v>
      </x:c>
    </x:row>
    <x:row r="132">
      <x:c r="A132" t="str">
        <x:f>Profiles_140!A128</x:f>
        <x:v>メガニウム</x:v>
      </x:c>
      <x:c r="B132" t="str">
        <x:f>Profiles_140!C128</x:f>
        <x:v>メガニウム-1</x:v>
      </x:c>
      <x:c r="C132" t="str">
        <x:f>Profiles_140!D128</x:f>
        <x:v>共通</x:v>
      </x:c>
      <x:c r="D132" t="str">
        <x:f>Profiles_140!B128</x:f>
        <x:v>サポート型</x:v>
      </x:c>
      <x:c r="E132" t="str">
        <x:f>Profiles_140!I128</x:f>
        <x:v>中</x:v>
      </x:c>
      <x:c r="F132" s="66" t="n">
        <x:f>Model_Formula!$M$13*(Profiles_140!K128-Simulator!$L$11)^2*IF(Profiles_140!K128&gt;Simulator!$L$11,1+Model_Formula!$N$13,1)</x:f>
        <x:v>900</x:v>
      </x:c>
      <x:c r="G132" s="66" t="n">
        <x:f>Model_Formula!$M$14*(Profiles_140!L128-Simulator!$L$12)^2*IF(Profiles_140!L128&gt;Simulator!$L$12,1+Model_Formula!$N$14,1)</x:f>
        <x:v>2625</x:v>
      </x:c>
      <x:c r="H132" s="66" t="n">
        <x:f>Model_Formula!$M$15*(Profiles_140!M128-Simulator!$L$13)^2*IF(Profiles_140!M128&gt;Simulator!$L$13,1+Model_Formula!$N$15,1)</x:f>
        <x:v>2025</x:v>
      </x:c>
      <x:c r="I132" s="66" t="n">
        <x:f>Model_Formula!$M$16*(Profiles_140!N128-Simulator!$L$14)^2*IF(Profiles_140!N128&gt;Simulator!$L$14,1+Model_Formula!$N$16,1)</x:f>
        <x:v>1225</x:v>
      </x:c>
      <x:c r="J132" s="66" t="n">
        <x:f>Model_Formula!$M$17*(Profiles_140!O128-Simulator!$L$15)^2*IF(Profiles_140!O128&gt;Simulator!$L$15,1+Model_Formula!$N$17,1)</x:f>
        <x:v>225</x:v>
      </x:c>
      <x:c r="K132" s="66" t="n">
        <x:f>Model_Formula!$M$18*(Profiles_140!P128-Simulator!$L$16)^2*IF(Profiles_140!P128&gt;Simulator!$L$16,1+Model_Formula!$N$18,1)</x:f>
        <x:v>360</x:v>
      </x:c>
      <x:c r="L132" s="66" t="n">
        <x:f>Model_Formula!$M$19*(Profiles_140!Q128-Simulator!$L$17)^2*IF(Profiles_140!Q128&gt;Simulator!$L$17,1+Model_Formula!$N$19,1)</x:f>
        <x:v>225</x:v>
      </x:c>
      <x:c r="M132" s="66" t="n">
        <x:f>Model_Formula!$M$20*(Profiles_140!R128-Simulator!$L$18)^2*IF(Profiles_140!R128&gt;Simulator!$L$18,1+Model_Formula!$N$20,1)</x:f>
        <x:v>2500</x:v>
      </x:c>
      <x:c r="N132" s="66" t="n">
        <x:f>Model_Formula!$M$21*(Profiles_140!S128-Simulator!$L$19)^2*IF(Profiles_140!S128&gt;Simulator!$L$19,1+Model_Formula!$N$21,1)</x:f>
        <x:v>225</x:v>
      </x:c>
      <x:c r="O132" s="66" t="n">
        <x:f>Model_Formula!$M$22*(Profiles_140!T128-Simulator!$L$20)^2*IF(Profiles_140!T128&gt;Simulator!$L$20,1+Model_Formula!$N$22,1)</x:f>
        <x:v>1225</x:v>
      </x:c>
      <x:c r="P132" s="66" t="n">
        <x:f>Model_Formula!$M$23*(Profiles_140!U128-Simulator!$L$21)^2*IF(Profiles_140!U128&gt;Simulator!$L$21,1+Model_Formula!$N$23,1)</x:f>
        <x:v>720</x:v>
      </x:c>
      <x:c r="Q132" s="66" t="n">
        <x:f>Model_Formula!$M$24*(Profiles_140!V128-Simulator!$L$22)^2*IF(Profiles_140!V128&gt;Simulator!$L$22,1+Model_Formula!$N$24,1)</x:f>
        <x:v>490</x:v>
      </x:c>
      <x:c r="R132" s="66" t="n">
        <x:f>Model_Formula!$M$25*(Profiles_140!W128-Simulator!$L$23)^2*IF(Profiles_140!W128&gt;Simulator!$L$23,1+Model_Formula!$N$25,1)</x:f>
        <x:v>281.25</x:v>
      </x:c>
      <x:c r="S132" s="66" t="n">
        <x:f>Model_Formula!$M$26*(Profiles_140!X128-Simulator!$L$24)^2*IF(Profiles_140!X128&gt;Simulator!$L$24,1+Model_Formula!$N$26,1)</x:f>
        <x:v>27.500000000000004</x:v>
      </x:c>
      <x:c r="T132" s="66" t="n">
        <x:f>Model_Formula!$M$27*(Profiles_140!Y128-Simulator!$L$25)^2*IF(Profiles_140!Y128&gt;Simulator!$L$25,1+Model_Formula!$N$27,1)</x:f>
        <x:v>1479.1874999999998</x:v>
      </x:c>
      <x:c r="U132" s="60" t="n">
        <x:f>SUM(F132:T132)/SUM($F$4:$T$4)</x:f>
        <x:v>1084.5475746268658</x:v>
      </x:c>
      <x:c r="V132" s="60" t="n">
        <x:f>SQRT(U132)</x:f>
        <x:v>32.932469913853495</x:v>
      </x:c>
      <x:c r="W132" s="60" t="n">
        <x:f>MAX(0,100-V132)</x:f>
        <x:v>67.0675300861465</x:v>
      </x:c>
      <x:c r="X132" s="60" t="n">
        <x:f>SUMPRODUCT(Profiles_140!K128:Y128,$F$4:$T$4)/SUM($F$4:$T$4)</x:f>
        <x:v>45.03731343283582</x:v>
      </x:c>
      <x:c r="Y132" s="60" t="n">
        <x:f>IFERROR(50+50*SUMPRODUCT(($F$3:$T$3-$X$3)*(Profiles_140!K128:Y128-X132),$F$4:$T$4)/SQRT(SUMPRODUCT(($F$3:$T$3-$X$3)^2,$F$4:$T$4)*SUMPRODUCT((Profiles_140!K128:Y128-X132)^2,$F$4:$T$4)),50)</x:f>
        <x:v>50.00000000000001</x:v>
      </x:c>
      <x:c r="Z132" s="60" t="n">
        <x:f>$Z$3</x:f>
        <x:v>3.9474596431116675e-16</x:v>
      </x:c>
      <x:c r="AA132" s="60" t="n">
        <x:f>W132*(1-Model_Formula!$F$8*Z132)+Y132*(Model_Formula!$F$8*Z132)</x:f>
        <x:v>67.0675300861465</x:v>
      </x:c>
      <x:c r="AB132" s="60" t="n">
        <x:f>SQRT(SUMPRODUCT((Profiles_140!K128:Y128-50)^2,$F$4:$T$4)/SUM($F$4:$T$4))</x:f>
        <x:v>32.71313579789231</x:v>
      </x:c>
      <x:c r="AC132" s="60" t="n">
        <x:f>MAX(-Model_Formula!$F$11,MIN(Model_Formula!$F$11,Model_Formula!$F$10*(AB132-AVERAGE($AB$6:$AB$135))))</x:f>
        <x:v>1.6092204582676306</x:v>
      </x:c>
      <x:c r="AD132" s="60" t="n">
        <x:f>MAX(0,MIN(100,AA132+AC132))</x:f>
        <x:v>68.67675054441413</x:v>
      </x:c>
      <x:c r="AE132" s="60" t="n">
        <x:f>MAX(0,MIN(1,IFERROR((MATCH(AD132,Percentile_Calibration!$F128:$DB128,1)-1)/100,0)))</x:f>
        <x:v>0.65</x:v>
      </x:c>
      <x:c r="AF132" s="62" t="n">
        <x:f>ROUND(MAX(Model_Formula!$I$9,Model_Formula!$I$5+Model_Formula!$I$6*POWER(AE132,Model_Formula!$I$7)),0)</x:f>
        <x:v>57</x:v>
      </x:c>
      <x:c r="AG132" t="n">
        <x:f>Profiles_140!AJ128</x:f>
        <x:v>0</x:v>
      </x:c>
      <x:c r="AH132" s="60" t="n">
        <x:f>Model_Formula!$I$8*(AE132*100)+(1-Model_Formula!$I$8)*AD132+AG132</x:f>
        <x:v>65.73535010888283</x:v>
      </x:c>
      <x:c r="AI132" t="n">
        <x:f>RANK.EQ(AH132,$AH$6:$AH$135,0)+COUNTIF($AH$6:AH132,AH132)-1</x:f>
        <x:v>112</x:v>
      </x:c>
    </x:row>
    <x:row r="133">
      <x:c r="A133" t="str">
        <x:f>Profiles_140!A129</x:f>
        <x:v>ヤミラミ</x:v>
      </x:c>
      <x:c r="B133" t="str">
        <x:f>Profiles_140!C129</x:f>
        <x:v>ヤミラミ-1</x:v>
      </x:c>
      <x:c r="C133" t="str">
        <x:f>Profiles_140!D129</x:f>
        <x:v>共通</x:v>
      </x:c>
      <x:c r="D133" t="str">
        <x:f>Profiles_140!B129</x:f>
        <x:v>サポート型</x:v>
      </x:c>
      <x:c r="E133" t="str">
        <x:f>Profiles_140!I129</x:f>
        <x:v>高</x:v>
      </x:c>
      <x:c r="F133" s="66" t="n">
        <x:f>Model_Formula!$M$13*(Profiles_140!K129-Simulator!$L$11)^2*IF(Profiles_140!K129&gt;Simulator!$L$11,1+Model_Formula!$N$13,1)</x:f>
        <x:v>25</x:v>
      </x:c>
      <x:c r="G133" s="66" t="n">
        <x:f>Model_Formula!$M$14*(Profiles_140!L129-Simulator!$L$12)^2*IF(Profiles_140!L129&gt;Simulator!$L$12,1+Model_Formula!$N$14,1)</x:f>
        <x:v>26.25</x:v>
      </x:c>
      <x:c r="H133" s="66" t="n">
        <x:f>Model_Formula!$M$15*(Profiles_140!M129-Simulator!$L$13)^2*IF(Profiles_140!M129&gt;Simulator!$L$13,1+Model_Formula!$N$15,1)</x:f>
        <x:v>625</x:v>
      </x:c>
      <x:c r="I133" s="66" t="n">
        <x:f>Model_Formula!$M$16*(Profiles_140!N129-Simulator!$L$14)^2*IF(Profiles_140!N129&gt;Simulator!$L$14,1+Model_Formula!$N$16,1)</x:f>
        <x:v>225</x:v>
      </x:c>
      <x:c r="J133" s="66" t="n">
        <x:f>Model_Formula!$M$17*(Profiles_140!O129-Simulator!$L$15)^2*IF(Profiles_140!O129&gt;Simulator!$L$15,1+Model_Formula!$N$17,1)</x:f>
        <x:v>2025</x:v>
      </x:c>
      <x:c r="K133" s="66" t="n">
        <x:f>Model_Formula!$M$18*(Profiles_140!P129-Simulator!$L$16)^2*IF(Profiles_140!P129&gt;Simulator!$L$16,1+Model_Formula!$N$18,1)</x:f>
        <x:v>22.5</x:v>
      </x:c>
      <x:c r="L133" s="66" t="n">
        <x:f>Model_Formula!$M$19*(Profiles_140!Q129-Simulator!$L$17)^2*IF(Profiles_140!Q129&gt;Simulator!$L$17,1+Model_Formula!$N$19,1)</x:f>
        <x:v>2500</x:v>
      </x:c>
      <x:c r="M133" s="66" t="n">
        <x:f>Model_Formula!$M$20*(Profiles_140!R129-Simulator!$L$18)^2*IF(Profiles_140!R129&gt;Simulator!$L$18,1+Model_Formula!$N$20,1)</x:f>
        <x:v>225</x:v>
      </x:c>
      <x:c r="N133" s="66" t="n">
        <x:f>Model_Formula!$M$21*(Profiles_140!S129-Simulator!$L$19)^2*IF(Profiles_140!S129&gt;Simulator!$L$19,1+Model_Formula!$N$21,1)</x:f>
        <x:v>2500</x:v>
      </x:c>
      <x:c r="O133" s="66" t="n">
        <x:f>Model_Formula!$M$22*(Profiles_140!T129-Simulator!$L$20)^2*IF(Profiles_140!T129&gt;Simulator!$L$20,1+Model_Formula!$N$22,1)</x:f>
        <x:v>100</x:v>
      </x:c>
      <x:c r="P133" s="66" t="n">
        <x:f>Model_Formula!$M$23*(Profiles_140!U129-Simulator!$L$21)^2*IF(Profiles_140!U129&gt;Simulator!$L$21,1+Model_Formula!$N$23,1)</x:f>
        <x:v>911.25</x:v>
      </x:c>
      <x:c r="Q133" s="66" t="n">
        <x:f>Model_Formula!$M$24*(Profiles_140!V129-Simulator!$L$22)^2*IF(Profiles_140!V129&gt;Simulator!$L$22,1+Model_Formula!$N$24,1)</x:f>
        <x:v>250</x:v>
      </x:c>
      <x:c r="R133" s="66" t="n">
        <x:f>Model_Formula!$M$25*(Profiles_140!W129-Simulator!$L$23)^2*IF(Profiles_140!W129&gt;Simulator!$L$23,1+Model_Formula!$N$25,1)</x:f>
        <x:v>1125</x:v>
      </x:c>
      <x:c r="S133" s="66" t="n">
        <x:f>Model_Formula!$M$26*(Profiles_140!X129-Simulator!$L$24)^2*IF(Profiles_140!X129&gt;Simulator!$L$24,1+Model_Formula!$N$26,1)</x:f>
        <x:v>148.50000000000003</x:v>
      </x:c>
      <x:c r="T133" s="66" t="n">
        <x:f>Model_Formula!$M$27*(Profiles_140!Y129-Simulator!$L$25)^2*IF(Profiles_140!Y129&gt;Simulator!$L$25,1+Model_Formula!$N$27,1)</x:f>
        <x:v>1931.9999999999998</x:v>
      </x:c>
      <x:c r="U133" s="60" t="n">
        <x:f>SUM(F133:T133)/SUM($F$4:$T$4)</x:f>
        <x:v>943.3208955223881</x:v>
      </x:c>
      <x:c r="V133" s="60" t="n">
        <x:f>SQRT(U133)</x:f>
        <x:v>30.71352951912867</x:v>
      </x:c>
      <x:c r="W133" s="60" t="n">
        <x:f>MAX(0,100-V133)</x:f>
        <x:v>69.28647048087133</x:v>
      </x:c>
      <x:c r="X133" s="60" t="n">
        <x:f>SUMPRODUCT(Profiles_140!K129:Y129,$F$4:$T$4)/SUM($F$4:$T$4)</x:f>
        <x:v>52.27611940298508</x:v>
      </x:c>
      <x:c r="Y133" s="60" t="n">
        <x:f>IFERROR(50+50*SUMPRODUCT(($F$3:$T$3-$X$3)*(Profiles_140!K129:Y129-X133),$F$4:$T$4)/SQRT(SUMPRODUCT(($F$3:$T$3-$X$3)^2,$F$4:$T$4)*SUMPRODUCT((Profiles_140!K129:Y129-X133)^2,$F$4:$T$4)),50)</x:f>
        <x:v>50.00000000000001</x:v>
      </x:c>
      <x:c r="Z133" s="60" t="n">
        <x:f>$Z$3</x:f>
        <x:v>3.9474596431116675e-16</x:v>
      </x:c>
      <x:c r="AA133" s="60" t="n">
        <x:f>W133*(1-Model_Formula!$F$8*Z133)+Y133*(Model_Formula!$F$8*Z133)</x:f>
        <x:v>69.28647048087133</x:v>
      </x:c>
      <x:c r="AB133" s="60" t="n">
        <x:f>SQRT(SUMPRODUCT((Profiles_140!K129:Y129-50)^2,$F$4:$T$4)/SUM($F$4:$T$4))</x:f>
        <x:v>30.35855383651824</x:v>
      </x:c>
      <x:c r="AC133" s="60" t="n">
        <x:f>MAX(-Model_Formula!$F$11,MIN(Model_Formula!$F$11,Model_Formula!$F$10*(AB133-AVERAGE($AB$6:$AB$135))))</x:f>
        <x:v>0.5496585756492977</x:v>
      </x:c>
      <x:c r="AD133" s="60" t="n">
        <x:f>MAX(0,MIN(100,AA133+AC133))</x:f>
        <x:v>69.83612905652063</x:v>
      </x:c>
      <x:c r="AE133" s="60" t="n">
        <x:f>MAX(0,MIN(1,IFERROR((MATCH(AD133,Percentile_Calibration!$F129:$DB129,1)-1)/100,0)))</x:f>
        <x:v>0.86</x:v>
      </x:c>
      <x:c r="AF133" s="62" t="n">
        <x:f>ROUND(MAX(Model_Formula!$I$9,Model_Formula!$I$5+Model_Formula!$I$6*POWER(AE133,Model_Formula!$I$7)),0)</x:f>
        <x:v>77</x:v>
      </x:c>
      <x:c r="AG133" t="n">
        <x:f>Profiles_140!AJ129</x:f>
        <x:v>0</x:v>
      </x:c>
      <x:c r="AH133" s="60" t="n">
        <x:f>Model_Formula!$I$8*(AE133*100)+(1-Model_Formula!$I$8)*AD133+AG133</x:f>
        <x:v>82.76722581130412</x:v>
      </x:c>
      <x:c r="AI133" t="n">
        <x:f>RANK.EQ(AH133,$AH$6:$AH$135,0)+COUNTIF($AH$6:AH133,AH133)-1</x:f>
        <x:v>23</x:v>
      </x:c>
    </x:row>
    <x:row r="134">
      <x:c r="A134" t="str">
        <x:f>Profiles_140!A130</x:f>
        <x:v>ラティアス</x:v>
      </x:c>
      <x:c r="B134" t="str">
        <x:f>Profiles_140!C130</x:f>
        <x:v>ラティアス-1</x:v>
      </x:c>
      <x:c r="C134" t="str">
        <x:f>Profiles_140!D130</x:f>
        <x:v>共通</x:v>
      </x:c>
      <x:c r="D134" t="str">
        <x:f>Profiles_140!B130</x:f>
        <x:v>サポート型</x:v>
      </x:c>
      <x:c r="E134" t="str">
        <x:f>Profiles_140!I130</x:f>
        <x:v>高</x:v>
      </x:c>
      <x:c r="F134" s="66" t="n">
        <x:f>Model_Formula!$M$13*(Profiles_140!K130-Simulator!$L$11)^2*IF(Profiles_140!K130&gt;Simulator!$L$11,1+Model_Formula!$N$13,1)</x:f>
        <x:v>400</x:v>
      </x:c>
      <x:c r="G134" s="66" t="n">
        <x:f>Model_Formula!$M$14*(Profiles_140!L130-Simulator!$L$12)^2*IF(Profiles_140!L130&gt;Simulator!$L$12,1+Model_Formula!$N$14,1)</x:f>
        <x:v>1286.25</x:v>
      </x:c>
      <x:c r="H134" s="66" t="n">
        <x:f>Model_Formula!$M$15*(Profiles_140!M130-Simulator!$L$13)^2*IF(Profiles_140!M130&gt;Simulator!$L$13,1+Model_Formula!$N$15,1)</x:f>
        <x:v>225</x:v>
      </x:c>
      <x:c r="I134" s="66" t="n">
        <x:f>Model_Formula!$M$16*(Profiles_140!N130-Simulator!$L$14)^2*IF(Profiles_140!N130&gt;Simulator!$L$14,1+Model_Formula!$N$16,1)</x:f>
        <x:v>625</x:v>
      </x:c>
      <x:c r="J134" s="66" t="n">
        <x:f>Model_Formula!$M$17*(Profiles_140!O130-Simulator!$L$15)^2*IF(Profiles_140!O130&gt;Simulator!$L$15,1+Model_Formula!$N$17,1)</x:f>
        <x:v>0</x:v>
      </x:c>
      <x:c r="K134" s="66" t="n">
        <x:f>Model_Formula!$M$18*(Profiles_140!P130-Simulator!$L$16)^2*IF(Profiles_140!P130&gt;Simulator!$L$16,1+Model_Formula!$N$18,1)</x:f>
        <x:v>202.5</x:v>
      </x:c>
      <x:c r="L134" s="66" t="n">
        <x:f>Model_Formula!$M$19*(Profiles_140!Q130-Simulator!$L$17)^2*IF(Profiles_140!Q130&gt;Simulator!$L$17,1+Model_Formula!$N$19,1)</x:f>
        <x:v>100</x:v>
      </x:c>
      <x:c r="M134" s="66" t="n">
        <x:f>Model_Formula!$M$20*(Profiles_140!R130-Simulator!$L$18)^2*IF(Profiles_140!R130&gt;Simulator!$L$18,1+Model_Formula!$N$20,1)</x:f>
        <x:v>1600</x:v>
      </x:c>
      <x:c r="N134" s="66" t="n">
        <x:f>Model_Formula!$M$21*(Profiles_140!S130-Simulator!$L$19)^2*IF(Profiles_140!S130&gt;Simulator!$L$19,1+Model_Formula!$N$21,1)</x:f>
        <x:v>225</x:v>
      </x:c>
      <x:c r="O134" s="66" t="n">
        <x:f>Model_Formula!$M$22*(Profiles_140!T130-Simulator!$L$20)^2*IF(Profiles_140!T130&gt;Simulator!$L$20,1+Model_Formula!$N$22,1)</x:f>
        <x:v>0</x:v>
      </x:c>
      <x:c r="P134" s="66" t="n">
        <x:f>Model_Formula!$M$23*(Profiles_140!U130-Simulator!$L$21)^2*IF(Profiles_140!U130&gt;Simulator!$L$21,1+Model_Formula!$N$23,1)</x:f>
        <x:v>180</x:v>
      </x:c>
      <x:c r="Q134" s="66" t="n">
        <x:f>Model_Formula!$M$24*(Profiles_140!V130-Simulator!$L$22)^2*IF(Profiles_140!V130&gt;Simulator!$L$22,1+Model_Formula!$N$24,1)</x:f>
        <x:v>40</x:v>
      </x:c>
      <x:c r="R134" s="66" t="n">
        <x:f>Model_Formula!$M$25*(Profiles_140!W130-Simulator!$L$23)^2*IF(Profiles_140!W130&gt;Simulator!$L$23,1+Model_Formula!$N$25,1)</x:f>
        <x:v>101.25</x:v>
      </x:c>
      <x:c r="S134" s="66" t="n">
        <x:f>Model_Formula!$M$26*(Profiles_140!X130-Simulator!$L$24)^2*IF(Profiles_140!X130&gt;Simulator!$L$24,1+Model_Formula!$N$26,1)</x:f>
        <x:v>148.50000000000003</x:v>
      </x:c>
      <x:c r="T134" s="66" t="n">
        <x:f>Model_Formula!$M$27*(Profiles_140!Y130-Simulator!$L$25)^2*IF(Profiles_140!Y130&gt;Simulator!$L$25,1+Model_Formula!$N$27,1)</x:f>
        <x:v>482.99999999999994</x:v>
      </x:c>
      <x:c r="U134" s="60" t="n">
        <x:f>SUM(F134:T134)/SUM($F$4:$T$4)</x:f>
        <x:v>419.14179104477614</x:v>
      </x:c>
      <x:c r="V134" s="60" t="n">
        <x:f>SQRT(U134)</x:f>
        <x:v>20.472952670408247</x:v>
      </x:c>
      <x:c r="W134" s="60" t="n">
        <x:f>MAX(0,100-V134)</x:f>
        <x:v>79.52704732959175</x:v>
      </x:c>
      <x:c r="X134" s="60" t="n">
        <x:f>SUMPRODUCT(Profiles_140!K130:Y130,$F$4:$T$4)/SUM($F$4:$T$4)</x:f>
        <x:v>50.29850746268657</x:v>
      </x:c>
      <x:c r="Y134" s="60" t="n">
        <x:f>IFERROR(50+50*SUMPRODUCT(($F$3:$T$3-$X$3)*(Profiles_140!K130:Y130-X134),$F$4:$T$4)/SQRT(SUMPRODUCT(($F$3:$T$3-$X$3)^2,$F$4:$T$4)*SUMPRODUCT((Profiles_140!K130:Y130-X134)^2,$F$4:$T$4)),50)</x:f>
        <x:v>50.000000000000014</x:v>
      </x:c>
      <x:c r="Z134" s="60" t="n">
        <x:f>$Z$3</x:f>
        <x:v>3.9474596431116675e-16</x:v>
      </x:c>
      <x:c r="AA134" s="60" t="n">
        <x:f>W134*(1-Model_Formula!$F$8*Z134)+Y134*(Model_Formula!$F$8*Z134)</x:f>
        <x:v>79.52704732959175</x:v>
      </x:c>
      <x:c r="AB134" s="60" t="n">
        <x:f>SQRT(SUMPRODUCT((Profiles_140!K130:Y130-50)^2,$F$4:$T$4)/SUM($F$4:$T$4))</x:f>
        <x:v>20.287118183199517</x:v>
      </x:c>
      <x:c r="AC134" s="60" t="n">
        <x:f>MAX(-Model_Formula!$F$11,MIN(Model_Formula!$F$11,Model_Formula!$F$10*(AB134-AVERAGE($AB$6:$AB$135))))</x:f>
        <x:v>-3.982487468344128</x:v>
      </x:c>
      <x:c r="AD134" s="60" t="n">
        <x:f>MAX(0,MIN(100,AA134+AC134))</x:f>
        <x:v>75.54455986124762</x:v>
      </x:c>
      <x:c r="AE134" s="60" t="n">
        <x:f>MAX(0,MIN(1,IFERROR((MATCH(AD134,Percentile_Calibration!$F130:$DB130,1)-1)/100,0)))</x:f>
        <x:v>0.85</x:v>
      </x:c>
      <x:c r="AF134" s="62" t="n">
        <x:f>ROUND(MAX(Model_Formula!$I$9,Model_Formula!$I$5+Model_Formula!$I$6*POWER(AE134,Model_Formula!$I$7)),0)</x:f>
        <x:v>76</x:v>
      </x:c>
      <x:c r="AG134" t="n">
        <x:f>Profiles_140!AJ130</x:f>
        <x:v>0</x:v>
      </x:c>
      <x:c r="AH134" s="60" t="n">
        <x:f>Model_Formula!$I$8*(AE134*100)+(1-Model_Formula!$I$8)*AD134+AG134</x:f>
        <x:v>83.10891197224952</x:v>
      </x:c>
      <x:c r="AI134" t="n">
        <x:f>RANK.EQ(AH134,$AH$6:$AH$135,0)+COUNTIF($AH$6:AH134,AH134)-1</x:f>
        <x:v>20</x:v>
      </x:c>
    </x:row>
    <x:row r="135">
      <x:c r="A135" t="str">
        <x:f>Profiles_140!A131</x:f>
        <x:v>ワタシラガ</x:v>
      </x:c>
      <x:c r="B135" t="str">
        <x:f>Profiles_140!C131</x:f>
        <x:v>ワタシラガ-1</x:v>
      </x:c>
      <x:c r="C135" t="str">
        <x:f>Profiles_140!D131</x:f>
        <x:v>共通</x:v>
      </x:c>
      <x:c r="D135" t="str">
        <x:f>Profiles_140!B131</x:f>
        <x:v>サポート型</x:v>
      </x:c>
      <x:c r="E135" t="str">
        <x:f>Profiles_140!I131</x:f>
        <x:v>高</x:v>
      </x:c>
      <x:c r="F135" s="66" t="n">
        <x:f>Model_Formula!$M$13*(Profiles_140!K131-Simulator!$L$11)^2*IF(Profiles_140!K131&gt;Simulator!$L$11,1+Model_Formula!$N$13,1)</x:f>
        <x:v>400</x:v>
      </x:c>
      <x:c r="G135" s="66" t="n">
        <x:f>Model_Formula!$M$14*(Profiles_140!L131-Simulator!$L$12)^2*IF(Profiles_140!L131&gt;Simulator!$L$12,1+Model_Formula!$N$14,1)</x:f>
        <x:v>1286.25</x:v>
      </x:c>
      <x:c r="H135" s="66" t="n">
        <x:f>Model_Formula!$M$15*(Profiles_140!M131-Simulator!$L$13)^2*IF(Profiles_140!M131&gt;Simulator!$L$13,1+Model_Formula!$N$15,1)</x:f>
        <x:v>400</x:v>
      </x:c>
      <x:c r="I135" s="66" t="n">
        <x:f>Model_Formula!$M$16*(Profiles_140!N131-Simulator!$L$14)^2*IF(Profiles_140!N131&gt;Simulator!$L$14,1+Model_Formula!$N$16,1)</x:f>
        <x:v>1225</x:v>
      </x:c>
      <x:c r="J135" s="66" t="n">
        <x:f>Model_Formula!$M$17*(Profiles_140!O131-Simulator!$L$15)^2*IF(Profiles_140!O131&gt;Simulator!$L$15,1+Model_Formula!$N$17,1)</x:f>
        <x:v>0</x:v>
      </x:c>
      <x:c r="K135" s="66" t="n">
        <x:f>Model_Formula!$M$18*(Profiles_140!P131-Simulator!$L$16)^2*IF(Profiles_140!P131&gt;Simulator!$L$16,1+Model_Formula!$N$18,1)</x:f>
        <x:v>202.5</x:v>
      </x:c>
      <x:c r="L135" s="66" t="n">
        <x:f>Model_Formula!$M$19*(Profiles_140!Q131-Simulator!$L$17)^2*IF(Profiles_140!Q131&gt;Simulator!$L$17,1+Model_Formula!$N$19,1)</x:f>
        <x:v>25</x:v>
      </x:c>
      <x:c r="M135" s="66" t="n">
        <x:f>Model_Formula!$M$20*(Profiles_140!R131-Simulator!$L$18)^2*IF(Profiles_140!R131&gt;Simulator!$L$18,1+Model_Formula!$N$20,1)</x:f>
        <x:v>400</x:v>
      </x:c>
      <x:c r="N135" s="66" t="n">
        <x:f>Model_Formula!$M$21*(Profiles_140!S131-Simulator!$L$19)^2*IF(Profiles_140!S131&gt;Simulator!$L$19,1+Model_Formula!$N$21,1)</x:f>
        <x:v>0</x:v>
      </x:c>
      <x:c r="O135" s="66" t="n">
        <x:f>Model_Formula!$M$22*(Profiles_140!T131-Simulator!$L$20)^2*IF(Profiles_140!T131&gt;Simulator!$L$20,1+Model_Formula!$N$22,1)</x:f>
        <x:v>225</x:v>
      </x:c>
      <x:c r="P135" s="66" t="n">
        <x:f>Model_Formula!$M$23*(Profiles_140!U131-Simulator!$L$21)^2*IF(Profiles_140!U131&gt;Simulator!$L$21,1+Model_Formula!$N$23,1)</x:f>
        <x:v>405</x:v>
      </x:c>
      <x:c r="Q135" s="66" t="n">
        <x:f>Model_Formula!$M$24*(Profiles_140!V131-Simulator!$L$22)^2*IF(Profiles_140!V131&gt;Simulator!$L$22,1+Model_Formula!$N$24,1)</x:f>
        <x:v>40</x:v>
      </x:c>
      <x:c r="R135" s="66" t="n">
        <x:f>Model_Formula!$M$25*(Profiles_140!W131-Simulator!$L$23)^2*IF(Profiles_140!W131&gt;Simulator!$L$23,1+Model_Formula!$N$25,1)</x:f>
        <x:v>101.25</x:v>
      </x:c>
      <x:c r="S135" s="66" t="n">
        <x:f>Model_Formula!$M$26*(Profiles_140!X131-Simulator!$L$24)^2*IF(Profiles_140!X131&gt;Simulator!$L$24,1+Model_Formula!$N$26,1)</x:f>
        <x:v>148.50000000000003</x:v>
      </x:c>
      <x:c r="T135" s="66" t="n">
        <x:f>Model_Formula!$M$27*(Profiles_140!Y131-Simulator!$L$25)^2*IF(Profiles_140!Y131&gt;Simulator!$L$25,1+Model_Formula!$N$27,1)</x:f>
        <x:v>1479.1874999999998</x:v>
      </x:c>
      <x:c r="U135" s="60" t="n">
        <x:f>SUM(F135:T135)/SUM($F$4:$T$4)</x:f>
        <x:v>472.9617537313433</x:v>
      </x:c>
      <x:c r="V135" s="60" t="n">
        <x:f>SQRT(U135)</x:f>
        <x:v>21.74768387050316</x:v>
      </x:c>
      <x:c r="W135" s="60" t="n">
        <x:f>MAX(0,100-V135)</x:f>
        <x:v>78.25231612949685</x:v>
      </x:c>
      <x:c r="X135" s="60" t="n">
        <x:f>SUMPRODUCT(Profiles_140!K131:Y131,$F$4:$T$4)/SUM($F$4:$T$4)</x:f>
        <x:v>48.15298507462687</x:v>
      </x:c>
      <x:c r="Y135" s="60" t="n">
        <x:f>IFERROR(50+50*SUMPRODUCT(($F$3:$T$3-$X$3)*(Profiles_140!K131:Y131-X135),$F$4:$T$4)/SQRT(SUMPRODUCT(($F$3:$T$3-$X$3)^2,$F$4:$T$4)*SUMPRODUCT((Profiles_140!K131:Y131-X135)^2,$F$4:$T$4)),50)</x:f>
        <x:v>50.00000000000001</x:v>
      </x:c>
      <x:c r="Z135" s="60" t="n">
        <x:f>$Z$3</x:f>
        <x:v>3.9474596431116675e-16</x:v>
      </x:c>
      <x:c r="AA135" s="60" t="n">
        <x:f>W135*(1-Model_Formula!$F$8*Z135)+Y135*(Model_Formula!$F$8*Z135)</x:f>
        <x:v>78.25231612949685</x:v>
      </x:c>
      <x:c r="AB135" s="60" t="n">
        <x:f>SQRT(SUMPRODUCT((Profiles_140!K131:Y131-50)^2,$F$4:$T$4)/SUM($F$4:$T$4))</x:f>
        <x:v>21.34690372179213</x:v>
      </x:c>
      <x:c r="AC135" s="60" t="n">
        <x:f>MAX(-Model_Formula!$F$11,MIN(Model_Formula!$F$11,Model_Formula!$F$10*(AB135-AVERAGE($AB$6:$AB$135))))</x:f>
        <x:v>-3.5055839759774514</x:v>
      </x:c>
      <x:c r="AD135" s="60" t="n">
        <x:f>MAX(0,MIN(100,AA135+AC135))</x:f>
        <x:v>74.74673215351939</x:v>
      </x:c>
      <x:c r="AE135" s="60" t="n">
        <x:f>MAX(0,MIN(1,IFERROR((MATCH(AD135,Percentile_Calibration!$F131:$DB131,1)-1)/100,0)))</x:f>
        <x:v>0.79</x:v>
      </x:c>
      <x:c r="AF135" s="62" t="n">
        <x:f>ROUND(MAX(Model_Formula!$I$9,Model_Formula!$I$5+Model_Formula!$I$6*POWER(AE135,Model_Formula!$I$7)),0)</x:f>
        <x:v>69</x:v>
      </x:c>
      <x:c r="AG135" t="n">
        <x:f>Profiles_140!AJ131</x:f>
        <x:v>0</x:v>
      </x:c>
      <x:c r="AH135" s="60" t="n">
        <x:f>Model_Formula!$I$8*(AE135*100)+(1-Model_Formula!$I$8)*AD135+AG135</x:f>
        <x:v>78.14934643070387</x:v>
      </x:c>
      <x:c r="AI135" t="n">
        <x:f>RANK.EQ(AH135,$AH$6:$AH$135,0)+COUNTIF($AH$6:AH135,AH135)-1</x:f>
        <x:v>38</x:v>
      </x:c>
    </x:row>
    <x:row r="136">
      <x:c r="A136"/>
      <x:c r="B136"/>
      <x:c r="C136"/>
      <x:c r="D136"/>
      <x:c r="E136"/>
      <x:c r="F136" s="66"/>
      <x:c r="G136" s="66"/>
      <x:c r="H136" s="66"/>
      <x:c r="I136" s="66"/>
      <x:c r="J136" s="66"/>
      <x:c r="K136" s="66"/>
      <x:c r="L136" s="66"/>
      <x:c r="M136" s="66"/>
      <x:c r="N136" s="66"/>
      <x:c r="O136" s="66"/>
      <x:c r="P136" s="66"/>
      <x:c r="Q136" s="66"/>
      <x:c r="R136" s="66"/>
      <x:c r="S136" s="66"/>
      <x:c r="T136" s="66"/>
      <x:c r="U136" s="60"/>
      <x:c r="V136" s="60"/>
      <x:c r="W136" s="60"/>
      <x:c r="X136"/>
      <x:c r="Y136"/>
      <x:c r="Z136"/>
      <x:c r="AA136"/>
      <x:c r="AB136"/>
      <x:c r="AC136"/>
      <x:c r="AD136"/>
      <x:c r="AE136"/>
      <x:c r="AF136"/>
      <x:c r="AG136"/>
      <x:c r="AH136"/>
      <x:c r="AI136"/>
    </x:row>
    <x:row r="137">
      <x:c r="A137"/>
      <x:c r="B137"/>
      <x:c r="C137"/>
      <x:c r="D137"/>
      <x:c r="E137"/>
      <x:c r="F137" s="66"/>
      <x:c r="G137" s="66"/>
      <x:c r="H137" s="66"/>
      <x:c r="I137" s="66"/>
      <x:c r="J137" s="66"/>
      <x:c r="K137" s="66"/>
      <x:c r="L137" s="66"/>
      <x:c r="M137" s="66"/>
      <x:c r="N137" s="66"/>
      <x:c r="O137" s="66"/>
      <x:c r="P137" s="66"/>
      <x:c r="Q137" s="66"/>
      <x:c r="R137" s="66"/>
      <x:c r="S137" s="66"/>
      <x:c r="T137" s="66"/>
      <x:c r="U137" s="60"/>
      <x:c r="V137" s="60"/>
      <x:c r="W137" s="60"/>
      <x:c r="X137"/>
      <x:c r="Y137"/>
      <x:c r="Z137"/>
      <x:c r="AA137"/>
      <x:c r="AB137"/>
      <x:c r="AC137"/>
      <x:c r="AD137"/>
      <x:c r="AE137"/>
      <x:c r="AF137"/>
      <x:c r="AG137"/>
      <x:c r="AH137"/>
      <x:c r="AI137"/>
    </x:row>
    <x:row r="138">
      <x:c r="A138"/>
      <x:c r="B138"/>
      <x:c r="C138"/>
      <x:c r="D138"/>
      <x:c r="E138"/>
      <x:c r="F138" s="66"/>
      <x:c r="G138" s="66"/>
      <x:c r="H138" s="66"/>
      <x:c r="I138" s="66"/>
      <x:c r="J138" s="66"/>
      <x:c r="K138" s="66"/>
      <x:c r="L138" s="66"/>
      <x:c r="M138" s="66"/>
      <x:c r="N138" s="66"/>
      <x:c r="O138" s="66"/>
      <x:c r="P138" s="66"/>
      <x:c r="Q138" s="66"/>
      <x:c r="R138" s="66"/>
      <x:c r="S138" s="66"/>
      <x:c r="T138" s="66"/>
      <x:c r="U138" s="60"/>
      <x:c r="V138" s="60"/>
      <x:c r="W138" s="60"/>
      <x:c r="X138"/>
      <x:c r="Y138"/>
      <x:c r="Z138"/>
      <x:c r="AA138"/>
      <x:c r="AB138"/>
      <x:c r="AC138"/>
      <x:c r="AD138"/>
      <x:c r="AE138"/>
      <x:c r="AF138"/>
      <x:c r="AG138"/>
      <x:c r="AH138"/>
      <x:c r="AI138"/>
    </x:row>
    <x:row r="139">
      <x:c r="A139"/>
      <x:c r="B139"/>
      <x:c r="C139"/>
      <x:c r="D139"/>
      <x:c r="E139"/>
      <x:c r="F139" s="66"/>
      <x:c r="G139" s="66"/>
      <x:c r="H139" s="66"/>
      <x:c r="I139" s="66"/>
      <x:c r="J139" s="66"/>
      <x:c r="K139" s="66"/>
      <x:c r="L139" s="66"/>
      <x:c r="M139" s="66"/>
      <x:c r="N139" s="66"/>
      <x:c r="O139" s="66"/>
      <x:c r="P139" s="66"/>
      <x:c r="Q139" s="66"/>
      <x:c r="R139" s="66"/>
      <x:c r="S139" s="66"/>
      <x:c r="T139" s="66"/>
      <x:c r="U139" s="60"/>
      <x:c r="V139" s="60"/>
      <x:c r="W139" s="60"/>
      <x:c r="X139"/>
      <x:c r="Y139"/>
      <x:c r="Z139"/>
      <x:c r="AA139"/>
      <x:c r="AB139"/>
      <x:c r="AC139"/>
      <x:c r="AD139"/>
      <x:c r="AE139"/>
      <x:c r="AF139"/>
      <x:c r="AG139"/>
      <x:c r="AH139"/>
      <x:c r="AI139"/>
    </x:row>
    <x:row r="140">
      <x:c r="A140"/>
      <x:c r="B140"/>
      <x:c r="C140"/>
      <x:c r="D140"/>
      <x:c r="E140"/>
      <x:c r="F140" s="66"/>
      <x:c r="G140" s="66"/>
      <x:c r="H140" s="66"/>
      <x:c r="I140" s="66"/>
      <x:c r="J140" s="66"/>
      <x:c r="K140" s="66"/>
      <x:c r="L140" s="66"/>
      <x:c r="M140" s="66"/>
      <x:c r="N140" s="66"/>
      <x:c r="O140" s="66"/>
      <x:c r="P140" s="66"/>
      <x:c r="Q140" s="66"/>
      <x:c r="R140" s="66"/>
      <x:c r="S140" s="66"/>
      <x:c r="T140" s="66"/>
      <x:c r="U140" s="60"/>
      <x:c r="V140" s="60"/>
      <x:c r="W140" s="60"/>
      <x:c r="X140"/>
      <x:c r="Y140"/>
      <x:c r="Z140"/>
      <x:c r="AA140"/>
      <x:c r="AB140"/>
      <x:c r="AC140"/>
      <x:c r="AD140"/>
      <x:c r="AE140"/>
      <x:c r="AF140"/>
      <x:c r="AG140"/>
      <x:c r="AH140"/>
      <x:c r="AI140"/>
    </x:row>
    <x:row r="141">
      <x:c r="A141"/>
      <x:c r="B141"/>
      <x:c r="C141"/>
      <x:c r="D141"/>
      <x:c r="E141"/>
      <x:c r="F141" s="66"/>
      <x:c r="G141" s="66"/>
      <x:c r="H141" s="66"/>
      <x:c r="I141" s="66"/>
      <x:c r="J141" s="66"/>
      <x:c r="K141" s="66"/>
      <x:c r="L141" s="66"/>
      <x:c r="M141" s="66"/>
      <x:c r="N141" s="66"/>
      <x:c r="O141" s="66"/>
      <x:c r="P141" s="66"/>
      <x:c r="Q141" s="66"/>
      <x:c r="R141" s="66"/>
      <x:c r="S141" s="66"/>
      <x:c r="T141" s="66"/>
      <x:c r="U141" s="60"/>
      <x:c r="V141" s="60"/>
      <x:c r="W141" s="60"/>
      <x:c r="X141"/>
      <x:c r="Y141"/>
      <x:c r="Z141"/>
      <x:c r="AA141"/>
      <x:c r="AB141"/>
      <x:c r="AC141"/>
      <x:c r="AD141"/>
      <x:c r="AE141"/>
      <x:c r="AF141"/>
    </x:row>
    <x:row r="142">
      <x:c r="A142"/>
      <x:c r="B142"/>
      <x:c r="C142"/>
      <x:c r="D142"/>
      <x:c r="E142"/>
      <x:c r="F142" s="66"/>
      <x:c r="G142" s="66"/>
      <x:c r="H142" s="66"/>
      <x:c r="I142" s="66"/>
      <x:c r="J142" s="66"/>
      <x:c r="K142" s="66"/>
      <x:c r="L142" s="66"/>
      <x:c r="M142" s="66"/>
      <x:c r="N142" s="66"/>
      <x:c r="O142" s="66"/>
      <x:c r="P142" s="66"/>
      <x:c r="Q142" s="66"/>
      <x:c r="R142" s="66"/>
      <x:c r="S142" s="66"/>
      <x:c r="T142" s="66"/>
      <x:c r="U142" s="60"/>
      <x:c r="V142" s="60"/>
      <x:c r="W142" s="60"/>
      <x:c r="X142"/>
      <x:c r="Y142"/>
      <x:c r="Z142"/>
      <x:c r="AA142"/>
      <x:c r="AB142"/>
      <x:c r="AC142"/>
      <x:c r="AD142"/>
      <x:c r="AE142"/>
      <x:c r="AF142"/>
    </x:row>
    <x:row r="143">
      <x:c r="A143"/>
      <x:c r="B143"/>
      <x:c r="C143"/>
      <x:c r="D143"/>
      <x:c r="E143"/>
      <x:c r="F143" s="66"/>
      <x:c r="G143" s="66"/>
      <x:c r="H143" s="66"/>
      <x:c r="I143" s="66"/>
      <x:c r="J143" s="66"/>
      <x:c r="K143" s="66"/>
      <x:c r="L143" s="66"/>
      <x:c r="M143" s="66"/>
      <x:c r="N143" s="66"/>
      <x:c r="O143" s="66"/>
      <x:c r="P143" s="66"/>
      <x:c r="Q143" s="66"/>
      <x:c r="R143" s="66"/>
      <x:c r="S143" s="66"/>
      <x:c r="T143" s="66"/>
      <x:c r="U143" s="60"/>
      <x:c r="V143" s="60"/>
      <x:c r="W143" s="60"/>
      <x:c r="X143"/>
      <x:c r="Y143"/>
      <x:c r="Z143"/>
      <x:c r="AA143"/>
      <x:c r="AB143"/>
      <x:c r="AC143"/>
      <x:c r="AD143"/>
      <x:c r="AE143"/>
      <x:c r="AF143"/>
    </x:row>
    <x:row r="144">
      <x:c r="A144"/>
      <x:c r="B144"/>
      <x:c r="C144"/>
      <x:c r="D144"/>
      <x:c r="E144"/>
      <x:c r="F144" s="66"/>
      <x:c r="G144" s="66"/>
      <x:c r="H144" s="66"/>
      <x:c r="I144" s="66"/>
      <x:c r="J144" s="66"/>
      <x:c r="K144" s="66"/>
      <x:c r="L144" s="66"/>
      <x:c r="M144" s="66"/>
      <x:c r="N144" s="66"/>
      <x:c r="O144" s="66"/>
      <x:c r="P144" s="66"/>
      <x:c r="Q144" s="66"/>
      <x:c r="R144" s="66"/>
      <x:c r="S144" s="66"/>
      <x:c r="T144" s="66"/>
      <x:c r="U144" s="60"/>
      <x:c r="V144" s="60"/>
      <x:c r="W144" s="60"/>
      <x:c r="X144"/>
      <x:c r="Y144"/>
      <x:c r="Z144"/>
      <x:c r="AA144"/>
      <x:c r="AB144"/>
      <x:c r="AC144"/>
      <x:c r="AD144"/>
      <x:c r="AE144"/>
      <x:c r="AF144"/>
    </x:row>
    <x:row r="145">
      <x:c r="A145"/>
      <x:c r="B145"/>
      <x:c r="C145"/>
      <x:c r="D145"/>
      <x:c r="E145"/>
      <x:c r="F145" s="66"/>
      <x:c r="G145" s="66"/>
      <x:c r="H145" s="66"/>
      <x:c r="I145" s="66"/>
      <x:c r="J145" s="66"/>
      <x:c r="K145" s="66"/>
      <x:c r="L145" s="66"/>
      <x:c r="M145" s="66"/>
      <x:c r="N145" s="66"/>
      <x:c r="O145" s="66"/>
      <x:c r="P145" s="66"/>
      <x:c r="Q145" s="66"/>
      <x:c r="R145" s="66"/>
      <x:c r="S145" s="66"/>
      <x:c r="T145" s="66"/>
      <x:c r="U145" s="60"/>
      <x:c r="V145" s="60"/>
      <x:c r="W145" s="60"/>
      <x:c r="X145"/>
      <x:c r="Y145"/>
      <x:c r="Z145"/>
      <x:c r="AA145"/>
      <x:c r="AB145"/>
      <x:c r="AC145"/>
      <x:c r="AD145"/>
      <x:c r="AE145"/>
      <x:c r="AF145"/>
    </x:row>
  </x:sheetData>
  <x:mergeCells>
    <x:mergeCell ref="A1:X2"/>
    <x:mergeCell ref="A3:X3"/>
    <x:mergeCell ref="A1:AF2"/>
    <x:mergeCell ref="A1:AI2"/>
  </x:mergeCells>
  <x:conditionalFormatting sqref="W6:W145">
    <x:cfRule type="dataBar" priority="1">
      <x:dataBar>
        <x:cfvo type="min"/>
        <x:cfvo type="max"/>
        <x:color rgb="FFA02B93"/>
      </x:dataBar>
      <x:extLst>
        <x:ext xmlns:x14="http://schemas.microsoft.com/office/spreadsheetml/2009/9/main" uri="{B025F937-C7B1-47D3-B67F-A62EFF666E3E}">
          <x14:id>{AF83004D-0BA4-B0BD-B253-BC776CE92DC4}</x14:id>
        </x:ext>
      </x:extLst>
    </x:cfRule>
  </x:conditionalFormatting>
  <x:conditionalFormatting sqref="AE6:AE135">
    <x:cfRule type="dataBar" priority="2">
      <x:dataBar>
        <x:cfvo type="min"/>
        <x:cfvo type="max"/>
        <x:color rgb="FFA02B93"/>
      </x:dataBar>
      <x:extLst>
        <x:ext xmlns:x14="http://schemas.microsoft.com/office/spreadsheetml/2009/9/main" uri="{B025F937-C7B1-47D3-B67F-A62EFF666E3E}">
          <x14:id>{5F06BCF6-B405-E590-AA45-0FB353C001E1}</x14:id>
        </x:ext>
      </x:extLst>
    </x:cfRule>
  </x:conditionalFormatting>
  <x:conditionalFormatting sqref="AF6:AF135">
    <x:cfRule type="dataBar" priority="3">
      <x:dataBar>
        <x:cfvo type="min"/>
        <x:cfvo type="max"/>
        <x:color rgb="FFA02B93"/>
      </x:dataBar>
      <x:extLst>
        <x:ext xmlns:x14="http://schemas.microsoft.com/office/spreadsheetml/2009/9/main" uri="{B025F937-C7B1-47D3-B67F-A62EFF666E3E}">
          <x14:id>{7928C98B-2EC5-847C-8A9E-3EFABC784566}</x14:id>
        </x:ext>
      </x:extLst>
    </x:cfRule>
  </x:conditionalFormatting>
  <x:pageMargins left="0.7" right="0.7" top="0.75" bottom="0.75" header="0.3" footer="0.3"/>
  <x:tableParts count="1">
    <x:tablePart xmlns:r="http://schemas.openxmlformats.org/officeDocument/2006/relationships" r:id="Rb65b1b914a0442b8"/>
  </x:tableParts>
  <x:extLst>
    <x:ext xmlns:x14="http://schemas.microsoft.com/office/spreadsheetml/2009/9/main" xmlns:xm="http://schemas.microsoft.com/office/excel/2006/main" uri="{78C0D931-6437-407d-A8EE-F0AAD7539E65}">
      <x14:conditionalFormattings>
        <x14:conditionalFormatting>
          <x14:cfRule type="dataBar" priority="1" id="{AF83004D-0BA4-B0BD-B253-BC776CE92DC4}">
            <x14:dataBar gradient="1">
              <x14:cfvo type="min"/>
              <x14:cfvo type="max"/>
              <x14:fillColor rgb="FFA02B93"/>
            </x14:dataBar>
          </x14:cfRule>
          <xm:sqref>W6:W145</xm:sqref>
        </x14:conditionalFormatting>
        <x14:conditionalFormatting>
          <x14:cfRule type="dataBar" priority="2" id="{5F06BCF6-B405-E590-AA45-0FB353C001E1}">
            <x14:dataBar gradient="1">
              <x14:cfvo type="min"/>
              <x14:cfvo type="max"/>
              <x14:fillColor rgb="FFA02B93"/>
            </x14:dataBar>
          </x14:cfRule>
          <xm:sqref>AE6:AE135</xm:sqref>
        </x14:conditionalFormatting>
        <x14:conditionalFormatting>
          <x14:cfRule type="dataBar" priority="3" id="{7928C98B-2EC5-847C-8A9E-3EFABC784566}">
            <x14:dataBar gradient="1">
              <x14:cfvo type="min"/>
              <x14:cfvo type="max"/>
              <x14:fillColor rgb="FFA02B93"/>
            </x14:dataBar>
          </x14:cfRule>
          <xm:sqref>AF6:AF135</xm:sqref>
        </x14:conditionalFormatting>
      </x14:conditionalFormattings>
    </x:ext>
  </x:extLst>
</x:worksheet>
</file>

<file path=xl/worksheets/sheet12.xml><?xml version="1.0" encoding="utf-8"?>
<x:worksheet xmlns:x="http://schemas.openxmlformats.org/spreadsheetml/2006/main">
  <x:sheetFormatPr defaultRowHeight="15"/>
  <x:cols>
    <x:col min="1" max="1" width="18" hidden="0" customWidth="1"/>
    <x:col min="2" max="2" width="14" hidden="0" customWidth="1"/>
    <x:col min="3" max="3" width="13" hidden="0" customWidth="1"/>
    <x:col min="4" max="4" width="12" hidden="0" customWidth="1"/>
    <x:col min="5" max="5" width="13" hidden="0" customWidth="1"/>
    <x:col min="6" max="6" width="13" hidden="0" customWidth="1"/>
    <x:col min="7" max="7" width="30" hidden="0" customWidth="1"/>
    <x:col min="9" max="9" width="20" hidden="0" customWidth="1"/>
    <x:col min="10" max="10" width="15" hidden="0" customWidth="1"/>
  </x:cols>
  <x:sheetData>
    <x:row r="1">
      <x:c r="A1" s="215" t="str">
        <x:v>個性補正後 Percentile Matching 監査</x:v>
      </x:c>
      <x:c r="B1" s="215"/>
      <x:c r="C1" s="215"/>
      <x:c r="D1" s="215"/>
      <x:c r="E1" s="215"/>
      <x:c r="F1" s="215"/>
      <x:c r="G1" s="215"/>
      <x:c r="H1" s="215"/>
      <x:c r="I1" s="215"/>
      <x:c r="J1" s="215"/>
    </x:row>
    <x:row r="2">
      <x:c r="A2" s="215"/>
      <x:c r="B2" s="215"/>
      <x:c r="C2" s="215"/>
      <x:c r="D2" s="215"/>
      <x:c r="E2" s="215"/>
      <x:c r="F2" s="215"/>
      <x:c r="G2" s="215"/>
      <x:c r="H2" s="215"/>
      <x:c r="I2" s="215"/>
      <x:c r="J2" s="215"/>
    </x:row>
    <x:row r="3">
      <x:c r="A3" s="216" t="str">
        <x:v>20,000件で各プロファイルのRawMatch分布を再作成し、別の7,000件で順位を監査。 2026-09-30のWiki/現行メタを参照した個性補正を反映済み。</x:v>
      </x:c>
      <x:c r="B3" s="216"/>
      <x:c r="C3" s="216"/>
      <x:c r="D3" s="216"/>
      <x:c r="E3" s="216"/>
      <x:c r="F3" s="216"/>
      <x:c r="G3" s="216"/>
      <x:c r="H3" s="216"/>
      <x:c r="I3" s="216"/>
      <x:c r="J3" s="216"/>
    </x:row>
    <x:row r="5">
      <x:c r="A5" s="214" t="str">
        <x:v>Pokemon</x:v>
      </x:c>
      <x:c r="B5" s="214" t="str">
        <x:v>Role</x:v>
      </x:c>
      <x:c r="C5" s="214" t="str">
        <x:v>ProfileCount</x:v>
      </x:c>
      <x:c r="D5" s="214" t="str">
        <x:v>RankBias</x:v>
      </x:c>
      <x:c r="E5" s="214" t="str">
        <x:v>Top1Rate</x:v>
      </x:c>
      <x:c r="F5" s="214" t="str">
        <x:v>Top3Rate</x:v>
      </x:c>
      <x:c r="G5" s="214" t="str">
        <x:v>Note</x:v>
      </x:c>
      <x:c r="I5" s="214" t="str">
        <x:v>監査KPI</x:v>
      </x:c>
      <x:c r="J5" s="214" t="str">
        <x:v>値</x:v>
      </x:c>
    </x:row>
    <x:row r="6">
      <x:c r="A6" t="str">
        <x:v>アローラキュウコン</x:v>
      </x:c>
      <x:c r="B6" t="str">
        <x:v>アタック型</x:v>
      </x:c>
      <x:c r="C6" t="n">
        <x:v>2</x:v>
      </x:c>
      <x:c r="D6" t="n">
        <x:v>0</x:v>
      </x:c>
      <x:c r="E6" s="124" t="n">
        <x:v>0.03742857142857143</x:v>
      </x:c>
      <x:c r="F6" s="124" t="n">
        <x:v>0.07057142857142858</x:v>
      </x:c>
      <x:c r="G6" t="str">
        <x:v>補正なし</x:v>
      </x:c>
      <x:c r="I6" t="str">
        <x:v>Calibration samples</x:v>
      </x:c>
      <x:c r="J6" t="n">
        <x:v>20000</x:v>
      </x:c>
    </x:row>
    <x:row r="7">
      <x:c r="A7" t="str">
        <x:v>アローラライチュウ</x:v>
      </x:c>
      <x:c r="B7" t="str">
        <x:v>アタック型</x:v>
      </x:c>
      <x:c r="C7" t="n">
        <x:v>1</x:v>
      </x:c>
      <x:c r="D7" t="n">
        <x:v>0</x:v>
      </x:c>
      <x:c r="E7" s="124" t="n">
        <x:v>0.013714285714285714</x:v>
      </x:c>
      <x:c r="F7" s="124" t="n">
        <x:v>0.04257142857142857</x:v>
      </x:c>
      <x:c r="G7" t="str">
        <x:v>補正なし</x:v>
      </x:c>
      <x:c r="I7" t="str">
        <x:v>Audit samples</x:v>
      </x:c>
      <x:c r="J7" s="124" t="n">
        <x:v>7000</x:v>
      </x:c>
    </x:row>
    <x:row r="8">
      <x:c r="A8" t="str">
        <x:v>イベルタル</x:v>
      </x:c>
      <x:c r="B8" t="str">
        <x:v>アタック型</x:v>
      </x:c>
      <x:c r="C8" t="n">
        <x:v>1</x:v>
      </x:c>
      <x:c r="D8" t="n">
        <x:v>0</x:v>
      </x:c>
      <x:c r="E8" s="124" t="n">
        <x:v>0.002285714285714286</x:v>
      </x:c>
      <x:c r="F8" s="124" t="n">
        <x:v>0.018857142857142857</x:v>
      </x:c>
      <x:c r="G8" t="str">
        <x:v>補正なし</x:v>
      </x:c>
      <x:c r="I8" t="str">
        <x:v>最大Top1率</x:v>
      </x:c>
      <x:c r="J8" s="124" t="n">
        <x:v>0.04428571428571428</x:v>
      </x:c>
    </x:row>
    <x:row r="9">
      <x:c r="A9" t="str">
        <x:v>インテレオン</x:v>
      </x:c>
      <x:c r="B9" t="str">
        <x:v>アタック型</x:v>
      </x:c>
      <x:c r="C9" t="n">
        <x:v>2</x:v>
      </x:c>
      <x:c r="D9" t="n">
        <x:v>0</x:v>
      </x:c>
      <x:c r="E9" s="124" t="n">
        <x:v>0.011714285714285714</x:v>
      </x:c>
      <x:c r="F9" s="124" t="n">
        <x:v>0.04171428571428572</x:v>
      </x:c>
      <x:c r="G9" t="str">
        <x:v>補正なし</x:v>
      </x:c>
      <x:c r="I9" t="str">
        <x:v>Top3未出現</x:v>
      </x:c>
      <x:c r="J9" t="n">
        <x:v>0</x:v>
      </x:c>
    </x:row>
    <x:row r="10">
      <x:c r="A10" t="str">
        <x:v>ウッウ</x:v>
      </x:c>
      <x:c r="B10" t="str">
        <x:v>アタック型</x:v>
      </x:c>
      <x:c r="C10" t="n">
        <x:v>2</x:v>
      </x:c>
      <x:c r="D10" t="n">
        <x:v>0</x:v>
      </x:c>
      <x:c r="E10" s="124" t="n">
        <x:v>0.011571428571428571</x:v>
      </x:c>
      <x:c r="F10" s="124" t="n">
        <x:v>0.03242857142857143</x:v>
      </x:c>
      <x:c r="G10" t="str">
        <x:v>補正なし</x:v>
      </x:c>
      <x:c r="I10" t="str">
        <x:v>1位相性 p10</x:v>
      </x:c>
      <x:c r="J10" s="66" t="n">
        <x:v>75.95423095659793</x:v>
      </x:c>
    </x:row>
    <x:row r="11">
      <x:c r="A11" t="str">
        <x:v>エースバーン</x:v>
      </x:c>
      <x:c r="B11" t="str">
        <x:v>アタック型</x:v>
      </x:c>
      <x:c r="C11" t="n">
        <x:v>1</x:v>
      </x:c>
      <x:c r="D11" t="n">
        <x:v>0</x:v>
      </x:c>
      <x:c r="E11" s="124" t="n">
        <x:v>0.0008571428571428571</x:v>
      </x:c>
      <x:c r="F11" s="124" t="n">
        <x:v>0.014285714285714285</x:v>
      </x:c>
      <x:c r="G11" t="str">
        <x:v>補正なし</x:v>
      </x:c>
      <x:c r="I11" t="str">
        <x:v>1位相性 median</x:v>
      </x:c>
      <x:c r="J11" s="66" t="n">
        <x:v>92.24314391308604</x:v>
      </x:c>
    </x:row>
    <x:row r="12">
      <x:c r="A12" t="str">
        <x:v>エーフィ</x:v>
      </x:c>
      <x:c r="B12" t="str">
        <x:v>アタック型</x:v>
      </x:c>
      <x:c r="C12" t="n">
        <x:v>1</x:v>
      </x:c>
      <x:c r="D12" t="n">
        <x:v>0</x:v>
      </x:c>
      <x:c r="E12" s="124" t="n">
        <x:v>0.0064285714285714285</x:v>
      </x:c>
      <x:c r="F12" s="124" t="n">
        <x:v>0.025142857142857144</x:v>
      </x:c>
      <x:c r="G12" t="str">
        <x:v>補正なし</x:v>
      </x:c>
      <x:c r="I12" t="str">
        <x:v>1位相性 p90</x:v>
      </x:c>
      <x:c r="J12" s="66" t="n">
        <x:v>95.38245861329682</x:v>
      </x:c>
    </x:row>
    <x:row r="13">
      <x:c r="A13" t="str">
        <x:v>グレイシア</x:v>
      </x:c>
      <x:c r="B13" t="str">
        <x:v>アタック型</x:v>
      </x:c>
      <x:c r="C13" t="n">
        <x:v>1</x:v>
      </x:c>
      <x:c r="D13" t="n">
        <x:v>0</x:v>
      </x:c>
      <x:c r="E13" s="124" t="n">
        <x:v>0.006571428571428572</x:v>
      </x:c>
      <x:c r="F13" s="124" t="n">
        <x:v>0.020142857142857143</x:v>
      </x:c>
      <x:c r="G13" t="str">
        <x:v>補正なし</x:v>
      </x:c>
      <x:c r="I13" t="str">
        <x:v>Top1/Top2 同アーキタイプ率</x:v>
      </x:c>
      <x:c r="J13" s="204" t="n">
        <x:v>0.49857142857142855</x:v>
      </x:c>
    </x:row>
    <x:row r="14">
      <x:c r="A14" t="str">
        <x:v>グレンアルマ</x:v>
      </x:c>
      <x:c r="B14" t="str">
        <x:v>アタック型</x:v>
      </x:c>
      <x:c r="C14" t="n">
        <x:v>2</x:v>
      </x:c>
      <x:c r="D14" t="n">
        <x:v>0</x:v>
      </x:c>
      <x:c r="E14" s="124" t="n">
        <x:v>0.0037142857142857142</x:v>
      </x:c>
      <x:c r="F14" s="124" t="n">
        <x:v>0.025857142857142856</x:v>
      </x:c>
      <x:c r="G14" t="str">
        <x:v>補正なし</x:v>
      </x:c>
    </x:row>
    <x:row r="15">
      <x:c r="A15" t="str">
        <x:v>ゲッコウガ</x:v>
      </x:c>
      <x:c r="B15" t="str">
        <x:v>アタック型</x:v>
      </x:c>
      <x:c r="C15" t="n">
        <x:v>2</x:v>
      </x:c>
      <x:c r="D15" t="n">
        <x:v>0</x:v>
      </x:c>
      <x:c r="E15" s="124" t="n">
        <x:v>0.0025714285714285713</x:v>
      </x:c>
      <x:c r="F15" s="124" t="n">
        <x:v>0.010714285714285714</x:v>
      </x:c>
      <x:c r="G15" t="str">
        <x:v>補正なし</x:v>
      </x:c>
    </x:row>
    <x:row r="16">
      <x:c r="A16" t="str">
        <x:v>サンダー</x:v>
      </x:c>
      <x:c r="B16" t="str">
        <x:v>アタック型</x:v>
      </x:c>
      <x:c r="C16" t="n">
        <x:v>1</x:v>
      </x:c>
      <x:c r="D16" t="n">
        <x:v>0</x:v>
      </x:c>
      <x:c r="E16" s="124" t="n">
        <x:v>0.0035714285714285713</x:v>
      </x:c>
      <x:c r="F16" s="124" t="n">
        <x:v>0.023857142857142858</x:v>
      </x:c>
      <x:c r="G16" t="str">
        <x:v>補正なし</x:v>
      </x:c>
    </x:row>
    <x:row r="17">
      <x:c r="A17" t="str">
        <x:v>サーナイト</x:v>
      </x:c>
      <x:c r="B17" t="str">
        <x:v>アタック型</x:v>
      </x:c>
      <x:c r="C17" t="n">
        <x:v>1</x:v>
      </x:c>
      <x:c r="D17" t="n">
        <x:v>0</x:v>
      </x:c>
      <x:c r="E17" s="124" t="n">
        <x:v>0.002142857142857143</x:v>
      </x:c>
      <x:c r="F17" s="124" t="n">
        <x:v>0.01685714285714286</x:v>
      </x:c>
      <x:c r="G17" t="str">
        <x:v>補正なし</x:v>
      </x:c>
    </x:row>
    <x:row r="18">
      <x:c r="A18" t="str">
        <x:v>シャンデラ</x:v>
      </x:c>
      <x:c r="B18" t="str">
        <x:v>アタック型</x:v>
      </x:c>
      <x:c r="C18" t="n">
        <x:v>1</x:v>
      </x:c>
      <x:c r="D18" t="n">
        <x:v>0</x:v>
      </x:c>
      <x:c r="E18" s="124" t="n">
        <x:v>0.006285714285714286</x:v>
      </x:c>
      <x:c r="F18" s="124" t="n">
        <x:v>0.023285714285714285</x:v>
      </x:c>
      <x:c r="G18" t="str">
        <x:v>補正なし</x:v>
      </x:c>
    </x:row>
    <x:row r="19">
      <x:c r="A19" t="str">
        <x:v>ジュナイパー</x:v>
      </x:c>
      <x:c r="B19" t="str">
        <x:v>アタック型</x:v>
      </x:c>
      <x:c r="C19" t="n">
        <x:v>2</x:v>
      </x:c>
      <x:c r="D19" t="n">
        <x:v>0</x:v>
      </x:c>
      <x:c r="E19" s="124" t="n">
        <x:v>0.013285714285714286</x:v>
      </x:c>
      <x:c r="F19" s="124" t="n">
        <x:v>0.047714285714285716</x:v>
      </x:c>
      <x:c r="G19" t="str">
        <x:v>補正なし</x:v>
      </x:c>
    </x:row>
    <x:row r="20">
      <x:c r="A20" t="str">
        <x:v>ジュラルドン</x:v>
      </x:c>
      <x:c r="B20" t="str">
        <x:v>アタック型</x:v>
      </x:c>
      <x:c r="C20" t="n">
        <x:v>1</x:v>
      </x:c>
      <x:c r="D20" t="n">
        <x:v>0</x:v>
      </x:c>
      <x:c r="E20" s="124" t="n">
        <x:v>0.005</x:v>
      </x:c>
      <x:c r="F20" s="124" t="n">
        <x:v>0.016142857142857143</x:v>
      </x:c>
      <x:c r="G20" t="str">
        <x:v>補正なし</x:v>
      </x:c>
    </x:row>
    <x:row r="21">
      <x:c r="A21" t="str">
        <x:v>ドラパルト</x:v>
      </x:c>
      <x:c r="B21" t="str">
        <x:v>アタック型</x:v>
      </x:c>
      <x:c r="C21" t="n">
        <x:v>2</x:v>
      </x:c>
      <x:c r="D21" t="n">
        <x:v>0</x:v>
      </x:c>
      <x:c r="E21" s="124" t="n">
        <x:v>0.012857142857142857</x:v>
      </x:c>
      <x:c r="F21" s="124" t="n">
        <x:v>0.02957142857142857</x:v>
      </x:c>
      <x:c r="G21" t="str">
        <x:v>補正なし</x:v>
      </x:c>
    </x:row>
    <x:row r="22">
      <x:c r="A22" t="str">
        <x:v>ニンフィア</x:v>
      </x:c>
      <x:c r="B22" t="str">
        <x:v>アタック型</x:v>
      </x:c>
      <x:c r="C22" t="n">
        <x:v>1</x:v>
      </x:c>
      <x:c r="D22" t="n">
        <x:v>0</x:v>
      </x:c>
      <x:c r="E22" s="124" t="n">
        <x:v>0.018857142857142857</x:v>
      </x:c>
      <x:c r="F22" s="124" t="n">
        <x:v>0.03271428571428572</x:v>
      </x:c>
      <x:c r="G22" t="str">
        <x:v>補正なし</x:v>
      </x:c>
    </x:row>
    <x:row r="23">
      <x:c r="A23" t="str">
        <x:v>バクフーン</x:v>
      </x:c>
      <x:c r="B23" t="str">
        <x:v>アタック型</x:v>
      </x:c>
      <x:c r="C23" t="n">
        <x:v>1</x:v>
      </x:c>
      <x:c r="D23" t="n">
        <x:v>0</x:v>
      </x:c>
      <x:c r="E23" s="124" t="n">
        <x:v>0.004571428571428572</x:v>
      </x:c>
      <x:c r="F23" s="124" t="n">
        <x:v>0.012285714285714285</x:v>
      </x:c>
      <x:c r="G23" t="str">
        <x:v>補正なし</x:v>
      </x:c>
    </x:row>
    <x:row r="24">
      <x:c r="A24" t="str">
        <x:v>ピカチュウ</x:v>
      </x:c>
      <x:c r="B24" t="str">
        <x:v>アタック型</x:v>
      </x:c>
      <x:c r="C24" t="n">
        <x:v>1</x:v>
      </x:c>
      <x:c r="D24" t="n">
        <x:v>0</x:v>
      </x:c>
      <x:c r="E24" s="124" t="n">
        <x:v>0.006571428571428572</x:v>
      </x:c>
      <x:c r="F24" s="124" t="n">
        <x:v>0.025142857142857144</x:v>
      </x:c>
      <x:c r="G24" t="str">
        <x:v>補正なし</x:v>
      </x:c>
    </x:row>
    <x:row r="25">
      <x:c r="A25" t="str">
        <x:v>フシギバナ</x:v>
      </x:c>
      <x:c r="B25" t="str">
        <x:v>アタック型</x:v>
      </x:c>
      <x:c r="C25" t="n">
        <x:v>2</x:v>
      </x:c>
      <x:c r="D25" t="n">
        <x:v>0</x:v>
      </x:c>
      <x:c r="E25" s="124" t="n">
        <x:v>0.0024285714285714284</x:v>
      </x:c>
      <x:c r="F25" s="124" t="n">
        <x:v>0.01757142857142857</x:v>
      </x:c>
      <x:c r="G25" t="str">
        <x:v>補正なし</x:v>
      </x:c>
    </x:row>
    <x:row r="26">
      <x:c r="A26" t="str">
        <x:v>マフォクシー</x:v>
      </x:c>
      <x:c r="B26" t="str">
        <x:v>アタック型</x:v>
      </x:c>
      <x:c r="C26" t="n">
        <x:v>2</x:v>
      </x:c>
      <x:c r="D26" t="n">
        <x:v>0</x:v>
      </x:c>
      <x:c r="E26" s="124" t="n">
        <x:v>0.01</x:v>
      </x:c>
      <x:c r="F26" s="124" t="n">
        <x:v>0.03571428571428571</x:v>
      </x:c>
      <x:c r="G26" t="str">
        <x:v>補正なし</x:v>
      </x:c>
    </x:row>
    <x:row r="27">
      <x:c r="A27" t="str">
        <x:v>ミュウ</x:v>
      </x:c>
      <x:c r="B27" t="str">
        <x:v>アタック型</x:v>
      </x:c>
      <x:c r="C27" t="n">
        <x:v>1</x:v>
      </x:c>
      <x:c r="D27" t="n">
        <x:v>0</x:v>
      </x:c>
      <x:c r="E27" s="124" t="n">
        <x:v>0.019142857142857142</x:v>
      </x:c>
      <x:c r="F27" s="124" t="n">
        <x:v>0.03428571428571429</x:v>
      </x:c>
      <x:c r="G27" t="str">
        <x:v>補正なし</x:v>
      </x:c>
    </x:row>
    <x:row r="28">
      <x:c r="A28" t="str">
        <x:v>ミュウツー(Y)</x:v>
      </x:c>
      <x:c r="B28" t="str">
        <x:v>アタック型</x:v>
      </x:c>
      <x:c r="C28" t="n">
        <x:v>1</x:v>
      </x:c>
      <x:c r="D28" t="n">
        <x:v>0</x:v>
      </x:c>
      <x:c r="E28" s="124" t="n">
        <x:v>0.027285714285714285</x:v>
      </x:c>
      <x:c r="F28" s="124" t="n">
        <x:v>0.047857142857142855</x:v>
      </x:c>
      <x:c r="G28" t="str">
        <x:v>補正なし</x:v>
      </x:c>
    </x:row>
    <x:row r="29">
      <x:c r="A29" t="str">
        <x:v>ミライドン</x:v>
      </x:c>
      <x:c r="B29" t="str">
        <x:v>アタック型</x:v>
      </x:c>
      <x:c r="C29" t="n">
        <x:v>2</x:v>
      </x:c>
      <x:c r="D29" t="n">
        <x:v>0</x:v>
      </x:c>
      <x:c r="E29" s="124" t="n">
        <x:v>0.0017142857142857142</x:v>
      </x:c>
      <x:c r="F29" s="124" t="n">
        <x:v>0.01042857142857143</x:v>
      </x:c>
      <x:c r="G29" t="str">
        <x:v>補正なし</x:v>
      </x:c>
    </x:row>
    <x:row r="30">
      <x:c r="A30" t="str">
        <x:v>ラウドボーン</x:v>
      </x:c>
      <x:c r="B30" t="str">
        <x:v>アタック型</x:v>
      </x:c>
      <x:c r="C30" t="n">
        <x:v>1</x:v>
      </x:c>
      <x:c r="D30" t="n">
        <x:v>0</x:v>
      </x:c>
      <x:c r="E30" s="124" t="n">
        <x:v>0.00014285714285714287</x:v>
      </x:c>
      <x:c r="F30" s="124" t="n">
        <x:v>0.004142857142857143</x:v>
      </x:c>
      <x:c r="G30" t="str">
        <x:v>補正なし</x:v>
      </x:c>
    </x:row>
    <x:row r="31">
      <x:c r="A31" t="str">
        <x:v>ラティオス</x:v>
      </x:c>
      <x:c r="B31" t="str">
        <x:v>アタック型</x:v>
      </x:c>
      <x:c r="C31" t="n">
        <x:v>1</x:v>
      </x:c>
      <x:c r="D31" t="n">
        <x:v>0</x:v>
      </x:c>
      <x:c r="E31" s="124" t="n">
        <x:v>0.0014285714285714286</x:v>
      </x:c>
      <x:c r="F31" s="124" t="n">
        <x:v>0.012428571428571428</x:v>
      </x:c>
      <x:c r="G31" t="str">
        <x:v>補正なし</x:v>
      </x:c>
    </x:row>
    <x:row r="32">
      <x:c r="A32" t="str">
        <x:v>レシラム</x:v>
      </x:c>
      <x:c r="B32" t="str">
        <x:v>アタック型</x:v>
      </x:c>
      <x:c r="C32" t="n">
        <x:v>1</x:v>
      </x:c>
      <x:c r="D32" t="n">
        <x:v>0</x:v>
      </x:c>
      <x:c r="E32" s="124" t="n">
        <x:v>0.011142857142857144</x:v>
      </x:c>
      <x:c r="F32" s="124" t="n">
        <x:v>0.034</x:v>
      </x:c>
      <x:c r="G32" t="str">
        <x:v>補正なし</x:v>
      </x:c>
    </x:row>
    <x:row r="33">
      <x:c r="A33" t="str">
        <x:v>ストリンダー</x:v>
      </x:c>
      <x:c r="B33" t="str">
        <x:v>アタック型</x:v>
      </x:c>
      <x:c r="C33" t="n">
        <x:v>1</x:v>
      </x:c>
      <x:c r="D33" t="n">
        <x:v>0</x:v>
      </x:c>
      <x:c r="E33" s="124" t="n">
        <x:v>0.0005714285714285715</x:v>
      </x:c>
      <x:c r="F33" s="124" t="n">
        <x:v>0.004857142857142857</x:v>
      </x:c>
      <x:c r="G33" t="str">
        <x:v>補正なし</x:v>
      </x:c>
    </x:row>
    <x:row r="34">
      <x:c r="A34" t="str">
        <x:v>アマージョ</x:v>
      </x:c>
      <x:c r="B34" t="str">
        <x:v>バランス型</x:v>
      </x:c>
      <x:c r="C34" t="n">
        <x:v>1</x:v>
      </x:c>
      <x:c r="D34" t="n">
        <x:v>0</x:v>
      </x:c>
      <x:c r="E34" s="124" t="n">
        <x:v>0.0015714285714285715</x:v>
      </x:c>
      <x:c r="F34" s="124" t="n">
        <x:v>0.01042857142857143</x:v>
      </x:c>
      <x:c r="G34" t="str">
        <x:v>補正なし</x:v>
      </x:c>
    </x:row>
    <x:row r="35">
      <x:c r="A35" t="str">
        <x:v>ウェーニバル</x:v>
      </x:c>
      <x:c r="B35" t="str">
        <x:v>バランス型</x:v>
      </x:c>
      <x:c r="C35" t="n">
        <x:v>1</x:v>
      </x:c>
      <x:c r="D35" t="n">
        <x:v>0</x:v>
      </x:c>
      <x:c r="E35" s="124" t="n">
        <x:v>0.0015714285714285715</x:v>
      </x:c>
      <x:c r="F35" s="124" t="n">
        <x:v>0.005142857142857143</x:v>
      </x:c>
      <x:c r="G35" t="str">
        <x:v>補正なし</x:v>
      </x:c>
    </x:row>
    <x:row r="36">
      <x:c r="A36" t="str">
        <x:v>ウーラオス</x:v>
      </x:c>
      <x:c r="B36" t="str">
        <x:v>バランス型</x:v>
      </x:c>
      <x:c r="C36" t="n">
        <x:v>2</x:v>
      </x:c>
      <x:c r="D36" t="n">
        <x:v>0</x:v>
      </x:c>
      <x:c r="E36" s="124" t="n">
        <x:v>0.003285714285714286</x:v>
      </x:c>
      <x:c r="F36" s="124" t="n">
        <x:v>0.010857142857142857</x:v>
      </x:c>
      <x:c r="G36" t="str">
        <x:v>補正なし</x:v>
      </x:c>
    </x:row>
    <x:row r="37">
      <x:c r="A37" t="str">
        <x:v>エンペルト</x:v>
      </x:c>
      <x:c r="B37" t="str">
        <x:v>バランス型</x:v>
      </x:c>
      <x:c r="C37" t="n">
        <x:v>1</x:v>
      </x:c>
      <x:c r="D37" t="n">
        <x:v>0</x:v>
      </x:c>
      <x:c r="E37" s="124" t="n">
        <x:v>0.00014285714285714287</x:v>
      </x:c>
      <x:c r="F37" s="124" t="n">
        <x:v>0.004714285714285714</x:v>
      </x:c>
      <x:c r="G37" t="str">
        <x:v>補正なし</x:v>
      </x:c>
    </x:row>
    <x:row r="38">
      <x:c r="A38" t="str">
        <x:v>オーダイル</x:v>
      </x:c>
      <x:c r="B38" t="str">
        <x:v>バランス型</x:v>
      </x:c>
      <x:c r="C38" t="n">
        <x:v>1</x:v>
      </x:c>
      <x:c r="D38" t="n">
        <x:v>0</x:v>
      </x:c>
      <x:c r="E38" s="124" t="n">
        <x:v>0.00014285714285714287</x:v>
      </x:c>
      <x:c r="F38" s="124" t="n">
        <x:v>0.004142857142857143</x:v>
      </x:c>
      <x:c r="G38" t="str">
        <x:v>補正なし</x:v>
      </x:c>
    </x:row>
    <x:row r="39">
      <x:c r="A39" t="str">
        <x:v>カイリキー</x:v>
      </x:c>
      <x:c r="B39" t="str">
        <x:v>バランス型</x:v>
      </x:c>
      <x:c r="C39" t="n">
        <x:v>1</x:v>
      </x:c>
      <x:c r="D39" t="n">
        <x:v>0</x:v>
      </x:c>
      <x:c r="E39" s="124" t="n">
        <x:v>0.0012857142857142856</x:v>
      </x:c>
      <x:c r="F39" s="124" t="n">
        <x:v>0.008857142857142857</x:v>
      </x:c>
      <x:c r="G39" t="str">
        <x:v>補正なし</x:v>
      </x:c>
    </x:row>
    <x:row r="40">
      <x:c r="A40" t="str">
        <x:v>カイリュー</x:v>
      </x:c>
      <x:c r="B40" t="str">
        <x:v>バランス型</x:v>
      </x:c>
      <x:c r="C40" t="n">
        <x:v>2</x:v>
      </x:c>
      <x:c r="D40" t="n">
        <x:v>0</x:v>
      </x:c>
      <x:c r="E40" s="124" t="n">
        <x:v>0.003142857142857143</x:v>
      </x:c>
      <x:c r="F40" s="124" t="n">
        <x:v>0.020142857142857143</x:v>
      </x:c>
      <x:c r="G40" t="str">
        <x:v>補正なし</x:v>
      </x:c>
    </x:row>
    <x:row r="41">
      <x:c r="A41" t="str">
        <x:v>ガブリアス</x:v>
      </x:c>
      <x:c r="B41" t="str">
        <x:v>バランス型</x:v>
      </x:c>
      <x:c r="C41" t="n">
        <x:v>1</x:v>
      </x:c>
      <x:c r="D41" t="n">
        <x:v>0</x:v>
      </x:c>
      <x:c r="E41" s="124" t="n">
        <x:v>0.00042857142857142855</x:v>
      </x:c>
      <x:c r="F41" s="124" t="n">
        <x:v>0.011285714285714286</x:v>
      </x:c>
      <x:c r="G41" t="str">
        <x:v>補正なし</x:v>
      </x:c>
    </x:row>
    <x:row r="42">
      <x:c r="A42" t="str">
        <x:v>ギャラドス</x:v>
      </x:c>
      <x:c r="B42" t="str">
        <x:v>バランス型</x:v>
      </x:c>
      <x:c r="C42" t="n">
        <x:v>1</x:v>
      </x:c>
      <x:c r="D42" t="n">
        <x:v>0</x:v>
      </x:c>
      <x:c r="E42" s="124" t="n">
        <x:v>0.010571428571428572</x:v>
      </x:c>
      <x:c r="F42" s="124" t="n">
        <x:v>0.03157142857142857</x:v>
      </x:c>
      <x:c r="G42" t="str">
        <x:v>補正なし</x:v>
      </x:c>
    </x:row>
    <x:row r="43">
      <x:c r="A43" t="str">
        <x:v>メガギャラドス</x:v>
      </x:c>
      <x:c r="B43" t="str">
        <x:v>バランス型</x:v>
      </x:c>
      <x:c r="C43" t="n">
        <x:v>1</x:v>
      </x:c>
      <x:c r="D43" t="n">
        <x:v>0</x:v>
      </x:c>
      <x:c r="E43" s="124" t="n">
        <x:v>0.00014285714285714287</x:v>
      </x:c>
      <x:c r="F43" s="124" t="n">
        <x:v>0.0024285714285714284</x:v>
      </x:c>
      <x:c r="G43" t="str">
        <x:v>補正なし</x:v>
      </x:c>
    </x:row>
    <x:row r="44">
      <x:c r="A44" t="str">
        <x:v>ギルガルド</x:v>
      </x:c>
      <x:c r="B44" t="str">
        <x:v>バランス型</x:v>
      </x:c>
      <x:c r="C44" t="n">
        <x:v>1</x:v>
      </x:c>
      <x:c r="D44" t="n">
        <x:v>0</x:v>
      </x:c>
      <x:c r="E44" s="124" t="n">
        <x:v>0.007285714285714286</x:v>
      </x:c>
      <x:c r="F44" s="124" t="n">
        <x:v>0.017285714285714286</x:v>
      </x:c>
      <x:c r="G44" t="str">
        <x:v>補正なし</x:v>
      </x:c>
    </x:row>
    <x:row r="45">
      <x:c r="A45" t="str">
        <x:v>ザシアン</x:v>
      </x:c>
      <x:c r="B45" t="str">
        <x:v>バランス型</x:v>
      </x:c>
      <x:c r="C45" t="n">
        <x:v>1</x:v>
      </x:c>
      <x:c r="D45" t="n">
        <x:v>0</x:v>
      </x:c>
      <x:c r="E45" s="124" t="n">
        <x:v>0.0027142857142857142</x:v>
      </x:c>
      <x:c r="F45" s="124" t="n">
        <x:v>0.007285714285714286</x:v>
      </x:c>
      <x:c r="G45" t="str">
        <x:v>補正なし</x:v>
      </x:c>
    </x:row>
    <x:row r="46">
      <x:c r="A46" t="str">
        <x:v>スイクン</x:v>
      </x:c>
      <x:c r="B46" t="str">
        <x:v>バランス型</x:v>
      </x:c>
      <x:c r="C46" t="n">
        <x:v>1</x:v>
      </x:c>
      <x:c r="D46" t="n">
        <x:v>0</x:v>
      </x:c>
      <x:c r="E46" s="124" t="n">
        <x:v>0.01842857142857143</x:v>
      </x:c>
      <x:c r="F46" s="124" t="n">
        <x:v>0.04271428571428571</x:v>
      </x:c>
      <x:c r="G46" t="str">
        <x:v>補正なし</x:v>
      </x:c>
    </x:row>
    <x:row r="47">
      <x:c r="A47" t="str">
        <x:v>ソウブレイズ</x:v>
      </x:c>
      <x:c r="B47" t="str">
        <x:v>バランス型</x:v>
      </x:c>
      <x:c r="C47" t="n">
        <x:v>1</x:v>
      </x:c>
      <x:c r="D47" t="n">
        <x:v>0</x:v>
      </x:c>
      <x:c r="E47" s="124" t="n">
        <x:v>0.0007142857142857143</x:v>
      </x:c>
      <x:c r="F47" s="124" t="n">
        <x:v>0.004571428571428572</x:v>
      </x:c>
      <x:c r="G47" t="str">
        <x:v>補正なし</x:v>
      </x:c>
    </x:row>
    <x:row r="48">
      <x:c r="A48" t="str">
        <x:v>ソルガレオ</x:v>
      </x:c>
      <x:c r="B48" t="str">
        <x:v>バランス型</x:v>
      </x:c>
      <x:c r="C48" t="n">
        <x:v>1</x:v>
      </x:c>
      <x:c r="D48" t="n">
        <x:v>0</x:v>
      </x:c>
      <x:c r="E48" s="124" t="n">
        <x:v>0.006142857142857143</x:v>
      </x:c>
      <x:c r="F48" s="124" t="n">
        <x:v>0.025714285714285714</x:v>
      </x:c>
      <x:c r="G48" t="str">
        <x:v>補正なし</x:v>
      </x:c>
    </x:row>
    <x:row r="49">
      <x:c r="A49" t="str">
        <x:v>タイレーツ</x:v>
      </x:c>
      <x:c r="B49" t="str">
        <x:v>バランス型</x:v>
      </x:c>
      <x:c r="C49" t="n">
        <x:v>2</x:v>
      </x:c>
      <x:c r="D49" t="n">
        <x:v>0</x:v>
      </x:c>
      <x:c r="E49" s="124" t="n">
        <x:v>0.011714285714285714</x:v>
      </x:c>
      <x:c r="F49" s="124" t="n">
        <x:v>0.026714285714285715</x:v>
      </x:c>
      <x:c r="G49" t="str">
        <x:v>補正なし</x:v>
      </x:c>
    </x:row>
    <x:row r="50">
      <x:c r="A50" t="str">
        <x:v>ダダリン</x:v>
      </x:c>
      <x:c r="B50" t="str">
        <x:v>バランス型</x:v>
      </x:c>
      <x:c r="C50" t="n">
        <x:v>1</x:v>
      </x:c>
      <x:c r="D50" t="n">
        <x:v>0</x:v>
      </x:c>
      <x:c r="E50" s="124" t="n">
        <x:v>0.017857142857142856</x:v>
      </x:c>
      <x:c r="F50" s="124" t="n">
        <x:v>0.054142857142857145</x:v>
      </x:c>
      <x:c r="G50" t="str">
        <x:v>補正なし</x:v>
      </x:c>
    </x:row>
    <x:row r="51">
      <x:c r="A51" t="str">
        <x:v>デカヌチャン</x:v>
      </x:c>
      <x:c r="B51" t="str">
        <x:v>バランス型</x:v>
      </x:c>
      <x:c r="C51" t="n">
        <x:v>1</x:v>
      </x:c>
      <x:c r="D51" t="n">
        <x:v>0</x:v>
      </x:c>
      <x:c r="E51" s="124" t="n">
        <x:v>0.04157142857142857</x:v>
      </x:c>
      <x:c r="F51" s="124" t="n">
        <x:v>0.077</x:v>
      </x:c>
      <x:c r="G51" t="str">
        <x:v>補正なし</x:v>
      </x:c>
    </x:row>
    <x:row r="52">
      <x:c r="A52" t="str">
        <x:v>ネギガナイト</x:v>
      </x:c>
      <x:c r="B52" t="str">
        <x:v>バランス型</x:v>
      </x:c>
      <x:c r="C52" t="n">
        <x:v>1</x:v>
      </x:c>
      <x:c r="D52" t="n">
        <x:v>0</x:v>
      </x:c>
      <x:c r="E52" s="124" t="n">
        <x:v>0.0034285714285714284</x:v>
      </x:c>
      <x:c r="F52" s="124" t="n">
        <x:v>0.011285714285714286</x:v>
      </x:c>
      <x:c r="G52" t="str">
        <x:v>補正なし</x:v>
      </x:c>
    </x:row>
    <x:row r="53">
      <x:c r="A53" t="str">
        <x:v>ハッサム</x:v>
      </x:c>
      <x:c r="B53" t="str">
        <x:v>バランス型</x:v>
      </x:c>
      <x:c r="C53" t="n">
        <x:v>2</x:v>
      </x:c>
      <x:c r="D53" t="n">
        <x:v>0</x:v>
      </x:c>
      <x:c r="E53" s="124" t="n">
        <x:v>0.003142857142857143</x:v>
      </x:c>
      <x:c r="F53" s="124" t="n">
        <x:v>0.013142857142857144</x:v>
      </x:c>
      <x:c r="G53" t="str">
        <x:v>補正なし</x:v>
      </x:c>
    </x:row>
    <x:row r="54">
      <x:c r="A54" t="str">
        <x:v>バシャーモ</x:v>
      </x:c>
      <x:c r="B54" t="str">
        <x:v>バランス型</x:v>
      </x:c>
      <x:c r="C54" t="n">
        <x:v>1</x:v>
      </x:c>
      <x:c r="D54" t="n">
        <x:v>0</x:v>
      </x:c>
      <x:c r="E54" s="124" t="n">
        <x:v>0.00042857142857142855</x:v>
      </x:c>
      <x:c r="F54" s="124" t="n">
        <x:v>0.002142857142857143</x:v>
      </x:c>
      <x:c r="G54" t="str">
        <x:v>補正なし</x:v>
      </x:c>
    </x:row>
    <x:row r="55">
      <x:c r="A55" t="str">
        <x:v>バンギラス</x:v>
      </x:c>
      <x:c r="B55" t="str">
        <x:v>バランス型</x:v>
      </x:c>
      <x:c r="C55" t="n">
        <x:v>1</x:v>
      </x:c>
      <x:c r="D55" t="n">
        <x:v>0</x:v>
      </x:c>
      <x:c r="E55" s="124" t="n">
        <x:v>0.0017142857142857142</x:v>
      </x:c>
      <x:c r="F55" s="124" t="n">
        <x:v>0.04</x:v>
      </x:c>
      <x:c r="G55" t="str">
        <x:v>補正なし</x:v>
      </x:c>
    </x:row>
    <x:row r="56">
      <x:c r="A56" t="str">
        <x:v>パルキア</x:v>
      </x:c>
      <x:c r="B56" t="str">
        <x:v>バランス型</x:v>
      </x:c>
      <x:c r="C56" t="n">
        <x:v>1</x:v>
      </x:c>
      <x:c r="D56" t="n">
        <x:v>0</x:v>
      </x:c>
      <x:c r="E56" s="124" t="n">
        <x:v>0.0005714285714285715</x:v>
      </x:c>
      <x:c r="F56" s="124" t="n">
        <x:v>0.004714285714285714</x:v>
      </x:c>
      <x:c r="G56" t="str">
        <x:v>補正なし</x:v>
      </x:c>
    </x:row>
    <x:row r="57">
      <x:c r="A57" t="str">
        <x:v>パーモット</x:v>
      </x:c>
      <x:c r="B57" t="str">
        <x:v>バランス型</x:v>
      </x:c>
      <x:c r="C57" t="n">
        <x:v>1</x:v>
      </x:c>
      <x:c r="D57" t="n">
        <x:v>0.15</x:v>
      </x:c>
      <x:c r="E57" s="124" t="n">
        <x:v>0.001</x:v>
      </x:c>
      <x:c r="F57" s="124" t="n">
        <x:v>0.0064285714285714285</x:v>
      </x:c>
      <x:c r="G57" t="str">
        <x:v>出現不足を補う順位補正</x:v>
      </x:c>
    </x:row>
    <x:row r="58">
      <x:c r="A58" t="str">
        <x:v>ファイヤー</x:v>
      </x:c>
      <x:c r="B58" t="str">
        <x:v>バランス型</x:v>
      </x:c>
      <x:c r="C58" t="n">
        <x:v>1</x:v>
      </x:c>
      <x:c r="D58" t="n">
        <x:v>0</x:v>
      </x:c>
      <x:c r="E58" s="124" t="n">
        <x:v>0.001142857142857143</x:v>
      </x:c>
      <x:c r="F58" s="124" t="n">
        <x:v>0.013428571428571429</x:v>
      </x:c>
      <x:c r="G58" t="str">
        <x:v>補正なし</x:v>
      </x:c>
    </x:row>
    <x:row r="59">
      <x:c r="A59" t="str">
        <x:v>マッシブーン</x:v>
      </x:c>
      <x:c r="B59" t="str">
        <x:v>バランス型</x:v>
      </x:c>
      <x:c r="C59" t="n">
        <x:v>1</x:v>
      </x:c>
      <x:c r="D59" t="n">
        <x:v>0</x:v>
      </x:c>
      <x:c r="E59" s="124" t="n">
        <x:v>0.019571428571428573</x:v>
      </x:c>
      <x:c r="F59" s="124" t="n">
        <x:v>0.052571428571428575</x:v>
      </x:c>
      <x:c r="G59" t="str">
        <x:v>補正なし</x:v>
      </x:c>
    </x:row>
    <x:row r="60">
      <x:c r="A60" t="str">
        <x:v>マリルリ</x:v>
      </x:c>
      <x:c r="B60" t="str">
        <x:v>バランス型</x:v>
      </x:c>
      <x:c r="C60" t="n">
        <x:v>1</x:v>
      </x:c>
      <x:c r="D60" t="n">
        <x:v>0</x:v>
      </x:c>
      <x:c r="E60" s="124" t="n">
        <x:v>0.00042857142857142855</x:v>
      </x:c>
      <x:c r="F60" s="124" t="n">
        <x:v>0.005285714285714286</x:v>
      </x:c>
      <x:c r="G60" t="str">
        <x:v>補正なし</x:v>
      </x:c>
    </x:row>
    <x:row r="61">
      <x:c r="A61" t="str">
        <x:v>ミミッキュ</x:v>
      </x:c>
      <x:c r="B61" t="str">
        <x:v>バランス型</x:v>
      </x:c>
      <x:c r="C61" t="n">
        <x:v>2</x:v>
      </x:c>
      <x:c r="D61" t="n">
        <x:v>0</x:v>
      </x:c>
      <x:c r="E61" s="124" t="n">
        <x:v>0.00042857142857142855</x:v>
      </x:c>
      <x:c r="F61" s="124" t="n">
        <x:v>0.004142857142857143</x:v>
      </x:c>
      <x:c r="G61" t="str">
        <x:v>補正なし</x:v>
      </x:c>
    </x:row>
    <x:row r="62">
      <x:c r="A62" t="str">
        <x:v>ミュウツー(X)</x:v>
      </x:c>
      <x:c r="B62" t="str">
        <x:v>バランス型</x:v>
      </x:c>
      <x:c r="C62" t="n">
        <x:v>1</x:v>
      </x:c>
      <x:c r="D62" t="n">
        <x:v>0</x:v>
      </x:c>
      <x:c r="E62" s="124" t="n">
        <x:v>0.041428571428571426</x:v>
      </x:c>
      <x:c r="F62" s="124" t="n">
        <x:v>0.07871428571428571</x:v>
      </x:c>
      <x:c r="G62" t="str">
        <x:v>補正なし</x:v>
      </x:c>
    </x:row>
    <x:row r="63">
      <x:c r="A63" t="str">
        <x:v>メタグロス</x:v>
      </x:c>
      <x:c r="B63" t="str">
        <x:v>バランス型</x:v>
      </x:c>
      <x:c r="C63" t="n">
        <x:v>1</x:v>
      </x:c>
      <x:c r="D63" t="n">
        <x:v>0</x:v>
      </x:c>
      <x:c r="E63" s="124" t="n">
        <x:v>0.006285714285714286</x:v>
      </x:c>
      <x:c r="F63" s="124" t="n">
        <x:v>0.017714285714285714</x:v>
      </x:c>
      <x:c r="G63" t="str">
        <x:v>補正なし</x:v>
      </x:c>
    </x:row>
    <x:row r="64">
      <x:c r="A64" t="str">
        <x:v>リザードン</x:v>
      </x:c>
      <x:c r="B64" t="str">
        <x:v>バランス型</x:v>
      </x:c>
      <x:c r="C64" t="n">
        <x:v>2</x:v>
      </x:c>
      <x:c r="D64" t="n">
        <x:v>0</x:v>
      </x:c>
      <x:c r="E64" s="124" t="n">
        <x:v>0.003857142857142857</x:v>
      </x:c>
      <x:c r="F64" s="124" t="n">
        <x:v>0.023857142857142858</x:v>
      </x:c>
      <x:c r="G64" t="str">
        <x:v>補正なし</x:v>
      </x:c>
    </x:row>
    <x:row r="65">
      <x:c r="A65" t="str">
        <x:v>メガリザードンX</x:v>
      </x:c>
      <x:c r="B65" t="str">
        <x:v>バランス型</x:v>
      </x:c>
      <x:c r="C65" t="n">
        <x:v>1</x:v>
      </x:c>
      <x:c r="D65" t="n">
        <x:v>0</x:v>
      </x:c>
      <x:c r="E65" s="124" t="n">
        <x:v>0.002</x:v>
      </x:c>
      <x:c r="F65" s="124" t="n">
        <x:v>0.010142857142857143</x:v>
      </x:c>
      <x:c r="G65" t="str">
        <x:v>補正なし</x:v>
      </x:c>
    </x:row>
    <x:row r="66">
      <x:c r="A66" t="str">
        <x:v>メガリザードンY</x:v>
      </x:c>
      <x:c r="B66" t="str">
        <x:v>バランス型</x:v>
      </x:c>
      <x:c r="C66" t="n">
        <x:v>1</x:v>
      </x:c>
      <x:c r="D66" t="n">
        <x:v>0</x:v>
      </x:c>
      <x:c r="E66" s="124" t="n">
        <x:v>0.001</x:v>
      </x:c>
      <x:c r="F66" s="124" t="n">
        <x:v>0.011142857142857144</x:v>
      </x:c>
      <x:c r="G66" t="str">
        <x:v>補正なし</x:v>
      </x:c>
    </x:row>
    <x:row r="67">
      <x:c r="A67" t="str">
        <x:v>ルカリオ</x:v>
      </x:c>
      <x:c r="B67" t="str">
        <x:v>バランス型</x:v>
      </x:c>
      <x:c r="C67" t="n">
        <x:v>2</x:v>
      </x:c>
      <x:c r="D67" t="n">
        <x:v>0</x:v>
      </x:c>
      <x:c r="E67" s="124" t="n">
        <x:v>0.002285714285714286</x:v>
      </x:c>
      <x:c r="F67" s="124" t="n">
        <x:v>0.011</x:v>
      </x:c>
      <x:c r="G67" t="str">
        <x:v>補正なし</x:v>
      </x:c>
    </x:row>
    <x:row r="68">
      <x:c r="A68" t="str">
        <x:v>メガルカリオ</x:v>
      </x:c>
      <x:c r="B68" t="str">
        <x:v>バランス型</x:v>
      </x:c>
      <x:c r="C68" t="n">
        <x:v>1</x:v>
      </x:c>
      <x:c r="D68" t="n">
        <x:v>0</x:v>
      </x:c>
      <x:c r="E68" s="124" t="n">
        <x:v>0.004142857142857143</x:v>
      </x:c>
      <x:c r="F68" s="124" t="n">
        <x:v>0.012</x:v>
      </x:c>
      <x:c r="G68" t="str">
        <x:v>補正なし</x:v>
      </x:c>
    </x:row>
    <x:row r="69">
      <x:c r="A69" t="str">
        <x:v>アブソル</x:v>
      </x:c>
      <x:c r="B69" t="str">
        <x:v>スピード型</x:v>
      </x:c>
      <x:c r="C69" t="n">
        <x:v>1</x:v>
      </x:c>
      <x:c r="D69" t="n">
        <x:v>0.3</x:v>
      </x:c>
      <x:c r="E69" s="124" t="n">
        <x:v>0.00014285714285714287</x:v>
      </x:c>
      <x:c r="F69" s="124" t="n">
        <x:v>0.0015714285714285715</x:v>
      </x:c>
      <x:c r="G69" t="str">
        <x:v>出現不足を補う順位補正</x:v>
      </x:c>
    </x:row>
    <x:row r="70">
      <x:c r="A70" t="str">
        <x:v>ガラルギャロップ</x:v>
      </x:c>
      <x:c r="B70" t="str">
        <x:v>スピード型</x:v>
      </x:c>
      <x:c r="C70" t="n">
        <x:v>1</x:v>
      </x:c>
      <x:c r="D70" t="n">
        <x:v>0</x:v>
      </x:c>
      <x:c r="E70" s="124" t="n">
        <x:v>0.00028571428571428574</x:v>
      </x:c>
      <x:c r="F70" s="124" t="n">
        <x:v>0.0027142857142857142</x:v>
      </x:c>
      <x:c r="G70" t="str">
        <x:v>補正なし</x:v>
      </x:c>
    </x:row>
    <x:row r="71">
      <x:c r="A71" t="str">
        <x:v>ゲンガー</x:v>
      </x:c>
      <x:c r="B71" t="str">
        <x:v>スピード型</x:v>
      </x:c>
      <x:c r="C71" t="n">
        <x:v>1</x:v>
      </x:c>
      <x:c r="D71" t="n">
        <x:v>0.15</x:v>
      </x:c>
      <x:c r="E71" s="124" t="n">
        <x:v>0.00014285714285714287</x:v>
      </x:c>
      <x:c r="F71" s="124" t="n">
        <x:v>0.0018571428571428571</x:v>
      </x:c>
      <x:c r="G71" t="str">
        <x:v>出現不足を補う順位補正</x:v>
      </x:c>
    </x:row>
    <x:row r="72">
      <x:c r="A72" t="str">
        <x:v>ゼラオラ</x:v>
      </x:c>
      <x:c r="B72" t="str">
        <x:v>スピード型</x:v>
      </x:c>
      <x:c r="C72" t="n">
        <x:v>2</x:v>
      </x:c>
      <x:c r="D72" t="n">
        <x:v>0</x:v>
      </x:c>
      <x:c r="E72" s="124" t="n">
        <x:v>0.0034285714285714284</x:v>
      </x:c>
      <x:c r="F72" s="124" t="n">
        <x:v>0.01685714285714286</x:v>
      </x:c>
      <x:c r="G72" t="str">
        <x:v>補正なし</x:v>
      </x:c>
    </x:row>
    <x:row r="73">
      <x:c r="A73" t="str">
        <x:v>ゾロアーク</x:v>
      </x:c>
      <x:c r="B73" t="str">
        <x:v>スピード型</x:v>
      </x:c>
      <x:c r="C73" t="n">
        <x:v>1</x:v>
      </x:c>
      <x:c r="D73" t="n">
        <x:v>0.45</x:v>
      </x:c>
      <x:c r="E73" s="124" t="n">
        <x:v>0.00028571428571428574</x:v>
      </x:c>
      <x:c r="F73" s="124" t="n">
        <x:v>0.002142857142857143</x:v>
      </x:c>
      <x:c r="G73" t="str">
        <x:v>出現不足を補う順位補正</x:v>
      </x:c>
    </x:row>
    <x:row r="74">
      <x:c r="A74" t="str">
        <x:v>ダークライ</x:v>
      </x:c>
      <x:c r="B74" t="str">
        <x:v>スピード型</x:v>
      </x:c>
      <x:c r="C74" t="n">
        <x:v>1</x:v>
      </x:c>
      <x:c r="D74" t="n">
        <x:v>0</x:v>
      </x:c>
      <x:c r="E74" s="124" t="n">
        <x:v>0.0012857142857142856</x:v>
      </x:c>
      <x:c r="F74" s="124" t="n">
        <x:v>0.008142857142857143</x:v>
      </x:c>
      <x:c r="G74" t="str">
        <x:v>補正なし</x:v>
      </x:c>
    </x:row>
    <x:row r="75">
      <x:c r="A75" t="str">
        <x:v>ドードリオ</x:v>
      </x:c>
      <x:c r="B75" t="str">
        <x:v>スピード型</x:v>
      </x:c>
      <x:c r="C75" t="n">
        <x:v>1</x:v>
      </x:c>
      <x:c r="D75" t="n">
        <x:v>0</x:v>
      </x:c>
      <x:c r="E75" s="124" t="n">
        <x:v>0.00028571428571428574</x:v>
      </x:c>
      <x:c r="F75" s="124" t="n">
        <x:v>0.0024285714285714284</x:v>
      </x:c>
      <x:c r="G75" t="str">
        <x:v>補正なし</x:v>
      </x:c>
    </x:row>
    <x:row r="76">
      <x:c r="A76" t="str">
        <x:v>ニャース</x:v>
      </x:c>
      <x:c r="B76" t="str">
        <x:v>スピード型</x:v>
      </x:c>
      <x:c r="C76" t="n">
        <x:v>1</x:v>
      </x:c>
      <x:c r="D76" t="n">
        <x:v>0</x:v>
      </x:c>
      <x:c r="E76" s="124" t="n">
        <x:v>0.004285714285714286</x:v>
      </x:c>
      <x:c r="F76" s="124" t="n">
        <x:v>0.013142857142857144</x:v>
      </x:c>
      <x:c r="G76" t="str">
        <x:v>補正なし</x:v>
      </x:c>
    </x:row>
    <x:row r="77">
      <x:c r="A77" t="str">
        <x:v>ファイアロー</x:v>
      </x:c>
      <x:c r="B77" t="str">
        <x:v>スピード型</x:v>
      </x:c>
      <x:c r="C77" t="n">
        <x:v>1</x:v>
      </x:c>
      <x:c r="D77" t="n">
        <x:v>0.45</x:v>
      </x:c>
      <x:c r="E77" s="124" t="n">
        <x:v>0.00042857142857142855</x:v>
      </x:c>
      <x:c r="F77" s="124" t="n">
        <x:v>0.002285714285714286</x:v>
      </x:c>
      <x:c r="G77" t="str">
        <x:v>出現不足を補う順位補正</x:v>
      </x:c>
    </x:row>
    <x:row r="78">
      <x:c r="A78" t="str">
        <x:v>マスカーニャ</x:v>
      </x:c>
      <x:c r="B78" t="str">
        <x:v>スピード型</x:v>
      </x:c>
      <x:c r="C78" t="n">
        <x:v>2</x:v>
      </x:c>
      <x:c r="D78" t="n">
        <x:v>0</x:v>
      </x:c>
      <x:c r="E78" s="124" t="n">
        <x:v>0.006571428571428572</x:v>
      </x:c>
      <x:c r="F78" s="124" t="n">
        <x:v>0.023428571428571427</x:v>
      </x:c>
      <x:c r="G78" t="str">
        <x:v>補正なし</x:v>
      </x:c>
    </x:row>
    <x:row r="79">
      <x:c r="A79" t="str">
        <x:v>モルペコ</x:v>
      </x:c>
      <x:c r="B79" t="str">
        <x:v>スピード型</x:v>
      </x:c>
      <x:c r="C79" t="n">
        <x:v>1</x:v>
      </x:c>
      <x:c r="D79" t="n">
        <x:v>0.15</x:v>
      </x:c>
      <x:c r="E79" s="124" t="n">
        <x:v>0.00014285714285714287</x:v>
      </x:c>
      <x:c r="F79" s="124" t="n">
        <x:v>0.0027142857142857142</x:v>
      </x:c>
      <x:c r="G79" t="str">
        <x:v>出現不足を補う順位補正</x:v>
      </x:c>
    </x:row>
    <x:row r="80">
      <x:c r="A80" t="str">
        <x:v>リーフィア</x:v>
      </x:c>
      <x:c r="B80" t="str">
        <x:v>スピード型</x:v>
      </x:c>
      <x:c r="C80" t="n">
        <x:v>1</x:v>
      </x:c>
      <x:c r="D80" t="n">
        <x:v>0</x:v>
      </x:c>
      <x:c r="E80" s="124" t="n">
        <x:v>0.0012857142857142856</x:v>
      </x:c>
      <x:c r="F80" s="124" t="n">
        <x:v>0.0054285714285714284</x:v>
      </x:c>
      <x:c r="G80" t="str">
        <x:v>補正なし</x:v>
      </x:c>
    </x:row>
    <x:row r="81">
      <x:c r="A81" t="str">
        <x:v>イワパレス</x:v>
      </x:c>
      <x:c r="B81" t="str">
        <x:v>ディフェンス型</x:v>
      </x:c>
      <x:c r="C81" t="n">
        <x:v>2</x:v>
      </x:c>
      <x:c r="D81" t="n">
        <x:v>0</x:v>
      </x:c>
      <x:c r="E81" s="124" t="n">
        <x:v>0.02642857142857143</x:v>
      </x:c>
      <x:c r="F81" s="124" t="n">
        <x:v>0.09214285714285714</x:v>
      </x:c>
      <x:c r="G81" t="str">
        <x:v>補正なし</x:v>
      </x:c>
    </x:row>
    <x:row r="82">
      <x:c r="A82" t="str">
        <x:v>オーロット</x:v>
      </x:c>
      <x:c r="B82" t="str">
        <x:v>ディフェンス型</x:v>
      </x:c>
      <x:c r="C82" t="n">
        <x:v>2</x:v>
      </x:c>
      <x:c r="D82" t="n">
        <x:v>0</x:v>
      </x:c>
      <x:c r="E82" s="124" t="n">
        <x:v>0.020428571428571428</x:v>
      </x:c>
      <x:c r="F82" s="124" t="n">
        <x:v>0.09671428571428571</x:v>
      </x:c>
      <x:c r="G82" t="str">
        <x:v>補正なし</x:v>
      </x:c>
    </x:row>
    <x:row r="83">
      <x:c r="A83" t="str">
        <x:v>カビゴン</x:v>
      </x:c>
      <x:c r="B83" t="str">
        <x:v>ディフェンス型</x:v>
      </x:c>
      <x:c r="C83" t="n">
        <x:v>2</x:v>
      </x:c>
      <x:c r="D83" t="n">
        <x:v>-0.1</x:v>
      </x:c>
      <x:c r="E83" s="124" t="n">
        <x:v>0.04428571428571428</x:v>
      </x:c>
      <x:c r="F83" s="124" t="n">
        <x:v>0.10757142857142857</x:v>
      </x:c>
      <x:c r="G83" t="str">
        <x:v>出現過多を抑える順位補正</x:v>
      </x:c>
    </x:row>
    <x:row r="84">
      <x:c r="A84" t="str">
        <x:v>カメックス</x:v>
      </x:c>
      <x:c r="B84" t="str">
        <x:v>ディフェンス型</x:v>
      </x:c>
      <x:c r="C84" t="n">
        <x:v>2</x:v>
      </x:c>
      <x:c r="D84" t="n">
        <x:v>0</x:v>
      </x:c>
      <x:c r="E84" s="124" t="n">
        <x:v>0.032285714285714286</x:v>
      </x:c>
      <x:c r="F84" s="124" t="n">
        <x:v>0.09771428571428571</x:v>
      </x:c>
      <x:c r="G84" t="str">
        <x:v>補正なし</x:v>
      </x:c>
    </x:row>
    <x:row r="85">
      <x:c r="A85" t="str">
        <x:v>シャワーズ</x:v>
      </x:c>
      <x:c r="B85" t="str">
        <x:v>ディフェンス型</x:v>
      </x:c>
      <x:c r="C85" t="n">
        <x:v>2</x:v>
      </x:c>
      <x:c r="D85" t="n">
        <x:v>0</x:v>
      </x:c>
      <x:c r="E85" s="124" t="n">
        <x:v>0.030714285714285715</x:v>
      </x:c>
      <x:c r="F85" s="124" t="n">
        <x:v>0.07871428571428571</x:v>
      </x:c>
      <x:c r="G85" t="str">
        <x:v>補正なし</x:v>
      </x:c>
    </x:row>
    <x:row r="86">
      <x:c r="A86" t="str">
        <x:v>ヌメルゴン</x:v>
      </x:c>
      <x:c r="B86" t="str">
        <x:v>ディフェンス型</x:v>
      </x:c>
      <x:c r="C86" t="n">
        <x:v>1</x:v>
      </x:c>
      <x:c r="D86" t="n">
        <x:v>0</x:v>
      </x:c>
      <x:c r="E86" s="124" t="n">
        <x:v>0.008142857142857143</x:v>
      </x:c>
      <x:c r="F86" s="124" t="n">
        <x:v>0.033857142857142856</x:v>
      </x:c>
      <x:c r="G86" t="str">
        <x:v>補正なし</x:v>
      </x:c>
    </x:row>
    <x:row r="87">
      <x:c r="A87" t="str">
        <x:v>フリーザー</x:v>
      </x:c>
      <x:c r="B87" t="str">
        <x:v>ディフェンス型</x:v>
      </x:c>
      <x:c r="C87" t="n">
        <x:v>1</x:v>
      </x:c>
      <x:c r="D87" t="n">
        <x:v>0</x:v>
      </x:c>
      <x:c r="E87" s="124" t="n">
        <x:v>0.005285714285714286</x:v>
      </x:c>
      <x:c r="F87" s="124" t="n">
        <x:v>0.021285714285714286</x:v>
      </x:c>
      <x:c r="G87" t="str">
        <x:v>補正なし</x:v>
      </x:c>
    </x:row>
    <x:row r="88">
      <x:c r="A88" t="str">
        <x:v>ブラッキー</x:v>
      </x:c>
      <x:c r="B88" t="str">
        <x:v>ディフェンス型</x:v>
      </x:c>
      <x:c r="C88" t="n">
        <x:v>2</x:v>
      </x:c>
      <x:c r="D88" t="n">
        <x:v>0</x:v>
      </x:c>
      <x:c r="E88" s="124" t="n">
        <x:v>0.004142857142857143</x:v>
      </x:c>
      <x:c r="F88" s="124" t="n">
        <x:v>0.047285714285714285</x:v>
      </x:c>
      <x:c r="G88" t="str">
        <x:v>補正なし</x:v>
      </x:c>
    </x:row>
    <x:row r="89">
      <x:c r="A89" t="str">
        <x:v>ホウオウ</x:v>
      </x:c>
      <x:c r="B89" t="str">
        <x:v>ディフェンス型</x:v>
      </x:c>
      <x:c r="C89" t="n">
        <x:v>2</x:v>
      </x:c>
      <x:c r="D89" t="n">
        <x:v>-0.9</x:v>
      </x:c>
      <x:c r="E89" s="124" t="n">
        <x:v>0.04385714285714286</x:v>
      </x:c>
      <x:c r="F89" s="124" t="n">
        <x:v>0.11128571428571428</x:v>
      </x:c>
      <x:c r="G89" t="str">
        <x:v>出現過多を抑える順位補正</x:v>
      </x:c>
    </x:row>
    <x:row r="90">
      <x:c r="A90" t="str">
        <x:v>マンムー</x:v>
      </x:c>
      <x:c r="B90" t="str">
        <x:v>ディフェンス型</x:v>
      </x:c>
      <x:c r="C90" t="n">
        <x:v>1</x:v>
      </x:c>
      <x:c r="D90" t="n">
        <x:v>0</x:v>
      </x:c>
      <x:c r="E90" s="124" t="n">
        <x:v>0.03</x:v>
      </x:c>
      <x:c r="F90" s="124" t="n">
        <x:v>0.05785714285714286</x:v>
      </x:c>
      <x:c r="G90" t="str">
        <x:v>補正なし</x:v>
      </x:c>
    </x:row>
    <x:row r="91">
      <x:c r="A91" t="str">
        <x:v>ヤドラン</x:v>
      </x:c>
      <x:c r="B91" t="str">
        <x:v>ディフェンス型</x:v>
      </x:c>
      <x:c r="C91" t="n">
        <x:v>2</x:v>
      </x:c>
      <x:c r="D91" t="n">
        <x:v>0</x:v>
      </x:c>
      <x:c r="E91" s="124" t="n">
        <x:v>0.02642857142857143</x:v>
      </x:c>
      <x:c r="F91" s="124" t="n">
        <x:v>0.059571428571428574</x:v>
      </x:c>
      <x:c r="G91" t="str">
        <x:v>補正なし</x:v>
      </x:c>
    </x:row>
    <x:row r="92">
      <x:c r="A92" t="str">
        <x:v>ヨクバリス</x:v>
      </x:c>
      <x:c r="B92" t="str">
        <x:v>ディフェンス型</x:v>
      </x:c>
      <x:c r="C92" t="n">
        <x:v>2</x:v>
      </x:c>
      <x:c r="D92" t="n">
        <x:v>0</x:v>
      </x:c>
      <x:c r="E92" s="124" t="n">
        <x:v>0.019571428571428573</x:v>
      </x:c>
      <x:c r="F92" s="124" t="n">
        <x:v>0.04657142857142857</x:v>
      </x:c>
      <x:c r="G92" t="str">
        <x:v>補正なし</x:v>
      </x:c>
    </x:row>
    <x:row r="93">
      <x:c r="A93" t="str">
        <x:v>ラプラス</x:v>
      </x:c>
      <x:c r="B93" t="str">
        <x:v>ディフェンス型</x:v>
      </x:c>
      <x:c r="C93" t="n">
        <x:v>1</x:v>
      </x:c>
      <x:c r="D93" t="n">
        <x:v>-0.1</x:v>
      </x:c>
      <x:c r="E93" s="124" t="n">
        <x:v>0.04314285714285714</x:v>
      </x:c>
      <x:c r="F93" s="124" t="n">
        <x:v>0.07914285714285714</x:v>
      </x:c>
      <x:c r="G93" t="str">
        <x:v>出現過多を抑える順位補正</x:v>
      </x:c>
    </x:row>
    <x:row r="94">
      <x:c r="A94" t="str">
        <x:v>キュワワー</x:v>
      </x:c>
      <x:c r="B94" t="str">
        <x:v>サポート型</x:v>
      </x:c>
      <x:c r="C94" t="n">
        <x:v>1</x:v>
      </x:c>
      <x:c r="D94" t="n">
        <x:v>0</x:v>
      </x:c>
      <x:c r="E94" s="124" t="n">
        <x:v>0.02542857142857143</x:v>
      </x:c>
      <x:c r="F94" s="124" t="n">
        <x:v>0.05985714285714286</x:v>
      </x:c>
      <x:c r="G94" t="str">
        <x:v>補正なし</x:v>
      </x:c>
    </x:row>
    <x:row r="95">
      <x:c r="A95" t="str">
        <x:v>コダック</x:v>
      </x:c>
      <x:c r="B95" t="str">
        <x:v>サポート型</x:v>
      </x:c>
      <x:c r="C95" t="n">
        <x:v>1</x:v>
      </x:c>
      <x:c r="D95" t="n">
        <x:v>0</x:v>
      </x:c>
      <x:c r="E95" s="124" t="n">
        <x:v>0.01742857142857143</x:v>
      </x:c>
      <x:c r="F95" s="124" t="n">
        <x:v>0.05014285714285714</x:v>
      </x:c>
      <x:c r="G95" t="str">
        <x:v>補正なし</x:v>
      </x:c>
    </x:row>
    <x:row r="96">
      <x:c r="A96" t="str">
        <x:v>ハピナス</x:v>
      </x:c>
      <x:c r="B96" t="str">
        <x:v>サポート型</x:v>
      </x:c>
      <x:c r="C96" t="n">
        <x:v>1</x:v>
      </x:c>
      <x:c r="D96" t="n">
        <x:v>0</x:v>
      </x:c>
      <x:c r="E96" s="124" t="n">
        <x:v>0.00042857142857142855</x:v>
      </x:c>
      <x:c r="F96" s="124" t="n">
        <x:v>0.011428571428571429</x:v>
      </x:c>
      <x:c r="G96" t="str">
        <x:v>補正なし</x:v>
      </x:c>
    </x:row>
    <x:row r="97">
      <x:c r="A97" t="str">
        <x:v>バリヤード</x:v>
      </x:c>
      <x:c r="B97" t="str">
        <x:v>サポート型</x:v>
      </x:c>
      <x:c r="C97" t="n">
        <x:v>2</x:v>
      </x:c>
      <x:c r="D97" t="n">
        <x:v>0</x:v>
      </x:c>
      <x:c r="E97" s="124" t="n">
        <x:v>0.039142857142857146</x:v>
      </x:c>
      <x:c r="F97" s="124" t="n">
        <x:v>0.09628571428571428</x:v>
      </x:c>
      <x:c r="G97" t="str">
        <x:v>補正なし</x:v>
      </x:c>
    </x:row>
    <x:row r="98">
      <x:c r="A98" t="str">
        <x:v>ピクシー</x:v>
      </x:c>
      <x:c r="B98" t="str">
        <x:v>サポート型</x:v>
      </x:c>
      <x:c r="C98" t="n">
        <x:v>1</x:v>
      </x:c>
      <x:c r="D98" t="n">
        <x:v>0</x:v>
      </x:c>
      <x:c r="E98" s="124" t="n">
        <x:v>0.005285714285714286</x:v>
      </x:c>
      <x:c r="F98" s="124" t="n">
        <x:v>0.03785714285714286</x:v>
      </x:c>
      <x:c r="G98" t="str">
        <x:v>補正なし</x:v>
      </x:c>
    </x:row>
    <x:row r="99">
      <x:c r="A99" t="str">
        <x:v>フーパ</x:v>
      </x:c>
      <x:c r="B99" t="str">
        <x:v>サポート型</x:v>
      </x:c>
      <x:c r="C99" t="n">
        <x:v>2</x:v>
      </x:c>
      <x:c r="D99" t="n">
        <x:v>0</x:v>
      </x:c>
      <x:c r="E99" s="124" t="n">
        <x:v>0.010142857142857143</x:v>
      </x:c>
      <x:c r="F99" s="124" t="n">
        <x:v>0.038285714285714284</x:v>
      </x:c>
      <x:c r="G99" t="str">
        <x:v>補正なし</x:v>
      </x:c>
    </x:row>
    <x:row r="100">
      <x:c r="A100" t="str">
        <x:v>プクリン</x:v>
      </x:c>
      <x:c r="B100" t="str">
        <x:v>サポート型</x:v>
      </x:c>
      <x:c r="C100" t="n">
        <x:v>1</x:v>
      </x:c>
      <x:c r="D100" t="n">
        <x:v>0</x:v>
      </x:c>
      <x:c r="E100" s="124" t="n">
        <x:v>0.0018571428571428571</x:v>
      </x:c>
      <x:c r="F100" s="124" t="n">
        <x:v>0.019714285714285715</x:v>
      </x:c>
      <x:c r="G100" t="str">
        <x:v>補正なし</x:v>
      </x:c>
    </x:row>
    <x:row r="101">
      <x:c r="A101" t="str">
        <x:v>マホイップ</x:v>
      </x:c>
      <x:c r="B101" t="str">
        <x:v>サポート型</x:v>
      </x:c>
      <x:c r="C101" t="n">
        <x:v>1</x:v>
      </x:c>
      <x:c r="D101" t="n">
        <x:v>0</x:v>
      </x:c>
      <x:c r="E101" s="124" t="n">
        <x:v>0.027714285714285716</x:v>
      </x:c>
      <x:c r="F101" s="124" t="n">
        <x:v>0.07571428571428572</x:v>
      </x:c>
      <x:c r="G101" t="str">
        <x:v>補正なし</x:v>
      </x:c>
    </x:row>
    <x:row r="102">
      <x:c r="A102" t="str">
        <x:v>メガニウム</x:v>
      </x:c>
      <x:c r="B102" t="str">
        <x:v>サポート型</x:v>
      </x:c>
      <x:c r="C102" t="n">
        <x:v>1</x:v>
      </x:c>
      <x:c r="D102" t="n">
        <x:v>0</x:v>
      </x:c>
      <x:c r="E102" s="124" t="n">
        <x:v>0.012571428571428572</x:v>
      </x:c>
      <x:c r="F102" s="124" t="n">
        <x:v>0.04585714285714286</x:v>
      </x:c>
      <x:c r="G102" t="str">
        <x:v>補正なし</x:v>
      </x:c>
    </x:row>
    <x:row r="103">
      <x:c r="A103" t="str">
        <x:v>ヤミラミ</x:v>
      </x:c>
      <x:c r="B103" t="str">
        <x:v>サポート型</x:v>
      </x:c>
      <x:c r="C103" t="n">
        <x:v>1</x:v>
      </x:c>
      <x:c r="D103" t="n">
        <x:v>0</x:v>
      </x:c>
      <x:c r="E103" s="124" t="n">
        <x:v>0.011857142857142858</x:v>
      </x:c>
      <x:c r="F103" s="124" t="n">
        <x:v>0.04014285714285714</x:v>
      </x:c>
      <x:c r="G103" t="str">
        <x:v>補正なし</x:v>
      </x:c>
    </x:row>
    <x:row r="104">
      <x:c r="A104" t="str">
        <x:v>ラティアス</x:v>
      </x:c>
      <x:c r="B104" t="str">
        <x:v>サポート型</x:v>
      </x:c>
      <x:c r="C104" t="n">
        <x:v>1</x:v>
      </x:c>
      <x:c r="D104" t="n">
        <x:v>0</x:v>
      </x:c>
      <x:c r="E104" s="124" t="n">
        <x:v>0.017142857142857144</x:v>
      </x:c>
      <x:c r="F104" s="124" t="n">
        <x:v>0.056428571428571425</x:v>
      </x:c>
      <x:c r="G104" t="str">
        <x:v>補正なし</x:v>
      </x:c>
    </x:row>
    <x:row r="105">
      <x:c r="A105" t="str">
        <x:v>ワタシラガ</x:v>
      </x:c>
      <x:c r="B105" t="str">
        <x:v>サポート型</x:v>
      </x:c>
      <x:c r="C105" t="n">
        <x:v>1</x:v>
      </x:c>
      <x:c r="D105" t="n">
        <x:v>0</x:v>
      </x:c>
      <x:c r="E105" s="124" t="n">
        <x:v>0.012285714285714285</x:v>
      </x:c>
      <x:c r="F105" s="124" t="n">
        <x:v>0.042</x:v>
      </x:c>
      <x:c r="G105" t="str">
        <x:v>補正なし</x:v>
      </x:c>
    </x:row>
  </x:sheetData>
  <x:mergeCells>
    <x:mergeCell ref="A1:G2"/>
    <x:mergeCell ref="A3:G3"/>
    <x:mergeCell ref="A1:J2"/>
    <x:mergeCell ref="A3:J3"/>
  </x:mergeCells>
  <x:conditionalFormatting sqref="D6:D105">
    <x:cfRule type="colorScale" priority="3">
      <x:colorScale>
        <x:cfvo type="min"/>
        <x:cfvo type="percentile" val="50"/>
        <x:cfvo type="max"/>
        <x:color rgb="FFFECACA"/>
        <x:color rgb="FFFFFFFF"/>
        <x:color rgb="FFDCFCE7"/>
      </x:colorScale>
    </x:cfRule>
  </x:conditionalFormatting>
  <x:conditionalFormatting sqref="E6:F105">
    <x:cfRule type="dataBar" priority="4">
      <x:dataBar>
        <x:cfvo type="min"/>
        <x:cfvo type="max"/>
        <x:color rgb="FFA02B93"/>
      </x:dataBar>
      <x:extLst>
        <x:ext xmlns:x14="http://schemas.microsoft.com/office/spreadsheetml/2009/9/main" uri="{B025F937-C7B1-47D3-B67F-A62EFF666E3E}">
          <x14:id>{762AF431-125C-1021-59ED-F38AE6664A5F}</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762AF431-125C-1021-59ED-F38AE6664A5F}">
            <x14:dataBar gradient="1">
              <x14:cfvo type="min"/>
              <x14:cfvo type="max"/>
              <x14:fillColor rgb="FFA02B93"/>
            </x14:dataBar>
          </x14:cfRule>
          <xm:sqref>E6:F105</xm:sqref>
        </x14:conditionalFormatting>
      </x14:conditionalFormattings>
    </x:ext>
  </x:extLst>
</x:worksheet>
</file>

<file path=xl/worksheets/sheet13.xml><?xml version="1.0" encoding="utf-8"?>
<x:worksheet xmlns:x="http://schemas.openxmlformats.org/spreadsheetml/2006/main">
  <x:sheetFormatPr defaultRowHeight="15"/>
  <x:cols>
    <x:col min="1" max="1" width="22" hidden="0" customWidth="1"/>
    <x:col min="2" max="2" width="50" hidden="0" customWidth="1"/>
    <x:col min="3" max="3" width="28" hidden="0" customWidth="1"/>
    <x:col min="4" max="4" width="56" hidden="0" customWidth="1"/>
    <x:col min="5" max="5" width="28" hidden="0" customWidth="1"/>
    <x:col min="7" max="7" width="22" hidden="0" customWidth="1"/>
    <x:col min="8" max="8" width="58" hidden="0" customWidth="1"/>
    <x:col min="6" max="6" width="20" hidden="0" customWidth="1"/>
  </x:cols>
  <x:sheetData>
    <x:row r="1">
      <x:c r="A1" s="165" t="str">
        <x:v>質問設計：7つのプレイ気質（双極表示）</x:v>
      </x:c>
      <x:c r="B1" s="165"/>
      <x:c r="C1" s="165"/>
      <x:c r="D1" s="165"/>
      <x:c r="E1" s="165"/>
      <x:c r="F1" s="165"/>
      <x:c r="G1" s="165"/>
      <x:c r="H1" s="165"/>
    </x:row>
    <x:row r="2">
      <x:c r="A2" s="165"/>
      <x:c r="B2" s="165"/>
      <x:c r="C2" s="165"/>
      <x:c r="D2" s="165"/>
      <x:c r="E2" s="165"/>
      <x:c r="F2" s="165"/>
      <x:c r="G2" s="165"/>
      <x:c r="H2" s="165"/>
    </x:row>
    <x:row r="4">
      <x:c r="A4" s="167" t="str">
        <x:v>30問は心理測定の基本原則を取り入れた自作尺度です。表側では難しい構成概念名より『様子を見る←→自分から動く』のような両端を表示し、質問文は短く直感で答えられる長さにしています。標準化済み心理検査ではありません。</x:v>
      </x:c>
      <x:c r="B4" s="167"/>
      <x:c r="C4" s="167"/>
      <x:c r="D4" s="167"/>
      <x:c r="E4" s="167"/>
      <x:c r="F4" s="167"/>
      <x:c r="G4" s="167"/>
      <x:c r="H4" s="167"/>
    </x:row>
    <x:row r="6">
      <x:c r="A6" s="162" t="str">
        <x:v>Code</x:v>
      </x:c>
      <x:c r="B6" s="162" t="str">
        <x:v>表示名</x:v>
      </x:c>
      <x:c r="C6" s="162" t="str">
        <x:v>ユーザー表示</x:v>
      </x:c>
      <x:c r="D6" s="162" t="str">
        <x:v>操作的定義</x:v>
      </x:c>
      <x:c r="E6" s="162" t="str">
        <x:v>Items</x:v>
      </x:c>
      <x:c r="F6" s="162" t="str">
        <x:v>Key balance</x:v>
      </x:c>
      <x:c r="G6" s="162" t="str">
        <x:v>設計原則</x:v>
      </x:c>
      <x:c r="H6" s="162" t="str">
        <x:v>実装</x:v>
      </x:c>
    </x:row>
    <x:row r="7">
      <x:c r="A7" s="12" t="str">
        <x:v>Initiative</x:v>
      </x:c>
      <x:c r="B7" s="12" t="str">
        <x:v>主導性</x:v>
      </x:c>
      <x:c r="C7" s="12" t="str">
        <x:v>様子を見る ←→ 自分から動く</x:v>
      </x:c>
      <x:c r="D7" s="12" t="str">
        <x:v>曖昧な場面で、自分からきっかけや方向を作る傾向。</x:v>
      </x:c>
      <x:c r="E7" s="12" t="str">
        <x:v>Q01,Q08,Q15,Q22</x:v>
      </x:c>
      <x:c r="F7" s="12" t="str">
        <x:v>正2 / 反対極2</x:v>
      </x:c>
      <x:c r="G7" s="12" t="str">
        <x:v>短くする</x:v>
      </x:c>
      <x:c r="H7" s="12" t="str">
        <x:v>一問を一読で理解できる長さにし、X経由のスマホ利用で考え込みすぎないようにする。</x:v>
      </x:c>
    </x:row>
    <x:row r="8">
      <x:c r="A8" s="12" t="str">
        <x:v>RiskTolerance</x:v>
      </x:c>
      <x:c r="B8" s="12" t="str">
        <x:v>リスク許容</x:v>
      </x:c>
      <x:c r="C8" s="12" t="str">
        <x:v>堅実に行く ←→ 勝負に出る</x:v>
      </x:c>
      <x:c r="D8" s="12" t="str">
        <x:v>不確実さがあっても、見返りのある選択へ踏み出す傾向。</x:v>
      </x:c>
      <x:c r="E8" s="12" t="str">
        <x:v>Q03,Q09,Q16,Q23</x:v>
      </x:c>
      <x:c r="F8" s="12" t="str">
        <x:v>正2 / 反対極2</x:v>
      </x:c>
      <x:c r="G8" s="12" t="str">
        <x:v>両極を見せる</x:v>
      </x:c>
      <x:c r="H8" s="12" t="str">
        <x:v>高い/低いを優劣にせず『どちらのスタイルか』として説明する。</x:v>
      </x:c>
    </x:row>
    <x:row r="9">
      <x:c r="A9" s="12" t="str">
        <x:v>Cooperation</x:v>
      </x:c>
      <x:c r="B9" s="12" t="str">
        <x:v>協働志向</x:v>
      </x:c>
      <x:c r="C9" s="12" t="str">
        <x:v>自分のペース ←→ 味方に合わせる</x:v>
      </x:c>
      <x:c r="D9" s="12" t="str">
        <x:v>自分のやり方より、周囲との噛み合わせを優先する傾向。</x:v>
      </x:c>
      <x:c r="E9" s="12" t="str">
        <x:v>Q04,Q11,Q18,Q25 + Q30</x:v>
      </x:c>
      <x:c r="F9" s="12" t="str">
        <x:v>正2 / 反対極2 + 統合</x:v>
      </x:c>
      <x:c r="G9" s="12" t="str">
        <x:v>バランスド・キーイング</x:v>
      </x:c>
      <x:c r="H9" s="12" t="str">
        <x:v>各軸で正方向2・反対極2。反対極は単純な否定文ではなく別の自然な選択肢として書く。</x:v>
      </x:c>
    </x:row>
    <x:row r="10">
      <x:c r="A10" s="12" t="str">
        <x:v>SelfReliance</x:v>
      </x:c>
      <x:c r="B10" s="12" t="str">
        <x:v>自己決定</x:v>
      </x:c>
      <x:c r="C10" s="12" t="str">
        <x:v>相談して決める ←→ 自分で決める</x:v>
      </x:c>
      <x:c r="D10" s="12" t="str">
        <x:v>判断や進め方を、自分の中で完結させたい傾向。</x:v>
      </x:c>
      <x:c r="E10" s="12" t="str">
        <x:v>Q05,Q12,Q19,Q26 + Q30</x:v>
      </x:c>
      <x:c r="F10" s="12" t="str">
        <x:v>正2 / 反対極2 + 統合</x:v>
      </x:c>
      <x:c r="G10" s="12" t="str">
        <x:v>価値中立</x:v>
      </x:c>
      <x:c r="H10" s="12" t="str">
        <x:v>協働=善、自己決定=悪などの社会的望ましさをできるだけ作らない。</x:v>
      </x:c>
    </x:row>
    <x:row r="11">
      <x:c r="A11" s="12" t="str">
        <x:v>Planning</x:v>
      </x:c>
      <x:c r="B11" s="12" t="str">
        <x:v>熟慮・計画</x:v>
      </x:c>
      <x:c r="C11" s="12" t="str">
        <x:v>動きながら考える ←→ 先に考える</x:v>
      </x:c>
      <x:c r="D11" s="12" t="str">
        <x:v>着手前に見通しや別案を作っておく傾向。</x:v>
      </x:c>
      <x:c r="E11" s="12" t="str">
        <x:v>Q02,Q10,Q17,Q24 + Q29</x:v>
      </x:c>
      <x:c r="F11" s="12" t="str">
        <x:v>正2 / 反対極2 + 統合</x:v>
      </x:c>
      <x:c r="G11" s="12" t="str">
        <x:v>ゲームを直接聞かない</x:v>
      </x:c>
      <x:c r="H11" s="12" t="str">
        <x:v>『遠距離が好き？』のように結果が透ける質問を避ける。</x:v>
      </x:c>
    </x:row>
    <x:row r="12">
      <x:c r="A12" s="12" t="str">
        <x:v>Adaptability</x:v>
      </x:c>
      <x:c r="B12" s="12" t="str">
        <x:v>適応柔軟性</x:v>
      </x:c>
      <x:c r="C12" s="12" t="str">
        <x:v>型を貫く ←→ 状況で変える</x:v>
      </x:c>
      <x:c r="D12" s="12" t="str">
        <x:v>条件が変わったとき、やり方を切り替える傾向。</x:v>
      </x:c>
      <x:c r="E12" s="12" t="str">
        <x:v>Q06,Q13,Q20,Q27 + Q29</x:v>
      </x:c>
      <x:c r="F12" s="12" t="str">
        <x:v>正2 / 反対極2 + 統合</x:v>
      </x:c>
      <x:c r="G12" s="12" t="str">
        <x:v>中学生でも読める語彙</x:v>
      </x:c>
      <x:c r="H12" s="12" t="str">
        <x:v>短文・日常語中心。ただし幼児的な言い回しにはしない。</x:v>
      </x:c>
    </x:row>
    <x:row r="13">
      <x:c r="A13" s="12" t="str">
        <x:v>Mastery</x:v>
      </x:c>
      <x:c r="B13" s="12" t="str">
        <x:v>熟達志向</x:v>
      </x:c>
      <x:c r="C13" s="12" t="str">
        <x:v>手軽さ重視 ←→ やり込んで極める</x:v>
      </x:c>
      <x:c r="D13" s="12" t="str">
        <x:v>複雑さや習熟に時間を使うことを楽しむ傾向。</x:v>
      </x:c>
      <x:c r="E13" s="12" t="str">
        <x:v>Q07,Q14,Q21,Q28</x:v>
      </x:c>
      <x:c r="F13" s="12" t="str">
        <x:v>正2 / 反対極2</x:v>
      </x:c>
      <x:c r="G13" s="12" t="str">
        <x:v>尖りは計算側で作る</x:v>
      </x:c>
      <x:c r="H13" s="12" t="str">
        <x:v>質問を極端にせず、7→15の相互作用とPercentile Matchingで『ぴったり感』を出す。</x:v>
      </x:c>
    </x:row>
    <x:row r="16">
      <x:c r="A16" s="162" t="str">
        <x:v>公開後に確認したいこと</x:v>
      </x:c>
      <x:c r="B16" s="162"/>
      <x:c r="C16" s="162"/>
      <x:c r="D16" s="162" t="str">
        <x:v>参考</x:v>
      </x:c>
      <x:c r="E16" s="162" t="str">
        <x:v>URL</x:v>
      </x:c>
      <x:c r="F16" s="162"/>
      <x:c r="G16" s="162"/>
      <x:c r="H16" s="162"/>
    </x:row>
    <x:row r="17">
      <x:c r="A17" s="12" t="str">
        <x:v>1. 離脱率</x:v>
      </x:c>
      <x:c r="B17" s="12" t="str">
        <x:v>何問目で離脱するか。特定質問で滞在時間が長ければ文言を簡略化。</x:v>
      </x:c>
      <x:c r="D17" s="12" t="str">
        <x:v>International Personality Item Pool (IPIP)</x:v>
      </x:c>
      <x:c r="E17" s="12" t="str">
        <x:v>https://ipip.ori.org/</x:v>
      </x:c>
    </x:row>
    <x:row r="18">
      <x:c r="A18" s="12" t="str">
        <x:v>2. 項目分布</x:v>
      </x:c>
      <x:c r="B18" s="12" t="str">
        <x:v>1/5に偏りすぎる質問、全員が4/5を選ぶ質問を削る。</x:v>
      </x:c>
      <x:c r="D18" s="12" t="str">
        <x:v>Reverse-keyed items / method effects review</x:v>
      </x:c>
      <x:c r="E18" s="12" t="str">
        <x:v>https://pmc.ncbi.nlm.nih.gov/articles/PMC12581211/</x:v>
      </x:c>
    </x:row>
    <x:row r="19">
      <x:c r="A19" s="12" t="str">
        <x:v>3. 内的一貫性</x:v>
      </x:c>
      <x:c r="B19" s="12" t="str">
        <x:v>各7軸でMcDonald's ωなどを確認。高ければ良いだけではなく重複も見る。</x:v>
      </x:c>
      <x:c r="D19" s="12" t="str">
        <x:v>Questionnaire development / item-writing guidance</x:v>
      </x:c>
      <x:c r="E19" s="12" t="str">
        <x:v>https://pmc.ncbi.nlm.nih.gov/articles/PMC5463570/</x:v>
      </x:c>
    </x:row>
    <x:row r="20">
      <x:c r="A20" s="12" t="str">
        <x:v>4. 因子構造</x:v>
      </x:c>
      <x:c r="B20" s="12" t="str">
        <x:v>7軸仮説をEFA/CFAで確認し、質問が別軸へ強く乗っていないか確認。</x:v>
      </x:c>
      <x:c r="D20" s="12" t="str">
        <x:v>International Test Commission - Technology-Based Assessment</x:v>
      </x:c>
      <x:c r="E20" s="12" t="str">
        <x:v>https://www.intestcom.org/page/16</x:v>
      </x:c>
    </x:row>
    <x:row r="21">
      <x:c r="A21" s="12" t="str">
        <x:v>5. 再検査</x:v>
      </x:c>
      <x:c r="B21" s="12" t="str">
        <x:v>2〜4週間後に再回答してもらい、気質スコアが極端に揺れないか確認。</x:v>
      </x:c>
      <x:c r="D21" s="12"/>
      <x:c r="E21" s="12"/>
    </x:row>
    <x:row r="22">
      <x:c r="A22" s="12" t="str">
        <x:v>6. 基準関連</x:v>
      </x:c>
      <x:c r="B22" s="12" t="str">
        <x:v>普段使うポケモン/ロールと15軸・おすすめ結果の関連を見る。</x:v>
      </x:c>
    </x:row>
    <x:row r="23">
      <x:c r="A23" s="12" t="str">
        <x:v>7. Percentile更新</x:v>
      </x:c>
      <x:c r="B23" s="12" t="str">
        <x:v>実回答が増えたら、疑似回答ではなく実ユーザー分布でPercentile_Calibrationを再作成。</x:v>
      </x:c>
    </x:row>
  </x:sheetData>
  <x:mergeCells>
    <x:mergeCell ref="A1:H2"/>
    <x:mergeCell ref="A4:H4"/>
    <x:mergeCell ref="A16:H16"/>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2" hidden="0" customWidth="1"/>
    <x:col min="5" max="5" width="58" hidden="0" customWidth="1"/>
  </x:cols>
  <x:sheetData>
    <x:row r="1">
      <x:c r="A1" s="162" t="str">
        <x:v>Code</x:v>
      </x:c>
      <x:c r="B1" s="162" t="str">
        <x:v>表示名</x:v>
      </x:c>
      <x:c r="C1" s="162" t="str">
        <x:v>0側</x:v>
      </x:c>
      <x:c r="D1" s="162" t="str">
        <x:v>100側</x:v>
      </x:c>
      <x:c r="E1" s="162" t="str">
        <x:v>意味</x:v>
      </x:c>
    </x:row>
    <x:row r="2">
      <x:c r="A2" s="12" t="str">
        <x:v>Initiative</x:v>
      </x:c>
      <x:c r="B2" s="12" t="str">
        <x:v>主導性</x:v>
      </x:c>
      <x:c r="C2" s="12" t="str">
        <x:v>様子を見る</x:v>
      </x:c>
      <x:c r="D2" s="12" t="str">
        <x:v>自分から動く</x:v>
      </x:c>
      <x:c r="E2" s="12" t="str">
        <x:v>曖昧な場面で、自分からきっかけや方向を作る傾向。</x:v>
      </x:c>
    </x:row>
    <x:row r="3">
      <x:c r="A3" s="12" t="str">
        <x:v>RiskTolerance</x:v>
      </x:c>
      <x:c r="B3" s="12" t="str">
        <x:v>リスク許容</x:v>
      </x:c>
      <x:c r="C3" s="12" t="str">
        <x:v>堅実に行く</x:v>
      </x:c>
      <x:c r="D3" s="12" t="str">
        <x:v>勝負に出る</x:v>
      </x:c>
      <x:c r="E3" s="12" t="str">
        <x:v>不確実さがあっても、見返りのある選択へ踏み出す傾向。</x:v>
      </x:c>
    </x:row>
    <x:row r="4">
      <x:c r="A4" s="12" t="str">
        <x:v>Cooperation</x:v>
      </x:c>
      <x:c r="B4" s="12" t="str">
        <x:v>協働志向</x:v>
      </x:c>
      <x:c r="C4" s="12" t="str">
        <x:v>自分のペース</x:v>
      </x:c>
      <x:c r="D4" s="12" t="str">
        <x:v>味方に合わせる</x:v>
      </x:c>
      <x:c r="E4" s="12" t="str">
        <x:v>自分のやり方より、周囲との噛み合わせを優先する傾向。</x:v>
      </x:c>
    </x:row>
    <x:row r="5">
      <x:c r="A5" s="12" t="str">
        <x:v>SelfReliance</x:v>
      </x:c>
      <x:c r="B5" s="12" t="str">
        <x:v>自己決定</x:v>
      </x:c>
      <x:c r="C5" s="12" t="str">
        <x:v>相談して決める</x:v>
      </x:c>
      <x:c r="D5" s="12" t="str">
        <x:v>自分で決める</x:v>
      </x:c>
      <x:c r="E5" s="12" t="str">
        <x:v>判断や進め方を、自分の中で完結させたい傾向。</x:v>
      </x:c>
    </x:row>
    <x:row r="6">
      <x:c r="A6" s="12" t="str">
        <x:v>Planning</x:v>
      </x:c>
      <x:c r="B6" s="12" t="str">
        <x:v>熟慮・計画</x:v>
      </x:c>
      <x:c r="C6" s="12" t="str">
        <x:v>動きながら考える</x:v>
      </x:c>
      <x:c r="D6" s="12" t="str">
        <x:v>先に考える</x:v>
      </x:c>
      <x:c r="E6" s="12" t="str">
        <x:v>着手前に見通しや別案を作っておく傾向。</x:v>
      </x:c>
    </x:row>
    <x:row r="7">
      <x:c r="A7" s="12" t="str">
        <x:v>Adaptability</x:v>
      </x:c>
      <x:c r="B7" s="12" t="str">
        <x:v>適応柔軟性</x:v>
      </x:c>
      <x:c r="C7" s="12" t="str">
        <x:v>型を貫く</x:v>
      </x:c>
      <x:c r="D7" s="12" t="str">
        <x:v>状況で変える</x:v>
      </x:c>
      <x:c r="E7" s="12" t="str">
        <x:v>条件が変わったとき、やり方を切り替える傾向。</x:v>
      </x:c>
    </x:row>
    <x:row r="8">
      <x:c r="A8" s="12" t="str">
        <x:v>Mastery</x:v>
      </x:c>
      <x:c r="B8" s="12" t="str">
        <x:v>熟達志向</x:v>
      </x:c>
      <x:c r="C8" s="12" t="str">
        <x:v>手軽さ重視</x:v>
      </x:c>
      <x:c r="D8" s="12" t="str">
        <x:v>やり込んで極める</x:v>
      </x:c>
      <x:c r="E8" s="12" t="str">
        <x:v>複雑さや習熟に時間を使うことを楽しむ傾向。</x:v>
      </x:c>
    </x:row>
  </x:sheetData>
  <x:pageMargins left="0.7" right="0.7" top="0.75" bottom="0.75" header="0.3" footer="0.3"/>
</x:worksheet>
</file>

<file path=xl/worksheets/sheet15.xml><?xml version="1.0" encoding="utf-8"?>
<x:worksheet xmlns:x="http://schemas.openxmlformats.org/spreadsheetml/2006/main">
  <x:sheetFormatPr defaultRowHeight="15"/>
  <x:cols>
    <x:col min="1" max="1" width="24" hidden="0" customWidth="1"/>
    <x:col min="2" max="2" width="18" hidden="0" customWidth="1"/>
    <x:col min="3" max="3" width="18" hidden="0" customWidth="1"/>
    <x:col min="4" max="4" width="18" hidden="0" customWidth="1"/>
    <x:col min="5" max="5" width="58"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s>
  <x:sheetData>
    <x:row r="1">
      <x:c r="A1" s="162" t="str">
        <x:v>Interaction</x:v>
      </x:c>
      <x:c r="B1" s="162" t="str">
        <x:v>FactorA</x:v>
      </x:c>
      <x:c r="C1" s="162" t="str">
        <x:v>FactorB</x:v>
      </x:c>
      <x:c r="D1" s="162" t="str">
        <x:v>Mode</x:v>
      </x:c>
      <x:c r="E1" s="162" t="str">
        <x:v>説明</x:v>
      </x:c>
      <x:c r="F1" s="162" t="str">
        <x:v>Engage</x:v>
      </x:c>
      <x:c r="G1" s="162" t="str">
        <x:v>Dive</x:v>
      </x:c>
      <x:c r="H1" s="162" t="str">
        <x:v>Peel</x:v>
      </x:c>
      <x:c r="I1" s="162" t="str">
        <x:v>Frontline</x:v>
      </x:c>
      <x:c r="J1" s="162" t="str">
        <x:v>Poke</x:v>
      </x:c>
      <x:c r="K1" s="162" t="str">
        <x:v>FightTempo</x:v>
      </x:c>
      <x:c r="L1" s="162" t="str">
        <x:v>Control</x:v>
      </x:c>
      <x:c r="M1" s="162" t="str">
        <x:v>Support</x:v>
      </x:c>
      <x:c r="N1" s="162" t="str">
        <x:v>Mobility</x:v>
      </x:c>
      <x:c r="O1" s="162" t="str">
        <x:v>SelfSufficiency</x:v>
      </x:c>
      <x:c r="P1" s="162" t="str">
        <x:v>FarmScaling</x:v>
      </x:c>
      <x:c r="Q1" s="162" t="str">
        <x:v>ObjectiveSecure</x:v>
      </x:c>
      <x:c r="R1" s="162" t="str">
        <x:v>ScoringSide</x:v>
      </x:c>
      <x:c r="S1" s="162" t="str">
        <x:v>Execution</x:v>
      </x:c>
      <x:c r="T1" s="162" t="str">
        <x:v>Decision</x:v>
      </x:c>
    </x:row>
    <x:row r="2">
      <x:c r="A2" s="12" t="str">
        <x:v>Initiative×Risk</x:v>
      </x:c>
      <x:c r="B2" s="12" t="str">
        <x:v>Initiative</x:v>
      </x:c>
      <x:c r="C2" s="12" t="str">
        <x:v>RiskTolerance</x:v>
      </x:c>
      <x:c r="D2" s="12" t="str">
        <x:v>high_high</x:v>
      </x:c>
      <x:c r="E2" s="12" t="str">
        <x:v>自分から動く×勝負に出る → 切り込み型を強める</x:v>
      </x:c>
      <x:c r="F2" s="12" t="n">
        <x:v>12</x:v>
      </x:c>
      <x:c r="G2" s="12" t="n">
        <x:v>14</x:v>
      </x:c>
      <x:c r="H2" s="12" t="n">
        <x:v>0</x:v>
      </x:c>
      <x:c r="I2" s="12" t="n">
        <x:v>0</x:v>
      </x:c>
      <x:c r="J2" s="12" t="n">
        <x:v>0</x:v>
      </x:c>
      <x:c r="K2" s="12" t="n">
        <x:v>-8</x:v>
      </x:c>
      <x:c r="L2" s="12" t="n">
        <x:v>0</x:v>
      </x:c>
      <x:c r="M2" s="12" t="n">
        <x:v>0</x:v>
      </x:c>
      <x:c r="N2" s="12" t="n">
        <x:v>0</x:v>
      </x:c>
      <x:c r="O2" s="12" t="n">
        <x:v>0</x:v>
      </x:c>
      <x:c r="P2" s="12" t="n">
        <x:v>0</x:v>
      </x:c>
      <x:c r="Q2" s="12" t="n">
        <x:v>0</x:v>
      </x:c>
      <x:c r="R2" s="12" t="n">
        <x:v>0</x:v>
      </x:c>
      <x:c r="S2" s="12" t="n">
        <x:v>0</x:v>
      </x:c>
      <x:c r="T2" s="12" t="n">
        <x:v>0</x:v>
      </x:c>
    </x:row>
    <x:row r="3">
      <x:c r="A3" s="12" t="str">
        <x:v>Planning×Caution</x:v>
      </x:c>
      <x:c r="B3" s="12" t="str">
        <x:v>Planning</x:v>
      </x:c>
      <x:c r="C3" s="12" t="str">
        <x:v>RiskTolerance</x:v>
      </x:c>
      <x:c r="D3" s="12" t="str">
        <x:v>low_second</x:v>
      </x:c>
      <x:c r="E3" s="12" t="str">
        <x:v>先に考える×堅実 → 間合い・制御型を強める</x:v>
      </x:c>
      <x:c r="F3" s="12" t="n">
        <x:v>0</x:v>
      </x:c>
      <x:c r="G3" s="12" t="n">
        <x:v>0</x:v>
      </x:c>
      <x:c r="H3" s="12" t="n">
        <x:v>0</x:v>
      </x:c>
      <x:c r="I3" s="12" t="n">
        <x:v>0</x:v>
      </x:c>
      <x:c r="J3" s="12" t="n">
        <x:v>12</x:v>
      </x:c>
      <x:c r="K3" s="12" t="n">
        <x:v>0</x:v>
      </x:c>
      <x:c r="L3" s="12" t="n">
        <x:v>10</x:v>
      </x:c>
      <x:c r="M3" s="12" t="n">
        <x:v>0</x:v>
      </x:c>
      <x:c r="N3" s="12" t="n">
        <x:v>0</x:v>
      </x:c>
      <x:c r="O3" s="12" t="n">
        <x:v>0</x:v>
      </x:c>
      <x:c r="P3" s="12" t="n">
        <x:v>0</x:v>
      </x:c>
      <x:c r="Q3" s="12" t="n">
        <x:v>0</x:v>
      </x:c>
      <x:c r="R3" s="12" t="n">
        <x:v>0</x:v>
      </x:c>
      <x:c r="S3" s="12" t="n">
        <x:v>0</x:v>
      </x:c>
      <x:c r="T3" s="12" t="n">
        <x:v>6</x:v>
      </x:c>
    </x:row>
    <x:row r="4">
      <x:c r="A4" s="12" t="str">
        <x:v>Cooperation×Planning</x:v>
      </x:c>
      <x:c r="B4" s="12" t="str">
        <x:v>Cooperation</x:v>
      </x:c>
      <x:c r="C4" s="12" t="str">
        <x:v>Planning</x:v>
      </x:c>
      <x:c r="D4" s="12" t="str">
        <x:v>high_high</x:v>
      </x:c>
      <x:c r="E4" s="12" t="str">
        <x:v>味方に合わせる×先に考える → 保護・支援型を強める</x:v>
      </x:c>
      <x:c r="F4" s="12" t="n">
        <x:v>0</x:v>
      </x:c>
      <x:c r="G4" s="12" t="n">
        <x:v>0</x:v>
      </x:c>
      <x:c r="H4" s="12" t="n">
        <x:v>12</x:v>
      </x:c>
      <x:c r="I4" s="12" t="n">
        <x:v>0</x:v>
      </x:c>
      <x:c r="J4" s="12" t="n">
        <x:v>0</x:v>
      </x:c>
      <x:c r="K4" s="12" t="n">
        <x:v>0</x:v>
      </x:c>
      <x:c r="L4" s="12" t="n">
        <x:v>6</x:v>
      </x:c>
      <x:c r="M4" s="12" t="n">
        <x:v>10</x:v>
      </x:c>
      <x:c r="N4" s="12" t="n">
        <x:v>0</x:v>
      </x:c>
      <x:c r="O4" s="12" t="n">
        <x:v>0</x:v>
      </x:c>
      <x:c r="P4" s="12" t="n">
        <x:v>0</x:v>
      </x:c>
      <x:c r="Q4" s="12" t="n">
        <x:v>0</x:v>
      </x:c>
      <x:c r="R4" s="12" t="n">
        <x:v>0</x:v>
      </x:c>
      <x:c r="S4" s="12" t="n">
        <x:v>0</x:v>
      </x:c>
      <x:c r="T4" s="12" t="n">
        <x:v>0</x:v>
      </x:c>
    </x:row>
    <x:row r="5">
      <x:c r="A5" s="12" t="str">
        <x:v>SelfReliance×Adaptability</x:v>
      </x:c>
      <x:c r="B5" s="12" t="str">
        <x:v>SelfReliance</x:v>
      </x:c>
      <x:c r="C5" s="12" t="str">
        <x:v>Adaptability</x:v>
      </x:c>
      <x:c r="D5" s="12" t="str">
        <x:v>high_high</x:v>
      </x:c>
      <x:c r="E5" s="12" t="str">
        <x:v>自分で決める×状況で変える → 自走・遊撃型を強める</x:v>
      </x:c>
      <x:c r="F5" s="12" t="n">
        <x:v>0</x:v>
      </x:c>
      <x:c r="G5" s="12" t="n">
        <x:v>0</x:v>
      </x:c>
      <x:c r="H5" s="12" t="n">
        <x:v>0</x:v>
      </x:c>
      <x:c r="I5" s="12" t="n">
        <x:v>0</x:v>
      </x:c>
      <x:c r="J5" s="12" t="n">
        <x:v>0</x:v>
      </x:c>
      <x:c r="K5" s="12" t="n">
        <x:v>0</x:v>
      </x:c>
      <x:c r="L5" s="12" t="n">
        <x:v>0</x:v>
      </x:c>
      <x:c r="M5" s="12" t="n">
        <x:v>0</x:v>
      </x:c>
      <x:c r="N5" s="12" t="n">
        <x:v>9</x:v>
      </x:c>
      <x:c r="O5" s="12" t="n">
        <x:v>12</x:v>
      </x:c>
      <x:c r="P5" s="12" t="n">
        <x:v>0</x:v>
      </x:c>
      <x:c r="Q5" s="12" t="n">
        <x:v>0</x:v>
      </x:c>
      <x:c r="R5" s="12" t="n">
        <x:v>7</x:v>
      </x:c>
      <x:c r="S5" s="12" t="n">
        <x:v>0</x:v>
      </x:c>
      <x:c r="T5" s="12" t="n">
        <x:v>0</x:v>
      </x:c>
    </x:row>
    <x:row r="6">
      <x:c r="A6" s="12" t="str">
        <x:v>Mastery×Adaptability</x:v>
      </x:c>
      <x:c r="B6" s="12" t="str">
        <x:v>Mastery</x:v>
      </x:c>
      <x:c r="C6" s="12" t="str">
        <x:v>Adaptability</x:v>
      </x:c>
      <x:c r="D6" s="12" t="str">
        <x:v>high_high</x:v>
      </x:c>
      <x:c r="E6" s="12" t="str">
        <x:v>極める×状況で変える → 高操作・高判断型を強める</x:v>
      </x:c>
      <x:c r="F6" s="12" t="n">
        <x:v>0</x:v>
      </x:c>
      <x:c r="G6" s="12" t="n">
        <x:v>0</x:v>
      </x:c>
      <x:c r="H6" s="12" t="n">
        <x:v>0</x:v>
      </x:c>
      <x:c r="I6" s="12" t="n">
        <x:v>0</x:v>
      </x:c>
      <x:c r="J6" s="12" t="n">
        <x:v>0</x:v>
      </x:c>
      <x:c r="K6" s="12" t="n">
        <x:v>0</x:v>
      </x:c>
      <x:c r="L6" s="12" t="n">
        <x:v>0</x:v>
      </x:c>
      <x:c r="M6" s="12" t="n">
        <x:v>0</x:v>
      </x:c>
      <x:c r="N6" s="12" t="n">
        <x:v>4</x:v>
      </x:c>
      <x:c r="O6" s="12" t="n">
        <x:v>0</x:v>
      </x:c>
      <x:c r="P6" s="12" t="n">
        <x:v>0</x:v>
      </x:c>
      <x:c r="Q6" s="12" t="n">
        <x:v>0</x:v>
      </x:c>
      <x:c r="R6" s="12" t="n">
        <x:v>0</x:v>
      </x:c>
      <x:c r="S6" s="12" t="n">
        <x:v>12</x:v>
      </x:c>
      <x:c r="T6" s="12" t="n">
        <x:v>10</x:v>
      </x:c>
    </x:row>
    <x:row r="7">
      <x:c r="A7" s="12" t="str">
        <x:v>SelfReliance×Risk</x:v>
      </x:c>
      <x:c r="B7" s="12" t="str">
        <x:v>SelfReliance</x:v>
      </x:c>
      <x:c r="C7" s="12" t="str">
        <x:v>RiskTolerance</x:v>
      </x:c>
      <x:c r="D7" s="12" t="str">
        <x:v>high_high</x:v>
      </x:c>
      <x:c r="E7" s="12" t="str">
        <x:v>自分で決める×勝負に出る → 決め役を強める</x:v>
      </x:c>
      <x:c r="F7" s="12" t="n">
        <x:v>0</x:v>
      </x:c>
      <x:c r="G7" s="12" t="n">
        <x:v>6</x:v>
      </x:c>
      <x:c r="H7" s="12" t="n">
        <x:v>0</x:v>
      </x:c>
      <x:c r="I7" s="12" t="n">
        <x:v>0</x:v>
      </x:c>
      <x:c r="J7" s="12" t="n">
        <x:v>0</x:v>
      </x:c>
      <x:c r="K7" s="12" t="n">
        <x:v>0</x:v>
      </x:c>
      <x:c r="L7" s="12" t="n">
        <x:v>0</x:v>
      </x:c>
      <x:c r="M7" s="12" t="n">
        <x:v>0</x:v>
      </x:c>
      <x:c r="N7" s="12" t="n">
        <x:v>0</x:v>
      </x:c>
      <x:c r="O7" s="12" t="n">
        <x:v>0</x:v>
      </x:c>
      <x:c r="P7" s="12" t="n">
        <x:v>0</x:v>
      </x:c>
      <x:c r="Q7" s="12" t="n">
        <x:v>8</x:v>
      </x:c>
      <x:c r="R7" s="12" t="n">
        <x:v>0</x:v>
      </x:c>
      <x:c r="S7" s="12" t="n">
        <x:v>0</x:v>
      </x:c>
      <x:c r="T7" s="12" t="n">
        <x:v>0</x:v>
      </x:c>
    </x:row>
  </x:sheetData>
  <x:conditionalFormatting sqref="F2:T7">
    <x:cfRule type="colorScale" priority="1">
      <x:colorScale>
        <x:cfvo type="min"/>
        <x:cfvo type="percentile" val="50"/>
        <x:cfvo type="max"/>
        <x:color rgb="FFFECACA"/>
        <x:color rgb="FFFFFFFF"/>
        <x:color rgb="FFBFDBFE"/>
      </x:colorScale>
    </x:cfRule>
  </x:conditionalFormatting>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18" hidden="0" customWidth="1"/>
    <x:col min="3" max="3" width="18" hidden="0" customWidth="1"/>
    <x:col min="4" max="4" width="12" hidden="0" customWidth="1"/>
    <x:col min="5" max="5" width="12" hidden="0" customWidth="1"/>
    <x:col min="6" max="6" width="7" hidden="0" customWidth="1"/>
    <x:col min="7" max="7" width="7" hidden="0" customWidth="1"/>
    <x:col min="8" max="8" width="7" hidden="0" customWidth="1"/>
    <x:col min="9" max="9" width="7" hidden="0" customWidth="1"/>
    <x:col min="10" max="10" width="7" hidden="0" customWidth="1"/>
    <x:col min="11" max="11" width="7" hidden="0" customWidth="1"/>
    <x:col min="12" max="12" width="7" hidden="0" customWidth="1"/>
    <x:col min="13" max="13" width="7" hidden="0" customWidth="1"/>
    <x:col min="14" max="14" width="7" hidden="0" customWidth="1"/>
    <x:col min="15" max="15" width="7" hidden="0" customWidth="1"/>
    <x:col min="16" max="16" width="7" hidden="0" customWidth="1"/>
    <x:col min="17" max="17" width="7" hidden="0" customWidth="1"/>
    <x:col min="18" max="18" width="7" hidden="0" customWidth="1"/>
    <x:col min="19" max="19" width="7" hidden="0" customWidth="1"/>
    <x:col min="20" max="20" width="7" hidden="0" customWidth="1"/>
    <x:col min="21" max="21" width="7" hidden="0" customWidth="1"/>
    <x:col min="22" max="22" width="7" hidden="0" customWidth="1"/>
    <x:col min="23" max="23" width="7" hidden="0" customWidth="1"/>
    <x:col min="24" max="24" width="7" hidden="0" customWidth="1"/>
    <x:col min="25" max="25" width="7" hidden="0" customWidth="1"/>
    <x:col min="26" max="26" width="7" hidden="0" customWidth="1"/>
    <x:col min="27" max="27" width="7" hidden="0" customWidth="1"/>
    <x:col min="28" max="28" width="7" hidden="0" customWidth="1"/>
    <x:col min="29" max="29" width="7" hidden="0" customWidth="1"/>
    <x:col min="30" max="30" width="7" hidden="0" customWidth="1"/>
    <x:col min="31" max="31" width="7" hidden="0" customWidth="1"/>
    <x:col min="32" max="32" width="7" hidden="0" customWidth="1"/>
    <x:col min="33" max="33" width="7" hidden="0" customWidth="1"/>
    <x:col min="34" max="34" width="7" hidden="0" customWidth="1"/>
    <x:col min="35" max="35" width="7" hidden="0" customWidth="1"/>
    <x:col min="36" max="36" width="7" hidden="0" customWidth="1"/>
    <x:col min="37" max="37" width="7" hidden="0" customWidth="1"/>
    <x:col min="38" max="38" width="7" hidden="0" customWidth="1"/>
    <x:col min="39" max="39" width="7" hidden="0" customWidth="1"/>
    <x:col min="40" max="40" width="7" hidden="0" customWidth="1"/>
    <x:col min="41" max="41" width="7" hidden="0" customWidth="1"/>
    <x:col min="42" max="42" width="7" hidden="0" customWidth="1"/>
    <x:col min="43" max="43" width="7" hidden="0" customWidth="1"/>
    <x:col min="44" max="44" width="7" hidden="0" customWidth="1"/>
    <x:col min="45" max="45" width="7" hidden="0" customWidth="1"/>
    <x:col min="46" max="46" width="7" hidden="0" customWidth="1"/>
    <x:col min="47" max="47" width="7" hidden="0" customWidth="1"/>
    <x:col min="48" max="48" width="7" hidden="0" customWidth="1"/>
    <x:col min="49" max="49" width="7" hidden="0" customWidth="1"/>
    <x:col min="50" max="50" width="7" hidden="0" customWidth="1"/>
    <x:col min="51" max="51" width="7" hidden="0" customWidth="1"/>
    <x:col min="52" max="52" width="7" hidden="0" customWidth="1"/>
    <x:col min="53" max="53" width="7" hidden="0" customWidth="1"/>
    <x:col min="54" max="54" width="7" hidden="0" customWidth="1"/>
    <x:col min="55" max="55" width="7" hidden="0" customWidth="1"/>
    <x:col min="56" max="56" width="7" hidden="0" customWidth="1"/>
    <x:col min="57" max="57" width="7" hidden="0" customWidth="1"/>
    <x:col min="58" max="58" width="7" hidden="0" customWidth="1"/>
    <x:col min="59" max="59" width="7" hidden="0" customWidth="1"/>
    <x:col min="60" max="60" width="7" hidden="0" customWidth="1"/>
    <x:col min="61" max="61" width="7" hidden="0" customWidth="1"/>
    <x:col min="62" max="62" width="7" hidden="0" customWidth="1"/>
    <x:col min="63" max="63" width="7" hidden="0" customWidth="1"/>
    <x:col min="64" max="64" width="7" hidden="0" customWidth="1"/>
    <x:col min="65" max="65" width="7" hidden="0" customWidth="1"/>
    <x:col min="66" max="66" width="7" hidden="0" customWidth="1"/>
    <x:col min="67" max="67" width="7" hidden="0" customWidth="1"/>
    <x:col min="68" max="68" width="7" hidden="0" customWidth="1"/>
    <x:col min="69" max="69" width="7" hidden="0" customWidth="1"/>
    <x:col min="70" max="70" width="7" hidden="0" customWidth="1"/>
    <x:col min="71" max="71" width="7" hidden="0" customWidth="1"/>
    <x:col min="72" max="72" width="7" hidden="0" customWidth="1"/>
    <x:col min="73" max="73" width="7" hidden="0" customWidth="1"/>
    <x:col min="74" max="74" width="7" hidden="0" customWidth="1"/>
    <x:col min="75" max="75" width="7" hidden="0" customWidth="1"/>
    <x:col min="76" max="76" width="7" hidden="0" customWidth="1"/>
    <x:col min="77" max="77" width="7" hidden="0" customWidth="1"/>
    <x:col min="78" max="78" width="7" hidden="0" customWidth="1"/>
    <x:col min="79" max="79" width="7" hidden="0" customWidth="1"/>
    <x:col min="80" max="80" width="7" hidden="0" customWidth="1"/>
    <x:col min="81" max="81" width="7" hidden="0" customWidth="1"/>
    <x:col min="82" max="82" width="7" hidden="0" customWidth="1"/>
    <x:col min="83" max="83" width="7" hidden="0" customWidth="1"/>
    <x:col min="84" max="84" width="7" hidden="0" customWidth="1"/>
    <x:col min="85" max="85" width="7" hidden="0" customWidth="1"/>
    <x:col min="86" max="86" width="7" hidden="0" customWidth="1"/>
    <x:col min="87" max="87" width="7" hidden="0" customWidth="1"/>
    <x:col min="88" max="88" width="7" hidden="0" customWidth="1"/>
    <x:col min="89" max="89" width="7" hidden="0" customWidth="1"/>
    <x:col min="90" max="90" width="7" hidden="0" customWidth="1"/>
    <x:col min="91" max="91" width="7" hidden="0" customWidth="1"/>
    <x:col min="92" max="92" width="7" hidden="0" customWidth="1"/>
    <x:col min="93" max="93" width="7" hidden="0" customWidth="1"/>
    <x:col min="94" max="94" width="7" hidden="0" customWidth="1"/>
    <x:col min="95" max="95" width="7" hidden="0" customWidth="1"/>
    <x:col min="96" max="96" width="7" hidden="0" customWidth="1"/>
    <x:col min="97" max="97" width="7" hidden="0" customWidth="1"/>
    <x:col min="98" max="98" width="7" hidden="0" customWidth="1"/>
    <x:col min="99" max="99" width="7" hidden="0" customWidth="1"/>
    <x:col min="100" max="100" width="7" hidden="0" customWidth="1"/>
    <x:col min="101" max="101" width="7" hidden="0" customWidth="1"/>
    <x:col min="102" max="102" width="7" hidden="0" customWidth="1"/>
    <x:col min="103" max="103" width="7" hidden="0" customWidth="1"/>
    <x:col min="104" max="104" width="7" hidden="0" customWidth="1"/>
    <x:col min="105" max="105" width="7" hidden="0" customWidth="1"/>
    <x:col min="106" max="106" width="7" hidden="0" customWidth="1"/>
  </x:cols>
  <x:sheetData>
    <x:row r="1">
      <x:c r="A1" s="214" t="str">
        <x:v>ProfileID</x:v>
      </x:c>
      <x:c r="B1" s="214" t="str">
        <x:v>Pokemon</x:v>
      </x:c>
      <x:c r="C1" s="214" t="str">
        <x:v>ProfileName</x:v>
      </x:c>
      <x:c r="D1" s="214" t="str">
        <x:v>RawMean</x:v>
      </x:c>
      <x:c r="E1" s="214" t="str">
        <x:v>RawSD</x:v>
      </x:c>
      <x:c r="F1" s="214" t="str">
        <x:v>Q00</x:v>
      </x:c>
      <x:c r="G1" s="214" t="str">
        <x:v>Q01</x:v>
      </x:c>
      <x:c r="H1" s="214" t="str">
        <x:v>Q02</x:v>
      </x:c>
      <x:c r="I1" s="214" t="str">
        <x:v>Q03</x:v>
      </x:c>
      <x:c r="J1" s="214" t="str">
        <x:v>Q04</x:v>
      </x:c>
      <x:c r="K1" s="214" t="str">
        <x:v>Q05</x:v>
      </x:c>
      <x:c r="L1" s="214" t="str">
        <x:v>Q06</x:v>
      </x:c>
      <x:c r="M1" s="214" t="str">
        <x:v>Q07</x:v>
      </x:c>
      <x:c r="N1" s="214" t="str">
        <x:v>Q08</x:v>
      </x:c>
      <x:c r="O1" s="214" t="str">
        <x:v>Q09</x:v>
      </x:c>
      <x:c r="P1" s="214" t="str">
        <x:v>Q10</x:v>
      </x:c>
      <x:c r="Q1" s="214" t="str">
        <x:v>Q11</x:v>
      </x:c>
      <x:c r="R1" s="214" t="str">
        <x:v>Q12</x:v>
      </x:c>
      <x:c r="S1" s="214" t="str">
        <x:v>Q13</x:v>
      </x:c>
      <x:c r="T1" s="214" t="str">
        <x:v>Q14</x:v>
      </x:c>
      <x:c r="U1" s="214" t="str">
        <x:v>Q15</x:v>
      </x:c>
      <x:c r="V1" s="214" t="str">
        <x:v>Q16</x:v>
      </x:c>
      <x:c r="W1" s="214" t="str">
        <x:v>Q17</x:v>
      </x:c>
      <x:c r="X1" s="214" t="str">
        <x:v>Q18</x:v>
      </x:c>
      <x:c r="Y1" s="214" t="str">
        <x:v>Q19</x:v>
      </x:c>
      <x:c r="Z1" s="214" t="str">
        <x:v>Q20</x:v>
      </x:c>
      <x:c r="AA1" s="214" t="str">
        <x:v>Q21</x:v>
      </x:c>
      <x:c r="AB1" s="214" t="str">
        <x:v>Q22</x:v>
      </x:c>
      <x:c r="AC1" s="214" t="str">
        <x:v>Q23</x:v>
      </x:c>
      <x:c r="AD1" s="214" t="str">
        <x:v>Q24</x:v>
      </x:c>
      <x:c r="AE1" s="214" t="str">
        <x:v>Q25</x:v>
      </x:c>
      <x:c r="AF1" s="214" t="str">
        <x:v>Q26</x:v>
      </x:c>
      <x:c r="AG1" s="214" t="str">
        <x:v>Q27</x:v>
      </x:c>
      <x:c r="AH1" s="214" t="str">
        <x:v>Q28</x:v>
      </x:c>
      <x:c r="AI1" s="214" t="str">
        <x:v>Q29</x:v>
      </x:c>
      <x:c r="AJ1" s="214" t="str">
        <x:v>Q30</x:v>
      </x:c>
      <x:c r="AK1" s="214" t="str">
        <x:v>Q31</x:v>
      </x:c>
      <x:c r="AL1" s="214" t="str">
        <x:v>Q32</x:v>
      </x:c>
      <x:c r="AM1" s="214" t="str">
        <x:v>Q33</x:v>
      </x:c>
      <x:c r="AN1" s="214" t="str">
        <x:v>Q34</x:v>
      </x:c>
      <x:c r="AO1" s="214" t="str">
        <x:v>Q35</x:v>
      </x:c>
      <x:c r="AP1" s="214" t="str">
        <x:v>Q36</x:v>
      </x:c>
      <x:c r="AQ1" s="214" t="str">
        <x:v>Q37</x:v>
      </x:c>
      <x:c r="AR1" s="214" t="str">
        <x:v>Q38</x:v>
      </x:c>
      <x:c r="AS1" s="214" t="str">
        <x:v>Q39</x:v>
      </x:c>
      <x:c r="AT1" s="214" t="str">
        <x:v>Q40</x:v>
      </x:c>
      <x:c r="AU1" s="214" t="str">
        <x:v>Q41</x:v>
      </x:c>
      <x:c r="AV1" s="214" t="str">
        <x:v>Q42</x:v>
      </x:c>
      <x:c r="AW1" s="214" t="str">
        <x:v>Q43</x:v>
      </x:c>
      <x:c r="AX1" s="214" t="str">
        <x:v>Q44</x:v>
      </x:c>
      <x:c r="AY1" s="214" t="str">
        <x:v>Q45</x:v>
      </x:c>
      <x:c r="AZ1" s="214" t="str">
        <x:v>Q46</x:v>
      </x:c>
      <x:c r="BA1" s="214" t="str">
        <x:v>Q47</x:v>
      </x:c>
      <x:c r="BB1" s="214" t="str">
        <x:v>Q48</x:v>
      </x:c>
      <x:c r="BC1" s="214" t="str">
        <x:v>Q49</x:v>
      </x:c>
      <x:c r="BD1" s="214" t="str">
        <x:v>Q50</x:v>
      </x:c>
      <x:c r="BE1" s="214" t="str">
        <x:v>Q51</x:v>
      </x:c>
      <x:c r="BF1" s="214" t="str">
        <x:v>Q52</x:v>
      </x:c>
      <x:c r="BG1" s="214" t="str">
        <x:v>Q53</x:v>
      </x:c>
      <x:c r="BH1" s="214" t="str">
        <x:v>Q54</x:v>
      </x:c>
      <x:c r="BI1" s="214" t="str">
        <x:v>Q55</x:v>
      </x:c>
      <x:c r="BJ1" s="214" t="str">
        <x:v>Q56</x:v>
      </x:c>
      <x:c r="BK1" s="214" t="str">
        <x:v>Q57</x:v>
      </x:c>
      <x:c r="BL1" s="214" t="str">
        <x:v>Q58</x:v>
      </x:c>
      <x:c r="BM1" s="214" t="str">
        <x:v>Q59</x:v>
      </x:c>
      <x:c r="BN1" s="214" t="str">
        <x:v>Q60</x:v>
      </x:c>
      <x:c r="BO1" s="214" t="str">
        <x:v>Q61</x:v>
      </x:c>
      <x:c r="BP1" s="214" t="str">
        <x:v>Q62</x:v>
      </x:c>
      <x:c r="BQ1" s="214" t="str">
        <x:v>Q63</x:v>
      </x:c>
      <x:c r="BR1" s="214" t="str">
        <x:v>Q64</x:v>
      </x:c>
      <x:c r="BS1" s="214" t="str">
        <x:v>Q65</x:v>
      </x:c>
      <x:c r="BT1" s="214" t="str">
        <x:v>Q66</x:v>
      </x:c>
      <x:c r="BU1" s="214" t="str">
        <x:v>Q67</x:v>
      </x:c>
      <x:c r="BV1" s="214" t="str">
        <x:v>Q68</x:v>
      </x:c>
      <x:c r="BW1" s="214" t="str">
        <x:v>Q69</x:v>
      </x:c>
      <x:c r="BX1" s="214" t="str">
        <x:v>Q70</x:v>
      </x:c>
      <x:c r="BY1" s="214" t="str">
        <x:v>Q71</x:v>
      </x:c>
      <x:c r="BZ1" s="214" t="str">
        <x:v>Q72</x:v>
      </x:c>
      <x:c r="CA1" s="214" t="str">
        <x:v>Q73</x:v>
      </x:c>
      <x:c r="CB1" s="214" t="str">
        <x:v>Q74</x:v>
      </x:c>
      <x:c r="CC1" s="214" t="str">
        <x:v>Q75</x:v>
      </x:c>
      <x:c r="CD1" s="214" t="str">
        <x:v>Q76</x:v>
      </x:c>
      <x:c r="CE1" s="214" t="str">
        <x:v>Q77</x:v>
      </x:c>
      <x:c r="CF1" s="214" t="str">
        <x:v>Q78</x:v>
      </x:c>
      <x:c r="CG1" s="214" t="str">
        <x:v>Q79</x:v>
      </x:c>
      <x:c r="CH1" s="214" t="str">
        <x:v>Q80</x:v>
      </x:c>
      <x:c r="CI1" s="214" t="str">
        <x:v>Q81</x:v>
      </x:c>
      <x:c r="CJ1" s="214" t="str">
        <x:v>Q82</x:v>
      </x:c>
      <x:c r="CK1" s="214" t="str">
        <x:v>Q83</x:v>
      </x:c>
      <x:c r="CL1" s="214" t="str">
        <x:v>Q84</x:v>
      </x:c>
      <x:c r="CM1" s="214" t="str">
        <x:v>Q85</x:v>
      </x:c>
      <x:c r="CN1" s="214" t="str">
        <x:v>Q86</x:v>
      </x:c>
      <x:c r="CO1" s="214" t="str">
        <x:v>Q87</x:v>
      </x:c>
      <x:c r="CP1" s="214" t="str">
        <x:v>Q88</x:v>
      </x:c>
      <x:c r="CQ1" s="214" t="str">
        <x:v>Q89</x:v>
      </x:c>
      <x:c r="CR1" s="214" t="str">
        <x:v>Q90</x:v>
      </x:c>
      <x:c r="CS1" s="214" t="str">
        <x:v>Q91</x:v>
      </x:c>
      <x:c r="CT1" s="214" t="str">
        <x:v>Q92</x:v>
      </x:c>
      <x:c r="CU1" s="214" t="str">
        <x:v>Q93</x:v>
      </x:c>
      <x:c r="CV1" s="214" t="str">
        <x:v>Q94</x:v>
      </x:c>
      <x:c r="CW1" s="214" t="str">
        <x:v>Q95</x:v>
      </x:c>
      <x:c r="CX1" s="214" t="str">
        <x:v>Q96</x:v>
      </x:c>
      <x:c r="CY1" s="214" t="str">
        <x:v>Q97</x:v>
      </x:c>
      <x:c r="CZ1" s="214" t="str">
        <x:v>Q98</x:v>
      </x:c>
      <x:c r="DA1" s="214" t="str">
        <x:v>Q99</x:v>
      </x:c>
      <x:c r="DB1" s="214" t="str">
        <x:v>Q100</x:v>
      </x:c>
    </x:row>
    <x:row r="2">
      <x:c r="A2" t="str">
        <x:v>アローラキュウコン-1</x:v>
      </x:c>
      <x:c r="B2" t="str">
        <x:v>アローラキュウコン</x:v>
      </x:c>
      <x:c r="C2" t="str">
        <x:v>ふぶき</x:v>
      </x:c>
      <x:c r="D2" s="60" t="n">
        <x:v>63.85659408569336</x:v>
      </x:c>
      <x:c r="E2" s="60" t="n">
        <x:v>5.8166117668151855</x:v>
      </x:c>
      <x:c r="F2" s="60" t="n">
        <x:v>40.861759185791016</x:v>
      </x:c>
      <x:c r="G2" s="60" t="n">
        <x:v>48.529618949890136</x:v>
      </x:c>
      <x:c r="H2" s="60" t="n">
        <x:v>50.23920219421387</x:v>
      </x:c>
      <x:c r="I2" s="60" t="n">
        <x:v>51.54007965087891</x:v>
      </x:c>
      <x:c r="J2" s="60" t="n">
        <x:v>52.498539733886716</x:v>
      </x:c>
      <x:c r="K2" s="60" t="n">
        <x:v>53.34235668182373</x:v>
      </x:c>
      <x:c r="L2" s="60" t="n">
        <x:v>53.958797454833984</x:v>
      </x:c>
      <x:c r="M2" s="60" t="n">
        <x:v>54.477613258361814</x:v>
      </x:c>
      <x:c r="N2" s="60" t="n">
        <x:v>54.93947647094726</x:v>
      </x:c>
      <x:c r="O2" s="60" t="n">
        <x:v>55.407082901000976</x:v>
      </x:c>
      <x:c r="P2" s="60" t="n">
        <x:v>55.783190155029295</x:v>
      </x:c>
      <x:c r="Q2" s="60" t="n">
        <x:v>56.19393913269043</x:v>
      </x:c>
      <x:c r="R2" s="60" t="n">
        <x:v>56.55136474609375</x:v>
      </x:c>
      <x:c r="S2" s="60" t="n">
        <x:v>56.9155891418457</x:v>
      </x:c>
      <x:c r="T2" s="60" t="n">
        <x:v>57.26909088134766</x:v>
      </x:c>
      <x:c r="U2" s="60" t="n">
        <x:v>57.56544227600098</x:v>
      </x:c>
      <x:c r="V2" s="60" t="n">
        <x:v>57.85991287231445</x:v>
      </x:c>
      <x:c r="W2" s="60" t="n">
        <x:v>58.14618598937988</x:v>
      </x:c>
      <x:c r="X2" s="60" t="n">
        <x:v>58.42893379211426</x:v>
      </x:c>
      <x:c r="Y2" s="60" t="n">
        <x:v>58.72179790496826</x:v>
      </x:c>
      <x:c r="Z2" s="60" t="n">
        <x:v>58.97026443481445</x:v>
      </x:c>
      <x:c r="AA2" s="60" t="n">
        <x:v>59.234768333435056</x:v>
      </x:c>
      <x:c r="AB2" s="60" t="n">
        <x:v>59.449702758789066</x:v>
      </x:c>
      <x:c r="AC2" s="60" t="n">
        <x:v>59.661094665527344</x:v>
      </x:c>
      <x:c r="AD2" s="60" t="n">
        <x:v>59.872833709716794</x:v>
      </x:c>
      <x:c r="AE2" s="60" t="n">
        <x:v>60.096373558044434</x:v>
      </x:c>
      <x:c r="AF2" s="60" t="n">
        <x:v>60.30081428527832</x:v>
      </x:c>
      <x:c r="AG2" s="60" t="n">
        <x:v>60.489300842285154</x:v>
      </x:c>
      <x:c r="AH2" s="60" t="n">
        <x:v>60.720608673095704</x:v>
      </x:c>
      <x:c r="AI2" s="60" t="n">
        <x:v>60.92062023162842</x:v>
      </x:c>
      <x:c r="AJ2" s="60" t="n">
        <x:v>61.11219940185547</x:v>
      </x:c>
      <x:c r="AK2" s="60" t="n">
        <x:v>61.295361824035645</x:v>
      </x:c>
      <x:c r="AL2" s="60" t="n">
        <x:v>61.499209289550784</x:v>
      </x:c>
      <x:c r="AM2" s="60" t="n">
        <x:v>61.706021308898926</x:v>
      </x:c>
      <x:c r="AN2" s="60" t="n">
        <x:v>61.8985652923584</x:v>
      </x:c>
      <x:c r="AO2" s="60" t="n">
        <x:v>62.07893867492676</x:v>
      </x:c>
      <x:c r="AP2" s="60" t="n">
        <x:v>62.262747039794924</x:v>
      </x:c>
      <x:c r="AQ2" s="60" t="n">
        <x:v>62.44570049285889</x:v>
      </x:c>
      <x:c r="AR2" s="60" t="n">
        <x:v>62.614306945800784</x:v>
      </x:c>
      <x:c r="AS2" s="60" t="n">
        <x:v>62.78484981536865</x:v>
      </x:c>
      <x:c r="AT2" s="60" t="n">
        <x:v>62.959320068359375</x:v>
      </x:c>
      <x:c r="AU2" s="60" t="n">
        <x:v>63.119383087158205</x:v>
      </x:c>
      <x:c r="AV2" s="60" t="n">
        <x:v>63.28658958435059</x:v>
      </x:c>
      <x:c r="AW2" s="60" t="n">
        <x:v>63.45610733032227</x:v>
      </x:c>
      <x:c r="AX2" s="60" t="n">
        <x:v>63.629540557861326</x:v>
      </x:c>
      <x:c r="AY2" s="60" t="n">
        <x:v>63.78806915283204</x:v>
      </x:c>
      <x:c r="AZ2" s="60" t="n">
        <x:v>63.95113983154297</x:v>
      </x:c>
      <x:c r="BA2" s="60" t="n">
        <x:v>64.0933334350586</x:v>
      </x:c>
      <x:c r="BB2" s="60" t="n">
        <x:v>64.23581359863282</x:v>
      </x:c>
      <x:c r="BC2" s="60" t="n">
        <x:v>64.39788177490234</x:v>
      </x:c>
      <x:c r="BD2" s="60" t="n">
        <x:v>64.56214904785156</x:v>
      </x:c>
      <x:c r="BE2" s="60" t="n">
        <x:v>64.71099563598632</x:v>
      </x:c>
      <x:c r="BF2" s="60" t="n">
        <x:v>64.85671661376954</x:v>
      </x:c>
      <x:c r="BG2" s="60" t="n">
        <x:v>64.98758346557618</x:v>
      </x:c>
      <x:c r="BH2" s="60" t="n">
        <x:v>65.15037567138671</x:v>
      </x:c>
      <x:c r="BI2" s="60" t="n">
        <x:v>65.2937786102295</x:v>
      </x:c>
      <x:c r="BJ2" s="60" t="n">
        <x:v>65.45604431152344</x:v>
      </x:c>
      <x:c r="BK2" s="60" t="n">
        <x:v>65.59743431091309</x:v>
      </x:c>
      <x:c r="BL2" s="60" t="n">
        <x:v>65.7395295715332</x:v>
      </x:c>
      <x:c r="BM2" s="60" t="n">
        <x:v>65.87835845947265</x:v>
      </x:c>
      <x:c r="BN2" s="60" t="n">
        <x:v>66.0173110961914</x:v>
      </x:c>
      <x:c r="BO2" s="60" t="n">
        <x:v>66.16361763000488</x:v>
      </x:c>
      <x:c r="BP2" s="60" t="n">
        <x:v>66.28934188842773</x:v>
      </x:c>
      <x:c r="BQ2" s="60" t="n">
        <x:v>66.43323120117188</x:v>
      </x:c>
      <x:c r="BR2" s="60" t="n">
        <x:v>66.58090789794922</x:v>
      </x:c>
      <x:c r="BS2" s="60" t="n">
        <x:v>66.74893684387207</x:v>
      </x:c>
      <x:c r="BT2" s="60" t="n">
        <x:v>66.87595336914063</x:v>
      </x:c>
      <x:c r="BU2" s="60" t="n">
        <x:v>67.02879280090332</x:v>
      </x:c>
      <x:c r="BV2" s="60" t="n">
        <x:v>67.18043823242188</x:v>
      </x:c>
      <x:c r="BW2" s="60" t="n">
        <x:v>67.31729385375976</x:v>
      </x:c>
      <x:c r="BX2" s="60" t="n">
        <x:v>67.45800247192383</x:v>
      </x:c>
      <x:c r="BY2" s="60" t="n">
        <x:v>67.60012779235839</x:v>
      </x:c>
      <x:c r="BZ2" s="60" t="n">
        <x:v>67.75018432617188</x:v>
      </x:c>
      <x:c r="CA2" s="60" t="n">
        <x:v>67.90159301757812</x:v>
      </x:c>
      <x:c r="CB2" s="60" t="n">
        <x:v>68.066796875</x:v>
      </x:c>
      <x:c r="CC2" s="60" t="n">
        <x:v>68.20870208740234</x:v>
      </x:c>
      <x:c r="CD2" s="60" t="n">
        <x:v>68.3624917602539</x:v>
      </x:c>
      <x:c r="CE2" s="60" t="n">
        <x:v>68.51829231262207</x:v>
      </x:c>
      <x:c r="CF2" s="60" t="n">
        <x:v>68.7026890563965</x:v>
      </x:c>
      <x:c r="CG2" s="60" t="n">
        <x:v>68.84543830871583</x:v>
      </x:c>
      <x:c r="CH2" s="60" t="n">
        <x:v>68.98116149902344</x:v>
      </x:c>
      <x:c r="CI2" s="60" t="n">
        <x:v>69.1505369567871</x:v>
      </x:c>
      <x:c r="CJ2" s="60" t="n">
        <x:v>69.33047149658204</x:v>
      </x:c>
      <x:c r="CK2" s="60" t="n">
        <x:v>69.52298988342285</x:v>
      </x:c>
      <x:c r="CL2" s="60" t="n">
        <x:v>69.70664581298828</x:v>
      </x:c>
      <x:c r="CM2" s="60" t="n">
        <x:v>69.89392890930175</x:v>
      </x:c>
      <x:c r="CN2" s="60" t="n">
        <x:v>70.08823959350586</x:v>
      </x:c>
      <x:c r="CO2" s="60" t="n">
        <x:v>70.2525789642334</x:v>
      </x:c>
      <x:c r="CP2" s="60" t="n">
        <x:v>70.43911224365235</x:v>
      </x:c>
      <x:c r="CQ2" s="60" t="n">
        <x:v>70.62616180419923</x:v>
      </x:c>
      <x:c r="CR2" s="60" t="n">
        <x:v>70.84226608276367</x:v>
      </x:c>
      <x:c r="CS2" s="60" t="n">
        <x:v>71.08829788208008</x:v>
      </x:c>
      <x:c r="CT2" s="60" t="n">
        <x:v>71.32610870361329</x:v>
      </x:c>
      <x:c r="CU2" s="60" t="n">
        <x:v>71.56266632080079</x:v>
      </x:c>
      <x:c r="CV2" s="60" t="n">
        <x:v>71.87449081420898</x:v>
      </x:c>
      <x:c r="CW2" s="60" t="n">
        <x:v>72.19609489440919</x:v>
      </x:c>
      <x:c r="CX2" s="60" t="n">
        <x:v>72.55169708251952</x:v>
      </x:c>
      <x:c r="CY2" s="60" t="n">
        <x:v>72.94069351196289</x:v>
      </x:c>
      <x:c r="CZ2" s="60" t="n">
        <x:v>73.50166168212891</x:v>
      </x:c>
      <x:c r="DA2" s="60" t="n">
        <x:v>74.34885795593262</x:v>
      </x:c>
      <x:c r="DB2" s="60" t="n">
        <x:v>78.40677642822266</x:v>
      </x:c>
    </x:row>
    <x:row r="3">
      <x:c r="A3" t="str">
        <x:v>アローラキュウコン-2</x:v>
      </x:c>
      <x:c r="B3" t="str">
        <x:v>アローラキュウコン</x:v>
      </x:c>
      <x:c r="C3" t="str">
        <x:v>オーロラベール</x:v>
      </x:c>
      <x:c r="D3" s="60" t="n">
        <x:v>67.33612060546875</x:v>
      </x:c>
      <x:c r="E3" s="60" t="n">
        <x:v>7.80544900894165</x:v>
      </x:c>
      <x:c r="F3" s="60" t="n">
        <x:v>36.90087127685547</x:v>
      </x:c>
      <x:c r="G3" s="60" t="n">
        <x:v>45.392046241760255</x:v>
      </x:c>
      <x:c r="H3" s="60" t="n">
        <x:v>48.14640281677246</x:v>
      </x:c>
      <x:c r="I3" s="60" t="n">
        <x:v>50.010335006713866</x:v>
      </x:c>
      <x:c r="J3" s="60" t="n">
        <x:v>51.41281753540039</x:v>
      </x:c>
      <x:c r="K3" s="60" t="n">
        <x:v>52.46189956665039</x:v>
      </x:c>
      <x:c r="L3" s="60" t="n">
        <x:v>53.40713996887207</x:v>
      </x:c>
      <x:c r="M3" s="60" t="n">
        <x:v>54.234047470092776</x:v>
      </x:c>
      <x:c r="N3" s="60" t="n">
        <x:v>55.06748474121094</x:v>
      </x:c>
      <x:c r="O3" s="60" t="n">
        <x:v>55.715840339660645</x:v>
      </x:c>
      <x:c r="P3" s="60" t="n">
        <x:v>56.361585235595705</x:v>
      </x:c>
      <x:c r="Q3" s="60" t="n">
        <x:v>56.91379104614258</x:v>
      </x:c>
      <x:c r="R3" s="60" t="n">
        <x:v>57.444068603515625</x:v>
      </x:c>
      <x:c r="S3" s="60" t="n">
        <x:v>57.91660182952881</x:v>
      </x:c>
      <x:c r="T3" s="60" t="n">
        <x:v>58.4215926361084</x:v>
      </x:c>
      <x:c r="U3" s="60" t="n">
        <x:v>58.81434993743896</x:v>
      </x:c>
      <x:c r="V3" s="60" t="n">
        <x:v>59.18446044921875</x:v>
      </x:c>
      <x:c r="W3" s="60" t="n">
        <x:v>59.58064548492432</x:v>
      </x:c>
      <x:c r="X3" s="60" t="n">
        <x:v>59.996755599975586</x:v>
      </x:c>
      <x:c r="Y3" s="60" t="n">
        <x:v>60.38642436981201</x:v>
      </x:c>
      <x:c r="Z3" s="60" t="n">
        <x:v>60.759951782226565</x:v>
      </x:c>
      <x:c r="AA3" s="60" t="n">
        <x:v>61.097623138427736</x:v>
      </x:c>
      <x:c r="AB3" s="60" t="n">
        <x:v>61.389987564086915</x:v>
      </x:c>
      <x:c r="AC3" s="60" t="n">
        <x:v>61.7267586517334</x:v>
      </x:c>
      <x:c r="AD3" s="60" t="n">
        <x:v>62.08848358154297</x:v>
      </x:c>
      <x:c r="AE3" s="60" t="n">
        <x:v>62.41497993469238</x:v>
      </x:c>
      <x:c r="AF3" s="60" t="n">
        <x:v>62.75653785705566</x:v>
      </x:c>
      <x:c r="AG3" s="60" t="n">
        <x:v>63.087316818237305</x:v>
      </x:c>
      <x:c r="AH3" s="60" t="n">
        <x:v>63.37985870361328</x:v>
      </x:c>
      <x:c r="AI3" s="60" t="n">
        <x:v>63.66797927856445</x:v>
      </x:c>
      <x:c r="AJ3" s="60" t="n">
        <x:v>63.973541259765625</x:v>
      </x:c>
      <x:c r="AK3" s="60" t="n">
        <x:v>64.26867301940918</x:v>
      </x:c>
      <x:c r="AL3" s="60" t="n">
        <x:v>64.55823150634765</x:v>
      </x:c>
      <x:c r="AM3" s="60" t="n">
        <x:v>64.83027565002442</x:v>
      </x:c>
      <x:c r="AN3" s="60" t="n">
        <x:v>65.08476165771485</x:v>
      </x:c>
      <x:c r="AO3" s="60" t="n">
        <x:v>65.31211929321289</x:v>
      </x:c>
      <x:c r="AP3" s="60" t="n">
        <x:v>65.59542053222656</x:v>
      </x:c>
      <x:c r="AQ3" s="60" t="n">
        <x:v>65.88100517272949</x:v>
      </x:c>
      <x:c r="AR3" s="60" t="n">
        <x:v>66.1257748413086</x:v>
      </x:c>
      <x:c r="AS3" s="60" t="n">
        <x:v>66.3610678100586</x:v>
      </x:c>
      <x:c r="AT3" s="60" t="n">
        <x:v>66.57220916748047</x:v>
      </x:c>
      <x:c r="AU3" s="60" t="n">
        <x:v>66.79289184570312</x:v>
      </x:c>
      <x:c r="AV3" s="60" t="n">
        <x:v>67.01924224853515</x:v>
      </x:c>
      <x:c r="AW3" s="60" t="n">
        <x:v>67.25972602844239</x:v>
      </x:c>
      <x:c r="AX3" s="60" t="n">
        <x:v>67.47122589111328</x:v>
      </x:c>
      <x:c r="AY3" s="60" t="n">
        <x:v>67.70279235839844</x:v>
      </x:c>
      <x:c r="AZ3" s="60" t="n">
        <x:v>67.92488983154297</x:v>
      </x:c>
      <x:c r="BA3" s="60" t="n">
        <x:v>68.12419242858887</x:v>
      </x:c>
      <x:c r="BB3" s="60" t="n">
        <x:v>68.30511932373047</x:v>
      </x:c>
      <x:c r="BC3" s="60" t="n">
        <x:v>68.52097015380859</x:v>
      </x:c>
      <x:c r="BD3" s="60" t="n">
        <x:v>68.75722122192383</x:v>
      </x:c>
      <x:c r="BE3" s="60" t="n">
        <x:v>68.98064186096191</x:v>
      </x:c>
      <x:c r="BF3" s="60" t="n">
        <x:v>69.19877410888672</x:v>
      </x:c>
      <x:c r="BG3" s="60" t="n">
        <x:v>69.39370979309082</x:v>
      </x:c>
      <x:c r="BH3" s="60" t="n">
        <x:v>69.58601669311524</x:v>
      </x:c>
      <x:c r="BI3" s="60" t="n">
        <x:v>69.80102500915527</x:v>
      </x:c>
      <x:c r="BJ3" s="60" t="n">
        <x:v>69.99733245849609</x:v>
      </x:c>
      <x:c r="BK3" s="60" t="n">
        <x:v>70.19134170532227</x:v>
      </x:c>
      <x:c r="BL3" s="60" t="n">
        <x:v>70.39408752441406</x:v>
      </x:c>
      <x:c r="BM3" s="60" t="n">
        <x:v>70.57565078735351</x:v>
      </x:c>
      <x:c r="BN3" s="60" t="n">
        <x:v>70.75097045898437</x:v>
      </x:c>
      <x:c r="BO3" s="60" t="n">
        <x:v>70.93413635253906</x:v>
      </x:c>
      <x:c r="BP3" s="60" t="n">
        <x:v>71.10478302001952</x:v>
      </x:c>
      <x:c r="BQ3" s="60" t="n">
        <x:v>71.31279830932617</x:v>
      </x:c>
      <x:c r="BR3" s="60" t="n">
        <x:v>71.48613342285157</x:v>
      </x:c>
      <x:c r="BS3" s="60" t="n">
        <x:v>71.66676826477051</x:v>
      </x:c>
      <x:c r="BT3" s="60" t="n">
        <x:v>71.83122146606445</x:v>
      </x:c>
      <x:c r="BU3" s="60" t="n">
        <x:v>72.02942321777344</x:v>
      </x:c>
      <x:c r="BV3" s="60" t="n">
        <x:v>72.21716491699219</x:v>
      </x:c>
      <x:c r="BW3" s="60" t="n">
        <x:v>72.40217460632324</x:v>
      </x:c>
      <x:c r="BX3" s="60" t="n">
        <x:v>72.59021301269532</x:v>
      </x:c>
      <x:c r="BY3" s="60" t="n">
        <x:v>72.76760665893555</x:v>
      </x:c>
      <x:c r="BZ3" s="60" t="n">
        <x:v>72.92178466796875</x:v>
      </x:c>
      <x:c r="CA3" s="60" t="n">
        <x:v>73.10586402893067</x:v>
      </x:c>
      <x:c r="CB3" s="60" t="n">
        <x:v>73.27728012084961</x:v>
      </x:c>
      <x:c r="CC3" s="60" t="n">
        <x:v>73.42838859558105</x:v>
      </x:c>
      <x:c r="CD3" s="60" t="n">
        <x:v>73.60215270996093</x:v>
      </x:c>
      <x:c r="CE3" s="60" t="n">
        <x:v>73.79810066223145</x:v>
      </x:c>
      <x:c r="CF3" s="60" t="n">
        <x:v>73.9483757019043</x:v>
      </x:c>
      <x:c r="CG3" s="60" t="n">
        <x:v>74.12847938537598</x:v>
      </x:c>
      <x:c r="CH3" s="60" t="n">
        <x:v>74.33274841308594</x:v>
      </x:c>
      <x:c r="CI3" s="60" t="n">
        <x:v>74.5162582397461</x:v>
      </x:c>
      <x:c r="CJ3" s="60" t="n">
        <x:v>74.69685150146485</x:v>
      </x:c>
      <x:c r="CK3" s="60" t="n">
        <x:v>74.88195281982422</x:v>
      </x:c>
      <x:c r="CL3" s="60" t="n">
        <x:v>75.0654217529297</x:v>
      </x:c>
      <x:c r="CM3" s="60" t="n">
        <x:v>75.25364112854004</x:v>
      </x:c>
      <x:c r="CN3" s="60" t="n">
        <x:v>75.44503372192382</x:v>
      </x:c>
      <x:c r="CO3" s="60" t="n">
        <x:v>75.6169271850586</x:v>
      </x:c>
      <x:c r="CP3" s="60" t="n">
        <x:v>75.83341217041016</x:v>
      </x:c>
      <x:c r="CQ3" s="60" t="n">
        <x:v>76.04959907531739</x:v>
      </x:c>
      <x:c r="CR3" s="60" t="n">
        <x:v>76.25299301147462</x:v>
      </x:c>
      <x:c r="CS3" s="60" t="n">
        <x:v>76.49684745788574</x:v>
      </x:c>
      <x:c r="CT3" s="60" t="n">
        <x:v>76.73609985351563</x:v>
      </x:c>
      <x:c r="CU3" s="60" t="n">
        <x:v>76.97274604797363</x:v>
      </x:c>
      <x:c r="CV3" s="60" t="n">
        <x:v>77.22906463623048</x:v>
      </x:c>
      <x:c r="CW3" s="60" t="n">
        <x:v>77.48876876831055</x:v>
      </x:c>
      <x:c r="CX3" s="60" t="n">
        <x:v>77.79516784667969</x:v>
      </x:c>
      <x:c r="CY3" s="60" t="n">
        <x:v>78.1095955657959</x:v>
      </x:c>
      <x:c r="CZ3" s="60" t="n">
        <x:v>78.50041366577149</x:v>
      </x:c>
      <x:c r="DA3" s="60" t="n">
        <x:v>79.01641654968262</x:v>
      </x:c>
      <x:c r="DB3" s="60" t="n">
        <x:v>80.96919250488281</x:v>
      </x:c>
    </x:row>
    <x:row r="4">
      <x:c r="A4" t="str">
        <x:v>アローラライチュウ-1</x:v>
      </x:c>
      <x:c r="B4" t="str">
        <x:v>アローラライチュウ</x:v>
      </x:c>
      <x:c r="C4" t="str">
        <x:v>共通</x:v>
      </x:c>
      <x:c r="D4" s="60" t="n">
        <x:v>68.69648742675781</x:v>
      </x:c>
      <x:c r="E4" s="60" t="n">
        <x:v>8.074341773986816</x:v>
      </x:c>
      <x:c r="F4" s="60" t="n">
        <x:v>38.6678352355957</x:v>
      </x:c>
      <x:c r="G4" s="60" t="n">
        <x:v>47.212035026550296</x:v>
      </x:c>
      <x:c r="H4" s="60" t="n">
        <x:v>49.90647964477539</x:v>
      </x:c>
      <x:c r="I4" s="60" t="n">
        <x:v>51.77030109405518</x:v>
      </x:c>
      <x:c r="J4" s="60" t="n">
        <x:v>53.079902496337894</x:v>
      </x:c>
      <x:c r="K4" s="60" t="n">
        <x:v>54.02787456512451</x:v>
      </x:c>
      <x:c r="L4" s="60" t="n">
        <x:v>54.875258712768556</x:v>
      </x:c>
      <x:c r="M4" s="60" t="n">
        <x:v>55.62895267486572</x:v>
      </x:c>
      <x:c r="N4" s="60" t="n">
        <x:v>56.36593521118164</x:v>
      </x:c>
      <x:c r="O4" s="60" t="n">
        <x:v>56.940066490173336</x:v>
      </x:c>
      <x:c r="P4" s="60" t="n">
        <x:v>57.48677406311035</x:v>
      </x:c>
      <x:c r="Q4" s="60" t="n">
        <x:v>57.9971509552002</x:v>
      </x:c>
      <x:c r="R4" s="60" t="n">
        <x:v>58.490907440185545</x:v>
      </x:c>
      <x:c r="S4" s="60" t="n">
        <x:v>59.030599212646486</x:v>
      </x:c>
      <x:c r="T4" s="60" t="n">
        <x:v>59.48476745605469</x:v>
      </x:c>
      <x:c r="U4" s="60" t="n">
        <x:v>59.92684955596924</x:v>
      </x:c>
      <x:c r="V4" s="60" t="n">
        <x:v>60.35683700561523</x:v>
      </x:c>
      <x:c r="W4" s="60" t="n">
        <x:v>60.715876770019534</x:v>
      </x:c>
      <x:c r="X4" s="60" t="n">
        <x:v>61.07770011901855</x:v>
      </x:c>
      <x:c r="Y4" s="60" t="n">
        <x:v>61.43610668182373</x:v>
      </x:c>
      <x:c r="Z4" s="60" t="n">
        <x:v>61.798081970214845</x:v>
      </x:c>
      <x:c r="AA4" s="60" t="n">
        <x:v>62.187952537536624</x:v>
      </x:c>
      <x:c r="AB4" s="60" t="n">
        <x:v>62.50440155029297</x:v>
      </x:c>
      <x:c r="AC4" s="60" t="n">
        <x:v>62.816100959777835</x:v>
      </x:c>
      <x:c r="AD4" s="60" t="n">
        <x:v>63.15862045288086</x:v>
      </x:c>
      <x:c r="AE4" s="60" t="n">
        <x:v>63.453349113464355</x:v>
      </x:c>
      <x:c r="AF4" s="60" t="n">
        <x:v>63.72326370239258</x:v>
      </x:c>
      <x:c r="AG4" s="60" t="n">
        <x:v>64.02345474243164</x:v>
      </x:c>
      <x:c r="AH4" s="60" t="n">
        <x:v>64.28967681884765</x:v>
      </x:c>
      <x:c r="AI4" s="60" t="n">
        <x:v>64.60732131958008</x:v>
      </x:c>
      <x:c r="AJ4" s="60" t="n">
        <x:v>64.90249252319336</x:v>
      </x:c>
      <x:c r="AK4" s="60" t="n">
        <x:v>65.16102493286132</x:v>
      </x:c>
      <x:c r="AL4" s="60" t="n">
        <x:v>65.43433044433594</x:v>
      </x:c>
      <x:c r="AM4" s="60" t="n">
        <x:v>65.6939493560791</x:v>
      </x:c>
      <x:c r="AN4" s="60" t="n">
        <x:v>65.93947692871095</x:v>
      </x:c>
      <x:c r="AO4" s="60" t="n">
        <x:v>66.17084617614746</x:v>
      </x:c>
      <x:c r="AP4" s="60" t="n">
        <x:v>66.42599243164062</x:v>
      </x:c>
      <x:c r="AQ4" s="60" t="n">
        <x:v>66.68368934631347</x:v>
      </x:c>
      <x:c r="AR4" s="60" t="n">
        <x:v>66.95602813720703</x:v>
      </x:c>
      <x:c r="AS4" s="60" t="n">
        <x:v>67.17457916259765</x:v>
      </x:c>
      <x:c r="AT4" s="60" t="n">
        <x:v>67.41217346191407</x:v>
      </x:c>
      <x:c r="AU4" s="60" t="n">
        <x:v>67.63372184753418</x:v>
      </x:c>
      <x:c r="AV4" s="60" t="n">
        <x:v>67.87684814453125</x:v>
      </x:c>
      <x:c r="AW4" s="60" t="n">
        <x:v>68.10010276794434</x:v>
      </x:c>
      <x:c r="AX4" s="60" t="n">
        <x:v>68.35681030273437</x:v>
      </x:c>
      <x:c r="AY4" s="60" t="n">
        <x:v>68.55076866149902</x:v>
      </x:c>
      <x:c r="AZ4" s="60" t="n">
        <x:v>68.8075796508789</x:v>
      </x:c>
      <x:c r="BA4" s="60" t="n">
        <x:v>69.01335937500001</x:v>
      </x:c>
      <x:c r="BB4" s="60" t="n">
        <x:v>69.21306823730468</x:v>
      </x:c>
      <x:c r="BC4" s="60" t="n">
        <x:v>69.46153594970703</x:v>
      </x:c>
      <x:c r="BD4" s="60" t="n">
        <x:v>69.68635559082031</x:v>
      </x:c>
      <x:c r="BE4" s="60" t="n">
        <x:v>69.87909774780273</x:v>
      </x:c>
      <x:c r="BF4" s="60" t="n">
        <x:v>70.10907196044921</x:v>
      </x:c>
      <x:c r="BG4" s="60" t="n">
        <x:v>70.32116363525391</x:v>
      </x:c>
      <x:c r="BH4" s="60" t="n">
        <x:v>70.52414932250977</x:v>
      </x:c>
      <x:c r="BI4" s="60" t="n">
        <x:v>70.7000228881836</x:v>
      </x:c>
      <x:c r="BJ4" s="60" t="n">
        <x:v>70.89800354003906</x:v>
      </x:c>
      <x:c r="BK4" s="60" t="n">
        <x:v>71.12000213623047</x:v>
      </x:c>
      <x:c r="BL4" s="60" t="n">
        <x:v>71.33666122436523</x:v>
      </x:c>
      <x:c r="BM4" s="60" t="n">
        <x:v>71.56955886840821</x:v>
      </x:c>
      <x:c r="BN4" s="60" t="n">
        <x:v>71.77762145996094</x:v>
      </x:c>
      <x:c r="BO4" s="60" t="n">
        <x:v>71.98810760498047</x:v>
      </x:c>
      <x:c r="BP4" s="60" t="n">
        <x:v>72.18339157104492</x:v>
      </x:c>
      <x:c r="BQ4" s="60" t="n">
        <x:v>72.39194480895996</x:v>
      </x:c>
      <x:c r="BR4" s="60" t="n">
        <x:v>72.59471008300781</x:v>
      </x:c>
      <x:c r="BS4" s="60" t="n">
        <x:v>72.80143699645996</x:v>
      </x:c>
      <x:c r="BT4" s="60" t="n">
        <x:v>73.00817611694336</x:v>
      </x:c>
      <x:c r="BU4" s="60" t="n">
        <x:v>73.19909660339356</x:v>
      </x:c>
      <x:c r="BV4" s="60" t="n">
        <x:v>73.41057556152344</x:v>
      </x:c>
      <x:c r="BW4" s="60" t="n">
        <x:v>73.60413803100586</x:v>
      </x:c>
      <x:c r="BX4" s="60" t="n">
        <x:v>73.82227172851563</x:v>
      </x:c>
      <x:c r="BY4" s="60" t="n">
        <x:v>74.03182723999024</x:v>
      </x:c>
      <x:c r="BZ4" s="60" t="n">
        <x:v>74.23282836914062</x:v>
      </x:c>
      <x:c r="CA4" s="60" t="n">
        <x:v>74.43712295532227</x:v>
      </x:c>
      <x:c r="CB4" s="60" t="n">
        <x:v>74.6616877746582</x:v>
      </x:c>
      <x:c r="CC4" s="60" t="n">
        <x:v>74.87371253967285</x:v>
      </x:c>
      <x:c r="CD4" s="60" t="n">
        <x:v>75.0685400390625</x:v>
      </x:c>
      <x:c r="CE4" s="60" t="n">
        <x:v>75.30406509399414</x:v>
      </x:c>
      <x:c r="CF4" s="60" t="n">
        <x:v>75.52628051757813</x:v>
      </x:c>
      <x:c r="CG4" s="60" t="n">
        <x:v>75.74123245239258</x:v>
      </x:c>
      <x:c r="CH4" s="60" t="n">
        <x:v>75.95199737548828</x:v>
      </x:c>
      <x:c r="CI4" s="60" t="n">
        <x:v>76.1958317565918</x:v>
      </x:c>
      <x:c r="CJ4" s="60" t="n">
        <x:v>76.3908024597168</x:v>
      </x:c>
      <x:c r="CK4" s="60" t="n">
        <x:v>76.60633003234864</x:v>
      </x:c>
      <x:c r="CL4" s="60" t="n">
        <x:v>76.86226501464844</x:v>
      </x:c>
      <x:c r="CM4" s="60" t="n">
        <x:v>77.10084228515625</x:v>
      </x:c>
      <x:c r="CN4" s="60" t="n">
        <x:v>77.32967636108398</x:v>
      </x:c>
      <x:c r="CO4" s="60" t="n">
        <x:v>77.59768966674805</x:v>
      </x:c>
      <x:c r="CP4" s="60" t="n">
        <x:v>77.86013641357421</x:v>
      </x:c>
      <x:c r="CQ4" s="60" t="n">
        <x:v>78.11568557739258</x:v>
      </x:c>
      <x:c r="CR4" s="60" t="n">
        <x:v>78.40163116455079</x:v>
      </x:c>
      <x:c r="CS4" s="60" t="n">
        <x:v>78.7240364074707</x:v>
      </x:c>
      <x:c r="CT4" s="60" t="n">
        <x:v>79.06256958007813</x:v>
      </x:c>
      <x:c r="CU4" s="60" t="n">
        <x:v>79.4082748413086</x:v>
      </x:c>
      <x:c r="CV4" s="60" t="n">
        <x:v>79.77584030151367</x:v>
      </x:c>
      <x:c r="CW4" s="60" t="n">
        <x:v>80.16299781799317</x:v>
      </x:c>
      <x:c r="CX4" s="60" t="n">
        <x:v>80.65942047119141</x:v>
      </x:c>
      <x:c r="CY4" s="60" t="n">
        <x:v>81.24217788696289</x:v>
      </x:c>
      <x:c r="CZ4" s="60" t="n">
        <x:v>81.8641421508789</x:v>
      </x:c>
      <x:c r="DA4" s="60" t="n">
        <x:v>82.77153053283692</x:v>
      </x:c>
      <x:c r="DB4" s="60" t="n">
        <x:v>86.91532897949219</x:v>
      </x:c>
    </x:row>
    <x:row r="5">
      <x:c r="A5" t="str">
        <x:v>イベルタル-1</x:v>
      </x:c>
      <x:c r="B5" t="str">
        <x:v>イベルタル</x:v>
      </x:c>
      <x:c r="C5" t="str">
        <x:v>共通</x:v>
      </x:c>
      <x:c r="D5" s="60" t="n">
        <x:v>65.01692199707031</x:v>
      </x:c>
      <x:c r="E5" s="60" t="n">
        <x:v>5.871422290802002</x:v>
      </x:c>
      <x:c r="F5" s="60" t="n">
        <x:v>41.82251739501953</x:v>
      </x:c>
      <x:c r="G5" s="60" t="n">
        <x:v>49.06022159576416</x:v>
      </x:c>
      <x:c r="H5" s="60" t="n">
        <x:v>51.06462936401367</x:v>
      </x:c>
      <x:c r="I5" s="60" t="n">
        <x:v>52.266387939453125</x:v>
      </x:c>
      <x:c r="J5" s="60" t="n">
        <x:v>53.363792419433594</x:v>
      </x:c>
      <x:c r="K5" s="60" t="n">
        <x:v>54.169651412963866</x:v>
      </x:c>
      <x:c r="L5" s="60" t="n">
        <x:v>54.82745727539063</x:v>
      </x:c>
      <x:c r="M5" s="60" t="n">
        <x:v>55.41543724060059</x:v>
      </x:c>
      <x:c r="N5" s="60" t="n">
        <x:v>55.9206689453125</x:v>
      </x:c>
      <x:c r="O5" s="60" t="n">
        <x:v>56.378788757324216</x:v>
      </x:c>
      <x:c r="P5" s="60" t="n">
        <x:v>56.81645278930664</x:v>
      </x:c>
      <x:c r="Q5" s="60" t="n">
        <x:v>57.24714054107666</x:v>
      </x:c>
      <x:c r="R5" s="60" t="n">
        <x:v>57.639493255615236</x:v>
      </x:c>
      <x:c r="S5" s="60" t="n">
        <x:v>57.983066902160644</x:v>
      </x:c>
      <x:c r="T5" s="60" t="n">
        <x:v>58.334367752075195</x:v>
      </x:c>
      <x:c r="U5" s="60" t="n">
        <x:v>58.64711017608643</x:v>
      </x:c>
      <x:c r="V5" s="60" t="n">
        <x:v>58.95942687988281</x:v>
      </x:c>
      <x:c r="W5" s="60" t="n">
        <x:v>59.278891792297365</x:v>
      </x:c>
      <x:c r="X5" s="60" t="n">
        <x:v>59.561264495849606</x:v>
      </x:c>
      <x:c r="Y5" s="60" t="n">
        <x:v>59.855546417236326</x:v>
      </x:c>
      <x:c r="Z5" s="60" t="n">
        <x:v>60.106266021728516</x:v>
      </x:c>
      <x:c r="AA5" s="60" t="n">
        <x:v>60.40099685668945</x:v>
      </x:c>
      <x:c r="AB5" s="60" t="n">
        <x:v>60.65296325683594</x:v>
      </x:c>
      <x:c r="AC5" s="60" t="n">
        <x:v>60.862316284179684</x:v>
      </x:c>
      <x:c r="AD5" s="60" t="n">
        <x:v>61.06680099487305</x:v>
      </x:c>
      <x:c r="AE5" s="60" t="n">
        <x:v>61.29515361785889</x:v>
      </x:c>
      <x:c r="AF5" s="60" t="n">
        <x:v>61.50598190307617</x:v>
      </x:c>
      <x:c r="AG5" s="60" t="n">
        <x:v>61.71532417297363</x:v>
      </x:c>
      <x:c r="AH5" s="60" t="n">
        <x:v>61.94296356201172</x:v>
      </x:c>
      <x:c r="AI5" s="60" t="n">
        <x:v>62.138576431274416</x:v>
      </x:c>
      <x:c r="AJ5" s="60" t="n">
        <x:v>62.3467830657959</x:v>
      </x:c>
      <x:c r="AK5" s="60" t="n">
        <x:v>62.549322624206546</x:v>
      </x:c>
      <x:c r="AL5" s="60" t="n">
        <x:v>62.775090026855466</x:v>
      </x:c>
      <x:c r="AM5" s="60" t="n">
        <x:v>62.96829959869385</x:v>
      </x:c>
      <x:c r="AN5" s="60" t="n">
        <x:v>63.16061462402344</x:v>
      </x:c>
      <x:c r="AO5" s="60" t="n">
        <x:v>63.35662136077881</x:v>
      </x:c>
      <x:c r="AP5" s="60" t="n">
        <x:v>63.52934509277344</x:v>
      </x:c>
      <x:c r="AQ5" s="60" t="n">
        <x:v>63.710230369567874</x:v>
      </x:c>
      <x:c r="AR5" s="60" t="n">
        <x:v>63.87709907531738</x:v>
      </x:c>
      <x:c r="AS5" s="60" t="n">
        <x:v>64.03493492126465</x:v>
      </x:c>
      <x:c r="AT5" s="60" t="n">
        <x:v>64.19414978027343</x:v>
      </x:c>
      <x:c r="AU5" s="60" t="n">
        <x:v>64.36767013549805</x:v>
      </x:c>
      <x:c r="AV5" s="60" t="n">
        <x:v>64.56053756713867</x:v>
      </x:c>
      <x:c r="AW5" s="60" t="n">
        <x:v>64.73367622375488</x:v>
      </x:c>
      <x:c r="AX5" s="60" t="n">
        <x:v>64.90989562988281</x:v>
      </x:c>
      <x:c r="AY5" s="60" t="n">
        <x:v>65.08130722045898</x:v>
      </x:c>
      <x:c r="AZ5" s="60" t="n">
        <x:v>65.23921112060548</x:v>
      </x:c>
      <x:c r="BA5" s="60" t="n">
        <x:v>65.3972435760498</x:v>
      </x:c>
      <x:c r="BB5" s="60" t="n">
        <x:v>65.55360229492187</x:v>
      </x:c>
      <x:c r="BC5" s="60" t="n">
        <x:v>65.70892021179199</x:v>
      </x:c>
      <x:c r="BD5" s="60" t="n">
        <x:v>65.87140655517578</x:v>
      </x:c>
      <x:c r="BE5" s="60" t="n">
        <x:v>66.01478240966797</x:v>
      </x:c>
      <x:c r="BF5" s="60" t="n">
        <x:v>66.15981170654297</x:v>
      </x:c>
      <x:c r="BG5" s="60" t="n">
        <x:v>66.32439888000488</x:v>
      </x:c>
      <x:c r="BH5" s="60" t="n">
        <x:v>66.48214340209961</x:v>
      </x:c>
      <x:c r="BI5" s="60" t="n">
        <x:v>66.64263916015625</x:v>
      </x:c>
      <x:c r="BJ5" s="60" t="n">
        <x:v>66.77355529785156</x:v>
      </x:c>
      <x:c r="BK5" s="60" t="n">
        <x:v>66.90952178955078</x:v>
      </x:c>
      <x:c r="BL5" s="60" t="n">
        <x:v>67.03844863891601</x:v>
      </x:c>
      <x:c r="BM5" s="60" t="n">
        <x:v>67.18459533691406</x:v>
      </x:c>
      <x:c r="BN5" s="60" t="n">
        <x:v>67.33111419677735</x:v>
      </x:c>
      <x:c r="BO5" s="60" t="n">
        <x:v>67.4729190826416</x:v>
      </x:c>
      <x:c r="BP5" s="60" t="n">
        <x:v>67.61007629394531</x:v>
      </x:c>
      <x:c r="BQ5" s="60" t="n">
        <x:v>67.74499114990235</x:v>
      </x:c>
      <x:c r="BR5" s="60" t="n">
        <x:v>67.8799331665039</x:v>
      </x:c>
      <x:c r="BS5" s="60" t="n">
        <x:v>68.0297134399414</x:v>
      </x:c>
      <x:c r="BT5" s="60" t="n">
        <x:v>68.19134307861329</x:v>
      </x:c>
      <x:c r="BU5" s="60" t="n">
        <x:v>68.31529975891114</x:v>
      </x:c>
      <x:c r="BV5" s="60" t="n">
        <x:v>68.43749786376954</x:v>
      </x:c>
      <x:c r="BW5" s="60" t="n">
        <x:v>68.59684761047363</x:v>
      </x:c>
      <x:c r="BX5" s="60" t="n">
        <x:v>68.72867584228516</x:v>
      </x:c>
      <x:c r="BY5" s="60" t="n">
        <x:v>68.86973922729491</x:v>
      </x:c>
      <x:c r="BZ5" s="60" t="n">
        <x:v>69.0311703491211</x:v>
      </x:c>
      <x:c r="CA5" s="60" t="n">
        <x:v>69.16876380920411</x:v>
      </x:c>
      <x:c r="CB5" s="60" t="n">
        <x:v>69.32144485473633</x:v>
      </x:c>
      <x:c r="CC5" s="60" t="n">
        <x:v>69.4700984954834</x:v>
      </x:c>
      <x:c r="CD5" s="60" t="n">
        <x:v>69.60639373779297</x:v>
      </x:c>
      <x:c r="CE5" s="60" t="n">
        <x:v>69.76209831237793</x:v>
      </x:c>
      <x:c r="CF5" s="60" t="n">
        <x:v>69.93320480346681</x:v>
      </x:c>
      <x:c r="CG5" s="60" t="n">
        <x:v>70.08802383422852</x:v>
      </x:c>
      <x:c r="CH5" s="60" t="n">
        <x:v>70.24002532958984</x:v>
      </x:c>
      <x:c r="CI5" s="60" t="n">
        <x:v>70.38233856201173</x:v>
      </x:c>
      <x:c r="CJ5" s="60" t="n">
        <x:v>70.53963699340821</x:v>
      </x:c>
      <x:c r="CK5" s="60" t="n">
        <x:v>70.71719711303712</x:v>
      </x:c>
      <x:c r="CL5" s="60" t="n">
        <x:v>70.87501556396484</x:v>
      </x:c>
      <x:c r="CM5" s="60" t="n">
        <x:v>71.05412864685059</x:v>
      </x:c>
      <x:c r="CN5" s="60" t="n">
        <x:v>71.21689895629883</x:v>
      </x:c>
      <x:c r="CO5" s="60" t="n">
        <x:v>71.38764251708984</x:v>
      </x:c>
      <x:c r="CP5" s="60" t="n">
        <x:v>71.57691497802735</x:v>
      </x:c>
      <x:c r="CQ5" s="60" t="n">
        <x:v>71.76263000488281</x:v>
      </x:c>
      <x:c r="CR5" s="60" t="n">
        <x:v>71.95535430908203</x:v>
      </x:c>
      <x:c r="CS5" s="60" t="n">
        <x:v>72.16010101318359</x:v>
      </x:c>
      <x:c r="CT5" s="60" t="n">
        <x:v>72.38520080566407</x:v>
      </x:c>
      <x:c r="CU5" s="60" t="n">
        <x:v>72.61947814941406</x:v>
      </x:c>
      <x:c r="CV5" s="60" t="n">
        <x:v>72.8779069519043</x:v>
      </x:c>
      <x:c r="CW5" s="60" t="n">
        <x:v>73.13300399780275</x:v>
      </x:c>
      <x:c r="CX5" s="60" t="n">
        <x:v>73.4531201171875</x:v>
      </x:c>
      <x:c r="CY5" s="60" t="n">
        <x:v>73.81998100280761</x:v>
      </x:c>
      <x:c r="CZ5" s="60" t="n">
        <x:v>74.27817123413087</x:v>
      </x:c>
      <x:c r="DA5" s="60" t="n">
        <x:v>74.93898887634276</x:v>
      </x:c>
      <x:c r="DB5" s="60" t="n">
        <x:v>78.38202667236328</x:v>
      </x:c>
    </x:row>
    <x:row r="6">
      <x:c r="A6" t="str">
        <x:v>インテレオン-1</x:v>
      </x:c>
      <x:c r="B6" t="str">
        <x:v>インテレオン</x:v>
      </x:c>
      <x:c r="C6" t="str">
        <x:v>ねらいうち</x:v>
      </x:c>
      <x:c r="D6" s="60" t="n">
        <x:v>61.86726379394531</x:v>
      </x:c>
      <x:c r="E6" s="60" t="n">
        <x:v>7.1502532958984375</x:v>
      </x:c>
      <x:c r="F6" s="60" t="n">
        <x:v>35.45985794067383</x:v>
      </x:c>
      <x:c r="G6" s="60" t="n">
        <x:v>44.1682398223877</x:v>
      </x:c>
      <x:c r="H6" s="60" t="n">
        <x:v>46.19919326782227</x:v>
      </x:c>
      <x:c r="I6" s="60" t="n">
        <x:v>47.3748401260376</x:v>
      </x:c>
      <x:c r="J6" s="60" t="n">
        <x:v>48.46458618164063</x:v>
      </x:c>
      <x:c r="K6" s="60" t="n">
        <x:v>49.27576732635498</x:v>
      </x:c>
      <x:c r="L6" s="60" t="n">
        <x:v>50.004090805053714</x:v>
      </x:c>
      <x:c r="M6" s="60" t="n">
        <x:v>50.60781421661377</x:v>
      </x:c>
      <x:c r="N6" s="60" t="n">
        <x:v>51.22877990722656</x:v>
      </x:c>
      <x:c r="O6" s="60" t="n">
        <x:v>51.732791328430174</x:v>
      </x:c>
      <x:c r="P6" s="60" t="n">
        <x:v>52.176903915405276</x:v>
      </x:c>
      <x:c r="Q6" s="60" t="n">
        <x:v>52.63661178588867</x:v>
      </x:c>
      <x:c r="R6" s="60" t="n">
        <x:v>53.033198547363284</x:v>
      </x:c>
      <x:c r="S6" s="60" t="n">
        <x:v>53.4309843826294</x:v>
      </x:c>
      <x:c r="T6" s="60" t="n">
        <x:v>53.79353744506836</x:v>
      </x:c>
      <x:c r="U6" s="60" t="n">
        <x:v>54.14463920593262</x:v>
      </x:c>
      <x:c r="V6" s="60" t="n">
        <x:v>54.477814178466794</x:v>
      </x:c>
      <x:c r="W6" s="60" t="n">
        <x:v>54.80661632537842</x:v>
      </x:c>
      <x:c r="X6" s="60" t="n">
        <x:v>55.124199295043944</x:v>
      </x:c>
      <x:c r="Y6" s="60" t="n">
        <x:v>55.40925254821777</x:v>
      </x:c>
      <x:c r="Z6" s="60" t="n">
        <x:v>55.69585418701172</x:v>
      </x:c>
      <x:c r="AA6" s="60" t="n">
        <x:v>55.95689323425293</x:v>
      </x:c>
      <x:c r="AB6" s="60" t="n">
        <x:v>56.27637557983398</x:v>
      </x:c>
      <x:c r="AC6" s="60" t="n">
        <x:v>56.541101417541505</x:v>
      </x:c>
      <x:c r="AD6" s="60" t="n">
        <x:v>56.76069564819336</x:v>
      </x:c>
      <x:c r="AE6" s="60" t="n">
        <x:v>57.03431415557861</x:v>
      </x:c>
      <x:c r="AF6" s="60" t="n">
        <x:v>57.29729278564453</x:v>
      </x:c>
      <x:c r="AG6" s="60" t="n">
        <x:v>57.54935886383057</x:v>
      </x:c>
      <x:c r="AH6" s="60" t="n">
        <x:v>57.80431106567383</x:v>
      </x:c>
      <x:c r="AI6" s="60" t="n">
        <x:v>58.056324615478516</x:v>
      </x:c>
      <x:c r="AJ6" s="60" t="n">
        <x:v>58.28867416381836</x:v>
      </x:c>
      <x:c r="AK6" s="60" t="n">
        <x:v>58.5327689743042</x:v>
      </x:c>
      <x:c r="AL6" s="60" t="n">
        <x:v>58.757388000488284</x:v>
      </x:c>
      <x:c r="AM6" s="60" t="n">
        <x:v>58.97404014587402</x:v>
      </x:c>
      <x:c r="AN6" s="60" t="n">
        <x:v>59.17086151123047</x:v>
      </x:c>
      <x:c r="AO6" s="60" t="n">
        <x:v>59.372552490234376</x:v>
      </x:c>
      <x:c r="AP6" s="60" t="n">
        <x:v>59.592978515625</x:v>
      </x:c>
      <x:c r="AQ6" s="60" t="n">
        <x:v>59.7973091506958</x:v>
      </x:c>
      <x:c r="AR6" s="60" t="n">
        <x:v>60.0314289855957</x:v>
      </x:c>
      <x:c r="AS6" s="60" t="n">
        <x:v>60.236146469116214</x:v>
      </x:c>
      <x:c r="AT6" s="60" t="n">
        <x:v>60.46824188232422</x:v>
      </x:c>
      <x:c r="AU6" s="60" t="n">
        <x:v>60.66289386749268</x:v>
      </x:c>
      <x:c r="AV6" s="60" t="n">
        <x:v>60.84994682312012</x:v>
      </x:c>
      <x:c r="AW6" s="60" t="n">
        <x:v>61.047974853515626</x:v>
      </x:c>
      <x:c r="AX6" s="60" t="n">
        <x:v>61.22440368652344</x:v>
      </x:c>
      <x:c r="AY6" s="60" t="n">
        <x:v>61.43462581634522</x:v>
      </x:c>
      <x:c r="AZ6" s="60" t="n">
        <x:v>61.62524200439453</x:v>
      </x:c>
      <x:c r="BA6" s="60" t="n">
        <x:v>61.81508018493653</x:v>
      </x:c>
      <x:c r="BB6" s="60" t="n">
        <x:v>62.00937744140625</x:v>
      </x:c>
      <x:c r="BC6" s="60" t="n">
        <x:v>62.20654083251953</x:v>
      </x:c>
      <x:c r="BD6" s="60" t="n">
        <x:v>62.4013557434082</x:v>
      </x:c>
      <x:c r="BE6" s="60" t="n">
        <x:v>62.58632289886474</x:v>
      </x:c>
      <x:c r="BF6" s="60" t="n">
        <x:v>62.77272918701172</x:v>
      </x:c>
      <x:c r="BG6" s="60" t="n">
        <x:v>62.95147811889648</x:v>
      </x:c>
      <x:c r="BH6" s="60" t="n">
        <x:v>63.15461143493653</x:v>
      </x:c>
      <x:c r="BI6" s="60" t="n">
        <x:v>63.32446727752686</x:v>
      </x:c>
      <x:c r="BJ6" s="60" t="n">
        <x:v>63.50253051757812</x:v>
      </x:c>
      <x:c r="BK6" s="60" t="n">
        <x:v>63.67956520080566</x:v>
      </x:c>
      <x:c r="BL6" s="60" t="n">
        <x:v>63.86142219543457</x:v>
      </x:c>
      <x:c r="BM6" s="60" t="n">
        <x:v>64.05481155395508</x:v>
      </x:c>
      <x:c r="BN6" s="60" t="n">
        <x:v>64.24048614501953</x:v>
      </x:c>
      <x:c r="BO6" s="60" t="n">
        <x:v>64.43772560119629</x:v>
      </x:c>
      <x:c r="BP6" s="60" t="n">
        <x:v>64.62430923461915</x:v>
      </x:c>
      <x:c r="BQ6" s="60" t="n">
        <x:v>64.79643974304199</x:v>
      </x:c>
      <x:c r="BR6" s="60" t="n">
        <x:v>64.98993957519531</x:v>
      </x:c>
      <x:c r="BS6" s="60" t="n">
        <x:v>65.18186073303222</x:v>
      </x:c>
      <x:c r="BT6" s="60" t="n">
        <x:v>65.3371502685547</x:v>
      </x:c>
      <x:c r="BU6" s="60" t="n">
        <x:v>65.53009834289551</x:v>
      </x:c>
      <x:c r="BV6" s="60" t="n">
        <x:v>65.72873748779297</x:v>
      </x:c>
      <x:c r="BW6" s="60" t="n">
        <x:v>65.92442733764649</x:v>
      </x:c>
      <x:c r="BX6" s="60" t="n">
        <x:v>66.12411956787109</x:v>
      </x:c>
      <x:c r="BY6" s="60" t="n">
        <x:v>66.31008811950683</x:v>
      </x:c>
      <x:c r="BZ6" s="60" t="n">
        <x:v>66.50809753417968</x:v>
      </x:c>
      <x:c r="CA6" s="60" t="n">
        <x:v>66.68429229736329</x:v>
      </x:c>
      <x:c r="CB6" s="60" t="n">
        <x:v>66.88389434814454</x:v>
      </x:c>
      <x:c r="CC6" s="60" t="n">
        <x:v>67.08731842041016</x:v>
      </x:c>
      <x:c r="CD6" s="60" t="n">
        <x:v>67.27675903320312</x:v>
      </x:c>
      <x:c r="CE6" s="60" t="n">
        <x:v>67.47349212646485</x:v>
      </x:c>
      <x:c r="CF6" s="60" t="n">
        <x:v>67.70740692138672</x:v>
      </x:c>
      <x:c r="CG6" s="60" t="n">
        <x:v>67.92778015136719</x:v>
      </x:c>
      <x:c r="CH6" s="60" t="n">
        <x:v>68.17157440185547</x:v>
      </x:c>
      <x:c r="CI6" s="60" t="n">
        <x:v>68.38168922424316</x:v>
      </x:c>
      <x:c r="CJ6" s="60" t="n">
        <x:v>68.6443766784668</x:v>
      </x:c>
      <x:c r="CK6" s="60" t="n">
        <x:v>68.89331146240234</x:v>
      </x:c>
      <x:c r="CL6" s="60" t="n">
        <x:v>69.14512939453125</x:v>
      </x:c>
      <x:c r="CM6" s="60" t="n">
        <x:v>69.38015403747558</x:v>
      </x:c>
      <x:c r="CN6" s="60" t="n">
        <x:v>69.63401489257812</x:v>
      </x:c>
      <x:c r="CO6" s="60" t="n">
        <x:v>69.90474258422852</x:v>
      </x:c>
      <x:c r="CP6" s="60" t="n">
        <x:v>70.20786010742188</x:v>
      </x:c>
      <x:c r="CQ6" s="60" t="n">
        <x:v>70.50449661254883</x:v>
      </x:c>
      <x:c r="CR6" s="60" t="n">
        <x:v>70.83308334350586</x:v>
      </x:c>
      <x:c r="CS6" s="60" t="n">
        <x:v>71.16047294616699</x:v>
      </x:c>
      <x:c r="CT6" s="60" t="n">
        <x:v>71.54977844238282</x:v>
      </x:c>
      <x:c r="CU6" s="60" t="n">
        <x:v>71.8850651550293</x:v>
      </x:c>
      <x:c r="CV6" s="60" t="n">
        <x:v>72.28269149780274</x:v>
      </x:c>
      <x:c r="CW6" s="60" t="n">
        <x:v>72.79432525634766</x:v>
      </x:c>
      <x:c r="CX6" s="60" t="n">
        <x:v>73.35650665283202</x:v>
      </x:c>
      <x:c r="CY6" s="60" t="n">
        <x:v>73.93745849609375</x:v>
      </x:c>
      <x:c r="CZ6" s="60" t="n">
        <x:v>74.7341177368164</x:v>
      </x:c>
      <x:c r="DA6" s="60" t="n">
        <x:v>75.98227508544922</x:v>
      </x:c>
      <x:c r="DB6" s="60" t="n">
        <x:v>80.5306396484375</x:v>
      </x:c>
    </x:row>
    <x:row r="7">
      <x:c r="A7" t="str">
        <x:v>インテレオン-2</x:v>
      </x:c>
      <x:c r="B7" t="str">
        <x:v>インテレオン</x:v>
      </x:c>
      <x:c r="C7" t="str">
        <x:v>アクアブレイク</x:v>
      </x:c>
      <x:c r="D7" s="60" t="n">
        <x:v>65.7569808959961</x:v>
      </x:c>
      <x:c r="E7" s="60" t="n">
        <x:v>8.479093551635742</x:v>
      </x:c>
      <x:c r="F7" s="60" t="n">
        <x:v>34.097503662109375</x:v>
      </x:c>
      <x:c r="G7" s="60" t="n">
        <x:v>43.968181686401365</x:v>
      </x:c>
      <x:c r="H7" s="60" t="n">
        <x:v>46.57845916748047</x:v>
      </x:c>
      <x:c r="I7" s="60" t="n">
        <x:v>48.36432689666748</x:v>
      </x:c>
      <x:c r="J7" s="60" t="n">
        <x:v>49.58191909790039</x:v>
      </x:c>
      <x:c r="K7" s="60" t="n">
        <x:v>50.58632049560547</x:v>
      </x:c>
      <x:c r="L7" s="60" t="n">
        <x:v>51.36689353942871</x:v>
      </x:c>
      <x:c r="M7" s="60" t="n">
        <x:v>52.11848594665528</x:v>
      </x:c>
      <x:c r="N7" s="60" t="n">
        <x:v>52.884631958007816</x:v>
      </x:c>
      <x:c r="O7" s="60" t="n">
        <x:v>53.46790596008301</x:v>
      </x:c>
      <x:c r="P7" s="60" t="n">
        <x:v>54.0769603729248</x:v>
      </x:c>
      <x:c r="Q7" s="60" t="n">
        <x:v>54.65196868896484</x:v>
      </x:c>
      <x:c r="R7" s="60" t="n">
        <x:v>55.19194274902344</x:v>
      </x:c>
      <x:c r="S7" s="60" t="n">
        <x:v>55.70841461181641</x:v>
      </x:c>
      <x:c r="T7" s="60" t="n">
        <x:v>56.151976623535155</x:v>
      </x:c>
      <x:c r="U7" s="60" t="n">
        <x:v>56.569063377380374</x:v>
      </x:c>
      <x:c r="V7" s="60" t="n">
        <x:v>56.99475982666016</x:v>
      </x:c>
      <x:c r="W7" s="60" t="n">
        <x:v>57.40157009124756</x:v>
      </x:c>
      <x:c r="X7" s="60" t="n">
        <x:v>57.77946975708008</x:v>
      </x:c>
      <x:c r="Y7" s="60" t="n">
        <x:v>58.154619750976565</x:v>
      </x:c>
      <x:c r="Z7" s="60" t="n">
        <x:v>58.52080459594727</x:v>
      </x:c>
      <x:c r="AA7" s="60" t="n">
        <x:v>58.876458702087405</x:v>
      </x:c>
      <x:c r="AB7" s="60" t="n">
        <x:v>59.24097618103027</x:v>
      </x:c>
      <x:c r="AC7" s="60" t="n">
        <x:v>59.55696914672851</x:v>
      </x:c>
      <x:c r="AD7" s="60" t="n">
        <x:v>59.87787399291992</x:v>
      </x:c>
      <x:c r="AE7" s="60" t="n">
        <x:v>60.14349555969238</x:v>
      </x:c>
      <x:c r="AF7" s="60" t="n">
        <x:v>60.42294082641602</x:v>
      </x:c>
      <x:c r="AG7" s="60" t="n">
        <x:v>60.69443687438965</x:v>
      </x:c>
      <x:c r="AH7" s="60" t="n">
        <x:v>61.00346984863281</x:v>
      </x:c>
      <x:c r="AI7" s="60" t="n">
        <x:v>61.292082443237305</x:v>
      </x:c>
      <x:c r="AJ7" s="60" t="n">
        <x:v>61.58528633117676</x:v>
      </x:c>
      <x:c r="AK7" s="60" t="n">
        <x:v>61.85864025115967</x:v>
      </x:c>
      <x:c r="AL7" s="60" t="n">
        <x:v>62.09802963256836</x:v>
      </x:c>
      <x:c r="AM7" s="60" t="n">
        <x:v>62.38286697387695</x:v>
      </x:c>
      <x:c r="AN7" s="60" t="n">
        <x:v>62.68300827026368</x:v>
      </x:c>
      <x:c r="AO7" s="60" t="n">
        <x:v>62.965176010131835</x:v>
      </x:c>
      <x:c r="AP7" s="60" t="n">
        <x:v>63.2296109008789</x:v>
      </x:c>
      <x:c r="AQ7" s="60" t="n">
        <x:v>63.46204608917236</x:v>
      </x:c>
      <x:c r="AR7" s="60" t="n">
        <x:v>63.72106796264649</x:v>
      </x:c>
      <x:c r="AS7" s="60" t="n">
        <x:v>63.977677459716794</x:v>
      </x:c>
      <x:c r="AT7" s="60" t="n">
        <x:v>64.19974975585937</x:v>
      </x:c>
      <x:c r="AU7" s="60" t="n">
        <x:v>64.43731559753418</x:v>
      </x:c>
      <x:c r="AV7" s="60" t="n">
        <x:v>64.70358413696289</x:v>
      </x:c>
      <x:c r="AW7" s="60" t="n">
        <x:v>64.95538162231445</x:v>
      </x:c>
      <x:c r="AX7" s="60" t="n">
        <x:v>65.23037658691406</x:v>
      </x:c>
      <x:c r="AY7" s="60" t="n">
        <x:v>65.43296966552735</x:v>
      </x:c>
      <x:c r="AZ7" s="60" t="n">
        <x:v>65.66567764282226</x:v>
      </x:c>
      <x:c r="BA7" s="60" t="n">
        <x:v>65.88092697143556</x:v>
      </x:c>
      <x:c r="BB7" s="60" t="n">
        <x:v>66.10256469726562</x:v>
      </x:c>
      <x:c r="BC7" s="60" t="n">
        <x:v>66.33105682373046</x:v>
      </x:c>
      <x:c r="BD7" s="60" t="n">
        <x:v>66.56184768676758</x:v>
      </x:c>
      <x:c r="BE7" s="60" t="n">
        <x:v>66.78291893005371</x:v>
      </x:c>
      <x:c r="BF7" s="60" t="n">
        <x:v>67.00462005615235</x:v>
      </x:c>
      <x:c r="BG7" s="60" t="n">
        <x:v>67.22140197753906</x:v>
      </x:c>
      <x:c r="BH7" s="60" t="n">
        <x:v>67.4405435180664</x:v>
      </x:c>
      <x:c r="BI7" s="60" t="n">
        <x:v>67.69367446899415</x:v>
      </x:c>
      <x:c r="BJ7" s="60" t="n">
        <x:v>67.90122863769531</x:v>
      </x:c>
      <x:c r="BK7" s="60" t="n">
        <x:v>68.11231727600098</x:v>
      </x:c>
      <x:c r="BL7" s="60" t="n">
        <x:v>68.33625793457031</x:v>
      </x:c>
      <x:c r="BM7" s="60" t="n">
        <x:v>68.55418342590332</x:v>
      </x:c>
      <x:c r="BN7" s="60" t="n">
        <x:v>68.78863372802735</x:v>
      </x:c>
      <x:c r="BO7" s="60" t="n">
        <x:v>69.02691131591797</x:v>
      </x:c>
      <x:c r="BP7" s="60" t="n">
        <x:v>69.24153625488282</x:v>
      </x:c>
      <x:c r="BQ7" s="60" t="n">
        <x:v>69.4575872039795</x:v>
      </x:c>
      <x:c r="BR7" s="60" t="n">
        <x:v>69.67105255126953</x:v>
      </x:c>
      <x:c r="BS7" s="60" t="n">
        <x:v>69.90582466125488</x:v>
      </x:c>
      <x:c r="BT7" s="60" t="n">
        <x:v>70.1125991821289</x:v>
      </x:c>
      <x:c r="BU7" s="60" t="n">
        <x:v>70.33175666809082</x:v>
      </x:c>
      <x:c r="BV7" s="60" t="n">
        <x:v>70.5543505859375</x:v>
      </x:c>
      <x:c r="BW7" s="60" t="n">
        <x:v>70.77389045715331</x:v>
      </x:c>
      <x:c r="BX7" s="60" t="n">
        <x:v>71.01214065551758</x:v>
      </x:c>
      <x:c r="BY7" s="60" t="n">
        <x:v>71.26673202514648</x:v>
      </x:c>
      <x:c r="BZ7" s="60" t="n">
        <x:v>71.49269622802734</x:v>
      </x:c>
      <x:c r="CA7" s="60" t="n">
        <x:v>71.71724449157715</x:v>
      </x:c>
      <x:c r="CB7" s="60" t="n">
        <x:v>71.97119354248046</x:v>
      </x:c>
      <x:c r="CC7" s="60" t="n">
        <x:v>72.19388771057129</x:v>
      </x:c>
      <x:c r="CD7" s="60" t="n">
        <x:v>72.42305541992188</x:v>
      </x:c>
      <x:c r="CE7" s="60" t="n">
        <x:v>72.64366004943848</x:v>
      </x:c>
      <x:c r="CF7" s="60" t="n">
        <x:v>72.89851806640625</x:v>
      </x:c>
      <x:c r="CG7" s="60" t="n">
        <x:v>73.15324180603028</x:v>
      </x:c>
      <x:c r="CH7" s="60" t="n">
        <x:v>73.40025329589844</x:v>
      </x:c>
      <x:c r="CI7" s="60" t="n">
        <x:v>73.67379745483399</x:v>
      </x:c>
      <x:c r="CJ7" s="60" t="n">
        <x:v>73.93848342895508</x:v>
      </x:c>
      <x:c r="CK7" s="60" t="n">
        <x:v>74.19638023376464</x:v>
      </x:c>
      <x:c r="CL7" s="60" t="n">
        <x:v>74.42342010498047</x:v>
      </x:c>
      <x:c r="CM7" s="60" t="n">
        <x:v>74.68712768554687</x:v>
      </x:c>
      <x:c r="CN7" s="60" t="n">
        <x:v>74.96090698242188</x:v>
      </x:c>
      <x:c r="CO7" s="60" t="n">
        <x:v>75.247724609375</x:v>
      </x:c>
      <x:c r="CP7" s="60" t="n">
        <x:v>75.55675750732422</x:v>
      </x:c>
      <x:c r="CQ7" s="60" t="n">
        <x:v>75.86605903625488</x:v>
      </x:c>
      <x:c r="CR7" s="60" t="n">
        <x:v>76.21997528076172</x:v>
      </x:c>
      <x:c r="CS7" s="60" t="n">
        <x:v>76.57946563720704</x:v>
      </x:c>
      <x:c r="CT7" s="60" t="n">
        <x:v>76.91748260498048</x:v>
      </x:c>
      <x:c r="CU7" s="60" t="n">
        <x:v>77.32982307434082</x:v>
      </x:c>
      <x:c r="CV7" s="60" t="n">
        <x:v>77.73030212402344</x:v>
      </x:c>
      <x:c r="CW7" s="60" t="n">
        <x:v>78.19665412902832</x:v>
      </x:c>
      <x:c r="CX7" s="60" t="n">
        <x:v>78.73833099365234</x:v>
      </x:c>
      <x:c r="CY7" s="60" t="n">
        <x:v>79.34854423522948</x:v>
      </x:c>
      <x:c r="CZ7" s="60" t="n">
        <x:v>80.07886169433594</x:v>
      </x:c>
      <x:c r="DA7" s="60" t="n">
        <x:v>81.10857406616209</x:v>
      </x:c>
      <x:c r="DB7" s="60" t="n">
        <x:v>85.4054946899414</x:v>
      </x:c>
    </x:row>
    <x:row r="8">
      <x:c r="A8" t="str">
        <x:v>ウッウ-1</x:v>
      </x:c>
      <x:c r="B8" t="str">
        <x:v>ウッウ</x:v>
      </x:c>
      <x:c r="C8" t="str">
        <x:v>なみのり</x:v>
      </x:c>
      <x:c r="D8" s="60" t="n">
        <x:v>63.052513122558594</x:v>
      </x:c>
      <x:c r="E8" s="60" t="n">
        <x:v>6.07887077331543</x:v>
      </x:c>
      <x:c r="F8" s="60" t="n">
        <x:v>39.87890625</x:v>
      </x:c>
      <x:c r="G8" s="60" t="n">
        <x:v>47.1082234954834</x:v>
      </x:c>
      <x:c r="H8" s="60" t="n">
        <x:v>49.07000785827637</x:v>
      </x:c>
      <x:c r="I8" s="60" t="n">
        <x:v>50.397171325683594</x:v>
      </x:c>
      <x:c r="J8" s="60" t="n">
        <x:v>51.338438720703124</x:v>
      </x:c>
      <x:c r="K8" s="60" t="n">
        <x:v>52.100640296936035</x:v>
      </x:c>
      <x:c r="L8" s="60" t="n">
        <x:v>52.672421340942385</x:v>
      </x:c>
      <x:c r="M8" s="60" t="n">
        <x:v>53.21747146606445</x:v>
      </x:c>
      <x:c r="N8" s="60" t="n">
        <x:v>53.75779174804688</x:v>
      </x:c>
      <x:c r="O8" s="60" t="n">
        <x:v>54.26652214050293</x:v>
      </x:c>
      <x:c r="P8" s="60" t="n">
        <x:v>54.621300506591794</x:v>
      </x:c>
      <x:c r="Q8" s="60" t="n">
        <x:v>55.03461925506592</x:v>
      </x:c>
      <x:c r="R8" s="60" t="n">
        <x:v>55.40359268188477</x:v>
      </x:c>
      <x:c r="S8" s="60" t="n">
        <x:v>55.75666557312012</x:v>
      </x:c>
      <x:c r="T8" s="60" t="n">
        <x:v>56.093145294189455</x:v>
      </x:c>
      <x:c r="U8" s="60" t="n">
        <x:v>56.410066795349124</x:v>
      </x:c>
      <x:c r="V8" s="60" t="n">
        <x:v>56.72819549560547</x:v>
      </x:c>
      <x:c r="W8" s="60" t="n">
        <x:v>57.03863452911377</x:v>
      </x:c>
      <x:c r="X8" s="60" t="n">
        <x:v>57.32170158386231</x:v>
      </x:c>
      <x:c r="Y8" s="60" t="n">
        <x:v>57.5624528503418</x:v>
      </x:c>
      <x:c r="Z8" s="60" t="n">
        <x:v>57.845845794677736</x:v>
      </x:c>
      <x:c r="AA8" s="60" t="n">
        <x:v>58.111888847351075</x:v>
      </x:c>
      <x:c r="AB8" s="60" t="n">
        <x:v>58.384136276245115</x:v>
      </x:c>
      <x:c r="AC8" s="60" t="n">
        <x:v>58.66838653564453</x:v>
      </x:c>
      <x:c r="AD8" s="60" t="n">
        <x:v>58.90881271362305</x:v>
      </x:c>
      <x:c r="AE8" s="60" t="n">
        <x:v>59.13547706604004</x:v>
      </x:c>
      <x:c r="AF8" s="60" t="n">
        <x:v>59.340065002441406</x:v>
      </x:c>
      <x:c r="AG8" s="60" t="n">
        <x:v>59.56180732727051</x:v>
      </x:c>
      <x:c r="AH8" s="60" t="n">
        <x:v>59.75871459960938</x:v>
      </x:c>
      <x:c r="AI8" s="60" t="n">
        <x:v>59.989874114990236</x:v>
      </x:c>
      <x:c r="AJ8" s="60" t="n">
        <x:v>60.201590347290036</x:v>
      </x:c>
      <x:c r="AK8" s="60" t="n">
        <x:v>60.39320400238037</x:v>
      </x:c>
      <x:c r="AL8" s="60" t="n">
        <x:v>60.61424911499024</x:v>
      </x:c>
      <x:c r="AM8" s="60" t="n">
        <x:v>60.797323875427246</x:v>
      </x:c>
      <x:c r="AN8" s="60" t="n">
        <x:v>60.99516372680664</x:v>
      </x:c>
      <x:c r="AO8" s="60" t="n">
        <x:v>61.18049907684326</x:v>
      </x:c>
      <x:c r="AP8" s="60" t="n">
        <x:v>61.36109100341797</x:v>
      </x:c>
      <x:c r="AQ8" s="60" t="n">
        <x:v>61.546090621948245</x:v>
      </x:c>
      <x:c r="AR8" s="60" t="n">
        <x:v>61.74906829833984</x:v>
      </x:c>
      <x:c r="AS8" s="60" t="n">
        <x:v>61.922528381347654</x:v>
      </x:c>
      <x:c r="AT8" s="60" t="n">
        <x:v>62.09104690551758</x:v>
      </x:c>
      <x:c r="AU8" s="60" t="n">
        <x:v>62.27973899841309</x:v>
      </x:c>
      <x:c r="AV8" s="60" t="n">
        <x:v>62.43955558776855</x:v>
      </x:c>
      <x:c r="AW8" s="60" t="n">
        <x:v>62.618081893920895</x:v>
      </x:c>
      <x:c r="AX8" s="60" t="n">
        <x:v>62.78419540405273</x:v>
      </x:c>
      <x:c r="AY8" s="60" t="n">
        <x:v>62.95268592834473</x:v>
      </x:c>
      <x:c r="AZ8" s="60" t="n">
        <x:v>63.10767807006836</x:v>
      </x:c>
      <x:c r="BA8" s="60" t="n">
        <x:v>63.26260749816895</x:v>
      </x:c>
      <x:c r="BB8" s="60" t="n">
        <x:v>63.41878341674805</x:v>
      </x:c>
      <x:c r="BC8" s="60" t="n">
        <x:v>63.56548233032227</x:v>
      </x:c>
      <x:c r="BD8" s="60" t="n">
        <x:v>63.72397232055664</x:v>
      </x:c>
      <x:c r="BE8" s="60" t="n">
        <x:v>63.88744777679443</x:v>
      </x:c>
      <x:c r="BF8" s="60" t="n">
        <x:v>64.05698181152344</x:v>
      </x:c>
      <x:c r="BG8" s="60" t="n">
        <x:v>64.21788032531738</x:v>
      </x:c>
      <x:c r="BH8" s="60" t="n">
        <x:v>64.36631179809571</x:v>
      </x:c>
      <x:c r="BI8" s="60" t="n">
        <x:v>64.51020965576171</x:v>
      </x:c>
      <x:c r="BJ8" s="60" t="n">
        <x:v>64.67465667724609</x:v>
      </x:c>
      <x:c r="BK8" s="60" t="n">
        <x:v>64.80236572265625</x:v>
      </x:c>
      <x:c r="BL8" s="60" t="n">
        <x:v>64.95312942504883</x:v>
      </x:c>
      <x:c r="BM8" s="60" t="n">
        <x:v>65.10611618041992</x:v>
      </x:c>
      <x:c r="BN8" s="60" t="n">
        <x:v>65.26422576904297</x:v>
      </x:c>
      <x:c r="BO8" s="60" t="n">
        <x:v>65.40730674743652</x:v>
      </x:c>
      <x:c r="BP8" s="60" t="n">
        <x:v>65.5510467529297</x:v>
      </x:c>
      <x:c r="BQ8" s="60" t="n">
        <x:v>65.69890815734863</x:v>
      </x:c>
      <x:c r="BR8" s="60" t="n">
        <x:v>65.86944458007812</x:v>
      </x:c>
      <x:c r="BS8" s="60" t="n">
        <x:v>66.01438674926757</x:v>
      </x:c>
      <x:c r="BT8" s="60" t="n">
        <x:v>66.16397674560547</x:v>
      </x:c>
      <x:c r="BU8" s="60" t="n">
        <x:v>66.31197074890137</x:v>
      </x:c>
      <x:c r="BV8" s="60" t="n">
        <x:v>66.47843933105469</x:v>
      </x:c>
      <x:c r="BW8" s="60" t="n">
        <x:v>66.62606941223144</x:v>
      </x:c>
      <x:c r="BX8" s="60" t="n">
        <x:v>66.78672332763672</x:v>
      </x:c>
      <x:c r="BY8" s="60" t="n">
        <x:v>66.9473299407959</x:v>
      </x:c>
      <x:c r="BZ8" s="60" t="n">
        <x:v>67.11513549804687</x:v>
      </x:c>
      <x:c r="CA8" s="60" t="n">
        <x:v>67.29285095214844</x:v>
      </x:c>
      <x:c r="CB8" s="60" t="n">
        <x:v>67.45328918457031</x:v>
      </x:c>
      <x:c r="CC8" s="60" t="n">
        <x:v>67.60599136352539</x:v>
      </x:c>
      <x:c r="CD8" s="60" t="n">
        <x:v>67.7611996459961</x:v>
      </x:c>
      <x:c r="CE8" s="60" t="n">
        <x:v>67.93083663940429</x:v>
      </x:c>
      <x:c r="CF8" s="60" t="n">
        <x:v>68.10370712280273</x:v>
      </x:c>
      <x:c r="CG8" s="60" t="n">
        <x:v>68.27011619567871</x:v>
      </x:c>
      <x:c r="CH8" s="60" t="n">
        <x:v>68.44845123291016</x:v>
      </x:c>
      <x:c r="CI8" s="60" t="n">
        <x:v>68.64157569885253</x:v>
      </x:c>
      <x:c r="CJ8" s="60" t="n">
        <x:v>68.81518890380859</x:v>
      </x:c>
      <x:c r="CK8" s="60" t="n">
        <x:v>68.98594291687012</x:v>
      </x:c>
      <x:c r="CL8" s="60" t="n">
        <x:v>69.15441314697266</x:v>
      </x:c>
      <x:c r="CM8" s="60" t="n">
        <x:v>69.34522018432617</x:v>
      </x:c>
      <x:c r="CN8" s="60" t="n">
        <x:v>69.557001953125</x:v>
      </x:c>
      <x:c r="CO8" s="60" t="n">
        <x:v>69.73868782043456</x:v>
      </x:c>
      <x:c r="CP8" s="60" t="n">
        <x:v>69.96814971923828</x:v>
      </x:c>
      <x:c r="CQ8" s="60" t="n">
        <x:v>70.16443328857422</x:v>
      </x:c>
      <x:c r="CR8" s="60" t="n">
        <x:v>70.39351501464844</x:v>
      </x:c>
      <x:c r="CS8" s="60" t="n">
        <x:v>70.64283546447754</x:v>
      </x:c>
      <x:c r="CT8" s="60" t="n">
        <x:v>70.90821350097656</x:v>
      </x:c>
      <x:c r="CU8" s="60" t="n">
        <x:v>71.1852896118164</x:v>
      </x:c>
      <x:c r="CV8" s="60" t="n">
        <x:v>71.48083038330078</x:v>
      </x:c>
      <x:c r="CW8" s="60" t="n">
        <x:v>71.84078750610352</x:v>
      </x:c>
      <x:c r="CX8" s="60" t="n">
        <x:v>72.23845611572266</x:v>
      </x:c>
      <x:c r="CY8" s="60" t="n">
        <x:v>72.65759292602539</x:v>
      </x:c>
      <x:c r="CZ8" s="60" t="n">
        <x:v>73.27175384521485</x:v>
      </x:c>
      <x:c r="DA8" s="60" t="n">
        <x:v>74.25435928344726</x:v>
      </x:c>
      <x:c r="DB8" s="60" t="n">
        <x:v>78.28712463378906</x:v>
      </x:c>
    </x:row>
    <x:row r="9">
      <x:c r="A9" t="str">
        <x:v>ウッウ-2</x:v>
      </x:c>
      <x:c r="B9" t="str">
        <x:v>ウッウ</x:v>
      </x:c>
      <x:c r="C9" t="str">
        <x:v>ダイビング</x:v>
      </x:c>
      <x:c r="D9" s="60" t="n">
        <x:v>67.64693450927734</x:v>
      </x:c>
      <x:c r="E9" s="60" t="n">
        <x:v>8.15951156616211</x:v>
      </x:c>
      <x:c r="F9" s="60" t="n">
        <x:v>36.606292724609375</x:v>
      </x:c>
      <x:c r="G9" s="60" t="n">
        <x:v>45.93824768066406</x:v>
      </x:c>
      <x:c r="H9" s="60" t="n">
        <x:v>48.537940673828125</x:v>
      </x:c>
      <x:c r="I9" s="60" t="n">
        <x:v>50.288209724426274</x:v>
      </x:c>
      <x:c r="J9" s="60" t="n">
        <x:v>51.653641357421876</x:v>
      </x:c>
      <x:c r="K9" s="60" t="n">
        <x:v>52.578090286254884</x:v>
      </x:c>
      <x:c r="L9" s="60" t="n">
        <x:v>53.59487007141113</x:v>
      </x:c>
      <x:c r="M9" s="60" t="n">
        <x:v>54.41269035339356</x:v>
      </x:c>
      <x:c r="N9" s="60" t="n">
        <x:v>55.14678176879883</x:v>
      </x:c>
      <x:c r="O9" s="60" t="n">
        <x:v>55.773573036193845</x:v>
      </x:c>
      <x:c r="P9" s="60" t="n">
        <x:v>56.329158782958984</x:v>
      </x:c>
      <x:c r="Q9" s="60" t="n">
        <x:v>56.82551692962647</x:v>
      </x:c>
      <x:c r="R9" s="60" t="n">
        <x:v>57.2998405456543</x:v>
      </x:c>
      <x:c r="S9" s="60" t="n">
        <x:v>57.776464767456055</x:v>
      </x:c>
      <x:c r="T9" s="60" t="n">
        <x:v>58.253005752563475</x:v>
      </x:c>
      <x:c r="U9" s="60" t="n">
        <x:v>58.688685989379884</x:v>
      </x:c>
      <x:c r="V9" s="60" t="n">
        <x:v>59.138482360839845</x:v>
      </x:c>
      <x:c r="W9" s="60" t="n">
        <x:v>59.55851650238037</x:v>
      </x:c>
      <x:c r="X9" s="60" t="n">
        <x:v>59.95391380310058</x:v>
      </x:c>
      <x:c r="Y9" s="60" t="n">
        <x:v>60.34118381500244</x:v>
      </x:c>
      <x:c r="Z9" s="60" t="n">
        <x:v>60.69520950317383</x:v>
      </x:c>
      <x:c r="AA9" s="60" t="n">
        <x:v>61.04562660217285</x:v>
      </x:c>
      <x:c r="AB9" s="60" t="n">
        <x:v>61.37748641967774</x:v>
      </x:c>
      <x:c r="AC9" s="60" t="n">
        <x:v>61.72664443969727</x:v>
      </x:c>
      <x:c r="AD9" s="60" t="n">
        <x:v>62.079329833984374</x:v>
      </x:c>
      <x:c r="AE9" s="60" t="n">
        <x:v>62.37870979309082</x:v>
      </x:c>
      <x:c r="AF9" s="60" t="n">
        <x:v>62.69450439453125</x:v>
      </x:c>
      <x:c r="AG9" s="60" t="n">
        <x:v>62.994750137329106</x:v>
      </x:c>
      <x:c r="AH9" s="60" t="n">
        <x:v>63.27707489013672</x:v>
      </x:c>
      <x:c r="AI9" s="60" t="n">
        <x:v>63.58840881347656</x:v>
      </x:c>
      <x:c r="AJ9" s="60" t="n">
        <x:v>63.85574569702148</x:v>
      </x:c>
      <x:c r="AK9" s="60" t="n">
        <x:v>64.1495590209961</x:v>
      </x:c>
      <x:c r="AL9" s="60" t="n">
        <x:v>64.41775268554687</x:v>
      </x:c>
      <x:c r="AM9" s="60" t="n">
        <x:v>64.66665382385254</x:v>
      </x:c>
      <x:c r="AN9" s="60" t="n">
        <x:v>64.94551162719726</x:v>
      </x:c>
      <x:c r="AO9" s="60" t="n">
        <x:v>65.21105117797852</x:v>
      </x:c>
      <x:c r="AP9" s="60" t="n">
        <x:v>65.46460998535156</x:v>
      </x:c>
      <x:c r="AQ9" s="60" t="n">
        <x:v>65.6982583618164</x:v>
      </x:c>
      <x:c r="AR9" s="60" t="n">
        <x:v>65.94028869628906</x:v>
      </x:c>
      <x:c r="AS9" s="60" t="n">
        <x:v>66.20890167236328</x:v>
      </x:c>
      <x:c r="AT9" s="60" t="n">
        <x:v>66.42356567382812</x:v>
      </x:c>
      <x:c r="AU9" s="60" t="n">
        <x:v>66.66567283630371</x:v>
      </x:c>
      <x:c r="AV9" s="60" t="n">
        <x:v>66.89996994018554</x:v>
      </x:c>
      <x:c r="AW9" s="60" t="n">
        <x:v>67.13165534973145</x:v>
      </x:c>
      <x:c r="AX9" s="60" t="n">
        <x:v>67.31929687499999</x:v>
      </x:c>
      <x:c r="AY9" s="60" t="n">
        <x:v>67.5318561553955</x:v>
      </x:c>
      <x:c r="AZ9" s="60" t="n">
        <x:v>67.74496307373047</x:v>
      </x:c>
      <x:c r="BA9" s="60" t="n">
        <x:v>67.96560981750488</x:v>
      </x:c>
      <x:c r="BB9" s="60" t="n">
        <x:v>68.18148864746094</x:v>
      </x:c>
      <x:c r="BC9" s="60" t="n">
        <x:v>68.4271915435791</x:v>
      </x:c>
      <x:c r="BD9" s="60" t="n">
        <x:v>68.65202713012695</x:v>
      </x:c>
      <x:c r="BE9" s="60" t="n">
        <x:v>68.88461822509765</x:v>
      </x:c>
      <x:c r="BF9" s="60" t="n">
        <x:v>69.09783142089843</x:v>
      </x:c>
      <x:c r="BG9" s="60" t="n">
        <x:v>69.30344696044922</x:v>
      </x:c>
      <x:c r="BH9" s="60" t="n">
        <x:v>69.5120263671875</x:v>
      </x:c>
      <x:c r="BI9" s="60" t="n">
        <x:v>69.71953201293945</x:v>
      </x:c>
      <x:c r="BJ9" s="60" t="n">
        <x:v>69.94125732421875</x:v>
      </x:c>
      <x:c r="BK9" s="60" t="n">
        <x:v>70.15336227416992</x:v>
      </x:c>
      <x:c r="BL9" s="60" t="n">
        <x:v>70.34962371826173</x:v>
      </x:c>
      <x:c r="BM9" s="60" t="n">
        <x:v>70.5651025390625</x:v>
      </x:c>
      <x:c r="BN9" s="60" t="n">
        <x:v>70.7754898071289</x:v>
      </x:c>
      <x:c r="BO9" s="60" t="n">
        <x:v>70.9813771057129</x:v>
      </x:c>
      <x:c r="BP9" s="60" t="n">
        <x:v>71.19061111450195</x:v>
      </x:c>
      <x:c r="BQ9" s="60" t="n">
        <x:v>71.4100131225586</x:v>
      </x:c>
      <x:c r="BR9" s="60" t="n">
        <x:v>71.5968701171875</x:v>
      </x:c>
      <x:c r="BS9" s="60" t="n">
        <x:v>71.79141731262207</x:v>
      </x:c>
      <x:c r="BT9" s="60" t="n">
        <x:v>72.02320404052735</x:v>
      </x:c>
      <x:c r="BU9" s="60" t="n">
        <x:v>72.23130973815918</x:v>
      </x:c>
      <x:c r="BV9" s="60" t="n">
        <x:v>72.45365478515626</x:v>
      </x:c>
      <x:c r="BW9" s="60" t="n">
        <x:v>72.66112442016602</x:v>
      </x:c>
      <x:c r="BX9" s="60" t="n">
        <x:v>72.86325378417969</x:v>
      </x:c>
      <x:c r="BY9" s="60" t="n">
        <x:v>73.088994140625</x:v>
      </x:c>
      <x:c r="BZ9" s="60" t="n">
        <x:v>73.30760772705078</x:v>
      </x:c>
      <x:c r="CA9" s="60" t="n">
        <x:v>73.51819046020508</x:v>
      </x:c>
      <x:c r="CB9" s="60" t="n">
        <x:v>73.70412750244141</x:v>
      </x:c>
      <x:c r="CC9" s="60" t="n">
        <x:v>73.90105819702148</x:v>
      </x:c>
      <x:c r="CD9" s="60" t="n">
        <x:v>74.11218292236327</x:v>
      </x:c>
      <x:c r="CE9" s="60" t="n">
        <x:v>74.33883476257324</x:v>
      </x:c>
      <x:c r="CF9" s="60" t="n">
        <x:v>74.54342178344727</x:v>
      </x:c>
      <x:c r="CG9" s="60" t="n">
        <x:v>74.76786781311036</x:v>
      </x:c>
      <x:c r="CH9" s="60" t="n">
        <x:v>75.03762817382812</x:v>
      </x:c>
      <x:c r="CI9" s="60" t="n">
        <x:v>75.26739044189453</x:v>
      </x:c>
      <x:c r="CJ9" s="60" t="n">
        <x:v>75.51798400878906</x:v>
      </x:c>
      <x:c r="CK9" s="60" t="n">
        <x:v>75.73136672973634</x:v>
      </x:c>
      <x:c r="CL9" s="60" t="n">
        <x:v>75.96800231933594</x:v>
      </x:c>
      <x:c r="CM9" s="60" t="n">
        <x:v>76.21909370422364</x:v>
      </x:c>
      <x:c r="CN9" s="60" t="n">
        <x:v>76.46442260742188</x:v>
      </x:c>
      <x:c r="CO9" s="60" t="n">
        <x:v>76.68824897766113</x:v>
      </x:c>
      <x:c r="CP9" s="60" t="n">
        <x:v>76.94585479736328</x:v>
      </x:c>
      <x:c r="CQ9" s="60" t="n">
        <x:v>77.20251243591309</x:v>
      </x:c>
      <x:c r="CR9" s="60" t="n">
        <x:v>77.4758415222168</x:v>
      </x:c>
      <x:c r="CS9" s="60" t="n">
        <x:v>77.71874221801758</x:v>
      </x:c>
      <x:c r="CT9" s="60" t="n">
        <x:v>78.00557434082032</x:v>
      </x:c>
      <x:c r="CU9" s="60" t="n">
        <x:v>78.3321533203125</x:v>
      </x:c>
      <x:c r="CV9" s="60" t="n">
        <x:v>78.67978134155274</x:v>
      </x:c>
      <x:c r="CW9" s="60" t="n">
        <x:v>79.08212280273438</x:v>
      </x:c>
      <x:c r="CX9" s="60" t="n">
        <x:v>79.54775909423829</x:v>
      </x:c>
      <x:c r="CY9" s="60" t="n">
        <x:v>80.09307388305663</x:v>
      </x:c>
      <x:c r="CZ9" s="60" t="n">
        <x:v>80.65704208374024</x:v>
      </x:c>
      <x:c r="DA9" s="60" t="n">
        <x:v>81.46386039733886</x:v>
      </x:c>
      <x:c r="DB9" s="60" t="n">
        <x:v>85.48426055908203</x:v>
      </x:c>
    </x:row>
    <x:row r="10">
      <x:c r="A10" t="str">
        <x:v>エースバーン-1</x:v>
      </x:c>
      <x:c r="B10" t="str">
        <x:v>エースバーン</x:v>
      </x:c>
      <x:c r="C10" t="str">
        <x:v>共通</x:v>
      </x:c>
      <x:c r="D10" s="60" t="n">
        <x:v>62.7596321105957</x:v>
      </x:c>
      <x:c r="E10" s="60" t="n">
        <x:v>8.513834953308105</x:v>
      </x:c>
      <x:c r="F10" s="60" t="n">
        <x:v>32.860496520996094</x:v>
      </x:c>
      <x:c r="G10" s="60" t="n">
        <x:v>41.738755493164064</x:v>
      </x:c>
      <x:c r="H10" s="60" t="n">
        <x:v>44.27040519714355</x:v>
      </x:c>
      <x:c r="I10" s="60" t="n">
        <x:v>45.737724494934085</x:v>
      </x:c>
      <x:c r="J10" s="60" t="n">
        <x:v>46.91202133178711</x:v>
      </x:c>
      <x:c r="K10" s="60" t="n">
        <x:v>47.86494598388672</x:v>
      </x:c>
      <x:c r="L10" s="60" t="n">
        <x:v>48.78449401855469</x:v>
      </x:c>
      <x:c r="M10" s="60" t="n">
        <x:v>49.48789306640625</x:v>
      </x:c>
      <x:c r="N10" s="60" t="n">
        <x:v>50.06449203491211</x:v>
      </x:c>
      <x:c r="O10" s="60" t="n">
        <x:v>50.655993423461915</x:v>
      </x:c>
      <x:c r="P10" s="60" t="n">
        <x:v>51.17301368713379</x:v>
      </x:c>
      <x:c r="Q10" s="60" t="n">
        <x:v>51.71910846710205</x:v>
      </x:c>
      <x:c r="R10" s="60" t="n">
        <x:v>52.259493560791014</x:v>
      </x:c>
      <x:c r="S10" s="60" t="n">
        <x:v>52.76499912261963</x:v>
      </x:c>
      <x:c r="T10" s="60" t="n">
        <x:v>53.20182388305664</x:v>
      </x:c>
      <x:c r="U10" s="60" t="n">
        <x:v>53.61157722473145</x:v>
      </x:c>
      <x:c r="V10" s="60" t="n">
        <x:v>54.04197219848633</x:v>
      </x:c>
      <x:c r="W10" s="60" t="n">
        <x:v>54.39596652984619</x:v>
      </x:c>
      <x:c r="X10" s="60" t="n">
        <x:v>54.732512664794925</x:v>
      </x:c>
      <x:c r="Y10" s="60" t="n">
        <x:v>55.13928279876709</x:v>
      </x:c>
      <x:c r="Z10" s="60" t="n">
        <x:v>55.512115478515625</x:v>
      </x:c>
      <x:c r="AA10" s="60" t="n">
        <x:v>55.822686653137204</x:v>
      </x:c>
      <x:c r="AB10" s="60" t="n">
        <x:v>56.1128849029541</x:v>
      </x:c>
      <x:c r="AC10" s="60" t="n">
        <x:v>56.45473365783691</x:v>
      </x:c>
      <x:c r="AD10" s="60" t="n">
        <x:v>56.74027893066406</x:v>
      </x:c>
      <x:c r="AE10" s="60" t="n">
        <x:v>57.043511390686035</x:v>
      </x:c>
      <x:c r="AF10" s="60" t="n">
        <x:v>57.343379211425784</x:v>
      </x:c>
      <x:c r="AG10" s="60" t="n">
        <x:v>57.622049713134764</x:v>
      </x:c>
      <x:c r="AH10" s="60" t="n">
        <x:v>57.92799896240234</x:v>
      </x:c>
      <x:c r="AI10" s="60" t="n">
        <x:v>58.21368831634521</x:v>
      </x:c>
      <x:c r="AJ10" s="60" t="n">
        <x:v>58.47463607788086</x:v>
      </x:c>
      <x:c r="AK10" s="60" t="n">
        <x:v>58.740039100646975</x:v>
      </x:c>
      <x:c r="AL10" s="60" t="n">
        <x:v>59.00682373046875</x:v>
      </x:c>
      <x:c r="AM10" s="60" t="n">
        <x:v>59.274858741760255</x:v>
      </x:c>
      <x:c r="AN10" s="60" t="n">
        <x:v>59.53138908386231</x:v>
      </x:c>
      <x:c r="AO10" s="60" t="n">
        <x:v>59.793929481506346</x:v>
      </x:c>
      <x:c r="AP10" s="60" t="n">
        <x:v>60.04345764160156</x:v>
      </x:c>
      <x:c r="AQ10" s="60" t="n">
        <x:v>60.31522872924805</x:v>
      </x:c>
      <x:c r="AR10" s="60" t="n">
        <x:v>60.56859519958496</x:v>
      </x:c>
      <x:c r="AS10" s="60" t="n">
        <x:v>60.76920509338379</x:v>
      </x:c>
      <x:c r="AT10" s="60" t="n">
        <x:v>60.98819198608398</x:v>
      </x:c>
      <x:c r="AU10" s="60" t="n">
        <x:v>61.21463054656982</x:v>
      </x:c>
      <x:c r="AV10" s="60" t="n">
        <x:v>61.467320098876954</x:v>
      </x:c>
      <x:c r="AW10" s="60" t="n">
        <x:v>61.67142028808594</x:v>
      </x:c>
      <x:c r="AX10" s="60" t="n">
        <x:v>61.89440780639649</x:v>
      </x:c>
      <x:c r="AY10" s="60" t="n">
        <x:v>62.129902648925786</x:v>
      </x:c>
      <x:c r="AZ10" s="60" t="n">
        <x:v>62.34834892272949</x:v>
      </x:c>
      <x:c r="BA10" s="60" t="n">
        <x:v>62.581428413391116</x:v>
      </x:c>
      <x:c r="BB10" s="60" t="n">
        <x:v>62.82099395751953</x:v>
      </x:c>
      <x:c r="BC10" s="60" t="n">
        <x:v>63.03468608856201</x:v>
      </x:c>
      <x:c r="BD10" s="60" t="n">
        <x:v>63.26874351501465</x:v>
      </x:c>
      <x:c r="BE10" s="60" t="n">
        <x:v>63.480552406311034</x:v>
      </x:c>
      <x:c r="BF10" s="60" t="n">
        <x:v>63.708562774658205</x:v>
      </x:c>
      <x:c r="BG10" s="60" t="n">
        <x:v>63.93368747711182</x:v>
      </x:c>
      <x:c r="BH10" s="60" t="n">
        <x:v>64.13433288574218</x:v>
      </x:c>
      <x:c r="BI10" s="60" t="n">
        <x:v>64.34446907043457</x:v>
      </x:c>
      <x:c r="BJ10" s="60" t="n">
        <x:v>64.56131195068359</x:v>
      </x:c>
      <x:c r="BK10" s="60" t="n">
        <x:v>64.7853192138672</x:v>
      </x:c>
      <x:c r="BL10" s="60" t="n">
        <x:v>65.01336349487305</x:v>
      </x:c>
      <x:c r="BM10" s="60" t="n">
        <x:v>65.2343157196045</x:v>
      </x:c>
      <x:c r="BN10" s="60" t="n">
        <x:v>65.4661865234375</x:v>
      </x:c>
      <x:c r="BO10" s="60" t="n">
        <x:v>65.69130325317383</x:v>
      </x:c>
      <x:c r="BP10" s="60" t="n">
        <x:v>65.8961311340332</x:v>
      </x:c>
      <x:c r="BQ10" s="60" t="n">
        <x:v>66.17068763732911</x:v>
      </x:c>
      <x:c r="BR10" s="60" t="n">
        <x:v>66.41849700927735</x:v>
      </x:c>
      <x:c r="BS10" s="60" t="n">
        <x:v>66.65511360168458</x:v>
      </x:c>
      <x:c r="BT10" s="60" t="n">
        <x:v>66.85125274658203</x:v>
      </x:c>
      <x:c r="BU10" s="60" t="n">
        <x:v>67.05412452697755</x:v>
      </x:c>
      <x:c r="BV10" s="60" t="n">
        <x:v>67.27947570800782</x:v>
      </x:c>
      <x:c r="BW10" s="60" t="n">
        <x:v>67.49614845275879</x:v>
      </x:c>
      <x:c r="BX10" s="60" t="n">
        <x:v>67.72446136474609</x:v>
      </x:c>
      <x:c r="BY10" s="60" t="n">
        <x:v>67.95313636779785</x:v>
      </x:c>
      <x:c r="BZ10" s="60" t="n">
        <x:v>68.18030487060547</x:v>
      </x:c>
      <x:c r="CA10" s="60" t="n">
        <x:v>68.44435508728027</x:v>
      </x:c>
      <x:c r="CB10" s="60" t="n">
        <x:v>68.70411437988281</x:v>
      </x:c>
      <x:c r="CC10" s="60" t="n">
        <x:v>68.91191673278809</x:v>
      </x:c>
      <x:c r="CD10" s="60" t="n">
        <x:v>69.19934661865234</x:v>
      </x:c>
      <x:c r="CE10" s="60" t="n">
        <x:v>69.46032592773437</x:v>
      </x:c>
      <x:c r="CF10" s="60" t="n">
        <x:v>69.71080383300782</x:v>
      </x:c>
      <x:c r="CG10" s="60" t="n">
        <x:v>69.99492393493652</x:v>
      </x:c>
      <x:c r="CH10" s="60" t="n">
        <x:v>70.26231689453125</x:v>
      </x:c>
      <x:c r="CI10" s="60" t="n">
        <x:v>70.52028831481934</x:v>
      </x:c>
      <x:c r="CJ10" s="60" t="n">
        <x:v>70.81301727294922</x:v>
      </x:c>
      <x:c r="CK10" s="60" t="n">
        <x:v>71.09493286132812</x:v>
      </x:c>
      <x:c r="CL10" s="60" t="n">
        <x:v>71.4265005493164</x:v>
      </x:c>
      <x:c r="CM10" s="60" t="n">
        <x:v>71.7105010986328</x:v>
      </x:c>
      <x:c r="CN10" s="60" t="n">
        <x:v>72.03893478393555</x:v>
      </x:c>
      <x:c r="CO10" s="60" t="n">
        <x:v>72.37280952453614</x:v>
      </x:c>
      <x:c r="CP10" s="60" t="n">
        <x:v>72.7700259399414</x:v>
      </x:c>
      <x:c r="CQ10" s="60" t="n">
        <x:v>73.14666618347168</x:v>
      </x:c>
      <x:c r="CR10" s="60" t="n">
        <x:v>73.57366256713867</x:v>
      </x:c>
      <x:c r="CS10" s="60" t="n">
        <x:v>73.92926086425781</x:v>
      </x:c>
      <x:c r="CT10" s="60" t="n">
        <x:v>74.38955657958985</x:v>
      </x:c>
      <x:c r="CU10" s="60" t="n">
        <x:v>74.86500801086426</x:v>
      </x:c>
      <x:c r="CV10" s="60" t="n">
        <x:v>75.32196472167969</x:v>
      </x:c>
      <x:c r="CW10" s="60" t="n">
        <x:v>75.85579147338868</x:v>
      </x:c>
      <x:c r="CX10" s="60" t="n">
        <x:v>76.50840942382813</x:v>
      </x:c>
      <x:c r="CY10" s="60" t="n">
        <x:v>77.24231872558593</x:v>
      </x:c>
      <x:c r="CZ10" s="60" t="n">
        <x:v>78.3284536743164</x:v>
      </x:c>
      <x:c r="DA10" s="60" t="n">
        <x:v>79.9463244628906</x:v>
      </x:c>
      <x:c r="DB10" s="60" t="n">
        <x:v>85.5768051147461</x:v>
      </x:c>
    </x:row>
    <x:row r="11">
      <x:c r="A11" t="str">
        <x:v>エーフィ-1</x:v>
      </x:c>
      <x:c r="B11" t="str">
        <x:v>エーフィ</x:v>
      </x:c>
      <x:c r="C11" t="str">
        <x:v>共通</x:v>
      </x:c>
      <x:c r="D11" s="60" t="n">
        <x:v>67.59242248535156</x:v>
      </x:c>
      <x:c r="E11" s="60" t="n">
        <x:v>7.42916202545166</x:v>
      </x:c>
      <x:c r="F11" s="60" t="n">
        <x:v>38.408145904541016</x:v>
      </x:c>
      <x:c r="G11" s="60" t="n">
        <x:v>47.38767784118652</x:v>
      </x:c>
      <x:c r="H11" s="60" t="n">
        <x:v>50.15762763977051</x:v>
      </x:c>
      <x:c r="I11" s="60" t="n">
        <x:v>51.89068294525146</x:v>
      </x:c>
      <x:c r="J11" s="60" t="n">
        <x:v>53.002586364746094</x:v>
      </x:c>
      <x:c r="K11" s="60" t="n">
        <x:v>53.972154998779295</x:v>
      </x:c>
      <x:c r="L11" s="60" t="n">
        <x:v>54.77381423950195</x:v>
      </x:c>
      <x:c r="M11" s="60" t="n">
        <x:v>55.46946174621582</x:v>
      </x:c>
      <x:c r="N11" s="60" t="n">
        <x:v>56.10894714355469</x:v>
      </x:c>
      <x:c r="O11" s="60" t="n">
        <x:v>56.69203784942627</x:v>
      </x:c>
      <x:c r="P11" s="60" t="n">
        <x:v>57.247993850708006</x:v>
      </x:c>
      <x:c r="Q11" s="60" t="n">
        <x:v>57.782941551208495</x:v>
      </x:c>
      <x:c r="R11" s="60" t="n">
        <x:v>58.23030136108398</x:v>
      </x:c>
      <x:c r="S11" s="60" t="n">
        <x:v>58.68745475769043</x:v>
      </x:c>
      <x:c r="T11" s="60" t="n">
        <x:v>59.13107292175293</x:v>
      </x:c>
      <x:c r="U11" s="60" t="n">
        <x:v>59.53762359619141</x:v>
      </x:c>
      <x:c r="V11" s="60" t="n">
        <x:v>59.89311538696289</x:v>
      </x:c>
      <x:c r="W11" s="60" t="n">
        <x:v>60.29822570800781</x:v>
      </x:c>
      <x:c r="X11" s="60" t="n">
        <x:v>60.66484199523926</x:v>
      </x:c>
      <x:c r="Y11" s="60" t="n">
        <x:v>60.99078243255615</x:v>
      </x:c>
      <x:c r="Z11" s="60" t="n">
        <x:v>61.2892822265625</x:v>
      </x:c>
      <x:c r="AA11" s="60" t="n">
        <x:v>61.564452476501465</x:v>
      </x:c>
      <x:c r="AB11" s="60" t="n">
        <x:v>61.887985916137694</x:v>
      </x:c>
      <x:c r="AC11" s="60" t="n">
        <x:v>62.202075233459475</x:v>
      </x:c>
      <x:c r="AD11" s="60" t="n">
        <x:v>62.508852081298826</x:v>
      </x:c>
      <x:c r="AE11" s="60" t="n">
        <x:v>62.79458808898926</x:v>
      </x:c>
      <x:c r="AF11" s="60" t="n">
        <x:v>63.075688400268554</x:v>
      </x:c>
      <x:c r="AG11" s="60" t="n">
        <x:v>63.37387279510498</x:v>
      </x:c>
      <x:c r="AH11" s="60" t="n">
        <x:v>63.65004989624023</x:v>
      </x:c>
      <x:c r="AI11" s="60" t="n">
        <x:v>63.89925811767578</x:v>
      </x:c>
      <x:c r="AJ11" s="60" t="n">
        <x:v>64.13761749267579</x:v>
      </x:c>
      <x:c r="AK11" s="60" t="n">
        <x:v>64.4295597076416</x:v>
      </x:c>
      <x:c r="AL11" s="60" t="n">
        <x:v>64.66225952148437</x:v>
      </x:c>
      <x:c r="AM11" s="60" t="n">
        <x:v>64.92594779968262</x:v>
      </x:c>
      <x:c r="AN11" s="60" t="n">
        <x:v>65.15694046020508</x:v>
      </x:c>
      <x:c r="AO11" s="60" t="n">
        <x:v>65.38340606689454</x:v>
      </x:c>
      <x:c r="AP11" s="60" t="n">
        <x:v>65.60211975097656</x:v>
      </x:c>
      <x:c r="AQ11" s="60" t="n">
        <x:v>65.82796226501465</x:v>
      </x:c>
      <x:c r="AR11" s="60" t="n">
        <x:v>66.05832946777343</x:v>
      </x:c>
      <x:c r="AS11" s="60" t="n">
        <x:v>66.26414085388184</x:v>
      </x:c>
      <x:c r="AT11" s="60" t="n">
        <x:v>66.45874786376953</x:v>
      </x:c>
      <x:c r="AU11" s="60" t="n">
        <x:v>66.67239364624024</x:v>
      </x:c>
      <x:c r="AV11" s="60" t="n">
        <x:v>66.90458999633789</x:v>
      </x:c>
      <x:c r="AW11" s="60" t="n">
        <x:v>67.11881546020507</x:v>
      </x:c>
      <x:c r="AX11" s="60" t="n">
        <x:v>67.30440460205078</x:v>
      </x:c>
      <x:c r="AY11" s="60" t="n">
        <x:v>67.51374282836915</x:v>
      </x:c>
      <x:c r="AZ11" s="60" t="n">
        <x:v>67.73206588745117</x:v>
      </x:c>
      <x:c r="BA11" s="60" t="n">
        <x:v>67.9481739807129</x:v>
      </x:c>
      <x:c r="BB11" s="60" t="n">
        <x:v>68.15331573486328</x:v>
      </x:c>
      <x:c r="BC11" s="60" t="n">
        <x:v>68.36031768798829</x:v>
      </x:c>
      <x:c r="BD11" s="60" t="n">
        <x:v>68.54903793334961</x:v>
      </x:c>
      <x:c r="BE11" s="60" t="n">
        <x:v>68.74273551940918</x:v>
      </x:c>
      <x:c r="BF11" s="60" t="n">
        <x:v>68.94674560546875</x:v>
      </x:c>
      <x:c r="BG11" s="60" t="n">
        <x:v>69.15641761779786</x:v>
      </x:c>
      <x:c r="BH11" s="60" t="n">
        <x:v>69.34334823608398</x:v>
      </x:c>
      <x:c r="BI11" s="60" t="n">
        <x:v>69.52332992553711</x:v>
      </x:c>
      <x:c r="BJ11" s="60" t="n">
        <x:v>69.72860809326173</x:v>
      </x:c>
      <x:c r="BK11" s="60" t="n">
        <x:v>69.94724685668946</x:v>
      </x:c>
      <x:c r="BL11" s="60" t="n">
        <x:v>70.15849151611329</x:v>
      </x:c>
      <x:c r="BM11" s="60" t="n">
        <x:v>70.34610679626465</x:v>
      </x:c>
      <x:c r="BN11" s="60" t="n">
        <x:v>70.52269134521484</x:v>
      </x:c>
      <x:c r="BO11" s="60" t="n">
        <x:v>70.70080307006836</x:v>
      </x:c>
      <x:c r="BP11" s="60" t="n">
        <x:v>70.90098968505859</x:v>
      </x:c>
      <x:c r="BQ11" s="60" t="n">
        <x:v>71.0809098815918</x:v>
      </x:c>
      <x:c r="BR11" s="60" t="n">
        <x:v>71.2572412109375</x:v>
      </x:c>
      <x:c r="BS11" s="60" t="n">
        <x:v>71.44277229309083</x:v>
      </x:c>
      <x:c r="BT11" s="60" t="n">
        <x:v>71.61034652709961</x:v>
      </x:c>
      <x:c r="BU11" s="60" t="n">
        <x:v>71.77734588623046</x:v>
      </x:c>
      <x:c r="BV11" s="60" t="n">
        <x:v>71.9671240234375</x:v>
      </x:c>
      <x:c r="BW11" s="60" t="n">
        <x:v>72.1795629119873</x:v>
      </x:c>
      <x:c r="BX11" s="60" t="n">
        <x:v>72.35971069335938</x:v>
      </x:c>
      <x:c r="BY11" s="60" t="n">
        <x:v>72.54155769348145</x:v>
      </x:c>
      <x:c r="BZ11" s="60" t="n">
        <x:v>72.73209167480468</x:v>
      </x:c>
      <x:c r="CA11" s="60" t="n">
        <x:v>72.93032257080078</x:v>
      </x:c>
      <x:c r="CB11" s="60" t="n">
        <x:v>73.12120300292969</x:v>
      </x:c>
      <x:c r="CC11" s="60" t="n">
        <x:v>73.31943321228027</x:v>
      </x:c>
      <x:c r="CD11" s="60" t="n">
        <x:v>73.49213439941406</x:v>
      </x:c>
      <x:c r="CE11" s="60" t="n">
        <x:v>73.66702461242676</x:v>
      </x:c>
      <x:c r="CF11" s="60" t="n">
        <x:v>73.84073730468751</x:v>
      </x:c>
      <x:c r="CG11" s="60" t="n">
        <x:v>74.05285202026367</x:v>
      </x:c>
      <x:c r="CH11" s="60" t="n">
        <x:v>74.25553283691406</x:v>
      </x:c>
      <x:c r="CI11" s="60" t="n">
        <x:v>74.45555221557618</x:v>
      </x:c>
      <x:c r="CJ11" s="60" t="n">
        <x:v>74.64749435424805</x:v>
      </x:c>
      <x:c r="CK11" s="60" t="n">
        <x:v>74.84967811584472</x:v>
      </x:c>
      <x:c r="CL11" s="60" t="n">
        <x:v>75.08280151367188</x:v>
      </x:c>
      <x:c r="CM11" s="60" t="n">
        <x:v>75.30861930847168</x:v>
      </x:c>
      <x:c r="CN11" s="60" t="n">
        <x:v>75.54382522583008</x:v>
      </x:c>
      <x:c r="CO11" s="60" t="n">
        <x:v>75.74230087280273</x:v>
      </x:c>
      <x:c r="CP11" s="60" t="n">
        <x:v>75.97814453125</x:v>
      </x:c>
      <x:c r="CQ11" s="60" t="n">
        <x:v>76.21325126647949</x:v>
      </x:c>
      <x:c r="CR11" s="60" t="n">
        <x:v>76.43739318847656</x:v>
      </x:c>
      <x:c r="CS11" s="60" t="n">
        <x:v>76.70462326049805</x:v>
      </x:c>
      <x:c r="CT11" s="60" t="n">
        <x:v>76.9760513305664</x:v>
      </x:c>
      <x:c r="CU11" s="60" t="n">
        <x:v>77.2469854736328</x:v>
      </x:c>
      <x:c r="CV11" s="60" t="n">
        <x:v>77.61708709716797</x:v>
      </x:c>
      <x:c r="CW11" s="60" t="n">
        <x:v>77.9869441986084</x:v>
      </x:c>
      <x:c r="CX11" s="60" t="n">
        <x:v>78.41755340576172</x:v>
      </x:c>
      <x:c r="CY11" s="60" t="n">
        <x:v>78.90376876831054</x:v>
      </x:c>
      <x:c r="CZ11" s="60" t="n">
        <x:v>79.43202239990234</x:v>
      </x:c>
      <x:c r="DA11" s="60" t="n">
        <x:v>80.18534118652343</x:v>
      </x:c>
      <x:c r="DB11" s="60" t="n">
        <x:v>83.27122497558594</x:v>
      </x:c>
    </x:row>
    <x:row r="12">
      <x:c r="A12" t="str">
        <x:v>グレイシア-1</x:v>
      </x:c>
      <x:c r="B12" t="str">
        <x:v>グレイシア</x:v>
      </x:c>
      <x:c r="C12" t="str">
        <x:v>共通</x:v>
      </x:c>
      <x:c r="D12" s="60" t="n">
        <x:v>66.07389831542969</x:v>
      </x:c>
      <x:c r="E12" s="60" t="n">
        <x:v>8.871465682983398</x:v>
      </x:c>
      <x:c r="F12" s="60" t="n">
        <x:v>33.71085739135742</x:v>
      </x:c>
      <x:c r="G12" s="60" t="n">
        <x:v>43.20003345489502</x:v>
      </x:c>
      <x:c r="H12" s="60" t="n">
        <x:v>46.222532196044924</x:v>
      </x:c>
      <x:c r="I12" s="60" t="n">
        <x:v>47.99953399658203</x:v>
      </x:c>
      <x:c r="J12" s="60" t="n">
        <x:v>49.24505645751953</x:v>
      </x:c>
      <x:c r="K12" s="60" t="n">
        <x:v>50.19105968475342</x:v>
      </x:c>
      <x:c r="L12" s="60" t="n">
        <x:v>51.09098167419434</x:v>
      </x:c>
      <x:c r="M12" s="60" t="n">
        <x:v>51.85709049224854</x:v>
      </x:c>
      <x:c r="N12" s="60" t="n">
        <x:v>52.59560440063477</x:v>
      </x:c>
      <x:c r="O12" s="60" t="n">
        <x:v>53.291415977478025</x:v>
      </x:c>
      <x:c r="P12" s="60" t="n">
        <x:v>53.86227188110352</x:v>
      </x:c>
      <x:c r="Q12" s="60" t="n">
        <x:v>54.471672172546384</x:v>
      </x:c>
      <x:c r="R12" s="60" t="n">
        <x:v>55.03285339355469</x:v>
      </x:c>
      <x:c r="S12" s="60" t="n">
        <x:v>55.577340278625485</x:v>
      </x:c>
      <x:c r="T12" s="60" t="n">
        <x:v>56.072066650390624</x:v>
      </x:c>
      <x:c r="U12" s="60" t="n">
        <x:v>56.56586456298828</x:v>
      </x:c>
      <x:c r="V12" s="60" t="n">
        <x:v>56.93484146118164</x:v>
      </x:c>
      <x:c r="W12" s="60" t="n">
        <x:v>57.34829223632813</x:v>
      </x:c>
      <x:c r="X12" s="60" t="n">
        <x:v>57.7198046875</x:v>
      </x:c>
      <x:c r="Y12" s="60" t="n">
        <x:v>58.0838298034668</x:v>
      </x:c>
      <x:c r="Z12" s="60" t="n">
        <x:v>58.482479858398435</x:v>
      </x:c>
      <x:c r="AA12" s="60" t="n">
        <x:v>58.844542808532715</x:v>
      </x:c>
      <x:c r="AB12" s="60" t="n">
        <x:v>59.204004516601564</x:v>
      </x:c>
      <x:c r="AC12" s="60" t="n">
        <x:v>59.51439437866211</x:v>
      </x:c>
      <x:c r="AD12" s="60" t="n">
        <x:v>59.87059341430664</x:v>
      </x:c>
      <x:c r="AE12" s="60" t="n">
        <x:v>60.194719314575195</x:v>
      </x:c>
      <x:c r="AF12" s="60" t="n">
        <x:v>60.463179473876956</x:v>
      </x:c>
      <x:c r="AG12" s="60" t="n">
        <x:v>60.78800678253174</x:v>
      </x:c>
      <x:c r="AH12" s="60" t="n">
        <x:v>61.126272735595705</x:v>
      </x:c>
      <x:c r="AI12" s="60" t="n">
        <x:v>61.43506465911865</x:v>
      </x:c>
      <x:c r="AJ12" s="60" t="n">
        <x:v>61.72453651428223</x:v>
      </x:c>
      <x:c r="AK12" s="60" t="n">
        <x:v>62.04634609222412</x:v>
      </x:c>
      <x:c r="AL12" s="60" t="n">
        <x:v>62.32528839111328</x:v>
      </x:c>
      <x:c r="AM12" s="60" t="n">
        <x:v>62.616635971069336</x:v>
      </x:c>
      <x:c r="AN12" s="60" t="n">
        <x:v>62.858235092163085</x:v>
      </x:c>
      <x:c r="AO12" s="60" t="n">
        <x:v>63.09566688537598</x:v>
      </x:c>
      <x:c r="AP12" s="60" t="n">
        <x:v>63.37465942382812</x:v>
      </x:c>
      <x:c r="AQ12" s="60" t="n">
        <x:v>63.63529449462891</x:v>
      </x:c>
      <x:c r="AR12" s="60" t="n">
        <x:v>63.893612670898435</x:v>
      </x:c>
      <x:c r="AS12" s="60" t="n">
        <x:v>64.17343795776367</x:v>
      </x:c>
      <x:c r="AT12" s="60" t="n">
        <x:v>64.44286651611328</x:v>
      </x:c>
      <x:c r="AU12" s="60" t="n">
        <x:v>64.70348052978515</x:v>
      </x:c>
      <x:c r="AV12" s="60" t="n">
        <x:v>64.97046920776367</x:v>
      </x:c>
      <x:c r="AW12" s="60" t="n">
        <x:v>65.21521697998047</x:v>
      </x:c>
      <x:c r="AX12" s="60" t="n">
        <x:v>65.45111968994141</x:v>
      </x:c>
      <x:c r="AY12" s="60" t="n">
        <x:v>65.70588455200195</x:v>
      </x:c>
      <x:c r="AZ12" s="60" t="n">
        <x:v>65.94736968994141</x:v>
      </x:c>
      <x:c r="BA12" s="60" t="n">
        <x:v>66.18121253967286</x:v>
      </x:c>
      <x:c r="BB12" s="60" t="n">
        <x:v>66.40383850097656</x:v>
      </x:c>
      <x:c r="BC12" s="60" t="n">
        <x:v>66.65341979980468</x:v>
      </x:c>
      <x:c r="BD12" s="60" t="n">
        <x:v>66.89451217651367</x:v>
      </x:c>
      <x:c r="BE12" s="60" t="n">
        <x:v>67.10409828186035</x:v>
      </x:c>
      <x:c r="BF12" s="60" t="n">
        <x:v>67.31550720214844</x:v>
      </x:c>
      <x:c r="BG12" s="60" t="n">
        <x:v>67.52545440673828</x:v>
      </x:c>
      <x:c r="BH12" s="60" t="n">
        <x:v>67.76471801757813</x:v>
      </x:c>
      <x:c r="BI12" s="60" t="n">
        <x:v>67.97730751037598</x:v>
      </x:c>
      <x:c r="BJ12" s="60" t="n">
        <x:v>68.23014190673828</x:v>
      </x:c>
      <x:c r="BK12" s="60" t="n">
        <x:v>68.4920867919922</x:v>
      </x:c>
      <x:c r="BL12" s="60" t="n">
        <x:v>68.74747741699218</x:v>
      </x:c>
      <x:c r="BM12" s="60" t="n">
        <x:v>68.96725914001465</x:v>
      </x:c>
      <x:c r="BN12" s="60" t="n">
        <x:v>69.2118896484375</x:v>
      </x:c>
      <x:c r="BO12" s="60" t="n">
        <x:v>69.43801460266113</x:v>
      </x:c>
      <x:c r="BP12" s="60" t="n">
        <x:v>69.66040283203125</x:v>
      </x:c>
      <x:c r="BQ12" s="60" t="n">
        <x:v>69.89059524536134</x:v>
      </x:c>
      <x:c r="BR12" s="60" t="n">
        <x:v>70.12866607666015</x:v>
      </x:c>
      <x:c r="BS12" s="60" t="n">
        <x:v>70.35246086120605</x:v>
      </x:c>
      <x:c r="BT12" s="60" t="n">
        <x:v>70.57929061889648</x:v>
      </x:c>
      <x:c r="BU12" s="60" t="n">
        <x:v>70.81983283996583</x:v>
      </x:c>
      <x:c r="BV12" s="60" t="n">
        <x:v>71.08889190673828</x:v>
      </x:c>
      <x:c r="BW12" s="60" t="n">
        <x:v>71.3256622314453</x:v>
      </x:c>
      <x:c r="BX12" s="60" t="n">
        <x:v>71.53273849487304</x:v>
      </x:c>
      <x:c r="BY12" s="60" t="n">
        <x:v>71.77838722229004</x:v>
      </x:c>
      <x:c r="BZ12" s="60" t="n">
        <x:v>72.03668304443359</x:v>
      </x:c>
      <x:c r="CA12" s="60" t="n">
        <x:v>72.29019508361816</x:v>
      </x:c>
      <x:c r="CB12" s="60" t="n">
        <x:v>72.55063522338867</x:v>
      </x:c>
      <x:c r="CC12" s="60" t="n">
        <x:v>72.80249214172363</x:v>
      </x:c>
      <x:c r="CD12" s="60" t="n">
        <x:v>73.02880126953124</x:v>
      </x:c>
      <x:c r="CE12" s="60" t="n">
        <x:v>73.28520286560058</x:v>
      </x:c>
      <x:c r="CF12" s="60" t="n">
        <x:v>73.54738677978516</x:v>
      </x:c>
      <x:c r="CG12" s="60" t="n">
        <x:v>73.77668060302734</x:v>
      </x:c>
      <x:c r="CH12" s="60" t="n">
        <x:v>74.03528289794922</x:v>
      </x:c>
      <x:c r="CI12" s="60" t="n">
        <x:v>74.31554740905761</x:v>
      </x:c>
      <x:c r="CJ12" s="60" t="n">
        <x:v>74.57472381591796</x:v>
      </x:c>
      <x:c r="CK12" s="60" t="n">
        <x:v>74.84000755310059</x:v>
      </x:c>
      <x:c r="CL12" s="60" t="n">
        <x:v>75.1380484008789</x:v>
      </x:c>
      <x:c r="CM12" s="60" t="n">
        <x:v>75.42603912353515</x:v>
      </x:c>
      <x:c r="CN12" s="60" t="n">
        <x:v>75.73936691284179</x:v>
      </x:c>
      <x:c r="CO12" s="60" t="n">
        <x:v>76.03281913757324</x:v>
      </x:c>
      <x:c r="CP12" s="60" t="n">
        <x:v>76.33706909179688</x:v>
      </x:c>
      <x:c r="CQ12" s="60" t="n">
        <x:v>76.6446762084961</x:v>
      </x:c>
      <x:c r="CR12" s="60" t="n">
        <x:v>77.02019348144532</x:v>
      </x:c>
      <x:c r="CS12" s="60" t="n">
        <x:v>77.41171417236328</x:v>
      </x:c>
      <x:c r="CT12" s="60" t="n">
        <x:v>77.79265045166017</x:v>
      </x:c>
      <x:c r="CU12" s="60" t="n">
        <x:v>78.25422317504882</x:v>
      </x:c>
      <x:c r="CV12" s="60" t="n">
        <x:v>78.69207992553713</x:v>
      </x:c>
      <x:c r="CW12" s="60" t="n">
        <x:v>79.16413307189941</x:v>
      </x:c>
      <x:c r="CX12" s="60" t="n">
        <x:v>79.73190795898438</x:v>
      </x:c>
      <x:c r="CY12" s="60" t="n">
        <x:v>80.41544075012207</x:v>
      </x:c>
      <x:c r="CZ12" s="60" t="n">
        <x:v>81.24929595947266</x:v>
      </x:c>
      <x:c r="DA12" s="60" t="n">
        <x:v>82.39841552734374</x:v>
      </x:c>
      <x:c r="DB12" s="60" t="n">
        <x:v>87.24608612060547</x:v>
      </x:c>
    </x:row>
    <x:row r="13">
      <x:c r="A13" t="str">
        <x:v>グレンアルマ-1</x:v>
      </x:c>
      <x:c r="B13" t="str">
        <x:v>グレンアルマ</x:v>
      </x:c>
      <x:c r="C13" t="str">
        <x:v>ほのおのうず</x:v>
      </x:c>
      <x:c r="D13" s="60" t="n">
        <x:v>66.84796905517578</x:v>
      </x:c>
      <x:c r="E13" s="60" t="n">
        <x:v>7.598397731781006</x:v>
      </x:c>
      <x:c r="F13" s="60" t="n">
        <x:v>37.410118103027344</x:v>
      </x:c>
      <x:c r="G13" s="60" t="n">
        <x:v>46.28435733795166</x:v>
      </x:c>
      <x:c r="H13" s="60" t="n">
        <x:v>48.82743270874023</x:v>
      </x:c>
      <x:c r="I13" s="60" t="n">
        <x:v>50.37461250305176</x:v>
      </x:c>
      <x:c r="J13" s="60" t="n">
        <x:v>51.54373016357422</x:v>
      </x:c>
      <x:c r="K13" s="60" t="n">
        <x:v>52.58155689239502</x:v>
      </x:c>
      <x:c r="L13" s="60" t="n">
        <x:v>53.5094596862793</x:v>
      </x:c>
      <x:c r="M13" s="60" t="n">
        <x:v>54.30810287475586</x:v>
      </x:c>
      <x:c r="N13" s="60" t="n">
        <x:v>54.92066345214844</x:v>
      </x:c>
      <x:c r="O13" s="60" t="n">
        <x:v>55.47648468017578</x:v>
      </x:c>
      <x:c r="P13" s="60" t="n">
        <x:v>56.01208000183105</x:v>
      </x:c>
      <x:c r="Q13" s="60" t="n">
        <x:v>56.564142875671386</x:v>
      </x:c>
      <x:c r="R13" s="60" t="n">
        <x:v>57.05755249023437</x:v>
      </x:c>
      <x:c r="S13" s="60" t="n">
        <x:v>57.50467170715332</x:v>
      </x:c>
      <x:c r="T13" s="60" t="n">
        <x:v>58.0197583770752</x:v>
      </x:c>
      <x:c r="U13" s="60" t="n">
        <x:v>58.476008605957034</x:v>
      </x:c>
      <x:c r="V13" s="60" t="n">
        <x:v>58.94773864746094</x:v>
      </x:c>
      <x:c r="W13" s="60" t="n">
        <x:v>59.353185195922855</x:v>
      </x:c>
      <x:c r="X13" s="60" t="n">
        <x:v>59.727266540527346</x:v>
      </x:c>
      <x:c r="Y13" s="60" t="n">
        <x:v>60.09231666564941</x:v>
      </x:c>
      <x:c r="Z13" s="60" t="n">
        <x:v>60.4381820678711</x:v>
      </x:c>
      <x:c r="AA13" s="60" t="n">
        <x:v>60.79059707641601</x:v>
      </x:c>
      <x:c r="AB13" s="60" t="n">
        <x:v>61.11606430053711</x:v>
      </x:c>
      <x:c r="AC13" s="60" t="n">
        <x:v>61.44921142578125</x:v>
      </x:c>
      <x:c r="AD13" s="60" t="n">
        <x:v>61.72568130493164</x:v>
      </x:c>
      <x:c r="AE13" s="60" t="n">
        <x:v>62.014222145080566</x:v>
      </x:c>
      <x:c r="AF13" s="60" t="n">
        <x:v>62.30564491271973</x:v>
      </x:c>
      <x:c r="AG13" s="60" t="n">
        <x:v>62.61935726165772</x:v>
      </x:c>
      <x:c r="AH13" s="60" t="n">
        <x:v>62.89910919189453</x:v>
      </x:c>
      <x:c r="AI13" s="60" t="n">
        <x:v>63.19343711853028</x:v>
      </x:c>
      <x:c r="AJ13" s="60" t="n">
        <x:v>63.44803581237793</x:v>
      </x:c>
      <x:c r="AK13" s="60" t="n">
        <x:v>63.70367660522461</x:v>
      </x:c>
      <x:c r="AL13" s="60" t="n">
        <x:v>63.95497039794922</x:v>
      </x:c>
      <x:c r="AM13" s="60" t="n">
        <x:v>64.16946426391601</x:v>
      </x:c>
      <x:c r="AN13" s="60" t="n">
        <x:v>64.43822387695313</x:v>
      </x:c>
      <x:c r="AO13" s="60" t="n">
        <x:v>64.72926445007325</x:v>
      </x:c>
      <x:c r="AP13" s="60" t="n">
        <x:v>64.96498382568359</x:v>
      </x:c>
      <x:c r="AQ13" s="60" t="n">
        <x:v>65.2218383026123</x:v>
      </x:c>
      <x:c r="AR13" s="60" t="n">
        <x:v>65.45026931762695</x:v>
      </x:c>
      <x:c r="AS13" s="60" t="n">
        <x:v>65.66940055847168</x:v>
      </x:c>
      <x:c r="AT13" s="60" t="n">
        <x:v>65.89664611816406</x:v>
      </x:c>
      <x:c r="AU13" s="60" t="n">
        <x:v>66.12616172790527</x:v>
      </x:c>
      <x:c r="AV13" s="60" t="n">
        <x:v>66.34107818603516</x:v>
      </x:c>
      <x:c r="AW13" s="60" t="n">
        <x:v>66.5216902923584</x:v>
      </x:c>
      <x:c r="AX13" s="60" t="n">
        <x:v>66.73639007568359</x:v>
      </x:c>
      <x:c r="AY13" s="60" t="n">
        <x:v>66.93937187194824</x:v>
      </x:c>
      <x:c r="AZ13" s="60" t="n">
        <x:v>67.12191192626953</x:v>
      </x:c>
      <x:c r="BA13" s="60" t="n">
        <x:v>67.32799240112304</x:v>
      </x:c>
      <x:c r="BB13" s="60" t="n">
        <x:v>67.54239044189453</x:v>
      </x:c>
      <x:c r="BC13" s="60" t="n">
        <x:v>67.77519233703613</x:v>
      </x:c>
      <x:c r="BD13" s="60" t="n">
        <x:v>67.97272872924805</x:v>
      </x:c>
      <x:c r="BE13" s="60" t="n">
        <x:v>68.16219329833984</x:v>
      </x:c>
      <x:c r="BF13" s="60" t="n">
        <x:v>68.36955444335938</x:v>
      </x:c>
      <x:c r="BG13" s="60" t="n">
        <x:v>68.5860131072998</x:v>
      </x:c>
      <x:c r="BH13" s="60" t="n">
        <x:v>68.78513061523438</x:v>
      </x:c>
      <x:c r="BI13" s="60" t="n">
        <x:v>68.99831466674804</x:v>
      </x:c>
      <x:c r="BJ13" s="60" t="n">
        <x:v>69.18213836669922</x:v>
      </x:c>
      <x:c r="BK13" s="60" t="n">
        <x:v>69.39368675231934</x:v>
      </x:c>
      <x:c r="BL13" s="60" t="n">
        <x:v>69.58646224975585</x:v>
      </x:c>
      <x:c r="BM13" s="60" t="n">
        <x:v>69.77281326293945</x:v>
      </x:c>
      <x:c r="BN13" s="60" t="n">
        <x:v>69.98420715332031</x:v>
      </x:c>
      <x:c r="BO13" s="60" t="n">
        <x:v>70.17276268005371</x:v>
      </x:c>
      <x:c r="BP13" s="60" t="n">
        <x:v>70.37205703735351</x:v>
      </x:c>
      <x:c r="BQ13" s="60" t="n">
        <x:v>70.5586619567871</x:v>
      </x:c>
      <x:c r="BR13" s="60" t="n">
        <x:v>70.74819702148437</x:v>
      </x:c>
      <x:c r="BS13" s="60" t="n">
        <x:v>70.93621139526367</x:v>
      </x:c>
      <x:c r="BT13" s="60" t="n">
        <x:v>71.13064468383789</x:v>
      </x:c>
      <x:c r="BU13" s="60" t="n">
        <x:v>71.33572174072266</x:v>
      </x:c>
      <x:c r="BV13" s="60" t="n">
        <x:v>71.51541992187501</x:v>
      </x:c>
      <x:c r="BW13" s="60" t="n">
        <x:v>71.70235305786133</x:v>
      </x:c>
      <x:c r="BX13" s="60" t="n">
        <x:v>71.88094177246094</x:v>
      </x:c>
      <x:c r="BY13" s="60" t="n">
        <x:v>72.07464797973633</x:v>
      </x:c>
      <x:c r="BZ13" s="60" t="n">
        <x:v>72.27112945556641</x:v>
      </x:c>
      <x:c r="CA13" s="60" t="n">
        <x:v>72.4468726348877</x:v>
      </x:c>
      <x:c r="CB13" s="60" t="n">
        <x:v>72.6267497253418</x:v>
      </x:c>
      <x:c r="CC13" s="60" t="n">
        <x:v>72.79888534545898</x:v>
      </x:c>
      <x:c r="CD13" s="60" t="n">
        <x:v>73.00323364257812</x:v>
      </x:c>
      <x:c r="CE13" s="60" t="n">
        <x:v>73.18410377502441</x:v>
      </x:c>
      <x:c r="CF13" s="60" t="n">
        <x:v>73.37154891967774</x:v>
      </x:c>
      <x:c r="CG13" s="60" t="n">
        <x:v>73.55067344665527</x:v>
      </x:c>
      <x:c r="CH13" s="60" t="n">
        <x:v>73.74437408447265</x:v>
      </x:c>
      <x:c r="CI13" s="60" t="n">
        <x:v>73.93996536254883</x:v>
      </x:c>
      <x:c r="CJ13" s="60" t="n">
        <x:v>74.11876831054687</x:v>
      </x:c>
      <x:c r="CK13" s="60" t="n">
        <x:v>74.31672500610351</x:v>
      </x:c>
      <x:c r="CL13" s="60" t="n">
        <x:v>74.52268646240235</x:v>
      </x:c>
      <x:c r="CM13" s="60" t="n">
        <x:v>74.68546905517579</x:v>
      </x:c>
      <x:c r="CN13" s="60" t="n">
        <x:v>74.89356475830078</x:v>
      </x:c>
      <x:c r="CO13" s="60" t="n">
        <x:v>75.09306732177734</x:v>
      </x:c>
      <x:c r="CP13" s="60" t="n">
        <x:v>75.3021044921875</x:v>
      </x:c>
      <x:c r="CQ13" s="60" t="n">
        <x:v>75.5376774597168</x:v>
      </x:c>
      <x:c r="CR13" s="60" t="n">
        <x:v>75.7740966796875</x:v>
      </x:c>
      <x:c r="CS13" s="60" t="n">
        <x:v>76.00697196960449</x:v>
      </x:c>
      <x:c r="CT13" s="60" t="n">
        <x:v>76.28512298583985</x:v>
      </x:c>
      <x:c r="CU13" s="60" t="n">
        <x:v>76.57051582336426</x:v>
      </x:c>
      <x:c r="CV13" s="60" t="n">
        <x:v>76.84607467651368</x:v>
      </x:c>
      <x:c r="CW13" s="60" t="n">
        <x:v>77.13482246398927</x:v>
      </x:c>
      <x:c r="CX13" s="60" t="n">
        <x:v>77.48639617919922</x:v>
      </x:c>
      <x:c r="CY13" s="60" t="n">
        <x:v>77.86035118103027</x:v>
      </x:c>
      <x:c r="CZ13" s="60" t="n">
        <x:v>78.30967514038086</x:v>
      </x:c>
      <x:c r="DA13" s="60" t="n">
        <x:v>78.89297172546387</x:v>
      </x:c>
      <x:c r="DB13" s="60" t="n">
        <x:v>81.13775634765625</x:v>
      </x:c>
    </x:row>
    <x:row r="14">
      <x:c r="A14" t="str">
        <x:v>グレンアルマ-2</x:v>
      </x:c>
      <x:c r="B14" t="str">
        <x:v>グレンアルマ</x:v>
      </x:c>
      <x:c r="C14" t="str">
        <x:v>アーマーキャノン</x:v>
      </x:c>
      <x:c r="D14" s="60" t="n">
        <x:v>64.16922760009766</x:v>
      </x:c>
      <x:c r="E14" s="60" t="n">
        <x:v>6.033185958862305</x:v>
      </x:c>
      <x:c r="F14" s="60" t="n">
        <x:v>40.178096771240234</x:v>
      </x:c>
      <x:c r="G14" s="60" t="n">
        <x:v>48.05905792236328</x:v>
      </x:c>
      <x:c r="H14" s="60" t="n">
        <x:v>49.97206550598145</x:v>
      </x:c>
      <x:c r="I14" s="60" t="n">
        <x:v>51.365438079833986</x:v>
      </x:c>
      <x:c r="J14" s="60" t="n">
        <x:v>52.37046478271485</x:v>
      </x:c>
      <x:c r="K14" s="60" t="n">
        <x:v>53.11012935638428</x:v>
      </x:c>
      <x:c r="L14" s="60" t="n">
        <x:v>53.79378684997559</x:v>
      </x:c>
      <x:c r="M14" s="60" t="n">
        <x:v>54.318154411315916</x:v>
      </x:c>
      <x:c r="N14" s="60" t="n">
        <x:v>54.87016693115234</x:v>
      </x:c>
      <x:c r="O14" s="60" t="n">
        <x:v>55.34362506866455</x:v>
      </x:c>
      <x:c r="P14" s="60" t="n">
        <x:v>55.77501945495605</x:v>
      </x:c>
      <x:c r="Q14" s="60" t="n">
        <x:v>56.19786777496338</x:v>
      </x:c>
      <x:c r="R14" s="60" t="n">
        <x:v>56.5692317199707</x:v>
      </x:c>
      <x:c r="S14" s="60" t="n">
        <x:v>56.92988914489746</x:v>
      </x:c>
      <x:c r="T14" s="60" t="n">
        <x:v>57.266220550537106</x:v>
      </x:c>
      <x:c r="U14" s="60" t="n">
        <x:v>57.61300468444824</x:v>
      </x:c>
      <x:c r="V14" s="60" t="n">
        <x:v>57.95703079223633</x:v>
      </x:c>
      <x:c r="W14" s="60" t="n">
        <x:v>58.26495407104492</x:v>
      </x:c>
      <x:c r="X14" s="60" t="n">
        <x:v>58.523211822509765</x:v>
      </x:c>
      <x:c r="Y14" s="60" t="n">
        <x:v>58.79228130340576</x:v>
      </x:c>
      <x:c r="Z14" s="60" t="n">
        <x:v>59.07694549560547</x:v>
      </x:c>
      <x:c r="AA14" s="60" t="n">
        <x:v>59.324672622680666</x:v>
      </x:c>
      <x:c r="AB14" s="60" t="n">
        <x:v>59.579213790893554</x:v>
      </x:c>
      <x:c r="AC14" s="60" t="n">
        <x:v>59.824769554138186</x:v>
      </x:c>
      <x:c r="AD14" s="60" t="n">
        <x:v>60.06874526977539</x:v>
      </x:c>
      <x:c r="AE14" s="60" t="n">
        <x:v>60.31064319610596</x:v>
      </x:c>
      <x:c r="AF14" s="60" t="n">
        <x:v>60.551254196166994</x:v>
      </x:c>
      <x:c r="AG14" s="60" t="n">
        <x:v>60.78900592803955</x:v>
      </x:c>
      <x:c r="AH14" s="60" t="n">
        <x:v>60.984902954101564</x:v>
      </x:c>
      <x:c r="AI14" s="60" t="n">
        <x:v>61.199273643493655</x:v>
      </x:c>
      <x:c r="AJ14" s="60" t="n">
        <x:v>61.405069732666014</x:v>
      </x:c>
      <x:c r="AK14" s="60" t="n">
        <x:v>61.61153873443604</x:v>
      </x:c>
      <x:c r="AL14" s="60" t="n">
        <x:v>61.79564926147461</x:v>
      </x:c>
      <x:c r="AM14" s="60" t="n">
        <x:v>62.00456169128418</x:v>
      </x:c>
      <x:c r="AN14" s="60" t="n">
        <x:v>62.1883935546875</x:v>
      </x:c>
      <x:c r="AO14" s="60" t="n">
        <x:v>62.384935569763186</x:v>
      </x:c>
      <x:c r="AP14" s="60" t="n">
        <x:v>62.58558258056641</x:v>
      </x:c>
      <x:c r="AQ14" s="60" t="n">
        <x:v>62.77639499664306</x:v>
      </x:c>
      <x:c r="AR14" s="60" t="n">
        <x:v>62.92282012939453</x:v>
      </x:c>
      <x:c r="AS14" s="60" t="n">
        <x:v>63.088797645568846</x:v>
      </x:c>
      <x:c r="AT14" s="60" t="n">
        <x:v>63.277557373046875</x:v>
      </x:c>
      <x:c r="AU14" s="60" t="n">
        <x:v>63.450523376464844</x:v>
      </x:c>
      <x:c r="AV14" s="60" t="n">
        <x:v>63.64500221252442</x:v>
      </x:c>
      <x:c r="AW14" s="60" t="n">
        <x:v>63.81168064117431</x:v>
      </x:c>
      <x:c r="AX14" s="60" t="n">
        <x:v>63.97880126953125</x:v>
      </x:c>
      <x:c r="AY14" s="60" t="n">
        <x:v>64.13907585144042</x:v>
      </x:c>
      <x:c r="AZ14" s="60" t="n">
        <x:v>64.29557525634766</x:v>
      </x:c>
      <x:c r="BA14" s="60" t="n">
        <x:v>64.46737327575684</x:v>
      </x:c>
      <x:c r="BB14" s="60" t="n">
        <x:v>64.63515747070312</x:v>
      </x:c>
      <x:c r="BC14" s="60" t="n">
        <x:v>64.79584548950196</x:v>
      </x:c>
      <x:c r="BD14" s="60" t="n">
        <x:v>64.96706008911133</x:v>
      </x:c>
      <x:c r="BE14" s="60" t="n">
        <x:v>65.10745071411132</x:v>
      </x:c>
      <x:c r="BF14" s="60" t="n">
        <x:v>65.25021270751952</x:v>
      </x:c>
      <x:c r="BG14" s="60" t="n">
        <x:v>65.3882096862793</x:v>
      </x:c>
      <x:c r="BH14" s="60" t="n">
        <x:v>65.5473585510254</x:v>
      </x:c>
      <x:c r="BI14" s="60" t="n">
        <x:v>65.70233001708985</x:v>
      </x:c>
      <x:c r="BJ14" s="60" t="n">
        <x:v>65.84463195800781</x:v>
      </x:c>
      <x:c r="BK14" s="60" t="n">
        <x:v>65.98875137329102</x:v>
      </x:c>
      <x:c r="BL14" s="60" t="n">
        <x:v>66.15087448120117</x:v>
      </x:c>
      <x:c r="BM14" s="60" t="n">
        <x:v>66.28544090270996</x:v>
      </x:c>
      <x:c r="BN14" s="60" t="n">
        <x:v>66.44381256103516</x:v>
      </x:c>
      <x:c r="BO14" s="60" t="n">
        <x:v>66.59567512512207</x:v>
      </x:c>
      <x:c r="BP14" s="60" t="n">
        <x:v>66.7628173828125</x:v>
      </x:c>
      <x:c r="BQ14" s="60" t="n">
        <x:v>66.9036728668213</x:v>
      </x:c>
      <x:c r="BR14" s="60" t="n">
        <x:v>67.04412933349609</x:v>
      </x:c>
      <x:c r="BS14" s="60" t="n">
        <x:v>67.20620536804199</x:v>
      </x:c>
      <x:c r="BT14" s="60" t="n">
        <x:v>67.35943557739257</x:v>
      </x:c>
      <x:c r="BU14" s="60" t="n">
        <x:v>67.49671127319336</x:v>
      </x:c>
      <x:c r="BV14" s="60" t="n">
        <x:v>67.63959655761718</x:v>
      </x:c>
      <x:c r="BW14" s="60" t="n">
        <x:v>67.77510963439941</x:v>
      </x:c>
      <x:c r="BX14" s="60" t="n">
        <x:v>67.92934875488281</x:v>
      </x:c>
      <x:c r="BY14" s="60" t="n">
        <x:v>68.09305030822753</x:v>
      </x:c>
      <x:c r="BZ14" s="60" t="n">
        <x:v>68.24399353027344</x:v>
      </x:c>
      <x:c r="CA14" s="60" t="n">
        <x:v>68.40532775878906</x:v>
      </x:c>
      <x:c r="CB14" s="60" t="n">
        <x:v>68.54339767456055</x:v>
      </x:c>
      <x:c r="CC14" s="60" t="n">
        <x:v>68.71416282653809</x:v>
      </x:c>
      <x:c r="CD14" s="60" t="n">
        <x:v>68.87453857421875</x:v>
      </x:c>
      <x:c r="CE14" s="60" t="n">
        <x:v>69.04379005432129</x:v>
      </x:c>
      <x:c r="CF14" s="60" t="n">
        <x:v>69.20827758789062</x:v>
      </x:c>
      <x:c r="CG14" s="60" t="n">
        <x:v>69.36408264160157</x:v>
      </x:c>
      <x:c r="CH14" s="60" t="n">
        <x:v>69.53577880859375</x:v>
      </x:c>
      <x:c r="CI14" s="60" t="n">
        <x:v>69.70191184997559</x:v>
      </x:c>
      <x:c r="CJ14" s="60" t="n">
        <x:v>69.85806457519531</x:v>
      </x:c>
      <x:c r="CK14" s="60" t="n">
        <x:v>70.02807922363282</x:v>
      </x:c>
      <x:c r="CL14" s="60" t="n">
        <x:v>70.18984436035156</x:v>
      </x:c>
      <x:c r="CM14" s="60" t="n">
        <x:v>70.38912658691406</x:v>
      </x:c>
      <x:c r="CN14" s="60" t="n">
        <x:v>70.56298248291016</x:v>
      </x:c>
      <x:c r="CO14" s="60" t="n">
        <x:v>70.75127311706544</x:v>
      </x:c>
      <x:c r="CP14" s="60" t="n">
        <x:v>70.95496734619141</x:v>
      </x:c>
      <x:c r="CQ14" s="60" t="n">
        <x:v>71.16991371154785</x:v>
      </x:c>
      <x:c r="CR14" s="60" t="n">
        <x:v>71.37114334106445</x:v>
      </x:c>
      <x:c r="CS14" s="60" t="n">
        <x:v>71.56284118652344</x:v>
      </x:c>
      <x:c r="CT14" s="60" t="n">
        <x:v>71.84063201904297</x:v>
      </x:c>
      <x:c r="CU14" s="60" t="n">
        <x:v>72.10208045959473</x:v>
      </x:c>
      <x:c r="CV14" s="60" t="n">
        <x:v>72.39773254394531</x:v>
      </x:c>
      <x:c r="CW14" s="60" t="n">
        <x:v>72.69405364990234</x:v>
      </x:c>
      <x:c r="CX14" s="60" t="n">
        <x:v>73.0401382446289</x:v>
      </x:c>
      <x:c r="CY14" s="60" t="n">
        <x:v>73.43433212280273</x:v>
      </x:c>
      <x:c r="CZ14" s="60" t="n">
        <x:v>74.01318893432617</x:v>
      </x:c>
      <x:c r="DA14" s="60" t="n">
        <x:v>74.89907035827636</x:v>
      </x:c>
      <x:c r="DB14" s="60" t="n">
        <x:v>79.19024658203125</x:v>
      </x:c>
    </x:row>
    <x:row r="15">
      <x:c r="A15" t="str">
        <x:v>ゲッコウガ-1</x:v>
      </x:c>
      <x:c r="B15" t="str">
        <x:v>ゲッコウガ</x:v>
      </x:c>
      <x:c r="C15" t="str">
        <x:v>みずしゅりけん</x:v>
      </x:c>
      <x:c r="D15" s="60" t="n">
        <x:v>62.4276008605957</x:v>
      </x:c>
      <x:c r="E15" s="60" t="n">
        <x:v>8.75894546508789</x:v>
      </x:c>
      <x:c r="F15" s="60" t="n">
        <x:v>32.3129997253418</x:v>
      </x:c>
      <x:c r="G15" s="60" t="n">
        <x:v>40.94889053344727</x:v>
      </x:c>
      <x:c r="H15" s="60" t="n">
        <x:v>43.51835273742676</x:v>
      </x:c>
      <x:c r="I15" s="60" t="n">
        <x:v>45.07336856842041</x:v>
      </x:c>
      <x:c r="J15" s="60" t="n">
        <x:v>46.216313171386716</x:v>
      </x:c>
      <x:c r="K15" s="60" t="n">
        <x:v>47.208770179748534</x:v>
      </x:c>
      <x:c r="L15" s="60" t="n">
        <x:v>48.11469520568848</x:v>
      </x:c>
      <x:c r="M15" s="60" t="n">
        <x:v>48.764994087219236</x:v>
      </x:c>
      <x:c r="N15" s="60" t="n">
        <x:v>49.447527465820315</x:v>
      </x:c>
      <x:c r="O15" s="60" t="n">
        <x:v>50.031424026489255</x:v>
      </x:c>
      <x:c r="P15" s="60" t="n">
        <x:v>50.61041679382324</x:v>
      </x:c>
      <x:c r="Q15" s="60" t="n">
        <x:v>51.13670230865478</x:v>
      </x:c>
      <x:c r="R15" s="60" t="n">
        <x:v>51.70523239135742</x:v>
      </x:c>
      <x:c r="S15" s="60" t="n">
        <x:v>52.159286994934085</x:v>
      </x:c>
      <x:c r="T15" s="60" t="n">
        <x:v>52.60353286743164</x:v>
      </x:c>
      <x:c r="U15" s="60" t="n">
        <x:v>53.03093929290772</x:v>
      </x:c>
      <x:c r="V15" s="60" t="n">
        <x:v>53.42672836303711</x:v>
      </x:c>
      <x:c r="W15" s="60" t="n">
        <x:v>53.76863346099854</x:v>
      </x:c>
      <x:c r="X15" s="60" t="n">
        <x:v>54.16969497680664</x:v>
      </x:c>
      <x:c r="Y15" s="60" t="n">
        <x:v>54.555559158325195</x:v>
      </x:c>
      <x:c r="Z15" s="60" t="n">
        <x:v>54.903726959228514</x:v>
      </x:c>
      <x:c r="AA15" s="60" t="n">
        <x:v>55.247956352233885</x:v>
      </x:c>
      <x:c r="AB15" s="60" t="n">
        <x:v>55.58527481079101</x:v>
      </x:c>
      <x:c r="AC15" s="60" t="n">
        <x:v>55.9079419708252</x:v>
      </x:c>
      <x:c r="AD15" s="60" t="n">
        <x:v>56.18869064331055</x:v>
      </x:c>
      <x:c r="AE15" s="60" t="n">
        <x:v>56.488938331604004</x:v>
      </x:c>
      <x:c r="AF15" s="60" t="n">
        <x:v>56.8051261138916</x:v>
      </x:c>
      <x:c r="AG15" s="60" t="n">
        <x:v>57.134217414855954</x:v>
      </x:c>
      <x:c r="AH15" s="60" t="n">
        <x:v>57.427873077392576</x:v>
      </x:c>
      <x:c r="AI15" s="60" t="n">
        <x:v>57.71657497406006</x:v>
      </x:c>
      <x:c r="AJ15" s="60" t="n">
        <x:v>57.99914321899414</x:v>
      </x:c>
      <x:c r="AK15" s="60" t="n">
        <x:v>58.28402252197265</x:v>
      </x:c>
      <x:c r="AL15" s="60" t="n">
        <x:v>58.55806015014648</x:v>
      </x:c>
      <x:c r="AM15" s="60" t="n">
        <x:v>58.82315444946289</x:v>
      </x:c>
      <x:c r="AN15" s="60" t="n">
        <x:v>59.05267417907715</x:v>
      </x:c>
      <x:c r="AO15" s="60" t="n">
        <x:v>59.31687679290771</x:v>
      </x:c>
      <x:c r="AP15" s="60" t="n">
        <x:v>59.608959350585934</x:v>
      </x:c>
      <x:c r="AQ15" s="60" t="n">
        <x:v>59.88229389190674</x:v>
      </x:c>
      <x:c r="AR15" s="60" t="n">
        <x:v>60.132203063964845</x:v>
      </x:c>
      <x:c r="AS15" s="60" t="n">
        <x:v>60.364883193969725</x:v>
      </x:c>
      <x:c r="AT15" s="60" t="n">
        <x:v>60.59516296386719</x:v>
      </x:c>
      <x:c r="AU15" s="60" t="n">
        <x:v>60.81133399963379</x:v>
      </x:c>
      <x:c r="AV15" s="60" t="n">
        <x:v>61.04670288085938</x:v>
      </x:c>
      <x:c r="AW15" s="60" t="n">
        <x:v>61.276322288513185</x:v>
      </x:c>
      <x:c r="AX15" s="60" t="n">
        <x:v>61.4857666015625</x:v>
      </x:c>
      <x:c r="AY15" s="60" t="n">
        <x:v>61.704322242736815</x:v>
      </x:c>
      <x:c r="AZ15" s="60" t="n">
        <x:v>61.96214874267578</x:v>
      </x:c>
      <x:c r="BA15" s="60" t="n">
        <x:v>62.1817423248291</x:v>
      </x:c>
      <x:c r="BB15" s="60" t="n">
        <x:v>62.41507446289062</x:v>
      </x:c>
      <x:c r="BC15" s="60" t="n">
        <x:v>62.64211585998535</x:v>
      </x:c>
      <x:c r="BD15" s="60" t="n">
        <x:v>62.88063430786133</x:v>
      </x:c>
      <x:c r="BE15" s="60" t="n">
        <x:v>63.132028884887696</x:v>
      </x:c>
      <x:c r="BF15" s="60" t="n">
        <x:v>63.33726577758789</x:v>
      </x:c>
      <x:c r="BG15" s="60" t="n">
        <x:v>63.57303409576416</x:v>
      </x:c>
      <x:c r="BH15" s="60" t="n">
        <x:v>63.80398895263672</x:v>
      </x:c>
      <x:c r="BI15" s="60" t="n">
        <x:v>64.02431564331054</x:v>
      </x:c>
      <x:c r="BJ15" s="60" t="n">
        <x:v>64.25313720703124</x:v>
      </x:c>
      <x:c r="BK15" s="60" t="n">
        <x:v>64.47637512207031</x:v>
      </x:c>
      <x:c r="BL15" s="60" t="n">
        <x:v>64.7081430053711</x:v>
      </x:c>
      <x:c r="BM15" s="60" t="n">
        <x:v>64.9254995727539</x:v>
      </x:c>
      <x:c r="BN15" s="60" t="n">
        <x:v>65.15499420166016</x:v>
      </x:c>
      <x:c r="BO15" s="60" t="n">
        <x:v>65.39815864562988</x:v>
      </x:c>
      <x:c r="BP15" s="60" t="n">
        <x:v>65.6436897277832</x:v>
      </x:c>
      <x:c r="BQ15" s="60" t="n">
        <x:v>65.8783031463623</x:v>
      </x:c>
      <x:c r="BR15" s="60" t="n">
        <x:v>66.11236755371094</x:v>
      </x:c>
      <x:c r="BS15" s="60" t="n">
        <x:v>66.35412368774413</x:v>
      </x:c>
      <x:c r="BT15" s="60" t="n">
        <x:v>66.58188201904296</x:v>
      </x:c>
      <x:c r="BU15" s="60" t="n">
        <x:v>66.8358982849121</x:v>
      </x:c>
      <x:c r="BV15" s="60" t="n">
        <x:v>67.05682495117188</x:v>
      </x:c>
      <x:c r="BW15" s="60" t="n">
        <x:v>67.29055282592773</x:v>
      </x:c>
      <x:c r="BX15" s="60" t="n">
        <x:v>67.47803802490235</x:v>
      </x:c>
      <x:c r="BY15" s="60" t="n">
        <x:v>67.71079124450684</x:v>
      </x:c>
      <x:c r="BZ15" s="60" t="n">
        <x:v>67.96229949951172</x:v>
      </x:c>
      <x:c r="CA15" s="60" t="n">
        <x:v>68.22628173828124</x:v>
      </x:c>
      <x:c r="CB15" s="60" t="n">
        <x:v>68.50559951782226</x:v>
      </x:c>
      <x:c r="CC15" s="60" t="n">
        <x:v>68.78091430664062</x:v>
      </x:c>
      <x:c r="CD15" s="60" t="n">
        <x:v>69.03824920654297</x:v>
      </x:c>
      <x:c r="CE15" s="60" t="n">
        <x:v>69.27899543762207</x:v>
      </x:c>
      <x:c r="CF15" s="60" t="n">
        <x:v>69.55897476196289</x:v>
      </x:c>
      <x:c r="CG15" s="60" t="n">
        <x:v>69.8436996459961</x:v>
      </x:c>
      <x:c r="CH15" s="60" t="n">
        <x:v>70.11979064941406</x:v>
      </x:c>
      <x:c r="CI15" s="60" t="n">
        <x:v>70.39076950073242</x:v>
      </x:c>
      <x:c r="CJ15" s="60" t="n">
        <x:v>70.66479385375976</x:v>
      </x:c>
      <x:c r="CK15" s="60" t="n">
        <x:v>70.99586174011232</x:v>
      </x:c>
      <x:c r="CL15" s="60" t="n">
        <x:v>71.31493896484375</x:v>
      </x:c>
      <x:c r="CM15" s="60" t="n">
        <x:v>71.64614028930663</x:v>
      </x:c>
      <x:c r="CN15" s="60" t="n">
        <x:v>72.00197708129882</x:v>
      </x:c>
      <x:c r="CO15" s="60" t="n">
        <x:v>72.37818664550781</x:v>
      </x:c>
      <x:c r="CP15" s="60" t="n">
        <x:v>72.77286193847655</x:v>
      </x:c>
      <x:c r="CQ15" s="60" t="n">
        <x:v>73.15138572692871</x:v>
      </x:c>
      <x:c r="CR15" s="60" t="n">
        <x:v>73.57224349975587</x:v>
      </x:c>
      <x:c r="CS15" s="60" t="n">
        <x:v>74.04136413574219</x:v>
      </x:c>
      <x:c r="CT15" s="60" t="n">
        <x:v>74.53549926757813</x:v>
      </x:c>
      <x:c r="CU15" s="60" t="n">
        <x:v>74.93337554931641</x:v>
      </x:c>
      <x:c r="CV15" s="60" t="n">
        <x:v>75.44354873657227</x:v>
      </x:c>
      <x:c r="CW15" s="60" t="n">
        <x:v>75.99476127624513</x:v>
      </x:c>
      <x:c r="CX15" s="60" t="n">
        <x:v>76.69446685791016</x:v>
      </x:c>
      <x:c r="CY15" s="60" t="n">
        <x:v>77.43044982910156</x:v>
      </x:c>
      <x:c r="CZ15" s="60" t="n">
        <x:v>78.58610229492189</x:v>
      </x:c>
      <x:c r="DA15" s="60" t="n">
        <x:v>80.13871368408202</x:v>
      </x:c>
      <x:c r="DB15" s="60" t="n">
        <x:v>86.60791778564453</x:v>
      </x:c>
    </x:row>
    <x:row r="16">
      <x:c r="A16" t="str">
        <x:v>ゲッコウガ-2</x:v>
      </x:c>
      <x:c r="B16" t="str">
        <x:v>ゲッコウガ</x:v>
      </x:c>
      <x:c r="C16" t="str">
        <x:v>なみのり</x:v>
      </x:c>
      <x:c r="D16" s="60" t="n">
        <x:v>62.07002639770508</x:v>
      </x:c>
      <x:c r="E16" s="60" t="n">
        <x:v>8.882229804992676</x:v>
      </x:c>
      <x:c r="F16" s="60" t="n">
        <x:v>32.42007827758789</x:v>
      </x:c>
      <x:c r="G16" s="60" t="n">
        <x:v>40.7061625289917</x:v>
      </x:c>
      <x:c r="H16" s="60" t="n">
        <x:v>42.891883544921875</x:v>
      </x:c>
      <x:c r="I16" s="60" t="n">
        <x:v>44.391384506225585</x:v>
      </x:c>
      <x:c r="J16" s="60" t="n">
        <x:v>45.71120101928711</x:v>
      </x:c>
      <x:c r="K16" s="60" t="n">
        <x:v>46.62688312530518</x:v>
      </x:c>
      <x:c r="L16" s="60" t="n">
        <x:v>47.42084396362305</x:v>
      </x:c>
      <x:c r="M16" s="60" t="n">
        <x:v>48.21246253967285</x:v>
      </x:c>
      <x:c r="N16" s="60" t="n">
        <x:v>48.93723541259766</x:v>
      </x:c>
      <x:c r="O16" s="60" t="n">
        <x:v>49.509067916870116</x:v>
      </x:c>
      <x:c r="P16" s="60" t="n">
        <x:v>50.03753433227539</x:v>
      </x:c>
      <x:c r="Q16" s="60" t="n">
        <x:v>50.57260467529297</x:v>
      </x:c>
      <x:c r="R16" s="60" t="n">
        <x:v>51.10332702636719</x:v>
      </x:c>
      <x:c r="S16" s="60" t="n">
        <x:v>51.57796108245849</x:v>
      </x:c>
      <x:c r="T16" s="60" t="n">
        <x:v>52.0116178894043</x:v>
      </x:c>
      <x:c r="U16" s="60" t="n">
        <x:v>52.434038162231445</x:v>
      </x:c>
      <x:c r="V16" s="60" t="n">
        <x:v>52.8380094909668</x:v>
      </x:c>
      <x:c r="W16" s="60" t="n">
        <x:v>53.21776378631592</x:v>
      </x:c>
      <x:c r="X16" s="60" t="n">
        <x:v>53.561198501586915</x:v>
      </x:c>
      <x:c r="Y16" s="60" t="n">
        <x:v>53.92754165649414</x:v>
      </x:c>
      <x:c r="Z16" s="60" t="n">
        <x:v>54.31965560913086</x:v>
      </x:c>
      <x:c r="AA16" s="60" t="n">
        <x:v>54.65010498046875</x:v>
      </x:c>
      <x:c r="AB16" s="60" t="n">
        <x:v>55.003137741088864</x:v>
      </x:c>
      <x:c r="AC16" s="60" t="n">
        <x:v>55.31016048431397</x:v>
      </x:c>
      <x:c r="AD16" s="60" t="n">
        <x:v>55.63090133666992</x:v>
      </x:c>
      <x:c r="AE16" s="60" t="n">
        <x:v>55.957064628601074</x:v>
      </x:c>
      <x:c r="AF16" s="60" t="n">
        <x:v>56.2666552734375</x:v>
      </x:c>
      <x:c r="AG16" s="60" t="n">
        <x:v>56.57088493347168</x:v>
      </x:c>
      <x:c r="AH16" s="60" t="n">
        <x:v>56.90483840942383</x:v>
      </x:c>
      <x:c r="AI16" s="60" t="n">
        <x:v>57.198589172363285</x:v>
      </x:c>
      <x:c r="AJ16" s="60" t="n">
        <x:v>57.49660949707031</x:v>
      </x:c>
      <x:c r="AK16" s="60" t="n">
        <x:v>57.78219795227051</x:v>
      </x:c>
      <x:c r="AL16" s="60" t="n">
        <x:v>58.07823501586914</x:v>
      </x:c>
      <x:c r="AM16" s="60" t="n">
        <x:v>58.335018730163576</x:v>
      </x:c>
      <x:c r="AN16" s="60" t="n">
        <x:v>58.6266357421875</x:v>
      </x:c>
      <x:c r="AO16" s="60" t="n">
        <x:v>58.88268871307373</x:v>
      </x:c>
      <x:c r="AP16" s="60" t="n">
        <x:v>59.14952651977539</x:v>
      </x:c>
      <x:c r="AQ16" s="60" t="n">
        <x:v>59.40287342071533</x:v>
      </x:c>
      <x:c r="AR16" s="60" t="n">
        <x:v>59.66650497436523</x:v>
      </x:c>
      <x:c r="AS16" s="60" t="n">
        <x:v>59.93743297576904</x:v>
      </x:c>
      <x:c r="AT16" s="60" t="n">
        <x:v>60.18590545654297</x:v>
      </x:c>
      <x:c r="AU16" s="60" t="n">
        <x:v>60.41276473999024</x:v>
      </x:c>
      <x:c r="AV16" s="60" t="n">
        <x:v>60.667977828979495</x:v>
      </x:c>
      <x:c r="AW16" s="60" t="n">
        <x:v>60.91815895080566</x:v>
      </x:c>
      <x:c r="AX16" s="60" t="n">
        <x:v>61.17411712646484</x:v>
      </x:c>
      <x:c r="AY16" s="60" t="n">
        <x:v>61.39637069702149</x:v>
      </x:c>
      <x:c r="AZ16" s="60" t="n">
        <x:v>61.632086029052736</x:v>
      </x:c>
      <x:c r="BA16" s="60" t="n">
        <x:v>61.88325786590576</x:v>
      </x:c>
      <x:c r="BB16" s="60" t="n">
        <x:v>62.13254287719727</x:v>
      </x:c>
      <x:c r="BC16" s="60" t="n">
        <x:v>62.376594924926756</x:v>
      </x:c>
      <x:c r="BD16" s="60" t="n">
        <x:v>62.599931716918945</x:v>
      </x:c>
      <x:c r="BE16" s="60" t="n">
        <x:v>62.8102571105957</x:v>
      </x:c>
      <x:c r="BF16" s="60" t="n">
        <x:v>63.023679656982424</x:v>
      </x:c>
      <x:c r="BG16" s="60" t="n">
        <x:v>63.27004997253418</x:v>
      </x:c>
      <x:c r="BH16" s="60" t="n">
        <x:v>63.51636741638184</x:v>
      </x:c>
      <x:c r="BI16" s="60" t="n">
        <x:v>63.7568998336792</x:v>
      </x:c>
      <x:c r="BJ16" s="60" t="n">
        <x:v>63.98404190063477</x:v>
      </x:c>
      <x:c r="BK16" s="60" t="n">
        <x:v>64.23422500610351</x:v>
      </x:c>
      <x:c r="BL16" s="60" t="n">
        <x:v>64.45999206542969</x:v>
      </x:c>
      <x:c r="BM16" s="60" t="n">
        <x:v>64.71164268493652</x:v>
      </x:c>
      <x:c r="BN16" s="60" t="n">
        <x:v>64.9523193359375</x:v>
      </x:c>
      <x:c r="BO16" s="60" t="n">
        <x:v>65.18548622131348</x:v>
      </x:c>
      <x:c r="BP16" s="60" t="n">
        <x:v>65.41811981201172</x:v>
      </x:c>
      <x:c r="BQ16" s="60" t="n">
        <x:v>65.6420524597168</x:v>
      </x:c>
      <x:c r="BR16" s="60" t="n">
        <x:v>65.89249938964844</x:v>
      </x:c>
      <x:c r="BS16" s="60" t="n">
        <x:v>66.13548774719239</x:v>
      </x:c>
      <x:c r="BT16" s="60" t="n">
        <x:v>66.3616633605957</x:v>
      </x:c>
      <x:c r="BU16" s="60" t="n">
        <x:v>66.59874389648438</x:v>
      </x:c>
      <x:c r="BV16" s="60" t="n">
        <x:v>66.83433715820313</x:v>
      </x:c>
      <x:c r="BW16" s="60" t="n">
        <x:v>67.09165466308593</x:v>
      </x:c>
      <x:c r="BX16" s="60" t="n">
        <x:v>67.33868942260743</x:v>
      </x:c>
      <x:c r="BY16" s="60" t="n">
        <x:v>67.59012817382812</x:v>
      </x:c>
      <x:c r="BZ16" s="60" t="n">
        <x:v>67.84272918701171</x:v>
      </x:c>
      <x:c r="CA16" s="60" t="n">
        <x:v>68.08297508239747</x:v>
      </x:c>
      <x:c r="CB16" s="60" t="n">
        <x:v>68.31767486572265</x:v>
      </x:c>
      <x:c r="CC16" s="60" t="n">
        <x:v>68.57586288452148</x:v>
      </x:c>
      <x:c r="CD16" s="60" t="n">
        <x:v>68.84929992675781</x:v>
      </x:c>
      <x:c r="CE16" s="60" t="n">
        <x:v>69.11899780273437</x:v>
      </x:c>
      <x:c r="CF16" s="60" t="n">
        <x:v>69.37757278442383</x:v>
      </x:c>
      <x:c r="CG16" s="60" t="n">
        <x:v>69.66979019165039</x:v>
      </x:c>
      <x:c r="CH16" s="60" t="n">
        <x:v>69.94277496337891</x:v>
      </x:c>
      <x:c r="CI16" s="60" t="n">
        <x:v>70.22074615478516</x:v>
      </x:c>
      <x:c r="CJ16" s="60" t="n">
        <x:v>70.51682266235352</x:v>
      </x:c>
      <x:c r="CK16" s="60" t="n">
        <x:v>70.84792488098145</x:v>
      </x:c>
      <x:c r="CL16" s="60" t="n">
        <x:v>71.15485992431641</x:v>
      </x:c>
      <x:c r="CM16" s="60" t="n">
        <x:v>71.49124298095703</x:v>
      </x:c>
      <x:c r="CN16" s="60" t="n">
        <x:v>71.85145965576172</x:v>
      </x:c>
      <x:c r="CO16" s="60" t="n">
        <x:v>72.17821853637696</x:v>
      </x:c>
      <x:c r="CP16" s="60" t="n">
        <x:v>72.55913208007813</x:v>
      </x:c>
      <x:c r="CQ16" s="60" t="n">
        <x:v>72.94685523986817</x:v>
      </x:c>
      <x:c r="CR16" s="60" t="n">
        <x:v>73.3663101196289</x:v>
      </x:c>
      <x:c r="CS16" s="60" t="n">
        <x:v>73.81216529846192</x:v>
      </x:c>
      <x:c r="CT16" s="60" t="n">
        <x:v>74.23806701660156</x:v>
      </x:c>
      <x:c r="CU16" s="60" t="n">
        <x:v>74.7166958618164</x:v>
      </x:c>
      <x:c r="CV16" s="60" t="n">
        <x:v>75.28947006225586</x:v>
      </x:c>
      <x:c r="CW16" s="60" t="n">
        <x:v>75.82338256835938</x:v>
      </x:c>
      <x:c r="CX16" s="60" t="n">
        <x:v>76.55747589111328</x:v>
      </x:c>
      <x:c r="CY16" s="60" t="n">
        <x:v>77.37919639587402</x:v>
      </x:c>
      <x:c r="CZ16" s="60" t="n">
        <x:v>78.23859420776368</x:v>
      </x:c>
      <x:c r="DA16" s="60" t="n">
        <x:v>79.67070114135741</x:v>
      </x:c>
      <x:c r="DB16" s="60" t="n">
        <x:v>85.80321502685547</x:v>
      </x:c>
    </x:row>
    <x:row r="17">
      <x:c r="A17" t="str">
        <x:v>サンダー-1</x:v>
      </x:c>
      <x:c r="B17" t="str">
        <x:v>サンダー</x:v>
      </x:c>
      <x:c r="C17" t="str">
        <x:v>共通</x:v>
      </x:c>
      <x:c r="D17" s="60" t="n">
        <x:v>63.74053192138672</x:v>
      </x:c>
      <x:c r="E17" s="60" t="n">
        <x:v>6.257815361022949</x:v>
      </x:c>
      <x:c r="F17" s="60" t="n">
        <x:v>40.057926177978516</x:v>
      </x:c>
      <x:c r="G17" s="60" t="n">
        <x:v>47.28857082366943</x:v>
      </x:c>
      <x:c r="H17" s="60" t="n">
        <x:v>49.23221458435059</x:v>
      </x:c>
      <x:c r="I17" s="60" t="n">
        <x:v>50.58477626800537</x:v>
      </x:c>
      <x:c r="J17" s="60" t="n">
        <x:v>51.57973266601562</x:v>
      </x:c>
      <x:c r="K17" s="60" t="n">
        <x:v>52.348078918457034</x:v>
      </x:c>
      <x:c r="L17" s="60" t="n">
        <x:v>52.986815490722655</x:v>
      </x:c>
      <x:c r="M17" s="60" t="n">
        <x:v>53.587461166381836</x:v>
      </x:c>
      <x:c r="N17" s="60" t="n">
        <x:v>54.18505615234375</x:v>
      </x:c>
      <x:c r="O17" s="60" t="n">
        <x:v>54.65924705505371</x:v>
      </x:c>
      <x:c r="P17" s="60" t="n">
        <x:v>55.09295387268067</x:v>
      </x:c>
      <x:c r="Q17" s="60" t="n">
        <x:v>55.50233024597168</x:v>
      </x:c>
      <x:c r="R17" s="60" t="n">
        <x:v>55.862828674316404</x:v>
      </x:c>
      <x:c r="S17" s="60" t="n">
        <x:v>56.26222610473633</x:v>
      </x:c>
      <x:c r="T17" s="60" t="n">
        <x:v>56.62135940551758</x:v>
      </x:c>
      <x:c r="U17" s="60" t="n">
        <x:v>56.96950492858887</x:v>
      </x:c>
      <x:c r="V17" s="60" t="n">
        <x:v>57.29327438354492</x:v>
      </x:c>
      <x:c r="W17" s="60" t="n">
        <x:v>57.59437034606933</x:v>
      </x:c>
      <x:c r="X17" s="60" t="n">
        <x:v>57.88982437133789</x:v>
      </x:c>
      <x:c r="Y17" s="60" t="n">
        <x:v>58.174502220153805</x:v>
      </x:c>
      <x:c r="Z17" s="60" t="n">
        <x:v>58.454315948486325</x:v>
      </x:c>
      <x:c r="AA17" s="60" t="n">
        <x:v>58.675206680297855</x:v>
      </x:c>
      <x:c r="AB17" s="60" t="n">
        <x:v>58.945532684326174</x:v>
      </x:c>
      <x:c r="AC17" s="60" t="n">
        <x:v>59.186349143981936</x:v>
      </x:c>
      <x:c r="AD17" s="60" t="n">
        <x:v>59.43732955932617</x:v>
      </x:c>
      <x:c r="AE17" s="60" t="n">
        <x:v>59.69974327087402</x:v>
      </x:c>
      <x:c r="AF17" s="60" t="n">
        <x:v>59.92830154418945</x:v>
      </x:c>
      <x:c r="AG17" s="60" t="n">
        <x:v>60.17011783599853</x:v>
      </x:c>
      <x:c r="AH17" s="60" t="n">
        <x:v>60.37062744140625</x:v>
      </x:c>
      <x:c r="AI17" s="60" t="n">
        <x:v>60.59701107025146</x:v>
      </x:c>
      <x:c r="AJ17" s="60" t="n">
        <x:v>60.81712455749512</x:v>
      </x:c>
      <x:c r="AK17" s="60" t="n">
        <x:v>61.01840438842773</x:v>
      </x:c>
      <x:c r="AL17" s="60" t="n">
        <x:v>61.233900756835936</x:v>
      </x:c>
      <x:c r="AM17" s="60" t="n">
        <x:v>61.44191730499268</x:v>
      </x:c>
      <x:c r="AN17" s="60" t="n">
        <x:v>61.6222176361084</x:v>
      </x:c>
      <x:c r="AO17" s="60" t="n">
        <x:v>61.82192459106445</x:v>
      </x:c>
      <x:c r="AP17" s="60" t="n">
        <x:v>62.02866317749023</x:v>
      </x:c>
      <x:c r="AQ17" s="60" t="n">
        <x:v>62.21601020812988</x:v>
      </x:c>
      <x:c r="AR17" s="60" t="n">
        <x:v>62.4034481048584</x:v>
      </x:c>
      <x:c r="AS17" s="60" t="n">
        <x:v>62.59298267364502</x:v>
      </x:c>
      <x:c r="AT17" s="60" t="n">
        <x:v>62.780120849609375</x:v>
      </x:c>
      <x:c r="AU17" s="60" t="n">
        <x:v>62.959326934814456</x:v>
      </x:c>
      <x:c r="AV17" s="60" t="n">
        <x:v>63.12053520202637</x:v>
      </x:c>
      <x:c r="AW17" s="60" t="n">
        <x:v>63.302932472229</x:v>
      </x:c>
      <x:c r="AX17" s="60" t="n">
        <x:v>63.47441635131836</x:v>
      </x:c>
      <x:c r="AY17" s="60" t="n">
        <x:v>63.652559471130374</x:v>
      </x:c>
      <x:c r="AZ17" s="60" t="n">
        <x:v>63.83634819030762</x:v>
      </x:c>
      <x:c r="BA17" s="60" t="n">
        <x:v>64.01592155456544</x:v>
      </x:c>
      <x:c r="BB17" s="60" t="n">
        <x:v>64.16429473876953</x:v>
      </x:c>
      <x:c r="BC17" s="60" t="n">
        <x:v>64.31677452087402</x:v>
      </x:c>
      <x:c r="BD17" s="60" t="n">
        <x:v>64.46774673461914</x:v>
      </x:c>
      <x:c r="BE17" s="60" t="n">
        <x:v>64.6233969116211</x:v>
      </x:c>
      <x:c r="BF17" s="60" t="n">
        <x:v>64.78258056640625</x:v>
      </x:c>
      <x:c r="BG17" s="60" t="n">
        <x:v>64.93519737243652</x:v>
      </x:c>
      <x:c r="BH17" s="60" t="n">
        <x:v>65.09494537353515</x:v>
      </x:c>
      <x:c r="BI17" s="60" t="n">
        <x:v>65.26298751831055</x:v>
      </x:c>
      <x:c r="BJ17" s="60" t="n">
        <x:v>65.41166320800781</x:v>
      </x:c>
      <x:c r="BK17" s="60" t="n">
        <x:v>65.57179527282715</x:v>
      </x:c>
      <x:c r="BL17" s="60" t="n">
        <x:v>65.72083847045899</x:v>
      </x:c>
      <x:c r="BM17" s="60" t="n">
        <x:v>65.87078247070312</x:v>
      </x:c>
      <x:c r="BN17" s="60" t="n">
        <x:v>66.02157592773438</x:v>
      </x:c>
      <x:c r="BO17" s="60" t="n">
        <x:v>66.17116035461426</x:v>
      </x:c>
      <x:c r="BP17" s="60" t="n">
        <x:v>66.31947341918945</x:v>
      </x:c>
      <x:c r="BQ17" s="60" t="n">
        <x:v>66.45441612243653</x:v>
      </x:c>
      <x:c r="BR17" s="60" t="n">
        <x:v>66.63197540283203</x:v>
      </x:c>
      <x:c r="BS17" s="60" t="n">
        <x:v>66.78082237243652</x:v>
      </x:c>
      <x:c r="BT17" s="60" t="n">
        <x:v>66.93322265625</x:v>
      </x:c>
      <x:c r="BU17" s="60" t="n">
        <x:v>67.10086311340332</x:v>
      </x:c>
      <x:c r="BV17" s="60" t="n">
        <x:v>67.26812591552735</x:v>
      </x:c>
      <x:c r="BW17" s="60" t="n">
        <x:v>67.46021347045898</x:v>
      </x:c>
      <x:c r="BX17" s="60" t="n">
        <x:v>67.61164627075196</x:v>
      </x:c>
      <x:c r="BY17" s="60" t="n">
        <x:v>67.78208404541016</x:v>
      </x:c>
      <x:c r="BZ17" s="60" t="n">
        <x:v>67.94814178466797</x:v>
      </x:c>
      <x:c r="CA17" s="60" t="n">
        <x:v>68.10542419433594</x:v>
      </x:c>
      <x:c r="CB17" s="60" t="n">
        <x:v>68.26432968139649</x:v>
      </x:c>
      <x:c r="CC17" s="60" t="n">
        <x:v>68.4286060333252</x:v>
      </x:c>
      <x:c r="CD17" s="60" t="n">
        <x:v>68.59616119384765</x:v>
      </x:c>
      <x:c r="CE17" s="60" t="n">
        <x:v>68.7755313873291</x:v>
      </x:c>
      <x:c r="CF17" s="60" t="n">
        <x:v>68.96448181152344</x:v>
      </x:c>
      <x:c r="CG17" s="60" t="n">
        <x:v>69.11872550964355</x:v>
      </x:c>
      <x:c r="CH17" s="60" t="n">
        <x:v>69.29099884033204</x:v>
      </x:c>
      <x:c r="CI17" s="60" t="n">
        <x:v>69.46440521240234</x:v>
      </x:c>
      <x:c r="CJ17" s="60" t="n">
        <x:v>69.63220993041992</x:v>
      </x:c>
      <x:c r="CK17" s="60" t="n">
        <x:v>69.82834381103515</x:v>
      </x:c>
      <x:c r="CL17" s="60" t="n">
        <x:v>70.02561950683594</x:v>
      </x:c>
      <x:c r="CM17" s="60" t="n">
        <x:v>70.23283805847169</x:v>
      </x:c>
      <x:c r="CN17" s="60" t="n">
        <x:v>70.44337753295899</x:v>
      </x:c>
      <x:c r="CO17" s="60" t="n">
        <x:v>70.6349308013916</x:v>
      </x:c>
      <x:c r="CP17" s="60" t="n">
        <x:v>70.83427032470703</x:v>
      </x:c>
      <x:c r="CQ17" s="60" t="n">
        <x:v>71.04020317077637</x:v>
      </x:c>
      <x:c r="CR17" s="60" t="n">
        <x:v>71.272802734375</x:v>
      </x:c>
      <x:c r="CS17" s="60" t="n">
        <x:v>71.52805236816407</x:v>
      </x:c>
      <x:c r="CT17" s="60" t="n">
        <x:v>71.80171295166015</x:v>
      </x:c>
      <x:c r="CU17" s="60" t="n">
        <x:v>72.13256607055663</x:v>
      </x:c>
      <x:c r="CV17" s="60" t="n">
        <x:v>72.42459930419922</x:v>
      </x:c>
      <x:c r="CW17" s="60" t="n">
        <x:v>72.73349075317383</x:v>
      </x:c>
      <x:c r="CX17" s="60" t="n">
        <x:v>73.08727783203125</x:v>
      </x:c>
      <x:c r="CY17" s="60" t="n">
        <x:v>73.50042488098144</x:v>
      </x:c>
      <x:c r="CZ17" s="60" t="n">
        <x:v>74.16668853759765</x:v>
      </x:c>
      <x:c r="DA17" s="60" t="n">
        <x:v>75.12068893432613</x:v>
      </x:c>
      <x:c r="DB17" s="60" t="n">
        <x:v>79.74868774414062</x:v>
      </x:c>
    </x:row>
    <x:row r="18">
      <x:c r="A18" t="str">
        <x:v>サーナイト-1</x:v>
      </x:c>
      <x:c r="B18" t="str">
        <x:v>サーナイト</x:v>
      </x:c>
      <x:c r="C18" t="str">
        <x:v>共通</x:v>
      </x:c>
      <x:c r="D18" s="60" t="n">
        <x:v>63.58781814575195</x:v>
      </x:c>
      <x:c r="E18" s="60" t="n">
        <x:v>5.928903102874756</x:v>
      </x:c>
      <x:c r="F18" s="60" t="n">
        <x:v>40.449100494384766</x:v>
      </x:c>
      <x:c r="G18" s="60" t="n">
        <x:v>47.86999641418457</x:v>
      </x:c>
      <x:c r="H18" s="60" t="n">
        <x:v>49.812080001831056</x:v>
      </x:c>
      <x:c r="I18" s="60" t="n">
        <x:v>51.13045757293701</x:v>
      </x:c>
      <x:c r="J18" s="60" t="n">
        <x:v>52.03408325195313</x:v>
      </x:c>
      <x:c r="K18" s="60" t="n">
        <x:v>52.79726734161377</x:v>
      </x:c>
      <x:c r="L18" s="60" t="n">
        <x:v>53.44288391113281</x:v>
      </x:c>
      <x:c r="M18" s="60" t="n">
        <x:v>53.98050998687744</x:v>
      </x:c>
      <x:c r="N18" s="60" t="n">
        <x:v>54.49260498046875</x:v>
      </x:c>
      <x:c r="O18" s="60" t="n">
        <x:v>54.97602886199951</x:v>
      </x:c>
      <x:c r="P18" s="60" t="n">
        <x:v>55.388245010375975</x:v>
      </x:c>
      <x:c r="Q18" s="60" t="n">
        <x:v>55.7689741897583</x:v>
      </x:c>
      <x:c r="R18" s="60" t="n">
        <x:v>56.11496109008789</x:v>
      </x:c>
      <x:c r="S18" s="60" t="n">
        <x:v>56.48323043823242</x:v>
      </x:c>
      <x:c r="T18" s="60" t="n">
        <x:v>56.85212532043457</x:v>
      </x:c>
      <x:c r="U18" s="60" t="n">
        <x:v>57.15962657928467</x:v>
      </x:c>
      <x:c r="V18" s="60" t="n">
        <x:v>57.46129486083984</x:v>
      </x:c>
      <x:c r="W18" s="60" t="n">
        <x:v>57.76181674957275</x:v>
      </x:c>
      <x:c r="X18" s="60" t="n">
        <x:v>58.02896492004395</x:v>
      </x:c>
      <x:c r="Y18" s="60" t="n">
        <x:v>58.314881820678714</x:v>
      </x:c>
      <x:c r="Z18" s="60" t="n">
        <x:v>58.57746200561523</x:v>
      </x:c>
      <x:c r="AA18" s="60" t="n">
        <x:v>58.830834503173826</x:v>
      </x:c>
      <x:c r="AB18" s="60" t="n">
        <x:v>59.08033065795898</x:v>
      </x:c>
      <x:c r="AC18" s="60" t="n">
        <x:v>59.315014381408695</x:v>
      </x:c>
      <x:c r="AD18" s="60" t="n">
        <x:v>59.54861602783203</x:v>
      </x:c>
      <x:c r="AE18" s="60" t="n">
        <x:v>59.77778911590576</x:v>
      </x:c>
      <x:c r="AF18" s="60" t="n">
        <x:v>59.97955062866211</x:v>
      </x:c>
      <x:c r="AG18" s="60" t="n">
        <x:v>60.19775321960449</x:v>
      </x:c>
      <x:c r="AH18" s="60" t="n">
        <x:v>60.42115615844727</x:v>
      </x:c>
      <x:c r="AI18" s="60" t="n">
        <x:v>60.64690670013428</x:v>
      </x:c>
      <x:c r="AJ18" s="60" t="n">
        <x:v>60.847161865234376</x:v>
      </x:c>
      <x:c r="AK18" s="60" t="n">
        <x:v>61.05356132507324</x:v>
      </x:c>
      <x:c r="AL18" s="60" t="n">
        <x:v>61.24088851928711</x:v>
      </x:c>
      <x:c r="AM18" s="60" t="n">
        <x:v>61.46423759460449</x:v>
      </x:c>
      <x:c r="AN18" s="60" t="n">
        <x:v>61.65020729064941</x:v>
      </x:c>
      <x:c r="AO18" s="60" t="n">
        <x:v>61.82956829071045</x:v>
      </x:c>
      <x:c r="AP18" s="60" t="n">
        <x:v>61.993265838623046</x:v>
      </x:c>
      <x:c r="AQ18" s="60" t="n">
        <x:v>62.16640365600586</x:v>
      </x:c>
      <x:c r="AR18" s="60" t="n">
        <x:v>62.34793914794922</x:v>
      </x:c>
      <x:c r="AS18" s="60" t="n">
        <x:v>62.54289821624756</x:v>
      </x:c>
      <x:c r="AT18" s="60" t="n">
        <x:v>62.69715576171875</x:v>
      </x:c>
      <x:c r="AU18" s="60" t="n">
        <x:v>62.86016532897949</x:v>
      </x:c>
      <x:c r="AV18" s="60" t="n">
        <x:v>63.027692031860354</x:v>
      </x:c>
      <x:c r="AW18" s="60" t="n">
        <x:v>63.21296131134033</x:v>
      </x:c>
      <x:c r="AX18" s="60" t="n">
        <x:v>63.376905364990236</x:v>
      </x:c>
      <x:c r="AY18" s="60" t="n">
        <x:v>63.547321510314944</x:v>
      </x:c>
      <x:c r="AZ18" s="60" t="n">
        <x:v>63.69749221801758</x:v>
      </x:c>
      <x:c r="BA18" s="60" t="n">
        <x:v>63.85811752319336</x:v>
      </x:c>
      <x:c r="BB18" s="60" t="n">
        <x:v>64.01073364257813</x:v>
      </x:c>
      <x:c r="BC18" s="60" t="n">
        <x:v>64.15337104797364</x:v>
      </x:c>
      <x:c r="BD18" s="60" t="n">
        <x:v>64.29421615600586</x:v>
      </x:c>
      <x:c r="BE18" s="60" t="n">
        <x:v>64.4356935119629</x:v>
      </x:c>
      <x:c r="BF18" s="60" t="n">
        <x:v>64.5801904296875</x:v>
      </x:c>
      <x:c r="BG18" s="60" t="n">
        <x:v>64.71389678955079</x:v>
      </x:c>
      <x:c r="BH18" s="60" t="n">
        <x:v>64.8541390991211</x:v>
      </x:c>
      <x:c r="BI18" s="60" t="n">
        <x:v>65.02278442382813</x:v>
      </x:c>
      <x:c r="BJ18" s="60" t="n">
        <x:v>65.17758056640625</x:v>
      </x:c>
      <x:c r="BK18" s="60" t="n">
        <x:v>65.32796752929687</x:v>
      </x:c>
      <x:c r="BL18" s="60" t="n">
        <x:v>65.47322326660156</x:v>
      </x:c>
      <x:c r="BM18" s="60" t="n">
        <x:v>65.60985061645508</x:v>
      </x:c>
      <x:c r="BN18" s="60" t="n">
        <x:v>65.74224243164062</x:v>
      </x:c>
      <x:c r="BO18" s="60" t="n">
        <x:v>65.87219551086426</x:v>
      </x:c>
      <x:c r="BP18" s="60" t="n">
        <x:v>66.03223602294922</x:v>
      </x:c>
      <x:c r="BQ18" s="60" t="n">
        <x:v>66.18614097595214</x:v>
      </x:c>
      <x:c r="BR18" s="60" t="n">
        <x:v>66.33204895019531</x:v>
      </x:c>
      <x:c r="BS18" s="60" t="n">
        <x:v>66.47247085571288</x:v>
      </x:c>
      <x:c r="BT18" s="60" t="n">
        <x:v>66.61966232299805</x:v>
      </x:c>
      <x:c r="BU18" s="60" t="n">
        <x:v>66.7647924041748</x:v>
      </x:c>
      <x:c r="BV18" s="60" t="n">
        <x:v>66.91804077148437</x:v>
      </x:c>
      <x:c r="BW18" s="60" t="n">
        <x:v>67.06385459899903</x:v>
      </x:c>
      <x:c r="BX18" s="60" t="n">
        <x:v>67.22775039672851</x:v>
      </x:c>
      <x:c r="BY18" s="60" t="n">
        <x:v>67.39573188781738</x:v>
      </x:c>
      <x:c r="BZ18" s="60" t="n">
        <x:v>67.55152801513673</x:v>
      </x:c>
      <x:c r="CA18" s="60" t="n">
        <x:v>67.70298591613769</x:v>
      </x:c>
      <x:c r="CB18" s="60" t="n">
        <x:v>67.85851119995117</x:v>
      </x:c>
      <x:c r="CC18" s="60" t="n">
        <x:v>68.01647567749023</x:v>
      </x:c>
      <x:c r="CD18" s="60" t="n">
        <x:v>68.15160614013672</x:v>
      </x:c>
      <x:c r="CE18" s="60" t="n">
        <x:v>68.33385734558105</x:v>
      </x:c>
      <x:c r="CF18" s="60" t="n">
        <x:v>68.50569046020507</x:v>
      </x:c>
      <x:c r="CG18" s="60" t="n">
        <x:v>68.67496971130372</x:v>
      </x:c>
      <x:c r="CH18" s="60" t="n">
        <x:v>68.84861450195312</x:v>
      </x:c>
      <x:c r="CI18" s="60" t="n">
        <x:v>69.02237091064453</x:v>
      </x:c>
      <x:c r="CJ18" s="60" t="n">
        <x:v>69.18455062866211</x:v>
      </x:c>
      <x:c r="CK18" s="60" t="n">
        <x:v>69.35054595947265</x:v>
      </x:c>
      <x:c r="CL18" s="60" t="n">
        <x:v>69.5075390625</x:v>
      </x:c>
      <x:c r="CM18" s="60" t="n">
        <x:v>69.69138565063476</x:v>
      </x:c>
      <x:c r="CN18" s="60" t="n">
        <x:v>69.88331649780274</x:v>
      </x:c>
      <x:c r="CO18" s="60" t="n">
        <x:v>70.07741638183595</x:v>
      </x:c>
      <x:c r="CP18" s="60" t="n">
        <x:v>70.27889587402343</x:v>
      </x:c>
      <x:c r="CQ18" s="60" t="n">
        <x:v>70.48116836547851</x:v>
      </x:c>
      <x:c r="CR18" s="60" t="n">
        <x:v>70.72788543701172</x:v>
      </x:c>
      <x:c r="CS18" s="60" t="n">
        <x:v>70.95101364135742</x:v>
      </x:c>
      <x:c r="CT18" s="60" t="n">
        <x:v>71.20199615478516</x:v>
      </x:c>
      <x:c r="CU18" s="60" t="n">
        <x:v>71.47479988098145</x:v>
      </x:c>
      <x:c r="CV18" s="60" t="n">
        <x:v>71.74493194580079</x:v>
      </x:c>
      <x:c r="CW18" s="60" t="n">
        <x:v>72.10991744995117</x:v>
      </x:c>
      <x:c r="CX18" s="60" t="n">
        <x:v>72.48028869628907</x:v>
      </x:c>
      <x:c r="CY18" s="60" t="n">
        <x:v>72.93666610717773</x:v>
      </x:c>
      <x:c r="CZ18" s="60" t="n">
        <x:v>73.46399551391602</x:v>
      </x:c>
      <x:c r="DA18" s="60" t="n">
        <x:v>74.41055587768554</x:v>
      </x:c>
      <x:c r="DB18" s="60" t="n">
        <x:v>78.2496337890625</x:v>
      </x:c>
    </x:row>
    <x:row r="19">
      <x:c r="A19" t="str">
        <x:v>シャンデラ-1</x:v>
      </x:c>
      <x:c r="B19" t="str">
        <x:v>シャンデラ</x:v>
      </x:c>
      <x:c r="C19" t="str">
        <x:v>共通</x:v>
      </x:c>
      <x:c r="D19" s="60" t="n">
        <x:v>63.851898193359375</x:v>
      </x:c>
      <x:c r="E19" s="60" t="n">
        <x:v>6.853034973144531</x:v>
      </x:c>
      <x:c r="F19" s="60" t="n">
        <x:v>37.785911560058594</x:v>
      </x:c>
      <x:c r="G19" s="60" t="n">
        <x:v>45.94592170715332</x:v>
      </x:c>
      <x:c r="H19" s="60" t="n">
        <x:v>48.090477828979495</x:v>
      </x:c>
      <x:c r="I19" s="60" t="n">
        <x:v>49.53238372802734</x:v>
      </x:c>
      <x:c r="J19" s="60" t="n">
        <x:v>50.583836517333985</x:v>
      </x:c>
      <x:c r="K19" s="60" t="n">
        <x:v>51.478119659423825</x:v>
      </x:c>
      <x:c r="L19" s="60" t="n">
        <x:v>52.171286239624024</x:v>
      </x:c>
      <x:c r="M19" s="60" t="n">
        <x:v>52.793367042541504</x:v>
      </x:c>
      <x:c r="N19" s="60" t="n">
        <x:v>53.36001159667969</x:v>
      </x:c>
      <x:c r="O19" s="60" t="n">
        <x:v>53.92761787414551</x:v>
      </x:c>
      <x:c r="P19" s="60" t="n">
        <x:v>54.37101402282715</x:v>
      </x:c>
      <x:c r="Q19" s="60" t="n">
        <x:v>54.7780948638916</x:v>
      </x:c>
      <x:c r="R19" s="60" t="n">
        <x:v>55.22229843139648</x:v>
      </x:c>
      <x:c r="S19" s="60" t="n">
        <x:v>55.61984748840332</x:v>
      </x:c>
      <x:c r="T19" s="60" t="n">
        <x:v>55.958956451416014</x:v>
      </x:c>
      <x:c r="U19" s="60" t="n">
        <x:v>56.375993156433104</x:v>
      </x:c>
      <x:c r="V19" s="60" t="n">
        <x:v>56.73028457641602</x:v>
      </x:c>
      <x:c r="W19" s="60" t="n">
        <x:v>57.08433223724365</x:v>
      </x:c>
      <x:c r="X19" s="60" t="n">
        <x:v>57.41182067871094</x:v>
      </x:c>
      <x:c r="Y19" s="60" t="n">
        <x:v>57.705124397277835</x:v>
      </x:c>
      <x:c r="Z19" s="60" t="n">
        <x:v>58.00355987548828</x:v>
      </x:c>
      <x:c r="AA19" s="60" t="n">
        <x:v>58.25859703063965</x:v>
      </x:c>
      <x:c r="AB19" s="60" t="n">
        <x:v>58.57349151611328</x:v>
      </x:c>
      <x:c r="AC19" s="60" t="n">
        <x:v>58.83903411865234</x:v>
      </x:c>
      <x:c r="AD19" s="60" t="n">
        <x:v>59.107142486572265</x:v>
      </x:c>
      <x:c r="AE19" s="60" t="n">
        <x:v>59.35964012145996</x:v>
      </x:c>
      <x:c r="AF19" s="60" t="n">
        <x:v>59.62589164733887</x:v>
      </x:c>
      <x:c r="AG19" s="60" t="n">
        <x:v>59.920901184082034</x:v>
      </x:c>
      <x:c r="AH19" s="60" t="n">
        <x:v>60.18910614013672</x:v>
      </x:c>
      <x:c r="AI19" s="60" t="n">
        <x:v>60.42909343719482</x:v>
      </x:c>
      <x:c r="AJ19" s="60" t="n">
        <x:v>60.66763610839844</x:v>
      </x:c>
      <x:c r="AK19" s="60" t="n">
        <x:v>60.89779174804688</x:v>
      </x:c>
      <x:c r="AL19" s="60" t="n">
        <x:v>61.10114059448242</x:v>
      </x:c>
      <x:c r="AM19" s="60" t="n">
        <x:v>61.32459224700928</x:v>
      </x:c>
      <x:c r="AN19" s="60" t="n">
        <x:v>61.516924438476565</x:v>
      </x:c>
      <x:c r="AO19" s="60" t="n">
        <x:v>61.71783561706543</x:v>
      </x:c>
      <x:c r="AP19" s="60" t="n">
        <x:v>61.92974899291992</x:v>
      </x:c>
      <x:c r="AQ19" s="60" t="n">
        <x:v>62.12217479705811</x:v>
      </x:c>
      <x:c r="AR19" s="60" t="n">
        <x:v>62.355712890625</x:v>
      </x:c>
      <x:c r="AS19" s="60" t="n">
        <x:v>62.56727043151856</x:v>
      </x:c>
      <x:c r="AT19" s="60" t="n">
        <x:v>62.789006042480466</x:v>
      </x:c>
      <x:c r="AU19" s="60" t="n">
        <x:v>62.96500541687012</x:v>
      </x:c>
      <x:c r="AV19" s="60" t="n">
        <x:v>63.15441139221191</x:v>
      </x:c>
      <x:c r="AW19" s="60" t="n">
        <x:v>63.34805568695069</x:v>
      </x:c>
      <x:c r="AX19" s="60" t="n">
        <x:v>63.54011749267578</x:v>
      </x:c>
      <x:c r="AY19" s="60" t="n">
        <x:v>63.74112129211426</x:v>
      </x:c>
      <x:c r="AZ19" s="60" t="n">
        <x:v>63.91548278808594</x:v>
      </x:c>
      <x:c r="BA19" s="60" t="n">
        <x:v>64.09126556396484</x:v>
      </x:c>
      <x:c r="BB19" s="60" t="n">
        <x:v>64.26665008544921</x:v>
      </x:c>
      <x:c r="BC19" s="60" t="n">
        <x:v>64.43246887207032</x:v>
      </x:c>
      <x:c r="BD19" s="60" t="n">
        <x:v>64.61597061157227</x:v>
      </x:c>
      <x:c r="BE19" s="60" t="n">
        <x:v>64.80373794555663</x:v>
      </x:c>
      <x:c r="BF19" s="60" t="n">
        <x:v>64.96120391845703</x:v>
      </x:c>
      <x:c r="BG19" s="60" t="n">
        <x:v>65.14086334228516</x:v>
      </x:c>
      <x:c r="BH19" s="60" t="n">
        <x:v>65.31885696411133</x:v>
      </x:c>
      <x:c r="BI19" s="60" t="n">
        <x:v>65.49507484436035</x:v>
      </x:c>
      <x:c r="BJ19" s="60" t="n">
        <x:v>65.66126525878906</x:v>
      </x:c>
      <x:c r="BK19" s="60" t="n">
        <x:v>65.85174293518067</x:v>
      </x:c>
      <x:c r="BL19" s="60" t="n">
        <x:v>66.01147338867187</x:v>
      </x:c>
      <x:c r="BM19" s="60" t="n">
        <x:v>66.16827453613281</x:v>
      </x:c>
      <x:c r="BN19" s="60" t="n">
        <x:v>66.32308502197266</x:v>
      </x:c>
      <x:c r="BO19" s="60" t="n">
        <x:v>66.51077758789063</x:v>
      </x:c>
      <x:c r="BP19" s="60" t="n">
        <x:v>66.68378265380859</x:v>
      </x:c>
      <x:c r="BQ19" s="60" t="n">
        <x:v>66.85714569091797</x:v>
      </x:c>
      <x:c r="BR19" s="60" t="n">
        <x:v>67.02133483886719</x:v>
      </x:c>
      <x:c r="BS19" s="60" t="n">
        <x:v>67.20346755981446</x:v>
      </x:c>
      <x:c r="BT19" s="60" t="n">
        <x:v>67.37388763427734</x:v>
      </x:c>
      <x:c r="BU19" s="60" t="n">
        <x:v>67.5477562713623</x:v>
      </x:c>
      <x:c r="BV19" s="60" t="n">
        <x:v>67.71232696533204</x:v>
      </x:c>
      <x:c r="BW19" s="60" t="n">
        <x:v>67.90397186279297</x:v>
      </x:c>
      <x:c r="BX19" s="60" t="n">
        <x:v>68.0674835205078</x:v>
      </x:c>
      <x:c r="BY19" s="60" t="n">
        <x:v>68.24375053405761</x:v>
      </x:c>
      <x:c r="BZ19" s="60" t="n">
        <x:v>68.41882995605468</x:v>
      </x:c>
      <x:c r="CA19" s="60" t="n">
        <x:v>68.5942918395996</x:v>
      </x:c>
      <x:c r="CB19" s="60" t="n">
        <x:v>68.77731689453125</x:v>
      </x:c>
      <x:c r="CC19" s="60" t="n">
        <x:v>68.96434020996094</x:v>
      </x:c>
      <x:c r="CD19" s="60" t="n">
        <x:v>69.1607080078125</x:v>
      </x:c>
      <x:c r="CE19" s="60" t="n">
        <x:v>69.33737098693848</x:v>
      </x:c>
      <x:c r="CF19" s="60" t="n">
        <x:v>69.55286682128906</x:v>
      </x:c>
      <x:c r="CG19" s="60" t="n">
        <x:v>69.73734283447266</x:v>
      </x:c>
      <x:c r="CH19" s="60" t="n">
        <x:v>69.93852386474609</x:v>
      </x:c>
      <x:c r="CI19" s="60" t="n">
        <x:v>70.14759552001954</x:v>
      </x:c>
      <x:c r="CJ19" s="60" t="n">
        <x:v>70.34272125244141</x:v>
      </x:c>
      <x:c r="CK19" s="60" t="n">
        <x:v>70.52337295532227</x:v>
      </x:c>
      <x:c r="CL19" s="60" t="n">
        <x:v>70.74748931884766</x:v>
      </x:c>
      <x:c r="CM19" s="60" t="n">
        <x:v>70.95769157409669</x:v>
      </x:c>
      <x:c r="CN19" s="60" t="n">
        <x:v>71.18269165039062</x:v>
      </x:c>
      <x:c r="CO19" s="60" t="n">
        <x:v>71.38911697387695</x:v>
      </x:c>
      <x:c r="CP19" s="60" t="n">
        <x:v>71.62451171875</x:v>
      </x:c>
      <x:c r="CQ19" s="60" t="n">
        <x:v>71.88020599365235</x:v>
      </x:c>
      <x:c r="CR19" s="60" t="n">
        <x:v>72.15005569458009</x:v>
      </x:c>
      <x:c r="CS19" s="60" t="n">
        <x:v>72.4384790802002</x:v>
      </x:c>
      <x:c r="CT19" s="60" t="n">
        <x:v>72.729736328125</x:v>
      </x:c>
      <x:c r="CU19" s="60" t="n">
        <x:v>73.0212321472168</x:v>
      </x:c>
      <x:c r="CV19" s="60" t="n">
        <x:v>73.35783447265625</x:v>
      </x:c>
      <x:c r="CW19" s="60" t="n">
        <x:v>73.75834960937502</x:v>
      </x:c>
      <x:c r="CX19" s="60" t="n">
        <x:v>74.20081817626954</x:v>
      </x:c>
      <x:c r="CY19" s="60" t="n">
        <x:v>74.72399345397949</x:v>
      </x:c>
      <x:c r="CZ19" s="60" t="n">
        <x:v>75.37083236694336</x:v>
      </x:c>
      <x:c r="DA19" s="60" t="n">
        <x:v>76.43988677978514</x:v>
      </x:c>
      <x:c r="DB19" s="60" t="n">
        <x:v>81.11812591552734</x:v>
      </x:c>
    </x:row>
    <x:row r="20">
      <x:c r="A20" t="str">
        <x:v>ジュナイパー-1</x:v>
      </x:c>
      <x:c r="B20" t="str">
        <x:v>ジュナイパー</x:v>
      </x:c>
      <x:c r="C20" t="str">
        <x:v>かげぬい</x:v>
      </x:c>
      <x:c r="D20" s="60" t="n">
        <x:v>61.44784927368164</x:v>
      </x:c>
      <x:c r="E20" s="60" t="n">
        <x:v>7.354030609130859</x:v>
      </x:c>
      <x:c r="F20" s="60" t="n">
        <x:v>34.74778366088867</x:v>
      </x:c>
      <x:c r="G20" s="60" t="n">
        <x:v>43.47677837371826</x:v>
      </x:c>
      <x:c r="H20" s="60" t="n">
        <x:v>45.34059364318848</x:v>
      </x:c>
      <x:c r="I20" s="60" t="n">
        <x:v>46.737366943359376</x:v>
      </x:c>
      <x:c r="J20" s="60" t="n">
        <x:v>47.71743240356445</x:v>
      </x:c>
      <x:c r="K20" s="60" t="n">
        <x:v>48.606920051574704</x:v>
      </x:c>
      <x:c r="L20" s="60" t="n">
        <x:v>49.283211135864256</x:v>
      </x:c>
      <x:c r="M20" s="60" t="n">
        <x:v>49.921140594482424</x:v>
      </x:c>
      <x:c r="N20" s="60" t="n">
        <x:v>50.513402709960936</x:v>
      </x:c>
      <x:c r="O20" s="60" t="n">
        <x:v>50.98068378448486</x:v>
      </x:c>
      <x:c r="P20" s="60" t="n">
        <x:v>51.50937919616699</x:v>
      </x:c>
      <x:c r="Q20" s="60" t="n">
        <x:v>51.97109340667725</x:v>
      </x:c>
      <x:c r="R20" s="60" t="n">
        <x:v>52.37297012329102</x:v>
      </x:c>
      <x:c r="S20" s="60" t="n">
        <x:v>52.77687301635742</x:v>
      </x:c>
      <x:c r="T20" s="60" t="n">
        <x:v>53.17009353637695</x:v>
      </x:c>
      <x:c r="U20" s="60" t="n">
        <x:v>53.527581214904785</x:v>
      </x:c>
      <x:c r="V20" s="60" t="n">
        <x:v>53.874850006103514</x:v>
      </x:c>
      <x:c r="W20" s="60" t="n">
        <x:v>54.210023460388186</x:v>
      </x:c>
      <x:c r="X20" s="60" t="n">
        <x:v>54.50188186645508</x:v>
      </x:c>
      <x:c r="Y20" s="60" t="n">
        <x:v>54.83749217987061</x:v>
      </x:c>
      <x:c r="Z20" s="60" t="n">
        <x:v>55.14310989379883</x:v>
      </x:c>
      <x:c r="AA20" s="60" t="n">
        <x:v>55.41854156494141</x:v>
      </x:c>
      <x:c r="AB20" s="60" t="n">
        <x:v>55.69077842712402</x:v>
      </x:c>
      <x:c r="AC20" s="60" t="n">
        <x:v>55.92577919006348</x:v>
      </x:c>
      <x:c r="AD20" s="60" t="n">
        <x:v>56.17572204589844</x:v>
      </x:c>
      <x:c r="AE20" s="60" t="n">
        <x:v>56.4131383895874</x:v>
      </x:c>
      <x:c r="AF20" s="60" t="n">
        <x:v>56.6962825012207</x:v>
      </x:c>
      <x:c r="AG20" s="60" t="n">
        <x:v>56.97760330200195</x:v>
      </x:c>
      <x:c r="AH20" s="60" t="n">
        <x:v>57.24354858398438</x:v>
      </x:c>
      <x:c r="AI20" s="60" t="n">
        <x:v>57.49169551849365</x:v>
      </x:c>
      <x:c r="AJ20" s="60" t="n">
        <x:v>57.75516815185547</x:v>
      </x:c>
      <x:c r="AK20" s="60" t="n">
        <x:v>57.95992000579834</x:v>
      </x:c>
      <x:c r="AL20" s="60" t="n">
        <x:v>58.18606002807617</x:v>
      </x:c>
      <x:c r="AM20" s="60" t="n">
        <x:v>58.434206199646</x:v>
      </x:c>
      <x:c r="AN20" s="60" t="n">
        <x:v>58.66434043884277</x:v>
      </x:c>
      <x:c r="AO20" s="60" t="n">
        <x:v>58.88357219696045</x:v>
      </x:c>
      <x:c r="AP20" s="60" t="n">
        <x:v>59.10225296020508</x:v>
      </x:c>
      <x:c r="AQ20" s="60" t="n">
        <x:v>59.30081657409668</x:v>
      </x:c>
      <x:c r="AR20" s="60" t="n">
        <x:v>59.5027783203125</x:v>
      </x:c>
      <x:c r="AS20" s="60" t="n">
        <x:v>59.71723232269287</x:v>
      </x:c>
      <x:c r="AT20" s="60" t="n">
        <x:v>59.93017730712891</x:v>
      </x:c>
      <x:c r="AU20" s="60" t="n">
        <x:v>60.152141075134274</x:v>
      </x:c>
      <x:c r="AV20" s="60" t="n">
        <x:v>60.35117904663086</x:v>
      </x:c>
      <x:c r="AW20" s="60" t="n">
        <x:v>60.54328159332275</x:v>
      </x:c>
      <x:c r="AX20" s="60" t="n">
        <x:v>60.77480102539062</x:v>
      </x:c>
      <x:c r="AY20" s="60" t="n">
        <x:v>60.97757759094238</x:v>
      </x:c>
      <x:c r="AZ20" s="60" t="n">
        <x:v>61.15960807800293</x:v>
      </x:c>
      <x:c r="BA20" s="60" t="n">
        <x:v>61.3490121459961</x:v>
      </x:c>
      <x:c r="BB20" s="60" t="n">
        <x:v>61.55357391357422</x:v>
      </x:c>
      <x:c r="BC20" s="60" t="n">
        <x:v>61.73947734832764</x:v>
      </x:c>
      <x:c r="BD20" s="60" t="n">
        <x:v>61.946672439575195</x:v>
      </x:c>
      <x:c r="BE20" s="60" t="n">
        <x:v>62.1331107711792</x:v>
      </x:c>
      <x:c r="BF20" s="60" t="n">
        <x:v>62.333499603271484</x:v>
      </x:c>
      <x:c r="BG20" s="60" t="n">
        <x:v>62.52498699188232</x:v>
      </x:c>
      <x:c r="BH20" s="60" t="n">
        <x:v>62.68601097106934</x:v>
      </x:c>
      <x:c r="BI20" s="60" t="n">
        <x:v>62.887549781799315</x:v>
      </x:c>
      <x:c r="BJ20" s="60" t="n">
        <x:v>63.06303985595703</x:v>
      </x:c>
      <x:c r="BK20" s="60" t="n">
        <x:v>63.254449691772464</x:v>
      </x:c>
      <x:c r="BL20" s="60" t="n">
        <x:v>63.453771896362305</x:v>
      </x:c>
      <x:c r="BM20" s="60" t="n">
        <x:v>63.643002090454104</x:v>
      </x:c>
      <x:c r="BN20" s="60" t="n">
        <x:v>63.85070953369141</x:v>
      </x:c>
      <x:c r="BO20" s="60" t="n">
        <x:v>64.03674461364746</x:v>
      </x:c>
      <x:c r="BP20" s="60" t="n">
        <x:v>64.22970367431641</x:v>
      </x:c>
      <x:c r="BQ20" s="60" t="n">
        <x:v>64.40651824951172</x:v>
      </x:c>
      <x:c r="BR20" s="60" t="n">
        <x:v>64.5870864868164</x:v>
      </x:c>
      <x:c r="BS20" s="60" t="n">
        <x:v>64.77008666992188</x:v>
      </x:c>
      <x:c r="BT20" s="60" t="n">
        <x:v>64.94705856323242</x:v>
      </x:c>
      <x:c r="BU20" s="60" t="n">
        <x:v>65.16712928771973</x:v>
      </x:c>
      <x:c r="BV20" s="60" t="n">
        <x:v>65.35486419677734</x:v>
      </x:c>
      <x:c r="BW20" s="60" t="n">
        <x:v>65.56999038696289</x:v>
      </x:c>
      <x:c r="BX20" s="60" t="n">
        <x:v>65.77040100097656</x:v>
      </x:c>
      <x:c r="BY20" s="60" t="n">
        <x:v>65.96827743530274</x:v>
      </x:c>
      <x:c r="BZ20" s="60" t="n">
        <x:v>66.14626892089844</x:v>
      </x:c>
      <x:c r="CA20" s="60" t="n">
        <x:v>66.3804679107666</x:v>
      </x:c>
      <x:c r="CB20" s="60" t="n">
        <x:v>66.5791325378418</x:v>
      </x:c>
      <x:c r="CC20" s="60" t="n">
        <x:v>66.79019355773926</x:v>
      </x:c>
      <x:c r="CD20" s="60" t="n">
        <x:v>67.01315032958985</x:v>
      </x:c>
      <x:c r="CE20" s="60" t="n">
        <x:v>67.2226944732666</x:v>
      </x:c>
      <x:c r="CF20" s="60" t="n">
        <x:v>67.45906280517578</x:v>
      </x:c>
      <x:c r="CG20" s="60" t="n">
        <x:v>67.69504692077636</x:v>
      </x:c>
      <x:c r="CH20" s="60" t="n">
        <x:v>67.91685943603515</x:v>
      </x:c>
      <x:c r="CI20" s="60" t="n">
        <x:v>68.15066993713378</x:v>
      </x:c>
      <x:c r="CJ20" s="60" t="n">
        <x:v>68.39981292724609</x:v>
      </x:c>
      <x:c r="CK20" s="60" t="n">
        <x:v>68.65540748596192</x:v>
      </x:c>
      <x:c r="CL20" s="60" t="n">
        <x:v>68.92265380859375</x:v>
      </x:c>
      <x:c r="CM20" s="60" t="n">
        <x:v>69.17991485595704</x:v>
      </x:c>
      <x:c r="CN20" s="60" t="n">
        <x:v>69.45923599243164</x:v>
      </x:c>
      <x:c r="CO20" s="60" t="n">
        <x:v>69.7136792755127</x:v>
      </x:c>
      <x:c r="CP20" s="60" t="n">
        <x:v>70.01815338134764</x:v>
      </x:c>
      <x:c r="CQ20" s="60" t="n">
        <x:v>70.33813278198242</x:v>
      </x:c>
      <x:c r="CR20" s="60" t="n">
        <x:v>70.68329162597658</x:v>
      </x:c>
      <x:c r="CS20" s="60" t="n">
        <x:v>71.04645751953124</x:v>
      </x:c>
      <x:c r="CT20" s="60" t="n">
        <x:v>71.4536279296875</x:v>
      </x:c>
      <x:c r="CU20" s="60" t="n">
        <x:v>71.80370697021485</x:v>
      </x:c>
      <x:c r="CV20" s="60" t="n">
        <x:v>72.31788940429688</x:v>
      </x:c>
      <x:c r="CW20" s="60" t="n">
        <x:v>72.79949874877931</x:v>
      </x:c>
      <x:c r="CX20" s="60" t="n">
        <x:v>73.35815460205079</x:v>
      </x:c>
      <x:c r="CY20" s="60" t="n">
        <x:v>73.98118309020995</x:v>
      </x:c>
      <x:c r="CZ20" s="60" t="n">
        <x:v>74.9700828552246</x:v>
      </x:c>
      <x:c r="DA20" s="60" t="n">
        <x:v>76.13555122375487</x:v>
      </x:c>
      <x:c r="DB20" s="60" t="n">
        <x:v>81.17874908447266</x:v>
      </x:c>
    </x:row>
    <x:row r="21">
      <x:c r="A21" t="str">
        <x:v>ジュナイパー-2</x:v>
      </x:c>
      <x:c r="B21" t="str">
        <x:v>ジュナイパー</x:v>
      </x:c>
      <x:c r="C21" t="str">
        <x:v>はっぱカッター</x:v>
      </x:c>
      <x:c r="D21" s="60" t="n">
        <x:v>62.82923126220703</x:v>
      </x:c>
      <x:c r="E21" s="60" t="n">
        <x:v>8.330941200256348</x:v>
      </x:c>
      <x:c r="F21" s="60" t="n">
        <x:v>32.79253005981445</x:v>
      </x:c>
      <x:c r="G21" s="60" t="n">
        <x:v>42.193741722106935</x:v>
      </x:c>
      <x:c r="H21" s="60" t="n">
        <x:v>44.650490341186526</x:v>
      </x:c>
      <x:c r="I21" s="60" t="n">
        <x:v>45.96814796447754</x:v>
      </x:c>
      <x:c r="J21" s="60" t="n">
        <x:v>47.09661376953125</x:v>
      </x:c>
      <x:c r="K21" s="60" t="n">
        <x:v>48.23378849029541</x:v>
      </x:c>
      <x:c r="L21" s="60" t="n">
        <x:v>49.11010871887207</x:v>
      </x:c>
      <x:c r="M21" s="60" t="n">
        <x:v>49.77386009216308</x:v>
      </x:c>
      <x:c r="N21" s="60" t="n">
        <x:v>50.35984130859375</x:v>
      </x:c>
      <x:c r="O21" s="60" t="n">
        <x:v>50.92164756774903</x:v>
      </x:c>
      <x:c r="P21" s="60" t="n">
        <x:v>51.49650573730469</x:v>
      </x:c>
      <x:c r="Q21" s="60" t="n">
        <x:v>52.00370635986328</x:v>
      </x:c>
      <x:c r="R21" s="60" t="n">
        <x:v>52.50098190307617</x:v>
      </x:c>
      <x:c r="S21" s="60" t="n">
        <x:v>52.97581771850586</x:v>
      </x:c>
      <x:c r="T21" s="60" t="n">
        <x:v>53.48362510681152</x:v>
      </x:c>
      <x:c r="U21" s="60" t="n">
        <x:v>53.91976528167724</x:v>
      </x:c>
      <x:c r="V21" s="60" t="n">
        <x:v>54.27989028930664</x:v>
      </x:c>
      <x:c r="W21" s="60" t="n">
        <x:v>54.702175025939944</x:v>
      </x:c>
      <x:c r="X21" s="60" t="n">
        <x:v>55.05371032714844</x:v>
      </x:c>
      <x:c r="Y21" s="60" t="n">
        <x:v>55.414243354797364</x:v>
      </x:c>
      <x:c r="Z21" s="60" t="n">
        <x:v>55.720700073242185</x:v>
      </x:c>
      <x:c r="AA21" s="60" t="n">
        <x:v>56.09031490325928</x:v>
      </x:c>
      <x:c r="AB21" s="60" t="n">
        <x:v>56.43679107666016</x:v>
      </x:c>
      <x:c r="AC21" s="60" t="n">
        <x:v>56.73824047088623</x:v>
      </x:c>
      <x:c r="AD21" s="60" t="n">
        <x:v>56.99113082885742</x:v>
      </x:c>
      <x:c r="AE21" s="60" t="n">
        <x:v>57.26684761047363</x:v>
      </x:c>
      <x:c r="AF21" s="60" t="n">
        <x:v>57.61039009094238</x:v>
      </x:c>
      <x:c r="AG21" s="60" t="n">
        <x:v>57.87250335693359</x:v>
      </x:c>
      <x:c r="AH21" s="60" t="n">
        <x:v>58.14795440673828</x:v>
      </x:c>
      <x:c r="AI21" s="60" t="n">
        <x:v>58.406983528137204</x:v>
      </x:c>
      <x:c r="AJ21" s="60" t="n">
        <x:v>58.673371124267575</x:v>
      </x:c>
      <x:c r="AK21" s="60" t="n">
        <x:v>58.95590938568115</x:v>
      </x:c>
      <x:c r="AL21" s="60" t="n">
        <x:v>59.205438385009764</x:v>
      </x:c>
      <x:c r="AM21" s="60" t="n">
        <x:v>59.43527370452881</x:v>
      </x:c>
      <x:c r="AN21" s="60" t="n">
        <x:v>59.686532440185545</x:v>
      </x:c>
      <x:c r="AO21" s="60" t="n">
        <x:v>59.93391361236572</x:v>
      </x:c>
      <x:c r="AP21" s="60" t="n">
        <x:v>60.174000091552735</x:v>
      </x:c>
      <x:c r="AQ21" s="60" t="n">
        <x:v>60.41231498718262</x:v>
      </x:c>
      <x:c r="AR21" s="60" t="n">
        <x:v>60.660349731445315</x:v>
      </x:c>
      <x:c r="AS21" s="60" t="n">
        <x:v>60.89371341705322</x:v>
      </x:c>
      <x:c r="AT21" s="60" t="n">
        <x:v>61.15786972045898</x:v>
      </x:c>
      <x:c r="AU21" s="60" t="n">
        <x:v>61.37038631439209</x:v>
      </x:c>
      <x:c r="AV21" s="60" t="n">
        <x:v>61.58607841491699</x:v>
      </x:c>
      <x:c r="AW21" s="60" t="n">
        <x:v>61.797114791870115</x:v>
      </x:c>
      <x:c r="AX21" s="60" t="n">
        <x:v>62.02061782836914</x:v>
      </x:c>
      <x:c r="AY21" s="60" t="n">
        <x:v>62.24454326629639</x:v>
      </x:c>
      <x:c r="AZ21" s="60" t="n">
        <x:v>62.491082000732426</x:v>
      </x:c>
      <x:c r="BA21" s="60" t="n">
        <x:v>62.71354343414307</x:v>
      </x:c>
      <x:c r="BB21" s="60" t="n">
        <x:v>62.941392517089845</x:v>
      </x:c>
      <x:c r="BC21" s="60" t="n">
        <x:v>63.167420921325686</x:v>
      </x:c>
      <x:c r="BD21" s="60" t="n">
        <x:v>63.38890075683594</x:v>
      </x:c>
      <x:c r="BE21" s="60" t="n">
        <x:v>63.599566535949705</x:v>
      </x:c>
      <x:c r="BF21" s="60" t="n">
        <x:v>63.80350051879883</x:v>
      </x:c>
      <x:c r="BG21" s="60" t="n">
        <x:v>64.01058998107911</x:v>
      </x:c>
      <x:c r="BH21" s="60" t="n">
        <x:v>64.20477355957031</x:v>
      </x:c>
      <x:c r="BI21" s="60" t="n">
        <x:v>64.40808029174805</x:v>
      </x:c>
      <x:c r="BJ21" s="60" t="n">
        <x:v>64.61243530273437</x:v>
      </x:c>
      <x:c r="BK21" s="60" t="n">
        <x:v>64.81155113220215</x:v>
      </x:c>
      <x:c r="BL21" s="60" t="n">
        <x:v>65.02770278930664</x:v>
      </x:c>
      <x:c r="BM21" s="60" t="n">
        <x:v>65.25162216186523</x:v>
      </x:c>
      <x:c r="BN21" s="60" t="n">
        <x:v>65.45674743652344</x:v>
      </x:c>
      <x:c r="BO21" s="60" t="n">
        <x:v>65.66692642211915</x:v>
      </x:c>
      <x:c r="BP21" s="60" t="n">
        <x:v>65.90214462280274</x:v>
      </x:c>
      <x:c r="BQ21" s="60" t="n">
        <x:v>66.11557113647461</x:v>
      </x:c>
      <x:c r="BR21" s="60" t="n">
        <x:v>66.34289154052735</x:v>
      </x:c>
      <x:c r="BS21" s="60" t="n">
        <x:v>66.56621513366699</x:v>
      </x:c>
      <x:c r="BT21" s="60" t="n">
        <x:v>66.7901853942871</x:v>
      </x:c>
      <x:c r="BU21" s="60" t="n">
        <x:v>67.04497520446778</x:v>
      </x:c>
      <x:c r="BV21" s="60" t="n">
        <x:v>67.26305480957032</x:v>
      </x:c>
      <x:c r="BW21" s="60" t="n">
        <x:v>67.48147705078125</x:v>
      </x:c>
      <x:c r="BX21" s="60" t="n">
        <x:v>67.69484405517578</x:v>
      </x:c>
      <x:c r="BY21" s="60" t="n">
        <x:v>67.92731811523437</x:v>
      </x:c>
      <x:c r="BZ21" s="60" t="n">
        <x:v>68.18125061035155</x:v>
      </x:c>
      <x:c r="CA21" s="60" t="n">
        <x:v>68.45245094299317</x:v>
      </x:c>
      <x:c r="CB21" s="60" t="n">
        <x:v>68.69034103393555</x:v>
      </x:c>
      <x:c r="CC21" s="60" t="n">
        <x:v>68.93581581115723</x:v>
      </x:c>
      <x:c r="CD21" s="60" t="n">
        <x:v>69.16261413574219</x:v>
      </x:c>
      <x:c r="CE21" s="60" t="n">
        <x:v>69.40390579223633</x:v>
      </x:c>
      <x:c r="CF21" s="60" t="n">
        <x:v>69.66283065795898</x:v>
      </x:c>
      <x:c r="CG21" s="60" t="n">
        <x:v>69.9192961883545</x:v>
      </x:c>
      <x:c r="CH21" s="60" t="n">
        <x:v>70.16927032470703</x:v>
      </x:c>
      <x:c r="CI21" s="60" t="n">
        <x:v>70.43766365051269</x:v>
      </x:c>
      <x:c r="CJ21" s="60" t="n">
        <x:v>70.71440734863282</x:v>
      </x:c>
      <x:c r="CK21" s="60" t="n">
        <x:v>71.02291893005372</x:v>
      </x:c>
      <x:c r="CL21" s="60" t="n">
        <x:v>71.31158386230469</x:v>
      </x:c>
      <x:c r="CM21" s="60" t="n">
        <x:v>71.64176597595215</x:v>
      </x:c>
      <x:c r="CN21" s="60" t="n">
        <x:v>71.90468215942383</x:v>
      </x:c>
      <x:c r="CO21" s="60" t="n">
        <x:v>72.21984703063966</x:v>
      </x:c>
      <x:c r="CP21" s="60" t="n">
        <x:v>72.52558044433594</x:v>
      </x:c>
      <x:c r="CQ21" s="60" t="n">
        <x:v>72.87199440002442</x:v>
      </x:c>
      <x:c r="CR21" s="60" t="n">
        <x:v>73.2392204284668</x:v>
      </x:c>
      <x:c r="CS21" s="60" t="n">
        <x:v>73.6707234954834</x:v>
      </x:c>
      <x:c r="CT21" s="60" t="n">
        <x:v>74.0913671875</x:v>
      </x:c>
      <x:c r="CU21" s="60" t="n">
        <x:v>74.62906814575196</x:v>
      </x:c>
      <x:c r="CV21" s="60" t="n">
        <x:v>75.1247868347168</x:v>
      </x:c>
      <x:c r="CW21" s="60" t="n">
        <x:v>75.66224594116213</x:v>
      </x:c>
      <x:c r="CX21" s="60" t="n">
        <x:v>76.28088592529298</x:v>
      </x:c>
      <x:c r="CY21" s="60" t="n">
        <x:v>77.00456604003907</x:v>
      </x:c>
      <x:c r="CZ21" s="60" t="n">
        <x:v>77.87844390869141</x:v>
      </x:c>
      <x:c r="DA21" s="60" t="n">
        <x:v>79.4755403137207</x:v>
      </x:c>
      <x:c r="DB21" s="60" t="n">
        <x:v>85.47210693359375</x:v>
      </x:c>
    </x:row>
    <x:row r="22">
      <x:c r="A22" t="str">
        <x:v>ジュラルドン-1</x:v>
      </x:c>
      <x:c r="B22" t="str">
        <x:v>ジュラルドン</x:v>
      </x:c>
      <x:c r="C22" t="str">
        <x:v>共通</x:v>
      </x:c>
      <x:c r="D22" s="60" t="n">
        <x:v>63.823062896728516</x:v>
      </x:c>
      <x:c r="E22" s="60" t="n">
        <x:v>8.377974510192871</x:v>
      </x:c>
      <x:c r="F22" s="60" t="n">
        <x:v>33.750946044921875</x:v>
      </x:c>
      <x:c r="G22" s="60" t="n">
        <x:v>42.599914436340335</x:v>
      </x:c>
      <x:c r="H22" s="60" t="n">
        <x:v>45.11846534729004</x:v>
      </x:c>
      <x:c r="I22" s="60" t="n">
        <x:v>46.70535625457764</x:v>
      </x:c>
      <x:c r="J22" s="60" t="n">
        <x:v>47.962232208251955</x:v>
      </x:c>
      <x:c r="K22" s="60" t="n">
        <x:v>48.92890338897705</x:v>
      </x:c>
      <x:c r="L22" s="60" t="n">
        <x:v>49.79382301330566</x:v>
      </x:c>
      <x:c r="M22" s="60" t="n">
        <x:v>50.594098587036136</x:v>
      </x:c>
      <x:c r="N22" s="60" t="n">
        <x:v>51.26393646240234</x:v>
      </x:c>
      <x:c r="O22" s="60" t="n">
        <x:v>51.836953468322754</x:v>
      </x:c>
      <x:c r="P22" s="60" t="n">
        <x:v>52.43969192504883</x:v>
      </x:c>
      <x:c r="Q22" s="60" t="n">
        <x:v>52.893980445861814</x:v>
      </x:c>
      <x:c r="R22" s="60" t="n">
        <x:v>53.42648803710937</x:v>
      </x:c>
      <x:c r="S22" s="60" t="n">
        <x:v>53.8678549194336</x:v>
      </x:c>
      <x:c r="T22" s="60" t="n">
        <x:v>54.319145889282225</x:v>
      </x:c>
      <x:c r="U22" s="60" t="n">
        <x:v>54.7639705657959</x:v>
      </x:c>
      <x:c r="V22" s="60" t="n">
        <x:v>55.1625749206543</x:v>
      </x:c>
      <x:c r="W22" s="60" t="n">
        <x:v>55.54296848297119</x:v>
      </x:c>
      <x:c r="X22" s="60" t="n">
        <x:v>55.900553970336915</x:v>
      </x:c>
      <x:c r="Y22" s="60" t="n">
        <x:v>56.27916244506836</x:v>
      </x:c>
      <x:c r="Z22" s="60" t="n">
        <x:v>56.640444946289065</x:v>
      </x:c>
      <x:c r="AA22" s="60" t="n">
        <x:v>56.98787227630615</x:v>
      </x:c>
      <x:c r="AB22" s="60" t="n">
        <x:v>57.31284706115723</x:v>
      </x:c>
      <x:c r="AC22" s="60" t="n">
        <x:v>57.645938873291016</x:v>
      </x:c>
      <x:c r="AD22" s="60" t="n">
        <x:v>57.91542694091797</x:v>
      </x:c>
      <x:c r="AE22" s="60" t="n">
        <x:v>58.22153854370117</x:v>
      </x:c>
      <x:c r="AF22" s="60" t="n">
        <x:v>58.48451362609863</x:v>
      </x:c>
      <x:c r="AG22" s="60" t="n">
        <x:v>58.7811043548584</x:v>
      </x:c>
      <x:c r="AH22" s="60" t="n">
        <x:v>59.096467895507814</x:v>
      </x:c>
      <x:c r="AI22" s="60" t="n">
        <x:v>59.38074626922607</x:v>
      </x:c>
      <x:c r="AJ22" s="60" t="n">
        <x:v>59.65329475402832</x:v>
      </x:c>
      <x:c r="AK22" s="60" t="n">
        <x:v>59.93597110748291</x:v>
      </x:c>
      <x:c r="AL22" s="60" t="n">
        <x:v>60.20285629272461</x:v>
      </x:c>
      <x:c r="AM22" s="60" t="n">
        <x:v>60.48089389801025</x:v>
      </x:c>
      <x:c r="AN22" s="60" t="n">
        <x:v>60.735978317260745</x:v>
      </x:c>
      <x:c r="AO22" s="60" t="n">
        <x:v>60.98667392730713</x:v>
      </x:c>
      <x:c r="AP22" s="60" t="n">
        <x:v>61.284288482666014</x:v>
      </x:c>
      <x:c r="AQ22" s="60" t="n">
        <x:v>61.52950813293457</x:v>
      </x:c>
      <x:c r="AR22" s="60" t="n">
        <x:v>61.774781494140626</x:v>
      </x:c>
      <x:c r="AS22" s="60" t="n">
        <x:v>62.032071914672855</x:v>
      </x:c>
      <x:c r="AT22" s="60" t="n">
        <x:v>62.25821151733398</x:v>
      </x:c>
      <x:c r="AU22" s="60" t="n">
        <x:v>62.4918713760376</x:v>
      </x:c>
      <x:c r="AV22" s="60" t="n">
        <x:v>62.740674591064455</x:v>
      </x:c>
      <x:c r="AW22" s="60" t="n">
        <x:v>62.98060440063477</x:v>
      </x:c>
      <x:c r="AX22" s="60" t="n">
        <x:v>63.20815246582031</x:v>
      </x:c>
      <x:c r="AY22" s="60" t="n">
        <x:v>63.42728977203369</x:v>
      </x:c>
      <x:c r="AZ22" s="60" t="n">
        <x:v>63.64984169006348</x:v>
      </x:c>
      <x:c r="BA22" s="60" t="n">
        <x:v>63.908791084289554</x:v>
      </x:c>
      <x:c r="BB22" s="60" t="n">
        <x:v>64.14583526611328</x:v>
      </x:c>
      <x:c r="BC22" s="60" t="n">
        <x:v>64.3618409729004</x:v>
      </x:c>
      <x:c r="BD22" s="60" t="n">
        <x:v>64.60592269897461</x:v>
      </x:c>
      <x:c r="BE22" s="60" t="n">
        <x:v>64.79820938110352</x:v>
      </x:c>
      <x:c r="BF22" s="60" t="n">
        <x:v>65.00521759033204</x:v>
      </x:c>
      <x:c r="BG22" s="60" t="n">
        <x:v>65.19902381896974</x:v>
      </x:c>
      <x:c r="BH22" s="60" t="n">
        <x:v>65.42201614379883</x:v>
      </x:c>
      <x:c r="BI22" s="60" t="n">
        <x:v>65.62946281433106</x:v>
      </x:c>
      <x:c r="BJ22" s="60" t="n">
        <x:v>65.8365771484375</x:v>
      </x:c>
      <x:c r="BK22" s="60" t="n">
        <x:v>66.04266723632813</x:v>
      </x:c>
      <x:c r="BL22" s="60" t="n">
        <x:v>66.23449737548827</x:v>
      </x:c>
      <x:c r="BM22" s="60" t="n">
        <x:v>66.46947425842285</x:v>
      </x:c>
      <x:c r="BN22" s="60" t="n">
        <x:v>66.69400634765626</x:v>
      </x:c>
      <x:c r="BO22" s="60" t="n">
        <x:v>66.87662117004395</x:v>
      </x:c>
      <x:c r="BP22" s="60" t="n">
        <x:v>67.0918391418457</x:v>
      </x:c>
      <x:c r="BQ22" s="60" t="n">
        <x:v>67.3055665588379</x:v>
      </x:c>
      <x:c r="BR22" s="60" t="n">
        <x:v>67.52541625976562</x:v>
      </x:c>
      <x:c r="BS22" s="60" t="n">
        <x:v>67.72408599853516</x:v>
      </x:c>
      <x:c r="BT22" s="60" t="n">
        <x:v>67.9895265197754</x:v>
      </x:c>
      <x:c r="BU22" s="60" t="n">
        <x:v>68.20409866333007</x:v>
      </x:c>
      <x:c r="BV22" s="60" t="n">
        <x:v>68.42326843261719</x:v>
      </x:c>
      <x:c r="BW22" s="60" t="n">
        <x:v>68.62882926940918</x:v>
      </x:c>
      <x:c r="BX22" s="60" t="n">
        <x:v>68.85582122802734</x:v>
      </x:c>
      <x:c r="BY22" s="60" t="n">
        <x:v>69.08656074523925</x:v>
      </x:c>
      <x:c r="BZ22" s="60" t="n">
        <x:v>69.33286407470703</x:v>
      </x:c>
      <x:c r="CA22" s="60" t="n">
        <x:v>69.55637107849121</x:v>
      </x:c>
      <x:c r="CB22" s="60" t="n">
        <x:v>69.77254928588867</x:v>
      </x:c>
      <x:c r="CC22" s="60" t="n">
        <x:v>69.99264907836914</x:v>
      </x:c>
      <x:c r="CD22" s="60" t="n">
        <x:v>70.18750183105469</x:v>
      </x:c>
      <x:c r="CE22" s="60" t="n">
        <x:v>70.43055557250976</x:v>
      </x:c>
      <x:c r="CF22" s="60" t="n">
        <x:v>70.68948684692383</x:v>
      </x:c>
      <x:c r="CG22" s="60" t="n">
        <x:v>70.92017028808594</x:v>
      </x:c>
      <x:c r="CH22" s="60" t="n">
        <x:v>71.19817657470703</x:v>
      </x:c>
      <x:c r="CI22" s="60" t="n">
        <x:v>71.46260833740234</x:v>
      </x:c>
      <x:c r="CJ22" s="60" t="n">
        <x:v>71.71612091064453</x:v>
      </x:c>
      <x:c r="CK22" s="60" t="n">
        <x:v>71.9865690612793</x:v>
      </x:c>
      <x:c r="CL22" s="60" t="n">
        <x:v>72.2960855102539</x:v>
      </x:c>
      <x:c r="CM22" s="60" t="n">
        <x:v>72.59066581726074</x:v>
      </x:c>
      <x:c r="CN22" s="60" t="n">
        <x:v>72.89254928588868</x:v>
      </x:c>
      <x:c r="CO22" s="60" t="n">
        <x:v>73.19490646362304</x:v>
      </x:c>
      <x:c r="CP22" s="60" t="n">
        <x:v>73.50328643798828</x:v>
      </x:c>
      <x:c r="CQ22" s="60" t="n">
        <x:v>73.86119369506837</x:v>
      </x:c>
      <x:c r="CR22" s="60" t="n">
        <x:v>74.20051574707031</x:v>
      </x:c>
      <x:c r="CS22" s="60" t="n">
        <x:v>74.58919456481934</x:v>
      </x:c>
      <x:c r="CT22" s="60" t="n">
        <x:v>75.03124572753906</x:v>
      </x:c>
      <x:c r="CU22" s="60" t="n">
        <x:v>75.44606803894042</x:v>
      </x:c>
      <x:c r="CV22" s="60" t="n">
        <x:v>75.95561325073243</x:v>
      </x:c>
      <x:c r="CW22" s="60" t="n">
        <x:v>76.45025634765626</x:v>
      </x:c>
      <x:c r="CX22" s="60" t="n">
        <x:v>77.12850860595704</x:v>
      </x:c>
      <x:c r="CY22" s="60" t="n">
        <x:v>77.76926010131835</x:v>
      </x:c>
      <x:c r="CZ22" s="60" t="n">
        <x:v>78.59758819580078</x:v>
      </x:c>
      <x:c r="DA22" s="60" t="n">
        <x:v>79.90898612976069</x:v>
      </x:c>
      <x:c r="DB22" s="60" t="n">
        <x:v>85.04497528076172</x:v>
      </x:c>
    </x:row>
    <x:row r="23">
      <x:c r="A23" t="str">
        <x:v>ドラパルト-1</x:v>
      </x:c>
      <x:c r="B23" t="str">
        <x:v>ドラパルト</x:v>
      </x:c>
      <x:c r="C23" t="str">
        <x:v>りゅうのまい</x:v>
      </x:c>
      <x:c r="D23" s="60" t="n">
        <x:v>66.06616973876953</x:v>
      </x:c>
      <x:c r="E23" s="60" t="n">
        <x:v>8.921198844909668</x:v>
      </x:c>
      <x:c r="F23" s="60" t="n">
        <x:v>34.46183776855469</x:v>
      </x:c>
      <x:c r="G23" s="60" t="n">
        <x:v>43.19884384155274</x:v>
      </x:c>
      <x:c r="H23" s="60" t="n">
        <x:v>45.921005935668944</x:v>
      </x:c>
      <x:c r="I23" s="60" t="n">
        <x:v>47.78123954772949</x:v>
      </x:c>
      <x:c r="J23" s="60" t="n">
        <x:v>49.04060821533203</x:v>
      </x:c>
      <x:c r="K23" s="60" t="n">
        <x:v>50.02408790588379</x:v>
      </x:c>
      <x:c r="L23" s="60" t="n">
        <x:v>50.887695236206056</x:v>
      </x:c>
      <x:c r="M23" s="60" t="n">
        <x:v>51.62276756286621</x:v>
      </x:c>
      <x:c r="N23" s="60" t="n">
        <x:v>52.40241836547852</x:v>
      </x:c>
      <x:c r="O23" s="60" t="n">
        <x:v>53.171700630187985</x:v>
      </x:c>
      <x:c r="P23" s="60" t="n">
        <x:v>53.82301406860351</x:v>
      </x:c>
      <x:c r="Q23" s="60" t="n">
        <x:v>54.34884185791016</x:v>
      </x:c>
      <x:c r="R23" s="60" t="n">
        <x:v>54.91985641479492</x:v>
      </x:c>
      <x:c r="S23" s="60" t="n">
        <x:v>55.40539337158203</x:v>
      </x:c>
      <x:c r="T23" s="60" t="n">
        <x:v>55.87679275512696</x:v>
      </x:c>
      <x:c r="U23" s="60" t="n">
        <x:v>56.31901741027832</x:v>
      </x:c>
      <x:c r="V23" s="60" t="n">
        <x:v>56.76318389892578</x:v>
      </x:c>
      <x:c r="W23" s="60" t="n">
        <x:v>57.172878379821775</x:v>
      </x:c>
      <x:c r="X23" s="60" t="n">
        <x:v>57.58796501159668</x:v>
      </x:c>
      <x:c r="Y23" s="60" t="n">
        <x:v>57.95392501831055</x:v>
      </x:c>
      <x:c r="Z23" s="60" t="n">
        <x:v>58.3507682800293</x:v>
      </x:c>
      <x:c r="AA23" s="60" t="n">
        <x:v>58.72877742767334</x:v>
      </x:c>
      <x:c r="AB23" s="60" t="n">
        <x:v>59.11081039428711</x:v>
      </x:c>
      <x:c r="AC23" s="60" t="n">
        <x:v>59.44789791107178</x:v>
      </x:c>
      <x:c r="AD23" s="60" t="n">
        <x:v>59.82832550048828</x:v>
      </x:c>
      <x:c r="AE23" s="60" t="n">
        <x:v>60.18179416656494</x:v>
      </x:c>
      <x:c r="AF23" s="60" t="n">
        <x:v>60.49840965270996</x:v>
      </x:c>
      <x:c r="AG23" s="60" t="n">
        <x:v>60.83127113342285</x:v>
      </x:c>
      <x:c r="AH23" s="60" t="n">
        <x:v>61.11642395019531</x:v>
      </x:c>
      <x:c r="AI23" s="60" t="n">
        <x:v>61.41837757110596</x:v>
      </x:c>
      <x:c r="AJ23" s="60" t="n">
        <x:v>61.70855941772461</x:v>
      </x:c>
      <x:c r="AK23" s="60" t="n">
        <x:v>61.987599754333495</x:v>
      </x:c>
      <x:c r="AL23" s="60" t="n">
        <x:v>62.28085189819336</x:v>
      </x:c>
      <x:c r="AM23" s="60" t="n">
        <x:v>62.566455307006834</x:v>
      </x:c>
      <x:c r="AN23" s="60" t="n">
        <x:v>62.86500686645508</x:v>
      </x:c>
      <x:c r="AO23" s="60" t="n">
        <x:v>63.16970252990723</x:v>
      </x:c>
      <x:c r="AP23" s="60" t="n">
        <x:v>63.43195571899414</x:v>
      </x:c>
      <x:c r="AQ23" s="60" t="n">
        <x:v>63.70290843963623</x:v>
      </x:c>
      <x:c r="AR23" s="60" t="n">
        <x:v>63.97018074035645</x:v>
      </x:c>
      <x:c r="AS23" s="60" t="n">
        <x:v>64.21658882141114</x:v>
      </x:c>
      <x:c r="AT23" s="60" t="n">
        <x:v>64.45463104248047</x:v>
      </x:c>
      <x:c r="AU23" s="60" t="n">
        <x:v>64.68465591430665</x:v>
      </x:c>
      <x:c r="AV23" s="60" t="n">
        <x:v>64.93647323608398</x:v>
      </x:c>
      <x:c r="AW23" s="60" t="n">
        <x:v>65.19434783935547</x:v>
      </x:c>
      <x:c r="AX23" s="60" t="n">
        <x:v>65.46437622070313</x:v>
      </x:c>
      <x:c r="AY23" s="60" t="n">
        <x:v>65.73466873168945</x:v>
      </x:c>
      <x:c r="AZ23" s="60" t="n">
        <x:v>65.9812060546875</x:v>
      </x:c>
      <x:c r="BA23" s="60" t="n">
        <x:v>66.24589782714844</x:v>
      </x:c>
      <x:c r="BB23" s="60" t="n">
        <x:v>66.472421875</x:v>
      </x:c>
      <x:c r="BC23" s="60" t="n">
        <x:v>66.72139511108398</x:v>
      </x:c>
      <x:c r="BD23" s="60" t="n">
        <x:v>66.97073745727539</x:v>
      </x:c>
      <x:c r="BE23" s="60" t="n">
        <x:v>67.20761672973633</x:v>
      </x:c>
      <x:c r="BF23" s="60" t="n">
        <x:v>67.43296905517577</x:v>
      </x:c>
      <x:c r="BG23" s="60" t="n">
        <x:v>67.65028289794923</x:v>
      </x:c>
      <x:c r="BH23" s="60" t="n">
        <x:v>67.86266357421876</x:v>
      </x:c>
      <x:c r="BI23" s="60" t="n">
        <x:v>68.11611671447754</x:v>
      </x:c>
      <x:c r="BJ23" s="60" t="n">
        <x:v>68.3478842163086</x:v>
      </x:c>
      <x:c r="BK23" s="60" t="n">
        <x:v>68.59168914794923</x:v>
      </x:c>
      <x:c r="BL23" s="60" t="n">
        <x:v>68.83079055786133</x:v>
      </x:c>
      <x:c r="BM23" s="60" t="n">
        <x:v>69.0536191558838</x:v>
      </x:c>
      <x:c r="BN23" s="60" t="n">
        <x:v>69.29565734863282</x:v>
      </x:c>
      <x:c r="BO23" s="60" t="n">
        <x:v>69.51582511901856</x:v>
      </x:c>
      <x:c r="BP23" s="60" t="n">
        <x:v>69.75829467773437</x:v>
      </x:c>
      <x:c r="BQ23" s="60" t="n">
        <x:v>70.00245971679688</x:v>
      </x:c>
      <x:c r="BR23" s="60" t="n">
        <x:v>70.2513638305664</x:v>
      </x:c>
      <x:c r="BS23" s="60" t="n">
        <x:v>70.5042823791504</x:v>
      </x:c>
      <x:c r="BT23" s="60" t="n">
        <x:v>70.74690521240234</x:v>
      </x:c>
      <x:c r="BU23" s="60" t="n">
        <x:v>70.98386169433594</x:v>
      </x:c>
      <x:c r="BV23" s="60" t="n">
        <x:v>71.20650512695313</x:v>
      </x:c>
      <x:c r="BW23" s="60" t="n">
        <x:v>71.42220008850097</x:v>
      </x:c>
      <x:c r="BX23" s="60" t="n">
        <x:v>71.67141418457031</x:v>
      </x:c>
      <x:c r="BY23" s="60" t="n">
        <x:v>71.90955474853516</x:v>
      </x:c>
      <x:c r="BZ23" s="60" t="n">
        <x:v>72.14555114746094</x:v>
      </x:c>
      <x:c r="CA23" s="60" t="n">
        <x:v>72.39430145263673</x:v>
      </x:c>
      <x:c r="CB23" s="60" t="n">
        <x:v>72.62504776000976</x:v>
      </x:c>
      <x:c r="CC23" s="60" t="n">
        <x:v>72.88901329040527</x:v>
      </x:c>
      <x:c r="CD23" s="60" t="n">
        <x:v>73.13295806884766</x:v>
      </x:c>
      <x:c r="CE23" s="60" t="n">
        <x:v>73.37944175720214</x:v>
      </x:c>
      <x:c r="CF23" s="60" t="n">
        <x:v>73.60852508544922</x:v>
      </x:c>
      <x:c r="CG23" s="60" t="n">
        <x:v>73.8719189453125</x:v>
      </x:c>
      <x:c r="CH23" s="60" t="n">
        <x:v>74.10174865722657</x:v>
      </x:c>
      <x:c r="CI23" s="60" t="n">
        <x:v>74.35072074890137</x:v>
      </x:c>
      <x:c r="CJ23" s="60" t="n">
        <x:v>74.65039321899414</x:v>
      </x:c>
      <x:c r="CK23" s="60" t="n">
        <x:v>74.89845657348633</x:v>
      </x:c>
      <x:c r="CL23" s="60" t="n">
        <x:v>75.17457946777344</x:v>
      </x:c>
      <x:c r="CM23" s="60" t="n">
        <x:v>75.43566322326659</x:v>
      </x:c>
      <x:c r="CN23" s="60" t="n">
        <x:v>75.71917541503906</x:v>
      </x:c>
      <x:c r="CO23" s="60" t="n">
        <x:v>76.0228663635254</x:v>
      </x:c>
      <x:c r="CP23" s="60" t="n">
        <x:v>76.38354522705077</x:v>
      </x:c>
      <x:c r="CQ23" s="60" t="n">
        <x:v>76.6655411529541</x:v>
      </x:c>
      <x:c r="CR23" s="60" t="n">
        <x:v>76.99478302001954</x:v>
      </x:c>
      <x:c r="CS23" s="60" t="n">
        <x:v>77.34449310302735</x:v>
      </x:c>
      <x:c r="CT23" s="60" t="n">
        <x:v>77.7415966796875</x:v>
      </x:c>
      <x:c r="CU23" s="60" t="n">
        <x:v>78.14719787597656</x:v>
      </x:c>
      <x:c r="CV23" s="60" t="n">
        <x:v>78.57908203125</x:v>
      </x:c>
      <x:c r="CW23" s="60" t="n">
        <x:v>79.07586631774903</x:v>
      </x:c>
      <x:c r="CX23" s="60" t="n">
        <x:v>79.62471893310547</x:v>
      </x:c>
      <x:c r="CY23" s="60" t="n">
        <x:v>80.30659469604491</x:v>
      </x:c>
      <x:c r="CZ23" s="60" t="n">
        <x:v>81.15952377319336</x:v>
      </x:c>
      <x:c r="DA23" s="60" t="n">
        <x:v>82.22536682128906</x:v>
      </x:c>
      <x:c r="DB23" s="60" t="n">
        <x:v>86.51638793945312</x:v>
      </x:c>
    </x:row>
    <x:row r="24">
      <x:c r="A24" t="str">
        <x:v>ドラパルト-2</x:v>
      </x:c>
      <x:c r="B24" t="str">
        <x:v>ドラパルト</x:v>
      </x:c>
      <x:c r="C24" t="str">
        <x:v>ゴーストダイブ</x:v>
      </x:c>
      <x:c r="D24" s="60" t="n">
        <x:v>64.90998077392578</x:v>
      </x:c>
      <x:c r="E24" s="60" t="n">
        <x:v>7.6940436363220215</x:v>
      </x:c>
      <x:c r="F24" s="60" t="n">
        <x:v>35.23980712890625</x:v>
      </x:c>
      <x:c r="G24" s="60" t="n">
        <x:v>44.94106208801269</x:v>
      </x:c>
      <x:c r="H24" s="60" t="n">
        <x:v>47.285341873168946</x:v>
      </x:c>
      <x:c r="I24" s="60" t="n">
        <x:v>48.77808307647705</x:v>
      </x:c>
      <x:c r="J24" s="60" t="n">
        <x:v>49.83856674194336</x:v>
      </x:c>
      <x:c r="K24" s="60" t="n">
        <x:v>50.88662147521973</x:v>
      </x:c>
      <x:c r="L24" s="60" t="n">
        <x:v>51.74140525817871</x:v>
      </x:c>
      <x:c r="M24" s="60" t="n">
        <x:v>52.38501613616943</x:v>
      </x:c>
      <x:c r="N24" s="60" t="n">
        <x:v>53.00882888793945</x:v>
      </x:c>
      <x:c r="O24" s="60" t="n">
        <x:v>53.554330329895016</x:v>
      </x:c>
      <x:c r="P24" s="60" t="n">
        <x:v>54.11272048950195</x:v>
      </x:c>
      <x:c r="Q24" s="60" t="n">
        <x:v>54.62070316314697</x:v>
      </x:c>
      <x:c r="R24" s="60" t="n">
        <x:v>55.171298065185546</x:v>
      </x:c>
      <x:c r="S24" s="60" t="n">
        <x:v>55.614223861694335</x:v>
      </x:c>
      <x:c r="T24" s="60" t="n">
        <x:v>56.05270706176758</x:v>
      </x:c>
      <x:c r="U24" s="60" t="n">
        <x:v>56.469430923461914</x:v>
      </x:c>
      <x:c r="V24" s="60" t="n">
        <x:v>56.86419494628906</x:v>
      </x:c>
      <x:c r="W24" s="60" t="n">
        <x:v>57.2447074508667</x:v>
      </x:c>
      <x:c r="X24" s="60" t="n">
        <x:v>57.615348739624025</x:v>
      </x:c>
      <x:c r="Y24" s="60" t="n">
        <x:v>57.973744010925294</x:v>
      </x:c>
      <x:c r="Z24" s="60" t="n">
        <x:v>58.31825714111328</x:v>
      </x:c>
      <x:c r="AA24" s="60" t="n">
        <x:v>58.61655876159668</x:v>
      </x:c>
      <x:c r="AB24" s="60" t="n">
        <x:v>58.94978500366211</x:v>
      </x:c>
      <x:c r="AC24" s="60" t="n">
        <x:v>59.28081283569336</x:v>
      </x:c>
      <x:c r="AD24" s="60" t="n">
        <x:v>59.60780563354492</x:v>
      </x:c>
      <x:c r="AE24" s="60" t="n">
        <x:v>59.93388271331787</x:v>
      </x:c>
      <x:c r="AF24" s="60" t="n">
        <x:v>60.24692199707031</x:v>
      </x:c>
      <x:c r="AG24" s="60" t="n">
        <x:v>60.52182182312012</x:v>
      </x:c>
      <x:c r="AH24" s="60" t="n">
        <x:v>60.786223907470706</x:v>
      </x:c>
      <x:c r="AI24" s="60" t="n">
        <x:v>61.04085800170898</x:v>
      </x:c>
      <x:c r="AJ24" s="60" t="n">
        <x:v>61.27195739746094</x:v>
      </x:c>
      <x:c r="AK24" s="60" t="n">
        <x:v>61.54156471252441</x:v>
      </x:c>
      <x:c r="AL24" s="60" t="n">
        <x:v>61.80558090209961</x:v>
      </x:c>
      <x:c r="AM24" s="60" t="n">
        <x:v>62.04830554962158</x:v>
      </x:c>
      <x:c r="AN24" s="60" t="n">
        <x:v>62.29013153076172</x:v>
      </x:c>
      <x:c r="AO24" s="60" t="n">
        <x:v>62.519761085510254</x:v>
      </x:c>
      <x:c r="AP24" s="60" t="n">
        <x:v>62.74142288208007</x:v>
      </x:c>
      <x:c r="AQ24" s="60" t="n">
        <x:v>62.96944206237793</x:v>
      </x:c>
      <x:c r="AR24" s="60" t="n">
        <x:v>63.20168350219726</x:v>
      </x:c>
      <x:c r="AS24" s="60" t="n">
        <x:v>63.40412586212158</x:v>
      </x:c>
      <x:c r="AT24" s="60" t="n">
        <x:v>63.61882629394531</x:v>
      </x:c>
      <x:c r="AU24" s="60" t="n">
        <x:v>63.847558135986326</x:v>
      </x:c>
      <x:c r="AV24" s="60" t="n">
        <x:v>64.07205673217773</x:v>
      </x:c>
      <x:c r="AW24" s="60" t="n">
        <x:v>64.29284011840821</x:v>
      </x:c>
      <x:c r="AX24" s="60" t="n">
        <x:v>64.52564208984374</x:v>
      </x:c>
      <x:c r="AY24" s="60" t="n">
        <x:v>64.7153221130371</x:v>
      </x:c>
      <x:c r="AZ24" s="60" t="n">
        <x:v>64.93895034790039</x:v>
      </x:c>
      <x:c r="BA24" s="60" t="n">
        <x:v>65.13650901794433</x:v>
      </x:c>
      <x:c r="BB24" s="60" t="n">
        <x:v>65.3488461303711</x:v>
      </x:c>
      <x:c r="BC24" s="60" t="n">
        <x:v>65.53564613342286</x:v>
      </x:c>
      <x:c r="BD24" s="60" t="n">
        <x:v>65.76369857788086</x:v>
      </x:c>
      <x:c r="BE24" s="60" t="n">
        <x:v>65.98734474182129</x:v>
      </x:c>
      <x:c r="BF24" s="60" t="n">
        <x:v>66.17735534667969</x:v>
      </x:c>
      <x:c r="BG24" s="60" t="n">
        <x:v>66.42178825378419</x:v>
      </x:c>
      <x:c r="BH24" s="60" t="n">
        <x:v>66.62330673217774</x:v>
      </x:c>
      <x:c r="BI24" s="60" t="n">
        <x:v>66.84065284729004</x:v>
      </x:c>
      <x:c r="BJ24" s="60" t="n">
        <x:v>67.0416192626953</x:v>
      </x:c>
      <x:c r="BK24" s="60" t="n">
        <x:v>67.25101852416992</x:v>
      </x:c>
      <x:c r="BL24" s="60" t="n">
        <x:v>67.45209320068359</x:v>
      </x:c>
      <x:c r="BM24" s="60" t="n">
        <x:v>67.65535926818848</x:v>
      </x:c>
      <x:c r="BN24" s="60" t="n">
        <x:v>67.82982177734375</x:v>
      </x:c>
      <x:c r="BO24" s="60" t="n">
        <x:v>68.02943954467773</x:v>
      </x:c>
      <x:c r="BP24" s="60" t="n">
        <x:v>68.24358505249023</x:v>
      </x:c>
      <x:c r="BQ24" s="60" t="n">
        <x:v>68.46122589111329</x:v>
      </x:c>
      <x:c r="BR24" s="60" t="n">
        <x:v>68.65602569580078</x:v>
      </x:c>
      <x:c r="BS24" s="60" t="n">
        <x:v>68.86507148742676</x:v>
      </x:c>
      <x:c r="BT24" s="60" t="n">
        <x:v>69.06242385864257</x:v>
      </x:c>
      <x:c r="BU24" s="60" t="n">
        <x:v>69.23460105895997</x:v>
      </x:c>
      <x:c r="BV24" s="60" t="n">
        <x:v>69.41155670166016</x:v>
      </x:c>
      <x:c r="BW24" s="60" t="n">
        <x:v>69.62861167907715</x:v>
      </x:c>
      <x:c r="BX24" s="60" t="n">
        <x:v>69.8266731262207</x:v>
      </x:c>
      <x:c r="BY24" s="60" t="n">
        <x:v>70.00208305358886</x:v>
      </x:c>
      <x:c r="BZ24" s="60" t="n">
        <x:v>70.19847503662109</x:v>
      </x:c>
      <x:c r="CA24" s="60" t="n">
        <x:v>70.3941569519043</x:v>
      </x:c>
      <x:c r="CB24" s="60" t="n">
        <x:v>70.58740615844727</x:v>
      </x:c>
      <x:c r="CC24" s="60" t="n">
        <x:v>70.78935241699219</x:v>
      </x:c>
      <x:c r="CD24" s="60" t="n">
        <x:v>70.98419036865235</x:v>
      </x:c>
      <x:c r="CE24" s="60" t="n">
        <x:v>71.15937393188476</x:v>
      </x:c>
      <x:c r="CF24" s="60" t="n">
        <x:v>71.37505508422852</x:v>
      </x:c>
      <x:c r="CG24" s="60" t="n">
        <x:v>71.57972381591797</x:v>
      </x:c>
      <x:c r="CH24" s="60" t="n">
        <x:v>71.79046630859375</x:v>
      </x:c>
      <x:c r="CI24" s="60" t="n">
        <x:v>71.99765762329102</x:v>
      </x:c>
      <x:c r="CJ24" s="60" t="n">
        <x:v>72.21695281982421</x:v>
      </x:c>
      <x:c r="CK24" s="60" t="n">
        <x:v>72.44280853271485</x:v>
      </x:c>
      <x:c r="CL24" s="60" t="n">
        <x:v>72.670537109375</x:v>
      </x:c>
      <x:c r="CM24" s="60" t="n">
        <x:v>72.91473655700683</x:v>
      </x:c>
      <x:c r="CN24" s="60" t="n">
        <x:v>73.17971649169922</x:v>
      </x:c>
      <x:c r="CO24" s="60" t="n">
        <x:v>73.45228660583496</x:v>
      </x:c>
      <x:c r="CP24" s="60" t="n">
        <x:v>73.69831665039062</x:v>
      </x:c>
      <x:c r="CQ24" s="60" t="n">
        <x:v>73.94605583190918</x:v>
      </x:c>
      <x:c r="CR24" s="60" t="n">
        <x:v>74.205322265625</x:v>
      </x:c>
      <x:c r="CS24" s="60" t="n">
        <x:v>74.49516296386719</x:v>
      </x:c>
      <x:c r="CT24" s="60" t="n">
        <x:v>74.81059234619141</x:v>
      </x:c>
      <x:c r="CU24" s="60" t="n">
        <x:v>75.15518547058106</x:v>
      </x:c>
      <x:c r="CV24" s="60" t="n">
        <x:v>75.47196105957032</x:v>
      </x:c>
      <x:c r="CW24" s="60" t="n">
        <x:v>75.84614410400391</x:v>
      </x:c>
      <x:c r="CX24" s="60" t="n">
        <x:v>76.3420199584961</x:v>
      </x:c>
      <x:c r="CY24" s="60" t="n">
        <x:v>76.88725852966307</x:v>
      </x:c>
      <x:c r="CZ24" s="60" t="n">
        <x:v>77.60967758178711</x:v>
      </x:c>
      <x:c r="DA24" s="60" t="n">
        <x:v>78.540866317749</x:v>
      </x:c>
      <x:c r="DB24" s="60" t="n">
        <x:v>82.07727813720703</x:v>
      </x:c>
    </x:row>
    <x:row r="25">
      <x:c r="A25" t="str">
        <x:v>ニンフィア-1</x:v>
      </x:c>
      <x:c r="B25" t="str">
        <x:v>ニンフィア</x:v>
      </x:c>
      <x:c r="C25" t="str">
        <x:v>共通</x:v>
      </x:c>
      <x:c r="D25" s="60" t="n">
        <x:v>69.35316467285156</x:v>
      </x:c>
      <x:c r="E25" s="60" t="n">
        <x:v>9.22679328918457</x:v>
      </x:c>
      <x:c r="F25" s="60" t="n">
        <x:v>35.30910873413086</x:v>
      </x:c>
      <x:c r="G25" s="60" t="n">
        <x:v>44.67397483825684</x:v>
      </x:c>
      <x:c r="H25" s="60" t="n">
        <x:v>47.643053436279295</x:v>
      </x:c>
      <x:c r="I25" s="60" t="n">
        <x:v>49.473003158569334</x:v>
      </x:c>
      <x:c r="J25" s="60" t="n">
        <x:v>50.972957916259766</x:v>
      </x:c>
      <x:c r="K25" s="60" t="n">
        <x:v>52.19899482727051</x:v>
      </x:c>
      <x:c r="L25" s="60" t="n">
        <x:v>53.26738929748535</x:v>
      </x:c>
      <x:c r="M25" s="60" t="n">
        <x:v>54.1278772354126</x:v>
      </x:c>
      <x:c r="N25" s="60" t="n">
        <x:v>54.86159194946289</x:v>
      </x:c>
      <x:c r="O25" s="60" t="n">
        <x:v>55.50887023925781</x:v>
      </x:c>
      <x:c r="P25" s="60" t="n">
        <x:v>56.284319686889646</x:v>
      </x:c>
      <x:c r="Q25" s="60" t="n">
        <x:v>56.95329109191894</x:v>
      </x:c>
      <x:c r="R25" s="60" t="n">
        <x:v>57.54988983154297</x:v>
      </x:c>
      <x:c r="S25" s="60" t="n">
        <x:v>58.13647121429443</x:v>
      </x:c>
      <x:c r="T25" s="60" t="n">
        <x:v>58.68530387878418</x:v>
      </x:c>
      <x:c r="U25" s="60" t="n">
        <x:v>59.24605312347412</x:v>
      </x:c>
      <x:c r="V25" s="60" t="n">
        <x:v>59.73519744873047</x:v>
      </x:c>
      <x:c r="W25" s="60" t="n">
        <x:v>60.20369426727295</x:v>
      </x:c>
      <x:c r="X25" s="60" t="n">
        <x:v>60.67061546325684</x:v>
      </x:c>
      <x:c r="Y25" s="60" t="n">
        <x:v>61.08424892425537</x:v>
      </x:c>
      <x:c r="Z25" s="60" t="n">
        <x:v>61.537088775634764</x:v>
      </x:c>
      <x:c r="AA25" s="60" t="n">
        <x:v>61.95408592224121</x:v>
      </x:c>
      <x:c r="AB25" s="60" t="n">
        <x:v>62.39045623779297</x:v>
      </x:c>
      <x:c r="AC25" s="60" t="n">
        <x:v>62.77982025146484</x:v>
      </x:c>
      <x:c r="AD25" s="60" t="n">
        <x:v>63.138816375732425</x:v>
      </x:c>
      <x:c r="AE25" s="60" t="n">
        <x:v>63.52815914154053</x:v>
      </x:c>
      <x:c r="AF25" s="60" t="n">
        <x:v>63.89790596008301</x:v>
      </x:c>
      <x:c r="AG25" s="60" t="n">
        <x:v>64.25564590454103</x:v>
      </x:c>
      <x:c r="AH25" s="60" t="n">
        <x:v>64.5785906982422</x:v>
      </x:c>
      <x:c r="AI25" s="60" t="n">
        <x:v>64.84038177490234</x:v>
      </x:c>
      <x:c r="AJ25" s="60" t="n">
        <x:v>65.1585319519043</x:v>
      </x:c>
      <x:c r="AK25" s="60" t="n">
        <x:v>65.47777626037598</x:v>
      </x:c>
      <x:c r="AL25" s="60" t="n">
        <x:v>65.76968231201172</x:v>
      </x:c>
      <x:c r="AM25" s="60" t="n">
        <x:v>66.06111305236817</x:v>
      </x:c>
      <x:c r="AN25" s="60" t="n">
        <x:v>66.35648010253907</x:v>
      </x:c>
      <x:c r="AO25" s="60" t="n">
        <x:v>66.60858345031738</x:v>
      </x:c>
      <x:c r="AP25" s="60" t="n">
        <x:v>66.93187683105468</x:v>
      </x:c>
      <x:c r="AQ25" s="60" t="n">
        <x:v>67.20670913696289</x:v>
      </x:c>
      <x:c r="AR25" s="60" t="n">
        <x:v>67.50041885375977</x:v>
      </x:c>
      <x:c r="AS25" s="60" t="n">
        <x:v>67.76132087707519</x:v>
      </x:c>
      <x:c r="AT25" s="60" t="n">
        <x:v>68.02755126953124</x:v>
      </x:c>
      <x:c r="AU25" s="60" t="n">
        <x:v>68.2923306274414</x:v>
      </x:c>
      <x:c r="AV25" s="60" t="n">
        <x:v>68.54846267700195</x:v>
      </x:c>
      <x:c r="AW25" s="60" t="n">
        <x:v>68.83479026794433</x:v>
      </x:c>
      <x:c r="AX25" s="60" t="n">
        <x:v>69.0882958984375</x:v>
      </x:c>
      <x:c r="AY25" s="60" t="n">
        <x:v>69.36972351074219</x:v>
      </x:c>
      <x:c r="AZ25" s="60" t="n">
        <x:v>69.6752716064453</x:v>
      </x:c>
      <x:c r="BA25" s="60" t="n">
        <x:v>69.92403457641602</x:v>
      </x:c>
      <x:c r="BB25" s="60" t="n">
        <x:v>70.16945587158203</x:v>
      </x:c>
      <x:c r="BC25" s="60" t="n">
        <x:v>70.42208518981934</x:v>
      </x:c>
      <x:c r="BD25" s="60" t="n">
        <x:v>70.67169570922852</x:v>
      </x:c>
      <x:c r="BE25" s="60" t="n">
        <x:v>70.91427177429199</x:v>
      </x:c>
      <x:c r="BF25" s="60" t="n">
        <x:v>71.13508209228516</x:v>
      </x:c>
      <x:c r="BG25" s="60" t="n">
        <x:v>71.37669387817382</x:v>
      </x:c>
      <x:c r="BH25" s="60" t="n">
        <x:v>71.62152709960938</x:v>
      </x:c>
      <x:c r="BI25" s="60" t="n">
        <x:v>71.88101310729981</x:v>
      </x:c>
      <x:c r="BJ25" s="60" t="n">
        <x:v>72.12141876220703</x:v>
      </x:c>
      <x:c r="BK25" s="60" t="n">
        <x:v>72.38720420837403</x:v>
      </x:c>
      <x:c r="BL25" s="60" t="n">
        <x:v>72.64825775146484</x:v>
      </x:c>
      <x:c r="BM25" s="60" t="n">
        <x:v>72.88357437133789</x:v>
      </x:c>
      <x:c r="BN25" s="60" t="n">
        <x:v>73.09185485839843</x:v>
      </x:c>
      <x:c r="BO25" s="60" t="n">
        <x:v>73.29921089172363</x:v>
      </x:c>
      <x:c r="BP25" s="60" t="n">
        <x:v>73.51689529418945</x:v>
      </x:c>
      <x:c r="BQ25" s="60" t="n">
        <x:v>73.73130668640137</x:v>
      </x:c>
      <x:c r="BR25" s="60" t="n">
        <x:v>73.94795196533204</x:v>
      </x:c>
      <x:c r="BS25" s="60" t="n">
        <x:v>74.19441566467285</x:v>
      </x:c>
      <x:c r="BT25" s="60" t="n">
        <x:v>74.43676879882813</x:v>
      </x:c>
      <x:c r="BU25" s="60" t="n">
        <x:v>74.65991645812989</x:v>
      </x:c>
      <x:c r="BV25" s="60" t="n">
        <x:v>74.88663635253906</x:v>
      </x:c>
      <x:c r="BW25" s="60" t="n">
        <x:v>75.11820602416992</x:v>
      </x:c>
      <x:c r="BX25" s="60" t="n">
        <x:v>75.34713439941406</x:v>
      </x:c>
      <x:c r="BY25" s="60" t="n">
        <x:v>75.54783905029296</x:v>
      </x:c>
      <x:c r="BZ25" s="60" t="n">
        <x:v>75.78699157714844</x:v>
      </x:c>
      <x:c r="CA25" s="60" t="n">
        <x:v>76.01653205871582</x:v>
      </x:c>
      <x:c r="CB25" s="60" t="n">
        <x:v>76.25780838012696</x:v>
      </x:c>
      <x:c r="CC25" s="60" t="n">
        <x:v>76.4918270111084</x:v>
      </x:c>
      <x:c r="CD25" s="60" t="n">
        <x:v>76.71124999999999</x:v>
      </x:c>
      <x:c r="CE25" s="60" t="n">
        <x:v>76.93778053283691</x:v>
      </x:c>
      <x:c r="CF25" s="60" t="n">
        <x:v>77.17847381591797</x:v>
      </x:c>
      <x:c r="CG25" s="60" t="n">
        <x:v>77.43112953186035</x:v>
      </x:c>
      <x:c r="CH25" s="60" t="n">
        <x:v>77.68494873046875</x:v>
      </x:c>
      <x:c r="CI25" s="60" t="n">
        <x:v>77.91174240112305</x:v>
      </x:c>
      <x:c r="CJ25" s="60" t="n">
        <x:v>78.16207733154297</x:v>
      </x:c>
      <x:c r="CK25" s="60" t="n">
        <x:v>78.39389892578126</x:v>
      </x:c>
      <x:c r="CL25" s="60" t="n">
        <x:v>78.6644564819336</x:v>
      </x:c>
      <x:c r="CM25" s="60" t="n">
        <x:v>78.88740844726563</x:v>
      </x:c>
      <x:c r="CN25" s="60" t="n">
        <x:v>79.14158676147461</x:v>
      </x:c>
      <x:c r="CO25" s="60" t="n">
        <x:v>79.4294644165039</x:v>
      </x:c>
      <x:c r="CP25" s="60" t="n">
        <x:v>79.71050018310547</x:v>
      </x:c>
      <x:c r="CQ25" s="60" t="n">
        <x:v>79.9965480041504</x:v>
      </x:c>
      <x:c r="CR25" s="60" t="n">
        <x:v>80.32914505004882</x:v>
      </x:c>
      <x:c r="CS25" s="60" t="n">
        <x:v>80.64942985534668</x:v>
      </x:c>
      <x:c r="CT25" s="60" t="n">
        <x:v>80.96611602783204</x:v>
      </x:c>
      <x:c r="CU25" s="60" t="n">
        <x:v>81.31443084716797</x:v>
      </x:c>
      <x:c r="CV25" s="60" t="n">
        <x:v>81.6457568359375</x:v>
      </x:c>
      <x:c r="CW25" s="60" t="n">
        <x:v>82.07783851623536</x:v>
      </x:c>
      <x:c r="CX25" s="60" t="n">
        <x:v>82.56281616210937</x:v>
      </x:c>
      <x:c r="CY25" s="60" t="n">
        <x:v>83.07358558654785</x:v>
      </x:c>
      <x:c r="CZ25" s="60" t="n">
        <x:v>83.67120559692383</x:v>
      </x:c>
      <x:c r="DA25" s="60" t="n">
        <x:v>84.54890815734862</x:v>
      </x:c>
      <x:c r="DB25" s="60" t="n">
        <x:v>87.68634033203125</x:v>
      </x:c>
    </x:row>
    <x:row r="26">
      <x:c r="A26" t="str">
        <x:v>バクフーン-1</x:v>
      </x:c>
      <x:c r="B26" t="str">
        <x:v>バクフーン</x:v>
      </x:c>
      <x:c r="C26" t="str">
        <x:v>共通</x:v>
      </x:c>
      <x:c r="D26" s="60" t="n">
        <x:v>66.19918060302734</x:v>
      </x:c>
      <x:c r="E26" s="60" t="n">
        <x:v>10.072237014770508</x:v>
      </x:c>
      <x:c r="F26" s="60" t="n">
        <x:v>31.00025749206543</x:v>
      </x:c>
      <x:c r="G26" s="60" t="n">
        <x:v>40.465386123657225</x:v>
      </x:c>
      <x:c r="H26" s="60" t="n">
        <x:v>43.40079574584961</x:v>
      </x:c>
      <x:c r="I26" s="60" t="n">
        <x:v>45.242876853942875</x:v>
      </x:c>
      <x:c r="J26" s="60" t="n">
        <x:v>46.71572036743164</x:v>
      </x:c>
      <x:c r="K26" s="60" t="n">
        <x:v>48.08344783782959</x:v>
      </x:c>
      <x:c r="L26" s="60" t="n">
        <x:v>49.058494567871094</x:v>
      </x:c>
      <x:c r="M26" s="60" t="n">
        <x:v>50.0406335067749</x:v>
      </x:c>
      <x:c r="N26" s="60" t="n">
        <x:v>50.986655731201175</x:v>
      </x:c>
      <x:c r="O26" s="60" t="n">
        <x:v>51.738779106140136</x:v>
      </x:c>
      <x:c r="P26" s="60" t="n">
        <x:v>52.364270782470705</x:v>
      </x:c>
      <x:c r="Q26" s="60" t="n">
        <x:v>52.98871280670166</x:v>
      </x:c>
      <x:c r="R26" s="60" t="n">
        <x:v>53.63927215576172</x:v>
      </x:c>
      <x:c r="S26" s="60" t="n">
        <x:v>54.21046356201172</x:v>
      </x:c>
      <x:c r="T26" s="60" t="n">
        <x:v>54.726334762573245</x:v>
      </x:c>
      <x:c r="U26" s="60" t="n">
        <x:v>55.23436031341553</x:v>
      </x:c>
      <x:c r="V26" s="60" t="n">
        <x:v>55.70383041381836</x:v>
      </x:c>
      <x:c r="W26" s="60" t="n">
        <x:v>56.185883407592776</x:v>
      </x:c>
      <x:c r="X26" s="60" t="n">
        <x:v>56.64286079406738</x:v>
      </x:c>
      <x:c r="Y26" s="60" t="n">
        <x:v>57.06473358154297</x:v>
      </x:c>
      <x:c r="Z26" s="60" t="n">
        <x:v>57.453244018554685</x:v>
      </x:c>
      <x:c r="AA26" s="60" t="n">
        <x:v>57.85181976318359</x:v>
      </x:c>
      <x:c r="AB26" s="60" t="n">
        <x:v>58.28196037292481</x:v>
      </x:c>
      <x:c r="AC26" s="60" t="n">
        <x:v>58.66401634216309</x:v>
      </x:c>
      <x:c r="AD26" s="60" t="n">
        <x:v>59.100137329101564</x:v>
      </x:c>
      <x:c r="AE26" s="60" t="n">
        <x:v>59.49264049530029</x:v>
      </x:c>
      <x:c r="AF26" s="60" t="n">
        <x:v>59.85487670898438</x:v>
      </x:c>
      <x:c r="AG26" s="60" t="n">
        <x:v>60.22716548919678</x:v>
      </x:c>
      <x:c r="AH26" s="60" t="n">
        <x:v>60.55847869873047</x:v>
      </x:c>
      <x:c r="AI26" s="60" t="n">
        <x:v>60.917556076049806</x:v>
      </x:c>
      <x:c r="AJ26" s="60" t="n">
        <x:v>61.25980491638184</x:v>
      </x:c>
      <x:c r="AK26" s="60" t="n">
        <x:v>61.54900043487549</x:v>
      </x:c>
      <x:c r="AL26" s="60" t="n">
        <x:v>61.89674667358398</x:v>
      </x:c>
      <x:c r="AM26" s="60" t="n">
        <x:v>62.20970233917237</x:v>
      </x:c>
      <x:c r="AN26" s="60" t="n">
        <x:v>62.5633341217041</x:v>
      </x:c>
      <x:c r="AO26" s="60" t="n">
        <x:v>62.888356590270995</x:v>
      </x:c>
      <x:c r="AP26" s="60" t="n">
        <x:v>63.19671493530274</x:v>
      </x:c>
      <x:c r="AQ26" s="60" t="n">
        <x:v>63.53643245697022</x:v>
      </x:c>
      <x:c r="AR26" s="60" t="n">
        <x:v>63.83900360107422</x:v>
      </x:c>
      <x:c r="AS26" s="60" t="n">
        <x:v>64.12798881530762</x:v>
      </x:c>
      <x:c r="AT26" s="60" t="n">
        <x:v>64.39315032958984</x:v>
      </x:c>
      <x:c r="AU26" s="60" t="n">
        <x:v>64.66884490966797</x:v>
      </x:c>
      <x:c r="AV26" s="60" t="n">
        <x:v>64.90566131591797</x:v>
      </x:c>
      <x:c r="AW26" s="60" t="n">
        <x:v>65.20969825744629</x:v>
      </x:c>
      <x:c r="AX26" s="60" t="n">
        <x:v>65.50750152587891</x:v>
      </x:c>
      <x:c r="AY26" s="60" t="n">
        <x:v>65.7751365661621</x:v>
      </x:c>
      <x:c r="AZ26" s="60" t="n">
        <x:v>66.07598403930665</x:v>
      </x:c>
      <x:c r="BA26" s="60" t="n">
        <x:v>66.34911827087403</x:v>
      </x:c>
      <x:c r="BB26" s="60" t="n">
        <x:v>66.65551727294923</x:v>
      </x:c>
      <x:c r="BC26" s="60" t="n">
        <x:v>66.93866119384765</x:v>
      </x:c>
      <x:c r="BD26" s="60" t="n">
        <x:v>67.22709274291992</x:v>
      </x:c>
      <x:c r="BE26" s="60" t="n">
        <x:v>67.48754264831543</x:v>
      </x:c>
      <x:c r="BF26" s="60" t="n">
        <x:v>67.77317962646484</x:v>
      </x:c>
      <x:c r="BG26" s="60" t="n">
        <x:v>68.03003723144532</x:v>
      </x:c>
      <x:c r="BH26" s="60" t="n">
        <x:v>68.28270523071289</x:v>
      </x:c>
      <x:c r="BI26" s="60" t="n">
        <x:v>68.57379493713378</x:v>
      </x:c>
      <x:c r="BJ26" s="60" t="n">
        <x:v>68.82999450683593</x:v>
      </x:c>
      <x:c r="BK26" s="60" t="n">
        <x:v>69.10097152709962</x:v>
      </x:c>
      <x:c r="BL26" s="60" t="n">
        <x:v>69.35934783935546</x:v>
      </x:c>
      <x:c r="BM26" s="60" t="n">
        <x:v>69.63782455444336</x:v>
      </x:c>
      <x:c r="BN26" s="60" t="n">
        <x:v>69.90084381103516</x:v>
      </x:c>
      <x:c r="BO26" s="60" t="n">
        <x:v>70.15283569335938</x:v>
      </x:c>
      <x:c r="BP26" s="60" t="n">
        <x:v>70.4070378112793</x:v>
      </x:c>
      <x:c r="BQ26" s="60" t="n">
        <x:v>70.68788276672363</x:v>
      </x:c>
      <x:c r="BR26" s="60" t="n">
        <x:v>70.92127471923828</x:v>
      </x:c>
      <x:c r="BS26" s="60" t="n">
        <x:v>71.1794490814209</x:v>
      </x:c>
      <x:c r="BT26" s="60" t="n">
        <x:v>71.44921981811524</x:v>
      </x:c>
      <x:c r="BU26" s="60" t="n">
        <x:v>71.732587890625</x:v>
      </x:c>
      <x:c r="BV26" s="60" t="n">
        <x:v>71.98453765869141</x:v>
      </x:c>
      <x:c r="BW26" s="60" t="n">
        <x:v>72.24692092895508</x:v>
      </x:c>
      <x:c r="BX26" s="60" t="n">
        <x:v>72.50474014282227</x:v>
      </x:c>
      <x:c r="BY26" s="60" t="n">
        <x:v>72.75309814453125</x:v>
      </x:c>
      <x:c r="BZ26" s="60" t="n">
        <x:v>73.02741333007812</x:v>
      </x:c>
      <x:c r="CA26" s="60" t="n">
        <x:v>73.26128578186035</x:v>
      </x:c>
      <x:c r="CB26" s="60" t="n">
        <x:v>73.51788543701171</x:v>
      </x:c>
      <x:c r="CC26" s="60" t="n">
        <x:v>73.80321502685547</x:v>
      </x:c>
      <x:c r="CD26" s="60" t="n">
        <x:v>74.08151306152344</x:v>
      </x:c>
      <x:c r="CE26" s="60" t="n">
        <x:v>74.40765243530274</x:v>
      </x:c>
      <x:c r="CF26" s="60" t="n">
        <x:v>74.72035720825195</x:v>
      </x:c>
      <x:c r="CG26" s="60" t="n">
        <x:v>74.98928680419922</x:v>
      </x:c>
      <x:c r="CH26" s="60" t="n">
        <x:v>75.29903411865234</x:v>
      </x:c>
      <x:c r="CI26" s="60" t="n">
        <x:v>75.55782974243164</x:v>
      </x:c>
      <x:c r="CJ26" s="60" t="n">
        <x:v>75.8307455444336</x:v>
      </x:c>
      <x:c r="CK26" s="60" t="n">
        <x:v>76.08728370666505</x:v>
      </x:c>
      <x:c r="CL26" s="60" t="n">
        <x:v>76.44064666748046</x:v>
      </x:c>
      <x:c r="CM26" s="60" t="n">
        <x:v>76.75936279296874</x:v>
      </x:c>
      <x:c r="CN26" s="60" t="n">
        <x:v>77.10919464111328</x:v>
      </x:c>
      <x:c r="CO26" s="60" t="n">
        <x:v>77.41402153015137</x:v>
      </x:c>
      <x:c r="CP26" s="60" t="n">
        <x:v>77.7870816040039</x:v>
      </x:c>
      <x:c r="CQ26" s="60" t="n">
        <x:v>78.15148330688477</x:v>
      </x:c>
      <x:c r="CR26" s="60" t="n">
        <x:v>78.55673828125002</x:v>
      </x:c>
      <x:c r="CS26" s="60" t="n">
        <x:v>78.98305717468261</x:v>
      </x:c>
      <x:c r="CT26" s="60" t="n">
        <x:v>79.43917510986329</x:v>
      </x:c>
      <x:c r="CU26" s="60" t="n">
        <x:v>79.91785102844239</x:v>
      </x:c>
      <x:c r="CV26" s="60" t="n">
        <x:v>80.40529907226562</x:v>
      </x:c>
      <x:c r="CW26" s="60" t="n">
        <x:v>80.98351593017578</x:v>
      </x:c>
      <x:c r="CX26" s="60" t="n">
        <x:v>81.60446807861328</x:v>
      </x:c>
      <x:c r="CY26" s="60" t="n">
        <x:v>82.35489105224609</x:v>
      </x:c>
      <x:c r="CZ26" s="60" t="n">
        <x:v>83.29483047485351</x:v>
      </x:c>
      <x:c r="DA26" s="60" t="n">
        <x:v>84.56950843811035</x:v>
      </x:c>
      <x:c r="DB26" s="60" t="n">
        <x:v>89.35781860351562</x:v>
      </x:c>
    </x:row>
    <x:row r="27">
      <x:c r="A27" t="str">
        <x:v>ピカチュウ-1</x:v>
      </x:c>
      <x:c r="B27" t="str">
        <x:v>ピカチュウ</x:v>
      </x:c>
      <x:c r="C27" t="str">
        <x:v>共通</x:v>
      </x:c>
      <x:c r="D27" s="60" t="n">
        <x:v>65.7265625</x:v>
      </x:c>
      <x:c r="E27" s="60" t="n">
        <x:v>6.332457542419434</x:v>
      </x:c>
      <x:c r="F27" s="60" t="n">
        <x:v>40.157257080078125</x:v>
      </x:c>
      <x:c r="G27" s="60" t="n">
        <x:v>48.576069297790525</x:v>
      </x:c>
      <x:c r="H27" s="60" t="n">
        <x:v>50.565986709594725</x:v>
      </x:c>
      <x:c r="I27" s="60" t="n">
        <x:v>52.120681343078616</x:v>
      </x:c>
      <x:c r="J27" s="60" t="n">
        <x:v>53.10618545532227</x:v>
      </x:c>
      <x:c r="K27" s="60" t="n">
        <x:v>53.982068634033205</x:v>
      </x:c>
      <x:c r="L27" s="60" t="n">
        <x:v>54.68903205871582</x:v>
      </x:c>
      <x:c r="M27" s="60" t="n">
        <x:v>55.304992866516116</x:v>
      </x:c>
      <x:c r="N27" s="60" t="n">
        <x:v>55.90059555053711</x:v>
      </x:c>
      <x:c r="O27" s="60" t="n">
        <x:v>56.47432746887207</x:v>
      </x:c>
      <x:c r="P27" s="60" t="n">
        <x:v>56.93362312316894</x:v>
      </x:c>
      <x:c r="Q27" s="60" t="n">
        <x:v>57.345136184692386</x:v>
      </x:c>
      <x:c r="R27" s="60" t="n">
        <x:v>57.73323654174805</x:v>
      </x:c>
      <x:c r="S27" s="60" t="n">
        <x:v>58.122715606689454</x:v>
      </x:c>
      <x:c r="T27" s="60" t="n">
        <x:v>58.50151924133301</x:v>
      </x:c>
      <x:c r="U27" s="60" t="n">
        <x:v>58.873529243469235</x:v>
      </x:c>
      <x:c r="V27" s="60" t="n">
        <x:v>59.197341766357425</x:v>
      </x:c>
      <x:c r="W27" s="60" t="n">
        <x:v>59.5306600189209</x:v>
      </x:c>
      <x:c r="X27" s="60" t="n">
        <x:v>59.84707702636719</x:v>
      </x:c>
      <x:c r="Y27" s="60" t="n">
        <x:v>60.14941577911377</x:v>
      </x:c>
      <x:c r="Z27" s="60" t="n">
        <x:v>60.396935272216794</x:v>
      </x:c>
      <x:c r="AA27" s="60" t="n">
        <x:v>60.6578581237793</x:v>
      </x:c>
      <x:c r="AB27" s="60" t="n">
        <x:v>60.92345611572265</x:v>
      </x:c>
      <x:c r="AC27" s="60" t="n">
        <x:v>61.20105182647705</x:v>
      </x:c>
      <x:c r="AD27" s="60" t="n">
        <x:v>61.42846008300781</x:v>
      </x:c>
      <x:c r="AE27" s="60" t="n">
        <x:v>61.67576885223389</x:v>
      </x:c>
      <x:c r="AF27" s="60" t="n">
        <x:v>61.93506538391113</x:v>
      </x:c>
      <x:c r="AG27" s="60" t="n">
        <x:v>62.17461795806885</x:v>
      </x:c>
      <x:c r="AH27" s="60" t="n">
        <x:v>62.41131332397461</x:v>
      </x:c>
      <x:c r="AI27" s="60" t="n">
        <x:v>62.61826541900635</x:v>
      </x:c>
      <x:c r="AJ27" s="60" t="n">
        <x:v>62.86536750793457</x:v>
      </x:c>
      <x:c r="AK27" s="60" t="n">
        <x:v>63.09449077606201</x:v>
      </x:c>
      <x:c r="AL27" s="60" t="n">
        <x:v>63.27846878051758</x:v>
      </x:c>
      <x:c r="AM27" s="60" t="n">
        <x:v>63.50055641174316</x:v>
      </x:c>
      <x:c r="AN27" s="60" t="n">
        <x:v>63.690219497680665</x:v>
      </x:c>
      <x:c r="AO27" s="60" t="n">
        <x:v>63.87496681213379</x:v>
      </x:c>
      <x:c r="AP27" s="60" t="n">
        <x:v>64.07953735351562</x:v>
      </x:c>
      <x:c r="AQ27" s="60" t="n">
        <x:v>64.2897469329834</x:v>
      </x:c>
      <x:c r="AR27" s="60" t="n">
        <x:v>64.5075291442871</x:v>
      </x:c>
      <x:c r="AS27" s="60" t="n">
        <x:v>64.7075185394287</x:v>
      </x:c>
      <x:c r="AT27" s="60" t="n">
        <x:v>64.8855224609375</x:v>
      </x:c>
      <x:c r="AU27" s="60" t="n">
        <x:v>65.08408805847168</x:v>
      </x:c>
      <x:c r="AV27" s="60" t="n">
        <x:v>65.27276962280274</x:v>
      </x:c>
      <x:c r="AW27" s="60" t="n">
        <x:v>65.45558937072754</x:v>
      </x:c>
      <x:c r="AX27" s="60" t="n">
        <x:v>65.62141326904298</x:v>
      </x:c>
      <x:c r="AY27" s="60" t="n">
        <x:v>65.78404693603515</x:v>
      </x:c>
      <x:c r="AZ27" s="60" t="n">
        <x:v>65.96598175048828</x:v>
      </x:c>
      <x:c r="BA27" s="60" t="n">
        <x:v>66.14276123046875</x:v>
      </x:c>
      <x:c r="BB27" s="60" t="n">
        <x:v>66.33666412353516</x:v>
      </x:c>
      <x:c r="BC27" s="60" t="n">
        <x:v>66.49940116882324</x:v>
      </x:c>
      <x:c r="BD27" s="60" t="n">
        <x:v>66.6707649230957</x:v>
      </x:c>
      <x:c r="BE27" s="60" t="n">
        <x:v>66.83682579040527</x:v>
      </x:c>
      <x:c r="BF27" s="60" t="n">
        <x:v>67.00389831542968</x:v>
      </x:c>
      <x:c r="BG27" s="60" t="n">
        <x:v>67.17307922363281</x:v>
      </x:c>
      <x:c r="BH27" s="60" t="n">
        <x:v>67.32858764648438</x:v>
      </x:c>
      <x:c r="BI27" s="60" t="n">
        <x:v>67.49067764282226</x:v>
      </x:c>
      <x:c r="BJ27" s="60" t="n">
        <x:v>67.65646484375</x:v>
      </x:c>
      <x:c r="BK27" s="60" t="n">
        <x:v>67.8069255065918</x:v>
      </x:c>
      <x:c r="BL27" s="60" t="n">
        <x:v>67.96360214233398</x:v>
      </x:c>
      <x:c r="BM27" s="60" t="n">
        <x:v>68.10793853759766</x:v>
      </x:c>
      <x:c r="BN27" s="60" t="n">
        <x:v>68.2491439819336</x:v>
      </x:c>
      <x:c r="BO27" s="60" t="n">
        <x:v>68.40682777404785</x:v>
      </x:c>
      <x:c r="BP27" s="60" t="n">
        <x:v>68.57317260742188</x:v>
      </x:c>
      <x:c r="BQ27" s="60" t="n">
        <x:v>68.74074310302734</x:v>
      </x:c>
      <x:c r="BR27" s="60" t="n">
        <x:v>68.898798828125</x:v>
      </x:c>
      <x:c r="BS27" s="60" t="n">
        <x:v>69.02402534484864</x:v>
      </x:c>
      <x:c r="BT27" s="60" t="n">
        <x:v>69.16448822021485</x:v>
      </x:c>
      <x:c r="BU27" s="60" t="n">
        <x:v>69.30143394470215</x:v>
      </x:c>
      <x:c r="BV27" s="60" t="n">
        <x:v>69.44893005371094</x:v>
      </x:c>
      <x:c r="BW27" s="60" t="n">
        <x:v>69.59700721740722</x:v>
      </x:c>
      <x:c r="BX27" s="60" t="n">
        <x:v>69.76140213012695</x:v>
      </x:c>
      <x:c r="BY27" s="60" t="n">
        <x:v>69.91501220703125</x:v>
      </x:c>
      <x:c r="BZ27" s="60" t="n">
        <x:v>70.07014038085937</x:v>
      </x:c>
      <x:c r="CA27" s="60" t="n">
        <x:v>70.20281425476074</x:v>
      </x:c>
      <x:c r="CB27" s="60" t="n">
        <x:v>70.36110412597657</x:v>
      </x:c>
      <x:c r="CC27" s="60" t="n">
        <x:v>70.52598571777344</x:v>
      </x:c>
      <x:c r="CD27" s="60" t="n">
        <x:v>70.67237976074219</x:v>
      </x:c>
      <x:c r="CE27" s="60" t="n">
        <x:v>70.83996719360351</x:v>
      </x:c>
      <x:c r="CF27" s="60" t="n">
        <x:v>71.02018493652344</x:v>
      </x:c>
      <x:c r="CG27" s="60" t="n">
        <x:v>71.15635787963868</x:v>
      </x:c>
      <x:c r="CH27" s="60" t="n">
        <x:v>71.3245834350586</x:v>
      </x:c>
      <x:c r="CI27" s="60" t="n">
        <x:v>71.4917763519287</x:v>
      </x:c>
      <x:c r="CJ27" s="60" t="n">
        <x:v>71.66821365356445</x:v>
      </x:c>
      <x:c r="CK27" s="60" t="n">
        <x:v>71.8319320678711</x:v>
      </x:c>
      <x:c r="CL27" s="60" t="n">
        <x:v>72.00097412109375</x:v>
      </x:c>
      <x:c r="CM27" s="60" t="n">
        <x:v>72.17764205932616</x:v>
      </x:c>
      <x:c r="CN27" s="60" t="n">
        <x:v>72.37542755126952</x:v>
      </x:c>
      <x:c r="CO27" s="60" t="n">
        <x:v>72.55598762512207</x:v>
      </x:c>
      <x:c r="CP27" s="60" t="n">
        <x:v>72.75657653808594</x:v>
      </x:c>
      <x:c r="CQ27" s="60" t="n">
        <x:v>72.97386138916016</x:v>
      </x:c>
      <x:c r="CR27" s="60" t="n">
        <x:v>73.20229644775391</x:v>
      </x:c>
      <x:c r="CS27" s="60" t="n">
        <x:v>73.41476181030274</x:v>
      </x:c>
      <x:c r="CT27" s="60" t="n">
        <x:v>73.66110046386719</x:v>
      </x:c>
      <x:c r="CU27" s="60" t="n">
        <x:v>73.9293041229248</x:v>
      </x:c>
      <x:c r="CV27" s="60" t="n">
        <x:v>74.20317642211914</x:v>
      </x:c>
      <x:c r="CW27" s="60" t="n">
        <x:v>74.4921100616455</x:v>
      </x:c>
      <x:c r="CX27" s="60" t="n">
        <x:v>74.81239013671875</x:v>
      </x:c>
      <x:c r="CY27" s="60" t="n">
        <x:v>75.23099822998047</x:v>
      </x:c>
      <x:c r="CZ27" s="60" t="n">
        <x:v>75.68491073608398</x:v>
      </x:c>
      <x:c r="DA27" s="60" t="n">
        <x:v>76.45547714233398</x:v>
      </x:c>
      <x:c r="DB27" s="60" t="n">
        <x:v>79.94945526123047</x:v>
      </x:c>
    </x:row>
    <x:row r="28">
      <x:c r="A28" t="str">
        <x:v>フシギバナ-1</x:v>
      </x:c>
      <x:c r="B28" t="str">
        <x:v>フシギバナ</x:v>
      </x:c>
      <x:c r="C28" t="str">
        <x:v>ソーラービーム</x:v>
      </x:c>
      <x:c r="D28" s="60" t="n">
        <x:v>63.00791931152344</x:v>
      </x:c>
      <x:c r="E28" s="60" t="n">
        <x:v>7.080252647399902</x:v>
      </x:c>
      <x:c r="F28" s="60" t="n">
        <x:v>36.785064697265625</x:v>
      </x:c>
      <x:c r="G28" s="60" t="n">
        <x:v>44.96673892974854</x:v>
      </x:c>
      <x:c r="H28" s="60" t="n">
        <x:v>47.093117294311526</x:v>
      </x:c>
      <x:c r="I28" s="60" t="n">
        <x:v>48.49449275970459</x:v>
      </x:c>
      <x:c r="J28" s="60" t="n">
        <x:v>49.54512832641601</x:v>
      </x:c>
      <x:c r="K28" s="60" t="n">
        <x:v>50.34519176483154</x:v>
      </x:c>
      <x:c r="L28" s="60" t="n">
        <x:v>51.104383621215824</x:v>
      </x:c>
      <x:c r="M28" s="60" t="n">
        <x:v>51.7481982421875</x:v>
      </x:c>
      <x:c r="N28" s="60" t="n">
        <x:v>52.34719360351563</x:v>
      </x:c>
      <x:c r="O28" s="60" t="n">
        <x:v>52.89047653198242</x:v>
      </x:c>
      <x:c r="P28" s="60" t="n">
        <x:v>53.35292854309082</x:v>
      </x:c>
      <x:c r="Q28" s="60" t="n">
        <x:v>53.82456340789795</x:v>
      </x:c>
      <x:c r="R28" s="60" t="n">
        <x:v>54.21862503051758</x:v>
      </x:c>
      <x:c r="S28" s="60" t="n">
        <x:v>54.59508106231689</x:v>
      </x:c>
      <x:c r="T28" s="60" t="n">
        <x:v>54.965365982055665</x:v>
      </x:c>
      <x:c r="U28" s="60" t="n">
        <x:v>55.31864566802979</x:v>
      </x:c>
      <x:c r="V28" s="60" t="n">
        <x:v>55.68879425048828</x:v>
      </x:c>
      <x:c r="W28" s="60" t="n">
        <x:v>56.0214529800415</x:v>
      </x:c>
      <x:c r="X28" s="60" t="n">
        <x:v>56.32068626403809</x:v>
      </x:c>
      <x:c r="Y28" s="60" t="n">
        <x:v>56.61380123138428</x:v>
      </x:c>
      <x:c r="Z28" s="60" t="n">
        <x:v>56.90440902709961</x:v>
      </x:c>
      <x:c r="AA28" s="60" t="n">
        <x:v>57.21758823394775</x:v>
      </x:c>
      <x:c r="AB28" s="60" t="n">
        <x:v>57.5084383392334</x:v>
      </x:c>
      <x:c r="AC28" s="60" t="n">
        <x:v>57.77762866973877</x:v>
      </x:c>
      <x:c r="AD28" s="60" t="n">
        <x:v>58.04448593139649</x:v>
      </x:c>
      <x:c r="AE28" s="60" t="n">
        <x:v>58.29814910888672</x:v>
      </x:c>
      <x:c r="AF28" s="60" t="n">
        <x:v>58.53492813110351</x:v>
      </x:c>
      <x:c r="AG28" s="60" t="n">
        <x:v>58.778321228027345</x:v>
      </x:c>
      <x:c r="AH28" s="60" t="n">
        <x:v>59.02836669921875</x:v>
      </x:c>
      <x:c r="AI28" s="60" t="n">
        <x:v>59.27474151611328</x:v>
      </x:c>
      <x:c r="AJ28" s="60" t="n">
        <x:v>59.54019279479981</x:v>
      </x:c>
      <x:c r="AK28" s="60" t="n">
        <x:v>59.765273628234866</x:v>
      </x:c>
      <x:c r="AL28" s="60" t="n">
        <x:v>60.010789947509764</x:v>
      </x:c>
      <x:c r="AM28" s="60" t="n">
        <x:v>60.226907386779786</x:v>
      </x:c>
      <x:c r="AN28" s="60" t="n">
        <x:v>60.44893028259278</x:v>
      </x:c>
      <x:c r="AO28" s="60" t="n">
        <x:v>60.65362148284912</x:v>
      </x:c>
      <x:c r="AP28" s="60" t="n">
        <x:v>60.86919448852539</x:v>
      </x:c>
      <x:c r="AQ28" s="60" t="n">
        <x:v>61.066779403686525</x:v>
      </x:c>
      <x:c r="AR28" s="60" t="n">
        <x:v>61.29406005859375</x:v>
      </x:c>
      <x:c r="AS28" s="60" t="n">
        <x:v>61.485431327819825</x:v>
      </x:c>
      <x:c r="AT28" s="60" t="n">
        <x:v>61.70197982788086</x:v>
      </x:c>
      <x:c r="AU28" s="60" t="n">
        <x:v>61.9045333480835</x:v>
      </x:c>
      <x:c r="AV28" s="60" t="n">
        <x:v>62.105362014770506</x:v>
      </x:c>
      <x:c r="AW28" s="60" t="n">
        <x:v>62.32567474365234</x:v>
      </x:c>
      <x:c r="AX28" s="60" t="n">
        <x:v>62.53572494506836</x:v>
      </x:c>
      <x:c r="AY28" s="60" t="n">
        <x:v>62.745051574707034</x:v>
      </x:c>
      <x:c r="AZ28" s="60" t="n">
        <x:v>62.93509025573731</x:v>
      </x:c>
      <x:c r="BA28" s="60" t="n">
        <x:v>63.109674072265626</x:v>
      </x:c>
      <x:c r="BB28" s="60" t="n">
        <x:v>63.29509185791016</x:v>
      </x:c>
      <x:c r="BC28" s="60" t="n">
        <x:v>63.4788077545166</x:v>
      </x:c>
      <x:c r="BD28" s="60" t="n">
        <x:v>63.67304611206055</x:v>
      </x:c>
      <x:c r="BE28" s="60" t="n">
        <x:v>63.87979732513428</x:v>
      </x:c>
      <x:c r="BF28" s="60" t="n">
        <x:v>64.03576904296875</x:v>
      </x:c>
      <x:c r="BG28" s="60" t="n">
        <x:v>64.20712516784668</x:v>
      </x:c>
      <x:c r="BH28" s="60" t="n">
        <x:v>64.38936904907227</x:v>
      </x:c>
      <x:c r="BI28" s="60" t="n">
        <x:v>64.58534355163575</x:v>
      </x:c>
      <x:c r="BJ28" s="60" t="n">
        <x:v>64.75097930908203</x:v>
      </x:c>
      <x:c r="BK28" s="60" t="n">
        <x:v>64.92135383605957</x:v>
      </x:c>
      <x:c r="BL28" s="60" t="n">
        <x:v>65.09122787475586</x:v>
      </x:c>
      <x:c r="BM28" s="60" t="n">
        <x:v>65.27383041381836</x:v>
      </x:c>
      <x:c r="BN28" s="60" t="n">
        <x:v>65.44989318847657</x:v>
      </x:c>
      <x:c r="BO28" s="60" t="n">
        <x:v>65.63748092651367</x:v>
      </x:c>
      <x:c r="BP28" s="60" t="n">
        <x:v>65.81713714599609</x:v>
      </x:c>
      <x:c r="BQ28" s="60" t="n">
        <x:v>66.01159606933594</x:v>
      </x:c>
      <x:c r="BR28" s="60" t="n">
        <x:v>66.19429565429688</x:v>
      </x:c>
      <x:c r="BS28" s="60" t="n">
        <x:v>66.38014793395996</x:v>
      </x:c>
      <x:c r="BT28" s="60" t="n">
        <x:v>66.53398559570313</x:v>
      </x:c>
      <x:c r="BU28" s="60" t="n">
        <x:v>66.7224828338623</x:v>
      </x:c>
      <x:c r="BV28" s="60" t="n">
        <x:v>66.89574920654297</x:v>
      </x:c>
      <x:c r="BW28" s="60" t="n">
        <x:v>67.10388198852539</x:v>
      </x:c>
      <x:c r="BX28" s="60" t="n">
        <x:v>67.30303268432617</x:v>
      </x:c>
      <x:c r="BY28" s="60" t="n">
        <x:v>67.47342750549316</x:v>
      </x:c>
      <x:c r="BZ28" s="60" t="n">
        <x:v>67.67254913330078</x:v>
      </x:c>
      <x:c r="CA28" s="60" t="n">
        <x:v>67.83886482238769</x:v>
      </x:c>
      <x:c r="CB28" s="60" t="n">
        <x:v>68.04390060424805</x:v>
      </x:c>
      <x:c r="CC28" s="60" t="n">
        <x:v>68.24301528930664</x:v>
      </x:c>
      <x:c r="CD28" s="60" t="n">
        <x:v>68.4202099609375</x:v>
      </x:c>
      <x:c r="CE28" s="60" t="n">
        <x:v>68.61988174438477</x:v>
      </x:c>
      <x:c r="CF28" s="60" t="n">
        <x:v>68.82256378173828</x:v>
      </x:c>
      <x:c r="CG28" s="60" t="n">
        <x:v>69.02378814697266</x:v>
      </x:c>
      <x:c r="CH28" s="60" t="n">
        <x:v>69.23695678710938</x:v>
      </x:c>
      <x:c r="CI28" s="60" t="n">
        <x:v>69.48615524291992</x:v>
      </x:c>
      <x:c r="CJ28" s="60" t="n">
        <x:v>69.69115859985351</x:v>
      </x:c>
      <x:c r="CK28" s="60" t="n">
        <x:v>69.9105509185791</x:v>
      </x:c>
      <x:c r="CL28" s="60" t="n">
        <x:v>70.13706848144531</x:v>
      </x:c>
      <x:c r="CM28" s="60" t="n">
        <x:v>70.37646522521972</x:v>
      </x:c>
      <x:c r="CN28" s="60" t="n">
        <x:v>70.6242204284668</x:v>
      </x:c>
      <x:c r="CO28" s="60" t="n">
        <x:v>70.9009496307373</x:v>
      </x:c>
      <x:c r="CP28" s="60" t="n">
        <x:v>71.18640258789063</x:v>
      </x:c>
      <x:c r="CQ28" s="60" t="n">
        <x:v>71.46090644836426</x:v>
      </x:c>
      <x:c r="CR28" s="60" t="n">
        <x:v>71.76159057617188</x:v>
      </x:c>
      <x:c r="CS28" s="60" t="n">
        <x:v>72.05213134765626</x:v>
      </x:c>
      <x:c r="CT28" s="60" t="n">
        <x:v>72.42854309082031</x:v>
      </x:c>
      <x:c r="CU28" s="60" t="n">
        <x:v>72.76988739013672</x:v>
      </x:c>
      <x:c r="CV28" s="60" t="n">
        <x:v>73.19890197753907</x:v>
      </x:c>
      <x:c r="CW28" s="60" t="n">
        <x:v>73.6569694519043</x:v>
      </x:c>
      <x:c r="CX28" s="60" t="n">
        <x:v>74.15261352539062</x:v>
      </x:c>
      <x:c r="CY28" s="60" t="n">
        <x:v>74.66237274169922</x:v>
      </x:c>
      <x:c r="CZ28" s="60" t="n">
        <x:v>75.39943298339844</x:v>
      </x:c>
      <x:c r="DA28" s="60" t="n">
        <x:v>76.53040351867676</x:v>
      </x:c>
      <x:c r="DB28" s="60" t="n">
        <x:v>81.6647720336914</x:v>
      </x:c>
    </x:row>
    <x:row r="29">
      <x:c r="A29" t="str">
        <x:v>フシギバナ-2</x:v>
      </x:c>
      <x:c r="B29" t="str">
        <x:v>フシギバナ</x:v>
      </x:c>
      <x:c r="C29" t="str">
        <x:v>はなびらのまい</x:v>
      </x:c>
      <x:c r="D29" s="60" t="n">
        <x:v>66.52897644042969</x:v>
      </x:c>
      <x:c r="E29" s="60" t="n">
        <x:v>7.391694068908691</x:v>
      </x:c>
      <x:c r="F29" s="60" t="n">
        <x:v>37.941192626953125</x:v>
      </x:c>
      <x:c r="G29" s="60" t="n">
        <x:v>46.29178230285645</x:v>
      </x:c>
      <x:c r="H29" s="60" t="n">
        <x:v>48.903646545410155</x:v>
      </x:c>
      <x:c r="I29" s="60" t="n">
        <x:v>50.467221336364744</x:v>
      </x:c>
      <x:c r="J29" s="60" t="n">
        <x:v>51.588345489501954</x:v>
      </x:c>
      <x:c r="K29" s="60" t="n">
        <x:v>52.6583173751831</x:v>
      </x:c>
      <x:c r="L29" s="60" t="n">
        <x:v>53.530156478881835</x:v>
      </x:c>
      <x:c r="M29" s="60" t="n">
        <x:v>54.24258014678955</x:v>
      </x:c>
      <x:c r="N29" s="60" t="n">
        <x:v>54.835662078857425</x:v>
      </x:c>
      <x:c r="O29" s="60" t="n">
        <x:v>55.423744735717776</x:v>
      </x:c>
      <x:c r="P29" s="60" t="n">
        <x:v>55.95957794189453</x:v>
      </x:c>
      <x:c r="Q29" s="60" t="n">
        <x:v>56.51982646942139</x:v>
      </x:c>
      <x:c r="R29" s="60" t="n">
        <x:v>56.94806167602539</x:v>
      </x:c>
      <x:c r="S29" s="60" t="n">
        <x:v>57.47500392913818</x:v>
      </x:c>
      <x:c r="T29" s="60" t="n">
        <x:v>57.89965377807617</x:v>
      </x:c>
      <x:c r="U29" s="60" t="n">
        <x:v>58.39081573486328</x:v>
      </x:c>
      <x:c r="V29" s="60" t="n">
        <x:v>58.785284423828124</x:v>
      </x:c>
      <x:c r="W29" s="60" t="n">
        <x:v>59.21971824645996</x:v>
      </x:c>
      <x:c r="X29" s="60" t="n">
        <x:v>59.606941299438475</x:v>
      </x:c>
      <x:c r="Y29" s="60" t="n">
        <x:v>59.96368022918701</x:v>
      </x:c>
      <x:c r="Z29" s="60" t="n">
        <x:v>60.331703186035156</x:v>
      </x:c>
      <x:c r="AA29" s="60" t="n">
        <x:v>60.63513149261475</x:v>
      </x:c>
      <x:c r="AB29" s="60" t="n">
        <x:v>60.98162475585937</x:v>
      </x:c>
      <x:c r="AC29" s="60" t="n">
        <x:v>61.31336483001709</x:v>
      </x:c>
      <x:c r="AD29" s="60" t="n">
        <x:v>61.63725448608398</x:v>
      </x:c>
      <x:c r="AE29" s="60" t="n">
        <x:v>61.90188121795654</x:v>
      </x:c>
      <x:c r="AF29" s="60" t="n">
        <x:v>62.16639938354492</x:v>
      </x:c>
      <x:c r="AG29" s="60" t="n">
        <x:v>62.459868888854984</x:v>
      </x:c>
      <x:c r="AH29" s="60" t="n">
        <x:v>62.71219650268554</x:v>
      </x:c>
      <x:c r="AI29" s="60" t="n">
        <x:v>63.00234146118164</x:v>
      </x:c>
      <x:c r="AJ29" s="60" t="n">
        <x:v>63.284735107421874</x:v>
      </x:c>
      <x:c r="AK29" s="60" t="n">
        <x:v>63.51420967102051</x:v>
      </x:c>
      <x:c r="AL29" s="60" t="n">
        <x:v>63.79607315063477</x:v>
      </x:c>
      <x:c r="AM29" s="60" t="n">
        <x:v>64.00884574890136</x:v>
      </x:c>
      <x:c r="AN29" s="60" t="n">
        <x:v>64.24414718627929</x:v>
      </x:c>
      <x:c r="AO29" s="60" t="n">
        <x:v>64.47087516784669</x:v>
      </x:c>
      <x:c r="AP29" s="60" t="n">
        <x:v>64.7216714477539</x:v>
      </x:c>
      <x:c r="AQ29" s="60" t="n">
        <x:v>64.94302879333496</x:v>
      </x:c>
      <x:c r="AR29" s="60" t="n">
        <x:v>65.16716659545898</x:v>
      </x:c>
      <x:c r="AS29" s="60" t="n">
        <x:v>65.37401313781739</x:v>
      </x:c>
      <x:c r="AT29" s="60" t="n">
        <x:v>65.6189956665039</x:v>
      </x:c>
      <x:c r="AU29" s="60" t="n">
        <x:v>65.84458747863769</x:v>
      </x:c>
      <x:c r="AV29" s="60" t="n">
        <x:v>66.03328689575196</x:v>
      </x:c>
      <x:c r="AW29" s="60" t="n">
        <x:v>66.22621963500977</x:v>
      </x:c>
      <x:c r="AX29" s="60" t="n">
        <x:v>66.4353094482422</x:v>
      </x:c>
      <x:c r="AY29" s="60" t="n">
        <x:v>66.63481178283692</x:v>
      </x:c>
      <x:c r="AZ29" s="60" t="n">
        <x:v>66.86703491210938</x:v>
      </x:c>
      <x:c r="BA29" s="60" t="n">
        <x:v>67.0767253112793</x:v>
      </x:c>
      <x:c r="BB29" s="60" t="n">
        <x:v>67.27828155517578</x:v>
      </x:c>
      <x:c r="BC29" s="60" t="n">
        <x:v>67.44848594665527</x:v>
      </x:c>
      <x:c r="BD29" s="60" t="n">
        <x:v>67.66521072387695</x:v>
      </x:c>
      <x:c r="BE29" s="60" t="n">
        <x:v>67.87982597351075</x:v>
      </x:c>
      <x:c r="BF29" s="60" t="n">
        <x:v>68.07892303466797</x:v>
      </x:c>
      <x:c r="BG29" s="60" t="n">
        <x:v>68.25735588073731</x:v>
      </x:c>
      <x:c r="BH29" s="60" t="n">
        <x:v>68.46344818115234</x:v>
      </x:c>
      <x:c r="BI29" s="60" t="n">
        <x:v>68.63998947143554</x:v>
      </x:c>
      <x:c r="BJ29" s="60" t="n">
        <x:v>68.8408041381836</x:v>
      </x:c>
      <x:c r="BK29" s="60" t="n">
        <x:v>69.05452156066895</x:v>
      </x:c>
      <x:c r="BL29" s="60" t="n">
        <x:v>69.22827545166015</x:v>
      </x:c>
      <x:c r="BM29" s="60" t="n">
        <x:v>69.42773559570313</x:v>
      </x:c>
      <x:c r="BN29" s="60" t="n">
        <x:v>69.60471801757812</x:v>
      </x:c>
      <x:c r="BO29" s="60" t="n">
        <x:v>69.78212249755859</x:v>
      </x:c>
      <x:c r="BP29" s="60" t="n">
        <x:v>69.95932205200195</x:v>
      </x:c>
      <x:c r="BQ29" s="60" t="n">
        <x:v>70.1371223449707</x:v>
      </x:c>
      <x:c r="BR29" s="60" t="n">
        <x:v>70.31435821533204</x:v>
      </x:c>
      <x:c r="BS29" s="60" t="n">
        <x:v>70.51618194580078</x:v>
      </x:c>
      <x:c r="BT29" s="60" t="n">
        <x:v>70.6959001159668</x:v>
      </x:c>
      <x:c r="BU29" s="60" t="n">
        <x:v>70.88583503723144</x:v>
      </x:c>
      <x:c r="BV29" s="60" t="n">
        <x:v>71.06701049804687</x:v>
      </x:c>
      <x:c r="BW29" s="60" t="n">
        <x:v>71.24434158325195</x:v>
      </x:c>
      <x:c r="BX29" s="60" t="n">
        <x:v>71.43955917358399</x:v>
      </x:c>
      <x:c r="BY29" s="60" t="n">
        <x:v>71.61200881958008</x:v>
      </x:c>
      <x:c r="BZ29" s="60" t="n">
        <x:v>71.79847900390625</x:v>
      </x:c>
      <x:c r="CA29" s="60" t="n">
        <x:v>71.98778701782227</x:v>
      </x:c>
      <x:c r="CB29" s="60" t="n">
        <x:v>72.15674392700195</x:v>
      </x:c>
      <x:c r="CC29" s="60" t="n">
        <x:v>72.33472442626953</x:v>
      </x:c>
      <x:c r="CD29" s="60" t="n">
        <x:v>72.50392517089844</x:v>
      </x:c>
      <x:c r="CE29" s="60" t="n">
        <x:v>72.69521842956543</x:v>
      </x:c>
      <x:c r="CF29" s="60" t="n">
        <x:v>72.8560890197754</x:v>
      </x:c>
      <x:c r="CG29" s="60" t="n">
        <x:v>73.03066268920898</x:v>
      </x:c>
      <x:c r="CH29" s="60" t="n">
        <x:v>73.19849090576172</x:v>
      </x:c>
      <x:c r="CI29" s="60" t="n">
        <x:v>73.37704856872558</x:v>
      </x:c>
      <x:c r="CJ29" s="60" t="n">
        <x:v>73.56015945434571</x:v>
      </x:c>
      <x:c r="CK29" s="60" t="n">
        <x:v>73.76389083862304</x:v>
      </x:c>
      <x:c r="CL29" s="60" t="n">
        <x:v>73.96862243652343</x:v>
      </x:c>
      <x:c r="CM29" s="60" t="n">
        <x:v>74.16961135864258</x:v>
      </x:c>
      <x:c r="CN29" s="60" t="n">
        <x:v>74.35678283691406</x:v>
      </x:c>
      <x:c r="CO29" s="60" t="n">
        <x:v>74.56291770935059</x:v>
      </x:c>
      <x:c r="CP29" s="60" t="n">
        <x:v>74.77648712158204</x:v>
      </x:c>
      <x:c r="CQ29" s="60" t="n">
        <x:v>74.94897857666015</x:v>
      </x:c>
      <x:c r="CR29" s="60" t="n">
        <x:v>75.17876358032227</x:v>
      </x:c>
      <x:c r="CS29" s="60" t="n">
        <x:v>75.42265518188476</x:v>
      </x:c>
      <x:c r="CT29" s="60" t="n">
        <x:v>75.66383666992188</x:v>
      </x:c>
      <x:c r="CU29" s="60" t="n">
        <x:v>75.93310386657714</x:v>
      </x:c>
      <x:c r="CV29" s="60" t="n">
        <x:v>76.19479919433594</x:v>
      </x:c>
      <x:c r="CW29" s="60" t="n">
        <x:v>76.46337356567383</x:v>
      </x:c>
      <x:c r="CX29" s="60" t="n">
        <x:v>76.76414184570312</x:v>
      </x:c>
      <x:c r="CY29" s="60" t="n">
        <x:v>77.13976722717285</x:v>
      </x:c>
      <x:c r="CZ29" s="60" t="n">
        <x:v>77.60355926513672</x:v>
      </x:c>
      <x:c r="DA29" s="60" t="n">
        <x:v>78.16134826660155</x:v>
      </x:c>
      <x:c r="DB29" s="60" t="n">
        <x:v>80.68978118896484</x:v>
      </x:c>
    </x:row>
    <x:row r="30">
      <x:c r="A30" t="str">
        <x:v>マフォクシー-1</x:v>
      </x:c>
      <x:c r="B30" t="str">
        <x:v>マフォクシー</x:v>
      </x:c>
      <x:c r="C30" t="str">
        <x:v>ほのおのうず</x:v>
      </x:c>
      <x:c r="D30" s="60" t="n">
        <x:v>63.3770866394043</x:v>
      </x:c>
      <x:c r="E30" s="60" t="n">
        <x:v>6.201658248901367</x:v>
      </x:c>
      <x:c r="F30" s="60" t="n">
        <x:v>39.00743103027344</x:v>
      </x:c>
      <x:c r="G30" s="60" t="n">
        <x:v>47.14366176605225</x:v>
      </x:c>
      <x:c r="H30" s="60" t="n">
        <x:v>49.097723388671874</x:v>
      </x:c>
      <x:c r="I30" s="60" t="n">
        <x:v>50.39884769439697</x:v>
      </x:c>
      <x:c r="J30" s="60" t="n">
        <x:v>51.45598098754883</x:v>
      </x:c>
      <x:c r="K30" s="60" t="n">
        <x:v>52.152635765075686</x:v>
      </x:c>
      <x:c r="L30" s="60" t="n">
        <x:v>52.85898078918457</x:v>
      </x:c>
      <x:c r="M30" s="60" t="n">
        <x:v>53.412215309143065</x:v>
      </x:c>
      <x:c r="N30" s="60" t="n">
        <x:v>53.89011505126953</x:v>
      </x:c>
      <x:c r="O30" s="60" t="n">
        <x:v>54.371299285888675</x:v>
      </x:c>
      <x:c r="P30" s="60" t="n">
        <x:v>54.801109313964844</x:v>
      </x:c>
      <x:c r="Q30" s="60" t="n">
        <x:v>55.18642951965332</x:v>
      </x:c>
      <x:c r="R30" s="60" t="n">
        <x:v>55.55093765258789</x:v>
      </x:c>
      <x:c r="S30" s="60" t="n">
        <x:v>55.92488796234131</x:v>
      </x:c>
      <x:c r="T30" s="60" t="n">
        <x:v>56.291532592773436</x:v>
      </x:c>
      <x:c r="U30" s="60" t="n">
        <x:v>56.64801216125488</x:v>
      </x:c>
      <x:c r="V30" s="60" t="n">
        <x:v>56.96960968017578</x:v>
      </x:c>
      <x:c r="W30" s="60" t="n">
        <x:v>57.27958740234375</x:v>
      </x:c>
      <x:c r="X30" s="60" t="n">
        <x:v>57.54354476928711</x:v>
      </x:c>
      <x:c r="Y30" s="60" t="n">
        <x:v>57.81290985107422</x:v>
      </x:c>
      <x:c r="Z30" s="60" t="n">
        <x:v>58.089117431640624</x:v>
      </x:c>
      <x:c r="AA30" s="60" t="n">
        <x:v>58.36279640197754</x:v>
      </x:c>
      <x:c r="AB30" s="60" t="n">
        <x:v>58.63590934753418</x:v>
      </x:c>
      <x:c r="AC30" s="60" t="n">
        <x:v>58.870299186706546</x:v>
      </x:c>
      <x:c r="AD30" s="60" t="n">
        <x:v>59.121814575195316</x:v>
      </x:c>
      <x:c r="AE30" s="60" t="n">
        <x:v>59.337876319885254</x:v>
      </x:c>
      <x:c r="AF30" s="60" t="n">
        <x:v>59.574733123779296</x:v>
      </x:c>
      <x:c r="AG30" s="60" t="n">
        <x:v>59.81602375030518</x:v>
      </x:c>
      <x:c r="AH30" s="60" t="n">
        <x:v>60.04937057495117</x:v>
      </x:c>
      <x:c r="AI30" s="60" t="n">
        <x:v>60.276976089477536</x:v>
      </x:c>
      <x:c r="AJ30" s="60" t="n">
        <x:v>60.521170425415036</x:v>
      </x:c>
      <x:c r="AK30" s="60" t="n">
        <x:v>60.72677097320557</x:v>
      </x:c>
      <x:c r="AL30" s="60" t="n">
        <x:v>60.92360626220703</x:v>
      </x:c>
      <x:c r="AM30" s="60" t="n">
        <x:v>61.10527317047119</x:v>
      </x:c>
      <x:c r="AN30" s="60" t="n">
        <x:v>61.271753005981445</x:v>
      </x:c>
      <x:c r="AO30" s="60" t="n">
        <x:v>61.4666784286499</x:v>
      </x:c>
      <x:c r="AP30" s="60" t="n">
        <x:v>61.661684875488284</x:v>
      </x:c>
      <x:c r="AQ30" s="60" t="n">
        <x:v>61.844522399902345</x:v>
      </x:c>
      <x:c r="AR30" s="60" t="n">
        <x:v>62.02850151062012</x:v>
      </x:c>
      <x:c r="AS30" s="60" t="n">
        <x:v>62.211165008544924</x:v>
      </x:c>
      <x:c r="AT30" s="60" t="n">
        <x:v>62.395781707763675</x:v>
      </x:c>
      <x:c r="AU30" s="60" t="n">
        <x:v>62.55361839294434</x:v>
      </x:c>
      <x:c r="AV30" s="60" t="n">
        <x:v>62.731592407226564</x:v>
      </x:c>
      <x:c r="AW30" s="60" t="n">
        <x:v>62.89673477172852</x:v>
      </x:c>
      <x:c r="AX30" s="60" t="n">
        <x:v>63.075532836914064</x:v>
      </x:c>
      <x:c r="AY30" s="60" t="n">
        <x:v>63.25818004608154</x:v>
      </x:c>
      <x:c r="AZ30" s="60" t="n">
        <x:v>63.421360168457035</x:v>
      </x:c>
      <x:c r="BA30" s="60" t="n">
        <x:v>63.58226787567139</x:v>
      </x:c>
      <x:c r="BB30" s="60" t="n">
        <x:v>63.754827880859374</x:v>
      </x:c>
      <x:c r="BC30" s="60" t="n">
        <x:v>63.90451251983642</x:v>
      </x:c>
      <x:c r="BD30" s="60" t="n">
        <x:v>64.06531143188477</x:v>
      </x:c>
      <x:c r="BE30" s="60" t="n">
        <x:v>64.21619209289551</x:v>
      </x:c>
      <x:c r="BF30" s="60" t="n">
        <x:v>64.3543701171875</x:v>
      </x:c>
      <x:c r="BG30" s="60" t="n">
        <x:v>64.50624755859376</x:v>
      </x:c>
      <x:c r="BH30" s="60" t="n">
        <x:v>64.68219528198242</x:v>
      </x:c>
      <x:c r="BI30" s="60" t="n">
        <x:v>64.84298591613769</x:v>
      </x:c>
      <x:c r="BJ30" s="60" t="n">
        <x:v>64.98925384521485</x:v>
      </x:c>
      <x:c r="BK30" s="60" t="n">
        <x:v>65.15292556762695</x:v>
      </x:c>
      <x:c r="BL30" s="60" t="n">
        <x:v>65.31705032348633</x:v>
      </x:c>
      <x:c r="BM30" s="60" t="n">
        <x:v>65.46282936096192</x:v>
      </x:c>
      <x:c r="BN30" s="60" t="n">
        <x:v>65.60589447021485</x:v>
      </x:c>
      <x:c r="BO30" s="60" t="n">
        <x:v>65.7497543334961</x:v>
      </x:c>
      <x:c r="BP30" s="60" t="n">
        <x:v>65.92758651733398</x:v>
      </x:c>
      <x:c r="BQ30" s="60" t="n">
        <x:v>66.09710479736329</x:v>
      </x:c>
      <x:c r="BR30" s="60" t="n">
        <x:v>66.26186645507812</x:v>
      </x:c>
      <x:c r="BS30" s="60" t="n">
        <x:v>66.4067310333252</x:v>
      </x:c>
      <x:c r="BT30" s="60" t="n">
        <x:v>66.56163024902344</x:v>
      </x:c>
      <x:c r="BU30" s="60" t="n">
        <x:v>66.70328437805176</x:v>
      </x:c>
      <x:c r="BV30" s="60" t="n">
        <x:v>66.85593353271484</x:v>
      </x:c>
      <x:c r="BW30" s="60" t="n">
        <x:v>67.01409591674805</x:v>
      </x:c>
      <x:c r="BX30" s="60" t="n">
        <x:v>67.17482452392578</x:v>
      </x:c>
      <x:c r="BY30" s="60" t="n">
        <x:v>67.33554847717285</x:v>
      </x:c>
      <x:c r="BZ30" s="60" t="n">
        <x:v>67.51214141845703</x:v>
      </x:c>
      <x:c r="CA30" s="60" t="n">
        <x:v>67.67064041137695</x:v>
      </x:c>
      <x:c r="CB30" s="60" t="n">
        <x:v>67.83603088378906</x:v>
      </x:c>
      <x:c r="CC30" s="60" t="n">
        <x:v>67.99351119995117</x:v>
      </x:c>
      <x:c r="CD30" s="60" t="n">
        <x:v>68.1628369140625</x:v>
      </x:c>
      <x:c r="CE30" s="60" t="n">
        <x:v>68.32299743652344</x:v>
      </x:c>
      <x:c r="CF30" s="60" t="n">
        <x:v>68.50213195800781</x:v>
      </x:c>
      <x:c r="CG30" s="60" t="n">
        <x:v>68.68637191772461</x:v>
      </x:c>
      <x:c r="CH30" s="60" t="n">
        <x:v>68.86842041015625</x:v>
      </x:c>
      <x:c r="CI30" s="60" t="n">
        <x:v>69.04618034362792</x:v>
      </x:c>
      <x:c r="CJ30" s="60" t="n">
        <x:v>69.23883926391602</x:v>
      </x:c>
      <x:c r="CK30" s="60" t="n">
        <x:v>69.43902557373048</x:v>
      </x:c>
      <x:c r="CL30" s="60" t="n">
        <x:v>69.6131671142578</x:v>
      </x:c>
      <x:c r="CM30" s="60" t="n">
        <x:v>69.80946159362793</x:v>
      </x:c>
      <x:c r="CN30" s="60" t="n">
        <x:v>70.02122970581054</x:v>
      </x:c>
      <x:c r="CO30" s="60" t="n">
        <x:v>70.22392127990723</x:v>
      </x:c>
      <x:c r="CP30" s="60" t="n">
        <x:v>70.41160034179687</x:v>
      </x:c>
      <x:c r="CQ30" s="60" t="n">
        <x:v>70.61538749694824</x:v>
      </x:c>
      <x:c r="CR30" s="60" t="n">
        <x:v>70.84064865112305</x:v>
      </x:c>
      <x:c r="CS30" s="60" t="n">
        <x:v>71.10160400390625</x:v>
      </x:c>
      <x:c r="CT30" s="60" t="n">
        <x:v>71.39142211914063</x:v>
      </x:c>
      <x:c r="CU30" s="60" t="n">
        <x:v>71.67179969787598</x:v>
      </x:c>
      <x:c r="CV30" s="60" t="n">
        <x:v>71.9839680480957</x:v>
      </x:c>
      <x:c r="CW30" s="60" t="n">
        <x:v>72.34627342224123</x:v>
      </x:c>
      <x:c r="CX30" s="60" t="n">
        <x:v>72.77588348388672</x:v>
      </x:c>
      <x:c r="CY30" s="60" t="n">
        <x:v>73.27298889160156</x:v>
      </x:c>
      <x:c r="CZ30" s="60" t="n">
        <x:v>73.85389419555665</x:v>
      </x:c>
      <x:c r="DA30" s="60" t="n">
        <x:v>74.85474319458008</x:v>
      </x:c>
      <x:c r="DB30" s="60" t="n">
        <x:v>79.31309509277344</x:v>
      </x:c>
    </x:row>
    <x:row r="31">
      <x:c r="A31" t="str">
        <x:v>マフォクシー-2</x:v>
      </x:c>
      <x:c r="B31" t="str">
        <x:v>マフォクシー</x:v>
      </x:c>
      <x:c r="C31" t="str">
        <x:v>ニトロチャージ</x:v>
      </x:c>
      <x:c r="D31" s="60" t="n">
        <x:v>67.45391845703125</x:v>
      </x:c>
      <x:c r="E31" s="60" t="n">
        <x:v>8.494060516357422</x:v>
      </x:c>
      <x:c r="F31" s="60" t="n">
        <x:v>35.54536056518555</x:v>
      </x:c>
      <x:c r="G31" s="60" t="n">
        <x:v>45.298495597839356</x:v>
      </x:c>
      <x:c r="H31" s="60" t="n">
        <x:v>47.902005462646486</x:v>
      </x:c>
      <x:c r="I31" s="60" t="n">
        <x:v>49.637666091918945</x:v>
      </x:c>
      <x:c r="J31" s="60" t="n">
        <x:v>51.04888961791992</x:v>
      </x:c>
      <x:c r="K31" s="60" t="n">
        <x:v>52.193807983398436</x:v>
      </x:c>
      <x:c r="L31" s="60" t="n">
        <x:v>53.088074645996095</x:v>
      </x:c>
      <x:c r="M31" s="60" t="n">
        <x:v>53.80954307556152</x:v>
      </x:c>
      <x:c r="N31" s="60" t="n">
        <x:v>54.51384841918945</x:v>
      </x:c>
      <x:c r="O31" s="60" t="n">
        <x:v>55.17437915802002</x:v>
      </x:c>
      <x:c r="P31" s="60" t="n">
        <x:v>55.8015323638916</x:v>
      </x:c>
      <x:c r="Q31" s="60" t="n">
        <x:v>56.322231216430666</x:v>
      </x:c>
      <x:c r="R31" s="60" t="n">
        <x:v>56.79663009643555</x:v>
      </x:c>
      <x:c r="S31" s="60" t="n">
        <x:v>57.29619789123535</x:v>
      </x:c>
      <x:c r="T31" s="60" t="n">
        <x:v>57.764778213500975</x:v>
      </x:c>
      <x:c r="U31" s="60" t="n">
        <x:v>58.1970235824585</x:v>
      </x:c>
      <x:c r="V31" s="60" t="n">
        <x:v>58.64591278076172</x:v>
      </x:c>
      <x:c r="W31" s="60" t="n">
        <x:v>59.03622756958008</x:v>
      </x:c>
      <x:c r="X31" s="60" t="n">
        <x:v>59.46183433532715</x:v>
      </x:c>
      <x:c r="Y31" s="60" t="n">
        <x:v>59.82406913757324</x:v>
      </x:c>
      <x:c r="Z31" s="60" t="n">
        <x:v>60.18272933959961</x:v>
      </x:c>
      <x:c r="AA31" s="60" t="n">
        <x:v>60.54115386962891</x:v>
      </x:c>
      <x:c r="AB31" s="60" t="n">
        <x:v>60.91112609863281</x:v>
      </x:c>
      <x:c r="AC31" s="60" t="n">
        <x:v>61.27107414245606</x:v>
      </x:c>
      <x:c r="AD31" s="60" t="n">
        <x:v>61.59125045776367</x:v>
      </x:c>
      <x:c r="AE31" s="60" t="n">
        <x:v>61.87600135803223</x:v>
      </x:c>
      <x:c r="AF31" s="60" t="n">
        <x:v>62.17306930541992</x:v>
      </x:c>
      <x:c r="AG31" s="60" t="n">
        <x:v>62.461262969970704</x:v>
      </x:c>
      <x:c r="AH31" s="60" t="n">
        <x:v>62.75643936157226</x:v>
      </x:c>
      <x:c r="AI31" s="60" t="n">
        <x:v>63.03369945526123</x:v>
      </x:c>
      <x:c r="AJ31" s="60" t="n">
        <x:v>63.31915016174317</x:v>
      </x:c>
      <x:c r="AK31" s="60" t="n">
        <x:v>63.588792686462405</x:v>
      </x:c>
      <x:c r="AL31" s="60" t="n">
        <x:v>63.862117004394534</x:v>
      </x:c>
      <x:c r="AM31" s="60" t="n">
        <x:v>64.14292182922364</x:v>
      </x:c>
      <x:c r="AN31" s="60" t="n">
        <x:v>64.43408386230469</x:v>
      </x:c>
      <x:c r="AO31" s="60" t="n">
        <x:v>64.7059139251709</x:v>
      </x:c>
      <x:c r="AP31" s="60" t="n">
        <x:v>64.97983581542968</x:v>
      </x:c>
      <x:c r="AQ31" s="60" t="n">
        <x:v>65.24890991210937</x:v>
      </x:c>
      <x:c r="AR31" s="60" t="n">
        <x:v>65.51219665527344</x:v>
      </x:c>
      <x:c r="AS31" s="60" t="n">
        <x:v>65.72655281066895</x:v>
      </x:c>
      <x:c r="AT31" s="60" t="n">
        <x:v>65.98331604003906</x:v>
      </x:c>
      <x:c r="AU31" s="60" t="n">
        <x:v>66.24864952087403</x:v>
      </x:c>
      <x:c r="AV31" s="60" t="n">
        <x:v>66.50343978881835</x:v>
      </x:c>
      <x:c r="AW31" s="60" t="n">
        <x:v>66.76509086608887</x:v>
      </x:c>
      <x:c r="AX31" s="60" t="n">
        <x:v>67.02435516357421</x:v>
      </x:c>
      <x:c r="AY31" s="60" t="n">
        <x:v>67.25765457153321</x:v>
      </x:c>
      <x:c r="AZ31" s="60" t="n">
        <x:v>67.48795730590821</x:v>
      </x:c>
      <x:c r="BA31" s="60" t="n">
        <x:v>67.72327316284179</x:v>
      </x:c>
      <x:c r="BB31" s="60" t="n">
        <x:v>67.9549105834961</x:v>
      </x:c>
      <x:c r="BC31" s="60" t="n">
        <x:v>68.19698913574219</x:v>
      </x:c>
      <x:c r="BD31" s="60" t="n">
        <x:v>68.42931747436523</x:v>
      </x:c>
      <x:c r="BE31" s="60" t="n">
        <x:v>68.65358222961426</x:v>
      </x:c>
      <x:c r="BF31" s="60" t="n">
        <x:v>68.86944915771484</x:v>
      </x:c>
      <x:c r="BG31" s="60" t="n">
        <x:v>69.09033721923828</x:v>
      </x:c>
      <x:c r="BH31" s="60" t="n">
        <x:v>69.29452819824219</x:v>
      </x:c>
      <x:c r="BI31" s="60" t="n">
        <x:v>69.5064910888672</x:v>
      </x:c>
      <x:c r="BJ31" s="60" t="n">
        <x:v>69.72625366210937</x:v>
      </x:c>
      <x:c r="BK31" s="60" t="n">
        <x:v>69.92705863952636</x:v>
      </x:c>
      <x:c r="BL31" s="60" t="n">
        <x:v>70.1767854309082</x:v>
      </x:c>
      <x:c r="BM31" s="60" t="n">
        <x:v>70.38298683166504</x:v>
      </x:c>
      <x:c r="BN31" s="60" t="n">
        <x:v>70.57569885253906</x:v>
      </x:c>
      <x:c r="BO31" s="60" t="n">
        <x:v>70.79034019470215</x:v>
      </x:c>
      <x:c r="BP31" s="60" t="n">
        <x:v>71.00824157714844</x:v>
      </x:c>
      <x:c r="BQ31" s="60" t="n">
        <x:v>71.22722854614258</x:v>
      </x:c>
      <x:c r="BR31" s="60" t="n">
        <x:v>71.45647277832032</x:v>
      </x:c>
      <x:c r="BS31" s="60" t="n">
        <x:v>71.67532806396484</x:v>
      </x:c>
      <x:c r="BT31" s="60" t="n">
        <x:v>71.91246154785156</x:v>
      </x:c>
      <x:c r="BU31" s="60" t="n">
        <x:v>72.15234359741211</x:v>
      </x:c>
      <x:c r="BV31" s="60" t="n">
        <x:v>72.35865264892578</x:v>
      </x:c>
      <x:c r="BW31" s="60" t="n">
        <x:v>72.557455368042</x:v>
      </x:c>
      <x:c r="BX31" s="60" t="n">
        <x:v>72.80143203735352</x:v>
      </x:c>
      <x:c r="BY31" s="60" t="n">
        <x:v>73.0296174621582</x:v>
      </x:c>
      <x:c r="BZ31" s="60" t="n">
        <x:v>73.23176330566406</x:v>
      </x:c>
      <x:c r="CA31" s="60" t="n">
        <x:v>73.46352584838867</x:v>
      </x:c>
      <x:c r="CB31" s="60" t="n">
        <x:v>73.68097061157226</x:v>
      </x:c>
      <x:c r="CC31" s="60" t="n">
        <x:v>73.8969554901123</x:v>
      </x:c>
      <x:c r="CD31" s="60" t="n">
        <x:v>74.16517913818359</x:v>
      </x:c>
      <x:c r="CE31" s="60" t="n">
        <x:v>74.38850723266602</x:v>
      </x:c>
      <x:c r="CF31" s="60" t="n">
        <x:v>74.60504486083984</x:v>
      </x:c>
      <x:c r="CG31" s="60" t="n">
        <x:v>74.87040016174316</x:v>
      </x:c>
      <x:c r="CH31" s="60" t="n">
        <x:v>75.10518951416016</x:v>
      </x:c>
      <x:c r="CI31" s="60" t="n">
        <x:v>75.33277519226074</x:v>
      </x:c>
      <x:c r="CJ31" s="60" t="n">
        <x:v>75.6128157043457</x:v>
      </x:c>
      <x:c r="CK31" s="60" t="n">
        <x:v>75.85767333984376</x:v>
      </x:c>
      <x:c r="CL31" s="60" t="n">
        <x:v>76.15304718017578</x:v>
      </x:c>
      <x:c r="CM31" s="60" t="n">
        <x:v>76.41463890075683</x:v>
      </x:c>
      <x:c r="CN31" s="60" t="n">
        <x:v>76.67675964355469</x:v>
      </x:c>
      <x:c r="CO31" s="60" t="n">
        <x:v>76.93087379455567</x:v>
      </x:c>
      <x:c r="CP31" s="60" t="n">
        <x:v>77.19479553222656</x:v>
      </x:c>
      <x:c r="CQ31" s="60" t="n">
        <x:v>77.47336288452149</x:v>
      </x:c>
      <x:c r="CR31" s="60" t="n">
        <x:v>77.80602416992188</x:v>
      </x:c>
      <x:c r="CS31" s="60" t="n">
        <x:v>78.14285079956055</x:v>
      </x:c>
      <x:c r="CT31" s="60" t="n">
        <x:v>78.49016693115234</x:v>
      </x:c>
      <x:c r="CU31" s="60" t="n">
        <x:v>78.85653053283691</x:v>
      </x:c>
      <x:c r="CV31" s="60" t="n">
        <x:v>79.3200456237793</x:v>
      </x:c>
      <x:c r="CW31" s="60" t="n">
        <x:v>79.71362876892091</x:v>
      </x:c>
      <x:c r="CX31" s="60" t="n">
        <x:v>80.22881927490235</x:v>
      </x:c>
      <x:c r="CY31" s="60" t="n">
        <x:v>80.79413208007813</x:v>
      </x:c>
      <x:c r="CZ31" s="60" t="n">
        <x:v>81.45615158081054</x:v>
      </x:c>
      <x:c r="DA31" s="60" t="n">
        <x:v>82.45165634155272</x:v>
      </x:c>
      <x:c r="DB31" s="60" t="n">
        <x:v>86.16148376464844</x:v>
      </x:c>
    </x:row>
    <x:row r="32">
      <x:c r="A32" t="str">
        <x:v>ミュウ-1</x:v>
      </x:c>
      <x:c r="B32" t="str">
        <x:v>ミュウ</x:v>
      </x:c>
      <x:c r="C32" t="str">
        <x:v>共通</x:v>
      </x:c>
      <x:c r="D32" s="60" t="n">
        <x:v>62.73307418823242</x:v>
      </x:c>
      <x:c r="E32" s="60" t="n">
        <x:v>7.860650539398193</x:v>
      </x:c>
      <x:c r="F32" s="60" t="n">
        <x:v>34.05295181274414</x:v>
      </x:c>
      <x:c r="G32" s="60" t="n">
        <x:v>43.41416645050049</x:v>
      </x:c>
      <x:c r="H32" s="60" t="n">
        <x:v>45.377358016967776</x:v>
      </x:c>
      <x:c r="I32" s="60" t="n">
        <x:v>46.89781986236572</x:v>
      </x:c>
      <x:c r="J32" s="60" t="n">
        <x:v>47.98098403930664</x:v>
      </x:c>
      <x:c r="K32" s="60" t="n">
        <x:v>48.84375534057617</x:v>
      </x:c>
      <x:c r="L32" s="60" t="n">
        <x:v>49.63254318237305</x:v>
      </x:c>
      <x:c r="M32" s="60" t="n">
        <x:v>50.33913360595703</x:v>
      </x:c>
      <x:c r="N32" s="60" t="n">
        <x:v>50.90465515136719</x:v>
      </x:c>
      <x:c r="O32" s="60" t="n">
        <x:v>51.513038635253906</x:v>
      </x:c>
      <x:c r="P32" s="60" t="n">
        <x:v>52.06313934326172</x:v>
      </x:c>
      <x:c r="Q32" s="60" t="n">
        <x:v>52.578052291870115</x:v>
      </x:c>
      <x:c r="R32" s="60" t="n">
        <x:v>53.01667907714844</x:v>
      </x:c>
      <x:c r="S32" s="60" t="n">
        <x:v>53.4720246887207</x:v>
      </x:c>
      <x:c r="T32" s="60" t="n">
        <x:v>53.88657928466797</x:v>
      </x:c>
      <x:c r="U32" s="60" t="n">
        <x:v>54.24837646484375</x:v>
      </x:c>
      <x:c r="V32" s="60" t="n">
        <x:v>54.60090393066406</x:v>
      </x:c>
      <x:c r="W32" s="60" t="n">
        <x:v>55.0024036026001</x:v>
      </x:c>
      <x:c r="X32" s="60" t="n">
        <x:v>55.31123466491699</x:v>
      </x:c>
      <x:c r="Y32" s="60" t="n">
        <x:v>55.594909782409665</x:v>
      </x:c>
      <x:c r="Z32" s="60" t="n">
        <x:v>55.872701263427736</x:v>
      </x:c>
      <x:c r="AA32" s="60" t="n">
        <x:v>56.16220115661621</x:v>
      </x:c>
      <x:c r="AB32" s="60" t="n">
        <x:v>56.47758522033691</x:v>
      </x:c>
      <x:c r="AC32" s="60" t="n">
        <x:v>56.779429588317875</x:v>
      </x:c>
      <x:c r="AD32" s="60" t="n">
        <x:v>57.07024337768555</x:v>
      </x:c>
      <x:c r="AE32" s="60" t="n">
        <x:v>57.386817932128906</x:v>
      </x:c>
      <x:c r="AF32" s="60" t="n">
        <x:v>57.65294441223145</x:v>
      </x:c>
      <x:c r="AG32" s="60" t="n">
        <x:v>57.92055248260498</x:v>
      </x:c>
      <x:c r="AH32" s="60" t="n">
        <x:v>58.1794320678711</x:v>
      </x:c>
      <x:c r="AI32" s="60" t="n">
        <x:v>58.46491371154785</x:v>
      </x:c>
      <x:c r="AJ32" s="60" t="n">
        <x:v>58.742208862304686</x:v>
      </x:c>
      <x:c r="AK32" s="60" t="n">
        <x:v>58.995835571289064</x:v>
      </x:c>
      <x:c r="AL32" s="60" t="n">
        <x:v>59.27380187988281</x:v>
      </x:c>
      <x:c r="AM32" s="60" t="n">
        <x:v>59.52990901947022</x:v>
      </x:c>
      <x:c r="AN32" s="60" t="n">
        <x:v>59.764062118530276</x:v>
      </x:c>
      <x:c r="AO32" s="60" t="n">
        <x:v>60.0313102722168</x:v>
      </x:c>
      <x:c r="AP32" s="60" t="n">
        <x:v>60.29701324462891</x:v>
      </x:c>
      <x:c r="AQ32" s="60" t="n">
        <x:v>60.51623405456543</x:v>
      </x:c>
      <x:c r="AR32" s="60" t="n">
        <x:v>60.72249313354492</x:v>
      </x:c>
      <x:c r="AS32" s="60" t="n">
        <x:v>60.94641353607178</x:v>
      </x:c>
      <x:c r="AT32" s="60" t="n">
        <x:v>61.179388427734374</x:v>
      </x:c>
      <x:c r="AU32" s="60" t="n">
        <x:v>61.42527015686035</x:v>
      </x:c>
      <x:c r="AV32" s="60" t="n">
        <x:v>61.67054573059082</x:v>
      </x:c>
      <x:c r="AW32" s="60" t="n">
        <x:v>61.90360774993896</x:v>
      </x:c>
      <x:c r="AX32" s="60" t="n">
        <x:v>62.117939147949215</x:v>
      </x:c>
      <x:c r="AY32" s="60" t="n">
        <x:v>62.357512855529784</x:v>
      </x:c>
      <x:c r="AZ32" s="60" t="n">
        <x:v>62.58502815246582</x:v>
      </x:c>
      <x:c r="BA32" s="60" t="n">
        <x:v>62.77993370056152</x:v>
      </x:c>
      <x:c r="BB32" s="60" t="n">
        <x:v>62.99471176147461</x:v>
      </x:c>
      <x:c r="BC32" s="60" t="n">
        <x:v>63.20218276977539</x:v>
      </x:c>
      <x:c r="BD32" s="60" t="n">
        <x:v>63.400272369384766</x:v>
      </x:c>
      <x:c r="BE32" s="60" t="n">
        <x:v>63.59142635345459</x:v>
      </x:c>
      <x:c r="BF32" s="60" t="n">
        <x:v>63.81774673461914</x:v>
      </x:c>
      <x:c r="BG32" s="60" t="n">
        <x:v>64.01286468505859</x:v>
      </x:c>
      <x:c r="BH32" s="60" t="n">
        <x:v>64.20496215820313</x:v>
      </x:c>
      <x:c r="BI32" s="60" t="n">
        <x:v>64.39622764587402</x:v>
      </x:c>
      <x:c r="BJ32" s="60" t="n">
        <x:v>64.57054718017578</x:v>
      </x:c>
      <x:c r="BK32" s="60" t="n">
        <x:v>64.75577758789063</x:v>
      </x:c>
      <x:c r="BL32" s="60" t="n">
        <x:v>64.96301223754882</x:v>
      </x:c>
      <x:c r="BM32" s="60" t="n">
        <x:v>65.17627868652343</x:v>
      </x:c>
      <x:c r="BN32" s="60" t="n">
        <x:v>65.36021118164062</x:v>
      </x:c>
      <x:c r="BO32" s="60" t="n">
        <x:v>65.57577987670898</x:v>
      </x:c>
      <x:c r="BP32" s="60" t="n">
        <x:v>65.81531600952148</x:v>
      </x:c>
      <x:c r="BQ32" s="60" t="n">
        <x:v>66.02392204284668</x:v>
      </x:c>
      <x:c r="BR32" s="60" t="n">
        <x:v>66.24860443115234</x:v>
      </x:c>
      <x:c r="BS32" s="60" t="n">
        <x:v>66.42179641723632</x:v>
      </x:c>
      <x:c r="BT32" s="60" t="n">
        <x:v>66.63808731079102</x:v>
      </x:c>
      <x:c r="BU32" s="60" t="n">
        <x:v>66.84750106811524</x:v>
      </x:c>
      <x:c r="BV32" s="60" t="n">
        <x:v>67.0492855834961</x:v>
      </x:c>
      <x:c r="BW32" s="60" t="n">
        <x:v>67.25354621887207</x:v>
      </x:c>
      <x:c r="BX32" s="60" t="n">
        <x:v>67.46010513305664</x:v>
      </x:c>
      <x:c r="BY32" s="60" t="n">
        <x:v>67.6763144683838</x:v>
      </x:c>
      <x:c r="BZ32" s="60" t="n">
        <x:v>67.8848452758789</x:v>
      </x:c>
      <x:c r="CA32" s="60" t="n">
        <x:v>68.11578475952149</x:v>
      </x:c>
      <x:c r="CB32" s="60" t="n">
        <x:v>68.33698989868164</x:v>
      </x:c>
      <x:c r="CC32" s="60" t="n">
        <x:v>68.52293968200684</x:v>
      </x:c>
      <x:c r="CD32" s="60" t="n">
        <x:v>68.72495300292968</x:v>
      </x:c>
      <x:c r="CE32" s="60" t="n">
        <x:v>68.98832290649415</x:v>
      </x:c>
      <x:c r="CF32" s="60" t="n">
        <x:v>69.20530853271485</x:v>
      </x:c>
      <x:c r="CG32" s="60" t="n">
        <x:v>69.45834480285644</x:v>
      </x:c>
      <x:c r="CH32" s="60" t="n">
        <x:v>69.71876068115235</x:v>
      </x:c>
      <x:c r="CI32" s="60" t="n">
        <x:v>69.9492140197754</x:v>
      </x:c>
      <x:c r="CJ32" s="60" t="n">
        <x:v>70.21350311279296</x:v>
      </x:c>
      <x:c r="CK32" s="60" t="n">
        <x:v>70.45451278686524</x:v>
      </x:c>
      <x:c r="CL32" s="60" t="n">
        <x:v>70.70571533203125</x:v>
      </x:c>
      <x:c r="CM32" s="60" t="n">
        <x:v>70.9918399810791</x:v>
      </x:c>
      <x:c r="CN32" s="60" t="n">
        <x:v>71.26983261108398</x:v>
      </x:c>
      <x:c r="CO32" s="60" t="n">
        <x:v>71.54226516723634</x:v>
      </x:c>
      <x:c r="CP32" s="60" t="n">
        <x:v>71.85485321044922</x:v>
      </x:c>
      <x:c r="CQ32" s="60" t="n">
        <x:v>72.20429023742676</x:v>
      </x:c>
      <x:c r="CR32" s="60" t="n">
        <x:v>72.55749816894532</x:v>
      </x:c>
      <x:c r="CS32" s="60" t="n">
        <x:v>72.91459434509278</x:v>
      </x:c>
      <x:c r="CT32" s="60" t="n">
        <x:v>73.30989074707031</x:v>
      </x:c>
      <x:c r="CU32" s="60" t="n">
        <x:v>73.71476356506348</x:v>
      </x:c>
      <x:c r="CV32" s="60" t="n">
        <x:v>74.09077056884766</x:v>
      </x:c>
      <x:c r="CW32" s="60" t="n">
        <x:v>74.51797828674317</x:v>
      </x:c>
      <x:c r="CX32" s="60" t="n">
        <x:v>75.1261050415039</x:v>
      </x:c>
      <x:c r="CY32" s="60" t="n">
        <x:v>75.83325866699218</x:v>
      </x:c>
      <x:c r="CZ32" s="60" t="n">
        <x:v>76.76415298461914</x:v>
      </x:c>
      <x:c r="DA32" s="60" t="n">
        <x:v>78.0439419555664</x:v>
      </x:c>
      <x:c r="DB32" s="60" t="n">
        <x:v>83.49043273925781</x:v>
      </x:c>
    </x:row>
    <x:row r="33">
      <x:c r="A33" t="str">
        <x:v>ミュウツー(Y)-1</x:v>
      </x:c>
      <x:c r="B33" t="str">
        <x:v>ミュウツー(Y)</x:v>
      </x:c>
      <x:c r="C33" t="str">
        <x:v>共通</x:v>
      </x:c>
      <x:c r="D33" s="60" t="n">
        <x:v>65.56108856201172</x:v>
      </x:c>
      <x:c r="E33" s="60" t="n">
        <x:v>8.334274291992188</x:v>
      </x:c>
      <x:c r="F33" s="60" t="n">
        <x:v>34.38764572143555</x:v>
      </x:c>
      <x:c r="G33" s="60" t="n">
        <x:v>44.53211212158203</x:v>
      </x:c>
      <x:c r="H33" s="60" t="n">
        <x:v>46.82134925842285</x:v>
      </x:c>
      <x:c r="I33" s="60" t="n">
        <x:v>48.489052085876466</x:v>
      </x:c>
      <x:c r="J33" s="60" t="n">
        <x:v>49.785493774414064</x:v>
      </x:c>
      <x:c r="K33" s="60" t="n">
        <x:v>50.71300563812256</x:v>
      </x:c>
      <x:c r="L33" s="60" t="n">
        <x:v>51.529996643066404</x:v>
      </x:c>
      <x:c r="M33" s="60" t="n">
        <x:v>52.27827415466309</x:v>
      </x:c>
      <x:c r="N33" s="60" t="n">
        <x:v>52.96373733520508</x:v>
      </x:c>
      <x:c r="O33" s="60" t="n">
        <x:v>53.58692501068115</x:v>
      </x:c>
      <x:c r="P33" s="60" t="n">
        <x:v>54.10919418334961</x:v>
      </x:c>
      <x:c r="Q33" s="60" t="n">
        <x:v>54.71003917694092</x:v>
      </x:c>
      <x:c r="R33" s="60" t="n">
        <x:v>55.145320434570316</x:v>
      </x:c>
      <x:c r="S33" s="60" t="n">
        <x:v>55.63674877166748</x:v>
      </x:c>
      <x:c r="T33" s="60" t="n">
        <x:v>56.10362434387207</x:v>
      </x:c>
      <x:c r="U33" s="60" t="n">
        <x:v>56.56372146606445</x:v>
      </x:c>
      <x:c r="V33" s="60" t="n">
        <x:v>56.97790512084961</x:v>
      </x:c>
      <x:c r="W33" s="60" t="n">
        <x:v>57.31882167816162</x:v>
      </x:c>
      <x:c r="X33" s="60" t="n">
        <x:v>57.678171463012696</x:v>
      </x:c>
      <x:c r="Y33" s="60" t="n">
        <x:v>58.04736724853515</x:v>
      </x:c>
      <x:c r="Z33" s="60" t="n">
        <x:v>58.436831665039065</x:v>
      </x:c>
      <x:c r="AA33" s="60" t="n">
        <x:v>58.81290153503418</x:v>
      </x:c>
      <x:c r="AB33" s="60" t="n">
        <x:v>59.191460800170894</x:v>
      </x:c>
      <x:c r="AC33" s="60" t="n">
        <x:v>59.512399940490724</x:v>
      </x:c>
      <x:c r="AD33" s="60" t="n">
        <x:v>59.87346923828125</x:v>
      </x:c>
      <x:c r="AE33" s="60" t="n">
        <x:v>60.147522926330566</x:v>
      </x:c>
      <x:c r="AF33" s="60" t="n">
        <x:v>60.43318771362305</x:v>
      </x:c>
      <x:c r="AG33" s="60" t="n">
        <x:v>60.6919055557251</x:v>
      </x:c>
      <x:c r="AH33" s="60" t="n">
        <x:v>60.96461654663086</x:v>
      </x:c>
      <x:c r="AI33" s="60" t="n">
        <x:v>61.22019645690918</x:v>
      </x:c>
      <x:c r="AJ33" s="60" t="n">
        <x:v>61.49775390625</x:v>
      </x:c>
      <x:c r="AK33" s="60" t="n">
        <x:v>61.728671836853025</x:v>
      </x:c>
      <x:c r="AL33" s="60" t="n">
        <x:v>62.00320327758789</x:v>
      </x:c>
      <x:c r="AM33" s="60" t="n">
        <x:v>62.2380216217041</x:v>
      </x:c>
      <x:c r="AN33" s="60" t="n">
        <x:v>62.473004837036136</x:v>
      </x:c>
      <x:c r="AO33" s="60" t="n">
        <x:v>62.72497901916504</x:v>
      </x:c>
      <x:c r="AP33" s="60" t="n">
        <x:v>62.977030181884764</x:v>
      </x:c>
      <x:c r="AQ33" s="60" t="n">
        <x:v>63.24001350402832</x:v>
      </x:c>
      <x:c r="AR33" s="60" t="n">
        <x:v>63.49461578369141</x:v>
      </x:c>
      <x:c r="AS33" s="60" t="n">
        <x:v>63.756113624572755</x:v>
      </x:c>
      <x:c r="AT33" s="60" t="n">
        <x:v>63.98840408325195</x:v>
      </x:c>
      <x:c r="AU33" s="60" t="n">
        <x:v>64.2018790435791</x:v>
      </x:c>
      <x:c r="AV33" s="60" t="n">
        <x:v>64.43336853027344</x:v>
      </x:c>
      <x:c r="AW33" s="60" t="n">
        <x:v>64.68513801574707</x:v>
      </x:c>
      <x:c r="AX33" s="60" t="n">
        <x:v>64.8916732788086</x:v>
      </x:c>
      <x:c r="AY33" s="60" t="n">
        <x:v>65.11720695495606</x:v>
      </x:c>
      <x:c r="AZ33" s="60" t="n">
        <x:v>65.34623718261719</x:v>
      </x:c>
      <x:c r="BA33" s="60" t="n">
        <x:v>65.58913993835449</x:v>
      </x:c>
      <x:c r="BB33" s="60" t="n">
        <x:v>65.84597930908203</x:v>
      </x:c>
      <x:c r="BC33" s="60" t="n">
        <x:v>66.06727851867676</x:v>
      </x:c>
      <x:c r="BD33" s="60" t="n">
        <x:v>66.2859001159668</x:v>
      </x:c>
      <x:c r="BE33" s="60" t="n">
        <x:v>66.51242630004883</x:v>
      </x:c>
      <x:c r="BF33" s="60" t="n">
        <x:v>66.7302749633789</x:v>
      </x:c>
      <x:c r="BG33" s="60" t="n">
        <x:v>66.95721069335937</x:v>
      </x:c>
      <x:c r="BH33" s="60" t="n">
        <x:v>67.15763626098632</x:v>
      </x:c>
      <x:c r="BI33" s="60" t="n">
        <x:v>67.34226264953614</x:v>
      </x:c>
      <x:c r="BJ33" s="60" t="n">
        <x:v>67.57435821533203</x:v>
      </x:c>
      <x:c r="BK33" s="60" t="n">
        <x:v>67.76439468383789</x:v>
      </x:c>
      <x:c r="BL33" s="60" t="n">
        <x:v>67.94355163574218</x:v>
      </x:c>
      <x:c r="BM33" s="60" t="n">
        <x:v>68.17918479919433</x:v>
      </x:c>
      <x:c r="BN33" s="60" t="n">
        <x:v>68.3803955078125</x:v>
      </x:c>
      <x:c r="BO33" s="60" t="n">
        <x:v>68.59081275939941</x:v>
      </x:c>
      <x:c r="BP33" s="60" t="n">
        <x:v>68.80643203735352</x:v>
      </x:c>
      <x:c r="BQ33" s="60" t="n">
        <x:v>69.01863037109375</x:v>
      </x:c>
      <x:c r="BR33" s="60" t="n">
        <x:v>69.25551300048828</x:v>
      </x:c>
      <x:c r="BS33" s="60" t="n">
        <x:v>69.5147891998291</x:v>
      </x:c>
      <x:c r="BT33" s="60" t="n">
        <x:v>69.75889770507813</x:v>
      </x:c>
      <x:c r="BU33" s="60" t="n">
        <x:v>69.96781509399415</x:v>
      </x:c>
      <x:c r="BV33" s="60" t="n">
        <x:v>70.1942465209961</x:v>
      </x:c>
      <x:c r="BW33" s="60" t="n">
        <x:v>70.41020011901855</x:v>
      </x:c>
      <x:c r="BX33" s="60" t="n">
        <x:v>70.6409194946289</x:v>
      </x:c>
      <x:c r="BY33" s="60" t="n">
        <x:v>70.8604426574707</x:v>
      </x:c>
      <x:c r="BZ33" s="60" t="n">
        <x:v>71.06993103027344</x:v>
      </x:c>
      <x:c r="CA33" s="60" t="n">
        <x:v>71.30592140197754</x:v>
      </x:c>
      <x:c r="CB33" s="60" t="n">
        <x:v>71.51761764526367</x:v>
      </x:c>
      <x:c r="CC33" s="60" t="n">
        <x:v>71.76782608032227</x:v>
      </x:c>
      <x:c r="CD33" s="60" t="n">
        <x:v>72.01375091552734</x:v>
      </x:c>
      <x:c r="CE33" s="60" t="n">
        <x:v>72.2717074584961</x:v>
      </x:c>
      <x:c r="CF33" s="60" t="n">
        <x:v>72.4941522216797</x:v>
      </x:c>
      <x:c r="CG33" s="60" t="n">
        <x:v>72.7530046081543</x:v>
      </x:c>
      <x:c r="CH33" s="60" t="n">
        <x:v>72.99357299804687</x:v>
      </x:c>
      <x:c r="CI33" s="60" t="n">
        <x:v>73.23063972473145</x:v>
      </x:c>
      <x:c r="CJ33" s="60" t="n">
        <x:v>73.48657562255859</x:v>
      </x:c>
      <x:c r="CK33" s="60" t="n">
        <x:v>73.74051048278808</x:v>
      </x:c>
      <x:c r="CL33" s="60" t="n">
        <x:v>74.01421020507813</x:v>
      </x:c>
      <x:c r="CM33" s="60" t="n">
        <x:v>74.32106819152833</x:v>
      </x:c>
      <x:c r="CN33" s="60" t="n">
        <x:v>74.60775772094726</x:v>
      </x:c>
      <x:c r="CO33" s="60" t="n">
        <x:v>74.924287109375</x:v>
      </x:c>
      <x:c r="CP33" s="60" t="n">
        <x:v>75.21808044433594</x:v>
      </x:c>
      <x:c r="CQ33" s="60" t="n">
        <x:v>75.52695762634278</x:v>
      </x:c>
      <x:c r="CR33" s="60" t="n">
        <x:v>75.86951751708985</x:v>
      </x:c>
      <x:c r="CS33" s="60" t="n">
        <x:v>76.2426936340332</x:v>
      </x:c>
      <x:c r="CT33" s="60" t="n">
        <x:v>76.68691375732422</x:v>
      </x:c>
      <x:c r="CU33" s="60" t="n">
        <x:v>77.1369229888916</x:v>
      </x:c>
      <x:c r="CV33" s="60" t="n">
        <x:v>77.53744827270508</x:v>
      </x:c>
      <x:c r="CW33" s="60" t="n">
        <x:v>78.04395561218261</x:v>
      </x:c>
      <x:c r="CX33" s="60" t="n">
        <x:v>78.56385559082031</x:v>
      </x:c>
      <x:c r="CY33" s="60" t="n">
        <x:v>79.23882751464843</x:v>
      </x:c>
      <x:c r="CZ33" s="60" t="n">
        <x:v>80.07934143066406</x:v>
      </x:c>
      <x:c r="DA33" s="60" t="n">
        <x:v>81.24709381103516</x:v>
      </x:c>
      <x:c r="DB33" s="60" t="n">
        <x:v>86.36968231201172</x:v>
      </x:c>
    </x:row>
    <x:row r="34">
      <x:c r="A34" t="str">
        <x:v>ミライドン-1</x:v>
      </x:c>
      <x:c r="B34" t="str">
        <x:v>ミライドン</x:v>
      </x:c>
      <x:c r="C34" t="str">
        <x:v>チャージビーム</x:v>
      </x:c>
      <x:c r="D34" s="60" t="n">
        <x:v>63.1788330078125</x:v>
      </x:c>
      <x:c r="E34" s="60" t="n">
        <x:v>7.893620014190674</x:v>
      </x:c>
      <x:c r="F34" s="60" t="n">
        <x:v>35.070613861083984</x:v>
      </x:c>
      <x:c r="G34" s="60" t="n">
        <x:v>43.14461605072022</x:v>
      </x:c>
      <x:c r="H34" s="60" t="n">
        <x:v>45.64767944335937</x:v>
      </x:c>
      <x:c r="I34" s="60" t="n">
        <x:v>47.022979469299315</x:v>
      </x:c>
      <x:c r="J34" s="60" t="n">
        <x:v>48.30746002197266</x:v>
      </x:c>
      <x:c r="K34" s="60" t="n">
        <x:v>49.229219627380374</x:v>
      </x:c>
      <x:c r="L34" s="60" t="n">
        <x:v>49.983557510375974</x:v>
      </x:c>
      <x:c r="M34" s="60" t="n">
        <x:v>50.67244762420654</x:v>
      </x:c>
      <x:c r="N34" s="60" t="n">
        <x:v>51.28294616699219</x:v>
      </x:c>
      <x:c r="O34" s="60" t="n">
        <x:v>51.89368949890137</x:v>
      </x:c>
      <x:c r="P34" s="60" t="n">
        <x:v>52.464957046508786</x:v>
      </x:c>
      <x:c r="Q34" s="60" t="n">
        <x:v>52.96822551727295</x:v>
      </x:c>
      <x:c r="R34" s="60" t="n">
        <x:v>53.41415344238281</x:v>
      </x:c>
      <x:c r="S34" s="60" t="n">
        <x:v>53.84734340667725</x:v>
      </x:c>
      <x:c r="T34" s="60" t="n">
        <x:v>54.26193260192871</x:v>
      </x:c>
      <x:c r="U34" s="60" t="n">
        <x:v>54.61836338043213</x:v>
      </x:c>
      <x:c r="V34" s="60" t="n">
        <x:v>55.0016667175293</x:v>
      </x:c>
      <x:c r="W34" s="60" t="n">
        <x:v>55.384201049804695</x:v>
      </x:c>
      <x:c r="X34" s="60" t="n">
        <x:v>55.75584053039551</x:v>
      </x:c>
      <x:c r="Y34" s="60" t="n">
        <x:v>56.08994213104248</x:v>
      </x:c>
      <x:c r="Z34" s="60" t="n">
        <x:v>56.405147552490234</x:v>
      </x:c>
      <x:c r="AA34" s="60" t="n">
        <x:v>56.72000419616699</x:v>
      </x:c>
      <x:c r="AB34" s="60" t="n">
        <x:v>57.00375617980957</x:v>
      </x:c>
      <x:c r="AC34" s="60" t="n">
        <x:v>57.32705360412598</x:v>
      </x:c>
      <x:c r="AD34" s="60" t="n">
        <x:v>57.6185237121582</x:v>
      </x:c>
      <x:c r="AE34" s="60" t="n">
        <x:v>57.91829204559326</x:v>
      </x:c>
      <x:c r="AF34" s="60" t="n">
        <x:v>58.17626922607422</x:v>
      </x:c>
      <x:c r="AG34" s="60" t="n">
        <x:v>58.44983081817627</x:v>
      </x:c>
      <x:c r="AH34" s="60" t="n">
        <x:v>58.73926910400391</x:v>
      </x:c>
      <x:c r="AI34" s="60" t="n">
        <x:v>58.98955654144287</x:v>
      </x:c>
      <x:c r="AJ34" s="60" t="n">
        <x:v>59.23507575988769</x:v>
      </x:c>
      <x:c r="AK34" s="60" t="n">
        <x:v>59.485449600219724</x:v>
      </x:c>
      <x:c r="AL34" s="60" t="n">
        <x:v>59.75711700439453</x:v>
      </x:c>
      <x:c r="AM34" s="60" t="n">
        <x:v>60.02694641113281</x:v>
      </x:c>
      <x:c r="AN34" s="60" t="n">
        <x:v>60.2755753326416</x:v>
      </x:c>
      <x:c r="AO34" s="60" t="n">
        <x:v>60.51748523712158</x:v>
      </x:c>
      <x:c r="AP34" s="60" t="n">
        <x:v>60.783349151611326</x:v>
      </x:c>
      <x:c r="AQ34" s="60" t="n">
        <x:v>61.00888957977295</x:v>
      </x:c>
      <x:c r="AR34" s="60" t="n">
        <x:v>61.24239700317383</x:v>
      </x:c>
      <x:c r="AS34" s="60" t="n">
        <x:v>61.49085201263428</x:v>
      </x:c>
      <x:c r="AT34" s="60" t="n">
        <x:v>61.7077278137207</x:v>
      </x:c>
      <x:c r="AU34" s="60" t="n">
        <x:v>61.91925289154053</x:v>
      </x:c>
      <x:c r="AV34" s="60" t="n">
        <x:v>62.160023803710935</x:v>
      </x:c>
      <x:c r="AW34" s="60" t="n">
        <x:v>62.353851776123044</x:v>
      </x:c>
      <x:c r="AX34" s="60" t="n">
        <x:v>62.59755325317383</x:v>
      </x:c>
      <x:c r="AY34" s="60" t="n">
        <x:v>62.82652549743653</x:v>
      </x:c>
      <x:c r="AZ34" s="60" t="n">
        <x:v>63.049717636108404</x:v>
      </x:c>
      <x:c r="BA34" s="60" t="n">
        <x:v>63.2305375289917</x:v>
      </x:c>
      <x:c r="BB34" s="60" t="n">
        <x:v>63.43309127807617</x:v>
      </x:c>
      <x:c r="BC34" s="60" t="n">
        <x:v>63.62719722747803</x:v>
      </x:c>
      <x:c r="BD34" s="60" t="n">
        <x:v>63.819746017456055</x:v>
      </x:c>
      <x:c r="BE34" s="60" t="n">
        <x:v>64.04453903198242</x:v>
      </x:c>
      <x:c r="BF34" s="60" t="n">
        <x:v>64.25483673095702</x:v>
      </x:c>
      <x:c r="BG34" s="60" t="n">
        <x:v>64.46600601196289</x:v>
      </x:c>
      <x:c r="BH34" s="60" t="n">
        <x:v>64.68595733642579</x:v>
      </x:c>
      <x:c r="BI34" s="60" t="n">
        <x:v>64.89381179809571</x:v>
      </x:c>
      <x:c r="BJ34" s="60" t="n">
        <x:v>65.07908599853516</x:v>
      </x:c>
      <x:c r="BK34" s="60" t="n">
        <x:v>65.29139030456544</x:v>
      </x:c>
      <x:c r="BL34" s="60" t="n">
        <x:v>65.47392837524414</x:v>
      </x:c>
      <x:c r="BM34" s="60" t="n">
        <x:v>65.65541549682617</x:v>
      </x:c>
      <x:c r="BN34" s="60" t="n">
        <x:v>65.86133117675782</x:v>
      </x:c>
      <x:c r="BO34" s="60" t="n">
        <x:v>66.06060791015625</x:v>
      </x:c>
      <x:c r="BP34" s="60" t="n">
        <x:v>66.2581851196289</x:v>
      </x:c>
      <x:c r="BQ34" s="60" t="n">
        <x:v>66.47715003967285</x:v>
      </x:c>
      <x:c r="BR34" s="60" t="n">
        <x:v>66.67883331298829</x:v>
      </x:c>
      <x:c r="BS34" s="60" t="n">
        <x:v>66.89666023254395</x:v>
      </x:c>
      <x:c r="BT34" s="60" t="n">
        <x:v>67.09367309570312</x:v>
      </x:c>
      <x:c r="BU34" s="60" t="n">
        <x:v>67.29048538208008</x:v>
      </x:c>
      <x:c r="BV34" s="60" t="n">
        <x:v>67.49426635742188</x:v>
      </x:c>
      <x:c r="BW34" s="60" t="n">
        <x:v>67.69787643432618</x:v>
      </x:c>
      <x:c r="BX34" s="60" t="n">
        <x:v>67.92186584472657</x:v>
      </x:c>
      <x:c r="BY34" s="60" t="n">
        <x:v>68.13019622802734</x:v>
      </x:c>
      <x:c r="BZ34" s="60" t="n">
        <x:v>68.33129791259766</x:v>
      </x:c>
      <x:c r="CA34" s="60" t="n">
        <x:v>68.52863029479981</x:v>
      </x:c>
      <x:c r="CB34" s="60" t="n">
        <x:v>68.71944747924805</x:v>
      </x:c>
      <x:c r="CC34" s="60" t="n">
        <x:v>68.92624092102051</x:v>
      </x:c>
      <x:c r="CD34" s="60" t="n">
        <x:v>69.15336730957031</x:v>
      </x:c>
      <x:c r="CE34" s="60" t="n">
        <x:v>69.40331314086914</x:v>
      </x:c>
      <x:c r="CF34" s="60" t="n">
        <x:v>69.63511520385742</x:v>
      </x:c>
      <x:c r="CG34" s="60" t="n">
        <x:v>69.85713371276856</x:v>
      </x:c>
      <x:c r="CH34" s="60" t="n">
        <x:v>70.1199951171875</x:v>
      </x:c>
      <x:c r="CI34" s="60" t="n">
        <x:v>70.36912315368653</x:v>
      </x:c>
      <x:c r="CJ34" s="60" t="n">
        <x:v>70.62992980957031</x:v>
      </x:c>
      <x:c r="CK34" s="60" t="n">
        <x:v>70.92784515380859</x:v>
      </x:c>
      <x:c r="CL34" s="60" t="n">
        <x:v>71.16580657958984</x:v>
      </x:c>
      <x:c r="CM34" s="60" t="n">
        <x:v>71.44241561889648</x:v>
      </x:c>
      <x:c r="CN34" s="60" t="n">
        <x:v>71.72280319213867</x:v>
      </x:c>
      <x:c r="CO34" s="60" t="n">
        <x:v>72.00545700073242</x:v>
      </x:c>
      <x:c r="CP34" s="60" t="n">
        <x:v>72.2928695678711</x:v>
      </x:c>
      <x:c r="CQ34" s="60" t="n">
        <x:v>72.64556625366211</x:v>
      </x:c>
      <x:c r="CR34" s="60" t="n">
        <x:v>72.94955444335938</x:v>
      </x:c>
      <x:c r="CS34" s="60" t="n">
        <x:v>73.29814231872558</x:v>
      </x:c>
      <x:c r="CT34" s="60" t="n">
        <x:v>73.70888580322266</x:v>
      </x:c>
      <x:c r="CU34" s="60" t="n">
        <x:v>74.1568074798584</x:v>
      </x:c>
      <x:c r="CV34" s="60" t="n">
        <x:v>74.60552734375</x:v>
      </x:c>
      <x:c r="CW34" s="60" t="n">
        <x:v>75.11307220458986</x:v>
      </x:c>
      <x:c r="CX34" s="60" t="n">
        <x:v>75.69852172851563</x:v>
      </x:c>
      <x:c r="CY34" s="60" t="n">
        <x:v>76.32182121276855</x:v>
      </x:c>
      <x:c r="CZ34" s="60" t="n">
        <x:v>77.20957092285157</x:v>
      </x:c>
      <x:c r="DA34" s="60" t="n">
        <x:v>78.4273622894287</x:v>
      </x:c>
      <x:c r="DB34" s="60" t="n">
        <x:v>83.34552764892578</x:v>
      </x:c>
    </x:row>
    <x:row r="35">
      <x:c r="A35" t="str">
        <x:v>ミライドン-2</x:v>
      </x:c>
      <x:c r="B35" t="str">
        <x:v>ミライドン</x:v>
      </x:c>
      <x:c r="C35" t="str">
        <x:v>イナズマドライブ</x:v>
      </x:c>
      <x:c r="D35" s="60" t="n">
        <x:v>63.90713882446289</x:v>
      </x:c>
      <x:c r="E35" s="60" t="n">
        <x:v>9.666707992553711</x:v>
      </x:c>
      <x:c r="F35" s="60" t="n">
        <x:v>31.021135330200195</x:v>
      </x:c>
      <x:c r="G35" s="60" t="n">
        <x:v>39.992243423461915</x:v>
      </x:c>
      <x:c r="H35" s="60" t="n">
        <x:v>42.61976234436035</x:v>
      </x:c>
      <x:c r="I35" s="60" t="n">
        <x:v>44.178964080810545</x:v>
      </x:c>
      <x:c r="J35" s="60" t="n">
        <x:v>45.68607894897461</x:v>
      </x:c>
      <x:c r="K35" s="60" t="n">
        <x:v>46.76203441619873</x:v>
      </x:c>
      <x:c r="L35" s="60" t="n">
        <x:v>47.7333097076416</x:v>
      </x:c>
      <x:c r="M35" s="60" t="n">
        <x:v>48.63544128417969</x:v>
      </x:c>
      <x:c r="N35" s="60" t="n">
        <x:v>49.505618743896484</x:v>
      </x:c>
      <x:c r="O35" s="60" t="n">
        <x:v>50.137576217651365</x:v>
      </x:c>
      <x:c r="P35" s="60" t="n">
        <x:v>50.718984603881836</x:v>
      </x:c>
      <x:c r="Q35" s="60" t="n">
        <x:v>51.27333694458008</x:v>
      </x:c>
      <x:c r="R35" s="60" t="n">
        <x:v>51.85000152587891</x:v>
      </x:c>
      <x:c r="S35" s="60" t="n">
        <x:v>52.45041744232178</x:v>
      </x:c>
      <x:c r="T35" s="60" t="n">
        <x:v>52.9535684967041</x:v>
      </x:c>
      <x:c r="U35" s="60" t="n">
        <x:v>53.41463031768799</x:v>
      </x:c>
      <x:c r="V35" s="60" t="n">
        <x:v>53.83931869506836</x:v>
      </x:c>
      <x:c r="W35" s="60" t="n">
        <x:v>54.270168228149416</x:v>
      </x:c>
      <x:c r="X35" s="60" t="n">
        <x:v>54.71994049072266</x:v>
      </x:c>
      <x:c r="Y35" s="60" t="n">
        <x:v>55.086115226745605</x:v>
      </x:c>
      <x:c r="Z35" s="60" t="n">
        <x:v>55.49065628051758</x:v>
      </x:c>
      <x:c r="AA35" s="60" t="n">
        <x:v>55.87483261108398</x:v>
      </x:c>
      <x:c r="AB35" s="60" t="n">
        <x:v>56.271983032226565</x:v>
      </x:c>
      <x:c r="AC35" s="60" t="n">
        <x:v>56.64437992095947</x:v>
      </x:c>
      <x:c r="AD35" s="60" t="n">
        <x:v>57.00667739868164</x:v>
      </x:c>
      <x:c r="AE35" s="60" t="n">
        <x:v>57.356069564819336</x:v>
      </x:c>
      <x:c r="AF35" s="60" t="n">
        <x:v>57.6989599609375</x:v>
      </x:c>
      <x:c r="AG35" s="60" t="n">
        <x:v>58.04287364959717</x:v>
      </x:c>
      <x:c r="AH35" s="60" t="n">
        <x:v>58.35801971435547</x:v>
      </x:c>
      <x:c r="AI35" s="60" t="n">
        <x:v>58.712629585266114</x:v>
      </x:c>
      <x:c r="AJ35" s="60" t="n">
        <x:v>59.05027465820312</x:v>
      </x:c>
      <x:c r="AK35" s="60" t="n">
        <x:v>59.38264720916748</x:v>
      </x:c>
      <x:c r="AL35" s="60" t="n">
        <x:v>59.70765045166016</x:v>
      </x:c>
      <x:c r="AM35" s="60" t="n">
        <x:v>60.02089595794678</x:v>
      </x:c>
      <x:c r="AN35" s="60" t="n">
        <x:v>60.30293685913086</x:v>
      </x:c>
      <x:c r="AO35" s="60" t="n">
        <x:v>60.59376983642578</x:v>
      </x:c>
      <x:c r="AP35" s="60" t="n">
        <x:v>60.90235656738281</x:v>
      </x:c>
      <x:c r="AQ35" s="60" t="n">
        <x:v>61.17122840881348</x:v>
      </x:c>
      <x:c r="AR35" s="60" t="n">
        <x:v>61.439130325317386</x:v>
      </x:c>
      <x:c r="AS35" s="60" t="n">
        <x:v>61.70077564239502</x:v>
      </x:c>
      <x:c r="AT35" s="60" t="n">
        <x:v>61.98226089477539</x:v>
      </x:c>
      <x:c r="AU35" s="60" t="n">
        <x:v>62.265205001831056</x:v>
      </x:c>
      <x:c r="AV35" s="60" t="n">
        <x:v>62.53047798156738</x:v>
      </x:c>
      <x:c r="AW35" s="60" t="n">
        <x:v>62.786124305725096</x:v>
      </x:c>
      <x:c r="AX35" s="60" t="n">
        <x:v>63.06785018920898</x:v>
      </x:c>
      <x:c r="AY35" s="60" t="n">
        <x:v>63.35861854553223</x:v>
      </x:c>
      <x:c r="AZ35" s="60" t="n">
        <x:v>63.63208709716797</x:v>
      </x:c>
      <x:c r="BA35" s="60" t="n">
        <x:v>63.88497184753418</x:v>
      </x:c>
      <x:c r="BB35" s="60" t="n">
        <x:v>64.12456085205078</x:v>
      </x:c>
      <x:c r="BC35" s="60" t="n">
        <x:v>64.37191627502442</x:v>
      </x:c>
      <x:c r="BD35" s="60" t="n">
        <x:v>64.64466094970703</x:v>
      </x:c>
      <x:c r="BE35" s="60" t="n">
        <x:v>64.87746437072754</x:v>
      </x:c>
      <x:c r="BF35" s="60" t="n">
        <x:v>65.13262176513672</x:v>
      </x:c>
      <x:c r="BG35" s="60" t="n">
        <x:v>65.37968254089355</x:v>
      </x:c>
      <x:c r="BH35" s="60" t="n">
        <x:v>65.63773345947266</x:v>
      </x:c>
      <x:c r="BI35" s="60" t="n">
        <x:v>65.87571563720704</x:v>
      </x:c>
      <x:c r="BJ35" s="60" t="n">
        <x:v>66.16083374023438</x:v>
      </x:c>
      <x:c r="BK35" s="60" t="n">
        <x:v>66.43250587463379</x:v>
      </x:c>
      <x:c r="BL35" s="60" t="n">
        <x:v>66.67861007690429</x:v>
      </x:c>
      <x:c r="BM35" s="60" t="n">
        <x:v>66.96051719665527</x:v>
      </x:c>
      <x:c r="BN35" s="60" t="n">
        <x:v>67.20646514892579</x:v>
      </x:c>
      <x:c r="BO35" s="60" t="n">
        <x:v>67.4524496459961</x:v>
      </x:c>
      <x:c r="BP35" s="60" t="n">
        <x:v>67.73024047851563</x:v>
      </x:c>
      <x:c r="BQ35" s="60" t="n">
        <x:v>67.96443733215332</x:v>
      </x:c>
      <x:c r="BR35" s="60" t="n">
        <x:v>68.24031341552734</x:v>
      </x:c>
      <x:c r="BS35" s="60" t="n">
        <x:v>68.47315406799316</x:v>
      </x:c>
      <x:c r="BT35" s="60" t="n">
        <x:v>68.7353305053711</x:v>
      </x:c>
      <x:c r="BU35" s="60" t="n">
        <x:v>68.98547988891602</x:v>
      </x:c>
      <x:c r="BV35" s="60" t="n">
        <x:v>69.25730621337891</x:v>
      </x:c>
      <x:c r="BW35" s="60" t="n">
        <x:v>69.52994079589844</x:v>
      </x:c>
      <x:c r="BX35" s="60" t="n">
        <x:v>69.78114547729493</x:v>
      </x:c>
      <x:c r="BY35" s="60" t="n">
        <x:v>70.04645118713378</x:v>
      </x:c>
      <x:c r="BZ35" s="60" t="n">
        <x:v>70.32571838378907</x:v>
      </x:c>
      <x:c r="CA35" s="60" t="n">
        <x:v>70.57584045410157</x:v>
      </x:c>
      <x:c r="CB35" s="60" t="n">
        <x:v>70.84922546386719</x:v>
      </x:c>
      <x:c r="CC35" s="60" t="n">
        <x:v>71.11399841308594</x:v>
      </x:c>
      <x:c r="CD35" s="60" t="n">
        <x:v>71.39747131347656</x:v>
      </x:c>
      <x:c r="CE35" s="60" t="n">
        <x:v>71.64571838378906</x:v>
      </x:c>
      <x:c r="CF35" s="60" t="n">
        <x:v>71.91342620849609</x:v>
      </x:c>
      <x:c r="CG35" s="60" t="n">
        <x:v>72.21472328186036</x:v>
      </x:c>
      <x:c r="CH35" s="60" t="n">
        <x:v>72.51813201904297</x:v>
      </x:c>
      <x:c r="CI35" s="60" t="n">
        <x:v>72.81713737487793</x:v>
      </x:c>
      <x:c r="CJ35" s="60" t="n">
        <x:v>73.11706420898437</x:v>
      </x:c>
      <x:c r="CK35" s="60" t="n">
        <x:v>73.43398208618164</x:v>
      </x:c>
      <x:c r="CL35" s="60" t="n">
        <x:v>73.7533755493164</x:v>
      </x:c>
      <x:c r="CM35" s="60" t="n">
        <x:v>74.08650550842285</x:v>
      </x:c>
      <x:c r="CN35" s="60" t="n">
        <x:v>74.48853240966797</x:v>
      </x:c>
      <x:c r="CO35" s="60" t="n">
        <x:v>74.88053176879883</x:v>
      </x:c>
      <x:c r="CP35" s="60" t="n">
        <x:v>75.23953369140625</x:v>
      </x:c>
      <x:c r="CQ35" s="60" t="n">
        <x:v>75.60650299072266</x:v>
      </x:c>
      <x:c r="CR35" s="60" t="n">
        <x:v>75.99418716430664</x:v>
      </x:c>
      <x:c r="CS35" s="60" t="n">
        <x:v>76.42993949890136</x:v>
      </x:c>
      <x:c r="CT35" s="60" t="n">
        <x:v>76.90165161132813</x:v>
      </x:c>
      <x:c r="CU35" s="60" t="n">
        <x:v>77.43395820617675</x:v>
      </x:c>
      <x:c r="CV35" s="60" t="n">
        <x:v>77.96632980346679</x:v>
      </x:c>
      <x:c r="CW35" s="60" t="n">
        <x:v>78.53706588745118</x:v>
      </x:c>
      <x:c r="CX35" s="60" t="n">
        <x:v>79.26952209472657</x:v>
      </x:c>
      <x:c r="CY35" s="60" t="n">
        <x:v>79.99031707763672</x:v>
      </x:c>
      <x:c r="CZ35" s="60" t="n">
        <x:v>81.05980514526368</x:v>
      </x:c>
      <x:c r="DA35" s="60" t="n">
        <x:v>82.2551026916504</x:v>
      </x:c>
      <x:c r="DB35" s="60" t="n">
        <x:v>88.18001556396484</x:v>
      </x:c>
    </x:row>
    <x:row r="36">
      <x:c r="A36" t="str">
        <x:v>ラウドボーン-1</x:v>
      </x:c>
      <x:c r="B36" t="str">
        <x:v>ラウドボーン</x:v>
      </x:c>
      <x:c r="C36" t="str">
        <x:v>共通</x:v>
      </x:c>
      <x:c r="D36" s="60" t="n">
        <x:v>62.23585510253906</x:v>
      </x:c>
      <x:c r="E36" s="60" t="n">
        <x:v>6.457507610321045</x:v>
      </x:c>
      <x:c r="F36" s="60" t="n">
        <x:v>38.657745361328125</x:v>
      </x:c>
      <x:c r="G36" s="60" t="n">
        <x:v>45.93778598785401</x:v>
      </x:c>
      <x:c r="H36" s="60" t="n">
        <x:v>47.825036163330076</x:v>
      </x:c>
      <x:c r="I36" s="60" t="n">
        <x:v>49.050979194641116</x:v>
      </x:c>
      <x:c r="J36" s="60" t="n">
        <x:v>50.05232452392578</x:v>
      </x:c>
      <x:c r="K36" s="60" t="n">
        <x:v>50.78123950958252</x:v>
      </x:c>
      <x:c r="L36" s="60" t="n">
        <x:v>51.40145812988281</x:v>
      </x:c>
      <x:c r="M36" s="60" t="n">
        <x:v>51.989431915283205</x:v>
      </x:c>
      <x:c r="N36" s="60" t="n">
        <x:v>52.49309173583985</x:v>
      </x:c>
      <x:c r="O36" s="60" t="n">
        <x:v>52.930015106201175</x:v>
      </x:c>
      <x:c r="P36" s="60" t="n">
        <x:v>53.390900421142575</x:v>
      </x:c>
      <x:c r="Q36" s="60" t="n">
        <x:v>53.840344200134275</x:v>
      </x:c>
      <x:c r="R36" s="60" t="n">
        <x:v>54.19377532958985</x:v>
      </x:c>
      <x:c r="S36" s="60" t="n">
        <x:v>54.61368618011475</x:v>
      </x:c>
      <x:c r="T36" s="60" t="n">
        <x:v>54.94892486572266</x:v>
      </x:c>
      <x:c r="U36" s="60" t="n">
        <x:v>55.282498359680176</x:v>
      </x:c>
      <x:c r="V36" s="60" t="n">
        <x:v>55.62157211303711</x:v>
      </x:c>
      <x:c r="W36" s="60" t="n">
        <x:v>55.91374568939209</x:v>
      </x:c>
      <x:c r="X36" s="60" t="n">
        <x:v>56.193420486450194</x:v>
      </x:c>
      <x:c r="Y36" s="60" t="n">
        <x:v>56.46768054962158</x:v>
      </x:c>
      <x:c r="Z36" s="60" t="n">
        <x:v>56.75211868286133</x:v>
      </x:c>
      <x:c r="AA36" s="60" t="n">
        <x:v>57.02951278686523</x:v>
      </x:c>
      <x:c r="AB36" s="60" t="n">
        <x:v>57.253709869384764</x:v>
      </x:c>
      <x:c r="AC36" s="60" t="n">
        <x:v>57.525290145874024</x:v>
      </x:c>
      <x:c r="AD36" s="60" t="n">
        <x:v>57.75581573486328</x:v>
      </x:c>
      <x:c r="AE36" s="60" t="n">
        <x:v>57.967556953430176</x:v>
      </x:c>
      <x:c r="AF36" s="60" t="n">
        <x:v>58.19645179748535</x:v>
      </x:c>
      <x:c r="AG36" s="60" t="n">
        <x:v>58.41603813171387</x:v>
      </x:c>
      <x:c r="AH36" s="60" t="n">
        <x:v>58.60800811767578</x:v>
      </x:c>
      <x:c r="AI36" s="60" t="n">
        <x:v>58.81616134643555</x:v>
      </x:c>
      <x:c r="AJ36" s="60" t="n">
        <x:v>59.036781311035156</x:v>
      </x:c>
      <x:c r="AK36" s="60" t="n">
        <x:v>59.25937221527099</x:v>
      </x:c>
      <x:c r="AL36" s="60" t="n">
        <x:v>59.47538345336914</x:v>
      </x:c>
      <x:c r="AM36" s="60" t="n">
        <x:v>59.666580505371094</x:v>
      </x:c>
      <x:c r="AN36" s="60" t="n">
        <x:v>59.87879692077637</x:v>
      </x:c>
      <x:c r="AO36" s="60" t="n">
        <x:v>60.08053607940674</x:v>
      </x:c>
      <x:c r="AP36" s="60" t="n">
        <x:v>60.28847198486328</x:v>
      </x:c>
      <x:c r="AQ36" s="60" t="n">
        <x:v>60.478596725463866</x:v>
      </x:c>
      <x:c r="AR36" s="60" t="n">
        <x:v>60.67472503662109</x:v>
      </x:c>
      <x:c r="AS36" s="60" t="n">
        <x:v>60.857239685058595</x:v>
      </x:c>
      <x:c r="AT36" s="60" t="n">
        <x:v>61.057919311523435</x:v>
      </x:c>
      <x:c r="AU36" s="60" t="n">
        <x:v>61.22202121734619</x:v>
      </x:c>
      <x:c r="AV36" s="60" t="n">
        <x:v>61.40379974365234</x:v>
      </x:c>
      <x:c r="AW36" s="60" t="n">
        <x:v>61.58367710113525</x:v>
      </x:c>
      <x:c r="AX36" s="60" t="n">
        <x:v>61.76401336669922</x:v>
      </x:c>
      <x:c r="AY36" s="60" t="n">
        <x:v>61.929227638244626</x:v>
      </x:c>
      <x:c r="AZ36" s="60" t="n">
        <x:v>62.10966552734375</x:v>
      </x:c>
      <x:c r="BA36" s="60" t="n">
        <x:v>62.27020687103272</x:v>
      </x:c>
      <x:c r="BB36" s="60" t="n">
        <x:v>62.44038116455078</x:v>
      </x:c>
      <x:c r="BC36" s="60" t="n">
        <x:v>62.60072765350342</x:v>
      </x:c>
      <x:c r="BD36" s="60" t="n">
        <x:v>62.77820014953613</x:v>
      </x:c>
      <x:c r="BE36" s="60" t="n">
        <x:v>62.943092346191406</x:v>
      </x:c>
      <x:c r="BF36" s="60" t="n">
        <x:v>63.11139389038086</x:v>
      </x:c>
      <x:c r="BG36" s="60" t="n">
        <x:v>63.26631763458252</x:v>
      </x:c>
      <x:c r="BH36" s="60" t="n">
        <x:v>63.43112846374512</x:v>
      </x:c>
      <x:c r="BI36" s="60" t="n">
        <x:v>63.59457626342773</x:v>
      </x:c>
      <x:c r="BJ36" s="60" t="n">
        <x:v>63.75419998168945</x:v>
      </x:c>
      <x:c r="BK36" s="60" t="n">
        <x:v>63.93421802520752</x:v>
      </x:c>
      <x:c r="BL36" s="60" t="n">
        <x:v>64.12005096435547</x:v>
      </x:c>
      <x:c r="BM36" s="60" t="n">
        <x:v>64.27295860290528</x:v>
      </x:c>
      <x:c r="BN36" s="60" t="n">
        <x:v>64.42270050048828</x:v>
      </x:c>
      <x:c r="BO36" s="60" t="n">
        <x:v>64.58935676574707</x:v>
      </x:c>
      <x:c r="BP36" s="60" t="n">
        <x:v>64.74291091918946</x:v>
      </x:c>
      <x:c r="BQ36" s="60" t="n">
        <x:v>64.8983325958252</x:v>
      </x:c>
      <x:c r="BR36" s="60" t="n">
        <x:v>65.07821228027343</x:v>
      </x:c>
      <x:c r="BS36" s="60" t="n">
        <x:v>65.23569755554199</x:v>
      </x:c>
      <x:c r="BT36" s="60" t="n">
        <x:v>65.40371307373047</x:v>
      </x:c>
      <x:c r="BU36" s="60" t="n">
        <x:v>65.57326362609864</x:v>
      </x:c>
      <x:c r="BV36" s="60" t="n">
        <x:v>65.75333892822266</x:v>
      </x:c>
      <x:c r="BW36" s="60" t="n">
        <x:v>65.92231979370118</x:v>
      </x:c>
      <x:c r="BX36" s="60" t="n">
        <x:v>66.09308090209962</x:v>
      </x:c>
      <x:c r="BY36" s="60" t="n">
        <x:v>66.25853019714356</x:v>
      </x:c>
      <x:c r="BZ36" s="60" t="n">
        <x:v>66.44738006591797</x:v>
      </x:c>
      <x:c r="CA36" s="60" t="n">
        <x:v>66.61708724975585</x:v>
      </x:c>
      <x:c r="CB36" s="60" t="n">
        <x:v>66.7851823425293</x:v>
      </x:c>
      <x:c r="CC36" s="60" t="n">
        <x:v>66.97466087341309</x:v>
      </x:c>
      <x:c r="CD36" s="60" t="n">
        <x:v>67.15375732421874</x:v>
      </x:c>
      <x:c r="CE36" s="60" t="n">
        <x:v>67.35030067443847</x:v>
      </x:c>
      <x:c r="CF36" s="60" t="n">
        <x:v>67.52727752685547</x:v>
      </x:c>
      <x:c r="CG36" s="60" t="n">
        <x:v>67.72863113403321</x:v>
      </x:c>
      <x:c r="CH36" s="60" t="n">
        <x:v>67.91676635742188</x:v>
      </x:c>
      <x:c r="CI36" s="60" t="n">
        <x:v>68.13366638183594</x:v>
      </x:c>
      <x:c r="CJ36" s="60" t="n">
        <x:v>68.34366470336914</x:v>
      </x:c>
      <x:c r="CK36" s="60" t="n">
        <x:v>68.54472183227539</x:v>
      </x:c>
      <x:c r="CL36" s="60" t="n">
        <x:v>68.76367767333984</x:v>
      </x:c>
      <x:c r="CM36" s="60" t="n">
        <x:v>68.99646797180175</x:v>
      </x:c>
      <x:c r="CN36" s="60" t="n">
        <x:v>69.22218017578125</x:v>
      </x:c>
      <x:c r="CO36" s="60" t="n">
        <x:v>69.46602012634277</x:v>
      </x:c>
      <x:c r="CP36" s="60" t="n">
        <x:v>69.7100454711914</x:v>
      </x:c>
      <x:c r="CQ36" s="60" t="n">
        <x:v>69.96104522705077</x:v>
      </x:c>
      <x:c r="CR36" s="60" t="n">
        <x:v>70.20739822387695</x:v>
      </x:c>
      <x:c r="CS36" s="60" t="n">
        <x:v>70.49086318969727</x:v>
      </x:c>
      <x:c r="CT36" s="60" t="n">
        <x:v>70.81107879638672</x:v>
      </x:c>
      <x:c r="CU36" s="60" t="n">
        <x:v>71.19631874084473</x:v>
      </x:c>
      <x:c r="CV36" s="60" t="n">
        <x:v>71.57648864746093</x:v>
      </x:c>
      <x:c r="CW36" s="60" t="n">
        <x:v>72.0078670501709</x:v>
      </x:c>
      <x:c r="CX36" s="60" t="n">
        <x:v>72.47228057861328</x:v>
      </x:c>
      <x:c r="CY36" s="60" t="n">
        <x:v>73.01609405517578</x:v>
      </x:c>
      <x:c r="CZ36" s="60" t="n">
        <x:v>73.66232452392579</x:v>
      </x:c>
      <x:c r="DA36" s="60" t="n">
        <x:v>74.72845970153809</x:v>
      </x:c>
      <x:c r="DB36" s="60" t="n">
        <x:v>79.1732177734375</x:v>
      </x:c>
    </x:row>
    <x:row r="37">
      <x:c r="A37" t="str">
        <x:v>ラティオス-1</x:v>
      </x:c>
      <x:c r="B37" t="str">
        <x:v>ラティオス</x:v>
      </x:c>
      <x:c r="C37" t="str">
        <x:v>共通</x:v>
      </x:c>
      <x:c r="D37" s="60" t="n">
        <x:v>64.9372329711914</x:v>
      </x:c>
      <x:c r="E37" s="60" t="n">
        <x:v>6.0183234214782715</x:v>
      </x:c>
      <x:c r="F37" s="60" t="n">
        <x:v>41.210453033447266</x:v>
      </x:c>
      <x:c r="G37" s="60" t="n">
        <x:v>48.81258071899414</x:v>
      </x:c>
      <x:c r="H37" s="60" t="n">
        <x:v>50.60373672485352</x:v>
      </x:c>
      <x:c r="I37" s="60" t="n">
        <x:v>51.92921623229981</x:v>
      </x:c>
      <x:c r="J37" s="60" t="n">
        <x:v>53.008681030273436</x:v>
      </x:c>
      <x:c r="K37" s="60" t="n">
        <x:v>53.947343826293945</x:v>
      </x:c>
      <x:c r="L37" s="60" t="n">
        <x:v>54.57166870117187</x:v>
      </x:c>
      <x:c r="M37" s="60" t="n">
        <x:v>55.120952453613285</x:v>
      </x:c>
      <x:c r="N37" s="60" t="n">
        <x:v>55.64623779296875</x:v>
      </x:c>
      <x:c r="O37" s="60" t="n">
        <x:v>56.143894805908204</x:v>
      </x:c>
      <x:c r="P37" s="60" t="n">
        <x:v>56.5797061920166</x:v>
      </x:c>
      <x:c r="Q37" s="60" t="n">
        <x:v>56.95411396026611</x:v>
      </x:c>
      <x:c r="R37" s="60" t="n">
        <x:v>57.33894439697266</x:v>
      </x:c>
      <x:c r="S37" s="60" t="n">
        <x:v>57.740764122009274</x:v>
      </x:c>
      <x:c r="T37" s="60" t="n">
        <x:v>58.08763633728027</x:v>
      </x:c>
      <x:c r="U37" s="60" t="n">
        <x:v>58.41104030609131</x:v>
      </x:c>
      <x:c r="V37" s="60" t="n">
        <x:v>58.753404235839845</x:v>
      </x:c>
      <x:c r="W37" s="60" t="n">
        <x:v>59.04865886688233</x:v>
      </x:c>
      <x:c r="X37" s="60" t="n">
        <x:v>59.317997436523434</x:v>
      </x:c>
      <x:c r="Y37" s="60" t="n">
        <x:v>59.603387336730954</x:v>
      </x:c>
      <x:c r="Z37" s="60" t="n">
        <x:v>59.90261535644531</x:v>
      </x:c>
      <x:c r="AA37" s="60" t="n">
        <x:v>60.16496063232422</x:v>
      </x:c>
      <x:c r="AB37" s="60" t="n">
        <x:v>60.39729217529297</x:v>
      </x:c>
      <x:c r="AC37" s="60" t="n">
        <x:v>60.63370368957519</x:v>
      </x:c>
      <x:c r="AD37" s="60" t="n">
        <x:v>60.86686370849609</x:v>
      </x:c>
      <x:c r="AE37" s="60" t="n">
        <x:v>61.08207988739014</x:v>
      </x:c>
      <x:c r="AF37" s="60" t="n">
        <x:v>61.32118843078613</x:v>
      </x:c>
      <x:c r="AG37" s="60" t="n">
        <x:v>61.540994300842286</x:v>
      </x:c>
      <x:c r="AH37" s="60" t="n">
        <x:v>61.762150268554684</x:v>
      </x:c>
      <x:c r="AI37" s="60" t="n">
        <x:v>61.94557437896729</x:v>
      </x:c>
      <x:c r="AJ37" s="60" t="n">
        <x:v>62.144483184814455</x:v>
      </x:c>
      <x:c r="AK37" s="60" t="n">
        <x:v>62.35719425201416</x:v>
      </x:c>
      <x:c r="AL37" s="60" t="n">
        <x:v>62.561582794189455</x:v>
      </x:c>
      <x:c r="AM37" s="60" t="n">
        <x:v>62.756984367370606</x:v>
      </x:c>
      <x:c r="AN37" s="60" t="n">
        <x:v>62.95950416564941</x:v>
      </x:c>
      <x:c r="AO37" s="60" t="n">
        <x:v>63.18519916534424</x:v>
      </x:c>
      <x:c r="AP37" s="60" t="n">
        <x:v>63.36385604858398</x:v>
      </x:c>
      <x:c r="AQ37" s="60" t="n">
        <x:v>63.551169548034665</x:v>
      </x:c>
      <x:c r="AR37" s="60" t="n">
        <x:v>63.73548156738281</x:v>
      </x:c>
      <x:c r="AS37" s="60" t="n">
        <x:v>63.92776912689209</x:v>
      </x:c>
      <x:c r="AT37" s="60" t="n">
        <x:v>64.09993591308594</x:v>
      </x:c>
      <x:c r="AU37" s="60" t="n">
        <x:v>64.26328475952148</x:v>
      </x:c>
      <x:c r="AV37" s="60" t="n">
        <x:v>64.43562393188476</x:v>
      </x:c>
      <x:c r="AW37" s="60" t="n">
        <x:v>64.6246891784668</x:v>
      </x:c>
      <x:c r="AX37" s="60" t="n">
        <x:v>64.77342895507813</x:v>
      </x:c>
      <x:c r="AY37" s="60" t="n">
        <x:v>64.93917961120606</x:v>
      </x:c>
      <x:c r="AZ37" s="60" t="n">
        <x:v>65.0980451965332</x:v>
      </x:c>
      <x:c r="BA37" s="60" t="n">
        <x:v>65.2798625946045</x:v>
      </x:c>
      <x:c r="BB37" s="60" t="n">
        <x:v>65.43791473388671</x:v>
      </x:c>
      <x:c r="BC37" s="60" t="n">
        <x:v>65.59903007507324</x:v>
      </x:c>
      <x:c r="BD37" s="60" t="n">
        <x:v>65.76724624633789</x:v>
      </x:c>
      <x:c r="BE37" s="60" t="n">
        <x:v>65.93210716247559</x:v>
      </x:c>
      <x:c r="BF37" s="60" t="n">
        <x:v>66.1051040649414</x:v>
      </x:c>
      <x:c r="BG37" s="60" t="n">
        <x:v>66.25419036865235</x:v>
      </x:c>
      <x:c r="BH37" s="60" t="n">
        <x:v>66.41008468627929</x:v>
      </x:c>
      <x:c r="BI37" s="60" t="n">
        <x:v>66.55575141906738</x:v>
      </x:c>
      <x:c r="BJ37" s="60" t="n">
        <x:v>66.71018280029297</x:v>
      </x:c>
      <x:c r="BK37" s="60" t="n">
        <x:v>66.8579711151123</x:v>
      </x:c>
      <x:c r="BL37" s="60" t="n">
        <x:v>67.0278288269043</x:v>
      </x:c>
      <x:c r="BM37" s="60" t="n">
        <x:v>67.1664037322998</x:v>
      </x:c>
      <x:c r="BN37" s="60" t="n">
        <x:v>67.30285949707032</x:v>
      </x:c>
      <x:c r="BO37" s="60" t="n">
        <x:v>67.43847290039062</x:v>
      </x:c>
      <x:c r="BP37" s="60" t="n">
        <x:v>67.56710235595703</x:v>
      </x:c>
      <x:c r="BQ37" s="60" t="n">
        <x:v>67.7207135772705</x:v>
      </x:c>
      <x:c r="BR37" s="60" t="n">
        <x:v>67.86676300048828</x:v>
      </x:c>
      <x:c r="BS37" s="60" t="n">
        <x:v>68.01890029907227</x:v>
      </x:c>
      <x:c r="BT37" s="60" t="n">
        <x:v>68.16919342041015</x:v>
      </x:c>
      <x:c r="BU37" s="60" t="n">
        <x:v>68.2975617980957</x:v>
      </x:c>
      <x:c r="BV37" s="60" t="n">
        <x:v>68.44396240234376</x:v>
      </x:c>
      <x:c r="BW37" s="60" t="n">
        <x:v>68.5891455078125</x:v>
      </x:c>
      <x:c r="BX37" s="60" t="n">
        <x:v>68.7326156616211</x:v>
      </x:c>
      <x:c r="BY37" s="60" t="n">
        <x:v>68.85412521362305</x:v>
      </x:c>
      <x:c r="BZ37" s="60" t="n">
        <x:v>69.0087969970703</x:v>
      </x:c>
      <x:c r="CA37" s="60" t="n">
        <x:v>69.16908416748046</x:v>
      </x:c>
      <x:c r="CB37" s="60" t="n">
        <x:v>69.33351272583008</x:v>
      </x:c>
      <x:c r="CC37" s="60" t="n">
        <x:v>69.49064254760742</x:v>
      </x:c>
      <x:c r="CD37" s="60" t="n">
        <x:v>69.65448638916016</x:v>
      </x:c>
      <x:c r="CE37" s="60" t="n">
        <x:v>69.8060164642334</x:v>
      </x:c>
      <x:c r="CF37" s="60" t="n">
        <x:v>69.95347091674805</x:v>
      </x:c>
      <x:c r="CG37" s="60" t="n">
        <x:v>70.09220710754394</x:v>
      </x:c>
      <x:c r="CH37" s="60" t="n">
        <x:v>70.26491851806641</x:v>
      </x:c>
      <x:c r="CI37" s="60" t="n">
        <x:v>70.4399691772461</x:v>
      </x:c>
      <x:c r="CJ37" s="60" t="n">
        <x:v>70.60150192260743</x:v>
      </x:c>
      <x:c r="CK37" s="60" t="n">
        <x:v>70.77295440673828</x:v>
      </x:c>
      <x:c r="CL37" s="60" t="n">
        <x:v>70.9466928100586</x:v>
      </x:c>
      <x:c r="CM37" s="60" t="n">
        <x:v>71.12399559020996</x:v>
      </x:c>
      <x:c r="CN37" s="60" t="n">
        <x:v>71.31594497680663</x:v>
      </x:c>
      <x:c r="CO37" s="60" t="n">
        <x:v>71.50109985351563</x:v>
      </x:c>
      <x:c r="CP37" s="60" t="n">
        <x:v>71.7065625</x:v>
      </x:c>
      <x:c r="CQ37" s="60" t="n">
        <x:v>71.89449668884278</x:v>
      </x:c>
      <x:c r="CR37" s="60" t="n">
        <x:v>72.12723007202149</x:v>
      </x:c>
      <x:c r="CS37" s="60" t="n">
        <x:v>72.30637939453125</x:v>
      </x:c>
      <x:c r="CT37" s="60" t="n">
        <x:v>72.54577911376954</x:v>
      </x:c>
      <x:c r="CU37" s="60" t="n">
        <x:v>72.78481170654297</x:v>
      </x:c>
      <x:c r="CV37" s="60" t="n">
        <x:v>73.0497770690918</x:v>
      </x:c>
      <x:c r="CW37" s="60" t="n">
        <x:v>73.33248710632326</x:v>
      </x:c>
      <x:c r="CX37" s="60" t="n">
        <x:v>73.67077575683594</x:v>
      </x:c>
      <x:c r="CY37" s="60" t="n">
        <x:v>74.06510414123535</x:v>
      </x:c>
      <x:c r="CZ37" s="60" t="n">
        <x:v>74.59266555786132</x:v>
      </x:c>
      <x:c r="DA37" s="60" t="n">
        <x:v>75.27307754516602</x:v>
      </x:c>
      <x:c r="DB37" s="60" t="n">
        <x:v>78.8912582397461</x:v>
      </x:c>
    </x:row>
    <x:row r="38">
      <x:c r="A38" t="str">
        <x:v>レシラム-1</x:v>
      </x:c>
      <x:c r="B38" t="str">
        <x:v>レシラム</x:v>
      </x:c>
      <x:c r="C38" t="str">
        <x:v>共通</x:v>
      </x:c>
      <x:c r="D38" s="60" t="n">
        <x:v>68.47383117675781</x:v>
      </x:c>
      <x:c r="E38" s="60" t="n">
        <x:v>8.190979957580566</x:v>
      </x:c>
      <x:c r="F38" s="60" t="n">
        <x:v>37.859619140625</x:v>
      </x:c>
      <x:c r="G38" s="60" t="n">
        <x:v>46.66502902984619</x:v>
      </x:c>
      <x:c r="H38" s="60" t="n">
        <x:v>49.35871047973633</x:v>
      </x:c>
      <x:c r="I38" s="60" t="n">
        <x:v>51.31190822601318</x:v>
      </x:c>
      <x:c r="J38" s="60" t="n">
        <x:v>52.67516540527344</x:v>
      </x:c>
      <x:c r="K38" s="60" t="n">
        <x:v>53.504068565368655</x:v>
      </x:c>
      <x:c r="L38" s="60" t="n">
        <x:v>54.38789710998535</x:v>
      </x:c>
      <x:c r="M38" s="60" t="n">
        <x:v>55.23040241241455</x:v>
      </x:c>
      <x:c r="N38" s="60" t="n">
        <x:v>55.88302001953125</x:v>
      </x:c>
      <x:c r="O38" s="60" t="n">
        <x:v>56.52713764190674</x:v>
      </x:c>
      <x:c r="P38" s="60" t="n">
        <x:v>57.11526603698731</x:v>
      </x:c>
      <x:c r="Q38" s="60" t="n">
        <x:v>57.656702232360836</x:v>
      </x:c>
      <x:c r="R38" s="60" t="n">
        <x:v>58.1580924987793</x:v>
      </x:c>
      <x:c r="S38" s="60" t="n">
        <x:v>58.67274173736572</x:v>
      </x:c>
      <x:c r="T38" s="60" t="n">
        <x:v>59.115296325683595</x:v>
      </x:c>
      <x:c r="U38" s="60" t="n">
        <x:v>59.56736602783203</x:v>
      </x:c>
      <x:c r="V38" s="60" t="n">
        <x:v>59.97510971069336</x:v>
      </x:c>
      <x:c r="W38" s="60" t="n">
        <x:v>60.39096370697022</x:v>
      </x:c>
      <x:c r="X38" s="60" t="n">
        <x:v>60.77380218505859</x:v>
      </x:c>
      <x:c r="Y38" s="60" t="n">
        <x:v>61.09891342163086</x:v>
      </x:c>
      <x:c r="Z38" s="60" t="n">
        <x:v>61.44651336669922</x:v>
      </x:c>
      <x:c r="AA38" s="60" t="n">
        <x:v>61.84129806518555</x:v>
      </x:c>
      <x:c r="AB38" s="60" t="n">
        <x:v>62.18472618103027</x:v>
      </x:c>
      <x:c r="AC38" s="60" t="n">
        <x:v>62.52836116790772</x:v>
      </x:c>
      <x:c r="AD38" s="60" t="n">
        <x:v>62.82889801025391</x:v>
      </x:c>
      <x:c r="AE38" s="60" t="n">
        <x:v>63.14424991607666</x:v>
      </x:c>
      <x:c r="AF38" s="60" t="n">
        <x:v>63.439198608398435</x:v>
      </x:c>
      <x:c r="AG38" s="60" t="n">
        <x:v>63.7501554107666</x:v>
      </x:c>
      <x:c r="AH38" s="60" t="n">
        <x:v>64.047333984375</x:v>
      </x:c>
      <x:c r="AI38" s="60" t="n">
        <x:v>64.31956565856933</x:v>
      </x:c>
      <x:c r="AJ38" s="60" t="n">
        <x:v>64.60819396972656</x:v>
      </x:c>
      <x:c r="AK38" s="60" t="n">
        <x:v>64.87008041381836</x:v>
      </x:c>
      <x:c r="AL38" s="60" t="n">
        <x:v>65.1643798828125</x:v>
      </x:c>
      <x:c r="AM38" s="60" t="n">
        <x:v>65.4111939239502</x:v>
      </x:c>
      <x:c r="AN38" s="60" t="n">
        <x:v>65.66747467041016</x:v>
      </x:c>
      <x:c r="AO38" s="60" t="n">
        <x:v>65.94054107666015</x:v>
      </x:c>
      <x:c r="AP38" s="60" t="n">
        <x:v>66.20623718261719</x:v>
      </x:c>
      <x:c r="AQ38" s="60" t="n">
        <x:v>66.42415794372559</x:v>
      </x:c>
      <x:c r="AR38" s="60" t="n">
        <x:v>66.6487973022461</x:v>
      </x:c>
      <x:c r="AS38" s="60" t="n">
        <x:v>66.9089241027832</x:v>
      </x:c>
      <x:c r="AT38" s="60" t="n">
        <x:v>67.13858489990234</x:v>
      </x:c>
      <x:c r="AU38" s="60" t="n">
        <x:v>67.37254249572754</x:v>
      </x:c>
      <x:c r="AV38" s="60" t="n">
        <x:v>67.60410339355468</x:v>
      </x:c>
      <x:c r="AW38" s="60" t="n">
        <x:v>67.85826858520508</x:v>
      </x:c>
      <x:c r="AX38" s="60" t="n">
        <x:v>68.0888427734375</x:v>
      </x:c>
      <x:c r="AY38" s="60" t="n">
        <x:v>68.3289581298828</x:v>
      </x:c>
      <x:c r="AZ38" s="60" t="n">
        <x:v>68.54087539672851</x:v>
      </x:c>
      <x:c r="BA38" s="60" t="n">
        <x:v>68.76914100646972</x:v>
      </x:c>
      <x:c r="BB38" s="60" t="n">
        <x:v>69.00716827392579</x:v>
      </x:c>
      <x:c r="BC38" s="60" t="n">
        <x:v>69.24069786071777</x:v>
      </x:c>
      <x:c r="BD38" s="60" t="n">
        <x:v>69.47579193115234</x:v>
      </x:c>
      <x:c r="BE38" s="60" t="n">
        <x:v>69.68943397521973</x:v>
      </x:c>
      <x:c r="BF38" s="60" t="n">
        <x:v>69.89479797363282</x:v>
      </x:c>
      <x:c r="BG38" s="60" t="n">
        <x:v>70.0978182220459</x:v>
      </x:c>
      <x:c r="BH38" s="60" t="n">
        <x:v>70.30438400268555</x:v>
      </x:c>
      <x:c r="BI38" s="60" t="n">
        <x:v>70.5388572692871</x:v>
      </x:c>
      <x:c r="BJ38" s="60" t="n">
        <x:v>70.74913391113282</x:v>
      </x:c>
      <x:c r="BK38" s="60" t="n">
        <x:v>70.96345756530762</x:v>
      </x:c>
      <x:c r="BL38" s="60" t="n">
        <x:v>71.1766456604004</x:v>
      </x:c>
      <x:c r="BM38" s="60" t="n">
        <x:v>71.38316833496094</x:v>
      </x:c>
      <x:c r="BN38" s="60" t="n">
        <x:v>71.59326477050782</x:v>
      </x:c>
      <x:c r="BO38" s="60" t="n">
        <x:v>71.81578712463379</x:v>
      </x:c>
      <x:c r="BP38" s="60" t="n">
        <x:v>72.01740371704102</x:v>
      </x:c>
      <x:c r="BQ38" s="60" t="n">
        <x:v>72.2183602142334</x:v>
      </x:c>
      <x:c r="BR38" s="60" t="n">
        <x:v>72.44194549560547</x:v>
      </x:c>
      <x:c r="BS38" s="60" t="n">
        <x:v>72.63715972900391</x:v>
      </x:c>
      <x:c r="BT38" s="60" t="n">
        <x:v>72.85993240356446</x:v>
      </x:c>
      <x:c r="BU38" s="60" t="n">
        <x:v>73.03997543334961</x:v>
      </x:c>
      <x:c r="BV38" s="60" t="n">
        <x:v>73.23045776367188</x:v>
      </x:c>
      <x:c r="BW38" s="60" t="n">
        <x:v>73.43563148498535</x:v>
      </x:c>
      <x:c r="BX38" s="60" t="n">
        <x:v>73.64877777099609</x:v>
      </x:c>
      <x:c r="BY38" s="60" t="n">
        <x:v>73.86511543273926</x:v>
      </x:c>
      <x:c r="BZ38" s="60" t="n">
        <x:v>74.0798355102539</x:v>
      </x:c>
      <x:c r="CA38" s="60" t="n">
        <x:v>74.29331741333007</x:v>
      </x:c>
      <x:c r="CB38" s="60" t="n">
        <x:v>74.48029815673829</x:v>
      </x:c>
      <x:c r="CC38" s="60" t="n">
        <x:v>74.70975494384766</x:v>
      </x:c>
      <x:c r="CD38" s="60" t="n">
        <x:v>74.92889495849609</x:v>
      </x:c>
      <x:c r="CE38" s="60" t="n">
        <x:v>75.16809593200684</x:v>
      </x:c>
      <x:c r="CF38" s="60" t="n">
        <x:v>75.39815139770508</x:v>
      </x:c>
      <x:c r="CG38" s="60" t="n">
        <x:v>75.63129783630372</x:v>
      </x:c>
      <x:c r="CH38" s="60" t="n">
        <x:v>75.8569564819336</x:v>
      </x:c>
      <x:c r="CI38" s="60" t="n">
        <x:v>76.08876792907715</x:v>
      </x:c>
      <x:c r="CJ38" s="60" t="n">
        <x:v>76.33055908203126</x:v>
      </x:c>
      <x:c r="CK38" s="60" t="n">
        <x:v>76.55459373474122</x:v>
      </x:c>
      <x:c r="CL38" s="60" t="n">
        <x:v>76.76692077636719</x:v>
      </x:c>
      <x:c r="CM38" s="60" t="n">
        <x:v>77.03310356140136</x:v>
      </x:c>
      <x:c r="CN38" s="60" t="n">
        <x:v>77.2820930480957</x:v>
      </x:c>
      <x:c r="CO38" s="60" t="n">
        <x:v>77.54718910217285</x:v>
      </x:c>
      <x:c r="CP38" s="60" t="n">
        <x:v>77.81797607421875</x:v>
      </x:c>
      <x:c r="CQ38" s="60" t="n">
        <x:v>78.07259574890136</x:v>
      </x:c>
      <x:c r="CR38" s="60" t="n">
        <x:v>78.36610107421875</x:v>
      </x:c>
      <x:c r="CS38" s="60" t="n">
        <x:v>78.66157409667969</x:v>
      </x:c>
      <x:c r="CT38" s="60" t="n">
        <x:v>78.95899505615235</x:v>
      </x:c>
      <x:c r="CU38" s="60" t="n">
        <x:v>79.27931900024414</x:v>
      </x:c>
      <x:c r="CV38" s="60" t="n">
        <x:v>79.71761535644532</x:v>
      </x:c>
      <x:c r="CW38" s="60" t="n">
        <x:v>80.15542640686036</x:v>
      </x:c>
      <x:c r="CX38" s="60" t="n">
        <x:v>80.63452178955079</x:v>
      </x:c>
      <x:c r="CY38" s="60" t="n">
        <x:v>81.13649353027344</x:v>
      </x:c>
      <x:c r="CZ38" s="60" t="n">
        <x:v>81.83072967529297</x:v>
      </x:c>
      <x:c r="DA38" s="60" t="n">
        <x:v>82.74858245849609</x:v>
      </x:c>
      <x:c r="DB38" s="60" t="n">
        <x:v>86.18710327148438</x:v>
      </x:c>
    </x:row>
    <x:row r="39">
      <x:c r="A39" t="str">
        <x:v>ストリンダー-1</x:v>
      </x:c>
      <x:c r="B39" t="str">
        <x:v>ストリンダー</x:v>
      </x:c>
      <x:c r="C39" t="str">
        <x:v>共通</x:v>
      </x:c>
      <x:c r="D39" s="60" t="n">
        <x:v>65.29090881347656</x:v>
      </x:c>
      <x:c r="E39" s="60" t="n">
        <x:v>8.541542053222656</x:v>
      </x:c>
      <x:c r="F39" s="60" t="n">
        <x:v>34.883056640625</x:v>
      </x:c>
      <x:c r="G39" s="60" t="n">
        <x:v>43.433419380187985</x:v>
      </x:c>
      <x:c r="H39" s="60" t="n">
        <x:v>46.22725410461426</x:v>
      </x:c>
      <x:c r="I39" s="60" t="n">
        <x:v>48.036983757019044</x:v>
      </x:c>
      <x:c r="J39" s="60" t="n">
        <x:v>49.16406921386719</x:v>
      </x:c>
      <x:c r="K39" s="60" t="n">
        <x:v>50.11267242431641</x:v>
      </x:c>
      <x:c r="L39" s="60" t="n">
        <x:v>51.00419700622559</x:v>
      </x:c>
      <x:c r="M39" s="60" t="n">
        <x:v>51.65655002593994</x:v>
      </x:c>
      <x:c r="N39" s="60" t="n">
        <x:v>52.408203125</x:v>
      </x:c>
      <x:c r="O39" s="60" t="n">
        <x:v>53.03570949554443</x:v>
      </x:c>
      <x:c r="P39" s="60" t="n">
        <x:v>53.56770362854004</x:v>
      </x:c>
      <x:c r="Q39" s="60" t="n">
        <x:v>54.08050331115723</x:v>
      </x:c>
      <x:c r="R39" s="60" t="n">
        <x:v>54.62444396972656</x:v>
      </x:c>
      <x:c r="S39" s="60" t="n">
        <x:v>55.14368717193604</x:v>
      </x:c>
      <x:c r="T39" s="60" t="n">
        <x:v>55.6162873840332</x:v>
      </x:c>
      <x:c r="U39" s="60" t="n">
        <x:v>56.078036308288574</x:v>
      </x:c>
      <x:c r="V39" s="60" t="n">
        <x:v>56.5085954284668</x:v>
      </x:c>
      <x:c r="W39" s="60" t="n">
        <x:v>56.903141555786135</x:v>
      </x:c>
      <x:c r="X39" s="60" t="n">
        <x:v>57.27221626281738</x:v>
      </x:c>
      <x:c r="Y39" s="60" t="n">
        <x:v>57.63457832336426</x:v>
      </x:c>
      <x:c r="Z39" s="60" t="n">
        <x:v>57.97924041748047</x:v>
      </x:c>
      <x:c r="AA39" s="60" t="n">
        <x:v>58.3386243057251</x:v>
      </x:c>
      <x:c r="AB39" s="60" t="n">
        <x:v>58.703544540405275</x:v>
      </x:c>
      <x:c r="AC39" s="60" t="n">
        <x:v>59.013334045410154</x:v>
      </x:c>
      <x:c r="AD39" s="60" t="n">
        <x:v>59.33154815673828</x:v>
      </x:c>
      <x:c r="AE39" s="60" t="n">
        <x:v>59.62421131134033</x:v>
      </x:c>
      <x:c r="AF39" s="60" t="n">
        <x:v>59.91021514892578</x:v>
      </x:c>
      <x:c r="AG39" s="60" t="n">
        <x:v>60.19640941619873</x:v>
      </x:c>
      <x:c r="AH39" s="60" t="n">
        <x:v>60.524396057128904</x:v>
      </x:c>
      <x:c r="AI39" s="60" t="n">
        <x:v>60.79127994537354</x:v>
      </x:c>
      <x:c r="AJ39" s="60" t="n">
        <x:v>61.09545135498047</x:v>
      </x:c>
      <x:c r="AK39" s="60" t="n">
        <x:v>61.36094486236572</x:v>
      </x:c>
      <x:c r="AL39" s="60" t="n">
        <x:v>61.62663879394531</x:v>
      </x:c>
      <x:c r="AM39" s="60" t="n">
        <x:v>61.903364181518555</x:v>
      </x:c>
      <x:c r="AN39" s="60" t="n">
        <x:v>62.176445388793944</x:v>
      </x:c>
      <x:c r="AO39" s="60" t="n">
        <x:v>62.43998432159424</x:v>
      </x:c>
      <x:c r="AP39" s="60" t="n">
        <x:v>62.70355773925781</x:v>
      </x:c>
      <x:c r="AQ39" s="60" t="n">
        <x:v>62.980920028686526</x:v>
      </x:c>
      <x:c r="AR39" s="60" t="n">
        <x:v>63.2227067565918</x:v>
      </x:c>
      <x:c r="AS39" s="60" t="n">
        <x:v>63.47916191101074</x:v>
      </x:c>
      <x:c r="AT39" s="60" t="n">
        <x:v>63.781724548339845</x:v>
      </x:c>
      <x:c r="AU39" s="60" t="n">
        <x:v>63.98560863494873</x:v>
      </x:c>
      <x:c r="AV39" s="60" t="n">
        <x:v>64.18527740478515</x:v>
      </x:c>
      <x:c r="AW39" s="60" t="n">
        <x:v>64.422193069458</x:v>
      </x:c>
      <x:c r="AX39" s="60" t="n">
        <x:v>64.65451293945313</x:v>
      </x:c>
      <x:c r="AY39" s="60" t="n">
        <x:v>64.8412296295166</x:v>
      </x:c>
      <x:c r="AZ39" s="60" t="n">
        <x:v>65.05933639526367</x:v>
      </x:c>
      <x:c r="BA39" s="60" t="n">
        <x:v>65.2720523071289</x:v>
      </x:c>
      <x:c r="BB39" s="60" t="n">
        <x:v>65.51504913330078</x:v>
      </x:c>
      <x:c r="BC39" s="60" t="n">
        <x:v>65.74413696289062</x:v>
      </x:c>
      <x:c r="BD39" s="60" t="n">
        <x:v>65.96049499511719</x:v>
      </x:c>
      <x:c r="BE39" s="60" t="n">
        <x:v>66.19751976013184</x:v>
      </x:c>
      <x:c r="BF39" s="60" t="n">
        <x:v>66.4330191040039</x:v>
      </x:c>
      <x:c r="BG39" s="60" t="n">
        <x:v>66.6614786529541</x:v>
      </x:c>
      <x:c r="BH39" s="60" t="n">
        <x:v>66.86831253051758</x:v>
      </x:c>
      <x:c r="BI39" s="60" t="n">
        <x:v>67.1068717956543</x:v>
      </x:c>
      <x:c r="BJ39" s="60" t="n">
        <x:v>67.32653991699219</x:v>
      </x:c>
      <x:c r="BK39" s="60" t="n">
        <x:v>67.54038139343263</x:v>
      </x:c>
      <x:c r="BL39" s="60" t="n">
        <x:v>67.79110534667969</x:v>
      </x:c>
      <x:c r="BM39" s="60" t="n">
        <x:v>67.99201400756836</x:v>
      </x:c>
      <x:c r="BN39" s="60" t="n">
        <x:v>68.22388000488282</x:v>
      </x:c>
      <x:c r="BO39" s="60" t="n">
        <x:v>68.43591735839844</x:v>
      </x:c>
      <x:c r="BP39" s="60" t="n">
        <x:v>68.65205596923828</x:v>
      </x:c>
      <x:c r="BQ39" s="60" t="n">
        <x:v>68.85805976867675</x:v>
      </x:c>
      <x:c r="BR39" s="60" t="n">
        <x:v>69.12730255126954</x:v>
      </x:c>
      <x:c r="BS39" s="60" t="n">
        <x:v>69.35433731079101</x:v>
      </x:c>
      <x:c r="BT39" s="60" t="n">
        <x:v>69.5759098815918</x:v>
      </x:c>
      <x:c r="BU39" s="60" t="n">
        <x:v>69.80875579833985</x:v>
      </x:c>
      <x:c r="BV39" s="60" t="n">
        <x:v>70.03036682128906</x:v>
      </x:c>
      <x:c r="BW39" s="60" t="n">
        <x:v>70.24047088623047</x:v>
      </x:c>
      <x:c r="BX39" s="60" t="n">
        <x:v>70.46988830566406</x:v>
      </x:c>
      <x:c r="BY39" s="60" t="n">
        <x:v>70.72103988647461</x:v>
      </x:c>
      <x:c r="BZ39" s="60" t="n">
        <x:v>70.95110961914062</x:v>
      </x:c>
      <x:c r="CA39" s="60" t="n">
        <x:v>71.20683250427246</x:v>
      </x:c>
      <x:c r="CB39" s="60" t="n">
        <x:v>71.42667892456055</x:v>
      </x:c>
      <x:c r="CC39" s="60" t="n">
        <x:v>71.65435218811035</x:v>
      </x:c>
      <x:c r="CD39" s="60" t="n">
        <x:v>71.89397491455078</x:v>
      </x:c>
      <x:c r="CE39" s="60" t="n">
        <x:v>72.10551467895507</x:v>
      </x:c>
      <x:c r="CF39" s="60" t="n">
        <x:v>72.38807220458985</x:v>
      </x:c>
      <x:c r="CG39" s="60" t="n">
        <x:v>72.62986083984376</x:v>
      </x:c>
      <x:c r="CH39" s="60" t="n">
        <x:v>72.89651489257812</x:v>
      </x:c>
      <x:c r="CI39" s="60" t="n">
        <x:v>73.14267539978027</x:v>
      </x:c>
      <x:c r="CJ39" s="60" t="n">
        <x:v>73.44620254516602</x:v>
      </x:c>
      <x:c r="CK39" s="60" t="n">
        <x:v>73.72481498718263</x:v>
      </x:c>
      <x:c r="CL39" s="60" t="n">
        <x:v>74.01054168701172</x:v>
      </x:c>
      <x:c r="CM39" s="60" t="n">
        <x:v>74.28431053161621</x:v>
      </x:c>
      <x:c r="CN39" s="60" t="n">
        <x:v>74.57068756103516</x:v>
      </x:c>
      <x:c r="CO39" s="60" t="n">
        <x:v>74.85490730285645</x:v>
      </x:c>
      <x:c r="CP39" s="60" t="n">
        <x:v>75.17908325195313</x:v>
      </x:c>
      <x:c r="CQ39" s="60" t="n">
        <x:v>75.54455268859863</x:v>
      </x:c>
      <x:c r="CR39" s="60" t="n">
        <x:v>75.9011329650879</x:v>
      </x:c>
      <x:c r="CS39" s="60" t="n">
        <x:v>76.26008666992188</x:v>
      </x:c>
      <x:c r="CT39" s="60" t="n">
        <x:v>76.64703033447266</x:v>
      </x:c>
      <x:c r="CU39" s="60" t="n">
        <x:v>77.1042643737793</x:v>
      </x:c>
      <x:c r="CV39" s="60" t="n">
        <x:v>77.56001495361328</x:v>
      </x:c>
      <x:c r="CW39" s="60" t="n">
        <x:v>78.05670700073242</x:v>
      </x:c>
      <x:c r="CX39" s="60" t="n">
        <x:v>78.6238851928711</x:v>
      </x:c>
      <x:c r="CY39" s="60" t="n">
        <x:v>79.328741607666</x:v>
      </x:c>
      <x:c r="CZ39" s="60" t="n">
        <x:v>80.18512298583984</x:v>
      </x:c>
      <x:c r="DA39" s="60" t="n">
        <x:v>81.5439019012451</x:v>
      </x:c>
      <x:c r="DB39" s="60" t="n">
        <x:v>86.24942016601562</x:v>
      </x:c>
    </x:row>
    <x:row r="40">
      <x:c r="A40" t="str">
        <x:v>アマージョ-1</x:v>
      </x:c>
      <x:c r="B40" t="str">
        <x:v>アマージョ</x:v>
      </x:c>
      <x:c r="C40" t="str">
        <x:v>共通</x:v>
      </x:c>
      <x:c r="D40" s="60" t="n">
        <x:v>65.14341735839844</x:v>
      </x:c>
      <x:c r="E40" s="60" t="n">
        <x:v>10.008758544921875</x:v>
      </x:c>
      <x:c r="F40" s="60" t="n">
        <x:v>31.15622329711914</x:v>
      </x:c>
      <x:c r="G40" s="60" t="n">
        <x:v>40.05459186553955</x:v>
      </x:c>
      <x:c r="H40" s="60" t="n">
        <x:v>42.80410461425782</x:v>
      </x:c>
      <x:c r="I40" s="60" t="n">
        <x:v>44.75738891601563</x:v>
      </x:c>
      <x:c r="J40" s="60" t="n">
        <x:v>45.9887646484375</x:v>
      </x:c>
      <x:c r="K40" s="60" t="n">
        <x:v>47.135014343261716</x:v>
      </x:c>
      <x:c r="L40" s="60" t="n">
        <x:v>48.183921585083006</x:v>
      </x:c>
      <x:c r="M40" s="60" t="n">
        <x:v>49.18548412322998</x:v>
      </x:c>
      <x:c r="N40" s="60" t="n">
        <x:v>49.9904850769043</x:v>
      </x:c>
      <x:c r="O40" s="60" t="n">
        <x:v>50.71023029327392</x:v>
      </x:c>
      <x:c r="P40" s="60" t="n">
        <x:v>51.35773391723633</x:v>
      </x:c>
      <x:c r="Q40" s="60" t="n">
        <x:v>51.94812805175781</x:v>
      </x:c>
      <x:c r="R40" s="60" t="n">
        <x:v>52.52606536865235</x:v>
      </x:c>
      <x:c r="S40" s="60" t="n">
        <x:v>53.12088577270508</x:v>
      </x:c>
      <x:c r="T40" s="60" t="n">
        <x:v>53.66267318725586</x:v>
      </x:c>
      <x:c r="U40" s="60" t="n">
        <x:v>54.191830253601076</x:v>
      </x:c>
      <x:c r="V40" s="60" t="n">
        <x:v>54.7016552734375</x:v>
      </x:c>
      <x:c r="W40" s="60" t="n">
        <x:v>55.222979621887205</x:v>
      </x:c>
      <x:c r="X40" s="60" t="n">
        <x:v>55.699413452148434</x:v>
      </x:c>
      <x:c r="Y40" s="60" t="n">
        <x:v>56.14533519744873</x:v>
      </x:c>
      <x:c r="Z40" s="60" t="n">
        <x:v>56.62586135864258</x:v>
      </x:c>
      <x:c r="AA40" s="60" t="n">
        <x:v>57.009563522338865</x:v>
      </x:c>
      <x:c r="AB40" s="60" t="n">
        <x:v>57.365651016235354</x:v>
      </x:c>
      <x:c r="AC40" s="60" t="n">
        <x:v>57.77243656158447</x:v>
      </x:c>
      <x:c r="AD40" s="60" t="n">
        <x:v>58.11585388183594</x:v>
      </x:c>
      <x:c r="AE40" s="60" t="n">
        <x:v>58.469943046569824</x:v>
      </x:c>
      <x:c r="AF40" s="60" t="n">
        <x:v>58.837095184326174</x:v>
      </x:c>
      <x:c r="AG40" s="60" t="n">
        <x:v>59.180915641784665</x:v>
      </x:c>
      <x:c r="AH40" s="60" t="n">
        <x:v>59.55349670410156</x:v>
      </x:c>
      <x:c r="AI40" s="60" t="n">
        <x:v>59.89757064819336</x:v>
      </x:c>
      <x:c r="AJ40" s="60" t="n">
        <x:v>60.186212158203126</x:v>
      </x:c>
      <x:c r="AK40" s="60" t="n">
        <x:v>60.518524627685544</x:v>
      </x:c>
      <x:c r="AL40" s="60" t="n">
        <x:v>60.86881576538086</x:v>
      </x:c>
      <x:c r="AM40" s="60" t="n">
        <x:v>61.21024936676025</x:v>
      </x:c>
      <x:c r="AN40" s="60" t="n">
        <x:v>61.50196411132813</x:v>
      </x:c>
      <x:c r="AO40" s="60" t="n">
        <x:v>61.81919212341309</x:v>
      </x:c>
      <x:c r="AP40" s="60" t="n">
        <x:v>62.10443984985351</x:v>
      </x:c>
      <x:c r="AQ40" s="60" t="n">
        <x:v>62.38955646514893</x:v>
      </x:c>
      <x:c r="AR40" s="60" t="n">
        <x:v>62.682290649414064</x:v>
      </x:c>
      <x:c r="AS40" s="60" t="n">
        <x:v>62.95310241699219</x:v>
      </x:c>
      <x:c r="AT40" s="60" t="n">
        <x:v>63.250729370117185</x:v>
      </x:c>
      <x:c r="AU40" s="60" t="n">
        <x:v>63.56237602233887</x:v>
      </x:c>
      <x:c r="AV40" s="60" t="n">
        <x:v>63.86912452697754</x:v>
      </x:c>
      <x:c r="AW40" s="60" t="n">
        <x:v>64.13057960510254</x:v>
      </x:c>
      <x:c r="AX40" s="60" t="n">
        <x:v>64.37055877685548</x:v>
      </x:c>
      <x:c r="AY40" s="60" t="n">
        <x:v>64.6500186920166</x:v>
      </x:c>
      <x:c r="AZ40" s="60" t="n">
        <x:v>64.92316619873047</x:v>
      </x:c>
      <x:c r="BA40" s="60" t="n">
        <x:v>65.19780288696289</x:v>
      </x:c>
      <x:c r="BB40" s="60" t="n">
        <x:v>65.43350433349609</x:v>
      </x:c>
      <x:c r="BC40" s="60" t="n">
        <x:v>65.69621376037598</x:v>
      </x:c>
      <x:c r="BD40" s="60" t="n">
        <x:v>65.93653869628906</x:v>
      </x:c>
      <x:c r="BE40" s="60" t="n">
        <x:v>66.21493522644043</x:v>
      </x:c>
      <x:c r="BF40" s="60" t="n">
        <x:v>66.50464538574218</x:v>
      </x:c>
      <x:c r="BG40" s="60" t="n">
        <x:v>66.77743629455567</x:v>
      </x:c>
      <x:c r="BH40" s="60" t="n">
        <x:v>67.04947174072265</x:v>
      </x:c>
      <x:c r="BI40" s="60" t="n">
        <x:v>67.33005180358887</x:v>
      </x:c>
      <x:c r="BJ40" s="60" t="n">
        <x:v>67.58692840576173</x:v>
      </x:c>
      <x:c r="BK40" s="60" t="n">
        <x:v>67.82833847045899</x:v>
      </x:c>
      <x:c r="BL40" s="60" t="n">
        <x:v>68.09721664428712</x:v>
      </x:c>
      <x:c r="BM40" s="60" t="n">
        <x:v>68.34529067993164</x:v>
      </x:c>
      <x:c r="BN40" s="60" t="n">
        <x:v>68.58511810302734</x:v>
      </x:c>
      <x:c r="BO40" s="60" t="n">
        <x:v>68.84825294494628</x:v>
      </x:c>
      <x:c r="BP40" s="60" t="n">
        <x:v>69.13484542846679</x:v>
      </x:c>
      <x:c r="BQ40" s="60" t="n">
        <x:v>69.40839965820312</x:v>
      </x:c>
      <x:c r="BR40" s="60" t="n">
        <x:v>69.69169860839844</x:v>
      </x:c>
      <x:c r="BS40" s="60" t="n">
        <x:v>69.97199172973633</x:v>
      </x:c>
      <x:c r="BT40" s="60" t="n">
        <x:v>70.2292497253418</x:v>
      </x:c>
      <x:c r="BU40" s="60" t="n">
        <x:v>70.4728207397461</x:v>
      </x:c>
      <x:c r="BV40" s="60" t="n">
        <x:v>70.72212829589844</x:v>
      </x:c>
      <x:c r="BW40" s="60" t="n">
        <x:v>70.9957208251953</x:v>
      </x:c>
      <x:c r="BX40" s="60" t="n">
        <x:v>71.26507339477538</x:v>
      </x:c>
      <x:c r="BY40" s="60" t="n">
        <x:v>71.53257873535156</x:v>
      </x:c>
      <x:c r="BZ40" s="60" t="n">
        <x:v>71.82682586669921</x:v>
      </x:c>
      <x:c r="CA40" s="60" t="n">
        <x:v>72.11047981262207</x:v>
      </x:c>
      <x:c r="CB40" s="60" t="n">
        <x:v>72.3978857421875</x:v>
      </x:c>
      <x:c r="CC40" s="60" t="n">
        <x:v>72.68680000305176</x:v>
      </x:c>
      <x:c r="CD40" s="60" t="n">
        <x:v>72.95416625976563</x:v>
      </x:c>
      <x:c r="CE40" s="60" t="n">
        <x:v>73.2422038269043</x:v>
      </x:c>
      <x:c r="CF40" s="60" t="n">
        <x:v>73.53924133300781</x:v>
      </x:c>
      <x:c r="CG40" s="60" t="n">
        <x:v>73.81720123291015</x:v>
      </x:c>
      <x:c r="CH40" s="60" t="n">
        <x:v>74.09537200927734</x:v>
      </x:c>
      <x:c r="CI40" s="60" t="n">
        <x:v>74.37952255249023</x:v>
      </x:c>
      <x:c r="CJ40" s="60" t="n">
        <x:v>74.69708755493164</x:v>
      </x:c>
      <x:c r="CK40" s="60" t="n">
        <x:v>75.01881202697754</x:v>
      </x:c>
      <x:c r="CL40" s="60" t="n">
        <x:v>75.39040771484375</x:v>
      </x:c>
      <x:c r="CM40" s="60" t="n">
        <x:v>75.73774681091308</x:v>
      </x:c>
      <x:c r="CN40" s="60" t="n">
        <x:v>76.06119003295898</x:v>
      </x:c>
      <x:c r="CO40" s="60" t="n">
        <x:v>76.42420349121093</x:v>
      </x:c>
      <x:c r="CP40" s="60" t="n">
        <x:v>76.83928283691407</x:v>
      </x:c>
      <x:c r="CQ40" s="60" t="n">
        <x:v>77.20689727783203</x:v>
      </x:c>
      <x:c r="CR40" s="60" t="n">
        <x:v>77.5615364074707</x:v>
      </x:c>
      <x:c r="CS40" s="60" t="n">
        <x:v>77.9844896697998</x:v>
      </x:c>
      <x:c r="CT40" s="60" t="n">
        <x:v>78.38829620361328</x:v>
      </x:c>
      <x:c r="CU40" s="60" t="n">
        <x:v>78.87993721008301</x:v>
      </x:c>
      <x:c r="CV40" s="60" t="n">
        <x:v>79.3791244506836</x:v>
      </x:c>
      <x:c r="CW40" s="60" t="n">
        <x:v>80.03797035217285</x:v>
      </x:c>
      <x:c r="CX40" s="60" t="n">
        <x:v>80.71926544189454</x:v>
      </x:c>
      <x:c r="CY40" s="60" t="n">
        <x:v>81.47528388977051</x:v>
      </x:c>
      <x:c r="CZ40" s="60" t="n">
        <x:v>82.62369323730469</x:v>
      </x:c>
      <x:c r="DA40" s="60" t="n">
        <x:v>83.99510498046875</x:v>
      </x:c>
      <x:c r="DB40" s="60" t="n">
        <x:v>89.1793212890625</x:v>
      </x:c>
    </x:row>
    <x:row r="41">
      <x:c r="A41" t="str">
        <x:v>ウェーニバル-1</x:v>
      </x:c>
      <x:c r="B41" t="str">
        <x:v>ウェーニバル</x:v>
      </x:c>
      <x:c r="C41" t="str">
        <x:v>共通</x:v>
      </x:c>
      <x:c r="D41" s="60" t="n">
        <x:v>64.95459747314453</x:v>
      </x:c>
      <x:c r="E41" s="60" t="n">
        <x:v>9.196502685546875</x:v>
      </x:c>
      <x:c r="F41" s="60" t="n">
        <x:v>33.682559967041016</x:v>
      </x:c>
      <x:c r="G41" s="60" t="n">
        <x:v>41.67393180847168</x:v>
      </x:c>
      <x:c r="H41" s="60" t="n">
        <x:v>44.144433135986326</x:v>
      </x:c>
      <x:c r="I41" s="60" t="n">
        <x:v>45.90194736480713</x:v>
      </x:c>
      <x:c r="J41" s="60" t="n">
        <x:v>47.34020462036133</x:v>
      </x:c>
      <x:c r="K41" s="60" t="n">
        <x:v>48.361924934387204</x:v>
      </x:c>
      <x:c r="L41" s="60" t="n">
        <x:v>49.28453071594238</x:v>
      </x:c>
      <x:c r="M41" s="60" t="n">
        <x:v>50.07994941711426</x:v>
      </x:c>
      <x:c r="N41" s="60" t="n">
        <x:v>50.84279907226563</x:v>
      </x:c>
      <x:c r="O41" s="60" t="n">
        <x:v>51.59585067749023</x:v>
      </x:c>
      <x:c r="P41" s="60" t="n">
        <x:v>52.27720680236816</x:v>
      </x:c>
      <x:c r="Q41" s="60" t="n">
        <x:v>52.86089988708496</x:v>
      </x:c>
      <x:c r="R41" s="60" t="n">
        <x:v>53.33188095092773</x:v>
      </x:c>
      <x:c r="S41" s="60" t="n">
        <x:v>53.87923686981201</x:v>
      </x:c>
      <x:c r="T41" s="60" t="n">
        <x:v>54.41706260681153</x:v>
      </x:c>
      <x:c r="U41" s="60" t="n">
        <x:v>54.88711719512939</x:v>
      </x:c>
      <x:c r="V41" s="60" t="n">
        <x:v>55.32055160522461</x:v>
      </x:c>
      <x:c r="W41" s="60" t="n">
        <x:v>55.81023231506347</x:v>
      </x:c>
      <x:c r="X41" s="60" t="n">
        <x:v>56.25136428833008</x:v>
      </x:c>
      <x:c r="Y41" s="60" t="n">
        <x:v>56.69762763977051</x:v>
      </x:c>
      <x:c r="Z41" s="60" t="n">
        <x:v>57.11381454467774</x:v>
      </x:c>
      <x:c r="AA41" s="60" t="n">
        <x:v>57.48991207122803</x:v>
      </x:c>
      <x:c r="AB41" s="60" t="n">
        <x:v>57.85226852416992</x:v>
      </x:c>
      <x:c r="AC41" s="60" t="n">
        <x:v>58.24540355682373</x:v>
      </x:c>
      <x:c r="AD41" s="60" t="n">
        <x:v>58.55314193725586</x:v>
      </x:c>
      <x:c r="AE41" s="60" t="n">
        <x:v>58.87653064727783</x:v>
      </x:c>
      <x:c r="AF41" s="60" t="n">
        <x:v>59.22045425415039</x:v>
      </x:c>
      <x:c r="AG41" s="60" t="n">
        <x:v>59.55352966308594</x:v>
      </x:c>
      <x:c r="AH41" s="60" t="n">
        <x:v>59.868654022216795</x:v>
      </x:c>
      <x:c r="AI41" s="60" t="n">
        <x:v>60.188693046569824</x:v>
      </x:c>
      <x:c r="AJ41" s="60" t="n">
        <x:v>60.51772499084473</x:v>
      </x:c>
      <x:c r="AK41" s="60" t="n">
        <x:v>60.81126625061035</x:v>
      </x:c>
      <x:c r="AL41" s="60" t="n">
        <x:v>61.078467559814456</x:v>
      </x:c>
      <x:c r="AM41" s="60" t="n">
        <x:v>61.363856353759765</x:v>
      </x:c>
      <x:c r="AN41" s="60" t="n">
        <x:v>61.646218338012694</x:v>
      </x:c>
      <x:c r="AO41" s="60" t="n">
        <x:v>61.91386871337891</x:v>
      </x:c>
      <x:c r="AP41" s="60" t="n">
        <x:v>62.19784851074219</x:v>
      </x:c>
      <x:c r="AQ41" s="60" t="n">
        <x:v>62.49715358734131</x:v>
      </x:c>
      <x:c r="AR41" s="60" t="n">
        <x:v>62.775771636962894</x:v>
      </x:c>
      <x:c r="AS41" s="60" t="n">
        <x:v>63.03316837310791</x:v>
      </x:c>
      <x:c r="AT41" s="60" t="n">
        <x:v>63.30529861450196</x:v>
      </x:c>
      <x:c r="AU41" s="60" t="n">
        <x:v>63.578104438781736</x:v>
      </x:c>
      <x:c r="AV41" s="60" t="n">
        <x:v>63.834594345092775</x:v>
      </x:c>
      <x:c r="AW41" s="60" t="n">
        <x:v>64.09172409057616</x:v>
      </x:c>
      <x:c r="AX41" s="60" t="n">
        <x:v>64.34048065185547</x:v>
      </x:c>
      <x:c r="AY41" s="60" t="n">
        <x:v>64.60648002624512</x:v>
      </x:c>
      <x:c r="AZ41" s="60" t="n">
        <x:v>64.82671981811524</x:v>
      </x:c>
      <x:c r="BA41" s="60" t="n">
        <x:v>65.090453414917</x:v>
      </x:c>
      <x:c r="BB41" s="60" t="n">
        <x:v>65.31334045410156</x:v>
      </x:c>
      <x:c r="BC41" s="60" t="n">
        <x:v>65.56544509887695</x:v>
      </x:c>
      <x:c r="BD41" s="60" t="n">
        <x:v>65.80379867553711</x:v>
      </x:c>
      <x:c r="BE41" s="60" t="n">
        <x:v>66.04447715759277</x:v>
      </x:c>
      <x:c r="BF41" s="60" t="n">
        <x:v>66.31206481933593</x:v>
      </x:c>
      <x:c r="BG41" s="60" t="n">
        <x:v>66.53090705871583</x:v>
      </x:c>
      <x:c r="BH41" s="60" t="n">
        <x:v>66.77727249145508</x:v>
      </x:c>
      <x:c r="BI41" s="60" t="n">
        <x:v>67.02632484436035</x:v>
      </x:c>
      <x:c r="BJ41" s="60" t="n">
        <x:v>67.28553924560546</x:v>
      </x:c>
      <x:c r="BK41" s="60" t="n">
        <x:v>67.53241226196289</x:v>
      </x:c>
      <x:c r="BL41" s="60" t="n">
        <x:v>67.78437423706055</x:v>
      </x:c>
      <x:c r="BM41" s="60" t="n">
        <x:v>68.01714630126953</x:v>
      </x:c>
      <x:c r="BN41" s="60" t="n">
        <x:v>68.25471496582031</x:v>
      </x:c>
      <x:c r="BO41" s="60" t="n">
        <x:v>68.49325073242187</x:v>
      </x:c>
      <x:c r="BP41" s="60" t="n">
        <x:v>68.73714904785156</x:v>
      </x:c>
      <x:c r="BQ41" s="60" t="n">
        <x:v>68.99561897277832</x:v>
      </x:c>
      <x:c r="BR41" s="60" t="n">
        <x:v>69.23916412353516</x:v>
      </x:c>
      <x:c r="BS41" s="60" t="n">
        <x:v>69.50160789489746</x:v>
      </x:c>
      <x:c r="BT41" s="60" t="n">
        <x:v>69.73668731689453</x:v>
      </x:c>
      <x:c r="BU41" s="60" t="n">
        <x:v>69.96148139953613</x:v>
      </x:c>
      <x:c r="BV41" s="60" t="n">
        <x:v>70.18886810302735</x:v>
      </x:c>
      <x:c r="BW41" s="60" t="n">
        <x:v>70.4033341217041</x:v>
      </x:c>
      <x:c r="BX41" s="60" t="n">
        <x:v>70.64432144165039</x:v>
      </x:c>
      <x:c r="BY41" s="60" t="n">
        <x:v>70.8784676361084</x:v>
      </x:c>
      <x:c r="BZ41" s="60" t="n">
        <x:v>71.12318939208984</x:v>
      </x:c>
      <x:c r="CA41" s="60" t="n">
        <x:v>71.37751327514648</x:v>
      </x:c>
      <x:c r="CB41" s="60" t="n">
        <x:v>71.62722854614258</x:v>
      </x:c>
      <x:c r="CC41" s="60" t="n">
        <x:v>71.86195945739746</x:v>
      </x:c>
      <x:c r="CD41" s="60" t="n">
        <x:v>72.12914306640624</x:v>
      </x:c>
      <x:c r="CE41" s="60" t="n">
        <x:v>72.39699020385743</x:v>
      </x:c>
      <x:c r="CF41" s="60" t="n">
        <x:v>72.65873947143555</x:v>
      </x:c>
      <x:c r="CG41" s="60" t="n">
        <x:v>72.94060981750488</x:v>
      </x:c>
      <x:c r="CH41" s="60" t="n">
        <x:v>73.21275634765625</x:v>
      </x:c>
      <x:c r="CI41" s="60" t="n">
        <x:v>73.4542504119873</x:v>
      </x:c>
      <x:c r="CJ41" s="60" t="n">
        <x:v>73.70130264282227</x:v>
      </x:c>
      <x:c r="CK41" s="60" t="n">
        <x:v>74.00331161499024</x:v>
      </x:c>
      <x:c r="CL41" s="60" t="n">
        <x:v>74.31607421875</x:v>
      </x:c>
      <x:c r="CM41" s="60" t="n">
        <x:v>74.60142707824707</x:v>
      </x:c>
      <x:c r="CN41" s="60" t="n">
        <x:v>74.91613861083984</x:v>
      </x:c>
      <x:c r="CO41" s="60" t="n">
        <x:v>75.24784332275391</x:v>
      </x:c>
      <x:c r="CP41" s="60" t="n">
        <x:v>75.5902163696289</x:v>
      </x:c>
      <x:c r="CQ41" s="60" t="n">
        <x:v>75.93589767456055</x:v>
      </x:c>
      <x:c r="CR41" s="60" t="n">
        <x:v>76.29745407104492</x:v>
      </x:c>
      <x:c r="CS41" s="60" t="n">
        <x:v>76.66780349731445</x:v>
      </x:c>
      <x:c r="CT41" s="60" t="n">
        <x:v>77.0401528930664</x:v>
      </x:c>
      <x:c r="CU41" s="60" t="n">
        <x:v>77.44815574645996</x:v>
      </x:c>
      <x:c r="CV41" s="60" t="n">
        <x:v>77.88720977783203</x:v>
      </x:c>
      <x:c r="CW41" s="60" t="n">
        <x:v>78.44010009765626</x:v>
      </x:c>
      <x:c r="CX41" s="60" t="n">
        <x:v>79.06058471679688</x:v>
      </x:c>
      <x:c r="CY41" s="60" t="n">
        <x:v>79.74139335632323</x:v>
      </x:c>
      <x:c r="CZ41" s="60" t="n">
        <x:v>80.7243295288086</x:v>
      </x:c>
      <x:c r="DA41" s="60" t="n">
        <x:v>81.91466773986816</x:v>
      </x:c>
      <x:c r="DB41" s="60" t="n">
        <x:v>86.08460998535156</x:v>
      </x:c>
    </x:row>
    <x:row r="42">
      <x:c r="A42" t="str">
        <x:v>ウーラオス-1</x:v>
      </x:c>
      <x:c r="B42" t="str">
        <x:v>ウーラオス</x:v>
      </x:c>
      <x:c r="C42" t="str">
        <x:v>あんこくきょうだ</x:v>
      </x:c>
      <x:c r="D42" s="60" t="n">
        <x:v>64.61354064941406</x:v>
      </x:c>
      <x:c r="E42" s="60" t="n">
        <x:v>9.881178855895996</x:v>
      </x:c>
      <x:c r="F42" s="60" t="n">
        <x:v>31.158985137939453</x:v>
      </x:c>
      <x:c r="G42" s="60" t="n">
        <x:v>40.0637194442749</x:v>
      </x:c>
      <x:c r="H42" s="60" t="n">
        <x:v>42.811369552612305</x:v>
      </x:c>
      <x:c r="I42" s="60" t="n">
        <x:v>44.36451469421387</x:v>
      </x:c>
      <x:c r="J42" s="60" t="n">
        <x:v>45.92209716796875</x:v>
      </x:c>
      <x:c r="K42" s="60" t="n">
        <x:v>47.0582197189331</x:v>
      </x:c>
      <x:c r="L42" s="60" t="n">
        <x:v>48.1254727935791</x:v>
      </x:c>
      <x:c r="M42" s="60" t="n">
        <x:v>48.94808757781983</x:v>
      </x:c>
      <x:c r="N42" s="60" t="n">
        <x:v>49.79146987915039</x:v>
      </x:c>
      <x:c r="O42" s="60" t="n">
        <x:v>50.56423469543457</x:v>
      </x:c>
      <x:c r="P42" s="60" t="n">
        <x:v>51.16618041992187</x:v>
      </x:c>
      <x:c r="Q42" s="60" t="n">
        <x:v>51.78731166839599</x:v>
      </x:c>
      <x:c r="R42" s="60" t="n">
        <x:v>52.335987396240235</x:v>
      </x:c>
      <x:c r="S42" s="60" t="n">
        <x:v>52.8898836517334</x:v>
      </x:c>
      <x:c r="T42" s="60" t="n">
        <x:v>53.35736572265625</x:v>
      </x:c>
      <x:c r="U42" s="60" t="n">
        <x:v>53.91410655975342</x:v>
      </x:c>
      <x:c r="V42" s="60" t="n">
        <x:v>54.36094329833984</x:v>
      </x:c>
      <x:c r="W42" s="60" t="n">
        <x:v>54.80857830047607</x:v>
      </x:c>
      <x:c r="X42" s="60" t="n">
        <x:v>55.178945541381836</x:v>
      </x:c>
      <x:c r="Y42" s="60" t="n">
        <x:v>55.57680721282959</x:v>
      </x:c>
      <x:c r="Z42" s="60" t="n">
        <x:v>56.00157623291015</x:v>
      </x:c>
      <x:c r="AA42" s="60" t="n">
        <x:v>56.39452072143555</x:v>
      </x:c>
      <x:c r="AB42" s="60" t="n">
        <x:v>56.78954612731933</x:v>
      </x:c>
      <x:c r="AC42" s="60" t="n">
        <x:v>57.17049114227295</x:v>
      </x:c>
      <x:c r="AD42" s="60" t="n">
        <x:v>57.52853591918945</x:v>
      </x:c>
      <x:c r="AE42" s="60" t="n">
        <x:v>57.90269470214844</x:v>
      </x:c>
      <x:c r="AF42" s="60" t="n">
        <x:v>58.264978561401364</x:v>
      </x:c>
      <x:c r="AG42" s="60" t="n">
        <x:v>58.58856777191162</x:v>
      </x:c>
      <x:c r="AH42" s="60" t="n">
        <x:v>58.969253387451175</x:v>
      </x:c>
      <x:c r="AI42" s="60" t="n">
        <x:v>59.31143524169922</x:v>
      </x:c>
      <x:c r="AJ42" s="60" t="n">
        <x:v>59.63466300964355</x:v>
      </x:c>
      <x:c r="AK42" s="60" t="n">
        <x:v>59.95602767944336</x:v>
      </x:c>
      <x:c r="AL42" s="60" t="n">
        <x:v>60.282280731201176</x:v>
      </x:c>
      <x:c r="AM42" s="60" t="n">
        <x:v>60.59760158538818</x:v>
      </x:c>
      <x:c r="AN42" s="60" t="n">
        <x:v>60.91974159240723</x:v>
      </x:c>
      <x:c r="AO42" s="60" t="n">
        <x:v>61.235091590881346</x:v>
      </x:c>
      <x:c r="AP42" s="60" t="n">
        <x:v>61.54868392944336</x:v>
      </x:c>
      <x:c r="AQ42" s="60" t="n">
        <x:v>61.845306968688966</x:v>
      </x:c>
      <x:c r="AR42" s="60" t="n">
        <x:v>62.16929588317871</x:v>
      </x:c>
      <x:c r="AS42" s="60" t="n">
        <x:v>62.42860050201416</x:v>
      </x:c>
      <x:c r="AT42" s="60" t="n">
        <x:v>62.6580810546875</x:v>
      </x:c>
      <x:c r="AU42" s="60" t="n">
        <x:v>62.93580017089844</x:v>
      </x:c>
      <x:c r="AV42" s="60" t="n">
        <x:v>63.222212600708005</x:v>
      </x:c>
      <x:c r="AW42" s="60" t="n">
        <x:v>63.52532299041748</x:v>
      </x:c>
      <x:c r="AX42" s="60" t="n">
        <x:v>63.79572265625</x:v>
      </x:c>
      <x:c r="AY42" s="60" t="n">
        <x:v>64.03773498535156</x:v>
      </x:c>
      <x:c r="AZ42" s="60" t="n">
        <x:v>64.32403259277343</x:v>
      </x:c>
      <x:c r="BA42" s="60" t="n">
        <x:v>64.59747177124024</x:v>
      </x:c>
      <x:c r="BB42" s="60" t="n">
        <x:v>64.84702087402344</x:v>
      </x:c>
      <x:c r="BC42" s="60" t="n">
        <x:v>65.1305078125</x:v>
      </x:c>
      <x:c r="BD42" s="60" t="n">
        <x:v>65.4007339477539</x:v>
      </x:c>
      <x:c r="BE42" s="60" t="n">
        <x:v>65.67053459167481</x:v>
      </x:c>
      <x:c r="BF42" s="60" t="n">
        <x:v>65.92890258789062</x:v>
      </x:c>
      <x:c r="BG42" s="60" t="n">
        <x:v>66.20325782775879</x:v>
      </x:c>
      <x:c r="BH42" s="60" t="n">
        <x:v>66.45241073608399</x:v>
      </x:c>
      <x:c r="BI42" s="60" t="n">
        <x:v>66.71753387451172</x:v>
      </x:c>
      <x:c r="BJ42" s="60" t="n">
        <x:v>66.98305938720704</x:v>
      </x:c>
      <x:c r="BK42" s="60" t="n">
        <x:v>67.21812980651856</x:v>
      </x:c>
      <x:c r="BL42" s="60" t="n">
        <x:v>67.50780639648437</x:v>
      </x:c>
      <x:c r="BM42" s="60" t="n">
        <x:v>67.76475135803223</x:v>
      </x:c>
      <x:c r="BN42" s="60" t="n">
        <x:v>68.05828552246093</x:v>
      </x:c>
      <x:c r="BO42" s="60" t="n">
        <x:v>68.32383003234864</x:v>
      </x:c>
      <x:c r="BP42" s="60" t="n">
        <x:v>68.59282485961914</x:v>
      </x:c>
      <x:c r="BQ42" s="60" t="n">
        <x:v>68.83725151062012</x:v>
      </x:c>
      <x:c r="BR42" s="60" t="n">
        <x:v>69.09530242919922</x:v>
      </x:c>
      <x:c r="BS42" s="60" t="n">
        <x:v>69.30721855163574</x:v>
      </x:c>
      <x:c r="BT42" s="60" t="n">
        <x:v>69.5841600036621</x:v>
      </x:c>
      <x:c r="BU42" s="60" t="n">
        <x:v>69.85193351745606</x:v>
      </x:c>
      <x:c r="BV42" s="60" t="n">
        <x:v>70.12510864257813</x:v>
      </x:c>
      <x:c r="BW42" s="60" t="n">
        <x:v>70.39072608947754</x:v>
      </x:c>
      <x:c r="BX42" s="60" t="n">
        <x:v>70.63687515258789</x:v>
      </x:c>
      <x:c r="BY42" s="60" t="n">
        <x:v>70.91731704711914</x:v>
      </x:c>
      <x:c r="BZ42" s="60" t="n">
        <x:v>71.17999481201171</x:v>
      </x:c>
      <x:c r="CA42" s="60" t="n">
        <x:v>71.43146186828614</x:v>
      </x:c>
      <x:c r="CB42" s="60" t="n">
        <x:v>71.69175659179687</x:v>
      </x:c>
      <x:c r="CC42" s="60" t="n">
        <x:v>71.99917602539062</x:v>
      </x:c>
      <x:c r="CD42" s="60" t="n">
        <x:v>72.2936929321289</x:v>
      </x:c>
      <x:c r="CE42" s="60" t="n">
        <x:v>72.58880348205567</x:v>
      </x:c>
      <x:c r="CF42" s="60" t="n">
        <x:v>72.89677505493164</x:v>
      </x:c>
      <x:c r="CG42" s="60" t="n">
        <x:v>73.19805778503418</x:v>
      </x:c>
      <x:c r="CH42" s="60" t="n">
        <x:v>73.49239807128906</x:v>
      </x:c>
      <x:c r="CI42" s="60" t="n">
        <x:v>73.75488655090332</x:v>
      </x:c>
      <x:c r="CJ42" s="60" t="n">
        <x:v>74.06831481933594</x:v>
      </x:c>
      <x:c r="CK42" s="60" t="n">
        <x:v>74.3740978240967</x:v>
      </x:c>
      <x:c r="CL42" s="60" t="n">
        <x:v>74.70713317871093</x:v>
      </x:c>
      <x:c r="CM42" s="60" t="n">
        <x:v>75.0502384185791</x:v>
      </x:c>
      <x:c r="CN42" s="60" t="n">
        <x:v>75.39028579711913</x:v>
      </x:c>
      <x:c r="CO42" s="60" t="n">
        <x:v>75.7375399017334</x:v>
      </x:c>
      <x:c r="CP42" s="60" t="n">
        <x:v>76.10106964111328</x:v>
      </x:c>
      <x:c r="CQ42" s="60" t="n">
        <x:v>76.50918853759765</x:v>
      </x:c>
      <x:c r="CR42" s="60" t="n">
        <x:v>76.89029235839844</x:v>
      </x:c>
      <x:c r="CS42" s="60" t="n">
        <x:v>77.36894332885743</x:v>
      </x:c>
      <x:c r="CT42" s="60" t="n">
        <x:v>77.82300811767578</x:v>
      </x:c>
      <x:c r="CU42" s="60" t="n">
        <x:v>78.33864387512207</x:v>
      </x:c>
      <x:c r="CV42" s="60" t="n">
        <x:v>78.91386749267578</x:v>
      </x:c>
      <x:c r="CW42" s="60" t="n">
        <x:v>79.48778495788575</x:v>
      </x:c>
      <x:c r="CX42" s="60" t="n">
        <x:v>80.16938873291015</x:v>
      </x:c>
      <x:c r="CY42" s="60" t="n">
        <x:v>80.93108848571777</x:v>
      </x:c>
      <x:c r="CZ42" s="60" t="n">
        <x:v>81.95479095458985</x:v>
      </x:c>
      <x:c r="DA42" s="60" t="n">
        <x:v>83.42430313110347</x:v>
      </x:c>
      <x:c r="DB42" s="60" t="n">
        <x:v>89.30793762207031</x:v>
      </x:c>
    </x:row>
    <x:row r="43">
      <x:c r="A43" t="str">
        <x:v>ウーラオス-2</x:v>
      </x:c>
      <x:c r="B43" t="str">
        <x:v>ウーラオス</x:v>
      </x:c>
      <x:c r="C43" t="str">
        <x:v>すいりゅうれんだ</x:v>
      </x:c>
      <x:c r="D43" s="60" t="n">
        <x:v>64.94985961914062</x:v>
      </x:c>
      <x:c r="E43" s="60" t="n">
        <x:v>9.258125305175781</x:v>
      </x:c>
      <x:c r="F43" s="60" t="n">
        <x:v>32.85903549194336</x:v>
      </x:c>
      <x:c r="G43" s="60" t="n">
        <x:v>41.46598297119141</x:v>
      </x:c>
      <x:c r="H43" s="60" t="n">
        <x:v>43.91027877807617</x:v>
      </x:c>
      <x:c r="I43" s="60" t="n">
        <x:v>45.74272819519043</x:v>
      </x:c>
      <x:c r="J43" s="60" t="n">
        <x:v>47.059375610351566</x:v>
      </x:c>
      <x:c r="K43" s="60" t="n">
        <x:v>48.199428749084475</x:v>
      </x:c>
      <x:c r="L43" s="60" t="n">
        <x:v>49.19376121520996</x:v>
      </x:c>
      <x:c r="M43" s="60" t="n">
        <x:v>50.08771621704101</x:v>
      </x:c>
      <x:c r="N43" s="60" t="n">
        <x:v>50.819501953125</x:v>
      </x:c>
      <x:c r="O43" s="60" t="n">
        <x:v>51.51274517059326</x:v>
      </x:c>
      <x:c r="P43" s="60" t="n">
        <x:v>52.12099418640137</x:v>
      </x:c>
      <x:c r="Q43" s="60" t="n">
        <x:v>52.71812702178955</x:v>
      </x:c>
      <x:c r="R43" s="60" t="n">
        <x:v>53.30086303710937</x:v>
      </x:c>
      <x:c r="S43" s="60" t="n">
        <x:v>53.879999771118165</x:v>
      </x:c>
      <x:c r="T43" s="60" t="n">
        <x:v>54.36321739196777</x:v>
      </x:c>
      <x:c r="U43" s="60" t="n">
        <x:v>54.86990242004394</x:v>
      </x:c>
      <x:c r="V43" s="60" t="n">
        <x:v>55.33841262817383</x:v>
      </x:c>
      <x:c r="W43" s="60" t="n">
        <x:v>55.75223274230957</x:v>
      </x:c>
      <x:c r="X43" s="60" t="n">
        <x:v>56.20486801147461</x:v>
      </x:c>
      <x:c r="Y43" s="60" t="n">
        <x:v>56.613459548950196</x:v>
      </x:c>
      <x:c r="Z43" s="60" t="n">
        <x:v>57.002749633789065</x:v>
      </x:c>
      <x:c r="AA43" s="60" t="n">
        <x:v>57.412142486572264</x:v>
      </x:c>
      <x:c r="AB43" s="60" t="n">
        <x:v>57.76272476196289</x:v>
      </x:c>
      <x:c r="AC43" s="60" t="n">
        <x:v>58.13433246612549</x:v>
      </x:c>
      <x:c r="AD43" s="60" t="n">
        <x:v>58.49271469116211</x:v>
      </x:c>
      <x:c r="AE43" s="60" t="n">
        <x:v>58.85143280029297</x:v>
      </x:c>
      <x:c r="AF43" s="60" t="n">
        <x:v>59.19044807434082</x:v>
      </x:c>
      <x:c r="AG43" s="60" t="n">
        <x:v>59.50358253479004</x:v>
      </x:c>
      <x:c r="AH43" s="60" t="n">
        <x:v>59.82820831298828</x:v>
      </x:c>
      <x:c r="AI43" s="60" t="n">
        <x:v>60.13935287475586</x:v>
      </x:c>
      <x:c r="AJ43" s="60" t="n">
        <x:v>60.45146560668945</x:v>
      </x:c>
      <x:c r="AK43" s="60" t="n">
        <x:v>60.74385768890381</x:v>
      </x:c>
      <x:c r="AL43" s="60" t="n">
        <x:v>61.04172653198242</x:v>
      </x:c>
      <x:c r="AM43" s="60" t="n">
        <x:v>61.37201316833496</x:v>
      </x:c>
      <x:c r="AN43" s="60" t="n">
        <x:v>61.65111465454102</x:v>
      </x:c>
      <x:c r="AO43" s="60" t="n">
        <x:v>61.95075588226318</x:v>
      </x:c>
      <x:c r="AP43" s="60" t="n">
        <x:v>62.20014694213867</x:v>
      </x:c>
      <x:c r="AQ43" s="60" t="n">
        <x:v>62.50397891998291</x:v>
      </x:c>
      <x:c r="AR43" s="60" t="n">
        <x:v>62.766633377075195</x:v>
      </x:c>
      <x:c r="AS43" s="60" t="n">
        <x:v>63.03525398254395</x:v>
      </x:c>
      <x:c r="AT43" s="60" t="n">
        <x:v>63.326300048828124</x:v>
      </x:c>
      <x:c r="AU43" s="60" t="n">
        <x:v>63.58195327758789</x:v>
      </x:c>
      <x:c r="AV43" s="60" t="n">
        <x:v>63.82702163696289</x:v>
      </x:c>
      <x:c r="AW43" s="60" t="n">
        <x:v>64.08457664489747</x:v>
      </x:c>
      <x:c r="AX43" s="60" t="n">
        <x:v>64.3610693359375</x:v>
      </x:c>
      <x:c r="AY43" s="60" t="n">
        <x:v>64.59411010742188</x:v>
      </x:c>
      <x:c r="AZ43" s="60" t="n">
        <x:v>64.84190185546875</x:v>
      </x:c>
      <x:c r="BA43" s="60" t="n">
        <x:v>65.09803024291992</x:v>
      </x:c>
      <x:c r="BB43" s="60" t="n">
        <x:v>65.37839294433594</x:v>
      </x:c>
      <x:c r="BC43" s="60" t="n">
        <x:v>65.61233772277832</x:v>
      </x:c>
      <x:c r="BD43" s="60" t="n">
        <x:v>65.86132431030273</x:v>
      </x:c>
      <x:c r="BE43" s="60" t="n">
        <x:v>66.09722229003906</x:v>
      </x:c>
      <x:c r="BF43" s="60" t="n">
        <x:v>66.35247741699219</x:v>
      </x:c>
      <x:c r="BG43" s="60" t="n">
        <x:v>66.58696983337403</x:v>
      </x:c>
      <x:c r="BH43" s="60" t="n">
        <x:v>66.78991561889649</x:v>
      </x:c>
      <x:c r="BI43" s="60" t="n">
        <x:v>67.04272117614747</x:v>
      </x:c>
      <x:c r="BJ43" s="60" t="n">
        <x:v>67.27206451416015</x:v>
      </x:c>
      <x:c r="BK43" s="60" t="n">
        <x:v>67.5035181427002</x:v>
      </x:c>
      <x:c r="BL43" s="60" t="n">
        <x:v>67.74783599853515</x:v>
      </x:c>
      <x:c r="BM43" s="60" t="n">
        <x:v>67.99613502502442</x:v>
      </x:c>
      <x:c r="BN43" s="60" t="n">
        <x:v>68.26465911865235</x:v>
      </x:c>
      <x:c r="BO43" s="60" t="n">
        <x:v>68.52238784790039</x:v>
      </x:c>
      <x:c r="BP43" s="60" t="n">
        <x:v>68.75884140014648</x:v>
      </x:c>
      <x:c r="BQ43" s="60" t="n">
        <x:v>69.01293853759766</x:v>
      </x:c>
      <x:c r="BR43" s="60" t="n">
        <x:v>69.27383575439454</x:v>
      </x:c>
      <x:c r="BS43" s="60" t="n">
        <x:v>69.50357017517089</x:v>
      </x:c>
      <x:c r="BT43" s="60" t="n">
        <x:v>69.77116821289063</x:v>
      </x:c>
      <x:c r="BU43" s="60" t="n">
        <x:v>69.9946964263916</x:v>
      </x:c>
      <x:c r="BV43" s="60" t="n">
        <x:v>70.25044250488281</x:v>
      </x:c>
      <x:c r="BW43" s="60" t="n">
        <x:v>70.47219688415528</x:v>
      </x:c>
      <x:c r="BX43" s="60" t="n">
        <x:v>70.69797592163086</x:v>
      </x:c>
      <x:c r="BY43" s="60" t="n">
        <x:v>70.95891998291016</x:v>
      </x:c>
      <x:c r="BZ43" s="60" t="n">
        <x:v>71.18799224853515</x:v>
      </x:c>
      <x:c r="CA43" s="60" t="n">
        <x:v>71.46547569274902</x:v>
      </x:c>
      <x:c r="CB43" s="60" t="n">
        <x:v>71.71027465820312</x:v>
      </x:c>
      <x:c r="CC43" s="60" t="n">
        <x:v>71.95669555664062</x:v>
      </x:c>
      <x:c r="CD43" s="60" t="n">
        <x:v>72.20189422607422</x:v>
      </x:c>
      <x:c r="CE43" s="60" t="n">
        <x:v>72.48116455078124</x:v>
      </x:c>
      <x:c r="CF43" s="60" t="n">
        <x:v>72.7213427734375</x:v>
      </x:c>
      <x:c r="CG43" s="60" t="n">
        <x:v>72.99661445617676</x:v>
      </x:c>
      <x:c r="CH43" s="60" t="n">
        <x:v>73.25199737548829</x:v>
      </x:c>
      <x:c r="CI43" s="60" t="n">
        <x:v>73.4937134552002</x:v>
      </x:c>
      <x:c r="CJ43" s="60" t="n">
        <x:v>73.75337341308594</x:v>
      </x:c>
      <x:c r="CK43" s="60" t="n">
        <x:v>74.06692306518555</x:v>
      </x:c>
      <x:c r="CL43" s="60" t="n">
        <x:v>74.39240509033203</x:v>
      </x:c>
      <x:c r="CM43" s="60" t="n">
        <x:v>74.6989200592041</x:v>
      </x:c>
      <x:c r="CN43" s="60" t="n">
        <x:v>75.0075144958496</x:v>
      </x:c>
      <x:c r="CO43" s="60" t="n">
        <x:v>75.29784591674805</x:v>
      </x:c>
      <x:c r="CP43" s="60" t="n">
        <x:v>75.61509826660156</x:v>
      </x:c>
      <x:c r="CQ43" s="60" t="n">
        <x:v>75.9733137512207</x:v>
      </x:c>
      <x:c r="CR43" s="60" t="n">
        <x:v>76.31977157592773</x:v>
      </x:c>
      <x:c r="CS43" s="60" t="n">
        <x:v>76.71177734375</x:v>
      </x:c>
      <x:c r="CT43" s="60" t="n">
        <x:v>77.12283752441407</x:v>
      </x:c>
      <x:c r="CU43" s="60" t="n">
        <x:v>77.56585060119629</x:v>
      </x:c>
      <x:c r="CV43" s="60" t="n">
        <x:v>78.03080444335937</x:v>
      </x:c>
      <x:c r="CW43" s="60" t="n">
        <x:v>78.52413711547852</x:v>
      </x:c>
      <x:c r="CX43" s="60" t="n">
        <x:v>79.10396484375</x:v>
      </x:c>
      <x:c r="CY43" s="60" t="n">
        <x:v>79.87308059692383</x:v>
      </x:c>
      <x:c r="CZ43" s="60" t="n">
        <x:v>80.71619186401368</x:v>
      </x:c>
      <x:c r="DA43" s="60" t="n">
        <x:v>81.91091728210448</x:v>
      </x:c>
      <x:c r="DB43" s="60" t="n">
        <x:v>85.83989715576172</x:v>
      </x:c>
    </x:row>
    <x:row r="44">
      <x:c r="A44" t="str">
        <x:v>エンペルト-1</x:v>
      </x:c>
      <x:c r="B44" t="str">
        <x:v>エンペルト</x:v>
      </x:c>
      <x:c r="C44" t="str">
        <x:v>共通</x:v>
      </x:c>
      <x:c r="D44" s="60" t="n">
        <x:v>65.32389068603516</x:v>
      </x:c>
      <x:c r="E44" s="60" t="n">
        <x:v>6.1016621589660645</x:v>
      </x:c>
      <x:c r="F44" s="60" t="n">
        <x:v>42.475799560546875</x:v>
      </x:c>
      <x:c r="G44" s="60" t="n">
        <x:v>48.48397087097168</x:v>
      </x:c>
      <x:c r="H44" s="60" t="n">
        <x:v>50.38878555297852</x:v>
      </x:c>
      <x:c r="I44" s="60" t="n">
        <x:v>51.83239070892334</x:v>
      </x:c>
      <x:c r="J44" s="60" t="n">
        <x:v>52.98283966064453</x:v>
      </x:c>
      <x:c r="K44" s="60" t="n">
        <x:v>53.828934288024904</x:v>
      </x:c>
      <x:c r="L44" s="60" t="n">
        <x:v>54.563628692626956</x:v>
      </x:c>
      <x:c r="M44" s="60" t="n">
        <x:v>55.151721534729006</x:v>
      </x:c>
      <x:c r="N44" s="60" t="n">
        <x:v>55.712120361328125</x:v>
      </x:c>
      <x:c r="O44" s="60" t="n">
        <x:v>56.196668167114254</x:v>
      </x:c>
      <x:c r="P44" s="60" t="n">
        <x:v>56.66599311828613</x:v>
      </x:c>
      <x:c r="Q44" s="60" t="n">
        <x:v>57.13002189636231</x:v>
      </x:c>
      <x:c r="R44" s="60" t="n">
        <x:v>57.57717315673828</x:v>
      </x:c>
      <x:c r="S44" s="60" t="n">
        <x:v>57.96411285400391</x:v>
      </x:c>
      <x:c r="T44" s="60" t="n">
        <x:v>58.326070861816405</x:v>
      </x:c>
      <x:c r="U44" s="60" t="n">
        <x:v>58.67433948516846</x:v>
      </x:c>
      <x:c r="V44" s="60" t="n">
        <x:v>59.01926010131836</x:v>
      </x:c>
      <x:c r="W44" s="60" t="n">
        <x:v>59.30475059509278</x:v>
      </x:c>
      <x:c r="X44" s="60" t="n">
        <x:v>59.658857421875</x:v>
      </x:c>
      <x:c r="Y44" s="60" t="n">
        <x:v>59.940000228881836</x:v>
      </x:c>
      <x:c r="Z44" s="60" t="n">
        <x:v>60.26469268798828</x:v>
      </x:c>
      <x:c r="AA44" s="60" t="n">
        <x:v>60.528084411621094</x:v>
      </x:c>
      <x:c r="AB44" s="60" t="n">
        <x:v>60.834345474243165</x:v>
      </x:c>
      <x:c r="AC44" s="60" t="n">
        <x:v>61.08517208099365</x:v>
      </x:c>
      <x:c r="AD44" s="60" t="n">
        <x:v>61.32414260864258</x:v>
      </x:c>
      <x:c r="AE44" s="60" t="n">
        <x:v>61.58964920043945</x:v>
      </x:c>
      <x:c r="AF44" s="60" t="n">
        <x:v>61.81286148071289</x:v>
      </x:c>
      <x:c r="AG44" s="60" t="n">
        <x:v>62.01591651916504</x:v>
      </x:c>
      <x:c r="AH44" s="60" t="n">
        <x:v>62.26292694091797</x:v>
      </x:c>
      <x:c r="AI44" s="60" t="n">
        <x:v>62.487793617248535</x:v>
      </x:c>
      <x:c r="AJ44" s="60" t="n">
        <x:v>62.68422737121582</x:v>
      </x:c>
      <x:c r="AK44" s="60" t="n">
        <x:v>62.91707241058349</x:v>
      </x:c>
      <x:c r="AL44" s="60" t="n">
        <x:v>63.11720031738282</x:v>
      </x:c>
      <x:c r="AM44" s="60" t="n">
        <x:v>63.33318050384521</x:v>
      </x:c>
      <x:c r="AN44" s="60" t="n">
        <x:v>63.521327362060546</x:v>
      </x:c>
      <x:c r="AO44" s="60" t="n">
        <x:v>63.698373031616214</x:v>
      </x:c>
      <x:c r="AP44" s="60" t="n">
        <x:v>63.8831005859375</x:v>
      </x:c>
      <x:c r="AQ44" s="60" t="n">
        <x:v>64.08618728637695</x:v>
      </x:c>
      <x:c r="AR44" s="60" t="n">
        <x:v>64.25750549316406</x:v>
      </x:c>
      <x:c r="AS44" s="60" t="n">
        <x:v>64.43844398498535</x:v>
      </x:c>
      <x:c r="AT44" s="60" t="n">
        <x:v>64.61213836669921</x:v>
      </x:c>
      <x:c r="AU44" s="60" t="n">
        <x:v>64.7828611755371</x:v>
      </x:c>
      <x:c r="AV44" s="60" t="n">
        <x:v>64.956201171875</x:v>
      </x:c>
      <x:c r="AW44" s="60" t="n">
        <x:v>65.13982986450195</x:v>
      </x:c>
      <x:c r="AX44" s="60" t="n">
        <x:v>65.33032745361328</x:v>
      </x:c>
      <x:c r="AY44" s="60" t="n">
        <x:v>65.51169319152832</x:v>
      </x:c>
      <x:c r="AZ44" s="60" t="n">
        <x:v>65.65900772094727</x:v>
      </x:c>
      <x:c r="BA44" s="60" t="n">
        <x:v>65.8148314666748</x:v>
      </x:c>
      <x:c r="BB44" s="60" t="n">
        <x:v>65.99756195068359</x:v>
      </x:c>
      <x:c r="BC44" s="60" t="n">
        <x:v>66.13038177490235</x:v>
      </x:c>
      <x:c r="BD44" s="60" t="n">
        <x:v>66.28853607177734</x:v>
      </x:c>
      <x:c r="BE44" s="60" t="n">
        <x:v>66.44775253295899</x:v>
      </x:c>
      <x:c r="BF44" s="60" t="n">
        <x:v>66.61535614013671</x:v>
      </x:c>
      <x:c r="BG44" s="60" t="n">
        <x:v>66.77704750061035</x:v>
      </x:c>
      <x:c r="BH44" s="60" t="n">
        <x:v>66.95165359497071</x:v>
      </x:c>
      <x:c r="BI44" s="60" t="n">
        <x:v>67.10651512145996</x:v>
      </x:c>
      <x:c r="BJ44" s="60" t="n">
        <x:v>67.256787109375</x:v>
      </x:c>
      <x:c r="BK44" s="60" t="n">
        <x:v>67.41906364440918</x:v>
      </x:c>
      <x:c r="BL44" s="60" t="n">
        <x:v>67.5597038269043</x:v>
      </x:c>
      <x:c r="BM44" s="60" t="n">
        <x:v>67.68326873779297</x:v>
      </x:c>
      <x:c r="BN44" s="60" t="n">
        <x:v>67.81690063476563</x:v>
      </x:c>
      <x:c r="BO44" s="60" t="n">
        <x:v>67.96369003295898</x:v>
      </x:c>
      <x:c r="BP44" s="60" t="n">
        <x:v>68.11226501464844</x:v>
      </x:c>
      <x:c r="BQ44" s="60" t="n">
        <x:v>68.25187355041504</x:v>
      </x:c>
      <x:c r="BR44" s="60" t="n">
        <x:v>68.39730285644531</x:v>
      </x:c>
      <x:c r="BS44" s="60" t="n">
        <x:v>68.52386894226075</x:v>
      </x:c>
      <x:c r="BT44" s="60" t="n">
        <x:v>68.65498825073242</x:v>
      </x:c>
      <x:c r="BU44" s="60" t="n">
        <x:v>68.81080657958984</x:v>
      </x:c>
      <x:c r="BV44" s="60" t="n">
        <x:v>68.95910308837891</x:v>
      </x:c>
      <x:c r="BW44" s="60" t="n">
        <x:v>69.10600326538086</x:v>
      </x:c>
      <x:c r="BX44" s="60" t="n">
        <x:v>69.24194946289063</x:v>
      </x:c>
      <x:c r="BY44" s="60" t="n">
        <x:v>69.38589408874512</x:v>
      </x:c>
      <x:c r="BZ44" s="60" t="n">
        <x:v>69.52525878906249</x:v>
      </x:c>
      <x:c r="CA44" s="60" t="n">
        <x:v>69.67947647094726</x:v>
      </x:c>
      <x:c r="CB44" s="60" t="n">
        <x:v>69.82200469970704</x:v>
      </x:c>
      <x:c r="CC44" s="60" t="n">
        <x:v>69.97403144836426</x:v>
      </x:c>
      <x:c r="CD44" s="60" t="n">
        <x:v>70.11755920410157</x:v>
      </x:c>
      <x:c r="CE44" s="60" t="n">
        <x:v>70.2650724029541</x:v>
      </x:c>
      <x:c r="CF44" s="60" t="n">
        <x:v>70.42882568359376</x:v>
      </x:c>
      <x:c r="CG44" s="60" t="n">
        <x:v>70.58343086242675</x:v>
      </x:c>
      <x:c r="CH44" s="60" t="n">
        <x:v>70.7268280029297</x:v>
      </x:c>
      <x:c r="CI44" s="60" t="n">
        <x:v>70.90307647705077</x:v>
      </x:c>
      <x:c r="CJ44" s="60" t="n">
        <x:v>71.04481643676758</x:v>
      </x:c>
      <x:c r="CK44" s="60" t="n">
        <x:v>71.18546966552735</x:v>
      </x:c>
      <x:c r="CL44" s="60" t="n">
        <x:v>71.35709197998047</x:v>
      </x:c>
      <x:c r="CM44" s="60" t="n">
        <x:v>71.52883720397949</x:v>
      </x:c>
      <x:c r="CN44" s="60" t="n">
        <x:v>71.70765197753906</x:v>
      </x:c>
      <x:c r="CO44" s="60" t="n">
        <x:v>71.873911819458</x:v>
      </x:c>
      <x:c r="CP44" s="60" t="n">
        <x:v>72.0490493774414</x:v>
      </x:c>
      <x:c r="CQ44" s="60" t="n">
        <x:v>72.24165412902832</x:v>
      </x:c>
      <x:c r="CR44" s="60" t="n">
        <x:v>72.42435760498047</x:v>
      </x:c>
      <x:c r="CS44" s="60" t="n">
        <x:v>72.62456298828126</x:v>
      </x:c>
      <x:c r="CT44" s="60" t="n">
        <x:v>72.85191009521485</x:v>
      </x:c>
      <x:c r="CU44" s="60" t="n">
        <x:v>73.06010055541992</x:v>
      </x:c>
      <x:c r="CV44" s="60" t="n">
        <x:v>73.30705062866211</x:v>
      </x:c>
      <x:c r="CW44" s="60" t="n">
        <x:v>73.56107368469239</x:v>
      </x:c>
      <x:c r="CX44" s="60" t="n">
        <x:v>73.89429565429688</x:v>
      </x:c>
      <x:c r="CY44" s="60" t="n">
        <x:v>74.20717140197753</x:v>
      </x:c>
      <x:c r="CZ44" s="60" t="n">
        <x:v>74.63226165771485</x:v>
      </x:c>
      <x:c r="DA44" s="60" t="n">
        <x:v>75.24494338989258</x:v>
      </x:c>
      <x:c r="DB44" s="60" t="n">
        <x:v>77.45287322998047</x:v>
      </x:c>
    </x:row>
    <x:row r="45">
      <x:c r="A45" t="str">
        <x:v>オーダイル-1</x:v>
      </x:c>
      <x:c r="B45" t="str">
        <x:v>オーダイル</x:v>
      </x:c>
      <x:c r="C45" t="str">
        <x:v>共通</x:v>
      </x:c>
      <x:c r="D45" s="60" t="n">
        <x:v>64.50450897216797</x:v>
      </x:c>
      <x:c r="E45" s="60" t="n">
        <x:v>9.96189022064209</x:v>
      </x:c>
      <x:c r="F45" s="60" t="n">
        <x:v>30.795225143432617</x:v>
      </x:c>
      <x:c r="G45" s="60" t="n">
        <x:v>39.60658699035645</x:v>
      </x:c>
      <x:c r="H45" s="60" t="n">
        <x:v>42.463804702758786</x:v>
      </x:c>
      <x:c r="I45" s="60" t="n">
        <x:v>44.27579639434814</x:v>
      </x:c>
      <x:c r="J45" s="60" t="n">
        <x:v>45.71664123535156</x:v>
      </x:c>
      <x:c r="K45" s="60" t="n">
        <x:v>46.86849956512451</x:v>
      </x:c>
      <x:c r="L45" s="60" t="n">
        <x:v>47.90711441040039</x:v>
      </x:c>
      <x:c r="M45" s="60" t="n">
        <x:v>48.801450157165526</x:v>
      </x:c>
      <x:c r="N45" s="60" t="n">
        <x:v>49.649499053955076</x:v>
      </x:c>
      <x:c r="O45" s="60" t="n">
        <x:v>50.347951622009276</x:v>
      </x:c>
      <x:c r="P45" s="60" t="n">
        <x:v>51.006957626342775</x:v>
      </x:c>
      <x:c r="Q45" s="60" t="n">
        <x:v>51.61758575439453</x:v>
      </x:c>
      <x:c r="R45" s="60" t="n">
        <x:v>52.19224456787109</x:v>
      </x:c>
      <x:c r="S45" s="60" t="n">
        <x:v>52.750758781433106</x:v>
      </x:c>
      <x:c r="T45" s="60" t="n">
        <x:v>53.22035522460938</x:v>
      </x:c>
      <x:c r="U45" s="60" t="n">
        <x:v>53.71670627593994</x:v>
      </x:c>
      <x:c r="V45" s="60" t="n">
        <x:v>54.161594543457035</x:v>
      </x:c>
      <x:c r="W45" s="60" t="n">
        <x:v>54.57266326904297</x:v>
      </x:c>
      <x:c r="X45" s="60" t="n">
        <x:v>54.989484024047854</x:v>
      </x:c>
      <x:c r="Y45" s="60" t="n">
        <x:v>55.37027629852295</x:v>
      </x:c>
      <x:c r="Z45" s="60" t="n">
        <x:v>55.79281845092773</x:v>
      </x:c>
      <x:c r="AA45" s="60" t="n">
        <x:v>56.1730643081665</x:v>
      </x:c>
      <x:c r="AB45" s="60" t="n">
        <x:v>56.5900161743164</x:v>
      </x:c>
      <x:c r="AC45" s="60" t="n">
        <x:v>56.9807926940918</x:v>
      </x:c>
      <x:c r="AD45" s="60" t="n">
        <x:v>57.36996139526367</x:v>
      </x:c>
      <x:c r="AE45" s="60" t="n">
        <x:v>57.73193168640137</x:v>
      </x:c>
      <x:c r="AF45" s="60" t="n">
        <x:v>58.10566123962402</x:v>
      </x:c>
      <x:c r="AG45" s="60" t="n">
        <x:v>58.45802780151367</x:v>
      </x:c>
      <x:c r="AH45" s="60" t="n">
        <x:v>58.77502624511719</x:v>
      </x:c>
      <x:c r="AI45" s="60" t="n">
        <x:v>59.0881046295166</x:v>
      </x:c>
      <x:c r="AJ45" s="60" t="n">
        <x:v>59.45681800842285</x:v>
      </x:c>
      <x:c r="AK45" s="60" t="n">
        <x:v>59.771482963562015</x:v>
      </x:c>
      <x:c r="AL45" s="60" t="n">
        <x:v>60.07584335327149</x:v>
      </x:c>
      <x:c r="AM45" s="60" t="n">
        <x:v>60.39219745635987</x:v>
      </x:c>
      <x:c r="AN45" s="60" t="n">
        <x:v>60.73183296203614</x:v>
      </x:c>
      <x:c r="AO45" s="60" t="n">
        <x:v>61.029763031005864</x:v>
      </x:c>
      <x:c r="AP45" s="60" t="n">
        <x:v>61.34654266357422</x:v>
      </x:c>
      <x:c r="AQ45" s="60" t="n">
        <x:v>61.67554599761963</x:v>
      </x:c>
      <x:c r="AR45" s="60" t="n">
        <x:v>61.972082901000974</x:v>
      </x:c>
      <x:c r="AS45" s="60" t="n">
        <x:v>62.20847137451172</x:v>
      </x:c>
      <x:c r="AT45" s="60" t="n">
        <x:v>62.502752685546874</x:v>
      </x:c>
      <x:c r="AU45" s="60" t="n">
        <x:v>62.7794132232666</x:v>
      </x:c>
      <x:c r="AV45" s="60" t="n">
        <x:v>63.0557999420166</x:v>
      </x:c>
      <x:c r="AW45" s="60" t="n">
        <x:v>63.306026458740234</x:v>
      </x:c>
      <x:c r="AX45" s="60" t="n">
        <x:v>63.57835083007812</x:v>
      </x:c>
      <x:c r="AY45" s="60" t="n">
        <x:v>63.836292076110844</x:v>
      </x:c>
      <x:c r="AZ45" s="60" t="n">
        <x:v>64.11232437133789</x:v>
      </x:c>
      <x:c r="BA45" s="60" t="n">
        <x:v>64.39855766296387</x:v>
      </x:c>
      <x:c r="BB45" s="60" t="n">
        <x:v>64.68308227539063</x:v>
      </x:c>
      <x:c r="BC45" s="60" t="n">
        <x:v>64.98841522216797</x:v>
      </x:c>
      <x:c r="BD45" s="60" t="n">
        <x:v>65.2425422668457</x:v>
      </x:c>
      <x:c r="BE45" s="60" t="n">
        <x:v>65.54461158752441</x:v>
      </x:c>
      <x:c r="BF45" s="60" t="n">
        <x:v>65.85658020019531</x:v>
      </x:c>
      <x:c r="BG45" s="60" t="n">
        <x:v>66.12292114257812</x:v>
      </x:c>
      <x:c r="BH45" s="60" t="n">
        <x:v>66.39685256958008</x:v>
      </x:c>
      <x:c r="BI45" s="60" t="n">
        <x:v>66.63985786437989</x:v>
      </x:c>
      <x:c r="BJ45" s="60" t="n">
        <x:v>66.90004669189453</x:v>
      </x:c>
      <x:c r="BK45" s="60" t="n">
        <x:v>67.17225456237793</x:v>
      </x:c>
      <x:c r="BL45" s="60" t="n">
        <x:v>67.4097412109375</x:v>
      </x:c>
      <x:c r="BM45" s="60" t="n">
        <x:v>67.6840811920166</x:v>
      </x:c>
      <x:c r="BN45" s="60" t="n">
        <x:v>67.93580474853516</x:v>
      </x:c>
      <x:c r="BO45" s="60" t="n">
        <x:v>68.20714111328125</x:v>
      </x:c>
      <x:c r="BP45" s="60" t="n">
        <x:v>68.46831832885742</x:v>
      </x:c>
      <x:c r="BQ45" s="60" t="n">
        <x:v>68.73850791931153</x:v>
      </x:c>
      <x:c r="BR45" s="60" t="n">
        <x:v>69.00655944824219</x:v>
      </x:c>
      <x:c r="BS45" s="60" t="n">
        <x:v>69.2840503692627</x:v>
      </x:c>
      <x:c r="BT45" s="60" t="n">
        <x:v>69.54384979248047</x:v>
      </x:c>
      <x:c r="BU45" s="60" t="n">
        <x:v>69.79387619018554</x:v>
      </x:c>
      <x:c r="BV45" s="60" t="n">
        <x:v>70.02846313476563</x:v>
      </x:c>
      <x:c r="BW45" s="60" t="n">
        <x:v>70.29594512939452</x:v>
      </x:c>
      <x:c r="BX45" s="60" t="n">
        <x:v>70.56812744140625</x:v>
      </x:c>
      <x:c r="BY45" s="60" t="n">
        <x:v>70.86322303771972</x:v>
      </x:c>
      <x:c r="BZ45" s="60" t="n">
        <x:v>71.10641937255859</x:v>
      </x:c>
      <x:c r="CA45" s="60" t="n">
        <x:v>71.37654830932617</x:v>
      </x:c>
      <x:c r="CB45" s="60" t="n">
        <x:v>71.64624679565429</x:v>
      </x:c>
      <x:c r="CC45" s="60" t="n">
        <x:v>71.94183349609375</x:v>
      </x:c>
      <x:c r="CD45" s="60" t="n">
        <x:v>72.26894683837891</x:v>
      </x:c>
      <x:c r="CE45" s="60" t="n">
        <x:v>72.60789054870605</x:v>
      </x:c>
      <x:c r="CF45" s="60" t="n">
        <x:v>72.86262145996095</x:v>
      </x:c>
      <x:c r="CG45" s="60" t="n">
        <x:v>73.15723121643066</x:v>
      </x:c>
      <x:c r="CH45" s="60" t="n">
        <x:v>73.4659423828125</x:v>
      </x:c>
      <x:c r="CI45" s="60" t="n">
        <x:v>73.76018592834473</x:v>
      </x:c>
      <x:c r="CJ45" s="60" t="n">
        <x:v>74.0639419555664</x:v>
      </x:c>
      <x:c r="CK45" s="60" t="n">
        <x:v>74.37301826477052</x:v>
      </x:c>
      <x:c r="CL45" s="60" t="n">
        <x:v>74.71724884033203</x:v>
      </x:c>
      <x:c r="CM45" s="60" t="n">
        <x:v>75.06186332702637</x:v>
      </x:c>
      <x:c r="CN45" s="60" t="n">
        <x:v>75.40161758422852</x:v>
      </x:c>
      <x:c r="CO45" s="60" t="n">
        <x:v>75.73656448364258</x:v>
      </x:c>
      <x:c r="CP45" s="60" t="n">
        <x:v>76.11946472167969</x:v>
      </x:c>
      <x:c r="CQ45" s="60" t="n">
        <x:v>76.5002597808838</x:v>
      </x:c>
      <x:c r="CR45" s="60" t="n">
        <x:v>76.91048965454102</x:v>
      </x:c>
      <x:c r="CS45" s="60" t="n">
        <x:v>77.38319099426269</x:v>
      </x:c>
      <x:c r="CT45" s="60" t="n">
        <x:v>77.8328402709961</x:v>
      </x:c>
      <x:c r="CU45" s="60" t="n">
        <x:v>78.34550262451172</x:v>
      </x:c>
      <x:c r="CV45" s="60" t="n">
        <x:v>78.85804382324218</x:v>
      </x:c>
      <x:c r="CW45" s="60" t="n">
        <x:v>79.53987770080566</x:v>
      </x:c>
      <x:c r="CX45" s="60" t="n">
        <x:v>80.162021484375</x:v>
      </x:c>
      <x:c r="CY45" s="60" t="n">
        <x:v>81.01954582214354</x:v>
      </x:c>
      <x:c r="CZ45" s="60" t="n">
        <x:v>82.07094863891602</x:v>
      </x:c>
      <x:c r="DA45" s="60" t="n">
        <x:v>83.65237991333008</x:v>
      </x:c>
      <x:c r="DB45" s="60" t="n">
        <x:v>89.28136444091797</x:v>
      </x:c>
    </x:row>
    <x:row r="46">
      <x:c r="A46" t="str">
        <x:v>カイリキー-1</x:v>
      </x:c>
      <x:c r="B46" t="str">
        <x:v>カイリキー</x:v>
      </x:c>
      <x:c r="C46" t="str">
        <x:v>共通</x:v>
      </x:c>
      <x:c r="D46" s="60" t="n">
        <x:v>65.27940368652344</x:v>
      </x:c>
      <x:c r="E46" s="60" t="n">
        <x:v>9.852558135986328</x:v>
      </x:c>
      <x:c r="F46" s="60" t="n">
        <x:v>31.44121551513672</x:v>
      </x:c>
      <x:c r="G46" s="60" t="n">
        <x:v>40.39888893127441</x:v>
      </x:c>
      <x:c r="H46" s="60" t="n">
        <x:v>43.23893165588379</x:v>
      </x:c>
      <x:c r="I46" s="60" t="n">
        <x:v>45.155343475341795</x:v>
      </x:c>
      <x:c r="J46" s="60" t="n">
        <x:v>46.52958160400391</x:v>
      </x:c>
      <x:c r="K46" s="60" t="n">
        <x:v>47.708499336242674</x:v>
      </x:c>
      <x:c r="L46" s="60" t="n">
        <x:v>48.75214881896973</x:v>
      </x:c>
      <x:c r="M46" s="60" t="n">
        <x:v>49.645491409301755</x:v>
      </x:c>
      <x:c r="N46" s="60" t="n">
        <x:v>50.46713562011719</x:v>
      </x:c>
      <x:c r="O46" s="60" t="n">
        <x:v>51.216849899291994</x:v>
      </x:c>
      <x:c r="P46" s="60" t="n">
        <x:v>51.86643562316895</x:v>
      </x:c>
      <x:c r="Q46" s="60" t="n">
        <x:v>52.50310405731201</x:v>
      </x:c>
      <x:c r="R46" s="60" t="n">
        <x:v>53.06993087768555</x:v>
      </x:c>
      <x:c r="S46" s="60" t="n">
        <x:v>53.60670692443848</x:v>
      </x:c>
      <x:c r="T46" s="60" t="n">
        <x:v>54.09652595520019</x:v>
      </x:c>
      <x:c r="U46" s="60" t="n">
        <x:v>54.54709434509277</x:v>
      </x:c>
      <x:c r="V46" s="60" t="n">
        <x:v>55.038517761230466</x:v>
      </x:c>
      <x:c r="W46" s="60" t="n">
        <x:v>55.48330604553223</x:v>
      </x:c>
      <x:c r="X46" s="60" t="n">
        <x:v>55.888134765625</x:v>
      </x:c>
      <x:c r="Y46" s="60" t="n">
        <x:v>56.261521644592285</x:v>
      </x:c>
      <x:c r="Z46" s="60" t="n">
        <x:v>56.691924285888675</x:v>
      </x:c>
      <x:c r="AA46" s="60" t="n">
        <x:v>57.04255798339844</x:v>
      </x:c>
      <x:c r="AB46" s="60" t="n">
        <x:v>57.47336814880371</x:v>
      </x:c>
      <x:c r="AC46" s="60" t="n">
        <x:v>57.87732818603516</x:v>
      </x:c>
      <x:c r="AD46" s="60" t="n">
        <x:v>58.22427795410156</x:v>
      </x:c>
      <x:c r="AE46" s="60" t="n">
        <x:v>58.64067077636719</x:v>
      </x:c>
      <x:c r="AF46" s="60" t="n">
        <x:v>58.97250663757324</x:v>
      </x:c>
      <x:c r="AG46" s="60" t="n">
        <x:v>59.299758491516116</x:v>
      </x:c>
      <x:c r="AH46" s="60" t="n">
        <x:v>59.62099716186523</x:v>
      </x:c>
      <x:c r="AI46" s="60" t="n">
        <x:v>60.002313690185545</x:v>
      </x:c>
      <x:c r="AJ46" s="60" t="n">
        <x:v>60.30351448059082</x:v>
      </x:c>
      <x:c r="AK46" s="60" t="n">
        <x:v>60.64238792419434</x:v>
      </x:c>
      <x:c r="AL46" s="60" t="n">
        <x:v>60.99820739746094</x:v>
      </x:c>
      <x:c r="AM46" s="60" t="n">
        <x:v>61.31142913818359</x:v>
      </x:c>
      <x:c r="AN46" s="60" t="n">
        <x:v>61.592629241943364</x:v>
      </x:c>
      <x:c r="AO46" s="60" t="n">
        <x:v>61.88631820678711</x:v>
      </x:c>
      <x:c r="AP46" s="60" t="n">
        <x:v>62.181102142333984</x:v>
      </x:c>
      <x:c r="AQ46" s="60" t="n">
        <x:v>62.5182218170166</x:v>
      </x:c>
      <x:c r="AR46" s="60" t="n">
        <x:v>62.786368179321286</x:v>
      </x:c>
      <x:c r="AS46" s="60" t="n">
        <x:v>63.0876375579834</x:v>
      </x:c>
      <x:c r="AT46" s="60" t="n">
        <x:v>63.36986541748047</x:v>
      </x:c>
      <x:c r="AU46" s="60" t="n">
        <x:v>63.647249412536624</x:v>
      </x:c>
      <x:c r="AV46" s="60" t="n">
        <x:v>63.927254333496094</x:v>
      </x:c>
      <x:c r="AW46" s="60" t="n">
        <x:v>64.18928779602051</x:v>
      </x:c>
      <x:c r="AX46" s="60" t="n">
        <x:v>64.46416046142578</x:v>
      </x:c>
      <x:c r="AY46" s="60" t="n">
        <x:v>64.7294750213623</x:v>
      </x:c>
      <x:c r="AZ46" s="60" t="n">
        <x:v>65.00143524169923</x:v>
      </x:c>
      <x:c r="BA46" s="60" t="n">
        <x:v>65.27245887756348</x:v>
      </x:c>
      <x:c r="BB46" s="60" t="n">
        <x:v>65.56046417236328</x:v>
      </x:c>
      <x:c r="BC46" s="60" t="n">
        <x:v>65.82501029968262</x:v>
      </x:c>
      <x:c r="BD46" s="60" t="n">
        <x:v>66.12603759765625</x:v>
      </x:c>
      <x:c r="BE46" s="60" t="n">
        <x:v>66.42355476379394</x:v>
      </x:c>
      <x:c r="BF46" s="60" t="n">
        <x:v>66.72024505615234</x:v>
      </x:c>
      <x:c r="BG46" s="60" t="n">
        <x:v>66.9966738128662</x:v>
      </x:c>
      <x:c r="BH46" s="60" t="n">
        <x:v>67.25588455200196</x:v>
      </x:c>
      <x:c r="BI46" s="60" t="n">
        <x:v>67.47389907836914</x:v>
      </x:c>
      <x:c r="BJ46" s="60" t="n">
        <x:v>67.72891052246094</x:v>
      </x:c>
      <x:c r="BK46" s="60" t="n">
        <x:v>67.99353820800782</x:v>
      </x:c>
      <x:c r="BL46" s="60" t="n">
        <x:v>68.25210678100586</x:v>
      </x:c>
      <x:c r="BM46" s="60" t="n">
        <x:v>68.50205078125</x:v>
      </x:c>
      <x:c r="BN46" s="60" t="n">
        <x:v>68.75983581542968</x:v>
      </x:c>
      <x:c r="BO46" s="60" t="n">
        <x:v>69.0111865234375</x:v>
      </x:c>
      <x:c r="BP46" s="60" t="n">
        <x:v>69.28068572998046</x:v>
      </x:c>
      <x:c r="BQ46" s="60" t="n">
        <x:v>69.52918251037597</x:v>
      </x:c>
      <x:c r="BR46" s="60" t="n">
        <x:v>69.80003082275391</x:v>
      </x:c>
      <x:c r="BS46" s="60" t="n">
        <x:v>70.07670059204102</x:v>
      </x:c>
      <x:c r="BT46" s="60" t="n">
        <x:v>70.33659484863281</x:v>
      </x:c>
      <x:c r="BU46" s="60" t="n">
        <x:v>70.61468673706055</x:v>
      </x:c>
      <x:c r="BV46" s="60" t="n">
        <x:v>70.83856384277344</x:v>
      </x:c>
      <x:c r="BW46" s="60" t="n">
        <x:v>71.09532318115235</x:v>
      </x:c>
      <x:c r="BX46" s="60" t="n">
        <x:v>71.34179916381837</x:v>
      </x:c>
      <x:c r="BY46" s="60" t="n">
        <x:v>71.59420280456543</x:v>
      </x:c>
      <x:c r="BZ46" s="60" t="n">
        <x:v>71.8489047241211</x:v>
      </x:c>
      <x:c r="CA46" s="60" t="n">
        <x:v>72.13251724243165</x:v>
      </x:c>
      <x:c r="CB46" s="60" t="n">
        <x:v>72.4153988647461</x:v>
      </x:c>
      <x:c r="CC46" s="60" t="n">
        <x:v>72.70909690856934</x:v>
      </x:c>
      <x:c r="CD46" s="60" t="n">
        <x:v>72.97398956298828</x:v>
      </x:c>
      <x:c r="CE46" s="60" t="n">
        <x:v>73.27222068786621</x:v>
      </x:c>
      <x:c r="CF46" s="60" t="n">
        <x:v>73.57947265625</x:v>
      </x:c>
      <x:c r="CG46" s="60" t="n">
        <x:v>73.84432960510254</x:v>
      </x:c>
      <x:c r="CH46" s="60" t="n">
        <x:v>74.13932189941406</x:v>
      </x:c>
      <x:c r="CI46" s="60" t="n">
        <x:v>74.44851020812989</x:v>
      </x:c>
      <x:c r="CJ46" s="60" t="n">
        <x:v>74.76307632446289</x:v>
      </x:c>
      <x:c r="CK46" s="60" t="n">
        <x:v>75.11063774108887</x:v>
      </x:c>
      <x:c r="CL46" s="60" t="n">
        <x:v>75.42332092285156</x:v>
      </x:c>
      <x:c r="CM46" s="60" t="n">
        <x:v>75.72997131347657</x:v>
      </x:c>
      <x:c r="CN46" s="60" t="n">
        <x:v>76.00162490844727</x:v>
      </x:c>
      <x:c r="CO46" s="60" t="n">
        <x:v>76.34105072021484</x:v>
      </x:c>
      <x:c r="CP46" s="60" t="n">
        <x:v>76.69677154541016</x:v>
      </x:c>
      <x:c r="CQ46" s="60" t="n">
        <x:v>77.06588912963868</x:v>
      </x:c>
      <x:c r="CR46" s="60" t="n">
        <x:v>77.47235260009765</x:v>
      </x:c>
      <x:c r="CS46" s="60" t="n">
        <x:v>77.93504600524902</x:v>
      </x:c>
      <x:c r="CT46" s="60" t="n">
        <x:v>78.36934265136719</x:v>
      </x:c>
      <x:c r="CU46" s="60" t="n">
        <x:v>78.83743812561035</x:v>
      </x:c>
      <x:c r="CV46" s="60" t="n">
        <x:v>79.36761642456055</x:v>
      </x:c>
      <x:c r="CW46" s="60" t="n">
        <x:v>79.90757141113284</x:v>
      </x:c>
      <x:c r="CX46" s="60" t="n">
        <x:v>80.58663330078126</x:v>
      </x:c>
      <x:c r="CY46" s="60" t="n">
        <x:v>81.35369583129882</x:v>
      </x:c>
      <x:c r="CZ46" s="60" t="n">
        <x:v>82.40515731811524</x:v>
      </x:c>
      <x:c r="DA46" s="60" t="n">
        <x:v>83.80078720092773</x:v>
      </x:c>
      <x:c r="DB46" s="60" t="n">
        <x:v>89.55133819580078</x:v>
      </x:c>
    </x:row>
    <x:row r="47">
      <x:c r="A47" t="str">
        <x:v>カイリュー-1</x:v>
      </x:c>
      <x:c r="B47" t="str">
        <x:v>カイリュー</x:v>
      </x:c>
      <x:c r="C47" t="str">
        <x:v>はかいこうせん</x:v>
      </x:c>
      <x:c r="D47" s="60" t="n">
        <x:v>63.51311111450195</x:v>
      </x:c>
      <x:c r="E47" s="60" t="n">
        <x:v>8.509331703186035</x:v>
      </x:c>
      <x:c r="F47" s="60" t="n">
        <x:v>33.120849609375</x:v>
      </x:c>
      <x:c r="G47" s="60" t="n">
        <x:v>42.25363582611084</x:v>
      </x:c>
      <x:c r="H47" s="60" t="n">
        <x:v>44.8491805267334</x:v>
      </x:c>
      <x:c r="I47" s="60" t="n">
        <x:v>46.43197696685791</x:v>
      </x:c>
      <x:c r="J47" s="60" t="n">
        <x:v>47.61307571411133</x:v>
      </x:c>
      <x:c r="K47" s="60" t="n">
        <x:v>48.54436550140381</x:v>
      </x:c>
      <x:c r="L47" s="60" t="n">
        <x:v>49.36917442321777</x:v>
      </x:c>
      <x:c r="M47" s="60" t="n">
        <x:v>50.137291717529294</x:v>
      </x:c>
      <x:c r="N47" s="60" t="n">
        <x:v>50.842597808837894</x:v>
      </x:c>
      <x:c r="O47" s="60" t="n">
        <x:v>51.38043979644775</x:v>
      </x:c>
      <x:c r="P47" s="60" t="n">
        <x:v>51.9357494354248</x:v>
      </x:c>
      <x:c r="Q47" s="60" t="n">
        <x:v>52.45401020050049</x:v>
      </x:c>
      <x:c r="R47" s="60" t="n">
        <x:v>52.919377136230466</x:v>
      </x:c>
      <x:c r="S47" s="60" t="n">
        <x:v>53.44636264801025</x:v>
      </x:c>
      <x:c r="T47" s="60" t="n">
        <x:v>53.94174179077149</x:v>
      </x:c>
      <x:c r="U47" s="60" t="n">
        <x:v>54.36559200286865</x:v>
      </x:c>
      <x:c r="V47" s="60" t="n">
        <x:v>54.74915603637695</x:v>
      </x:c>
      <x:c r="W47" s="60" t="n">
        <x:v>55.13138896942139</x:v>
      </x:c>
      <x:c r="X47" s="60" t="n">
        <x:v>55.51888816833496</x:v>
      </x:c>
      <x:c r="Y47" s="60" t="n">
        <x:v>55.87483840942383</x:v>
      </x:c>
      <x:c r="Z47" s="60" t="n">
        <x:v>56.227474975585935</x:v>
      </x:c>
      <x:c r="AA47" s="60" t="n">
        <x:v>56.577050323486326</x:v>
      </x:c>
      <x:c r="AB47" s="60" t="n">
        <x:v>56.90798439025879</x:v>
      </x:c>
      <x:c r="AC47" s="60" t="n">
        <x:v>57.25705730438233</x:v>
      </x:c>
      <x:c r="AD47" s="60" t="n">
        <x:v>57.55521820068359</x:v>
      </x:c>
      <x:c r="AE47" s="60" t="n">
        <x:v>57.852091789245605</x:v>
      </x:c>
      <x:c r="AF47" s="60" t="n">
        <x:v>58.10251304626465</x:v>
      </x:c>
      <x:c r="AG47" s="60" t="n">
        <x:v>58.40549427032471</x:v>
      </x:c>
      <x:c r="AH47" s="60" t="n">
        <x:v>58.70606704711914</x:v>
      </x:c>
      <x:c r="AI47" s="60" t="n">
        <x:v>58.985831871032715</x:v>
      </x:c>
      <x:c r="AJ47" s="60" t="n">
        <x:v>59.261979293823245</x:v>
      </x:c>
      <x:c r="AK47" s="60" t="n">
        <x:v>59.560699195861815</x:v>
      </x:c>
      <x:c r="AL47" s="60" t="n">
        <x:v>59.823200683593754</x:v>
      </x:c>
      <x:c r="AM47" s="60" t="n">
        <x:v>60.083296661376956</x:v>
      </x:c>
      <x:c r="AN47" s="60" t="n">
        <x:v>60.36154144287109</x:v>
      </x:c>
      <x:c r="AO47" s="60" t="n">
        <x:v>60.63837699890137</x:v>
      </x:c>
      <x:c r="AP47" s="60" t="n">
        <x:v>60.87165023803711</x:v>
      </x:c>
      <x:c r="AQ47" s="60" t="n">
        <x:v>61.119768142700195</x:v>
      </x:c>
      <x:c r="AR47" s="60" t="n">
        <x:v>61.35690055847168</x:v>
      </x:c>
      <x:c r="AS47" s="60" t="n">
        <x:v>61.59381645202637</x:v>
      </x:c>
      <x:c r="AT47" s="60" t="n">
        <x:v>61.803767395019534</x:v>
      </x:c>
      <x:c r="AU47" s="60" t="n">
        <x:v>62.026674041748045</x:v>
      </x:c>
      <x:c r="AV47" s="60" t="n">
        <x:v>62.285459976196286</x:v>
      </x:c>
      <x:c r="AW47" s="60" t="n">
        <x:v>62.50122039794922</x:v>
      </x:c>
      <x:c r="AX47" s="60" t="n">
        <x:v>62.73668807983398</x:v>
      </x:c>
      <x:c r="AY47" s="60" t="n">
        <x:v>62.96221580505371</x:v>
      </x:c>
      <x:c r="AZ47" s="60" t="n">
        <x:v>63.185227966308595</x:v>
      </x:c>
      <x:c r="BA47" s="60" t="n">
        <x:v>63.38370071411133</x:v>
      </x:c>
      <x:c r="BB47" s="60" t="n">
        <x:v>63.60760681152344</x:v>
      </x:c>
      <x:c r="BC47" s="60" t="n">
        <x:v>63.831538391113284</x:v>
      </x:c>
      <x:c r="BD47" s="60" t="n">
        <x:v>64.05536270141602</x:v>
      </x:c>
      <x:c r="BE47" s="60" t="n">
        <x:v>64.25505661010742</x:v>
      </x:c>
      <x:c r="BF47" s="60" t="n">
        <x:v>64.48097930908203</x:v>
      </x:c>
      <x:c r="BG47" s="60" t="n">
        <x:v>64.7134846496582</x:v>
      </x:c>
      <x:c r="BH47" s="60" t="n">
        <x:v>64.94430160522461</x:v>
      </x:c>
      <x:c r="BI47" s="60" t="n">
        <x:v>65.15134696960449</x:v>
      </x:c>
      <x:c r="BJ47" s="60" t="n">
        <x:v>65.38032897949219</x:v>
      </x:c>
      <x:c r="BK47" s="60" t="n">
        <x:v>65.60946014404297</x:v>
      </x:c>
      <x:c r="BL47" s="60" t="n">
        <x:v>65.83828247070312</x:v>
      </x:c>
      <x:c r="BM47" s="60" t="n">
        <x:v>66.06395149230957</x:v>
      </x:c>
      <x:c r="BN47" s="60" t="n">
        <x:v>66.28556976318359</x:v>
      </x:c>
      <x:c r="BO47" s="60" t="n">
        <x:v>66.50202026367188</x:v>
      </x:c>
      <x:c r="BP47" s="60" t="n">
        <x:v>66.71742874145508</x:v>
      </x:c>
      <x:c r="BQ47" s="60" t="n">
        <x:v>66.94472801208497</x:v>
      </x:c>
      <x:c r="BR47" s="60" t="n">
        <x:v>67.20428375244141</x:v>
      </x:c>
      <x:c r="BS47" s="60" t="n">
        <x:v>67.4097686767578</x:v>
      </x:c>
      <x:c r="BT47" s="60" t="n">
        <x:v>67.6459831237793</x:v>
      </x:c>
      <x:c r="BU47" s="60" t="n">
        <x:v>67.86369033813476</x:v>
      </x:c>
      <x:c r="BV47" s="60" t="n">
        <x:v>68.10269409179688</x:v>
      </x:c>
      <x:c r="BW47" s="60" t="n">
        <x:v>68.33811546325684</x:v>
      </x:c>
      <x:c r="BX47" s="60" t="n">
        <x:v>68.55820541381836</x:v>
      </x:c>
      <x:c r="BY47" s="60" t="n">
        <x:v>68.80420211791993</x:v>
      </x:c>
      <x:c r="BZ47" s="60" t="n">
        <x:v>69.02451873779297</x:v>
      </x:c>
      <x:c r="CA47" s="60" t="n">
        <x:v>69.2804034423828</x:v>
      </x:c>
      <x:c r="CB47" s="60" t="n">
        <x:v>69.52664855957032</x:v>
      </x:c>
      <x:c r="CC47" s="60" t="n">
        <x:v>69.7704086303711</x:v>
      </x:c>
      <x:c r="CD47" s="60" t="n">
        <x:v>70.01324188232422</x:v>
      </x:c>
      <x:c r="CE47" s="60" t="n">
        <x:v>70.24743995666503</x:v>
      </x:c>
      <x:c r="CF47" s="60" t="n">
        <x:v>70.51115692138671</x:v>
      </x:c>
      <x:c r="CG47" s="60" t="n">
        <x:v>70.77968147277832</x:v>
      </x:c>
      <x:c r="CH47" s="60" t="n">
        <x:v>71.03916625976562</x:v>
      </x:c>
      <x:c r="CI47" s="60" t="n">
        <x:v>71.3182608795166</x:v>
      </x:c>
      <x:c r="CJ47" s="60" t="n">
        <x:v>71.57853179931641</x:v>
      </x:c>
      <x:c r="CK47" s="60" t="n">
        <x:v>71.89670249938966</x:v>
      </x:c>
      <x:c r="CL47" s="60" t="n">
        <x:v>72.18851318359376</x:v>
      </x:c>
      <x:c r="CM47" s="60" t="n">
        <x:v>72.46878051757811</x:v>
      </x:c>
      <x:c r="CN47" s="60" t="n">
        <x:v>72.78263275146485</x:v>
      </x:c>
      <x:c r="CO47" s="60" t="n">
        <x:v>73.11001617431641</x:v>
      </x:c>
      <x:c r="CP47" s="60" t="n">
        <x:v>73.48499877929687</x:v>
      </x:c>
      <x:c r="CQ47" s="60" t="n">
        <x:v>73.86464942932129</x:v>
      </x:c>
      <x:c r="CR47" s="60" t="n">
        <x:v>74.22951736450196</x:v>
      </x:c>
      <x:c r="CS47" s="60" t="n">
        <x:v>74.64983131408691</x:v>
      </x:c>
      <x:c r="CT47" s="60" t="n">
        <x:v>75.0369564819336</x:v>
      </x:c>
      <x:c r="CU47" s="60" t="n">
        <x:v>75.47328262329101</x:v>
      </x:c>
      <x:c r="CV47" s="60" t="n">
        <x:v>75.95602294921875</x:v>
      </x:c>
      <x:c r="CW47" s="60" t="n">
        <x:v>76.46953506469727</x:v>
      </x:c>
      <x:c r="CX47" s="60" t="n">
        <x:v>77.02653472900391</x:v>
      </x:c>
      <x:c r="CY47" s="60" t="n">
        <x:v>77.87020500183105</x:v>
      </x:c>
      <x:c r="CZ47" s="60" t="n">
        <x:v>78.77878021240234</x:v>
      </x:c>
      <x:c r="DA47" s="60" t="n">
        <x:v>80.32582931518554</x:v>
      </x:c>
      <x:c r="DB47" s="60" t="n">
        <x:v>86.04888916015625</x:v>
      </x:c>
    </x:row>
    <x:row r="48">
      <x:c r="A48" t="str">
        <x:v>カイリュー-2</x:v>
      </x:c>
      <x:c r="B48" t="str">
        <x:v>カイリュー</x:v>
      </x:c>
      <x:c r="C48" t="str">
        <x:v>げきりん</x:v>
      </x:c>
      <x:c r="D48" s="60" t="n">
        <x:v>65.36631774902344</x:v>
      </x:c>
      <x:c r="E48" s="60" t="n">
        <x:v>9.186836242675781</x:v>
      </x:c>
      <x:c r="F48" s="60" t="n">
        <x:v>33.244686126708984</x:v>
      </x:c>
      <x:c r="G48" s="60" t="n">
        <x:v>41.635378723144534</x:v>
      </x:c>
      <x:c r="H48" s="60" t="n">
        <x:v>44.19825759887695</x:v>
      </x:c>
      <x:c r="I48" s="60" t="n">
        <x:v>46.048813552856444</x:v>
      </x:c>
      <x:c r="J48" s="60" t="n">
        <x:v>47.45517578125</x:v>
      </x:c>
      <x:c r="K48" s="60" t="n">
        <x:v>48.54173393249512</x:v>
      </x:c>
      <x:c r="L48" s="60" t="n">
        <x:v>49.543319931030275</x:v>
      </x:c>
      <x:c r="M48" s="60" t="n">
        <x:v>50.527328414916994</x:v>
      </x:c>
      <x:c r="N48" s="60" t="n">
        <x:v>51.279285736083985</x:v>
      </x:c>
      <x:c r="O48" s="60" t="n">
        <x:v>52.038709754943845</x:v>
      </x:c>
      <x:c r="P48" s="60" t="n">
        <x:v>52.69774055480957</x:v>
      </x:c>
      <x:c r="Q48" s="60" t="n">
        <x:v>53.24509120941162</x:v>
      </x:c>
      <x:c r="R48" s="60" t="n">
        <x:v>53.8373161315918</x:v>
      </x:c>
      <x:c r="S48" s="60" t="n">
        <x:v>54.37834114074707</x:v>
      </x:c>
      <x:c r="T48" s="60" t="n">
        <x:v>54.80751853942871</x:v>
      </x:c>
      <x:c r="U48" s="60" t="n">
        <x:v>55.32068309783936</x:v>
      </x:c>
      <x:c r="V48" s="60" t="n">
        <x:v>55.8032194519043</x:v>
      </x:c>
      <x:c r="W48" s="60" t="n">
        <x:v>56.282105484008795</x:v>
      </x:c>
      <x:c r="X48" s="60" t="n">
        <x:v>56.68990447998047</x:v>
      </x:c>
      <x:c r="Y48" s="60" t="n">
        <x:v>57.10018009185791</x:v>
      </x:c>
      <x:c r="Z48" s="60" t="n">
        <x:v>57.50074920654297</x:v>
      </x:c>
      <x:c r="AA48" s="60" t="n">
        <x:v>57.85518329620361</x:v>
      </x:c>
      <x:c r="AB48" s="60" t="n">
        <x:v>58.25643196105957</x:v>
      </x:c>
      <x:c r="AC48" s="60" t="n">
        <x:v>58.59623016357422</x:v>
      </x:c>
      <x:c r="AD48" s="60" t="n">
        <x:v>58.924681396484374</x:v>
      </x:c>
      <x:c r="AE48" s="60" t="n">
        <x:v>59.26076889038086</x:v>
      </x:c>
      <x:c r="AF48" s="60" t="n">
        <x:v>59.5969181060791</x:v>
      </x:c>
      <x:c r="AG48" s="60" t="n">
        <x:v>59.9533553314209</x:v>
      </x:c>
      <x:c r="AH48" s="60" t="n">
        <x:v>60.325081024169926</x:v>
      </x:c>
      <x:c r="AI48" s="60" t="n">
        <x:v>60.625665473937985</x:v>
      </x:c>
      <x:c r="AJ48" s="60" t="n">
        <x:v>60.9229793548584</x:v>
      </x:c>
      <x:c r="AK48" s="60" t="n">
        <x:v>61.23267219543457</x:v>
      </x:c>
      <x:c r="AL48" s="60" t="n">
        <x:v>61.555269470214846</x:v>
      </x:c>
      <x:c r="AM48" s="60" t="n">
        <x:v>61.869819145202634</x:v>
      </x:c>
      <x:c r="AN48" s="60" t="n">
        <x:v>62.183260650634764</x:v>
      </x:c>
      <x:c r="AO48" s="60" t="n">
        <x:v>62.441800880432126</x:v>
      </x:c>
      <x:c r="AP48" s="60" t="n">
        <x:v>62.735789642333984</x:v>
      </x:c>
      <x:c r="AQ48" s="60" t="n">
        <x:v>63.032742195129394</x:v>
      </x:c>
      <x:c r="AR48" s="60" t="n">
        <x:v>63.304920806884766</x:v>
      </x:c>
      <x:c r="AS48" s="60" t="n">
        <x:v>63.575994606018064</x:v>
      </x:c>
      <x:c r="AT48" s="60" t="n">
        <x:v>63.85120391845703</x:v>
      </x:c>
      <x:c r="AU48" s="60" t="n">
        <x:v>64.08363693237305</x:v>
      </x:c>
      <x:c r="AV48" s="60" t="n">
        <x:v>64.33813262939454</x:v>
      </x:c>
      <x:c r="AW48" s="60" t="n">
        <x:v>64.62018974304199</x:v>
      </x:c>
      <x:c r="AX48" s="60" t="n">
        <x:v>64.87162109375</x:v>
      </x:c>
      <x:c r="AY48" s="60" t="n">
        <x:v>65.11042709350586</x:v>
      </x:c>
      <x:c r="AZ48" s="60" t="n">
        <x:v>65.36213333129884</x:v>
      </x:c>
      <x:c r="BA48" s="60" t="n">
        <x:v>65.60268821716309</x:v>
      </x:c>
      <x:c r="BB48" s="60" t="n">
        <x:v>65.81871856689453</x:v>
      </x:c>
      <x:c r="BC48" s="60" t="n">
        <x:v>66.08827087402344</x:v>
      </x:c>
      <x:c r="BD48" s="60" t="n">
        <x:v>66.32499694824219</x:v>
      </x:c>
      <x:c r="BE48" s="60" t="n">
        <x:v>66.55091339111328</x:v>
      </x:c>
      <x:c r="BF48" s="60" t="n">
        <x:v>66.79717987060546</x:v>
      </x:c>
      <x:c r="BG48" s="60" t="n">
        <x:v>67.04122940063476</x:v>
      </x:c>
      <x:c r="BH48" s="60" t="n">
        <x:v>67.2772134399414</x:v>
      </x:c>
      <x:c r="BI48" s="60" t="n">
        <x:v>67.54848594665528</x:v>
      </x:c>
      <x:c r="BJ48" s="60" t="n">
        <x:v>67.7966094970703</x:v>
      </x:c>
      <x:c r="BK48" s="60" t="n">
        <x:v>68.0651106262207</x:v>
      </x:c>
      <x:c r="BL48" s="60" t="n">
        <x:v>68.30362365722657</x:v>
      </x:c>
      <x:c r="BM48" s="60" t="n">
        <x:v>68.5086737060547</x:v>
      </x:c>
      <x:c r="BN48" s="60" t="n">
        <x:v>68.76044311523438</x:v>
      </x:c>
      <x:c r="BO48" s="60" t="n">
        <x:v>69.01899658203125</x:v>
      </x:c>
      <x:c r="BP48" s="60" t="n">
        <x:v>69.25262191772461</x:v>
      </x:c>
      <x:c r="BQ48" s="60" t="n">
        <x:v>69.50763832092285</x:v>
      </x:c>
      <x:c r="BR48" s="60" t="n">
        <x:v>69.75566467285157</x:v>
      </x:c>
      <x:c r="BS48" s="60" t="n">
        <x:v>70.00692977905274</x:v>
      </x:c>
      <x:c r="BT48" s="60" t="n">
        <x:v>70.25143905639648</x:v>
      </x:c>
      <x:c r="BU48" s="60" t="n">
        <x:v>70.49735771179199</x:v>
      </x:c>
      <x:c r="BV48" s="60" t="n">
        <x:v>70.75989196777344</x:v>
      </x:c>
      <x:c r="BW48" s="60" t="n">
        <x:v>70.98269462585449</x:v>
      </x:c>
      <x:c r="BX48" s="60" t="n">
        <x:v>71.20835342407227</x:v>
      </x:c>
      <x:c r="BY48" s="60" t="n">
        <x:v>71.40682312011718</x:v>
      </x:c>
      <x:c r="BZ48" s="60" t="n">
        <x:v>71.64586273193359</x:v>
      </x:c>
      <x:c r="CA48" s="60" t="n">
        <x:v>71.88811492919922</x:v>
      </x:c>
      <x:c r="CB48" s="60" t="n">
        <x:v>72.14621948242187</x:v>
      </x:c>
      <x:c r="CC48" s="60" t="n">
        <x:v>72.40120887756348</x:v>
      </x:c>
      <x:c r="CD48" s="60" t="n">
        <x:v>72.63482208251953</x:v>
      </x:c>
      <x:c r="CE48" s="60" t="n">
        <x:v>72.85774108886719</x:v>
      </x:c>
      <x:c r="CF48" s="60" t="n">
        <x:v>73.13496841430664</x:v>
      </x:c>
      <x:c r="CG48" s="60" t="n">
        <x:v>73.40587272644044</x:v>
      </x:c>
      <x:c r="CH48" s="60" t="n">
        <x:v>73.65656890869141</x:v>
      </x:c>
      <x:c r="CI48" s="60" t="n">
        <x:v>73.8791495513916</x:v>
      </x:c>
      <x:c r="CJ48" s="60" t="n">
        <x:v>74.14874557495118</x:v>
      </x:c>
      <x:c r="CK48" s="60" t="n">
        <x:v>74.44711654663087</x:v>
      </x:c>
      <x:c r="CL48" s="60" t="n">
        <x:v>74.73360717773437</x:v>
      </x:c>
      <x:c r="CM48" s="60" t="n">
        <x:v>75.0280990600586</x:v>
      </x:c>
      <x:c r="CN48" s="60" t="n">
        <x:v>75.29649948120117</x:v>
      </x:c>
      <x:c r="CO48" s="60" t="n">
        <x:v>75.5935301208496</x:v>
      </x:c>
      <x:c r="CP48" s="60" t="n">
        <x:v>75.90415893554687</x:v>
      </x:c>
      <x:c r="CQ48" s="60" t="n">
        <x:v>76.23615905761719</x:v>
      </x:c>
      <x:c r="CR48" s="60" t="n">
        <x:v>76.57710342407226</x:v>
      </x:c>
      <x:c r="CS48" s="60" t="n">
        <x:v>76.90549751281739</x:v>
      </x:c>
      <x:c r="CT48" s="60" t="n">
        <x:v>77.29841033935547</x:v>
      </x:c>
      <x:c r="CU48" s="60" t="n">
        <x:v>77.73359649658204</x:v>
      </x:c>
      <x:c r="CV48" s="60" t="n">
        <x:v>78.16425384521484</x:v>
      </x:c>
      <x:c r="CW48" s="60" t="n">
        <x:v>78.673335647583</x:v>
      </x:c>
      <x:c r="CX48" s="60" t="n">
        <x:v>79.17184875488282</x:v>
      </x:c>
      <x:c r="CY48" s="60" t="n">
        <x:v>79.873056640625</x:v>
      </x:c>
      <x:c r="CZ48" s="60" t="n">
        <x:v>80.62262100219726</x:v>
      </x:c>
      <x:c r="DA48" s="60" t="n">
        <x:v>81.63021614074707</x:v>
      </x:c>
      <x:c r="DB48" s="60" t="n">
        <x:v>84.94110870361328</x:v>
      </x:c>
    </x:row>
    <x:row r="49">
      <x:c r="A49" t="str">
        <x:v>ガブリアス-1</x:v>
      </x:c>
      <x:c r="B49" t="str">
        <x:v>ガブリアス</x:v>
      </x:c>
      <x:c r="C49" t="str">
        <x:v>共通</x:v>
      </x:c>
      <x:c r="D49" s="60" t="n">
        <x:v>64.75574493408203</x:v>
      </x:c>
      <x:c r="E49" s="60" t="n">
        <x:v>5.976231098175049</x:v>
      </x:c>
      <x:c r="F49" s="60" t="n">
        <x:v>42.02707290649414</x:v>
      </x:c>
      <x:c r="G49" s="60" t="n">
        <x:v>48.546930923461915</x:v>
      </x:c>
      <x:c r="H49" s="60" t="n">
        <x:v>50.354701080322265</x:v>
      </x:c>
      <x:c r="I49" s="60" t="n">
        <x:v>51.732735786437985</x:v>
      </x:c>
      <x:c r="J49" s="60" t="n">
        <x:v>52.80385711669922</x:v>
      </x:c>
      <x:c r="K49" s="60" t="n">
        <x:v>53.65165138244629</x:v>
      </x:c>
      <x:c r="L49" s="60" t="n">
        <x:v>54.315702209472654</x:v>
      </x:c>
      <x:c r="M49" s="60" t="n">
        <x:v>54.85916011810303</x:v>
      </x:c>
      <x:c r="N49" s="60" t="n">
        <x:v>55.3998567199707</x:v>
      </x:c>
      <x:c r="O49" s="60" t="n">
        <x:v>55.93102737426758</x:v>
      </x:c>
      <x:c r="P49" s="60" t="n">
        <x:v>56.35914573669434</x:v>
      </x:c>
      <x:c r="Q49" s="60" t="n">
        <x:v>56.75737689971924</x:v>
      </x:c>
      <x:c r="R49" s="60" t="n">
        <x:v>57.1857014465332</x:v>
      </x:c>
      <x:c r="S49" s="60" t="n">
        <x:v>57.551247940063476</x:v>
      </x:c>
      <x:c r="T49" s="60" t="n">
        <x:v>57.90290191650391</x:v>
      </x:c>
      <x:c r="U49" s="60" t="n">
        <x:v>58.227199745178225</x:v>
      </x:c>
      <x:c r="V49" s="60" t="n">
        <x:v>58.5616374206543</x:v>
      </x:c>
      <x:c r="W49" s="60" t="n">
        <x:v>58.87781150817871</x:v>
      </x:c>
      <x:c r="X49" s="60" t="n">
        <x:v>59.170242614746094</x:v>
      </x:c>
      <x:c r="Y49" s="60" t="n">
        <x:v>59.49671398162842</x:v>
      </x:c>
      <x:c r="Z49" s="60" t="n">
        <x:v>59.78937301635742</x:v>
      </x:c>
      <x:c r="AA49" s="60" t="n">
        <x:v>60.054950675964356</x:v>
      </x:c>
      <x:c r="AB49" s="60" t="n">
        <x:v>60.31963752746582</x:v>
      </x:c>
      <x:c r="AC49" s="60" t="n">
        <x:v>60.57425758361816</x:v>
      </x:c>
      <x:c r="AD49" s="60" t="n">
        <x:v>60.807191162109376</x:v>
      </x:c>
      <x:c r="AE49" s="60" t="n">
        <x:v>61.03970909118652</x:v>
      </x:c>
      <x:c r="AF49" s="60" t="n">
        <x:v>61.25292282104492</x:v>
      </x:c>
      <x:c r="AG49" s="60" t="n">
        <x:v>61.46149391174316</x:v>
      </x:c>
      <x:c r="AH49" s="60" t="n">
        <x:v>61.681261444091795</x:v>
      </x:c>
      <x:c r="AI49" s="60" t="n">
        <x:v>61.88885990142822</x:v>
      </x:c>
      <x:c r="AJ49" s="60" t="n">
        <x:v>62.105110549926756</x:v>
      </x:c>
      <x:c r="AK49" s="60" t="n">
        <x:v>62.31510173797607</x:v>
      </x:c>
      <x:c r="AL49" s="60" t="n">
        <x:v>62.51553405761719</x:v>
      </x:c>
      <x:c r="AM49" s="60" t="n">
        <x:v>62.70930561065674</x:v>
      </x:c>
      <x:c r="AN49" s="60" t="n">
        <x:v>62.892550506591796</x:v>
      </x:c>
      <x:c r="AO49" s="60" t="n">
        <x:v>63.088920211791994</x:v>
      </x:c>
      <x:c r="AP49" s="60" t="n">
        <x:v>63.28484786987305</x:v>
      </x:c>
      <x:c r="AQ49" s="60" t="n">
        <x:v>63.4776900100708</x:v>
      </x:c>
      <x:c r="AR49" s="60" t="n">
        <x:v>63.64234916687012</x:v>
      </x:c>
      <x:c r="AS49" s="60" t="n">
        <x:v>63.829162712097165</x:v>
      </x:c>
      <x:c r="AT49" s="60" t="n">
        <x:v>64.01673889160156</x:v>
      </x:c>
      <x:c r="AU49" s="60" t="n">
        <x:v>64.16865631103515</x:v>
      </x:c>
      <x:c r="AV49" s="60" t="n">
        <x:v>64.34011642456055</x:v>
      </x:c>
      <x:c r="AW49" s="60" t="n">
        <x:v>64.50137290954589</x:v>
      </x:c>
      <x:c r="AX49" s="60" t="n">
        <x:v>64.6784976196289</x:v>
      </x:c>
      <x:c r="AY49" s="60" t="n">
        <x:v>64.83218803405762</x:v>
      </x:c>
      <x:c r="AZ49" s="60" t="n">
        <x:v>65.00954849243165</x:v>
      </x:c>
      <x:c r="BA49" s="60" t="n">
        <x:v>65.1567611694336</x:v>
      </x:c>
      <x:c r="BB49" s="60" t="n">
        <x:v>65.30059448242187</x:v>
      </x:c>
      <x:c r="BC49" s="60" t="n">
        <x:v>65.45596069335937</x:v>
      </x:c>
      <x:c r="BD49" s="60" t="n">
        <x:v>65.62708282470703</x:v>
      </x:c>
      <x:c r="BE49" s="60" t="n">
        <x:v>65.7862198638916</x:v>
      </x:c>
      <x:c r="BF49" s="60" t="n">
        <x:v>65.9269027709961</x:v>
      </x:c>
      <x:c r="BG49" s="60" t="n">
        <x:v>66.09648712158203</x:v>
      </x:c>
      <x:c r="BH49" s="60" t="n">
        <x:v>66.23598831176758</x:v>
      </x:c>
      <x:c r="BI49" s="60" t="n">
        <x:v>66.39535408020019</x:v>
      </x:c>
      <x:c r="BJ49" s="60" t="n">
        <x:v>66.5441162109375</x:v>
      </x:c>
      <x:c r="BK49" s="60" t="n">
        <x:v>66.69575546264649</x:v>
      </x:c>
      <x:c r="BL49" s="60" t="n">
        <x:v>66.83424011230468</x:v>
      </x:c>
      <x:c r="BM49" s="60" t="n">
        <x:v>66.96568031311035</x:v>
      </x:c>
      <x:c r="BN49" s="60" t="n">
        <x:v>67.10778198242187</x:v>
      </x:c>
      <x:c r="BO49" s="60" t="n">
        <x:v>67.2462833404541</x:v>
      </x:c>
      <x:c r="BP49" s="60" t="n">
        <x:v>67.39047119140625</x:v>
      </x:c>
      <x:c r="BQ49" s="60" t="n">
        <x:v>67.54316902160645</x:v>
      </x:c>
      <x:c r="BR49" s="60" t="n">
        <x:v>67.6986163330078</x:v>
      </x:c>
      <x:c r="BS49" s="60" t="n">
        <x:v>67.83991966247558</x:v>
      </x:c>
      <x:c r="BT49" s="60" t="n">
        <x:v>67.98280197143555</x:v>
      </x:c>
      <x:c r="BU49" s="60" t="n">
        <x:v>68.11311645507813</x:v>
      </x:c>
      <x:c r="BV49" s="60" t="n">
        <x:v>68.25705627441407</x:v>
      </x:c>
      <x:c r="BW49" s="60" t="n">
        <x:v>68.40092628479005</x:v>
      </x:c>
      <x:c r="BX49" s="60" t="n">
        <x:v>68.54110336303711</x:v>
      </x:c>
      <x:c r="BY49" s="60" t="n">
        <x:v>68.6759049987793</x:v>
      </x:c>
      <x:c r="BZ49" s="60" t="n">
        <x:v>68.82175231933594</x:v>
      </x:c>
      <x:c r="CA49" s="60" t="n">
        <x:v>68.97693603515626</x:v>
      </x:c>
      <x:c r="CB49" s="60" t="n">
        <x:v>69.12447387695312</x:v>
      </x:c>
      <x:c r="CC49" s="60" t="n">
        <x:v>69.27102661132812</x:v>
      </x:c>
      <x:c r="CD49" s="60" t="n">
        <x:v>69.41851806640625</x:v>
      </x:c>
      <x:c r="CE49" s="60" t="n">
        <x:v>69.58068534851074</x:v>
      </x:c>
      <x:c r="CF49" s="60" t="n">
        <x:v>69.73278778076173</x:v>
      </x:c>
      <x:c r="CG49" s="60" t="n">
        <x:v>69.87728790283204</x:v>
      </x:c>
      <x:c r="CH49" s="60" t="n">
        <x:v>70.04681701660157</x:v>
      </x:c>
      <x:c r="CI49" s="60" t="n">
        <x:v>70.21051818847657</x:v>
      </x:c>
      <x:c r="CJ49" s="60" t="n">
        <x:v>70.36301742553711</x:v>
      </x:c>
      <x:c r="CK49" s="60" t="n">
        <x:v>70.52314331054687</x:v>
      </x:c>
      <x:c r="CL49" s="60" t="n">
        <x:v>70.69832214355469</x:v>
      </x:c>
      <x:c r="CM49" s="60" t="n">
        <x:v>70.86319274902344</x:v>
      </x:c>
      <x:c r="CN49" s="60" t="n">
        <x:v>71.0258853149414</x:v>
      </x:c>
      <x:c r="CO49" s="60" t="n">
        <x:v>71.21868911743164</x:v>
      </x:c>
      <x:c r="CP49" s="60" t="n">
        <x:v>71.38958801269531</x:v>
      </x:c>
      <x:c r="CQ49" s="60" t="n">
        <x:v>71.58173370361328</x:v>
      </x:c>
      <x:c r="CR49" s="60" t="n">
        <x:v>71.7783317565918</x:v>
      </x:c>
      <x:c r="CS49" s="60" t="n">
        <x:v>71.98790657043457</x:v>
      </x:c>
      <x:c r="CT49" s="60" t="n">
        <x:v>72.23138732910157</x:v>
      </x:c>
      <x:c r="CU49" s="60" t="n">
        <x:v>72.47283073425292</x:v>
      </x:c>
      <x:c r="CV49" s="60" t="n">
        <x:v>72.74740783691406</x:v>
      </x:c>
      <x:c r="CW49" s="60" t="n">
        <x:v>73.04467658996583</x:v>
      </x:c>
      <x:c r="CX49" s="60" t="n">
        <x:v>73.36520538330079</x:v>
      </x:c>
      <x:c r="CY49" s="60" t="n">
        <x:v>73.73848419189453</x:v>
      </x:c>
      <x:c r="CZ49" s="60" t="n">
        <x:v>74.25085739135743</x:v>
      </x:c>
      <x:c r="DA49" s="60" t="n">
        <x:v>74.81181991577148</x:v>
      </x:c>
      <x:c r="DB49" s="60" t="n">
        <x:v>77.74320983886719</x:v>
      </x:c>
    </x:row>
    <x:row r="50">
      <x:c r="A50" t="str">
        <x:v>ギャラドス-1</x:v>
      </x:c>
      <x:c r="B50" t="str">
        <x:v>ギャラドス</x:v>
      </x:c>
      <x:c r="C50" t="str">
        <x:v>共通</x:v>
      </x:c>
      <x:c r="D50" s="60" t="n">
        <x:v>65.16004943847656</x:v>
      </x:c>
      <x:c r="E50" s="60" t="n">
        <x:v>10.174310684204102</x:v>
      </x:c>
      <x:c r="F50" s="60" t="n">
        <x:v>30.44135856628418</x:v>
      </x:c>
      <x:c r="G50" s="60" t="n">
        <x:v>39.63645603179932</x:v>
      </x:c>
      <x:c r="H50" s="60" t="n">
        <x:v>42.508553161621094</x:v>
      </x:c>
      <x:c r="I50" s="60" t="n">
        <x:v>44.445545043945316</x:v>
      </x:c>
      <x:c r="J50" s="60" t="n">
        <x:v>45.95132781982422</x:v>
      </x:c>
      <x:c r="K50" s="60" t="n">
        <x:v>47.09236164093018</x:v>
      </x:c>
      <x:c r="L50" s="60" t="n">
        <x:v>48.12163444519043</x:v>
      </x:c>
      <x:c r="M50" s="60" t="n">
        <x:v>49.06634334564209</x:v>
      </x:c>
      <x:c r="N50" s="60" t="n">
        <x:v>49.922523193359375</x:v>
      </x:c>
      <x:c r="O50" s="60" t="n">
        <x:v>50.66412250518799</x:v>
      </x:c>
      <x:c r="P50" s="60" t="n">
        <x:v>51.3802677154541</x:v>
      </x:c>
      <x:c r="Q50" s="60" t="n">
        <x:v>52.07057846069336</x:v>
      </x:c>
      <x:c r="R50" s="60" t="n">
        <x:v>52.55854080200195</x:v>
      </x:c>
      <x:c r="S50" s="60" t="n">
        <x:v>53.09527423858643</x:v>
      </x:c>
      <x:c r="T50" s="60" t="n">
        <x:v>53.61796356201172</x:v>
      </x:c>
      <x:c r="U50" s="60" t="n">
        <x:v>54.12724781036377</x:v>
      </x:c>
      <x:c r="V50" s="60" t="n">
        <x:v>54.63034942626953</x:v>
      </x:c>
      <x:c r="W50" s="60" t="n">
        <x:v>55.07699443817139</x:v>
      </x:c>
      <x:c r="X50" s="60" t="n">
        <x:v>55.48356140136719</x:v>
      </x:c>
      <x:c r="Y50" s="60" t="n">
        <x:v>55.90949760437012</x:v>
      </x:c>
      <x:c r="Z50" s="60" t="n">
        <x:v>56.292362213134766</x:v>
      </x:c>
      <x:c r="AA50" s="60" t="n">
        <x:v>56.70279712677002</x:v>
      </x:c>
      <x:c r="AB50" s="60" t="n">
        <x:v>57.13033447265625</x:v>
      </x:c>
      <x:c r="AC50" s="60" t="n">
        <x:v>57.50463394165039</x:v>
      </x:c>
      <x:c r="AD50" s="60" t="n">
        <x:v>57.871190795898436</x:v>
      </x:c>
      <x:c r="AE50" s="60" t="n">
        <x:v>58.26675224304199</x:v>
      </x:c>
      <x:c r="AF50" s="60" t="n">
        <x:v>58.606681442260744</x:v>
      </x:c>
      <x:c r="AG50" s="60" t="n">
        <x:v>58.96867275238037</x:v>
      </x:c>
      <x:c r="AH50" s="60" t="n">
        <x:v>59.31242721557617</x:v>
      </x:c>
      <x:c r="AI50" s="60" t="n">
        <x:v>59.67915138244629</x:v>
      </x:c>
      <x:c r="AJ50" s="60" t="n">
        <x:v>60.02086639404297</x:v>
      </x:c>
      <x:c r="AK50" s="60" t="n">
        <x:v>60.362654304504396</x:v>
      </x:c>
      <x:c r="AL50" s="60" t="n">
        <x:v>60.67908416748047</x:v>
      </x:c>
      <x:c r="AM50" s="60" t="n">
        <x:v>60.998417625427244</x:v>
      </x:c>
      <x:c r="AN50" s="60" t="n">
        <x:v>61.29255226135254</x:v>
      </x:c>
      <x:c r="AO50" s="60" t="n">
        <x:v>61.59094161987305</x:v>
      </x:c>
      <x:c r="AP50" s="60" t="n">
        <x:v>61.91012557983398</x:v>
      </x:c>
      <x:c r="AQ50" s="60" t="n">
        <x:v>62.2474333190918</x:v>
      </x:c>
      <x:c r="AR50" s="60" t="n">
        <x:v>62.544031677246096</x:v>
      </x:c>
      <x:c r="AS50" s="60" t="n">
        <x:v>62.83501285552978</x:v>
      </x:c>
      <x:c r="AT50" s="60" t="n">
        <x:v>63.14606857299805</x:v>
      </x:c>
      <x:c r="AU50" s="60" t="n">
        <x:v>63.43536716461182</x:v>
      </x:c>
      <x:c r="AV50" s="60" t="n">
        <x:v>63.71552040100098</x:v>
      </x:c>
      <x:c r="AW50" s="60" t="n">
        <x:v>64.01865211486816</x:v>
      </x:c>
      <x:c r="AX50" s="60" t="n">
        <x:v>64.26735168457031</x:v>
      </x:c>
      <x:c r="AY50" s="60" t="n">
        <x:v>64.56565933227539</x:v>
      </x:c>
      <x:c r="AZ50" s="60" t="n">
        <x:v>64.84258209228516</x:v>
      </x:c>
      <x:c r="BA50" s="60" t="n">
        <x:v>65.10557708740234</x:v>
      </x:c>
      <x:c r="BB50" s="60" t="n">
        <x:v>65.34417419433593</x:v>
      </x:c>
      <x:c r="BC50" s="60" t="n">
        <x:v>65.64007614135743</x:v>
      </x:c>
      <x:c r="BD50" s="60" t="n">
        <x:v>65.9376106262207</x:v>
      </x:c>
      <x:c r="BE50" s="60" t="n">
        <x:v>66.22176681518555</x:v>
      </x:c>
      <x:c r="BF50" s="60" t="n">
        <x:v>66.55398193359375</x:v>
      </x:c>
      <x:c r="BG50" s="60" t="n">
        <x:v>66.85407852172851</x:v>
      </x:c>
      <x:c r="BH50" s="60" t="n">
        <x:v>67.12339263916016</x:v>
      </x:c>
      <x:c r="BI50" s="60" t="n">
        <x:v>67.41051712036133</x:v>
      </x:c>
      <x:c r="BJ50" s="60" t="n">
        <x:v>67.66313598632813</x:v>
      </x:c>
      <x:c r="BK50" s="60" t="n">
        <x:v>67.95167793273926</x:v>
      </x:c>
      <x:c r="BL50" s="60" t="n">
        <x:v>68.2193115234375</x:v>
      </x:c>
      <x:c r="BM50" s="60" t="n">
        <x:v>68.47789939880371</x:v>
      </x:c>
      <x:c r="BN50" s="60" t="n">
        <x:v>68.73047180175782</x:v>
      </x:c>
      <x:c r="BO50" s="60" t="n">
        <x:v>68.98366600036621</x:v>
      </x:c>
      <x:c r="BP50" s="60" t="n">
        <x:v>69.26184112548827</x:v>
      </x:c>
      <x:c r="BQ50" s="60" t="n">
        <x:v>69.52036445617676</x:v>
      </x:c>
      <x:c r="BR50" s="60" t="n">
        <x:v>69.8121044921875</x:v>
      </x:c>
      <x:c r="BS50" s="60" t="n">
        <x:v>70.0650505065918</x:v>
      </x:c>
      <x:c r="BT50" s="60" t="n">
        <x:v>70.34766586303711</x:v>
      </x:c>
      <x:c r="BU50" s="60" t="n">
        <x:v>70.60569557189942</x:v>
      </x:c>
      <x:c r="BV50" s="60" t="n">
        <x:v>70.8672103881836</x:v>
      </x:c>
      <x:c r="BW50" s="60" t="n">
        <x:v>71.14059516906738</x:v>
      </x:c>
      <x:c r="BX50" s="60" t="n">
        <x:v>71.39379577636718</x:v>
      </x:c>
      <x:c r="BY50" s="60" t="n">
        <x:v>71.66710494995117</x:v>
      </x:c>
      <x:c r="BZ50" s="60" t="n">
        <x:v>71.95912719726562</x:v>
      </x:c>
      <x:c r="CA50" s="60" t="n">
        <x:v>72.24811279296875</x:v>
      </x:c>
      <x:c r="CB50" s="60" t="n">
        <x:v>72.54189605712891</x:v>
      </x:c>
      <x:c r="CC50" s="60" t="n">
        <x:v>72.82817459106445</x:v>
      </x:c>
      <x:c r="CD50" s="60" t="n">
        <x:v>73.10713012695312</x:v>
      </x:c>
      <x:c r="CE50" s="60" t="n">
        <x:v>73.38982940673829</x:v>
      </x:c>
      <x:c r="CF50" s="60" t="n">
        <x:v>73.68603210449218</x:v>
      </x:c>
      <x:c r="CG50" s="60" t="n">
        <x:v>74.00705894470215</x:v>
      </x:c>
      <x:c r="CH50" s="60" t="n">
        <x:v>74.30896606445313</x:v>
      </x:c>
      <x:c r="CI50" s="60" t="n">
        <x:v>74.64621376037599</x:v>
      </x:c>
      <x:c r="CJ50" s="60" t="n">
        <x:v>74.99129425048828</x:v>
      </x:c>
      <x:c r="CK50" s="60" t="n">
        <x:v>75.29265182495118</x:v>
      </x:c>
      <x:c r="CL50" s="60" t="n">
        <x:v>75.60136779785157</x:v>
      </x:c>
      <x:c r="CM50" s="60" t="n">
        <x:v>75.92164230346678</x:v>
      </x:c>
      <x:c r="CN50" s="60" t="n">
        <x:v>76.22761505126952</x:v>
      </x:c>
      <x:c r="CO50" s="60" t="n">
        <x:v>76.58499046325683</x:v>
      </x:c>
      <x:c r="CP50" s="60" t="n">
        <x:v>76.92502807617187</x:v>
      </x:c>
      <x:c r="CQ50" s="60" t="n">
        <x:v>77.35355392456054</x:v>
      </x:c>
      <x:c r="CR50" s="60" t="n">
        <x:v>77.76153564453125</x:v>
      </x:c>
      <x:c r="CS50" s="60" t="n">
        <x:v>78.21900802612305</x:v>
      </x:c>
      <x:c r="CT50" s="60" t="n">
        <x:v>78.68319427490235</x:v>
      </x:c>
      <x:c r="CU50" s="60" t="n">
        <x:v>79.18147583007813</x:v>
      </x:c>
      <x:c r="CV50" s="60" t="n">
        <x:v>79.71403091430666</x:v>
      </x:c>
      <x:c r="CW50" s="60" t="n">
        <x:v>80.36834449768067</x:v>
      </x:c>
      <x:c r="CX50" s="60" t="n">
        <x:v>81.02108276367187</x:v>
      </x:c>
      <x:c r="CY50" s="60" t="n">
        <x:v>81.8617665863037</x:v>
      </x:c>
      <x:c r="CZ50" s="60" t="n">
        <x:v>83.04744949340821</x:v>
      </x:c>
      <x:c r="DA50" s="60" t="n">
        <x:v>84.54303398132323</x:v>
      </x:c>
      <x:c r="DB50" s="60" t="n">
        <x:v>90.59097290039062</x:v>
      </x:c>
    </x:row>
    <x:row r="51">
      <x:c r="A51" t="str">
        <x:v>メガギャラドス-1</x:v>
      </x:c>
      <x:c r="B51" t="str">
        <x:v>メガギャラドス</x:v>
      </x:c>
      <x:c r="C51" t="str">
        <x:v>共通</x:v>
      </x:c>
      <x:c r="D51" s="60" t="n">
        <x:v>64.85276794433594</x:v>
      </x:c>
      <x:c r="E51" s="60" t="n">
        <x:v>10.177315711975098</x:v>
      </x:c>
      <x:c r="F51" s="60" t="n">
        <x:v>30.279380798339844</x:v>
      </x:c>
      <x:c r="G51" s="60" t="n">
        <x:v>39.4949942779541</x:v>
      </x:c>
      <x:c r="H51" s="60" t="n">
        <x:v>42.200964736938474</x:v>
      </x:c>
      <x:c r="I51" s="60" t="n">
        <x:v>44.02787315368652</x:v>
      </x:c>
      <x:c r="J51" s="60" t="n">
        <x:v>45.57320541381836</x:v>
      </x:c>
      <x:c r="K51" s="60" t="n">
        <x:v>46.74944934844971</x:v>
      </x:c>
      <x:c r="L51" s="60" t="n">
        <x:v>47.747852096557615</x:v>
      </x:c>
      <x:c r="M51" s="60" t="n">
        <x:v>48.787350730895994</x:v>
      </x:c>
      <x:c r="N51" s="60" t="n">
        <x:v>49.57181564331054</x:v>
      </x:c>
      <x:c r="O51" s="60" t="n">
        <x:v>50.31634677886963</x:v>
      </x:c>
      <x:c r="P51" s="60" t="n">
        <x:v>50.98099212646484</x:v>
      </x:c>
      <x:c r="Q51" s="60" t="n">
        <x:v>51.646268157958986</x:v>
      </x:c>
      <x:c r="R51" s="60" t="n">
        <x:v>52.218824005126955</x:v>
      </x:c>
      <x:c r="S51" s="60" t="n">
        <x:v>52.76582046508789</x:v>
      </x:c>
      <x:c r="T51" s="60" t="n">
        <x:v>53.28911727905273</x:v>
      </x:c>
      <x:c r="U51" s="60" t="n">
        <x:v>53.82529716491699</x:v>
      </x:c>
      <x:c r="V51" s="60" t="n">
        <x:v>54.32603713989258</x:v>
      </x:c>
      <x:c r="W51" s="60" t="n">
        <x:v>54.74446632385254</x:v>
      </x:c>
      <x:c r="X51" s="60" t="n">
        <x:v>55.18215278625488</x:v>
      </x:c>
      <x:c r="Y51" s="60" t="n">
        <x:v>55.607844772338865</x:v>
      </x:c>
      <x:c r="Z51" s="60" t="n">
        <x:v>55.99419174194336</x:v>
      </x:c>
      <x:c r="AA51" s="60" t="n">
        <x:v>56.38456077575684</x:v>
      </x:c>
      <x:c r="AB51" s="60" t="n">
        <x:v>56.77687690734863</x:v>
      </x:c>
      <x:c r="AC51" s="60" t="n">
        <x:v>57.205940589904785</x:v>
      </x:c>
      <x:c r="AD51" s="60" t="n">
        <x:v>57.571915283203126</x:v>
      </x:c>
      <x:c r="AE51" s="60" t="n">
        <x:v>57.96771049499512</x:v>
      </x:c>
      <x:c r="AF51" s="60" t="n">
        <x:v>58.31134117126465</x:v>
      </x:c>
      <x:c r="AG51" s="60" t="n">
        <x:v>58.74752773284912</x:v>
      </x:c>
      <x:c r="AH51" s="60" t="n">
        <x:v>59.0722087097168</x:v>
      </x:c>
      <x:c r="AI51" s="60" t="n">
        <x:v>59.42851078033447</x:v>
      </x:c>
      <x:c r="AJ51" s="60" t="n">
        <x:v>59.813602447509766</x:v>
      </x:c>
      <x:c r="AK51" s="60" t="n">
        <x:v>60.113082008361815</x:v>
      </x:c>
      <x:c r="AL51" s="60" t="n">
        <x:v>60.41647567749023</x:v>
      </x:c>
      <x:c r="AM51" s="60" t="n">
        <x:v>60.735203170776366</x:v>
      </x:c>
      <x:c r="AN51" s="60" t="n">
        <x:v>61.074575424194336</x:v>
      </x:c>
      <x:c r="AO51" s="60" t="n">
        <x:v>61.3851469039917</x:v>
      </x:c>
      <x:c r="AP51" s="60" t="n">
        <x:v>61.69364822387695</x:v>
      </x:c>
      <x:c r="AQ51" s="60" t="n">
        <x:v>61.947194290161136</x:v>
      </x:c>
      <x:c r="AR51" s="60" t="n">
        <x:v>62.267995834350586</x:v>
      </x:c>
      <x:c r="AS51" s="60" t="n">
        <x:v>62.544235420227054</x:v>
      </x:c>
      <x:c r="AT51" s="60" t="n">
        <x:v>62.825601959228514</x:v>
      </x:c>
      <x:c r="AU51" s="60" t="n">
        <x:v>63.12513370513916</x:v>
      </x:c>
      <x:c r="AV51" s="60" t="n">
        <x:v>63.40246871948242</x:v>
      </x:c>
      <x:c r="AW51" s="60" t="n">
        <x:v>63.65972988128662</x:v>
      </x:c>
      <x:c r="AX51" s="60" t="n">
        <x:v>63.93971771240234</x:v>
      </x:c>
      <x:c r="AY51" s="60" t="n">
        <x:v>64.23010330200195</x:v>
      </x:c>
      <x:c r="AZ51" s="60" t="n">
        <x:v>64.53060028076172</x:v>
      </x:c>
      <x:c r="BA51" s="60" t="n">
        <x:v>64.82825653076172</x:v>
      </x:c>
      <x:c r="BB51" s="60" t="n">
        <x:v>65.11714538574219</x:v>
      </x:c>
      <x:c r="BC51" s="60" t="n">
        <x:v>65.38353507995606</x:v>
      </x:c>
      <x:c r="BD51" s="60" t="n">
        <x:v>65.6686019897461</x:v>
      </x:c>
      <x:c r="BE51" s="60" t="n">
        <x:v>65.96027168273926</x:v>
      </x:c>
      <x:c r="BF51" s="60" t="n">
        <x:v>66.21632049560547</x:v>
      </x:c>
      <x:c r="BG51" s="60" t="n">
        <x:v>66.46606079101562</x:v>
      </x:c>
      <x:c r="BH51" s="60" t="n">
        <x:v>66.71857788085937</x:v>
      </x:c>
      <x:c r="BI51" s="60" t="n">
        <x:v>66.97904357910157</x:v>
      </x:c>
      <x:c r="BJ51" s="60" t="n">
        <x:v>67.25961120605469</x:v>
      </x:c>
      <x:c r="BK51" s="60" t="n">
        <x:v>67.60313987731934</x:v>
      </x:c>
      <x:c r="BL51" s="60" t="n">
        <x:v>67.87110336303711</x:v>
      </x:c>
      <x:c r="BM51" s="60" t="n">
        <x:v>68.11293151855469</x:v>
      </x:c>
      <x:c r="BN51" s="60" t="n">
        <x:v>68.41124114990234</x:v>
      </x:c>
      <x:c r="BO51" s="60" t="n">
        <x:v>68.70840187072754</x:v>
      </x:c>
      <x:c r="BP51" s="60" t="n">
        <x:v>68.97351150512695</x:v>
      </x:c>
      <x:c r="BQ51" s="60" t="n">
        <x:v>69.24024414062501</x:v>
      </x:c>
      <x:c r="BR51" s="60" t="n">
        <x:v>69.50929901123047</x:v>
      </x:c>
      <x:c r="BS51" s="60" t="n">
        <x:v>69.76912117004395</x:v>
      </x:c>
      <x:c r="BT51" s="60" t="n">
        <x:v>70.03243576049805</x:v>
      </x:c>
      <x:c r="BU51" s="60" t="n">
        <x:v>70.29413101196289</x:v>
      </x:c>
      <x:c r="BV51" s="60" t="n">
        <x:v>70.55721435546874</x:v>
      </x:c>
      <x:c r="BW51" s="60" t="n">
        <x:v>70.807583694458</x:v>
      </x:c>
      <x:c r="BX51" s="60" t="n">
        <x:v>71.1077033996582</x:v>
      </x:c>
      <x:c r="BY51" s="60" t="n">
        <x:v>71.38286712646484</x:v>
      </x:c>
      <x:c r="BZ51" s="60" t="n">
        <x:v>71.64035888671874</x:v>
      </x:c>
      <x:c r="CA51" s="60" t="n">
        <x:v>71.92934921264649</x:v>
      </x:c>
      <x:c r="CB51" s="60" t="n">
        <x:v>72.22259399414062</x:v>
      </x:c>
      <x:c r="CC51" s="60" t="n">
        <x:v>72.50484085083008</x:v>
      </x:c>
      <x:c r="CD51" s="60" t="n">
        <x:v>72.78320678710938</x:v>
      </x:c>
      <x:c r="CE51" s="60" t="n">
        <x:v>73.05771408081054</x:v>
      </x:c>
      <x:c r="CF51" s="60" t="n">
        <x:v>73.32222946166992</x:v>
      </x:c>
      <x:c r="CG51" s="60" t="n">
        <x:v>73.65004165649414</x:v>
      </x:c>
      <x:c r="CH51" s="60" t="n">
        <x:v>73.98720703125</x:v>
      </x:c>
      <x:c r="CI51" s="60" t="n">
        <x:v>74.27597686767578</x:v>
      </x:c>
      <x:c r="CJ51" s="60" t="n">
        <x:v>74.59686737060547</x:v>
      </x:c>
      <x:c r="CK51" s="60" t="n">
        <x:v>74.90581352233887</x:v>
      </x:c>
      <x:c r="CL51" s="60" t="n">
        <x:v>75.22800048828125</x:v>
      </x:c>
      <x:c r="CM51" s="60" t="n">
        <x:v>75.54691429138184</x:v>
      </x:c>
      <x:c r="CN51" s="60" t="n">
        <x:v>75.91374847412109</x:v>
      </x:c>
      <x:c r="CO51" s="60" t="n">
        <x:v>76.31901931762695</x:v>
      </x:c>
      <x:c r="CP51" s="60" t="n">
        <x:v>76.7036294555664</x:v>
      </x:c>
      <x:c r="CQ51" s="60" t="n">
        <x:v>77.07173027038574</x:v>
      </x:c>
      <x:c r="CR51" s="60" t="n">
        <x:v>77.50880584716798</x:v>
      </x:c>
      <x:c r="CS51" s="60" t="n">
        <x:v>77.97194450378419</x:v>
      </x:c>
      <x:c r="CT51" s="60" t="n">
        <x:v>78.43248504638672</x:v>
      </x:c>
      <x:c r="CU51" s="60" t="n">
        <x:v>78.94987213134765</x:v>
      </x:c>
      <x:c r="CV51" s="60" t="n">
        <x:v>79.50016723632812</x:v>
      </x:c>
      <x:c r="CW51" s="60" t="n">
        <x:v>80.12355461120606</x:v>
      </x:c>
      <x:c r="CX51" s="60" t="n">
        <x:v>80.8084848022461</x:v>
      </x:c>
      <x:c r="CY51" s="60" t="n">
        <x:v>81.64689689636229</x:v>
      </x:c>
      <x:c r="CZ51" s="60" t="n">
        <x:v>82.71084442138672</x:v>
      </x:c>
      <x:c r="DA51" s="60" t="n">
        <x:v>84.19738395690918</x:v>
      </x:c>
      <x:c r="DB51" s="60" t="n">
        <x:v>88.79661560058594</x:v>
      </x:c>
    </x:row>
    <x:row r="52">
      <x:c r="A52" t="str">
        <x:v>ギルガルド-1</x:v>
      </x:c>
      <x:c r="B52" t="str">
        <x:v>ギルガルド</x:v>
      </x:c>
      <x:c r="C52" t="str">
        <x:v>共通</x:v>
      </x:c>
      <x:c r="D52" s="60" t="n">
        <x:v>65.22709655761719</x:v>
      </x:c>
      <x:c r="E52" s="60" t="n">
        <x:v>9.830506324768066</x:v>
      </x:c>
      <x:c r="F52" s="60" t="n">
        <x:v>31.02191734313965</x:v>
      </x:c>
      <x:c r="G52" s="60" t="n">
        <x:v>40.45850269317627</x:v>
      </x:c>
      <x:c r="H52" s="60" t="n">
        <x:v>43.30863670349121</x:v>
      </x:c>
      <x:c r="I52" s="60" t="n">
        <x:v>45.130869140625</x:v>
      </x:c>
      <x:c r="J52" s="60" t="n">
        <x:v>46.411734924316406</x:v>
      </x:c>
      <x:c r="K52" s="60" t="n">
        <x:v>47.54578685760498</x:v>
      </x:c>
      <x:c r="L52" s="60" t="n">
        <x:v>48.65309532165527</x:v>
      </x:c>
      <x:c r="M52" s="60" t="n">
        <x:v>49.57838043212891</x:v>
      </x:c>
      <x:c r="N52" s="60" t="n">
        <x:v>50.312363891601564</x:v>
      </x:c>
      <x:c r="O52" s="60" t="n">
        <x:v>51.04345012664795</x:v>
      </x:c>
      <x:c r="P52" s="60" t="n">
        <x:v>51.60836486816406</x:v>
      </x:c>
      <x:c r="Q52" s="60" t="n">
        <x:v>52.232257499694825</x:v>
      </x:c>
      <x:c r="R52" s="60" t="n">
        <x:v>52.86922866821289</x:v>
      </x:c>
      <x:c r="S52" s="60" t="n">
        <x:v>53.43638439178467</x:v>
      </x:c>
      <x:c r="T52" s="60" t="n">
        <x:v>53.97346580505371</x:v>
      </x:c>
      <x:c r="U52" s="60" t="n">
        <x:v>54.48026790618896</x:v>
      </x:c>
      <x:c r="V52" s="60" t="n">
        <x:v>55.01094482421875</x:v>
      </x:c>
      <x:c r="W52" s="60" t="n">
        <x:v>55.48481761932373</x:v>
      </x:c>
      <x:c r="X52" s="60" t="n">
        <x:v>55.94450561523437</x:v>
      </x:c>
      <x:c r="Y52" s="60" t="n">
        <x:v>56.42041633605957</x:v>
      </x:c>
      <x:c r="Z52" s="60" t="n">
        <x:v>56.79999465942383</x:v>
      </x:c>
      <x:c r="AA52" s="60" t="n">
        <x:v>57.2089123916626</x:v>
      </x:c>
      <x:c r="AB52" s="60" t="n">
        <x:v>57.58367210388184</x:v>
      </x:c>
      <x:c r="AC52" s="60" t="n">
        <x:v>58.02119510650635</x:v>
      </x:c>
      <x:c r="AD52" s="60" t="n">
        <x:v>58.34032073974609</x:v>
      </x:c>
      <x:c r="AE52" s="60" t="n">
        <x:v>58.642985343933105</x:v>
      </x:c>
      <x:c r="AF52" s="60" t="n">
        <x:v>59.033945846557614</x:v>
      </x:c>
      <x:c r="AG52" s="60" t="n">
        <x:v>59.375368309021</x:v>
      </x:c>
      <x:c r="AH52" s="60" t="n">
        <x:v>59.770559844970705</x:v>
      </x:c>
      <x:c r="AI52" s="60" t="n">
        <x:v>60.088086433410645</x:v>
      </x:c>
      <x:c r="AJ52" s="60" t="n">
        <x:v>60.420847702026364</x:v>
      </x:c>
      <x:c r="AK52" s="60" t="n">
        <x:v>60.750245323181154</x:v>
      </x:c>
      <x:c r="AL52" s="60" t="n">
        <x:v>61.08096435546875</x:v>
      </x:c>
      <x:c r="AM52" s="60" t="n">
        <x:v>61.374842987060546</x:v>
      </x:c>
      <x:c r="AN52" s="60" t="n">
        <x:v>61.66619338989258</x:v>
      </x:c>
      <x:c r="AO52" s="60" t="n">
        <x:v>61.97145328521729</x:v>
      </x:c>
      <x:c r="AP52" s="60" t="n">
        <x:v>62.27137008666992</x:v>
      </x:c>
      <x:c r="AQ52" s="60" t="n">
        <x:v>62.56397457122803</x:v>
      </x:c>
      <x:c r="AR52" s="60" t="n">
        <x:v>62.83316421508789</x:v>
      </x:c>
      <x:c r="AS52" s="60" t="n">
        <x:v>63.12622276306152</x:v>
      </x:c>
      <x:c r="AT52" s="60" t="n">
        <x:v>63.39573440551758</x:v>
      </x:c>
      <x:c r="AU52" s="60" t="n">
        <x:v>63.682122497558595</x:v>
      </x:c>
      <x:c r="AV52" s="60" t="n">
        <x:v>63.96213005065918</x:v>
      </x:c>
      <x:c r="AW52" s="60" t="n">
        <x:v>64.20677787780761</x:v>
      </x:c>
      <x:c r="AX52" s="60" t="n">
        <x:v>64.50573791503906</x:v>
      </x:c>
      <x:c r="AY52" s="60" t="n">
        <x:v>64.77644424438476</x:v>
      </x:c>
      <x:c r="AZ52" s="60" t="n">
        <x:v>65.02622329711915</x:v>
      </x:c>
      <x:c r="BA52" s="60" t="n">
        <x:v>65.27088134765626</x:v>
      </x:c>
      <x:c r="BB52" s="60" t="n">
        <x:v>65.5511538696289</x:v>
      </x:c>
      <x:c r="BC52" s="60" t="n">
        <x:v>65.7887865447998</x:v>
      </x:c>
      <x:c r="BD52" s="60" t="n">
        <x:v>66.0444221496582</x:v>
      </x:c>
      <x:c r="BE52" s="60" t="n">
        <x:v>66.27634155273438</x:v>
      </x:c>
      <x:c r="BF52" s="60" t="n">
        <x:v>66.58612518310547</x:v>
      </x:c>
      <x:c r="BG52" s="60" t="n">
        <x:v>66.8642588043213</x:v>
      </x:c>
      <x:c r="BH52" s="60" t="n">
        <x:v>67.10661499023438</x:v>
      </x:c>
      <x:c r="BI52" s="60" t="n">
        <x:v>67.38228759765624</x:v>
      </x:c>
      <x:c r="BJ52" s="60" t="n">
        <x:v>67.65513702392577</x:v>
      </x:c>
      <x:c r="BK52" s="60" t="n">
        <x:v>67.92240997314454</x:v>
      </x:c>
      <x:c r="BL52" s="60" t="n">
        <x:v>68.16402709960937</x:v>
      </x:c>
      <x:c r="BM52" s="60" t="n">
        <x:v>68.40748565673829</x:v>
      </x:c>
      <x:c r="BN52" s="60" t="n">
        <x:v>68.64766998291016</x:v>
      </x:c>
      <x:c r="BO52" s="60" t="n">
        <x:v>68.897939453125</x:v>
      </x:c>
      <x:c r="BP52" s="60" t="n">
        <x:v>69.15268692016602</x:v>
      </x:c>
      <x:c r="BQ52" s="60" t="n">
        <x:v>69.41395027160644</x:v>
      </x:c>
      <x:c r="BR52" s="60" t="n">
        <x:v>69.67541809082032</x:v>
      </x:c>
      <x:c r="BS52" s="60" t="n">
        <x:v>69.94030647277832</x:v>
      </x:c>
      <x:c r="BT52" s="60" t="n">
        <x:v>70.1742156982422</x:v>
      </x:c>
      <x:c r="BU52" s="60" t="n">
        <x:v>70.42180671691895</x:v>
      </x:c>
      <x:c r="BV52" s="60" t="n">
        <x:v>70.72124603271484</x:v>
      </x:c>
      <x:c r="BW52" s="60" t="n">
        <x:v>70.98785209655762</x:v>
      </x:c>
      <x:c r="BX52" s="60" t="n">
        <x:v>71.24342880249023</x:v>
      </x:c>
      <x:c r="BY52" s="60" t="n">
        <x:v>71.51553871154785</x:v>
      </x:c>
      <x:c r="BZ52" s="60" t="n">
        <x:v>71.79794219970702</x:v>
      </x:c>
      <x:c r="CA52" s="60" t="n">
        <x:v>72.06638610839843</x:v>
      </x:c>
      <x:c r="CB52" s="60" t="n">
        <x:v>72.3689028930664</x:v>
      </x:c>
      <x:c r="CC52" s="60" t="n">
        <x:v>72.66071510314941</x:v>
      </x:c>
      <x:c r="CD52" s="60" t="n">
        <x:v>72.90996124267578</x:v>
      </x:c>
      <x:c r="CE52" s="60" t="n">
        <x:v>73.19739990234375</x:v>
      </x:c>
      <x:c r="CF52" s="60" t="n">
        <x:v>73.47301361083984</x:v>
      </x:c>
      <x:c r="CG52" s="60" t="n">
        <x:v>73.75964485168457</x:v>
      </x:c>
      <x:c r="CH52" s="60" t="n">
        <x:v>74.06920318603515</x:v>
      </x:c>
      <x:c r="CI52" s="60" t="n">
        <x:v>74.37871101379395</x:v>
      </x:c>
      <x:c r="CJ52" s="60" t="n">
        <x:v>74.68820724487304</x:v>
      </x:c>
      <x:c r="CK52" s="60" t="n">
        <x:v>74.99630531311035</x:v>
      </x:c>
      <x:c r="CL52" s="60" t="n">
        <x:v>75.29028198242187</x:v>
      </x:c>
      <x:c r="CM52" s="60" t="n">
        <x:v>75.63089561462402</x:v>
      </x:c>
      <x:c r="CN52" s="60" t="n">
        <x:v>75.95718765258789</x:v>
      </x:c>
      <x:c r="CO52" s="60" t="n">
        <x:v>76.30471572875977</x:v>
      </x:c>
      <x:c r="CP52" s="60" t="n">
        <x:v>76.65511169433594</x:v>
      </x:c>
      <x:c r="CQ52" s="60" t="n">
        <x:v>77.00467330932618</x:v>
      </x:c>
      <x:c r="CR52" s="60" t="n">
        <x:v>77.42887496948242</x:v>
      </x:c>
      <x:c r="CS52" s="60" t="n">
        <x:v>77.8220622253418</x:v>
      </x:c>
      <x:c r="CT52" s="60" t="n">
        <x:v>78.23439910888672</x:v>
      </x:c>
      <x:c r="CU52" s="60" t="n">
        <x:v>78.68951080322266</x:v>
      </x:c>
      <x:c r="CV52" s="60" t="n">
        <x:v>79.2133563232422</x:v>
      </x:c>
      <x:c r="CW52" s="60" t="n">
        <x:v>79.78685073852539</x:v>
      </x:c>
      <x:c r="CX52" s="60" t="n">
        <x:v>80.42557647705078</x:v>
      </x:c>
      <x:c r="CY52" s="60" t="n">
        <x:v>81.16161804199218</x:v>
      </x:c>
      <x:c r="CZ52" s="60" t="n">
        <x:v>82.33385070800782</x:v>
      </x:c>
      <x:c r="DA52" s="60" t="n">
        <x:v>83.5798387145996</x:v>
      </x:c>
      <x:c r="DB52" s="60" t="n">
        <x:v>88.86209106445312</x:v>
      </x:c>
    </x:row>
    <x:row r="53">
      <x:c r="A53" t="str">
        <x:v>ザシアン-1</x:v>
      </x:c>
      <x:c r="B53" t="str">
        <x:v>ザシアン</x:v>
      </x:c>
      <x:c r="C53" t="str">
        <x:v>共通</x:v>
      </x:c>
      <x:c r="D53" s="60" t="n">
        <x:v>66.0049057006836</x:v>
      </x:c>
      <x:c r="E53" s="60" t="n">
        <x:v>10.065679550170898</x:v>
      </x:c>
      <x:c r="F53" s="60" t="n">
        <x:v>31.631330490112305</x:v>
      </x:c>
      <x:c r="G53" s="60" t="n">
        <x:v>40.352664642333984</x:v>
      </x:c>
      <x:c r="H53" s="60" t="n">
        <x:v>43.07272636413574</x:v>
      </x:c>
      <x:c r="I53" s="60" t="n">
        <x:v>45.116732902526856</x:v>
      </x:c>
      <x:c r="J53" s="60" t="n">
        <x:v>46.52111602783203</x:v>
      </x:c>
      <x:c r="K53" s="60" t="n">
        <x:v>47.75884895324707</x:v>
      </x:c>
      <x:c r="L53" s="60" t="n">
        <x:v>48.76772369384766</x:v>
      </x:c>
      <x:c r="M53" s="60" t="n">
        <x:v>49.77365718841553</x:v>
      </x:c>
      <x:c r="N53" s="60" t="n">
        <x:v>50.630218963623044</x:v>
      </x:c>
      <x:c r="O53" s="60" t="n">
        <x:v>51.43372753143311</x:v>
      </x:c>
      <x:c r="P53" s="60" t="n">
        <x:v>52.06950759887695</x:v>
      </x:c>
      <x:c r="Q53" s="60" t="n">
        <x:v>52.69582988739014</x:v>
      </x:c>
      <x:c r="R53" s="60" t="n">
        <x:v>53.274062957763675</x:v>
      </x:c>
      <x:c r="S53" s="60" t="n">
        <x:v>53.86473880767822</x:v>
      </x:c>
      <x:c r="T53" s="60" t="n">
        <x:v>54.437737197875975</x:v>
      </x:c>
      <x:c r="U53" s="60" t="n">
        <x:v>54.97118320465088</x:v>
      </x:c>
      <x:c r="V53" s="60" t="n">
        <x:v>55.523125</x:v>
      </x:c>
      <x:c r="W53" s="60" t="n">
        <x:v>56.013443298339844</x:v>
      </x:c>
      <x:c r="X53" s="60" t="n">
        <x:v>56.489580154418945</x:v>
      </x:c>
      <x:c r="Y53" s="60" t="n">
        <x:v>56.996569862365725</x:v>
      </x:c>
      <x:c r="Z53" s="60" t="n">
        <x:v>57.44709854125976</x:v>
      </x:c>
      <x:c r="AA53" s="60" t="n">
        <x:v>57.83770431518555</x:v>
      </x:c>
      <x:c r="AB53" s="60" t="n">
        <x:v>58.23524291992187</x:v>
      </x:c>
      <x:c r="AC53" s="60" t="n">
        <x:v>58.66149856567383</x:v>
      </x:c>
      <x:c r="AD53" s="60" t="n">
        <x:v>59.05113098144531</x:v>
      </x:c>
      <x:c r="AE53" s="60" t="n">
        <x:v>59.406765937805176</x:v>
      </x:c>
      <x:c r="AF53" s="60" t="n">
        <x:v>59.75570304870605</x:v>
      </x:c>
      <x:c r="AG53" s="60" t="n">
        <x:v>60.0778706741333</x:v>
      </x:c>
      <x:c r="AH53" s="60" t="n">
        <x:v>60.441090698242185</x:v>
      </x:c>
      <x:c r="AI53" s="60" t="n">
        <x:v>60.768979988098145</x:v>
      </x:c>
      <x:c r="AJ53" s="60" t="n">
        <x:v>61.11332893371582</x:v>
      </x:c>
      <x:c r="AK53" s="60" t="n">
        <x:v>61.485926132202145</x:v>
      </x:c>
      <x:c r="AL53" s="60" t="n">
        <x:v>61.80135757446289</x:v>
      </x:c>
      <x:c r="AM53" s="60" t="n">
        <x:v>62.125354042053225</x:v>
      </x:c>
      <x:c r="AN53" s="60" t="n">
        <x:v>62.43956291198731</x:v>
      </x:c>
      <x:c r="AO53" s="60" t="n">
        <x:v>62.747737884521484</x:v>
      </x:c>
      <x:c r="AP53" s="60" t="n">
        <x:v>63.06187896728515</x:v>
      </x:c>
      <x:c r="AQ53" s="60" t="n">
        <x:v>63.336406517028806</x:v>
      </x:c>
      <x:c r="AR53" s="60" t="n">
        <x:v>63.63909568786621</x:v>
      </x:c>
      <x:c r="AS53" s="60" t="n">
        <x:v>63.91373817443848</x:v>
      </x:c>
      <x:c r="AT53" s="60" t="n">
        <x:v>64.19382934570312</x:v>
      </x:c>
      <x:c r="AU53" s="60" t="n">
        <x:v>64.51732200622558</x:v>
      </x:c>
      <x:c r="AV53" s="60" t="n">
        <x:v>64.79527526855469</x:v>
      </x:c>
      <x:c r="AW53" s="60" t="n">
        <x:v>65.0921802520752</x:v>
      </x:c>
      <x:c r="AX53" s="60" t="n">
        <x:v>65.39345123291015</x:v>
      </x:c>
      <x:c r="AY53" s="60" t="n">
        <x:v>65.66526527404785</x:v>
      </x:c>
      <x:c r="AZ53" s="60" t="n">
        <x:v>65.95543762207032</x:v>
      </x:c>
      <x:c r="BA53" s="60" t="n">
        <x:v>66.20458427429199</x:v>
      </x:c>
      <x:c r="BB53" s="60" t="n">
        <x:v>66.48156463623047</x:v>
      </x:c>
      <x:c r="BC53" s="60" t="n">
        <x:v>66.71941284179688</x:v>
      </x:c>
      <x:c r="BD53" s="60" t="n">
        <x:v>66.98543167114258</x:v>
      </x:c>
      <x:c r="BE53" s="60" t="n">
        <x:v>67.21800559997558</x:v>
      </x:c>
      <x:c r="BF53" s="60" t="n">
        <x:v>67.47688140869141</x:v>
      </x:c>
      <x:c r="BG53" s="60" t="n">
        <x:v>67.7146403503418</x:v>
      </x:c>
      <x:c r="BH53" s="60" t="n">
        <x:v>68.01027877807617</x:v>
      </x:c>
      <x:c r="BI53" s="60" t="n">
        <x:v>68.28916969299317</x:v>
      </x:c>
      <x:c r="BJ53" s="60" t="n">
        <x:v>68.54968048095704</x:v>
      </x:c>
      <x:c r="BK53" s="60" t="n">
        <x:v>68.84710639953613</x:v>
      </x:c>
      <x:c r="BL53" s="60" t="n">
        <x:v>69.0960725402832</x:v>
      </x:c>
      <x:c r="BM53" s="60" t="n">
        <x:v>69.37557006835938</x:v>
      </x:c>
      <x:c r="BN53" s="60" t="n">
        <x:v>69.61092071533203</x:v>
      </x:c>
      <x:c r="BO53" s="60" t="n">
        <x:v>69.92923362731933</x:v>
      </x:c>
      <x:c r="BP53" s="60" t="n">
        <x:v>70.17799026489257</x:v>
      </x:c>
      <x:c r="BQ53" s="60" t="n">
        <x:v>70.433505859375</x:v>
      </x:c>
      <x:c r="BR53" s="60" t="n">
        <x:v>70.68972961425781</x:v>
      </x:c>
      <x:c r="BS53" s="60" t="n">
        <x:v>70.97086563110352</x:v>
      </x:c>
      <x:c r="BT53" s="60" t="n">
        <x:v>71.23749725341797</x:v>
      </x:c>
      <x:c r="BU53" s="60" t="n">
        <x:v>71.48107315063477</x:v>
      </x:c>
      <x:c r="BV53" s="60" t="n">
        <x:v>71.78037597656251</x:v>
      </x:c>
      <x:c r="BW53" s="60" t="n">
        <x:v>72.03408012390138</x:v>
      </x:c>
      <x:c r="BX53" s="60" t="n">
        <x:v>72.3091323852539</x:v>
      </x:c>
      <x:c r="BY53" s="60" t="n">
        <x:v>72.57853622436524</x:v>
      </x:c>
      <x:c r="BZ53" s="60" t="n">
        <x:v>72.84905181884766</x:v>
      </x:c>
      <x:c r="CA53" s="60" t="n">
        <x:v>73.11483993530274</x:v>
      </x:c>
      <x:c r="CB53" s="60" t="n">
        <x:v>73.38094680786133</x:v>
      </x:c>
      <x:c r="CC53" s="60" t="n">
        <x:v>73.63209533691406</x:v>
      </x:c>
      <x:c r="CD53" s="60" t="n">
        <x:v>73.91591369628907</x:v>
      </x:c>
      <x:c r="CE53" s="60" t="n">
        <x:v>74.18053283691407</x:v>
      </x:c>
      <x:c r="CF53" s="60" t="n">
        <x:v>74.4533773803711</x:v>
      </x:c>
      <x:c r="CG53" s="60" t="n">
        <x:v>74.7542017364502</x:v>
      </x:c>
      <x:c r="CH53" s="60" t="n">
        <x:v>75.04377899169921</x:v>
      </x:c>
      <x:c r="CI53" s="60" t="n">
        <x:v>75.3568342590332</x:v>
      </x:c>
      <x:c r="CJ53" s="60" t="n">
        <x:v>75.63664672851563</x:v>
      </x:c>
      <x:c r="CK53" s="60" t="n">
        <x:v>75.9605094909668</x:v>
      </x:c>
      <x:c r="CL53" s="60" t="n">
        <x:v>76.25985900878906</x:v>
      </x:c>
      <x:c r="CM53" s="60" t="n">
        <x:v>76.55448493957519</x:v>
      </x:c>
      <x:c r="CN53" s="60" t="n">
        <x:v>76.91044128417968</x:v>
      </x:c>
      <x:c r="CO53" s="60" t="n">
        <x:v>77.26204643249511</x:v>
      </x:c>
      <x:c r="CP53" s="60" t="n">
        <x:v>77.60695922851562</x:v>
      </x:c>
      <x:c r="CQ53" s="60" t="n">
        <x:v>77.96098022460937</x:v>
      </x:c>
      <x:c r="CR53" s="60" t="n">
        <x:v>78.35801162719727</x:v>
      </x:c>
      <x:c r="CS53" s="60" t="n">
        <x:v>78.77092399597169</x:v>
      </x:c>
      <x:c r="CT53" s="60" t="n">
        <x:v>79.1896597290039</x:v>
      </x:c>
      <x:c r="CU53" s="60" t="n">
        <x:v>79.62865310668946</x:v>
      </x:c>
      <x:c r="CV53" s="60" t="n">
        <x:v>80.11210708618164</x:v>
      </x:c>
      <x:c r="CW53" s="60" t="n">
        <x:v>80.73157920837403</x:v>
      </x:c>
      <x:c r="CX53" s="60" t="n">
        <x:v>81.35093841552735</x:v>
      </x:c>
      <x:c r="CY53" s="60" t="n">
        <x:v>82.18733612060547</x:v>
      </x:c>
      <x:c r="CZ53" s="60" t="n">
        <x:v>83.07104446411132</x:v>
      </x:c>
      <x:c r="DA53" s="60" t="n">
        <x:v>84.36397346496582</x:v>
      </x:c>
      <x:c r="DB53" s="60" t="n">
        <x:v>88.41024017333984</x:v>
      </x:c>
    </x:row>
    <x:row r="54">
      <x:c r="A54" t="str">
        <x:v>スイクン-1</x:v>
      </x:c>
      <x:c r="B54" t="str">
        <x:v>スイクン</x:v>
      </x:c>
      <x:c r="C54" t="str">
        <x:v>共通</x:v>
      </x:c>
      <x:c r="D54" s="60" t="n">
        <x:v>65.47949981689453</x:v>
      </x:c>
      <x:c r="E54" s="60" t="n">
        <x:v>6.309392929077148</x:v>
      </x:c>
      <x:c r="F54" s="60" t="n">
        <x:v>40.603736877441406</x:v>
      </x:c>
      <x:c r="G54" s="60" t="n">
        <x:v>48.206082878112795</x:v>
      </x:c>
      <x:c r="H54" s="60" t="n">
        <x:v>50.29693649291992</x:v>
      </x:c>
      <x:c r="I54" s="60" t="n">
        <x:v>51.917044181823734</x:v>
      </x:c>
      <x:c r="J54" s="60" t="n">
        <x:v>52.92187316894531</x:v>
      </x:c>
      <x:c r="K54" s="60" t="n">
        <x:v>53.653678512573244</x:v>
      </x:c>
      <x:c r="L54" s="60" t="n">
        <x:v>54.433567962646485</x:v>
      </x:c>
      <x:c r="M54" s="60" t="n">
        <x:v>55.08483722686768</x:v>
      </x:c>
      <x:c r="N54" s="60" t="n">
        <x:v>55.62880599975586</x:v>
      </x:c>
      <x:c r="O54" s="60" t="n">
        <x:v>56.17338039398193</x:v>
      </x:c>
      <x:c r="P54" s="60" t="n">
        <x:v>56.6965633392334</x:v>
      </x:c>
      <x:c r="Q54" s="60" t="n">
        <x:v>57.13175525665283</x:v>
      </x:c>
      <x:c r="R54" s="60" t="n">
        <x:v>57.53517318725586</x:v>
      </x:c>
      <x:c r="S54" s="60" t="n">
        <x:v>57.934458084106446</x:v>
      </x:c>
      <x:c r="T54" s="60" t="n">
        <x:v>58.298920440673825</x:v>
      </x:c>
      <x:c r="U54" s="60" t="n">
        <x:v>58.643805503845215</x:v>
      </x:c>
      <x:c r="V54" s="60" t="n">
        <x:v>58.97304336547852</x:v>
      </x:c>
      <x:c r="W54" s="60" t="n">
        <x:v>59.29698844909668</x:v>
      </x:c>
      <x:c r="X54" s="60" t="n">
        <x:v>59.58433662414551</x:v>
      </x:c>
      <x:c r="Y54" s="60" t="n">
        <x:v>59.894296646118164</x:v>
      </x:c>
      <x:c r="Z54" s="60" t="n">
        <x:v>60.17351531982422</x:v>
      </x:c>
      <x:c r="AA54" s="60" t="n">
        <x:v>60.47294574737549</x:v>
      </x:c>
      <x:c r="AB54" s="60" t="n">
        <x:v>60.73412559509277</x:v>
      </x:c>
      <x:c r="AC54" s="60" t="n">
        <x:v>61.03564384460449</x:v>
      </x:c>
      <x:c r="AD54" s="60" t="n">
        <x:v>61.28780258178711</x:v>
      </x:c>
      <x:c r="AE54" s="60" t="n">
        <x:v>61.54587459564209</x:v>
      </x:c>
      <x:c r="AF54" s="60" t="n">
        <x:v>61.81130737304687</x:v>
      </x:c>
      <x:c r="AG54" s="60" t="n">
        <x:v>62.028469238281254</x:v>
      </x:c>
      <x:c r="AH54" s="60" t="n">
        <x:v>62.2334880065918</x:v>
      </x:c>
      <x:c r="AI54" s="60" t="n">
        <x:v>62.472850227355956</x:v>
      </x:c>
      <x:c r="AJ54" s="60" t="n">
        <x:v>62.70514068603516</x:v>
      </x:c>
      <x:c r="AK54" s="60" t="n">
        <x:v>62.928008003234865</x:v>
      </x:c>
      <x:c r="AL54" s="60" t="n">
        <x:v>63.13177780151367</x:v>
      </x:c>
      <x:c r="AM54" s="60" t="n">
        <x:v>63.32406883239746</x:v>
      </x:c>
      <x:c r="AN54" s="60" t="n">
        <x:v>63.53134071350098</x:v>
      </x:c>
      <x:c r="AO54" s="60" t="n">
        <x:v>63.722730255126955</x:v>
      </x:c>
      <x:c r="AP54" s="60" t="n">
        <x:v>63.91140975952148</x:v>
      </x:c>
      <x:c r="AQ54" s="60" t="n">
        <x:v>64.13696640014649</x:v>
      </x:c>
      <x:c r="AR54" s="60" t="n">
        <x:v>64.32602584838867</x:v>
      </x:c>
      <x:c r="AS54" s="60" t="n">
        <x:v>64.51974952697753</x:v>
      </x:c>
      <x:c r="AT54" s="60" t="n">
        <x:v>64.67958221435546</x:v>
      </x:c>
      <x:c r="AU54" s="60" t="n">
        <x:v>64.86971954345704</x:v>
      </x:c>
      <x:c r="AV54" s="60" t="n">
        <x:v>65.0649331665039</x:v>
      </x:c>
      <x:c r="AW54" s="60" t="n">
        <x:v>65.25384544372558</x:v>
      </x:c>
      <x:c r="AX54" s="60" t="n">
        <x:v>65.4218539428711</x:v>
      </x:c>
      <x:c r="AY54" s="60" t="n">
        <x:v>65.59907531738281</x:v>
      </x:c>
      <x:c r="AZ54" s="60" t="n">
        <x:v>65.76442901611328</x:v>
      </x:c>
      <x:c r="BA54" s="60" t="n">
        <x:v>65.93599807739258</x:v>
      </x:c>
      <x:c r="BB54" s="60" t="n">
        <x:v>66.10136016845703</x:v>
      </x:c>
      <x:c r="BC54" s="60" t="n">
        <x:v>66.26906883239747</x:v>
      </x:c>
      <x:c r="BD54" s="60" t="n">
        <x:v>66.43305969238281</x:v>
      </x:c>
      <x:c r="BE54" s="60" t="n">
        <x:v>66.5776303100586</x:v>
      </x:c>
      <x:c r="BF54" s="60" t="n">
        <x:v>66.726904296875</x:v>
      </x:c>
      <x:c r="BG54" s="60" t="n">
        <x:v>66.88148971557617</x:v>
      </x:c>
      <x:c r="BH54" s="60" t="n">
        <x:v>67.0238461303711</x:v>
      </x:c>
      <x:c r="BI54" s="60" t="n">
        <x:v>67.18569755554199</x:v>
      </x:c>
      <x:c r="BJ54" s="60" t="n">
        <x:v>67.33155700683594</x:v>
      </x:c>
      <x:c r="BK54" s="60" t="n">
        <x:v>67.4876708984375</x:v>
      </x:c>
      <x:c r="BL54" s="60" t="n">
        <x:v>67.65260833740234</x:v>
      </x:c>
      <x:c r="BM54" s="60" t="n">
        <x:v>67.8043366241455</x:v>
      </x:c>
      <x:c r="BN54" s="60" t="n">
        <x:v>67.96071929931641</x:v>
      </x:c>
      <x:c r="BO54" s="60" t="n">
        <x:v>68.10488792419433</x:v>
      </x:c>
      <x:c r="BP54" s="60" t="n">
        <x:v>68.25794204711914</x:v>
      </x:c>
      <x:c r="BQ54" s="60" t="n">
        <x:v>68.40063011169434</x:v>
      </x:c>
      <x:c r="BR54" s="60" t="n">
        <x:v>68.56509796142578</x:v>
      </x:c>
      <x:c r="BS54" s="60" t="n">
        <x:v>68.73265190124512</x:v>
      </x:c>
      <x:c r="BT54" s="60" t="n">
        <x:v>68.88212554931641</x:v>
      </x:c>
      <x:c r="BU54" s="60" t="n">
        <x:v>69.03267265319825</x:v>
      </x:c>
      <x:c r="BV54" s="60" t="n">
        <x:v>69.17342041015625</x:v>
      </x:c>
      <x:c r="BW54" s="60" t="n">
        <x:v>69.31898643493652</x:v>
      </x:c>
      <x:c r="BX54" s="60" t="n">
        <x:v>69.4767837524414</x:v>
      </x:c>
      <x:c r="BY54" s="60" t="n">
        <x:v>69.63773078918457</x:v>
      </x:c>
      <x:c r="BZ54" s="60" t="n">
        <x:v>69.79220336914062</x:v>
      </x:c>
      <x:c r="CA54" s="60" t="n">
        <x:v>69.94501876831055</x:v>
      </x:c>
      <x:c r="CB54" s="60" t="n">
        <x:v>70.11947067260742</x:v>
      </x:c>
      <x:c r="CC54" s="60" t="n">
        <x:v>70.28478622436523</x:v>
      </x:c>
      <x:c r="CD54" s="60" t="n">
        <x:v>70.42560577392578</x:v>
      </x:c>
      <x:c r="CE54" s="60" t="n">
        <x:v>70.57749824523925</x:v>
      </x:c>
      <x:c r="CF54" s="60" t="n">
        <x:v>70.73302841186523</x:v>
      </x:c>
      <x:c r="CG54" s="60" t="n">
        <x:v>70.90059707641602</x:v>
      </x:c>
      <x:c r="CH54" s="60" t="n">
        <x:v>71.05952301025391</x:v>
      </x:c>
      <x:c r="CI54" s="60" t="n">
        <x:v>71.23207962036133</x:v>
      </x:c>
      <x:c r="CJ54" s="60" t="n">
        <x:v>71.41144973754882</x:v>
      </x:c>
      <x:c r="CK54" s="60" t="n">
        <x:v>71.56243484497071</x:v>
      </x:c>
      <x:c r="CL54" s="60" t="n">
        <x:v>71.74641906738282</x:v>
      </x:c>
      <x:c r="CM54" s="60" t="n">
        <x:v>71.93091926574706</x:v>
      </x:c>
      <x:c r="CN54" s="60" t="n">
        <x:v>72.10327926635742</x:v>
      </x:c>
      <x:c r="CO54" s="60" t="n">
        <x:v>72.28884208679199</x:v>
      </x:c>
      <x:c r="CP54" s="60" t="n">
        <x:v>72.46722686767578</x:v>
      </x:c>
      <x:c r="CQ54" s="60" t="n">
        <x:v>72.64028854370117</x:v>
      </x:c>
      <x:c r="CR54" s="60" t="n">
        <x:v>72.85908660888673</x:v>
      </x:c>
      <x:c r="CS54" s="60" t="n">
        <x:v>73.09657196044923</x:v>
      </x:c>
      <x:c r="CT54" s="60" t="n">
        <x:v>73.33051513671876</x:v>
      </x:c>
      <x:c r="CU54" s="60" t="n">
        <x:v>73.58568458557129</x:v>
      </x:c>
      <x:c r="CV54" s="60" t="n">
        <x:v>73.83949584960938</x:v>
      </x:c>
      <x:c r="CW54" s="60" t="n">
        <x:v>74.15597229003906</x:v>
      </x:c>
      <x:c r="CX54" s="60" t="n">
        <x:v>74.52007690429687</x:v>
      </x:c>
      <x:c r="CY54" s="60" t="n">
        <x:v>74.91943328857421</x:v>
      </x:c>
      <x:c r="CZ54" s="60" t="n">
        <x:v>75.40701950073242</x:v>
      </x:c>
      <x:c r="DA54" s="60" t="n">
        <x:v>76.18367774963379</x:v>
      </x:c>
      <x:c r="DB54" s="60" t="n">
        <x:v>80.39058685302734</x:v>
      </x:c>
    </x:row>
    <x:row r="55">
      <x:c r="A55" t="str">
        <x:v>ソウブレイズ-1</x:v>
      </x:c>
      <x:c r="B55" t="str">
        <x:v>ソウブレイズ</x:v>
      </x:c>
      <x:c r="C55" t="str">
        <x:v>共通</x:v>
      </x:c>
      <x:c r="D55" s="60" t="n">
        <x:v>65.18071746826172</x:v>
      </x:c>
      <x:c r="E55" s="60" t="n">
        <x:v>9.603094100952148</x:v>
      </x:c>
      <x:c r="F55" s="60" t="n">
        <x:v>32.916526794433594</x:v>
      </x:c>
      <x:c r="G55" s="60" t="n">
        <x:v>40.78195945739746</x:v>
      </x:c>
      <x:c r="H55" s="60" t="n">
        <x:v>43.48593650817871</x:v>
      </x:c>
      <x:c r="I55" s="60" t="n">
        <x:v>45.29982456207276</x:v>
      </x:c>
      <x:c r="J55" s="60" t="n">
        <x:v>46.74800964355469</x:v>
      </x:c>
      <x:c r="K55" s="60" t="n">
        <x:v>47.89317398071289</x:v>
      </x:c>
      <x:c r="L55" s="60" t="n">
        <x:v>48.79647430419922</x:v>
      </x:c>
      <x:c r="M55" s="60" t="n">
        <x:v>49.610025787353514</x:v>
      </x:c>
      <x:c r="N55" s="60" t="n">
        <x:v>50.44602447509766</x:v>
      </x:c>
      <x:c r="O55" s="60" t="n">
        <x:v>51.24347709655761</x:v>
      </x:c>
      <x:c r="P55" s="60" t="n">
        <x:v>51.92245750427246</x:v>
      </x:c>
      <x:c r="Q55" s="60" t="n">
        <x:v>52.50051773071289</x:v>
      </x:c>
      <x:c r="R55" s="60" t="n">
        <x:v>52.99677947998047</x:v>
      </x:c>
      <x:c r="S55" s="60" t="n">
        <x:v>53.57836845397949</x:v>
      </x:c>
      <x:c r="T55" s="60" t="n">
        <x:v>54.161568069458006</x:v>
      </x:c>
      <x:c r="U55" s="60" t="n">
        <x:v>54.61590919494629</x:v>
      </x:c>
      <x:c r="V55" s="60" t="n">
        <x:v>55.15484558105469</x:v>
      </x:c>
      <x:c r="W55" s="60" t="n">
        <x:v>55.589420051574706</x:v>
      </x:c>
      <x:c r="X55" s="60" t="n">
        <x:v>56.10417709350586</x:v>
      </x:c>
      <x:c r="Y55" s="60" t="n">
        <x:v>56.57254383087158</x:v>
      </x:c>
      <x:c r="Z55" s="60" t="n">
        <x:v>57.046826171875</x:v>
      </x:c>
      <x:c r="AA55" s="60" t="n">
        <x:v>57.42959796905517</x:v>
      </x:c>
      <x:c r="AB55" s="60" t="n">
        <x:v>57.79989242553711</x:v>
      </x:c>
      <x:c r="AC55" s="60" t="n">
        <x:v>58.15958366394043</x:v>
      </x:c>
      <x:c r="AD55" s="60" t="n">
        <x:v>58.54572982788086</x:v>
      </x:c>
      <x:c r="AE55" s="60" t="n">
        <x:v>58.87630844116211</x:v>
      </x:c>
      <x:c r="AF55" s="60" t="n">
        <x:v>59.198295745849606</x:v>
      </x:c>
      <x:c r="AG55" s="60" t="n">
        <x:v>59.55884189605713</x:v>
      </x:c>
      <x:c r="AH55" s="60" t="n">
        <x:v>59.870167083740235</x:v>
      </x:c>
      <x:c r="AI55" s="60" t="n">
        <x:v>60.22915496826172</x:v>
      </x:c>
      <x:c r="AJ55" s="60" t="n">
        <x:v>60.52762908935547</x:v>
      </x:c>
      <x:c r="AK55" s="60" t="n">
        <x:v>60.86069000244141</x:v>
      </x:c>
      <x:c r="AL55" s="60" t="n">
        <x:v>61.15944274902344</x:v>
      </x:c>
      <x:c r="AM55" s="60" t="n">
        <x:v>61.46089839935303</x:v>
      </x:c>
      <x:c r="AN55" s="60" t="n">
        <x:v>61.771692810058596</x:v>
      </x:c>
      <x:c r="AO55" s="60" t="n">
        <x:v>62.03100032806397</x:v>
      </x:c>
      <x:c r="AP55" s="60" t="n">
        <x:v>62.34199783325195</x:v>
      </x:c>
      <x:c r="AQ55" s="60" t="n">
        <x:v>62.60898933410645</x:v>
      </x:c>
      <x:c r="AR55" s="60" t="n">
        <x:v>62.86903419494629</x:v>
      </x:c>
      <x:c r="AS55" s="60" t="n">
        <x:v>63.123077659606935</x:v>
      </x:c>
      <x:c r="AT55" s="60" t="n">
        <x:v>63.41251220703125</x:v>
      </x:c>
      <x:c r="AU55" s="60" t="n">
        <x:v>63.70464084625244</x:v>
      </x:c>
      <x:c r="AV55" s="60" t="n">
        <x:v>63.97355438232422</x:v>
      </x:c>
      <x:c r="AW55" s="60" t="n">
        <x:v>64.22867141723633</x:v>
      </x:c>
      <x:c r="AX55" s="60" t="n">
        <x:v>64.53766479492188</x:v>
      </x:c>
      <x:c r="AY55" s="60" t="n">
        <x:v>64.81532783508301</x:v>
      </x:c>
      <x:c r="AZ55" s="60" t="n">
        <x:v>65.0728695678711</x:v>
      </x:c>
      <x:c r="BA55" s="60" t="n">
        <x:v>65.3275708770752</x:v>
      </x:c>
      <x:c r="BB55" s="60" t="n">
        <x:v>65.53777160644532</x:v>
      </x:c>
      <x:c r="BC55" s="60" t="n">
        <x:v>65.81971740722656</x:v>
      </x:c>
      <x:c r="BD55" s="60" t="n">
        <x:v>66.05974960327148</x:v>
      </x:c>
      <x:c r="BE55" s="60" t="n">
        <x:v>66.30191078186036</x:v>
      </x:c>
      <x:c r="BF55" s="60" t="n">
        <x:v>66.5817495727539</x:v>
      </x:c>
      <x:c r="BG55" s="60" t="n">
        <x:v>66.8794320678711</x:v>
      </x:c>
      <x:c r="BH55" s="60" t="n">
        <x:v>67.13048049926758</x:v>
      </x:c>
      <x:c r="BI55" s="60" t="n">
        <x:v>67.40509033203125</x:v>
      </x:c>
      <x:c r="BJ55" s="60" t="n">
        <x:v>67.65106750488282</x:v>
      </x:c>
      <x:c r="BK55" s="60" t="n">
        <x:v>67.9098755645752</x:v>
      </x:c>
      <x:c r="BL55" s="60" t="n">
        <x:v>68.16561172485352</x:v>
      </x:c>
      <x:c r="BM55" s="60" t="n">
        <x:v>68.4153409576416</x:v>
      </x:c>
      <x:c r="BN55" s="60" t="n">
        <x:v>68.66038055419922</x:v>
      </x:c>
      <x:c r="BO55" s="60" t="n">
        <x:v>68.92284049987794</x:v>
      </x:c>
      <x:c r="BP55" s="60" t="n">
        <x:v>69.12862106323242</x:v>
      </x:c>
      <x:c r="BQ55" s="60" t="n">
        <x:v>69.38573524475098</x:v>
      </x:c>
      <x:c r="BR55" s="60" t="n">
        <x:v>69.6275357055664</x:v>
      </x:c>
      <x:c r="BS55" s="60" t="n">
        <x:v>69.87646293640137</x:v>
      </x:c>
      <x:c r="BT55" s="60" t="n">
        <x:v>70.13914215087891</x:v>
      </x:c>
      <x:c r="BU55" s="60" t="n">
        <x:v>70.39753349304199</x:v>
      </x:c>
      <x:c r="BV55" s="60" t="n">
        <x:v>70.65294799804687</x:v>
      </x:c>
      <x:c r="BW55" s="60" t="n">
        <x:v>70.92069076538087</x:v>
      </x:c>
      <x:c r="BX55" s="60" t="n">
        <x:v>71.1457389831543</x:v>
      </x:c>
      <x:c r="BY55" s="60" t="n">
        <x:v>71.4071159362793</x:v>
      </x:c>
      <x:c r="BZ55" s="60" t="n">
        <x:v>71.6670928955078</x:v>
      </x:c>
      <x:c r="CA55" s="60" t="n">
        <x:v>71.91844779968262</x:v>
      </x:c>
      <x:c r="CB55" s="60" t="n">
        <x:v>72.1907569885254</x:v>
      </x:c>
      <x:c r="CC55" s="60" t="n">
        <x:v>72.44153785705566</x:v>
      </x:c>
      <x:c r="CD55" s="60" t="n">
        <x:v>72.68890930175782</x:v>
      </x:c>
      <x:c r="CE55" s="60" t="n">
        <x:v>72.96725578308106</x:v>
      </x:c>
      <x:c r="CF55" s="60" t="n">
        <x:v>73.238583984375</x:v>
      </x:c>
      <x:c r="CG55" s="60" t="n">
        <x:v>73.5078003692627</x:v>
      </x:c>
      <x:c r="CH55" s="60" t="n">
        <x:v>73.79979400634765</x:v>
      </x:c>
      <x:c r="CI55" s="60" t="n">
        <x:v>74.07454803466797</x:v>
      </x:c>
      <x:c r="CJ55" s="60" t="n">
        <x:v>74.35567825317383</x:v>
      </x:c>
      <x:c r="CK55" s="60" t="n">
        <x:v>74.62715293884278</x:v>
      </x:c>
      <x:c r="CL55" s="60" t="n">
        <x:v>74.95039947509765</x:v>
      </x:c>
      <x:c r="CM55" s="60" t="n">
        <x:v>75.23342018127441</x:v>
      </x:c>
      <x:c r="CN55" s="60" t="n">
        <x:v>75.54109619140625</x:v>
      </x:c>
      <x:c r="CO55" s="60" t="n">
        <x:v>75.88069068908692</x:v>
      </x:c>
      <x:c r="CP55" s="60" t="n">
        <x:v>76.26083984374999</x:v>
      </x:c>
      <x:c r="CQ55" s="60" t="n">
        <x:v>76.61021697998046</x:v>
      </x:c>
      <x:c r="CR55" s="60" t="n">
        <x:v>77.0048698425293</x:v>
      </x:c>
      <x:c r="CS55" s="60" t="n">
        <x:v>77.41327911376953</x:v>
      </x:c>
      <x:c r="CT55" s="60" t="n">
        <x:v>77.81804931640625</x:v>
      </x:c>
      <x:c r="CU55" s="60" t="n">
        <x:v>78.20727394104004</x:v>
      </x:c>
      <x:c r="CV55" s="60" t="n">
        <x:v>78.67985534667969</x:v>
      </x:c>
      <x:c r="CW55" s="60" t="n">
        <x:v>79.2539878845215</x:v>
      </x:c>
      <x:c r="CX55" s="60" t="n">
        <x:v>79.83911560058594</x:v>
      </x:c>
      <x:c r="CY55" s="60" t="n">
        <x:v>80.66074501037596</x:v>
      </x:c>
      <x:c r="CZ55" s="60" t="n">
        <x:v>81.58600509643556</x:v>
      </x:c>
      <x:c r="DA55" s="60" t="n">
        <x:v>82.97925170898438</x:v>
      </x:c>
      <x:c r="DB55" s="60" t="n">
        <x:v>87.23734283447266</x:v>
      </x:c>
    </x:row>
    <x:row r="56">
      <x:c r="A56" t="str">
        <x:v>ソルガレオ-1</x:v>
      </x:c>
      <x:c r="B56" t="str">
        <x:v>ソルガレオ</x:v>
      </x:c>
      <x:c r="C56" t="str">
        <x:v>共通</x:v>
      </x:c>
      <x:c r="D56" s="60" t="n">
        <x:v>66.27989196777344</x:v>
      </x:c>
      <x:c r="E56" s="60" t="n">
        <x:v>6.238861560821533</x:v>
      </x:c>
      <x:c r="F56" s="60" t="n">
        <x:v>42.23833465576172</x:v>
      </x:c>
      <x:c r="G56" s="60" t="n">
        <x:v>48.5690514755249</x:v>
      </x:c>
      <x:c r="H56" s="60" t="n">
        <x:v>50.708307113647464</x:v>
      </x:c>
      <x:c r="I56" s="60" t="n">
        <x:v>52.1991402053833</x:v>
      </x:c>
      <x:c r="J56" s="60" t="n">
        <x:v>53.442494506835935</x:v>
      </x:c>
      <x:c r="K56" s="60" t="n">
        <x:v>54.282032585144044</x:v>
      </x:c>
      <x:c r="L56" s="60" t="n">
        <x:v>55.08090278625488</x:v>
      </x:c>
      <x:c r="M56" s="60" t="n">
        <x:v>55.76551334381104</x:v>
      </x:c>
      <x:c r="N56" s="60" t="n">
        <x:v>56.38462783813477</x:v>
      </x:c>
      <x:c r="O56" s="60" t="n">
        <x:v>56.97264019012451</x:v>
      </x:c>
      <x:c r="P56" s="60" t="n">
        <x:v>57.4473388671875</x:v>
      </x:c>
      <x:c r="Q56" s="60" t="n">
        <x:v>57.90972526550293</x:v>
      </x:c>
      <x:c r="R56" s="60" t="n">
        <x:v>58.375700073242186</x:v>
      </x:c>
      <x:c r="S56" s="60" t="n">
        <x:v>58.765196075439455</x:v>
      </x:c>
      <x:c r="T56" s="60" t="n">
        <x:v>59.15040664672851</x:v>
      </x:c>
      <x:c r="U56" s="60" t="n">
        <x:v>59.46584072113037</x:v>
      </x:c>
      <x:c r="V56" s="60" t="n">
        <x:v>59.85282424926758</x:v>
      </x:c>
      <x:c r="W56" s="60" t="n">
        <x:v>60.199831619262696</x:v>
      </x:c>
      <x:c r="X56" s="60" t="n">
        <x:v>60.50129898071289</x:v>
      </x:c>
      <x:c r="Y56" s="60" t="n">
        <x:v>60.80258510589599</x:v>
      </x:c>
      <x:c r="Z56" s="60" t="n">
        <x:v>61.11123809814453</x:v>
      </x:c>
      <x:c r="AA56" s="60" t="n">
        <x:v>61.40425704956055</x:v>
      </x:c>
      <x:c r="AB56" s="60" t="n">
        <x:v>61.72110237121582</x:v>
      </x:c>
      <x:c r="AC56" s="60" t="n">
        <x:v>61.99537342071533</x:v>
      </x:c>
      <x:c r="AD56" s="60" t="n">
        <x:v>62.275982513427735</x:v>
      </x:c>
      <x:c r="AE56" s="60" t="n">
        <x:v>62.53436088562012</x:v>
      </x:c>
      <x:c r="AF56" s="60" t="n">
        <x:v>62.80086502075195</x:v>
      </x:c>
      <x:c r="AG56" s="60" t="n">
        <x:v>63.02873008728027</x:v>
      </x:c>
      <x:c r="AH56" s="60" t="n">
        <x:v>63.29173492431641</x:v>
      </x:c>
      <x:c r="AI56" s="60" t="n">
        <x:v>63.510629692077636</x:v>
      </x:c>
      <x:c r="AJ56" s="60" t="n">
        <x:v>63.72406120300293</x:v>
      </x:c>
      <x:c r="AK56" s="60" t="n">
        <x:v>63.93035041809082</x:v>
      </x:c>
      <x:c r="AL56" s="60" t="n">
        <x:v>64.11940002441406</x:v>
      </x:c>
      <x:c r="AM56" s="60" t="n">
        <x:v>64.33986854553223</x:v>
      </x:c>
      <x:c r="AN56" s="60" t="n">
        <x:v>64.53677841186523</x:v>
      </x:c>
      <x:c r="AO56" s="60" t="n">
        <x:v>64.71337203979492</x:v>
      </x:c>
      <x:c r="AP56" s="60" t="n">
        <x:v>64.90362915039063</x:v>
      </x:c>
      <x:c r="AQ56" s="60" t="n">
        <x:v>65.10336738586426</x:v>
      </x:c>
      <x:c r="AR56" s="60" t="n">
        <x:v>65.32410583496093</x:v>
      </x:c>
      <x:c r="AS56" s="60" t="n">
        <x:v>65.50869354248047</x:v>
      </x:c>
      <x:c r="AT56" s="60" t="n">
        <x:v>65.67604064941406</x:v>
      </x:c>
      <x:c r="AU56" s="60" t="n">
        <x:v>65.87189697265624</x:v>
      </x:c>
      <x:c r="AV56" s="60" t="n">
        <x:v>66.04655548095702</x:v>
      </x:c>
      <x:c r="AW56" s="60" t="n">
        <x:v>66.2178475189209</x:v>
      </x:c>
      <x:c r="AX56" s="60" t="n">
        <x:v>66.39620727539062</x:v>
      </x:c>
      <x:c r="AY56" s="60" t="n">
        <x:v>66.57191390991211</x:v>
      </x:c>
      <x:c r="AZ56" s="60" t="n">
        <x:v>66.73871612548828</x:v>
      </x:c>
      <x:c r="BA56" s="60" t="n">
        <x:v>66.91447708129883</x:v>
      </x:c>
      <x:c r="BB56" s="60" t="n">
        <x:v>67.08497467041016</x:v>
      </x:c>
      <x:c r="BC56" s="60" t="n">
        <x:v>67.26044586181641</x:v>
      </x:c>
      <x:c r="BD56" s="60" t="n">
        <x:v>67.41769027709961</x:v>
      </x:c>
      <x:c r="BE56" s="60" t="n">
        <x:v>67.5648112487793</x:v>
      </x:c>
      <x:c r="BF56" s="60" t="n">
        <x:v>67.73013702392578</x:v>
      </x:c>
      <x:c r="BG56" s="60" t="n">
        <x:v>67.88107864379883</x:v>
      </x:c>
      <x:c r="BH56" s="60" t="n">
        <x:v>68.01937255859374</x:v>
      </x:c>
      <x:c r="BI56" s="60" t="n">
        <x:v>68.20085678100585</x:v>
      </x:c>
      <x:c r="BJ56" s="60" t="n">
        <x:v>68.34739685058594</x:v>
      </x:c>
      <x:c r="BK56" s="60" t="n">
        <x:v>68.51890686035156</x:v>
      </x:c>
      <x:c r="BL56" s="60" t="n">
        <x:v>68.66092514038085</x:v>
      </x:c>
      <x:c r="BM56" s="60" t="n">
        <x:v>68.78022911071777</x:v>
      </x:c>
      <x:c r="BN56" s="60" t="n">
        <x:v>68.93064422607422</x:v>
      </x:c>
      <x:c r="BO56" s="60" t="n">
        <x:v>69.09419960021972</x:v>
      </x:c>
      <x:c r="BP56" s="60" t="n">
        <x:v>69.2497772216797</x:v>
      </x:c>
      <x:c r="BQ56" s="60" t="n">
        <x:v>69.37697425842285</x:v>
      </x:c>
      <x:c r="BR56" s="60" t="n">
        <x:v>69.51124633789063</x:v>
      </x:c>
      <x:c r="BS56" s="60" t="n">
        <x:v>69.6557243347168</x:v>
      </x:c>
      <x:c r="BT56" s="60" t="n">
        <x:v>69.78606140136719</x:v>
      </x:c>
      <x:c r="BU56" s="60" t="n">
        <x:v>69.92794219970703</x:v>
      </x:c>
      <x:c r="BV56" s="60" t="n">
        <x:v>70.07440765380859</x:v>
      </x:c>
      <x:c r="BW56" s="60" t="n">
        <x:v>70.22273956298828</x:v>
      </x:c>
      <x:c r="BX56" s="60" t="n">
        <x:v>70.36508712768554</x:v>
      </x:c>
      <x:c r="BY56" s="60" t="n">
        <x:v>70.49883209228516</x:v>
      </x:c>
      <x:c r="BZ56" s="60" t="n">
        <x:v>70.63958251953125</x:v>
      </x:c>
      <x:c r="CA56" s="60" t="n">
        <x:v>70.77581703186036</x:v>
      </x:c>
      <x:c r="CB56" s="60" t="n">
        <x:v>70.93452713012695</x:v>
      </x:c>
      <x:c r="CC56" s="60" t="n">
        <x:v>71.07944297790527</x:v>
      </x:c>
      <x:c r="CD56" s="60" t="n">
        <x:v>71.22677917480469</x:v>
      </x:c>
      <x:c r="CE56" s="60" t="n">
        <x:v>71.38734245300293</x:v>
      </x:c>
      <x:c r="CF56" s="60" t="n">
        <x:v>71.53524459838867</x:v>
      </x:c>
      <x:c r="CG56" s="60" t="n">
        <x:v>71.68657127380371</x:v>
      </x:c>
      <x:c r="CH56" s="60" t="n">
        <x:v>71.81696319580078</x:v>
      </x:c>
      <x:c r="CI56" s="60" t="n">
        <x:v>71.97963874816895</x:v>
      </x:c>
      <x:c r="CJ56" s="60" t="n">
        <x:v>72.12700042724609</x:v>
      </x:c>
      <x:c r="CK56" s="60" t="n">
        <x:v>72.25519622802734</x:v>
      </x:c>
      <x:c r="CL56" s="60" t="n">
        <x:v>72.41565338134765</x:v>
      </x:c>
      <x:c r="CM56" s="60" t="n">
        <x:v>72.57349739074706</x:v>
      </x:c>
      <x:c r="CN56" s="60" t="n">
        <x:v>72.7310954284668</x:v>
      </x:c>
      <x:c r="CO56" s="60" t="n">
        <x:v>72.89060806274414</x:v>
      </x:c>
      <x:c r="CP56" s="60" t="n">
        <x:v>73.04603485107423</x:v>
      </x:c>
      <x:c r="CQ56" s="60" t="n">
        <x:v>73.19838691711426</x:v>
      </x:c>
      <x:c r="CR56" s="60" t="n">
        <x:v>73.38504104614258</x:v>
      </x:c>
      <x:c r="CS56" s="60" t="n">
        <x:v>73.57550201416015</x:v>
      </x:c>
      <x:c r="CT56" s="60" t="n">
        <x:v>73.79012725830079</x:v>
      </x:c>
      <x:c r="CU56" s="60" t="n">
        <x:v>73.9951675415039</x:v>
      </x:c>
      <x:c r="CV56" s="60" t="n">
        <x:v>74.22048767089845</x:v>
      </x:c>
      <x:c r="CW56" s="60" t="n">
        <x:v>74.44898834228516</x:v>
      </x:c>
      <x:c r="CX56" s="60" t="n">
        <x:v>74.69615478515625</x:v>
      </x:c>
      <x:c r="CY56" s="60" t="n">
        <x:v>75.02881858825683</x:v>
      </x:c>
      <x:c r="CZ56" s="60" t="n">
        <x:v>75.37474273681642</x:v>
      </x:c>
      <x:c r="DA56" s="60" t="n">
        <x:v>75.82883979797363</x:v>
      </x:c>
      <x:c r="DB56" s="60" t="n">
        <x:v>77.90741729736328</x:v>
      </x:c>
    </x:row>
    <x:row r="57">
      <x:c r="A57" t="str">
        <x:v>タイレーツ-1</x:v>
      </x:c>
      <x:c r="B57" t="str">
        <x:v>タイレーツ</x:v>
      </x:c>
      <x:c r="C57" t="str">
        <x:v>はいすいのじん</x:v>
      </x:c>
      <x:c r="D57" s="60" t="n">
        <x:v>65.40371704101562</x:v>
      </x:c>
      <x:c r="E57" s="60" t="n">
        <x:v>6.145875453948975</x:v>
      </x:c>
      <x:c r="F57" s="60" t="n">
        <x:v>40.618621826171875</x:v>
      </x:c>
      <x:c r="G57" s="60" t="n">
        <x:v>48.50484893798828</x:v>
      </x:c>
      <x:c r="H57" s="60" t="n">
        <x:v>50.4342911529541</x:v>
      </x:c>
      <x:c r="I57" s="60" t="n">
        <x:v>51.85982475280762</x:v>
      </x:c>
      <x:c r="J57" s="60" t="n">
        <x:v>52.88701080322266</x:v>
      </x:c>
      <x:c r="K57" s="60" t="n">
        <x:v>53.81691551208496</x:v>
      </x:c>
      <x:c r="L57" s="60" t="n">
        <x:v>54.54736389160156</x:v>
      </x:c>
      <x:c r="M57" s="60" t="n">
        <x:v>55.24062328338623</x:v>
      </x:c>
      <x:c r="N57" s="60" t="n">
        <x:v>55.72481369018555</x:v>
      </x:c>
      <x:c r="O57" s="60" t="n">
        <x:v>56.24733558654785</x:v>
      </x:c>
      <x:c r="P57" s="60" t="n">
        <x:v>56.6983081817627</x:v>
      </x:c>
      <x:c r="Q57" s="60" t="n">
        <x:v>57.19672233581543</x:v>
      </x:c>
      <x:c r="R57" s="60" t="n">
        <x:v>57.54477554321289</x:v>
      </x:c>
      <x:c r="S57" s="60" t="n">
        <x:v>58.00520317077637</x:v>
      </x:c>
      <x:c r="T57" s="60" t="n">
        <x:v>58.36913200378418</x:v>
      </x:c>
      <x:c r="U57" s="60" t="n">
        <x:v>58.77372817993164</x:v>
      </x:c>
      <x:c r="V57" s="60" t="n">
        <x:v>59.1006575012207</x:v>
      </x:c>
      <x:c r="W57" s="60" t="n">
        <x:v>59.39413761138916</x:v>
      </x:c>
      <x:c r="X57" s="60" t="n">
        <x:v>59.703285217285156</x:v>
      </x:c>
      <x:c r="Y57" s="60" t="n">
        <x:v>60.02693279266357</x:v>
      </x:c>
      <x:c r="Z57" s="60" t="n">
        <x:v>60.32296142578125</x:v>
      </x:c>
      <x:c r="AA57" s="60" t="n">
        <x:v>60.61464130401611</x:v>
      </x:c>
      <x:c r="AB57" s="60" t="n">
        <x:v>60.91042320251465</x:v>
      </x:c>
      <x:c r="AC57" s="60" t="n">
        <x:v>61.16201400756836</x:v>
      </x:c>
      <x:c r="AD57" s="60" t="n">
        <x:v>61.36350234985352</x:v>
      </x:c>
      <x:c r="AE57" s="60" t="n">
        <x:v>61.63331985473633</x:v>
      </x:c>
      <x:c r="AF57" s="60" t="n">
        <x:v>61.874269256591795</x:v>
      </x:c>
      <x:c r="AG57" s="60" t="n">
        <x:v>62.11167808532715</x:v>
      </x:c>
      <x:c r="AH57" s="60" t="n">
        <x:v>62.32726638793945</x:v>
      </x:c>
      <x:c r="AI57" s="60" t="n">
        <x:v>62.54684543609619</x:v>
      </x:c>
      <x:c r="AJ57" s="60" t="n">
        <x:v>62.752072143554685</x:v>
      </x:c>
      <x:c r="AK57" s="60" t="n">
        <x:v>62.98564472198486</x:v>
      </x:c>
      <x:c r="AL57" s="60" t="n">
        <x:v>63.19265716552734</x:v>
      </x:c>
      <x:c r="AM57" s="60" t="n">
        <x:v>63.38044635772705</x:v>
      </x:c>
      <x:c r="AN57" s="60" t="n">
        <x:v>63.578332138061526</x:v>
      </x:c>
      <x:c r="AO57" s="60" t="n">
        <x:v>63.78909282684326</x:v>
      </x:c>
      <x:c r="AP57" s="60" t="n">
        <x:v>63.998629302978514</x:v>
      </x:c>
      <x:c r="AQ57" s="60" t="n">
        <x:v>64.16838386535645</x:v>
      </x:c>
      <x:c r="AR57" s="60" t="n">
        <x:v>64.36394470214844</x:v>
      </x:c>
      <x:c r="AS57" s="60" t="n">
        <x:v>64.53516387939453</x:v>
      </x:c>
      <x:c r="AT57" s="60" t="n">
        <x:v>64.6955780029297</x:v>
      </x:c>
      <x:c r="AU57" s="60" t="n">
        <x:v>64.87519493103028</x:v>
      </x:c>
      <x:c r="AV57" s="60" t="n">
        <x:v>65.06885543823242</x:v>
      </x:c>
      <x:c r="AW57" s="60" t="n">
        <x:v>65.24990341186523</x:v>
      </x:c>
      <x:c r="AX57" s="60" t="n">
        <x:v>65.39842010498047</x:v>
      </x:c>
      <x:c r="AY57" s="60" t="n">
        <x:v>65.54200592041016</x:v>
      </x:c>
      <x:c r="AZ57" s="60" t="n">
        <x:v>65.6967544555664</x:v>
      </x:c>
      <x:c r="BA57" s="60" t="n">
        <x:v>65.84363822937011</x:v>
      </x:c>
      <x:c r="BB57" s="60" t="n">
        <x:v>66.00689392089843</x:v>
      </x:c>
      <x:c r="BC57" s="60" t="n">
        <x:v>66.16238075256348</x:v>
      </x:c>
      <x:c r="BD57" s="60" t="n">
        <x:v>66.32268142700195</x:v>
      </x:c>
      <x:c r="BE57" s="60" t="n">
        <x:v>66.479761428833</x:v>
      </x:c>
      <x:c r="BF57" s="60" t="n">
        <x:v>66.63588897705078</x:v>
      </x:c>
      <x:c r="BG57" s="60" t="n">
        <x:v>66.8080924987793</x:v>
      </x:c>
      <x:c r="BH57" s="60" t="n">
        <x:v>66.96401657104492</x:v>
      </x:c>
      <x:c r="BI57" s="60" t="n">
        <x:v>67.11747360229492</x:v>
      </x:c>
      <x:c r="BJ57" s="60" t="n">
        <x:v>67.26257202148437</x:v>
      </x:c>
      <x:c r="BK57" s="60" t="n">
        <x:v>67.42905448913574</x:v>
      </x:c>
      <x:c r="BL57" s="60" t="n">
        <x:v>67.57282119750977</x:v>
      </x:c>
      <x:c r="BM57" s="60" t="n">
        <x:v>67.72229393005371</x:v>
      </x:c>
      <x:c r="BN57" s="60" t="n">
        <x:v>67.87806854248046</x:v>
      </x:c>
      <x:c r="BO57" s="60" t="n">
        <x:v>68.03123207092285</x:v>
      </x:c>
      <x:c r="BP57" s="60" t="n">
        <x:v>68.16605377197266</x:v>
      </x:c>
      <x:c r="BQ57" s="60" t="n">
        <x:v>68.34634757995606</x:v>
      </x:c>
      <x:c r="BR57" s="60" t="n">
        <x:v>68.49076324462891</x:v>
      </x:c>
      <x:c r="BS57" s="60" t="n">
        <x:v>68.65875625610352</x:v>
      </x:c>
      <x:c r="BT57" s="60" t="n">
        <x:v>68.80234268188477</x:v>
      </x:c>
      <x:c r="BU57" s="60" t="n">
        <x:v>68.9362703704834</x:v>
      </x:c>
      <x:c r="BV57" s="60" t="n">
        <x:v>69.05224029541016</x:v>
      </x:c>
      <x:c r="BW57" s="60" t="n">
        <x:v>69.20461494445802</x:v>
      </x:c>
      <x:c r="BX57" s="60" t="n">
        <x:v>69.36101608276367</x:v>
      </x:c>
      <x:c r="BY57" s="60" t="n">
        <x:v>69.51170028686523</x:v>
      </x:c>
      <x:c r="BZ57" s="60" t="n">
        <x:v>69.64337738037109</x:v>
      </x:c>
      <x:c r="CA57" s="60" t="n">
        <x:v>69.7947274017334</x:v>
      </x:c>
      <x:c r="CB57" s="60" t="n">
        <x:v>69.93757537841798</x:v>
      </x:c>
      <x:c r="CC57" s="60" t="n">
        <x:v>70.08082008361816</x:v>
      </x:c>
      <x:c r="CD57" s="60" t="n">
        <x:v>70.23358947753906</x:v>
      </x:c>
      <x:c r="CE57" s="60" t="n">
        <x:v>70.364521484375</x:v>
      </x:c>
      <x:c r="CF57" s="60" t="n">
        <x:v>70.51014602661132</x:v>
      </x:c>
      <x:c r="CG57" s="60" t="n">
        <x:v>70.66225852966309</x:v>
      </x:c>
      <x:c r="CH57" s="60" t="n">
        <x:v>70.81019439697266</x:v>
      </x:c>
      <x:c r="CI57" s="60" t="n">
        <x:v>70.96885475158692</x:v>
      </x:c>
      <x:c r="CJ57" s="60" t="n">
        <x:v>71.13097610473633</x:v>
      </x:c>
      <x:c r="CK57" s="60" t="n">
        <x:v>71.2866796875</x:v>
      </x:c>
      <x:c r="CL57" s="60" t="n">
        <x:v>71.45283447265625</x:v>
      </x:c>
      <x:c r="CM57" s="60" t="n">
        <x:v>71.6172378540039</x:v>
      </x:c>
      <x:c r="CN57" s="60" t="n">
        <x:v>71.80391098022461</x:v>
      </x:c>
      <x:c r="CO57" s="60" t="n">
        <x:v>71.98142822265625</x:v>
      </x:c>
      <x:c r="CP57" s="60" t="n">
        <x:v>72.16439575195312</x:v>
      </x:c>
      <x:c r="CQ57" s="60" t="n">
        <x:v>72.35880409240723</x:v>
      </x:c>
      <x:c r="CR57" s="60" t="n">
        <x:v>72.56676330566407</x:v>
      </x:c>
      <x:c r="CS57" s="60" t="n">
        <x:v>72.76420654296875</x:v>
      </x:c>
      <x:c r="CT57" s="60" t="n">
        <x:v>72.99884216308594</x:v>
      </x:c>
      <x:c r="CU57" s="60" t="n">
        <x:v>73.23893104553223</x:v>
      </x:c>
      <x:c r="CV57" s="60" t="n">
        <x:v>73.49573135375977</x:v>
      </x:c>
      <x:c r="CW57" s="60" t="n">
        <x:v>73.75423469543458</x:v>
      </x:c>
      <x:c r="CX57" s="60" t="n">
        <x:v>74.08747863769531</x:v>
      </x:c>
      <x:c r="CY57" s="60" t="n">
        <x:v>74.42113189697265</x:v>
      </x:c>
      <x:c r="CZ57" s="60" t="n">
        <x:v>74.89065994262695</x:v>
      </x:c>
      <x:c r="DA57" s="60" t="n">
        <x:v>75.59499069213867</x:v>
      </x:c>
      <x:c r="DB57" s="60" t="n">
        <x:v>77.84446716308594</x:v>
      </x:c>
    </x:row>
    <x:row r="58">
      <x:c r="A58" t="str">
        <x:v>タイレーツ-2</x:v>
      </x:c>
      <x:c r="B58" t="str">
        <x:v>タイレーツ</x:v>
      </x:c>
      <x:c r="C58" t="str">
        <x:v>ふくろだたき</x:v>
      </x:c>
      <x:c r="D58" s="60" t="n">
        <x:v>64.97743225097656</x:v>
      </x:c>
      <x:c r="E58" s="60" t="n">
        <x:v>9.576637268066406</x:v>
      </x:c>
      <x:c r="F58" s="60" t="n">
        <x:v>31.816295623779297</x:v>
      </x:c>
      <x:c r="G58" s="60" t="n">
        <x:v>40.69466312408447</x:v>
      </x:c>
      <x:c r="H58" s="60" t="n">
        <x:v>43.531229171752926</x:v>
      </x:c>
      <x:c r="I58" s="60" t="n">
        <x:v>45.13476112365723</x:v>
      </x:c>
      <x:c r="J58" s="60" t="n">
        <x:v>46.55468811035156</x:v>
      </x:c>
      <x:c r="K58" s="60" t="n">
        <x:v>47.739019775390624</x:v>
      </x:c>
      <x:c r="L58" s="60" t="n">
        <x:v>48.82029594421387</x:v>
      </x:c>
      <x:c r="M58" s="60" t="n">
        <x:v>49.62308765411377</x:v>
      </x:c>
      <x:c r="N58" s="60" t="n">
        <x:v>50.44394515991211</x:v>
      </x:c>
      <x:c r="O58" s="60" t="n">
        <x:v>51.19247734069824</x:v>
      </x:c>
      <x:c r="P58" s="60" t="n">
        <x:v>51.89672164916992</x:v>
      </x:c>
      <x:c r="Q58" s="60" t="n">
        <x:v>52.449547996521</x:v>
      </x:c>
      <x:c r="R58" s="60" t="n">
        <x:v>52.97239593505859</x:v>
      </x:c>
      <x:c r="S58" s="60" t="n">
        <x:v>53.50446979522705</x:v>
      </x:c>
      <x:c r="T58" s="60" t="n">
        <x:v>54.02208709716797</x:v>
      </x:c>
      <x:c r="U58" s="60" t="n">
        <x:v>54.52990798950195</x:v>
      </x:c>
      <x:c r="V58" s="60" t="n">
        <x:v>55.02242813110352</x:v>
      </x:c>
      <x:c r="W58" s="60" t="n">
        <x:v>55.45712871551514</x:v>
      </x:c>
      <x:c r="X58" s="60" t="n">
        <x:v>55.9007576751709</x:v>
      </x:c>
      <x:c r="Y58" s="60" t="n">
        <x:v>56.31525375366211</x:v>
      </x:c>
      <x:c r="Z58" s="60" t="n">
        <x:v>56.723062896728514</x:v>
      </x:c>
      <x:c r="AA58" s="60" t="n">
        <x:v>57.0841024017334</x:v>
      </x:c>
      <x:c r="AB58" s="60" t="n">
        <x:v>57.44912353515625</x:v>
      </x:c>
      <x:c r="AC58" s="60" t="n">
        <x:v>57.856783905029296</x:v>
      </x:c>
      <x:c r="AD58" s="60" t="n">
        <x:v>58.25444351196289</x:v>
      </x:c>
      <x:c r="AE58" s="60" t="n">
        <x:v>58.58272075653076</x:v>
      </x:c>
      <x:c r="AF58" s="60" t="n">
        <x:v>58.918656463623044</x:v>
      </x:c>
      <x:c r="AG58" s="60" t="n">
        <x:v>59.265316009521484</x:v>
      </x:c>
      <x:c r="AH58" s="60" t="n">
        <x:v>59.573560638427736</x:v>
      </x:c>
      <x:c r="AI58" s="60" t="n">
        <x:v>59.91076526641846</x:v>
      </x:c>
      <x:c r="AJ58" s="60" t="n">
        <x:v>60.218549728393555</x:v>
      </x:c>
      <x:c r="AK58" s="60" t="n">
        <x:v>60.58650337219238</x:v>
      </x:c>
      <x:c r="AL58" s="60" t="n">
        <x:v>60.91450958251953</x:v>
      </x:c>
      <x:c r="AM58" s="60" t="n">
        <x:v>61.20784564971924</x:v>
      </x:c>
      <x:c r="AN58" s="60" t="n">
        <x:v>61.51569892883301</x:v>
      </x:c>
      <x:c r="AO58" s="60" t="n">
        <x:v>61.83456993103027</x:v>
      </x:c>
      <x:c r="AP58" s="60" t="n">
        <x:v>62.122911834716795</x:v>
      </x:c>
      <x:c r="AQ58" s="60" t="n">
        <x:v>62.4046936416626</x:v>
      </x:c>
      <x:c r="AR58" s="60" t="n">
        <x:v>62.68267799377441</x:v>
      </x:c>
      <x:c r="AS58" s="60" t="n">
        <x:v>62.94151000976563</x:v>
      </x:c>
      <x:c r="AT58" s="60" t="n">
        <x:v>63.220856475830075</x:v>
      </x:c>
      <x:c r="AU58" s="60" t="n">
        <x:v>63.459803123474124</x:v>
      </x:c>
      <x:c r="AV58" s="60" t="n">
        <x:v>63.75221343994141</x:v>
      </x:c>
      <x:c r="AW58" s="60" t="n">
        <x:v>63.99942867279053</x:v>
      </x:c>
      <x:c r="AX58" s="60" t="n">
        <x:v>64.26728912353515</x:v>
      </x:c>
      <x:c r="AY58" s="60" t="n">
        <x:v>64.56679420471191</x:v>
      </x:c>
      <x:c r="AZ58" s="60" t="n">
        <x:v>64.84829788208008</x:v>
      </x:c>
      <x:c r="BA58" s="60" t="n">
        <x:v>65.13050819396973</x:v>
      </x:c>
      <x:c r="BB58" s="60" t="n">
        <x:v>65.3897265625</x:v>
      </x:c>
      <x:c r="BC58" s="60" t="n">
        <x:v>65.62900009155274</x:v>
      </x:c>
      <x:c r="BD58" s="60" t="n">
        <x:v>65.90006256103516</x:v>
      </x:c>
      <x:c r="BE58" s="60" t="n">
        <x:v>66.14462005615235</x:v>
      </x:c>
      <x:c r="BF58" s="60" t="n">
        <x:v>66.40322021484376</x:v>
      </x:c>
      <x:c r="BG58" s="60" t="n">
        <x:v>66.6360474395752</x:v>
      </x:c>
      <x:c r="BH58" s="60" t="n">
        <x:v>66.88237442016602</x:v>
      </x:c>
      <x:c r="BI58" s="60" t="n">
        <x:v>67.15692672729492</x:v>
      </x:c>
      <x:c r="BJ58" s="60" t="n">
        <x:v>67.39067596435547</x:v>
      </x:c>
      <x:c r="BK58" s="60" t="n">
        <x:v>67.61489219665528</x:v>
      </x:c>
      <x:c r="BL58" s="60" t="n">
        <x:v>67.87072845458984</x:v>
      </x:c>
      <x:c r="BM58" s="60" t="n">
        <x:v>68.1488858795166</x:v>
      </x:c>
      <x:c r="BN58" s="60" t="n">
        <x:v>68.4183563232422</x:v>
      </x:c>
      <x:c r="BO58" s="60" t="n">
        <x:v>68.67993751525879</x:v>
      </x:c>
      <x:c r="BP58" s="60" t="n">
        <x:v>68.91068893432617</x:v>
      </x:c>
      <x:c r="BQ58" s="60" t="n">
        <x:v>69.16212142944336</x:v>
      </x:c>
      <x:c r="BR58" s="60" t="n">
        <x:v>69.44953430175781</x:v>
      </x:c>
      <x:c r="BS58" s="60" t="n">
        <x:v>69.69062423706055</x:v>
      </x:c>
      <x:c r="BT58" s="60" t="n">
        <x:v>69.90080093383789</x:v>
      </x:c>
      <x:c r="BU58" s="60" t="n">
        <x:v>70.16163887023926</x:v>
      </x:c>
      <x:c r="BV58" s="60" t="n">
        <x:v>70.40420074462891</x:v>
      </x:c>
      <x:c r="BW58" s="60" t="n">
        <x:v>70.65464149475098</x:v>
      </x:c>
      <x:c r="BX58" s="60" t="n">
        <x:v>70.91601638793945</x:v>
      </x:c>
      <x:c r="BY58" s="60" t="n">
        <x:v>71.1668480682373</x:v>
      </x:c>
      <x:c r="BZ58" s="60" t="n">
        <x:v>71.40364074707031</x:v>
      </x:c>
      <x:c r="CA58" s="60" t="n">
        <x:v>71.65816856384278</x:v>
      </x:c>
      <x:c r="CB58" s="60" t="n">
        <x:v>71.9272671508789</x:v>
      </x:c>
      <x:c r="CC58" s="60" t="n">
        <x:v>72.20303535461426</x:v>
      </x:c>
      <x:c r="CD58" s="60" t="n">
        <x:v>72.46876831054688</x:v>
      </x:c>
      <x:c r="CE58" s="60" t="n">
        <x:v>72.74958129882812</x:v>
      </x:c>
      <x:c r="CF58" s="60" t="n">
        <x:v>72.99817596435547</x:v>
      </x:c>
      <x:c r="CG58" s="60" t="n">
        <x:v>73.26530265808105</x:v>
      </x:c>
      <x:c r="CH58" s="60" t="n">
        <x:v>73.54644470214843</x:v>
      </x:c>
      <x:c r="CI58" s="60" t="n">
        <x:v>73.84239692687989</x:v>
      </x:c>
      <x:c r="CJ58" s="60" t="n">
        <x:v>74.12411285400391</x:v>
      </x:c>
      <x:c r="CK58" s="60" t="n">
        <x:v>74.3824144744873</x:v>
      </x:c>
      <x:c r="CL58" s="60" t="n">
        <x:v>74.6863589477539</x:v>
      </x:c>
      <x:c r="CM58" s="60" t="n">
        <x:v>74.98692207336425</x:v>
      </x:c>
      <x:c r="CN58" s="60" t="n">
        <x:v>75.28637756347656</x:v>
      </x:c>
      <x:c r="CO58" s="60" t="n">
        <x:v>75.65029357910156</x:v>
      </x:c>
      <x:c r="CP58" s="60" t="n">
        <x:v>76.02583343505859</x:v>
      </x:c>
      <x:c r="CQ58" s="60" t="n">
        <x:v>76.45743614196778</x:v>
      </x:c>
      <x:c r="CR58" s="60" t="n">
        <x:v>76.80045089721679</x:v>
      </x:c>
      <x:c r="CS58" s="60" t="n">
        <x:v>77.21731071472168</x:v>
      </x:c>
      <x:c r="CT58" s="60" t="n">
        <x:v>77.71145233154297</x:v>
      </x:c>
      <x:c r="CU58" s="60" t="n">
        <x:v>78.18831039428711</x:v>
      </x:c>
      <x:c r="CV58" s="60" t="n">
        <x:v>78.66620178222657</x:v>
      </x:c>
      <x:c r="CW58" s="60" t="n">
        <x:v>79.16228256225587</x:v>
      </x:c>
      <x:c r="CX58" s="60" t="n">
        <x:v>79.71835479736328</x:v>
      </x:c>
      <x:c r="CY58" s="60" t="n">
        <x:v>80.54778663635254</x:v>
      </x:c>
      <x:c r="CZ58" s="60" t="n">
        <x:v>81.36176727294922</x:v>
      </x:c>
      <x:c r="DA58" s="60" t="n">
        <x:v>82.51344451904296</x:v>
      </x:c>
      <x:c r="DB58" s="60" t="n">
        <x:v>87.35256958007812</x:v>
      </x:c>
    </x:row>
    <x:row r="59">
      <x:c r="A59" t="str">
        <x:v>ダダリン-1</x:v>
      </x:c>
      <x:c r="B59" t="str">
        <x:v>ダダリン</x:v>
      </x:c>
      <x:c r="C59" t="str">
        <x:v>共通</x:v>
      </x:c>
      <x:c r="D59" s="60" t="n">
        <x:v>65.5092544555664</x:v>
      </x:c>
      <x:c r="E59" s="60" t="n">
        <x:v>4.216300964355469</x:v>
      </x:c>
      <x:c r="F59" s="60" t="n">
        <x:v>45.96895980834961</x:v>
      </x:c>
      <x:c r="G59" s="60" t="n">
        <x:v>54.520483589172365</x:v>
      </x:c>
      <x:c r="H59" s="60" t="n">
        <x:v>55.88289451599121</x:v>
      </x:c>
      <x:c r="I59" s="60" t="n">
        <x:v>56.76969963073731</x:v>
      </x:c>
      <x:c r="J59" s="60" t="n">
        <x:v>57.41356170654297</x:v>
      </x:c>
      <x:c r="K59" s="60" t="n">
        <x:v>57.944190406799315</x:v>
      </x:c>
      <x:c r="L59" s="60" t="n">
        <x:v>58.41983985900879</x:v>
      </x:c>
      <x:c r="M59" s="60" t="n">
        <x:v>58.82825172424317</x:v>
      </x:c>
      <x:c r="N59" s="60" t="n">
        <x:v>59.17404815673828</x:v>
      </x:c>
      <x:c r="O59" s="60" t="n">
        <x:v>59.48647201538086</x:v>
      </x:c>
      <x:c r="P59" s="60" t="n">
        <x:v>59.7725284576416</x:v>
      </x:c>
      <x:c r="Q59" s="60" t="n">
        <x:v>60.068743782043455</x:v>
      </x:c>
      <x:c r="R59" s="60" t="n">
        <x:v>60.32972869873047</x:v>
      </x:c>
      <x:c r="S59" s="60" t="n">
        <x:v>60.56641750335693</x:v>
      </x:c>
      <x:c r="T59" s="60" t="n">
        <x:v>60.81200386047363</x:v>
      </x:c>
      <x:c r="U59" s="60" t="n">
        <x:v>61.03627643585205</x:v>
      </x:c>
      <x:c r="V59" s="60" t="n">
        <x:v>61.227787017822266</x:v>
      </x:c>
      <x:c r="W59" s="60" t="n">
        <x:v>61.4236926651001</x:v>
      </x:c>
      <x:c r="X59" s="60" t="n">
        <x:v>61.63103515625</x:v>
      </x:c>
      <x:c r="Y59" s="60" t="n">
        <x:v>61.83652141571045</x:v>
      </x:c>
      <x:c r="Z59" s="60" t="n">
        <x:v>62.014349365234374</x:v>
      </x:c>
      <x:c r="AA59" s="60" t="n">
        <x:v>62.19232692718506</x:v>
      </x:c>
      <x:c r="AB59" s="60" t="n">
        <x:v>62.359415740966796</x:v>
      </x:c>
      <x:c r="AC59" s="60" t="n">
        <x:v>62.52554916381836</x:v>
      </x:c>
      <x:c r="AD59" s="60" t="n">
        <x:v>62.66961441040039</x:v>
      </x:c>
      <x:c r="AE59" s="60" t="n">
        <x:v>62.83306121826172</x:v>
      </x:c>
      <x:c r="AF59" s="60" t="n">
        <x:v>62.9757234954834</x:v>
      </x:c>
      <x:c r="AG59" s="60" t="n">
        <x:v>63.12177715301514</x:v>
      </x:c>
      <x:c r="AH59" s="60" t="n">
        <x:v>63.269060668945315</x:v>
      </x:c>
      <x:c r="AI59" s="60" t="n">
        <x:v>63.39789051055908</x:v>
      </x:c>
      <x:c r="AJ59" s="60" t="n">
        <x:v>63.53869552612305</x:v>
      </x:c>
      <x:c r="AK59" s="60" t="n">
        <x:v>63.6698021697998</x:v>
      </x:c>
      <x:c r="AL59" s="60" t="n">
        <x:v>63.805289611816406</x:v>
      </x:c>
      <x:c r="AM59" s="60" t="n">
        <x:v>63.94291538238525</x:v>
      </x:c>
      <x:c r="AN59" s="60" t="n">
        <x:v>64.05778121948242</x:v>
      </x:c>
      <x:c r="AO59" s="60" t="n">
        <x:v>64.17963981628418</x:v>
      </x:c>
      <x:c r="AP59" s="60" t="n">
        <x:v>64.287158203125</x:v>
      </x:c>
      <x:c r="AQ59" s="60" t="n">
        <x:v>64.40718048095704</x:v>
      </x:c>
      <x:c r="AR59" s="60" t="n">
        <x:v>64.53596664428711</x:v>
      </x:c>
      <x:c r="AS59" s="60" t="n">
        <x:v>64.66546051025391</x:v>
      </x:c>
      <x:c r="AT59" s="60" t="n">
        <x:v>64.78814239501953</x:v>
      </x:c>
      <x:c r="AU59" s="60" t="n">
        <x:v>64.89213455200195</x:v>
      </x:c>
      <x:c r="AV59" s="60" t="n">
        <x:v>65.00741485595704</x:v>
      </x:c>
      <x:c r="AW59" s="60" t="n">
        <x:v>65.12979309082031</x:v>
      </x:c>
      <x:c r="AX59" s="60" t="n">
        <x:v>65.24895233154297</x:v>
      </x:c>
      <x:c r="AY59" s="60" t="n">
        <x:v>65.36905136108399</x:v>
      </x:c>
      <x:c r="AZ59" s="60" t="n">
        <x:v>65.4763557434082</x:v>
      </x:c>
      <x:c r="BA59" s="60" t="n">
        <x:v>65.58070106506348</x:v>
      </x:c>
      <x:c r="BB59" s="60" t="n">
        <x:v>65.67838775634766</x:v>
      </x:c>
      <x:c r="BC59" s="60" t="n">
        <x:v>65.7977619934082</x:v>
      </x:c>
      <x:c r="BD59" s="60" t="n">
        <x:v>65.89346313476562</x:v>
      </x:c>
      <x:c r="BE59" s="60" t="n">
        <x:v>66.01502639770507</x:v>
      </x:c>
      <x:c r="BF59" s="60" t="n">
        <x:v>66.12495819091797</x:v>
      </x:c>
      <x:c r="BG59" s="60" t="n">
        <x:v>66.2364266204834</x:v>
      </x:c>
      <x:c r="BH59" s="60" t="n">
        <x:v>66.33966400146484</x:v>
      </x:c>
      <x:c r="BI59" s="60" t="n">
        <x:v>66.45188064575196</x:v>
      </x:c>
      <x:c r="BJ59" s="60" t="n">
        <x:v>66.55438873291016</x:v>
      </x:c>
      <x:c r="BK59" s="60" t="n">
        <x:v>66.65441032409669</x:v>
      </x:c>
      <x:c r="BL59" s="60" t="n">
        <x:v>66.75054122924804</x:v>
      </x:c>
      <x:c r="BM59" s="60" t="n">
        <x:v>66.85445198059082</x:v>
      </x:c>
      <x:c r="BN59" s="60" t="n">
        <x:v>66.94603271484375</x:v>
      </x:c>
      <x:c r="BO59" s="60" t="n">
        <x:v>67.04683586120605</x:v>
      </x:c>
      <x:c r="BP59" s="60" t="n">
        <x:v>67.1459893798828</x:v>
      </x:c>
      <x:c r="BQ59" s="60" t="n">
        <x:v>67.24855690002441</x:v>
      </x:c>
      <x:c r="BR59" s="60" t="n">
        <x:v>67.34094421386719</x:v>
      </x:c>
      <x:c r="BS59" s="60" t="n">
        <x:v>67.44187698364257</x:v>
      </x:c>
      <x:c r="BT59" s="60" t="n">
        <x:v>67.54486541748047</x:v>
      </x:c>
      <x:c r="BU59" s="60" t="n">
        <x:v>67.6561964416504</x:v>
      </x:c>
      <x:c r="BV59" s="60" t="n">
        <x:v>67.75907226562501</x:v>
      </x:c>
      <x:c r="BW59" s="60" t="n">
        <x:v>67.87209075927734</x:v>
      </x:c>
      <x:c r="BX59" s="60" t="n">
        <x:v>68.00006637573242</x:v>
      </x:c>
      <x:c r="BY59" s="60" t="n">
        <x:v>68.12266227722168</x:v>
      </x:c>
      <x:c r="BZ59" s="60" t="n">
        <x:v>68.2482064819336</x:v>
      </x:c>
      <x:c r="CA59" s="60" t="n">
        <x:v>68.35813659667969</x:v>
      </x:c>
      <x:c r="CB59" s="60" t="n">
        <x:v>68.47259185791016</x:v>
      </x:c>
      <x:c r="CC59" s="60" t="n">
        <x:v>68.58441543579102</x:v>
      </x:c>
      <x:c r="CD59" s="60" t="n">
        <x:v>68.70693969726562</x:v>
      </x:c>
      <x:c r="CE59" s="60" t="n">
        <x:v>68.84933235168457</x:v>
      </x:c>
      <x:c r="CF59" s="60" t="n">
        <x:v>68.96725234985351</x:v>
      </x:c>
      <x:c r="CG59" s="60" t="n">
        <x:v>69.10233070373535</x:v>
      </x:c>
      <x:c r="CH59" s="60" t="n">
        <x:v>69.23400268554687</x:v>
      </x:c>
      <x:c r="CI59" s="60" t="n">
        <x:v>69.34687538146973</x:v>
      </x:c>
      <x:c r="CJ59" s="60" t="n">
        <x:v>69.47735305786132</x:v>
      </x:c>
      <x:c r="CK59" s="60" t="n">
        <x:v>69.61222717285156</x:v>
      </x:c>
      <x:c r="CL59" s="60" t="n">
        <x:v>69.74878265380859</x:v>
      </x:c>
      <x:c r="CM59" s="60" t="n">
        <x:v>69.89700813293457</x:v>
      </x:c>
      <x:c r="CN59" s="60" t="n">
        <x:v>70.03949172973633</x:v>
      </x:c>
      <x:c r="CO59" s="60" t="n">
        <x:v>70.17685707092285</x:v>
      </x:c>
      <x:c r="CP59" s="60" t="n">
        <x:v>70.34540802001953</x:v>
      </x:c>
      <x:c r="CQ59" s="60" t="n">
        <x:v>70.49309608459473</x:v>
      </x:c>
      <x:c r="CR59" s="60" t="n">
        <x:v>70.65195999145507</x:v>
      </x:c>
      <x:c r="CS59" s="60" t="n">
        <x:v>70.85527687072754</x:v>
      </x:c>
      <x:c r="CT59" s="60" t="n">
        <x:v>71.04885284423828</x:v>
      </x:c>
      <x:c r="CU59" s="60" t="n">
        <x:v>71.26200889587402</x:v>
      </x:c>
      <x:c r="CV59" s="60" t="n">
        <x:v>71.4958888244629</x:v>
      </x:c>
      <x:c r="CW59" s="60" t="n">
        <x:v>71.77811164855957</x:v>
      </x:c>
      <x:c r="CX59" s="60" t="n">
        <x:v>72.07170196533204</x:v>
      </x:c>
      <x:c r="CY59" s="60" t="n">
        <x:v>72.41347946166992</x:v>
      </x:c>
      <x:c r="CZ59" s="60" t="n">
        <x:v>72.84045852661133</x:v>
      </x:c>
      <x:c r="DA59" s="60" t="n">
        <x:v>73.434259185791</x:v>
      </x:c>
      <x:c r="DB59" s="60" t="n">
        <x:v>76.19071197509766</x:v>
      </x:c>
    </x:row>
    <x:row r="60">
      <x:c r="A60" t="str">
        <x:v>デカヌチャン-1</x:v>
      </x:c>
      <x:c r="B60" t="str">
        <x:v>デカヌチャン</x:v>
      </x:c>
      <x:c r="C60" t="str">
        <x:v>共通</x:v>
      </x:c>
      <x:c r="D60" s="60" t="n">
        <x:v>65.36567687988281</x:v>
      </x:c>
      <x:c r="E60" s="60" t="n">
        <x:v>5.766786575317383</x:v>
      </x:c>
      <x:c r="F60" s="60" t="n">
        <x:v>42.965309143066406</x:v>
      </x:c>
      <x:c r="G60" s="60" t="n">
        <x:v>49.42651809692383</x:v>
      </x:c>
      <x:c r="H60" s="60" t="n">
        <x:v>51.22058387756348</x:v>
      </x:c>
      <x:c r="I60" s="60" t="n">
        <x:v>52.60257339477539</x:v>
      </x:c>
      <x:c r="J60" s="60" t="n">
        <x:v>53.71699310302734</x:v>
      </x:c>
      <x:c r="K60" s="60" t="n">
        <x:v>54.57390880584717</x:v>
      </x:c>
      <x:c r="L60" s="60" t="n">
        <x:v>55.23662063598633</x:v>
      </x:c>
      <x:c r="M60" s="60" t="n">
        <x:v>55.82951965332031</x:v>
      </x:c>
      <x:c r="N60" s="60" t="n">
        <x:v>56.311983337402346</x:v>
      </x:c>
      <x:c r="O60" s="60" t="n">
        <x:v>56.831902961730954</x:v>
      </x:c>
      <x:c r="P60" s="60" t="n">
        <x:v>57.268706512451175</x:v>
      </x:c>
      <x:c r="Q60" s="60" t="n">
        <x:v>57.64788681030274</x:v>
      </x:c>
      <x:c r="R60" s="60" t="n">
        <x:v>58.06977569580078</x:v>
      </x:c>
      <x:c r="S60" s="60" t="n">
        <x:v>58.465875244140626</x:v>
      </x:c>
      <x:c r="T60" s="60" t="n">
        <x:v>58.82821823120117</x:v>
      </x:c>
      <x:c r="U60" s="60" t="n">
        <x:v>59.15602836608887</x:v>
      </x:c>
      <x:c r="V60" s="60" t="n">
        <x:v>59.48233276367188</x:v>
      </x:c>
      <x:c r="W60" s="60" t="n">
        <x:v>59.75784603118897</x:v>
      </x:c>
      <x:c r="X60" s="60" t="n">
        <x:v>60.08082885742188</x:v>
      </x:c>
      <x:c r="Y60" s="60" t="n">
        <x:v>60.373010902404786</x:v>
      </x:c>
      <x:c r="Z60" s="60" t="n">
        <x:v>60.59374771118164</x:v>
      </x:c>
      <x:c r="AA60" s="60" t="n">
        <x:v>60.85949794769287</x:v>
      </x:c>
      <x:c r="AB60" s="60" t="n">
        <x:v>61.10186180114746</x:v>
      </x:c>
      <x:c r="AC60" s="60" t="n">
        <x:v>61.367391471862796</x:v>
      </x:c>
      <x:c r="AD60" s="60" t="n">
        <x:v>61.61505065917969</x:v>
      </x:c>
      <x:c r="AE60" s="60" t="n">
        <x:v>61.834574699401855</x:v>
      </x:c>
      <x:c r="AF60" s="60" t="n">
        <x:v>62.06204467773438</x:v>
      </x:c>
      <x:c r="AG60" s="60" t="n">
        <x:v>62.27615524291992</x:v>
      </x:c>
      <x:c r="AH60" s="60" t="n">
        <x:v>62.47073959350586</x:v>
      </x:c>
      <x:c r="AI60" s="60" t="n">
        <x:v>62.67355617523194</x:v>
      </x:c>
      <x:c r="AJ60" s="60" t="n">
        <x:v>62.88149871826172</x:v>
      </x:c>
      <x:c r="AK60" s="60" t="n">
        <x:v>63.08637489318848</x:v>
      </x:c>
      <x:c r="AL60" s="60" t="n">
        <x:v>63.27193161010742</x:v>
      </x:c>
      <x:c r="AM60" s="60" t="n">
        <x:v>63.475411338806154</x:v>
      </x:c>
      <x:c r="AN60" s="60" t="n">
        <x:v>63.64071159362793</x:v>
      </x:c>
      <x:c r="AO60" s="60" t="n">
        <x:v>63.81173820495606</x:v>
      </x:c>
      <x:c r="AP60" s="60" t="n">
        <x:v>63.99622329711914</x:v>
      </x:c>
      <x:c r="AQ60" s="60" t="n">
        <x:v>64.14560455322265</x:v>
      </x:c>
      <x:c r="AR60" s="60" t="n">
        <x:v>64.307265625</x:v>
      </x:c>
      <x:c r="AS60" s="60" t="n">
        <x:v>64.48452964782715</x:v>
      </x:c>
      <x:c r="AT60" s="60" t="n">
        <x:v>64.66797943115235</x:v>
      </x:c>
      <x:c r="AU60" s="60" t="n">
        <x:v>64.8340592956543</x:v>
      </x:c>
      <x:c r="AV60" s="60" t="n">
        <x:v>65.00826278686523</x:v>
      </x:c>
      <x:c r="AW60" s="60" t="n">
        <x:v>65.18334465026855</x:v>
      </x:c>
      <x:c r="AX60" s="60" t="n">
        <x:v>65.33762908935547</x:v>
      </x:c>
      <x:c r="AY60" s="60" t="n">
        <x:v>65.49633483886718</x:v>
      </x:c>
      <x:c r="AZ60" s="60" t="n">
        <x:v>65.66602691650391</x:v>
      </x:c>
      <x:c r="BA60" s="60" t="n">
        <x:v>65.81442893981934</x:v>
      </x:c>
      <x:c r="BB60" s="60" t="n">
        <x:v>65.98605773925782</x:v>
      </x:c>
      <x:c r="BC60" s="60" t="n">
        <x:v>66.13691871643067</x:v>
      </x:c>
      <x:c r="BD60" s="60" t="n">
        <x:v>66.30038452148438</x:v>
      </x:c>
      <x:c r="BE60" s="60" t="n">
        <x:v>66.43781883239745</x:v>
      </x:c>
      <x:c r="BF60" s="60" t="n">
        <x:v>66.59290130615234</x:v>
      </x:c>
      <x:c r="BG60" s="60" t="n">
        <x:v>66.73318389892579</x:v>
      </x:c>
      <x:c r="BH60" s="60" t="n">
        <x:v>66.84601638793946</x:v>
      </x:c>
      <x:c r="BI60" s="60" t="n">
        <x:v>66.9945858001709</x:v>
      </x:c>
      <x:c r="BJ60" s="60" t="n">
        <x:v>67.1304296875</x:v>
      </x:c>
      <x:c r="BK60" s="60" t="n">
        <x:v>67.27102737426758</x:v>
      </x:c>
      <x:c r="BL60" s="60" t="n">
        <x:v>67.43446685791015</x:v>
      </x:c>
      <x:c r="BM60" s="60" t="n">
        <x:v>67.57873977661133</x:v>
      </x:c>
      <x:c r="BN60" s="60" t="n">
        <x:v>67.71307373046875</x:v>
      </x:c>
      <x:c r="BO60" s="60" t="n">
        <x:v>67.84409820556641</x:v>
      </x:c>
      <x:c r="BP60" s="60" t="n">
        <x:v>67.98249526977538</x:v>
      </x:c>
      <x:c r="BQ60" s="60" t="n">
        <x:v>68.10463668823242</x:v>
      </x:c>
      <x:c r="BR60" s="60" t="n">
        <x:v>68.22943420410157</x:v>
      </x:c>
      <x:c r="BS60" s="60" t="n">
        <x:v>68.37310562133788</x:v>
      </x:c>
      <x:c r="BT60" s="60" t="n">
        <x:v>68.5190414428711</x:v>
      </x:c>
      <x:c r="BU60" s="60" t="n">
        <x:v>68.65120300292969</x:v>
      </x:c>
      <x:c r="BV60" s="60" t="n">
        <x:v>68.77732421875</x:v>
      </x:c>
      <x:c r="BW60" s="60" t="n">
        <x:v>68.89698661804199</x:v>
      </x:c>
      <x:c r="BX60" s="60" t="n">
        <x:v>69.02820281982422</x:v>
      </x:c>
      <x:c r="BY60" s="60" t="n">
        <x:v>69.1552025604248</x:v>
      </x:c>
      <x:c r="BZ60" s="60" t="n">
        <x:v>69.30977508544922</x:v>
      </x:c>
      <x:c r="CA60" s="60" t="n">
        <x:v>69.43154426574706</x:v>
      </x:c>
      <x:c r="CB60" s="60" t="n">
        <x:v>69.55061859130859</x:v>
      </x:c>
      <x:c r="CC60" s="60" t="n">
        <x:v>69.69611358642578</x:v>
      </x:c>
      <x:c r="CD60" s="60" t="n">
        <x:v>69.82203826904296</x:v>
      </x:c>
      <x:c r="CE60" s="60" t="n">
        <x:v>69.97729522705077</x:v>
      </x:c>
      <x:c r="CF60" s="60" t="n">
        <x:v>70.131044921875</x:v>
      </x:c>
      <x:c r="CG60" s="60" t="n">
        <x:v>70.2870957183838</x:v>
      </x:c>
      <x:c r="CH60" s="60" t="n">
        <x:v>70.43798828125</x:v>
      </x:c>
      <x:c r="CI60" s="60" t="n">
        <x:v>70.58590675354004</x:v>
      </x:c>
      <x:c r="CJ60" s="60" t="n">
        <x:v>70.73127975463868</x:v>
      </x:c>
      <x:c r="CK60" s="60" t="n">
        <x:v>70.8885108947754</x:v>
      </x:c>
      <x:c r="CL60" s="60" t="n">
        <x:v>71.02879699707032</x:v>
      </x:c>
      <x:c r="CM60" s="60" t="n">
        <x:v>71.17653579711914</x:v>
      </x:c>
      <x:c r="CN60" s="60" t="n">
        <x:v>71.32707656860352</x:v>
      </x:c>
      <x:c r="CO60" s="60" t="n">
        <x:v>71.51094230651856</x:v>
      </x:c>
      <x:c r="CP60" s="60" t="n">
        <x:v>71.70078491210937</x:v>
      </x:c>
      <x:c r="CQ60" s="60" t="n">
        <x:v>71.89278594970703</x:v>
      </x:c>
      <x:c r="CR60" s="60" t="n">
        <x:v>72.08778839111328</x:v>
      </x:c>
      <x:c r="CS60" s="60" t="n">
        <x:v>72.28448783874512</x:v>
      </x:c>
      <x:c r="CT60" s="60" t="n">
        <x:v>72.49295074462891</x:v>
      </x:c>
      <x:c r="CU60" s="60" t="n">
        <x:v>72.71661407470702</x:v>
      </x:c>
      <x:c r="CV60" s="60" t="n">
        <x:v>72.96550994873047</x:v>
      </x:c>
      <x:c r="CW60" s="60" t="n">
        <x:v>73.2487144470215</x:v>
      </x:c>
      <x:c r="CX60" s="60" t="n">
        <x:v>73.55002136230469</x:v>
      </x:c>
      <x:c r="CY60" s="60" t="n">
        <x:v>73.89057243347168</x:v>
      </x:c>
      <x:c r="CZ60" s="60" t="n">
        <x:v>74.34193710327149</x:v>
      </x:c>
      <x:c r="DA60" s="60" t="n">
        <x:v>74.95595222473145</x:v>
      </x:c>
      <x:c r="DB60" s="60" t="n">
        <x:v>77.41024780273438</x:v>
      </x:c>
    </x:row>
    <x:row r="61">
      <x:c r="A61" t="str">
        <x:v>ネギガナイト-1</x:v>
      </x:c>
      <x:c r="B61" t="str">
        <x:v>ネギガナイト</x:v>
      </x:c>
      <x:c r="C61" t="str">
        <x:v>共通</x:v>
      </x:c>
      <x:c r="D61" s="60" t="n">
        <x:v>64.40654754638672</x:v>
      </x:c>
      <x:c r="E61" s="60" t="n">
        <x:v>10.357385635375977</x:v>
      </x:c>
      <x:c r="F61" s="60" t="n">
        <x:v>29.601940155029297</x:v>
      </x:c>
      <x:c r="G61" s="60" t="n">
        <x:v>38.81701400756836</x:v>
      </x:c>
      <x:c r="H61" s="60" t="n">
        <x:v>41.66361114501953</x:v>
      </x:c>
      <x:c r="I61" s="60" t="n">
        <x:v>43.48340183258057</x:v>
      </x:c>
      <x:c r="J61" s="60" t="n">
        <x:v>44.99460037231445</x:v>
      </x:c>
      <x:c r="K61" s="60" t="n">
        <x:v>46.257274055480956</x:v>
      </x:c>
      <x:c r="L61" s="60" t="n">
        <x:v>47.193645324707035</x:v>
      </x:c>
      <x:c r="M61" s="60" t="n">
        <x:v>48.137115745544435</x:v>
      </x:c>
      <x:c r="N61" s="60" t="n">
        <x:v>48.921626586914066</x:v>
      </x:c>
      <x:c r="O61" s="60" t="n">
        <x:v>49.65624809265137</x:v>
      </x:c>
      <x:c r="P61" s="60" t="n">
        <x:v>50.35693893432617</x:v>
      </x:c>
      <x:c r="Q61" s="60" t="n">
        <x:v>50.99414291381836</x:v>
      </x:c>
      <x:c r="R61" s="60" t="n">
        <x:v>51.645399017333986</x:v>
      </x:c>
      <x:c r="S61" s="60" t="n">
        <x:v>52.18382396697998</x:v>
      </x:c>
      <x:c r="T61" s="60" t="n">
        <x:v>52.66465347290039</x:v>
      </x:c>
      <x:c r="U61" s="60" t="n">
        <x:v>53.19586544036865</x:v>
      </x:c>
      <x:c r="V61" s="60" t="n">
        <x:v>53.67566589355469</x:v>
      </x:c>
      <x:c r="W61" s="60" t="n">
        <x:v>54.11178081512451</x:v>
      </x:c>
      <x:c r="X61" s="60" t="n">
        <x:v>54.515513305664065</x:v>
      </x:c>
      <x:c r="Y61" s="60" t="n">
        <x:v>54.903989715576174</x:v>
      </x:c>
      <x:c r="Z61" s="60" t="n">
        <x:v>55.34189147949219</x:v>
      </x:c>
      <x:c r="AA61" s="60" t="n">
        <x:v>55.767931365966795</x:v>
      </x:c>
      <x:c r="AB61" s="60" t="n">
        <x:v>56.19946472167969</x:v>
      </x:c>
      <x:c r="AC61" s="60" t="n">
        <x:v>56.59905822753906</x:v>
      </x:c>
      <x:c r="AD61" s="60" t="n">
        <x:v>56.987833404541014</x:v>
      </x:c>
      <x:c r="AE61" s="60" t="n">
        <x:v>57.36426639556885</x:v>
      </x:c>
      <x:c r="AF61" s="60" t="n">
        <x:v>57.71968254089355</x:v>
      </x:c>
      <x:c r="AG61" s="60" t="n">
        <x:v>58.046246643066404</x:v>
      </x:c>
      <x:c r="AH61" s="60" t="n">
        <x:v>58.45269744873047</x:v>
      </x:c>
      <x:c r="AI61" s="60" t="n">
        <x:v>58.82401836395264</x:v>
      </x:c>
      <x:c r="AJ61" s="60" t="n">
        <x:v>59.12780838012695</x:v>
      </x:c>
      <x:c r="AK61" s="60" t="n">
        <x:v>59.52861515045166</x:v>
      </x:c>
      <x:c r="AL61" s="60" t="n">
        <x:v>59.85258224487305</x:v>
      </x:c>
      <x:c r="AM61" s="60" t="n">
        <x:v>60.178168869018556</x:v>
      </x:c>
      <x:c r="AN61" s="60" t="n">
        <x:v>60.46718299865723</x:v>
      </x:c>
      <x:c r="AO61" s="60" t="n">
        <x:v>60.766780662536625</x:v>
      </x:c>
      <x:c r="AP61" s="60" t="n">
        <x:v>61.10332550048828</x:v>
      </x:c>
      <x:c r="AQ61" s="60" t="n">
        <x:v>61.39775459289551</x:v>
      </x:c>
      <x:c r="AR61" s="60" t="n">
        <x:v>61.728753890991214</x:v>
      </x:c>
      <x:c r="AS61" s="60" t="n">
        <x:v>62.01450908660889</x:v>
      </x:c>
      <x:c r="AT61" s="60" t="n">
        <x:v>62.314326477050784</x:v>
      </x:c>
      <x:c r="AU61" s="60" t="n">
        <x:v>62.56833053588867</x:v>
      </x:c>
      <x:c r="AV61" s="60" t="n">
        <x:v>62.891090850830075</x:v>
      </x:c>
      <x:c r="AW61" s="60" t="n">
        <x:v>63.15880100250244</x:v>
      </x:c>
      <x:c r="AX61" s="60" t="n">
        <x:v>63.429769134521486</x:v>
      </x:c>
      <x:c r="AY61" s="60" t="n">
        <x:v>63.69946403503418</x:v>
      </x:c>
      <x:c r="AZ61" s="60" t="n">
        <x:v>64.01005859375</x:v>
      </x:c>
      <x:c r="BA61" s="60" t="n">
        <x:v>64.27350082397462</x:v>
      </x:c>
      <x:c r="BB61" s="60" t="n">
        <x:v>64.53576141357422</x:v>
      </x:c>
      <x:c r="BC61" s="60" t="n">
        <x:v>64.80105293273925</x:v>
      </x:c>
      <x:c r="BD61" s="60" t="n">
        <x:v>65.07779312133789</x:v>
      </x:c>
      <x:c r="BE61" s="60" t="n">
        <x:v>65.33552719116211</x:v>
      </x:c>
      <x:c r="BF61" s="60" t="n">
        <x:v>65.64323364257812</x:v>
      </x:c>
      <x:c r="BG61" s="60" t="n">
        <x:v>65.90070640563965</x:v>
      </x:c>
      <x:c r="BH61" s="60" t="n">
        <x:v>66.21562484741212</x:v>
      </x:c>
      <x:c r="BI61" s="60" t="n">
        <x:v>66.47888679504395</x:v>
      </x:c>
      <x:c r="BJ61" s="60" t="n">
        <x:v>66.76875152587891</x:v>
      </x:c>
      <x:c r="BK61" s="60" t="n">
        <x:v>67.06192581176758</x:v>
      </x:c>
      <x:c r="BL61" s="60" t="n">
        <x:v>67.34350830078125</x:v>
      </x:c>
      <x:c r="BM61" s="60" t="n">
        <x:v>67.60859832763671</x:v>
      </x:c>
      <x:c r="BN61" s="60" t="n">
        <x:v>67.91112060546875</x:v>
      </x:c>
      <x:c r="BO61" s="60" t="n">
        <x:v>68.18973861694336</x:v>
      </x:c>
      <x:c r="BP61" s="60" t="n">
        <x:v>68.44538162231446</x:v>
      </x:c>
      <x:c r="BQ61" s="60" t="n">
        <x:v>68.70043174743653</x:v>
      </x:c>
      <x:c r="BR61" s="60" t="n">
        <x:v>68.94059051513672</x:v>
      </x:c>
      <x:c r="BS61" s="60" t="n">
        <x:v>69.24634284973145</x:v>
      </x:c>
      <x:c r="BT61" s="60" t="n">
        <x:v>69.54919967651367</x:v>
      </x:c>
      <x:c r="BU61" s="60" t="n">
        <x:v>69.8124919128418</x:v>
      </x:c>
      <x:c r="BV61" s="60" t="n">
        <x:v>70.09235504150391</x:v>
      </x:c>
      <x:c r="BW61" s="60" t="n">
        <x:v>70.37740364074708</x:v>
      </x:c>
      <x:c r="BX61" s="60" t="n">
        <x:v>70.63882217407227</x:v>
      </x:c>
      <x:c r="BY61" s="60" t="n">
        <x:v>70.93970062255859</x:v>
      </x:c>
      <x:c r="BZ61" s="60" t="n">
        <x:v>71.25916900634766</x:v>
      </x:c>
      <x:c r="CA61" s="60" t="n">
        <x:v>71.54968650817871</x:v>
      </x:c>
      <x:c r="CB61" s="60" t="n">
        <x:v>71.80308715820313</x:v>
      </x:c>
      <x:c r="CC61" s="60" t="n">
        <x:v>72.13111114501953</x:v>
      </x:c>
      <x:c r="CD61" s="60" t="n">
        <x:v>72.40997039794922</x:v>
      </x:c>
      <x:c r="CE61" s="60" t="n">
        <x:v>72.75883010864257</x:v>
      </x:c>
      <x:c r="CF61" s="60" t="n">
        <x:v>73.03278198242188</x:v>
      </x:c>
      <x:c r="CG61" s="60" t="n">
        <x:v>73.37211395263672</x:v>
      </x:c>
      <x:c r="CH61" s="60" t="n">
        <x:v>73.67944641113282</x:v>
      </x:c>
      <x:c r="CI61" s="60" t="n">
        <x:v>73.9733911895752</x:v>
      </x:c>
      <x:c r="CJ61" s="60" t="n">
        <x:v>74.29856185913086</x:v>
      </x:c>
      <x:c r="CK61" s="60" t="n">
        <x:v>74.64051261901855</x:v>
      </x:c>
      <x:c r="CL61" s="60" t="n">
        <x:v>75.00626678466797</x:v>
      </x:c>
      <x:c r="CM61" s="60" t="n">
        <x:v>75.40965728759765</x:v>
      </x:c>
      <x:c r="CN61" s="60" t="n">
        <x:v>75.78863052368165</x:v>
      </x:c>
      <x:c r="CO61" s="60" t="n">
        <x:v>76.17012557983398</x:v>
      </x:c>
      <x:c r="CP61" s="60" t="n">
        <x:v>76.58252075195313</x:v>
      </x:c>
      <x:c r="CQ61" s="60" t="n">
        <x:v>76.98100875854492</x:v>
      </x:c>
      <x:c r="CR61" s="60" t="n">
        <x:v>77.41450500488281</x:v>
      </x:c>
      <x:c r="CS61" s="60" t="n">
        <x:v>77.88465492248535</x:v>
      </x:c>
      <x:c r="CT61" s="60" t="n">
        <x:v>78.37733093261718</x:v>
      </x:c>
      <x:c r="CU61" s="60" t="n">
        <x:v>78.90970428466797</x:v>
      </x:c>
      <x:c r="CV61" s="60" t="n">
        <x:v>79.4925784301758</x:v>
      </x:c>
      <x:c r="CW61" s="60" t="n">
        <x:v>80.09718551635743</x:v>
      </x:c>
      <x:c r="CX61" s="60" t="n">
        <x:v>80.78823120117188</x:v>
      </x:c>
      <x:c r="CY61" s="60" t="n">
        <x:v>81.65149314880371</x:v>
      </x:c>
      <x:c r="CZ61" s="60" t="n">
        <x:v>82.9289421081543</x:v>
      </x:c>
      <x:c r="DA61" s="60" t="n">
        <x:v>84.69217872619629</x:v>
      </x:c>
      <x:c r="DB61" s="60" t="n">
        <x:v>90.70870971679688</x:v>
      </x:c>
    </x:row>
    <x:row r="62">
      <x:c r="A62" t="str">
        <x:v>ハッサム-1</x:v>
      </x:c>
      <x:c r="B62" t="str">
        <x:v>ハッサム</x:v>
      </x:c>
      <x:c r="C62" t="str">
        <x:v>ストライク</x:v>
      </x:c>
      <x:c r="D62" s="60" t="n">
        <x:v>61.86343002319336</x:v>
      </x:c>
      <x:c r="E62" s="60" t="n">
        <x:v>8.593294143676758</x:v>
      </x:c>
      <x:c r="F62" s="60" t="n">
        <x:v>33.09475326538086</x:v>
      </x:c>
      <x:c r="G62" s="60" t="n">
        <x:v>41.201419258117674</x:v>
      </x:c>
      <x:c r="H62" s="60" t="n">
        <x:v>43.30456596374512</x:v>
      </x:c>
      <x:c r="I62" s="60" t="n">
        <x:v>44.75851825714111</x:v>
      </x:c>
      <x:c r="J62" s="60" t="n">
        <x:v>46.01123306274414</x:v>
      </x:c>
      <x:c r="K62" s="60" t="n">
        <x:v>46.86127643585205</x:v>
      </x:c>
      <x:c r="L62" s="60" t="n">
        <x:v>47.67955368041992</x:v>
      </x:c>
      <x:c r="M62" s="60" t="n">
        <x:v>48.42752033233643</x:v>
      </x:c>
      <x:c r="N62" s="60" t="n">
        <x:v>49.11431564331055</x:v>
      </x:c>
      <x:c r="O62" s="60" t="n">
        <x:v>49.717036933898925</x:v>
      </x:c>
      <x:c r="P62" s="60" t="n">
        <x:v>50.256612396240236</x:v>
      </x:c>
      <x:c r="Q62" s="60" t="n">
        <x:v>50.74856006622314</x:v>
      </x:c>
      <x:c r="R62" s="60" t="n">
        <x:v>51.22610961914062</x:v>
      </x:c>
      <x:c r="S62" s="60" t="n">
        <x:v>51.699786987304684</x:v>
      </x:c>
      <x:c r="T62" s="60" t="n">
        <x:v>52.10707817077637</x:v>
      </x:c>
      <x:c r="U62" s="60" t="n">
        <x:v>52.555282020568846</x:v>
      </x:c>
      <x:c r="V62" s="60" t="n">
        <x:v>52.9209162902832</x:v>
      </x:c>
      <x:c r="W62" s="60" t="n">
        <x:v>53.276510887145996</x:v>
      </x:c>
      <x:c r="X62" s="60" t="n">
        <x:v>53.64773490905762</x:v>
      </x:c>
      <x:c r="Y62" s="60" t="n">
        <x:v>53.98187698364258</x:v>
      </x:c>
      <x:c r="Z62" s="60" t="n">
        <x:v>54.344024658203125</x:v>
      </x:c>
      <x:c r="AA62" s="60" t="n">
        <x:v>54.67854091644287</x:v>
      </x:c>
      <x:c r="AB62" s="60" t="n">
        <x:v>55.02696601867676</x:v>
      </x:c>
      <x:c r="AC62" s="60" t="n">
        <x:v>55.34996387481689</x:v>
      </x:c>
      <x:c r="AD62" s="60" t="n">
        <x:v>55.656710357666014</x:v>
      </x:c>
      <x:c r="AE62" s="60" t="n">
        <x:v>55.97819900512695</x:v>
      </x:c>
      <x:c r="AF62" s="60" t="n">
        <x:v>56.27362609863281</x:v>
      </x:c>
      <x:c r="AG62" s="60" t="n">
        <x:v>56.58062355041504</x:v>
      </x:c>
      <x:c r="AH62" s="60" t="n">
        <x:v>56.86030838012695</x:v>
      </x:c>
      <x:c r="AI62" s="60" t="n">
        <x:v>57.16408721923828</x:v>
      </x:c>
      <x:c r="AJ62" s="60" t="n">
        <x:v>57.46970710754395</x:v>
      </x:c>
      <x:c r="AK62" s="60" t="n">
        <x:v>57.727571182250976</x:v>
      </x:c>
      <x:c r="AL62" s="60" t="n">
        <x:v>57.98891815185547</x:v>
      </x:c>
      <x:c r="AM62" s="60" t="n">
        <x:v>58.2580587387085</x:v>
      </x:c>
      <x:c r="AN62" s="60" t="n">
        <x:v>58.5153125</x:v>
      </x:c>
      <x:c r="AO62" s="60" t="n">
        <x:v>58.7815938949585</x:v>
      </x:c>
      <x:c r="AP62" s="60" t="n">
        <x:v>59.03286605834961</x:v>
      </x:c>
      <x:c r="AQ62" s="60" t="n">
        <x:v>59.272584762573246</x:v>
      </x:c>
      <x:c r="AR62" s="60" t="n">
        <x:v>59.538938980102536</x:v>
      </x:c>
      <x:c r="AS62" s="60" t="n">
        <x:v>59.78823532104492</x:v>
      </x:c>
      <x:c r="AT62" s="60" t="n">
        <x:v>60.04822616577149</x:v>
      </x:c>
      <x:c r="AU62" s="60" t="n">
        <x:v>60.28102195739746</x:v>
      </x:c>
      <x:c r="AV62" s="60" t="n">
        <x:v>60.518215560913085</x:v>
      </x:c>
      <x:c r="AW62" s="60" t="n">
        <x:v>60.77695236206055</x:v>
      </x:c>
      <x:c r="AX62" s="60" t="n">
        <x:v>60.996783142089846</x:v>
      </x:c>
      <x:c r="AY62" s="60" t="n">
        <x:v>61.24345874786377</x:v>
      </x:c>
      <x:c r="AZ62" s="60" t="n">
        <x:v>61.47000755310059</x:v>
      </x:c>
      <x:c r="BA62" s="60" t="n">
        <x:v>61.71252784729004</x:v>
      </x:c>
      <x:c r="BB62" s="60" t="n">
        <x:v>61.92868743896484</x:v>
      </x:c>
      <x:c r="BC62" s="60" t="n">
        <x:v>62.13982612609863</x:v>
      </x:c>
      <x:c r="BD62" s="60" t="n">
        <x:v>62.36522674560547</x:v>
      </x:c>
      <x:c r="BE62" s="60" t="n">
        <x:v>62.59976001739502</x:v>
      </x:c>
      <x:c r="BF62" s="60" t="n">
        <x:v>62.8069709777832</x:v>
      </x:c>
      <x:c r="BG62" s="60" t="n">
        <x:v>63.04479141235352</x:v>
      </x:c>
      <x:c r="BH62" s="60" t="n">
        <x:v>63.278328857421876</x:v>
      </x:c>
      <x:c r="BI62" s="60" t="n">
        <x:v>63.492345619201664</x:v>
      </x:c>
      <x:c r="BJ62" s="60" t="n">
        <x:v>63.708466339111325</x:v>
      </x:c>
      <x:c r="BK62" s="60" t="n">
        <x:v>63.94970558166504</x:v>
      </x:c>
      <x:c r="BL62" s="60" t="n">
        <x:v>64.19969131469726</x:v>
      </x:c>
      <x:c r="BM62" s="60" t="n">
        <x:v>64.42454139709473</x:v>
      </x:c>
      <x:c r="BN62" s="60" t="n">
        <x:v>64.65645446777344</x:v>
      </x:c>
      <x:c r="BO62" s="60" t="n">
        <x:v>64.87239166259765</x:v>
      </x:c>
      <x:c r="BP62" s="60" t="n">
        <x:v>65.09783874511719</x:v>
      </x:c>
      <x:c r="BQ62" s="60" t="n">
        <x:v>65.32301078796387</x:v>
      </x:c>
      <x:c r="BR62" s="60" t="n">
        <x:v>65.56652801513673</x:v>
      </x:c>
      <x:c r="BS62" s="60" t="n">
        <x:v>65.78009986877441</x:v>
      </x:c>
      <x:c r="BT62" s="60" t="n">
        <x:v>66.0248809814453</x:v>
      </x:c>
      <x:c r="BU62" s="60" t="n">
        <x:v>66.2545694732666</x:v>
      </x:c>
      <x:c r="BV62" s="60" t="n">
        <x:v>66.497119140625</x:v>
      </x:c>
      <x:c r="BW62" s="60" t="n">
        <x:v>66.72975830078126</x:v>
      </x:c>
      <x:c r="BX62" s="60" t="n">
        <x:v>66.96776809692383</x:v>
      </x:c>
      <x:c r="BY62" s="60" t="n">
        <x:v>67.19329917907714</x:v>
      </x:c>
      <x:c r="BZ62" s="60" t="n">
        <x:v>67.45201110839844</x:v>
      </x:c>
      <x:c r="CA62" s="60" t="n">
        <x:v>67.69705863952636</x:v>
      </x:c>
      <x:c r="CB62" s="60" t="n">
        <x:v>67.89112228393554</x:v>
      </x:c>
      <x:c r="CC62" s="60" t="n">
        <x:v>68.11975860595703</x:v>
      </x:c>
      <x:c r="CD62" s="60" t="n">
        <x:v>68.37727630615234</x:v>
      </x:c>
      <x:c r="CE62" s="60" t="n">
        <x:v>68.6602936553955</x:v>
      </x:c>
      <x:c r="CF62" s="60" t="n">
        <x:v>68.93313385009766</x:v>
      </x:c>
      <x:c r="CG62" s="60" t="n">
        <x:v>69.19261123657226</x:v>
      </x:c>
      <x:c r="CH62" s="60" t="n">
        <x:v>69.46188354492188</x:v>
      </x:c>
      <x:c r="CI62" s="60" t="n">
        <x:v>69.74950782775879</x:v>
      </x:c>
      <x:c r="CJ62" s="60" t="n">
        <x:v>70.0335450744629</x:v>
      </x:c>
      <x:c r="CK62" s="60" t="n">
        <x:v>70.3271273803711</x:v>
      </x:c>
      <x:c r="CL62" s="60" t="n">
        <x:v>70.65103271484375</x:v>
      </x:c>
      <x:c r="CM62" s="60" t="n">
        <x:v>70.99576721191406</x:v>
      </x:c>
      <x:c r="CN62" s="60" t="n">
        <x:v>71.30991882324219</x:v>
      </x:c>
      <x:c r="CO62" s="60" t="n">
        <x:v>71.63314292907715</x:v>
      </x:c>
      <x:c r="CP62" s="60" t="n">
        <x:v>72.0142529296875</x:v>
      </x:c>
      <x:c r="CQ62" s="60" t="n">
        <x:v>72.37211753845214</x:v>
      </x:c>
      <x:c r="CR62" s="60" t="n">
        <x:v>72.82145080566407</x:v>
      </x:c>
      <x:c r="CS62" s="60" t="n">
        <x:v>73.24030891418457</x:v>
      </x:c>
      <x:c r="CT62" s="60" t="n">
        <x:v>73.66752410888674</x:v>
      </x:c>
      <x:c r="CU62" s="60" t="n">
        <x:v>74.10039588928223</x:v>
      </x:c>
      <x:c r="CV62" s="60" t="n">
        <x:v>74.6417431640625</x:v>
      </x:c>
      <x:c r="CW62" s="60" t="n">
        <x:v>75.24648818969727</x:v>
      </x:c>
      <x:c r="CX62" s="60" t="n">
        <x:v>75.85363372802735</x:v>
      </x:c>
      <x:c r="CY62" s="60" t="n">
        <x:v>76.64180953979492</x:v>
      </x:c>
      <x:c r="CZ62" s="60" t="n">
        <x:v>77.49679962158203</x:v>
      </x:c>
      <x:c r="DA62" s="60" t="n">
        <x:v>78.74841888427734</x:v>
      </x:c>
      <x:c r="DB62" s="60" t="n">
        <x:v>84.8573989868164</x:v>
      </x:c>
    </x:row>
    <x:row r="63">
      <x:c r="A63" t="str">
        <x:v>ハッサム-2</x:v>
      </x:c>
      <x:c r="B63" t="str">
        <x:v>ハッサム</x:v>
      </x:c>
      <x:c r="C63" t="str">
        <x:v>ハッサム</x:v>
      </x:c>
      <x:c r="D63" s="60" t="n">
        <x:v>66.70069122314453</x:v>
      </x:c>
      <x:c r="E63" s="60" t="n">
        <x:v>7.3237080574035645</x:v>
      </x:c>
      <x:c r="F63" s="60" t="n">
        <x:v>39.7261848449707</x:v>
      </x:c>
      <x:c r="G63" s="60" t="n">
        <x:v>46.332980918884275</x:v>
      </x:c>
      <x:c r="H63" s="60" t="n">
        <x:v>48.79763908386231</x:v>
      </x:c>
      <x:c r="I63" s="60" t="n">
        <x:v>50.44856178283691</x:v>
      </x:c>
      <x:c r="J63" s="60" t="n">
        <x:v>51.7973014831543</x:v>
      </x:c>
      <x:c r="K63" s="60" t="n">
        <x:v>52.779212188720706</x:v>
      </x:c>
      <x:c r="L63" s="60" t="n">
        <x:v>53.6239485168457</x:v>
      </x:c>
      <x:c r="M63" s="60" t="n">
        <x:v>54.42784999847412</x:v>
      </x:c>
      <x:c r="N63" s="60" t="n">
        <x:v>55.0832698059082</x:v>
      </x:c>
      <x:c r="O63" s="60" t="n">
        <x:v>55.76638824462891</x:v>
      </x:c>
      <x:c r="P63" s="60" t="n">
        <x:v>56.38762435913086</x:v>
      </x:c>
      <x:c r="Q63" s="60" t="n">
        <x:v>56.890089950561524</x:v>
      </x:c>
      <x:c r="R63" s="60" t="n">
        <x:v>57.34253402709961</x:v>
      </x:c>
      <x:c r="S63" s="60" t="n">
        <x:v>57.80567192077637</x:v>
      </x:c>
      <x:c r="T63" s="60" t="n">
        <x:v>58.26427146911621</x:v>
      </x:c>
      <x:c r="U63" s="60" t="n">
        <x:v>58.645455551147464</x:v>
      </x:c>
      <x:c r="V63" s="60" t="n">
        <x:v>59.03224884033203</x:v>
      </x:c>
      <x:c r="W63" s="60" t="n">
        <x:v>59.46690929412842</x:v>
      </x:c>
      <x:c r="X63" s="60" t="n">
        <x:v>59.86087394714355</x:v>
      </x:c>
      <x:c r="Y63" s="60" t="n">
        <x:v>60.24659061431885</x:v>
      </x:c>
      <x:c r="Z63" s="60" t="n">
        <x:v>60.609152221679686</x:v>
      </x:c>
      <x:c r="AA63" s="60" t="n">
        <x:v>60.9625915145874</x:v>
      </x:c>
      <x:c r="AB63" s="60" t="n">
        <x:v>61.296274948120114</x:v>
      </x:c>
      <x:c r="AC63" s="60" t="n">
        <x:v>61.60185508728027</x:v>
      </x:c>
      <x:c r="AD63" s="60" t="n">
        <x:v>61.91064498901367</x:v>
      </x:c>
      <x:c r="AE63" s="60" t="n">
        <x:v>62.21628284454346</x:v>
      </x:c>
      <x:c r="AF63" s="60" t="n">
        <x:v>62.49786010742187</x:v>
      </x:c>
      <x:c r="AG63" s="60" t="n">
        <x:v>62.7676762008667</x:v>
      </x:c>
      <x:c r="AH63" s="60" t="n">
        <x:v>63.03335403442383</x:v>
      </x:c>
      <x:c r="AI63" s="60" t="n">
        <x:v>63.29098217010498</x:v>
      </x:c>
      <x:c r="AJ63" s="60" t="n">
        <x:v>63.53457489013672</x:v>
      </x:c>
      <x:c r="AK63" s="60" t="n">
        <x:v>63.77268650054932</x:v>
      </x:c>
      <x:c r="AL63" s="60" t="n">
        <x:v>64.02936981201172</x:v>
      </x:c>
      <x:c r="AM63" s="60" t="n">
        <x:v>64.25888832092285</x:v>
      </x:c>
      <x:c r="AN63" s="60" t="n">
        <x:v>64.50632064819337</x:v>
      </x:c>
      <x:c r="AO63" s="60" t="n">
        <x:v>64.76546897888184</x:v>
      </x:c>
      <x:c r="AP63" s="60" t="n">
        <x:v>64.99725799560547</x:v>
      </x:c>
      <x:c r="AQ63" s="60" t="n">
        <x:v>65.22694892883301</x:v>
      </x:c>
      <x:c r="AR63" s="60" t="n">
        <x:v>65.44847137451171</x:v>
      </x:c>
      <x:c r="AS63" s="60" t="n">
        <x:v>65.66030967712402</x:v>
      </x:c>
      <x:c r="AT63" s="60" t="n">
        <x:v>65.86464080810546</x:v>
      </x:c>
      <x:c r="AU63" s="60" t="n">
        <x:v>66.06429985046387</x:v>
      </x:c>
      <x:c r="AV63" s="60" t="n">
        <x:v>66.29067108154297</x:v>
      </x:c>
      <x:c r="AW63" s="60" t="n">
        <x:v>66.51401901245117</x:v>
      </x:c>
      <x:c r="AX63" s="60" t="n">
        <x:v>66.72593139648437</x:v>
      </x:c>
      <x:c r="AY63" s="60" t="n">
        <x:v>66.93118896484376</x:v>
      </x:c>
      <x:c r="AZ63" s="60" t="n">
        <x:v>67.11391311645508</x:v>
      </x:c>
      <x:c r="BA63" s="60" t="n">
        <x:v>67.3088883972168</x:v>
      </x:c>
      <x:c r="BB63" s="60" t="n">
        <x:v>67.51017028808594</x:v>
      </x:c>
      <x:c r="BC63" s="60" t="n">
        <x:v>67.70789344787597</x:v>
      </x:c>
      <x:c r="BD63" s="60" t="n">
        <x:v>67.88302612304688</x:v>
      </x:c>
      <x:c r="BE63" s="60" t="n">
        <x:v>68.10882041931153</x:v>
      </x:c>
      <x:c r="BF63" s="60" t="n">
        <x:v>68.30012634277344</x:v>
      </x:c>
      <x:c r="BG63" s="60" t="n">
        <x:v>68.47126693725586</x:v>
      </x:c>
      <x:c r="BH63" s="60" t="n">
        <x:v>68.68567337036133</x:v>
      </x:c>
      <x:c r="BI63" s="60" t="n">
        <x:v>68.8442611694336</x:v>
      </x:c>
      <x:c r="BJ63" s="60" t="n">
        <x:v>69.02657806396485</x:v>
      </x:c>
      <x:c r="BK63" s="60" t="n">
        <x:v>69.19958869934082</x:v>
      </x:c>
      <x:c r="BL63" s="60" t="n">
        <x:v>69.39871871948242</x:v>
      </x:c>
      <x:c r="BM63" s="60" t="n">
        <x:v>69.59093544006348</x:v>
      </x:c>
      <x:c r="BN63" s="60" t="n">
        <x:v>69.77377471923828</x:v>
      </x:c>
      <x:c r="BO63" s="60" t="n">
        <x:v>69.95448654174804</x:v>
      </x:c>
      <x:c r="BP63" s="60" t="n">
        <x:v>70.13602188110352</x:v>
      </x:c>
      <x:c r="BQ63" s="60" t="n">
        <x:v>70.3241170501709</x:v>
      </x:c>
      <x:c r="BR63" s="60" t="n">
        <x:v>70.48962982177734</x:v>
      </x:c>
      <x:c r="BS63" s="60" t="n">
        <x:v>70.660396194458</x:v>
      </x:c>
      <x:c r="BT63" s="60" t="n">
        <x:v>70.82779876708985</x:v>
      </x:c>
      <x:c r="BU63" s="60" t="n">
        <x:v>71.00758270263673</x:v>
      </x:c>
      <x:c r="BV63" s="60" t="n">
        <x:v>71.1752798461914</x:v>
      </x:c>
      <x:c r="BW63" s="60" t="n">
        <x:v>71.35104202270507</x:v>
      </x:c>
      <x:c r="BX63" s="60" t="n">
        <x:v>71.5224838256836</x:v>
      </x:c>
      <x:c r="BY63" s="60" t="n">
        <x:v>71.71053146362304</x:v>
      </x:c>
      <x:c r="BZ63" s="60" t="n">
        <x:v>71.89588470458985</x:v>
      </x:c>
      <x:c r="CA63" s="60" t="n">
        <x:v>72.06461082458496</x:v>
      </x:c>
      <x:c r="CB63" s="60" t="n">
        <x:v>72.24055114746093</x:v>
      </x:c>
      <x:c r="CC63" s="60" t="n">
        <x:v>72.40918922424316</x:v>
      </x:c>
      <x:c r="CD63" s="60" t="n">
        <x:v>72.56778045654296</x:v>
      </x:c>
      <x:c r="CE63" s="60" t="n">
        <x:v>72.73566528320312</x:v>
      </x:c>
      <x:c r="CF63" s="60" t="n">
        <x:v>72.9159652709961</x:v>
      </x:c>
      <x:c r="CG63" s="60" t="n">
        <x:v>73.07851119995117</x:v>
      </x:c>
      <x:c r="CH63" s="60" t="n">
        <x:v>73.25813446044921</x:v>
      </x:c>
      <x:c r="CI63" s="60" t="n">
        <x:v>73.47709556579589</x:v>
      </x:c>
      <x:c r="CJ63" s="60" t="n">
        <x:v>73.67239669799805</x:v>
      </x:c>
      <x:c r="CK63" s="60" t="n">
        <x:v>73.8716529083252</x:v>
      </x:c>
      <x:c r="CL63" s="60" t="n">
        <x:v>74.0409506225586</x:v>
      </x:c>
      <x:c r="CM63" s="60" t="n">
        <x:v>74.21354255676269</x:v>
      </x:c>
      <x:c r="CN63" s="60" t="n">
        <x:v>74.40346633911133</x:v>
      </x:c>
      <x:c r="CO63" s="60" t="n">
        <x:v>74.59897178649902</x:v>
      </x:c>
      <x:c r="CP63" s="60" t="n">
        <x:v>74.79265594482422</x:v>
      </x:c>
      <x:c r="CQ63" s="60" t="n">
        <x:v>74.9787646484375</x:v>
      </x:c>
      <x:c r="CR63" s="60" t="n">
        <x:v>75.20758361816407</x:v>
      </x:c>
      <x:c r="CS63" s="60" t="n">
        <x:v>75.42372734069824</x:v>
      </x:c>
      <x:c r="CT63" s="60" t="n">
        <x:v>75.65093261718751</x:v>
      </x:c>
      <x:c r="CU63" s="60" t="n">
        <x:v>75.8976008605957</x:v>
      </x:c>
      <x:c r="CV63" s="60" t="n">
        <x:v>76.12892288208008</x:v>
      </x:c>
      <x:c r="CW63" s="60" t="n">
        <x:v>76.40689964294434</x:v>
      </x:c>
      <x:c r="CX63" s="60" t="n">
        <x:v>76.70368591308593</x:v>
      </x:c>
      <x:c r="CY63" s="60" t="n">
        <x:v>77.10398399353028</x:v>
      </x:c>
      <x:c r="CZ63" s="60" t="n">
        <x:v>77.50022827148437</x:v>
      </x:c>
      <x:c r="DA63" s="60" t="n">
        <x:v>78.10228317260741</x:v>
      </x:c>
      <x:c r="DB63" s="60" t="n">
        <x:v>79.9595947265625</x:v>
      </x:c>
    </x:row>
    <x:row r="64">
      <x:c r="A64" t="str">
        <x:v>バシャーモ-1</x:v>
      </x:c>
      <x:c r="B64" t="str">
        <x:v>バシャーモ</x:v>
      </x:c>
      <x:c r="C64" t="str">
        <x:v>共通</x:v>
      </x:c>
      <x:c r="D64" s="60" t="n">
        <x:v>64.58050537109375</x:v>
      </x:c>
      <x:c r="E64" s="60" t="n">
        <x:v>9.636407852172852</x:v>
      </x:c>
      <x:c r="F64" s="60" t="n">
        <x:v>31.1497859954834</x:v>
      </x:c>
      <x:c r="G64" s="60" t="n">
        <x:v>40.410725059509275</x:v>
      </x:c>
      <x:c r="H64" s="60" t="n">
        <x:v>43.172195510864256</x:v>
      </x:c>
      <x:c r="I64" s="60" t="n">
        <x:v>44.84892459869385</x:v>
      </x:c>
      <x:c r="J64" s="60" t="n">
        <x:v>46.32008483886719</x:v>
      </x:c>
      <x:c r="K64" s="60" t="n">
        <x:v>47.549322319030765</x:v>
      </x:c>
      <x:c r="L64" s="60" t="n">
        <x:v>48.42903884887696</x:v>
      </x:c>
      <x:c r="M64" s="60" t="n">
        <x:v>49.32355381011963</x:v>
      </x:c>
      <x:c r="N64" s="60" t="n">
        <x:v>50.11271545410156</x:v>
      </x:c>
      <x:c r="O64" s="60" t="n">
        <x:v>50.76626998901367</x:v>
      </x:c>
      <x:c r="P64" s="60" t="n">
        <x:v>51.409867477416995</x:v>
      </x:c>
      <x:c r="Q64" s="60" t="n">
        <x:v>52.031980438232424</x:v>
      </x:c>
      <x:c r="R64" s="60" t="n">
        <x:v>52.62882736206055</x:v>
      </x:c>
      <x:c r="S64" s="60" t="n">
        <x:v>53.146151275634764</x:v>
      </x:c>
      <x:c r="T64" s="60" t="n">
        <x:v>53.62478874206543</x:v>
      </x:c>
      <x:c r="U64" s="60" t="n">
        <x:v>54.09562397003174</x:v>
      </x:c>
      <x:c r="V64" s="60" t="n">
        <x:v>54.551965942382814</x:v>
      </x:c>
      <x:c r="W64" s="60" t="n">
        <x:v>55.017985610961915</x:v>
      </x:c>
      <x:c r="X64" s="60" t="n">
        <x:v>55.428818359375</x:v>
      </x:c>
      <x:c r="Y64" s="60" t="n">
        <x:v>55.787770957946776</x:v>
      </x:c>
      <x:c r="Z64" s="60" t="n">
        <x:v>56.20866775512695</x:v>
      </x:c>
      <x:c r="AA64" s="60" t="n">
        <x:v>56.60047393798828</x:v>
      </x:c>
      <x:c r="AB64" s="60" t="n">
        <x:v>56.97207893371582</x:v>
      </x:c>
      <x:c r="AC64" s="60" t="n">
        <x:v>57.35813957214356</x:v>
      </x:c>
      <x:c r="AD64" s="60" t="n">
        <x:v>57.70366989135742</x:v>
      </x:c>
      <x:c r="AE64" s="60" t="n">
        <x:v>58.011274337768555</x:v>
      </x:c>
      <x:c r="AF64" s="60" t="n">
        <x:v>58.371564025878904</x:v>
      </x:c>
      <x:c r="AG64" s="60" t="n">
        <x:v>58.75844387054443</x:v>
      </x:c>
      <x:c r="AH64" s="60" t="n">
        <x:v>59.132438049316406</x:v>
      </x:c>
      <x:c r="AI64" s="60" t="n">
        <x:v>59.45472484588623</x:v>
      </x:c>
      <x:c r="AJ64" s="60" t="n">
        <x:v>59.81247062683106</x:v>
      </x:c>
      <x:c r="AK64" s="60" t="n">
        <x:v>60.119333534240724</x:v>
      </x:c>
      <x:c r="AL64" s="60" t="n">
        <x:v>60.42588623046875</x:v>
      </x:c>
      <x:c r="AM64" s="60" t="n">
        <x:v>60.706078338623044</x:v>
      </x:c>
      <x:c r="AN64" s="60" t="n">
        <x:v>61.01261955261231</x:v>
      </x:c>
      <x:c r="AO64" s="60" t="n">
        <x:v>61.286342811584475</x:v>
      </x:c>
      <x:c r="AP64" s="60" t="n">
        <x:v>61.59208557128906</x:v>
      </x:c>
      <x:c r="AQ64" s="60" t="n">
        <x:v>61.86650360107422</x:v>
      </x:c>
      <x:c r="AR64" s="60" t="n">
        <x:v>62.161581115722655</x:v>
      </x:c>
      <x:c r="AS64" s="60" t="n">
        <x:v>62.464073944091794</x:v>
      </x:c>
      <x:c r="AT64" s="60" t="n">
        <x:v>62.75269317626953</x:v>
      </x:c>
      <x:c r="AU64" s="60" t="n">
        <x:v>63.002127990722656</x:v>
      </x:c>
      <x:c r="AV64" s="60" t="n">
        <x:v>63.268623428344725</x:v>
      </x:c>
      <x:c r="AW64" s="60" t="n">
        <x:v>63.52852870941162</x:v>
      </x:c>
      <x:c r="AX64" s="60" t="n">
        <x:v>63.788210449218745</x:v>
      </x:c>
      <x:c r="AY64" s="60" t="n">
        <x:v>64.03539962768555</x:v>
      </x:c>
      <x:c r="AZ64" s="60" t="n">
        <x:v>64.30099365234375</x:v>
      </x:c>
      <x:c r="BA64" s="60" t="n">
        <x:v>64.58204719543457</x:v>
      </x:c>
      <x:c r="BB64" s="60" t="n">
        <x:v>64.81871459960938</x:v>
      </x:c>
      <x:c r="BC64" s="60" t="n">
        <x:v>65.06382011413574</x:v>
      </x:c>
      <x:c r="BD64" s="60" t="n">
        <x:v>65.32015228271484</x:v>
      </x:c>
      <x:c r="BE64" s="60" t="n">
        <x:v>65.5482266998291</x:v>
      </x:c>
      <x:c r="BF64" s="60" t="n">
        <x:v>65.80844329833984</x:v>
      </x:c>
      <x:c r="BG64" s="60" t="n">
        <x:v>66.10901420593262</x:v>
      </x:c>
      <x:c r="BH64" s="60" t="n">
        <x:v>66.36002120971679</x:v>
      </x:c>
      <x:c r="BI64" s="60" t="n">
        <x:v>66.63693122863769</x:v>
      </x:c>
      <x:c r="BJ64" s="60" t="n">
        <x:v>66.89430541992188</x:v>
      </x:c>
      <x:c r="BK64" s="60" t="n">
        <x:v>67.15438407897949</x:v>
      </x:c>
      <x:c r="BL64" s="60" t="n">
        <x:v>67.41174728393554</x:v>
      </x:c>
      <x:c r="BM64" s="60" t="n">
        <x:v>67.6682389831543</x:v>
      </x:c>
      <x:c r="BN64" s="60" t="n">
        <x:v>67.92737274169922</x:v>
      </x:c>
      <x:c r="BO64" s="60" t="n">
        <x:v>68.16069007873534</x:v>
      </x:c>
      <x:c r="BP64" s="60" t="n">
        <x:v>68.43699295043945</x:v>
      </x:c>
      <x:c r="BQ64" s="60" t="n">
        <x:v>68.66703727722168</x:v>
      </x:c>
      <x:c r="BR64" s="60" t="n">
        <x:v>68.93093811035156</x:v>
      </x:c>
      <x:c r="BS64" s="60" t="n">
        <x:v>69.18707580566407</x:v>
      </x:c>
      <x:c r="BT64" s="60" t="n">
        <x:v>69.44746170043945</x:v>
      </x:c>
      <x:c r="BU64" s="60" t="n">
        <x:v>69.71050331115723</x:v>
      </x:c>
      <x:c r="BV64" s="60" t="n">
        <x:v>69.9734521484375</x:v>
      </x:c>
      <x:c r="BW64" s="60" t="n">
        <x:v>70.2187222290039</x:v>
      </x:c>
      <x:c r="BX64" s="60" t="n">
        <x:v>70.47380447387695</x:v>
      </x:c>
      <x:c r="BY64" s="60" t="n">
        <x:v>70.7311530303955</x:v>
      </x:c>
      <x:c r="BZ64" s="60" t="n">
        <x:v>70.99591888427734</x:v>
      </x:c>
      <x:c r="CA64" s="60" t="n">
        <x:v>71.24321311950683</x:v>
      </x:c>
      <x:c r="CB64" s="60" t="n">
        <x:v>71.5623533630371</x:v>
      </x:c>
      <x:c r="CC64" s="60" t="n">
        <x:v>71.8280143737793</x:v>
      </x:c>
      <x:c r="CD64" s="60" t="n">
        <x:v>72.09703216552734</x:v>
      </x:c>
      <x:c r="CE64" s="60" t="n">
        <x:v>72.31576095581055</x:v>
      </x:c>
      <x:c r="CF64" s="60" t="n">
        <x:v>72.59660537719726</x:v>
      </x:c>
      <x:c r="CG64" s="60" t="n">
        <x:v>72.86337944030761</x:v>
      </x:c>
      <x:c r="CH64" s="60" t="n">
        <x:v>73.12152709960938</x:v>
      </x:c>
      <x:c r="CI64" s="60" t="n">
        <x:v>73.48706398010255</x:v>
      </x:c>
      <x:c r="CJ64" s="60" t="n">
        <x:v>73.78986282348633</x:v>
      </x:c>
      <x:c r="CK64" s="60" t="n">
        <x:v>74.11852752685547</x:v>
      </x:c>
      <x:c r="CL64" s="60" t="n">
        <x:v>74.45321258544922</x:v>
      </x:c>
      <x:c r="CM64" s="60" t="n">
        <x:v>74.7654354095459</x:v>
      </x:c>
      <x:c r="CN64" s="60" t="n">
        <x:v>75.12192169189453</x:v>
      </x:c>
      <x:c r="CO64" s="60" t="n">
        <x:v>75.47946594238282</x:v>
      </x:c>
      <x:c r="CP64" s="60" t="n">
        <x:v>75.84962188720704</x:v>
      </x:c>
      <x:c r="CQ64" s="60" t="n">
        <x:v>76.21343444824218</x:v>
      </x:c>
      <x:c r="CR64" s="60" t="n">
        <x:v>76.62594833374024</x:v>
      </x:c>
      <x:c r="CS64" s="60" t="n">
        <x:v>77.05117622375488</x:v>
      </x:c>
      <x:c r="CT64" s="60" t="n">
        <x:v>77.47803131103515</x:v>
      </x:c>
      <x:c r="CU64" s="60" t="n">
        <x:v>77.91391578674316</x:v>
      </x:c>
      <x:c r="CV64" s="60" t="n">
        <x:v>78.45250610351563</x:v>
      </x:c>
      <x:c r="CW64" s="60" t="n">
        <x:v>79.01105499267582</x:v>
      </x:c>
      <x:c r="CX64" s="60" t="n">
        <x:v>79.69220977783203</x:v>
      </x:c>
      <x:c r="CY64" s="60" t="n">
        <x:v>80.42358757019043</x:v>
      </x:c>
      <x:c r="CZ64" s="60" t="n">
        <x:v>81.3639845275879</x:v>
      </x:c>
      <x:c r="DA64" s="60" t="n">
        <x:v>82.80600135803223</x:v>
      </x:c>
      <x:c r="DB64" s="60" t="n">
        <x:v>88.24756622314453</x:v>
      </x:c>
    </x:row>
    <x:row r="65">
      <x:c r="A65" t="str">
        <x:v>バンギラス-1</x:v>
      </x:c>
      <x:c r="B65" t="str">
        <x:v>バンギラス</x:v>
      </x:c>
      <x:c r="C65" t="str">
        <x:v>共通</x:v>
      </x:c>
      <x:c r="D65" s="60" t="n">
        <x:v>65.29039001464844</x:v>
      </x:c>
      <x:c r="E65" s="60" t="n">
        <x:v>6.018167018890381</x:v>
      </x:c>
      <x:c r="F65" s="60" t="n">
        <x:v>42.486717224121094</x:v>
      </x:c>
      <x:c r="G65" s="60" t="n">
        <x:v>48.773826370239256</x:v>
      </x:c>
      <x:c r="H65" s="60" t="n">
        <x:v>50.62476127624512</x:v>
      </x:c>
      <x:c r="I65" s="60" t="n">
        <x:v>52.026066818237304</x:v>
      </x:c>
      <x:c r="J65" s="60" t="n">
        <x:v>53.070002746582034</x:v>
      </x:c>
      <x:c r="K65" s="60" t="n">
        <x:v>54.03874034881592</x:v>
      </x:c>
      <x:c r="L65" s="60" t="n">
        <x:v>54.73896705627441</x:v>
      </x:c>
      <x:c r="M65" s="60" t="n">
        <x:v>55.30971183776855</x:v>
      </x:c>
      <x:c r="N65" s="60" t="n">
        <x:v>55.835425262451174</x:v>
      </x:c>
      <x:c r="O65" s="60" t="n">
        <x:v>56.35675064086914</x:v>
      </x:c>
      <x:c r="P65" s="60" t="n">
        <x:v>56.81047744750977</x:v>
      </x:c>
      <x:c r="Q65" s="60" t="n">
        <x:v>57.247945861816405</x:v>
      </x:c>
      <x:c r="R65" s="60" t="n">
        <x:v>57.68605392456055</x:v>
      </x:c>
      <x:c r="S65" s="60" t="n">
        <x:v>58.06229328155518</x:v>
      </x:c>
      <x:c r="T65" s="60" t="n">
        <x:v>58.39308219909668</x:v>
      </x:c>
      <x:c r="U65" s="60" t="n">
        <x:v>58.737457275390625</x:v>
      </x:c>
      <x:c r="V65" s="60" t="n">
        <x:v>59.11026489257812</x:v>
      </x:c>
      <x:c r="W65" s="60" t="n">
        <x:v>59.42632610321045</x:v>
      </x:c>
      <x:c r="X65" s="60" t="n">
        <x:v>59.72820159912109</x:v>
      </x:c>
      <x:c r="Y65" s="60" t="n">
        <x:v>60.019723892211914</x:v>
      </x:c>
      <x:c r="Z65" s="60" t="n">
        <x:v>60.31865921020508</x:v>
      </x:c>
      <x:c r="AA65" s="60" t="n">
        <x:v>60.5868480682373</x:v>
      </x:c>
      <x:c r="AB65" s="60" t="n">
        <x:v>60.82280128479004</x:v>
      </x:c>
      <x:c r="AC65" s="60" t="n">
        <x:v>61.086106300354004</x:v>
      </x:c>
      <x:c r="AD65" s="60" t="n">
        <x:v>61.33063323974609</x:v>
      </x:c>
      <x:c r="AE65" s="60" t="n">
        <x:v>61.55579090118408</x:v>
      </x:c>
      <x:c r="AF65" s="60" t="n">
        <x:v>61.79765640258789</x:v>
      </x:c>
      <x:c r="AG65" s="60" t="n">
        <x:v>62.02656982421875</x:v>
      </x:c>
      <x:c r="AH65" s="60" t="n">
        <x:v>62.263997650146486</x:v>
      </x:c>
      <x:c r="AI65" s="60" t="n">
        <x:v>62.47788673400879</x:v>
      </x:c>
      <x:c r="AJ65" s="60" t="n">
        <x:v>62.70284843444824</x:v>
      </x:c>
      <x:c r="AK65" s="60" t="n">
        <x:v>62.932139511108396</x:v>
      </x:c>
      <x:c r="AL65" s="60" t="n">
        <x:v>63.14016021728516</x:v>
      </x:c>
      <x:c r="AM65" s="60" t="n">
        <x:v>63.32253627777099</x:v>
      </x:c>
      <x:c r="AN65" s="60" t="n">
        <x:v>63.49320030212402</x:v>
      </x:c>
      <x:c r="AO65" s="60" t="n">
        <x:v>63.664153480529784</x:v>
      </x:c>
      <x:c r="AP65" s="60" t="n">
        <x:v>63.851166534423825</x:v>
      </x:c>
      <x:c r="AQ65" s="60" t="n">
        <x:v>64.00767837524414</x:v>
      </x:c>
      <x:c r="AR65" s="60" t="n">
        <x:v>64.19859680175782</x:v>
      </x:c>
      <x:c r="AS65" s="60" t="n">
        <x:v>64.35474754333497</x:v>
      </x:c>
      <x:c r="AT65" s="60" t="n">
        <x:v>64.5433334350586</x:v>
      </x:c>
      <x:c r="AU65" s="60" t="n">
        <x:v>64.74445236206054</x:v>
      </x:c>
      <x:c r="AV65" s="60" t="n">
        <x:v>64.90666305541993</x:v>
      </x:c>
      <x:c r="AW65" s="60" t="n">
        <x:v>65.07836959838868</x:v>
      </x:c>
      <x:c r="AX65" s="60" t="n">
        <x:v>65.23682678222656</x:v>
      </x:c>
      <x:c r="AY65" s="60" t="n">
        <x:v>65.40702438354492</x:v>
      </x:c>
      <x:c r="AZ65" s="60" t="n">
        <x:v>65.5912403869629</x:v>
      </x:c>
      <x:c r="BA65" s="60" t="n">
        <x:v>65.75436180114747</x:v>
      </x:c>
      <x:c r="BB65" s="60" t="n">
        <x:v>65.91240692138672</x:v>
      </x:c>
      <x:c r="BC65" s="60" t="n">
        <x:v>66.07893074035644</x:v>
      </x:c>
      <x:c r="BD65" s="60" t="n">
        <x:v>66.25010299682617</x:v>
      </x:c>
      <x:c r="BE65" s="60" t="n">
        <x:v>66.41690811157227</x:v>
      </x:c>
      <x:c r="BF65" s="60" t="n">
        <x:v>66.57031372070313</x:v>
      </x:c>
      <x:c r="BG65" s="60" t="n">
        <x:v>66.71311668395997</x:v>
      </x:c>
      <x:c r="BH65" s="60" t="n">
        <x:v>66.83857345581055</x:v>
      </x:c>
      <x:c r="BI65" s="60" t="n">
        <x:v>66.98721351623536</x:v>
      </x:c>
      <x:c r="BJ65" s="60" t="n">
        <x:v>67.1400244140625</x:v>
      </x:c>
      <x:c r="BK65" s="60" t="n">
        <x:v>67.29512474060058</x:v>
      </x:c>
      <x:c r="BL65" s="60" t="n">
        <x:v>67.43205764770508</x:v>
      </x:c>
      <x:c r="BM65" s="60" t="n">
        <x:v>67.5662831878662</x:v>
      </x:c>
      <x:c r="BN65" s="60" t="n">
        <x:v>67.72513580322266</x:v>
      </x:c>
      <x:c r="BO65" s="60" t="n">
        <x:v>67.86791488647461</x:v>
      </x:c>
      <x:c r="BP65" s="60" t="n">
        <x:v>68.00802764892578</x:v>
      </x:c>
      <x:c r="BQ65" s="60" t="n">
        <x:v>68.1448860168457</x:v>
      </x:c>
      <x:c r="BR65" s="60" t="n">
        <x:v>68.28659545898438</x:v>
      </x:c>
      <x:c r="BS65" s="60" t="n">
        <x:v>68.41963958740234</x:v>
      </x:c>
      <x:c r="BT65" s="60" t="n">
        <x:v>68.572099609375</x:v>
      </x:c>
      <x:c r="BU65" s="60" t="n">
        <x:v>68.70340347290039</x:v>
      </x:c>
      <x:c r="BV65" s="60" t="n">
        <x:v>68.85006713867188</x:v>
      </x:c>
      <x:c r="BW65" s="60" t="n">
        <x:v>68.99284210205079</x:v>
      </x:c>
      <x:c r="BX65" s="60" t="n">
        <x:v>69.11495895385742</x:v>
      </x:c>
      <x:c r="BY65" s="60" t="n">
        <x:v>69.27249931335449</x:v>
      </x:c>
      <x:c r="BZ65" s="60" t="n">
        <x:v>69.40715728759766</x:v>
      </x:c>
      <x:c r="CA65" s="60" t="n">
        <x:v>69.55093811035157</x:v>
      </x:c>
      <x:c r="CB65" s="60" t="n">
        <x:v>69.69849151611328</x:v>
      </x:c>
      <x:c r="CC65" s="60" t="n">
        <x:v>69.84003257751465</x:v>
      </x:c>
      <x:c r="CD65" s="60" t="n">
        <x:v>69.98378997802735</x:v>
      </x:c>
      <x:c r="CE65" s="60" t="n">
        <x:v>70.13535797119141</x:v>
      </x:c>
      <x:c r="CF65" s="60" t="n">
        <x:v>70.30275436401367</x:v>
      </x:c>
      <x:c r="CG65" s="60" t="n">
        <x:v>70.44683067321778</x:v>
      </x:c>
      <x:c r="CH65" s="60" t="n">
        <x:v>70.58342132568359</x:v>
      </x:c>
      <x:c r="CI65" s="60" t="n">
        <x:v>70.75424026489257</x:v>
      </x:c>
      <x:c r="CJ65" s="60" t="n">
        <x:v>70.90745880126953</x:v>
      </x:c>
      <x:c r="CK65" s="60" t="n">
        <x:v>71.05784561157226</x:v>
      </x:c>
      <x:c r="CL65" s="60" t="n">
        <x:v>71.19725616455078</x:v>
      </x:c>
      <x:c r="CM65" s="60" t="n">
        <x:v>71.38277816772461</x:v>
      </x:c>
      <x:c r="CN65" s="60" t="n">
        <x:v>71.55467300415039</x:v>
      </x:c>
      <x:c r="CO65" s="60" t="n">
        <x:v>71.73468116760255</x:v>
      </x:c>
      <x:c r="CP65" s="60" t="n">
        <x:v>71.92565063476562</x:v>
      </x:c>
      <x:c r="CQ65" s="60" t="n">
        <x:v>72.12476135253907</x:v>
      </x:c>
      <x:c r="CR65" s="60" t="n">
        <x:v>72.3124755859375</x:v>
      </x:c>
      <x:c r="CS65" s="60" t="n">
        <x:v>72.51636390686035</x:v>
      </x:c>
      <x:c r="CT65" s="60" t="n">
        <x:v>72.72926788330078</x:v>
      </x:c>
      <x:c r="CU65" s="60" t="n">
        <x:v>72.97485534667969</x:v>
      </x:c>
      <x:c r="CV65" s="60" t="n">
        <x:v>73.2474920654297</x:v>
      </x:c>
      <x:c r="CW65" s="60" t="n">
        <x:v>73.53615074157716</x:v>
      </x:c>
      <x:c r="CX65" s="60" t="n">
        <x:v>73.84384399414063</x:v>
      </x:c>
      <x:c r="CY65" s="60" t="n">
        <x:v>74.2117562866211</x:v>
      </x:c>
      <x:c r="CZ65" s="60" t="n">
        <x:v>74.63996704101562</x:v>
      </x:c>
      <x:c r="DA65" s="60" t="n">
        <x:v>75.23061477661132</x:v>
      </x:c>
      <x:c r="DB65" s="60" t="n">
        <x:v>77.7241439819336</x:v>
      </x:c>
    </x:row>
    <x:row r="66">
      <x:c r="A66" t="str">
        <x:v>パルキア-1</x:v>
      </x:c>
      <x:c r="B66" t="str">
        <x:v>パルキア</x:v>
      </x:c>
      <x:c r="C66" t="str">
        <x:v>共通</x:v>
      </x:c>
      <x:c r="D66" s="60" t="n">
        <x:v>65.04847717285156</x:v>
      </x:c>
      <x:c r="E66" s="60" t="n">
        <x:v>10.21424388885498</x:v>
      </x:c>
      <x:c r="F66" s="60" t="n">
        <x:v>30.511497497558594</x:v>
      </x:c>
      <x:c r="G66" s="60" t="n">
        <x:v>39.495914154052734</x:v>
      </x:c>
      <x:c r="H66" s="60" t="n">
        <x:v>42.18775360107422</x:v>
      </x:c>
      <x:c r="I66" s="60" t="n">
        <x:v>44.22519256591797</x:v>
      </x:c>
      <x:c r="J66" s="60" t="n">
        <x:v>45.64610809326172</x:v>
      </x:c>
      <x:c r="K66" s="60" t="n">
        <x:v>46.887492942810056</x:v>
      </x:c>
      <x:c r="L66" s="60" t="n">
        <x:v>47.93099578857422</x:v>
      </x:c>
      <x:c r="M66" s="60" t="n">
        <x:v>48.91462413787842</x:v>
      </x:c>
      <x:c r="N66" s="60" t="n">
        <x:v>49.73635848999024</x:v>
      </x:c>
      <x:c r="O66" s="60" t="n">
        <x:v>50.49245143890381</x:v>
      </x:c>
      <x:c r="P66" s="60" t="n">
        <x:v>51.12737197875977</x:v>
      </x:c>
      <x:c r="Q66" s="60" t="n">
        <x:v>51.81412101745605</x:v>
      </x:c>
      <x:c r="R66" s="60" t="n">
        <x:v>52.38469314575195</x:v>
      </x:c>
      <x:c r="S66" s="60" t="n">
        <x:v>52.9472469329834</x:v>
      </x:c>
      <x:c r="T66" s="60" t="n">
        <x:v>53.47466697692871</x:v>
      </x:c>
      <x:c r="U66" s="60" t="n">
        <x:v>53.98074893951416</x:v>
      </x:c>
      <x:c r="V66" s="60" t="n">
        <x:v>54.454191284179686</x:v>
      </x:c>
      <x:c r="W66" s="60" t="n">
        <x:v>54.91315170288086</x:v>
      </x:c>
      <x:c r="X66" s="60" t="n">
        <x:v>55.327729034423825</x:v>
      </x:c>
      <x:c r="Y66" s="60" t="n">
        <x:v>55.73574298858642</x:v>
      </x:c>
      <x:c r="Z66" s="60" t="n">
        <x:v>56.13398666381836</x:v>
      </x:c>
      <x:c r="AA66" s="60" t="n">
        <x:v>56.527954216003415</x:v>
      </x:c>
      <x:c r="AB66" s="60" t="n">
        <x:v>56.92328330993652</x:v>
      </x:c>
      <x:c r="AC66" s="60" t="n">
        <x:v>57.344744262695315</x:v>
      </x:c>
      <x:c r="AD66" s="60" t="n">
        <x:v>57.73532516479492</x:v>
      </x:c>
      <x:c r="AE66" s="60" t="n">
        <x:v>58.12621021270752</x:v>
      </x:c>
      <x:c r="AF66" s="60" t="n">
        <x:v>58.53012046813965</x:v>
      </x:c>
      <x:c r="AG66" s="60" t="n">
        <x:v>58.86322578430176</x:v>
      </x:c>
      <x:c r="AH66" s="60" t="n">
        <x:v>59.237294921875</x:v>
      </x:c>
      <x:c r="AI66" s="60" t="n">
        <x:v>59.621083641052245</x:v>
      </x:c>
      <x:c r="AJ66" s="60" t="n">
        <x:v>59.940466690063474</x:v>
      </x:c>
      <x:c r="AK66" s="60" t="n">
        <x:v>60.257364692687986</x:v>
      </x:c>
      <x:c r="AL66" s="60" t="n">
        <x:v>60.56410400390625</x:v>
      </x:c>
      <x:c r="AM66" s="60" t="n">
        <x:v>60.88319618225098</x:v>
      </x:c>
      <x:c r="AN66" s="60" t="n">
        <x:v>61.224559478759765</x:v>
      </x:c>
      <x:c r="AO66" s="60" t="n">
        <x:v>61.53024024963379</x:v>
      </x:c>
      <x:c r="AP66" s="60" t="n">
        <x:v>61.82287857055664</x:v>
      </x:c>
      <x:c r="AQ66" s="60" t="n">
        <x:v>62.13353446960449</x:v>
      </x:c>
      <x:c r="AR66" s="60" t="n">
        <x:v>62.448649368286134</x:v>
      </x:c>
      <x:c r="AS66" s="60" t="n">
        <x:v>62.74591510772705</x:v>
      </x:c>
      <x:c r="AT66" s="60" t="n">
        <x:v>63.02918395996094</x:v>
      </x:c>
      <x:c r="AU66" s="60" t="n">
        <x:v>63.299767684936526</x:v>
      </x:c>
      <x:c r="AV66" s="60" t="n">
        <x:v>63.59187759399414</x:v>
      </x:c>
      <x:c r="AW66" s="60" t="n">
        <x:v>63.891880950927735</x:v>
      </x:c>
      <x:c r="AX66" s="60" t="n">
        <x:v>64.14496185302734</x:v>
      </x:c>
      <x:c r="AY66" s="60" t="n">
        <x:v>64.41538963317872</x:v>
      </x:c>
      <x:c r="AZ66" s="60" t="n">
        <x:v>64.70669586181641</x:v>
      </x:c>
      <x:c r="BA66" s="60" t="n">
        <x:v>64.99478111267089</x:v>
      </x:c>
      <x:c r="BB66" s="60" t="n">
        <x:v>65.30277374267578</x:v>
      </x:c>
      <x:c r="BC66" s="60" t="n">
        <x:v>65.56678939819336</x:v>
      </x:c>
      <x:c r="BD66" s="60" t="n">
        <x:v>65.88313293457031</x:v>
      </x:c>
      <x:c r="BE66" s="60" t="n">
        <x:v>66.15051628112793</x:v>
      </x:c>
      <x:c r="BF66" s="60" t="n">
        <x:v>66.40958862304687</x:v>
      </x:c>
      <x:c r="BG66" s="60" t="n">
        <x:v>66.70099533081054</x:v>
      </x:c>
      <x:c r="BH66" s="60" t="n">
        <x:v>66.95684768676757</x:v>
      </x:c>
      <x:c r="BI66" s="60" t="n">
        <x:v>67.2488624572754</x:v>
      </x:c>
      <x:c r="BJ66" s="60" t="n">
        <x:v>67.56522033691407</x:v>
      </x:c>
      <x:c r="BK66" s="60" t="n">
        <x:v>67.79840919494629</x:v>
      </x:c>
      <x:c r="BL66" s="60" t="n">
        <x:v>68.06877777099609</x:v>
      </x:c>
      <x:c r="BM66" s="60" t="n">
        <x:v>68.36824951171874</x:v>
      </x:c>
      <x:c r="BN66" s="60" t="n">
        <x:v>68.65762176513672</x:v>
      </x:c>
      <x:c r="BO66" s="60" t="n">
        <x:v>68.92629791259766</x:v>
      </x:c>
      <x:c r="BP66" s="60" t="n">
        <x:v>69.1790315246582</x:v>
      </x:c>
      <x:c r="BQ66" s="60" t="n">
        <x:v>69.46344734191895</x:v>
      </x:c>
      <x:c r="BR66" s="60" t="n">
        <x:v>69.72527984619141</x:v>
      </x:c>
      <x:c r="BS66" s="60" t="n">
        <x:v>69.9731559753418</x:v>
      </x:c>
      <x:c r="BT66" s="60" t="n">
        <x:v>70.25633850097657</x:v>
      </x:c>
      <x:c r="BU66" s="60" t="n">
        <x:v>70.50504737854004</x:v>
      </x:c>
      <x:c r="BV66" s="60" t="n">
        <x:v>70.79065124511719</x:v>
      </x:c>
      <x:c r="BW66" s="60" t="n">
        <x:v>71.05062652587891</x:v>
      </x:c>
      <x:c r="BX66" s="60" t="n">
        <x:v>71.31206970214843</x:v>
      </x:c>
      <x:c r="BY66" s="60" t="n">
        <x:v>71.59137130737304</x:v>
      </x:c>
      <x:c r="BZ66" s="60" t="n">
        <x:v>71.86209747314453</x:v>
      </x:c>
      <x:c r="CA66" s="60" t="n">
        <x:v>72.1506941986084</x:v>
      </x:c>
      <x:c r="CB66" s="60" t="n">
        <x:v>72.44827896118164</x:v>
      </x:c>
      <x:c r="CC66" s="60" t="n">
        <x:v>72.72599983215332</x:v>
      </x:c>
      <x:c r="CD66" s="60" t="n">
        <x:v>73.02632690429688</x:v>
      </x:c>
      <x:c r="CE66" s="60" t="n">
        <x:v>73.31899093627929</x:v>
      </x:c>
      <x:c r="CF66" s="60" t="n">
        <x:v>73.59491271972657</x:v>
      </x:c>
      <x:c r="CG66" s="60" t="n">
        <x:v>73.89657768249512</x:v>
      </x:c>
      <x:c r="CH66" s="60" t="n">
        <x:v>74.21748199462891</x:v>
      </x:c>
      <x:c r="CI66" s="60" t="n">
        <x:v>74.53531272888183</x:v>
      </x:c>
      <x:c r="CJ66" s="60" t="n">
        <x:v>74.8575503540039</x:v>
      </x:c>
      <x:c r="CK66" s="60" t="n">
        <x:v>75.19052223205567</x:v>
      </x:c>
      <x:c r="CL66" s="60" t="n">
        <x:v>75.510751953125</x:v>
      </x:c>
      <x:c r="CM66" s="60" t="n">
        <x:v>75.83841438293457</x:v>
      </x:c>
      <x:c r="CN66" s="60" t="n">
        <x:v>76.13093292236329</x:v>
      </x:c>
      <x:c r="CO66" s="60" t="n">
        <x:v>76.53773933410645</x:v>
      </x:c>
      <x:c r="CP66" s="60" t="n">
        <x:v>76.93690032958985</x:v>
      </x:c>
      <x:c r="CQ66" s="60" t="n">
        <x:v>77.35043548583984</x:v>
      </x:c>
      <x:c r="CR66" s="60" t="n">
        <x:v>77.79750900268554</x:v>
      </x:c>
      <x:c r="CS66" s="60" t="n">
        <x:v>78.20049461364746</x:v>
      </x:c>
      <x:c r="CT66" s="60" t="n">
        <x:v>78.6393310546875</x:v>
      </x:c>
      <x:c r="CU66" s="60" t="n">
        <x:v>79.15578918457031</x:v>
      </x:c>
      <x:c r="CV66" s="60" t="n">
        <x:v>79.74332412719727</x:v>
      </x:c>
      <x:c r="CW66" s="60" t="n">
        <x:v>80.3235607147217</x:v>
      </x:c>
      <x:c r="CX66" s="60" t="n">
        <x:v>81.00177734375</x:v>
      </x:c>
      <x:c r="CY66" s="60" t="n">
        <x:v>81.82724128723144</x:v>
      </x:c>
      <x:c r="CZ66" s="60" t="n">
        <x:v>82.90302047729493</x:v>
      </x:c>
      <x:c r="DA66" s="60" t="n">
        <x:v>84.47149475097656</x:v>
      </x:c>
      <x:c r="DB66" s="60" t="n">
        <x:v>89.57112884521484</x:v>
      </x:c>
    </x:row>
    <x:row r="67">
      <x:c r="A67" t="str">
        <x:v>パーモット-1</x:v>
      </x:c>
      <x:c r="B67" t="str">
        <x:v>パーモット</x:v>
      </x:c>
      <x:c r="C67" t="str">
        <x:v>共通</x:v>
      </x:c>
      <x:c r="D67" s="60" t="n">
        <x:v>65.07566833496094</x:v>
      </x:c>
      <x:c r="E67" s="60" t="n">
        <x:v>9.967954635620117</x:v>
      </x:c>
      <x:c r="F67" s="60" t="n">
        <x:v>31.09744644165039</x:v>
      </x:c>
      <x:c r="G67" s="60" t="n">
        <x:v>39.934890518188475</x:v>
      </x:c>
      <x:c r="H67" s="60" t="n">
        <x:v>42.85603416442871</x:v>
      </x:c>
      <x:c r="I67" s="60" t="n">
        <x:v>44.678513565063476</x:v>
      </x:c>
      <x:c r="J67" s="60" t="n">
        <x:v>46.117471618652345</x:v>
      </x:c>
      <x:c r="K67" s="60" t="n">
        <x:v>47.27710666656494</x:v>
      </x:c>
      <x:c r="L67" s="60" t="n">
        <x:v>48.390525360107425</x:v>
      </x:c>
      <x:c r="M67" s="60" t="n">
        <x:v>49.296871719360354</x:v>
      </x:c>
      <x:c r="N67" s="60" t="n">
        <x:v>50.13981582641602</x:v>
      </x:c>
      <x:c r="O67" s="60" t="n">
        <x:v>50.79991676330566</x:v>
      </x:c>
      <x:c r="P67" s="60" t="n">
        <x:v>51.47038688659668</x:v>
      </x:c>
      <x:c r="Q67" s="60" t="n">
        <x:v>52.100285568237304</x:v>
      </x:c>
      <x:c r="R67" s="60" t="n">
        <x:v>52.694820709228516</x:v>
      </x:c>
      <x:c r="S67" s="60" t="n">
        <x:v>53.300449256896975</x:v>
      </x:c>
      <x:c r="T67" s="60" t="n">
        <x:v>53.811862030029296</x:v>
      </x:c>
      <x:c r="U67" s="60" t="n">
        <x:v>54.288210487365724</x:v>
      </x:c>
      <x:c r="V67" s="60" t="n">
        <x:v>54.702126007080075</x:v>
      </x:c>
      <x:c r="W67" s="60" t="n">
        <x:v>55.145126762390134</x:v>
      </x:c>
      <x:c r="X67" s="60" t="n">
        <x:v>55.54694282531738</x:v>
      </x:c>
      <x:c r="Y67" s="60" t="n">
        <x:v>55.972195320129394</x:v>
      </x:c>
      <x:c r="Z67" s="60" t="n">
        <x:v>56.38664779663086</x:v>
      </x:c>
      <x:c r="AA67" s="60" t="n">
        <x:v>56.769638290405275</x:v>
      </x:c>
      <x:c r="AB67" s="60" t="n">
        <x:v>57.17669860839844</x:v>
      </x:c>
      <x:c r="AC67" s="60" t="n">
        <x:v>57.58439723968506</x:v>
      </x:c>
      <x:c r="AD67" s="60" t="n">
        <x:v>57.96179718017578</x:v>
      </x:c>
      <x:c r="AE67" s="60" t="n">
        <x:v>58.324130058288574</x:v>
      </x:c>
      <x:c r="AF67" s="60" t="n">
        <x:v>58.709860229492186</x:v>
      </x:c>
      <x:c r="AG67" s="60" t="n">
        <x:v>59.04631019592286</x:v>
      </x:c>
      <x:c r="AH67" s="60" t="n">
        <x:v>59.432940826416015</x:v>
      </x:c>
      <x:c r="AI67" s="60" t="n">
        <x:v>59.78922996520996</x:v>
      </x:c>
      <x:c r="AJ67" s="60" t="n">
        <x:v>60.13054237365723</x:v>
      </x:c>
      <x:c r="AK67" s="60" t="n">
        <x:v>60.4159451675415</x:v>
      </x:c>
      <x:c r="AL67" s="60" t="n">
        <x:v>60.71297424316406</x:v>
      </x:c>
      <x:c r="AM67" s="60" t="n">
        <x:v>61.05013206481934</x:v>
      </x:c>
      <x:c r="AN67" s="60" t="n">
        <x:v>61.39577346801758</x:v>
      </x:c>
      <x:c r="AO67" s="60" t="n">
        <x:v>61.68634719848633</x:v>
      </x:c>
      <x:c r="AP67" s="60" t="n">
        <x:v>61.95764266967773</x:v>
      </x:c>
      <x:c r="AQ67" s="60" t="n">
        <x:v>62.257931518554685</x:v>
      </x:c>
      <x:c r="AR67" s="60" t="n">
        <x:v>62.56164390563965</x:v>
      </x:c>
      <x:c r="AS67" s="60" t="n">
        <x:v>62.85518135070801</x:v>
      </x:c>
      <x:c r="AT67" s="60" t="n">
        <x:v>63.15571975708008</x:v>
      </x:c>
      <x:c r="AU67" s="60" t="n">
        <x:v>63.45001953125</x:v>
      </x:c>
      <x:c r="AV67" s="60" t="n">
        <x:v>63.71942428588867</x:v>
      </x:c>
      <x:c r="AW67" s="60" t="n">
        <x:v>63.97607627868652</x:v>
      </x:c>
      <x:c r="AX67" s="60" t="n">
        <x:v>64.21840362548828</x:v>
      </x:c>
      <x:c r="AY67" s="60" t="n">
        <x:v>64.49779090881349</x:v>
      </x:c>
      <x:c r="AZ67" s="60" t="n">
        <x:v>64.79556610107421</x:v>
      </x:c>
      <x:c r="BA67" s="60" t="n">
        <x:v>65.05801513671875</x:v>
      </x:c>
      <x:c r="BB67" s="60" t="n">
        <x:v>65.35365966796876</x:v>
      </x:c>
      <x:c r="BC67" s="60" t="n">
        <x:v>65.63784103393554</x:v>
      </x:c>
      <x:c r="BD67" s="60" t="n">
        <x:v>65.90074920654297</x:v>
      </x:c>
      <x:c r="BE67" s="60" t="n">
        <x:v>66.21531425476074</x:v>
      </x:c>
      <x:c r="BF67" s="60" t="n">
        <x:v>66.47866882324219</x:v>
      </x:c>
      <x:c r="BG67" s="60" t="n">
        <x:v>66.73608993530273</x:v>
      </x:c>
      <x:c r="BH67" s="60" t="n">
        <x:v>66.9892677307129</x:v>
      </x:c>
      <x:c r="BI67" s="60" t="n">
        <x:v>67.23228950500489</x:v>
      </x:c>
      <x:c r="BJ67" s="60" t="n">
        <x:v>67.51994995117188</x:v>
      </x:c>
      <x:c r="BK67" s="60" t="n">
        <x:v>67.7949722290039</x:v>
      </x:c>
      <x:c r="BL67" s="60" t="n">
        <x:v>68.04225723266602</x:v>
      </x:c>
      <x:c r="BM67" s="60" t="n">
        <x:v>68.31303527832031</x:v>
      </x:c>
      <x:c r="BN67" s="60" t="n">
        <x:v>68.57676696777344</x:v>
      </x:c>
      <x:c r="BO67" s="60" t="n">
        <x:v>68.85785690307617</x:v>
      </x:c>
      <x:c r="BP67" s="60" t="n">
        <x:v>69.14871017456055</x:v>
      </x:c>
      <x:c r="BQ67" s="60" t="n">
        <x:v>69.38311332702636</x:v>
      </x:c>
      <x:c r="BR67" s="60" t="n">
        <x:v>69.6415478515625</x:v>
      </x:c>
      <x:c r="BS67" s="60" t="n">
        <x:v>69.89969139099121</x:v>
      </x:c>
      <x:c r="BT67" s="60" t="n">
        <x:v>70.1727067565918</x:v>
      </x:c>
      <x:c r="BU67" s="60" t="n">
        <x:v>70.43727439880371</x:v>
      </x:c>
      <x:c r="BV67" s="60" t="n">
        <x:v>70.67558929443359</x:v>
      </x:c>
      <x:c r="BW67" s="60" t="n">
        <x:v>70.93364204406738</x:v>
      </x:c>
      <x:c r="BX67" s="60" t="n">
        <x:v>71.1903289794922</x:v>
      </x:c>
      <x:c r="BY67" s="60" t="n">
        <x:v>71.43739364624024</x:v>
      </x:c>
      <x:c r="BZ67" s="60" t="n">
        <x:v>71.72109100341797</x:v>
      </x:c>
      <x:c r="CA67" s="60" t="n">
        <x:v>71.99988723754883</x:v>
      </x:c>
      <x:c r="CB67" s="60" t="n">
        <x:v>72.28289428710937</x:v>
      </x:c>
      <x:c r="CC67" s="60" t="n">
        <x:v>72.56587028503418</x:v>
      </x:c>
      <x:c r="CD67" s="60" t="n">
        <x:v>72.8311392211914</x:v>
      </x:c>
      <x:c r="CE67" s="60" t="n">
        <x:v>73.13257614135742</x:v>
      </x:c>
      <x:c r="CF67" s="60" t="n">
        <x:v>73.43085372924806</x:v>
      </x:c>
      <x:c r="CG67" s="60" t="n">
        <x:v>73.75899337768554</x:v>
      </x:c>
      <x:c r="CH67" s="60" t="n">
        <x:v>74.05854949951171</x:v>
      </x:c>
      <x:c r="CI67" s="60" t="n">
        <x:v>74.36625068664551</x:v>
      </x:c>
      <x:c r="CJ67" s="60" t="n">
        <x:v>74.6617498779297</x:v>
      </x:c>
      <x:c r="CK67" s="60" t="n">
        <x:v>74.947953414917</x:v>
      </x:c>
      <x:c r="CL67" s="60" t="n">
        <x:v>75.27988525390624</x:v>
      </x:c>
      <x:c r="CM67" s="60" t="n">
        <x:v>75.61095657348632</x:v>
      </x:c>
      <x:c r="CN67" s="60" t="n">
        <x:v>75.9300862121582</x:v>
      </x:c>
      <x:c r="CO67" s="60" t="n">
        <x:v>76.27452087402344</x:v>
      </x:c>
      <x:c r="CP67" s="60" t="n">
        <x:v>76.63898864746093</x:v>
      </x:c>
      <x:c r="CQ67" s="60" t="n">
        <x:v>77.0490633392334</x:v>
      </x:c>
      <x:c r="CR67" s="60" t="n">
        <x:v>77.44239807128906</x:v>
      </x:c>
      <x:c r="CS67" s="60" t="n">
        <x:v>77.88973106384277</x:v>
      </x:c>
      <x:c r="CT67" s="60" t="n">
        <x:v>78.35166687011719</x:v>
      </x:c>
      <x:c r="CU67" s="60" t="n">
        <x:v>78.80492805480957</x:v>
      </x:c>
      <x:c r="CV67" s="60" t="n">
        <x:v>79.35310913085938</x:v>
      </x:c>
      <x:c r="CW67" s="60" t="n">
        <x:v>79.93731269836427</x:v>
      </x:c>
      <x:c r="CX67" s="60" t="n">
        <x:v>80.62184356689453</x:v>
      </x:c>
      <x:c r="CY67" s="60" t="n">
        <x:v>81.35526786804199</x:v>
      </x:c>
      <x:c r="CZ67" s="60" t="n">
        <x:v>82.47039138793946</x:v>
      </x:c>
      <x:c r="DA67" s="60" t="n">
        <x:v>83.8427586364746</x:v>
      </x:c>
      <x:c r="DB67" s="60" t="n">
        <x:v>89.00121307373047</x:v>
      </x:c>
    </x:row>
    <x:row r="68">
      <x:c r="A68" t="str">
        <x:v>ファイヤー-1</x:v>
      </x:c>
      <x:c r="B68" t="str">
        <x:v>ファイヤー</x:v>
      </x:c>
      <x:c r="C68" t="str">
        <x:v>共通</x:v>
      </x:c>
      <x:c r="D68" s="60" t="n">
        <x:v>65.38878631591797</x:v>
      </x:c>
      <x:c r="E68" s="60" t="n">
        <x:v>6.136935234069824</x:v>
      </x:c>
      <x:c r="F68" s="60" t="n">
        <x:v>42.27812194824219</x:v>
      </x:c>
      <x:c r="G68" s="60" t="n">
        <x:v>48.386584434509274</x:v>
      </x:c>
      <x:c r="H68" s="60" t="n">
        <x:v>50.33818405151367</x:v>
      </x:c>
      <x:c r="I68" s="60" t="n">
        <x:v>51.80142623901367</x:v>
      </x:c>
      <x:c r="J68" s="60" t="n">
        <x:v>52.95398208618164</x:v>
      </x:c>
      <x:c r="K68" s="60" t="n">
        <x:v>53.8247802734375</x:v>
      </x:c>
      <x:c r="L68" s="60" t="n">
        <x:v>54.54050437927246</x:v>
      </x:c>
      <x:c r="M68" s="60" t="n">
        <x:v>55.18835750579834</x:v>
      </x:c>
      <x:c r="N68" s="60" t="n">
        <x:v>55.71967239379883</x:v>
      </x:c>
      <x:c r="O68" s="60" t="n">
        <x:v>56.23382442474365</x:v>
      </x:c>
      <x:c r="P68" s="60" t="n">
        <x:v>56.692467498779294</x:v>
      </x:c>
      <x:c r="Q68" s="60" t="n">
        <x:v>57.174820289611816</x:v>
      </x:c>
      <x:c r="R68" s="60" t="n">
        <x:v>57.570054321289064</x:v>
      </x:c>
      <x:c r="S68" s="60" t="n">
        <x:v>57.95991123199463</x:v>
      </x:c>
      <x:c r="T68" s="60" t="n">
        <x:v>58.35979957580567</x:v>
      </x:c>
      <x:c r="U68" s="60" t="n">
        <x:v>58.717711448669434</x:v>
      </x:c>
      <x:c r="V68" s="60" t="n">
        <x:v>58.994058532714845</x:v>
      </x:c>
      <x:c r="W68" s="60" t="n">
        <x:v>59.365130500793455</x:v>
      </x:c>
      <x:c r="X68" s="60" t="n">
        <x:v>59.67785301208496</x:v>
      </x:c>
      <x:c r="Y68" s="60" t="n">
        <x:v>60.00244960784912</x:v>
      </x:c>
      <x:c r="Z68" s="60" t="n">
        <x:v>60.29412994384766</x:v>
      </x:c>
      <x:c r="AA68" s="60" t="n">
        <x:v>60.59117042541504</x:v>
      </x:c>
      <x:c r="AB68" s="60" t="n">
        <x:v>60.86556861877441</x:v>
      </x:c>
      <x:c r="AC68" s="60" t="n">
        <x:v>61.095547370910644</x:v>
      </x:c>
      <x:c r="AD68" s="60" t="n">
        <x:v>61.371793823242186</x:v>
      </x:c>
      <x:c r="AE68" s="60" t="n">
        <x:v>61.621405601501465</x:v>
      </x:c>
      <x:c r="AF68" s="60" t="n">
        <x:v>61.843649826049806</x:v>
      </x:c>
      <x:c r="AG68" s="60" t="n">
        <x:v>62.0864115524292</x:v>
      </x:c>
      <x:c r="AH68" s="60" t="n">
        <x:v>62.33231887817383</x:v>
      </x:c>
      <x:c r="AI68" s="60" t="n">
        <x:v>62.56537250518799</x:v>
      </x:c>
      <x:c r="AJ68" s="60" t="n">
        <x:v>62.77339859008789</x:v>
      </x:c>
      <x:c r="AK68" s="60" t="n">
        <x:v>62.987422943115234</x:v>
      </x:c>
      <x:c r="AL68" s="60" t="n">
        <x:v>63.20292068481445</x:v>
      </x:c>
      <x:c r="AM68" s="60" t="n">
        <x:v>63.3954853439331</x:v>
      </x:c>
      <x:c r="AN68" s="60" t="n">
        <x:v>63.588514251708986</x:v>
      </x:c>
      <x:c r="AO68" s="60" t="n">
        <x:v>63.78309154510498</x:v>
      </x:c>
      <x:c r="AP68" s="60" t="n">
        <x:v>63.973217163085934</x:v>
      </x:c>
      <x:c r="AQ68" s="60" t="n">
        <x:v>64.13283164978027</x:v>
      </x:c>
      <x:c r="AR68" s="60" t="n">
        <x:v>64.3269432067871</x:v>
      </x:c>
      <x:c r="AS68" s="60" t="n">
        <x:v>64.51112335205079</x:v>
      </x:c>
      <x:c r="AT68" s="60" t="n">
        <x:v>64.68795776367188</x:v>
      </x:c>
      <x:c r="AU68" s="60" t="n">
        <x:v>64.86554550170898</x:v>
      </x:c>
      <x:c r="AV68" s="60" t="n">
        <x:v>65.04392486572266</x:v>
      </x:c>
      <x:c r="AW68" s="60" t="n">
        <x:v>65.20990921020508</x:v>
      </x:c>
      <x:c r="AX68" s="60" t="n">
        <x:v>65.3845458984375</x:v>
      </x:c>
      <x:c r="AY68" s="60" t="n">
        <x:v>65.55620307922364</x:v>
      </x:c>
      <x:c r="AZ68" s="60" t="n">
        <x:v>65.72749923706054</x:v>
      </x:c>
      <x:c r="BA68" s="60" t="n">
        <x:v>65.8926466369629</x:v>
      </x:c>
      <x:c r="BB68" s="60" t="n">
        <x:v>66.03213073730468</x:v>
      </x:c>
      <x:c r="BC68" s="60" t="n">
        <x:v>66.19006065368653</x:v>
      </x:c>
      <x:c r="BD68" s="60" t="n">
        <x:v>66.34349060058594</x:v>
      </x:c>
      <x:c r="BE68" s="60" t="n">
        <x:v>66.5149779510498</x:v>
      </x:c>
      <x:c r="BF68" s="60" t="n">
        <x:v>66.67434539794922</x:v>
      </x:c>
      <x:c r="BG68" s="60" t="n">
        <x:v>66.83305519104005</x:v>
      </x:c>
      <x:c r="BH68" s="60" t="n">
        <x:v>67.00780822753906</x:v>
      </x:c>
      <x:c r="BI68" s="60" t="n">
        <x:v>67.17043190002441</x:v>
      </x:c>
      <x:c r="BJ68" s="60" t="n">
        <x:v>67.329423828125</x:v>
      </x:c>
      <x:c r="BK68" s="60" t="n">
        <x:v>67.49046661376953</x:v>
      </x:c>
      <x:c r="BL68" s="60" t="n">
        <x:v>67.63856964111328</x:v>
      </x:c>
      <x:c r="BM68" s="60" t="n">
        <x:v>67.78030212402344</x:v>
      </x:c>
      <x:c r="BN68" s="60" t="n">
        <x:v>67.91810455322266</x:v>
      </x:c>
      <x:c r="BO68" s="60" t="n">
        <x:v>68.04684745788575</x:v>
      </x:c>
      <x:c r="BP68" s="60" t="n">
        <x:v>68.20101577758788</x:v>
      </x:c>
      <x:c r="BQ68" s="60" t="n">
        <x:v>68.3369507598877</x:v>
      </x:c>
      <x:c r="BR68" s="60" t="n">
        <x:v>68.46054260253906</x:v>
      </x:c>
      <x:c r="BS68" s="60" t="n">
        <x:v>68.59591865539551</x:v>
      </x:c>
      <x:c r="BT68" s="60" t="n">
        <x:v>68.73592681884766</x:v>
      </x:c>
      <x:c r="BU68" s="60" t="n">
        <x:v>68.88521171569825</x:v>
      </x:c>
      <x:c r="BV68" s="60" t="n">
        <x:v>69.02282684326173</x:v>
      </x:c>
      <x:c r="BW68" s="60" t="n">
        <x:v>69.18738990783692</x:v>
      </x:c>
      <x:c r="BX68" s="60" t="n">
        <x:v>69.34602127075196</x:v>
      </x:c>
      <x:c r="BY68" s="60" t="n">
        <x:v>69.48568458557129</x:v>
      </x:c>
      <x:c r="BZ68" s="60" t="n">
        <x:v>69.62879364013672</x:v>
      </x:c>
      <x:c r="CA68" s="60" t="n">
        <x:v>69.76921226501464</x:v>
      </x:c>
      <x:c r="CB68" s="60" t="n">
        <x:v>69.91137237548828</x:v>
      </x:c>
      <x:c r="CC68" s="60" t="n">
        <x:v>70.05793762207031</x:v>
      </x:c>
      <x:c r="CD68" s="60" t="n">
        <x:v>70.21602081298828</x:v>
      </x:c>
      <x:c r="CE68" s="60" t="n">
        <x:v>70.36633193969726</x:v>
      </x:c>
      <x:c r="CF68" s="60" t="n">
        <x:v>70.52009109497071</x:v>
      </x:c>
      <x:c r="CG68" s="60" t="n">
        <x:v>70.6727938079834</x:v>
      </x:c>
      <x:c r="CH68" s="60" t="n">
        <x:v>70.85064086914062</x:v>
      </x:c>
      <x:c r="CI68" s="60" t="n">
        <x:v>71.00678672790528</x:v>
      </x:c>
      <x:c r="CJ68" s="60" t="n">
        <x:v>71.14756042480468</x:v>
      </x:c>
      <x:c r="CK68" s="60" t="n">
        <x:v>71.29905075073242</x:v>
      </x:c>
      <x:c r="CL68" s="60" t="n">
        <x:v>71.46139312744141</x:v>
      </x:c>
      <x:c r="CM68" s="60" t="n">
        <x:v>71.62979164123536</x:v>
      </x:c>
      <x:c r="CN68" s="60" t="n">
        <x:v>71.78544692993164</x:v>
      </x:c>
      <x:c r="CO68" s="60" t="n">
        <x:v>71.96127403259277</x:v>
      </x:c>
      <x:c r="CP68" s="60" t="n">
        <x:v>72.14341033935547</x:v>
      </x:c>
      <x:c r="CQ68" s="60" t="n">
        <x:v>72.3395492553711</x:v>
      </x:c>
      <x:c r="CR68" s="60" t="n">
        <x:v>72.49094772338867</x:v>
      </x:c>
      <x:c r="CS68" s="60" t="n">
        <x:v>72.69367607116699</x:v>
      </x:c>
      <x:c r="CT68" s="60" t="n">
        <x:v>72.91993591308594</x:v>
      </x:c>
      <x:c r="CU68" s="60" t="n">
        <x:v>73.17471794128419</x:v>
      </x:c>
      <x:c r="CV68" s="60" t="n">
        <x:v>73.42012329101563</x:v>
      </x:c>
      <x:c r="CW68" s="60" t="n">
        <x:v>73.72140159606934</x:v>
      </x:c>
      <x:c r="CX68" s="60" t="n">
        <x:v>74.00946197509765</x:v>
      </x:c>
      <x:c r="CY68" s="60" t="n">
        <x:v>74.3314582824707</x:v>
      </x:c>
      <x:c r="CZ68" s="60" t="n">
        <x:v>74.76079193115234</x:v>
      </x:c>
      <x:c r="DA68" s="60" t="n">
        <x:v>75.33910789489745</x:v>
      </x:c>
      <x:c r="DB68" s="60" t="n">
        <x:v>77.99705505371094</x:v>
      </x:c>
    </x:row>
    <x:row r="69">
      <x:c r="A69" t="str">
        <x:v>マッシブーン-1</x:v>
      </x:c>
      <x:c r="B69" t="str">
        <x:v>マッシブーン</x:v>
      </x:c>
      <x:c r="C69" t="str">
        <x:v>共通</x:v>
      </x:c>
      <x:c r="D69" s="60" t="n">
        <x:v>66.07011413574219</x:v>
      </x:c>
      <x:c r="E69" s="60" t="n">
        <x:v>4.9752888679504395</x:v>
      </x:c>
      <x:c r="F69" s="60" t="n">
        <x:v>44.455902099609375</x:v>
      </x:c>
      <x:c r="G69" s="60" t="n">
        <x:v>53.19932243347168</x:v>
      </x:c>
      <x:c r="H69" s="60" t="n">
        <x:v>54.81552574157715</x:v>
      </x:c>
      <x:c r="I69" s="60" t="n">
        <x:v>55.8185791015625</x:v>
      </x:c>
      <x:c r="J69" s="60" t="n">
        <x:v>56.619891052246096</x:v>
      </x:c>
      <x:c r="K69" s="60" t="n">
        <x:v>57.19666805267334</x:v>
      </x:c>
      <x:c r="L69" s="60" t="n">
        <x:v>57.72174903869629</x:v>
      </x:c>
      <x:c r="M69" s="60" t="n">
        <x:v>58.15581520080566</x:v>
      </x:c>
      <x:c r="N69" s="60" t="n">
        <x:v>58.59267776489258</x:v>
      </x:c>
      <x:c r="O69" s="60" t="n">
        <x:v>58.96517475128174</x:v>
      </x:c>
      <x:c r="P69" s="60" t="n">
        <x:v>59.31125335693359</x:v>
      </x:c>
      <x:c r="Q69" s="60" t="n">
        <x:v>59.64500427246094</x:v>
      </x:c>
      <x:c r="R69" s="60" t="n">
        <x:v>59.93410552978516</x:v>
      </x:c>
      <x:c r="S69" s="60" t="n">
        <x:v>60.22787700653076</x:v>
      </x:c>
      <x:c r="T69" s="60" t="n">
        <x:v>60.511350326538086</x:v>
      </x:c>
      <x:c r="U69" s="60" t="n">
        <x:v>60.80128936767578</x:v>
      </x:c>
      <x:c r="V69" s="60" t="n">
        <x:v>61.029871215820314</x:v>
      </x:c>
      <x:c r="W69" s="60" t="n">
        <x:v>61.271458587646485</x:v>
      </x:c>
      <x:c r="X69" s="60" t="n">
        <x:v>61.497715377807616</x:v>
      </x:c>
      <x:c r="Y69" s="60" t="n">
        <x:v>61.728475189208986</x:v>
      </x:c>
      <x:c r="Z69" s="60" t="n">
        <x:v>61.91959686279297</x:v>
      </x:c>
      <x:c r="AA69" s="60" t="n">
        <x:v>62.111663246154784</x:v>
      </x:c>
      <x:c r="AB69" s="60" t="n">
        <x:v>62.29620429992676</x:v>
      </x:c>
      <x:c r="AC69" s="60" t="n">
        <x:v>62.488018646240235</x:v>
      </x:c>
      <x:c r="AD69" s="60" t="n">
        <x:v>62.680779724121095</x:v>
      </x:c>
      <x:c r="AE69" s="60" t="n">
        <x:v>62.88280010223389</x:v>
      </x:c>
      <x:c r="AF69" s="60" t="n">
        <x:v>63.07016654968262</x:v>
      </x:c>
      <x:c r="AG69" s="60" t="n">
        <x:v>63.224340209960936</x:v>
      </x:c>
      <x:c r="AH69" s="60" t="n">
        <x:v>63.37573104858399</x:v>
      </x:c>
      <x:c r="AI69" s="60" t="n">
        <x:v>63.53420433044434</x:v>
      </x:c>
      <x:c r="AJ69" s="60" t="n">
        <x:v>63.70116539001465</x:v>
      </x:c>
      <x:c r="AK69" s="60" t="n">
        <x:v>63.858232765197755</x:v>
      </x:c>
      <x:c r="AL69" s="60" t="n">
        <x:v>64.00896057128907</x:v>
      </x:c>
      <x:c r="AM69" s="60" t="n">
        <x:v>64.16890983581543</x:v>
      </x:c>
      <x:c r="AN69" s="60" t="n">
        <x:v>64.3139387512207</x:v>
      </x:c>
      <x:c r="AO69" s="60" t="n">
        <x:v>64.4560531616211</x:v>
      </x:c>
      <x:c r="AP69" s="60" t="n">
        <x:v>64.58964569091796</x:v>
      </x:c>
      <x:c r="AQ69" s="60" t="n">
        <x:v>64.73450736999511</x:v>
      </x:c>
      <x:c r="AR69" s="60" t="n">
        <x:v>64.88411819458008</x:v>
      </x:c>
      <x:c r="AS69" s="60" t="n">
        <x:v>65.02272666931152</x:v>
      </x:c>
      <x:c r="AT69" s="60" t="n">
        <x:v>65.17239990234376</x:v>
      </x:c>
      <x:c r="AU69" s="60" t="n">
        <x:v>65.29061141967773</x:v>
      </x:c>
      <x:c r="AV69" s="60" t="n">
        <x:v>65.4305958557129</x:v>
      </x:c>
      <x:c r="AW69" s="60" t="n">
        <x:v>65.55158058166504</x:v>
      </x:c>
      <x:c r="AX69" s="60" t="n">
        <x:v>65.68853454589843</x:v>
      </x:c>
      <x:c r="AY69" s="60" t="n">
        <x:v>65.83766021728516</x:v>
      </x:c>
      <x:c r="AZ69" s="60" t="n">
        <x:v>65.96269592285157</x:v>
      </x:c>
      <x:c r="BA69" s="60" t="n">
        <x:v>66.08666679382324</x:v>
      </x:c>
      <x:c r="BB69" s="60" t="n">
        <x:v>66.20621398925782</x:v>
      </x:c>
      <x:c r="BC69" s="60" t="n">
        <x:v>66.34219818115234</x:v>
      </x:c>
      <x:c r="BD69" s="60" t="n">
        <x:v>66.46947860717773</x:v>
      </x:c>
      <x:c r="BE69" s="60" t="n">
        <x:v>66.60268264770508</x:v>
      </x:c>
      <x:c r="BF69" s="60" t="n">
        <x:v>66.72920288085938</x:v>
      </x:c>
      <x:c r="BG69" s="60" t="n">
        <x:v>66.85518409729004</x:v>
      </x:c>
      <x:c r="BH69" s="60" t="n">
        <x:v>66.99094039916993</x:v>
      </x:c>
      <x:c r="BI69" s="60" t="n">
        <x:v>67.11931686401367</x:v>
      </x:c>
      <x:c r="BJ69" s="60" t="n">
        <x:v>67.23555145263671</x:v>
      </x:c>
      <x:c r="BK69" s="60" t="n">
        <x:v>67.34986122131347</x:v>
      </x:c>
      <x:c r="BL69" s="60" t="n">
        <x:v>67.4706642150879</x:v>
      </x:c>
      <x:c r="BM69" s="60" t="n">
        <x:v>67.58980224609375</x:v>
      </x:c>
      <x:c r="BN69" s="60" t="n">
        <x:v>67.71273651123047</x:v>
      </x:c>
      <x:c r="BO69" s="60" t="n">
        <x:v>67.83611724853516</x:v>
      </x:c>
      <x:c r="BP69" s="60" t="n">
        <x:v>67.97496292114258</x:v>
      </x:c>
      <x:c r="BQ69" s="60" t="n">
        <x:v>68.10453910827637</x:v>
      </x:c>
      <x:c r="BR69" s="60" t="n">
        <x:v>68.22933288574218</x:v>
      </x:c>
      <x:c r="BS69" s="60" t="n">
        <x:v>68.38019676208496</x:v>
      </x:c>
      <x:c r="BT69" s="60" t="n">
        <x:v>68.51869369506836</x:v>
      </x:c>
      <x:c r="BU69" s="60" t="n">
        <x:v>68.65578666687011</x:v>
      </x:c>
      <x:c r="BV69" s="60" t="n">
        <x:v>68.792978515625</x:v>
      </x:c>
      <x:c r="BW69" s="60" t="n">
        <x:v>68.90786514282227</x:v>
      </x:c>
      <x:c r="BX69" s="60" t="n">
        <x:v>69.04010467529297</x:v>
      </x:c>
      <x:c r="BY69" s="60" t="n">
        <x:v>69.18760520935058</x:v>
      </x:c>
      <x:c r="BZ69" s="60" t="n">
        <x:v>69.2989584350586</x:v>
      </x:c>
      <x:c r="CA69" s="60" t="n">
        <x:v>69.45354904174805</x:v>
      </x:c>
      <x:c r="CB69" s="60" t="n">
        <x:v>69.60337371826172</x:v>
      </x:c>
      <x:c r="CC69" s="60" t="n">
        <x:v>69.75040626525879</x:v>
      </x:c>
      <x:c r="CD69" s="60" t="n">
        <x:v>69.88830535888673</x:v>
      </x:c>
      <x:c r="CE69" s="60" t="n">
        <x:v>70.03828506469726</x:v>
      </x:c>
      <x:c r="CF69" s="60" t="n">
        <x:v>70.18268035888671</x:v>
      </x:c>
      <x:c r="CG69" s="60" t="n">
        <x:v>70.32938262939453</x:v>
      </x:c>
      <x:c r="CH69" s="60" t="n">
        <x:v>70.48562622070312</x:v>
      </x:c>
      <x:c r="CI69" s="60" t="n">
        <x:v>70.64262245178223</x:v>
      </x:c>
      <x:c r="CJ69" s="60" t="n">
        <x:v>70.79070373535156</x:v>
      </x:c>
      <x:c r="CK69" s="60" t="n">
        <x:v>70.94241409301758</x:v>
      </x:c>
      <x:c r="CL69" s="60" t="n">
        <x:v>71.11909271240235</x:v>
      </x:c>
      <x:c r="CM69" s="60" t="n">
        <x:v>71.28631706237793</x:v>
      </x:c>
      <x:c r="CN69" s="60" t="n">
        <x:v>71.46576919555665</x:v>
      </x:c>
      <x:c r="CO69" s="60" t="n">
        <x:v>71.65426826477051</x:v>
      </x:c>
      <x:c r="CP69" s="60" t="n">
        <x:v>71.83324432373047</x:v>
      </x:c>
      <x:c r="CQ69" s="60" t="n">
        <x:v>72.0223006439209</x:v>
      </x:c>
      <x:c r="CR69" s="60" t="n">
        <x:v>72.24081039428711</x:v>
      </x:c>
      <x:c r="CS69" s="60" t="n">
        <x:v>72.4290461730957</x:v>
      </x:c>
      <x:c r="CT69" s="60" t="n">
        <x:v>72.67770782470703</x:v>
      </x:c>
      <x:c r="CU69" s="60" t="n">
        <x:v>72.92538963317871</x:v>
      </x:c>
      <x:c r="CV69" s="60" t="n">
        <x:v>73.18840728759766</x:v>
      </x:c>
      <x:c r="CW69" s="60" t="n">
        <x:v>73.52322883605959</x:v>
      </x:c>
      <x:c r="CX69" s="60" t="n">
        <x:v>73.84889404296875</x:v>
      </x:c>
      <x:c r="CY69" s="60" t="n">
        <x:v>74.27237449645996</x:v>
      </x:c>
      <x:c r="CZ69" s="60" t="n">
        <x:v>74.80318420410157</x:v>
      </x:c>
      <x:c r="DA69" s="60" t="n">
        <x:v>75.42271133422851</x:v>
      </x:c>
      <x:c r="DB69" s="60" t="n">
        <x:v>78.17842864990234</x:v>
      </x:c>
    </x:row>
    <x:row r="70">
      <x:c r="A70" t="str">
        <x:v>マリルリ-1</x:v>
      </x:c>
      <x:c r="B70" t="str">
        <x:v>マリルリ</x:v>
      </x:c>
      <x:c r="C70" t="str">
        <x:v>共通</x:v>
      </x:c>
      <x:c r="D70" s="60" t="n">
        <x:v>65.75167083740234</x:v>
      </x:c>
      <x:c r="E70" s="60" t="n">
        <x:v>9.923944473266602</x:v>
      </x:c>
      <x:c r="F70" s="60" t="n">
        <x:v>31.08509063720703</x:v>
      </x:c>
      <x:c r="G70" s="60" t="n">
        <x:v>40.3547159576416</x:v>
      </x:c>
      <x:c r="H70" s="60" t="n">
        <x:v>43.29238929748535</x:v>
      </x:c>
      <x:c r="I70" s="60" t="n">
        <x:v>45.165244522094724</x:v>
      </x:c>
      <x:c r="J70" s="60" t="n">
        <x:v>46.571253051757814</x:v>
      </x:c>
      <x:c r="K70" s="60" t="n">
        <x:v>47.8175552368164</x:v>
      </x:c>
      <x:c r="L70" s="60" t="n">
        <x:v>48.800569763183596</x:v>
      </x:c>
      <x:c r="M70" s="60" t="n">
        <x:v>49.8385542678833</x:v>
      </x:c>
      <x:c r="N70" s="60" t="n">
        <x:v>50.735123748779294</x:v>
      </x:c>
      <x:c r="O70" s="60" t="n">
        <x:v>51.448108711242675</x:v>
      </x:c>
      <x:c r="P70" s="60" t="n">
        <x:v>52.15331878662109</x:v>
      </x:c>
      <x:c r="Q70" s="60" t="n">
        <x:v>52.75341682434082</x:v>
      </x:c>
      <x:c r="R70" s="60" t="n">
        <x:v>53.33987564086914</x:v>
      </x:c>
      <x:c r="S70" s="60" t="n">
        <x:v>53.91344543457031</x:v>
      </x:c>
      <x:c r="T70" s="60" t="n">
        <x:v>54.42525054931641</x:v>
      </x:c>
      <x:c r="U70" s="60" t="n">
        <x:v>54.95445175170899</x:v>
      </x:c>
      <x:c r="V70" s="60" t="n">
        <x:v>55.455357513427735</x:v>
      </x:c>
      <x:c r="W70" s="60" t="n">
        <x:v>55.93246997833252</x:v>
      </x:c>
      <x:c r="X70" s="60" t="n">
        <x:v>56.36603363037109</x:v>
      </x:c>
      <x:c r="Y70" s="60" t="n">
        <x:v>56.775651664733886</x:v>
      </x:c>
      <x:c r="Z70" s="60" t="n">
        <x:v>57.148582458496094</x:v>
      </x:c>
      <x:c r="AA70" s="60" t="n">
        <x:v>57.52639125823975</x:v>
      </x:c>
      <x:c r="AB70" s="60" t="n">
        <x:v>57.96251205444336</x:v>
      </x:c>
      <x:c r="AC70" s="60" t="n">
        <x:v>58.349618911743164</x:v>
      </x:c>
      <x:c r="AD70" s="60" t="n">
        <x:v>58.74707992553711</x:v>
      </x:c>
      <x:c r="AE70" s="60" t="n">
        <x:v>59.13272190093994</x:v>
      </x:c>
      <x:c r="AF70" s="60" t="n">
        <x:v>59.4592308807373</x:v>
      </x:c>
      <x:c r="AG70" s="60" t="n">
        <x:v>59.84050968170166</x:v>
      </x:c>
      <x:c r="AH70" s="60" t="n">
        <x:v>60.193795928955076</x:v>
      </x:c>
      <x:c r="AI70" s="60" t="n">
        <x:v>60.524267044067386</x:v>
      </x:c>
      <x:c r="AJ70" s="60" t="n">
        <x:v>60.877587127685544</x:v>
      </x:c>
      <x:c r="AK70" s="60" t="n">
        <x:v>61.199035263061525</x:v>
      </x:c>
      <x:c r="AL70" s="60" t="n">
        <x:v>61.52456420898437</x:v>
      </x:c>
      <x:c r="AM70" s="60" t="n">
        <x:v>61.86835315704346</x:v>
      </x:c>
      <x:c r="AN70" s="60" t="n">
        <x:v>62.15724678039551</x:v>
      </x:c>
      <x:c r="AO70" s="60" t="n">
        <x:v>62.478057289123534</x:v>
      </x:c>
      <x:c r="AP70" s="60" t="n">
        <x:v>62.79335952758789</x:v>
      </x:c>
      <x:c r="AQ70" s="60" t="n">
        <x:v>63.105616912841796</x:v>
      </x:c>
      <x:c r="AR70" s="60" t="n">
        <x:v>63.39213195800781</x:v>
      </x:c>
      <x:c r="AS70" s="60" t="n">
        <x:v>63.660253334045414</x:v>
      </x:c>
      <x:c r="AT70" s="60" t="n">
        <x:v>63.95914993286133</x:v>
      </x:c>
      <x:c r="AU70" s="60" t="n">
        <x:v>64.26709342956543</x:v>
      </x:c>
      <x:c r="AV70" s="60" t="n">
        <x:v>64.51898162841798</x:v>
      </x:c>
      <x:c r="AW70" s="60" t="n">
        <x:v>64.81247924804687</x:v>
      </x:c>
      <x:c r="AX70" s="60" t="n">
        <x:v>65.0752099609375</x:v>
      </x:c>
      <x:c r="AY70" s="60" t="n">
        <x:v>65.33799476623535</x:v>
      </x:c>
      <x:c r="AZ70" s="60" t="n">
        <x:v>65.5997282409668</x:v>
      </x:c>
      <x:c r="BA70" s="60" t="n">
        <x:v>65.90178970336915</x:v>
      </x:c>
      <x:c r="BB70" s="60" t="n">
        <x:v>66.18072662353515</x:v>
      </x:c>
      <x:c r="BC70" s="60" t="n">
        <x:v>66.44824851989746</x:v>
      </x:c>
      <x:c r="BD70" s="60" t="n">
        <x:v>66.74554443359375</x:v>
      </x:c>
      <x:c r="BE70" s="60" t="n">
        <x:v>67.00904258728028</x:v>
      </x:c>
      <x:c r="BF70" s="60" t="n">
        <x:v>67.27576629638672</x:v>
      </x:c>
      <x:c r="BG70" s="60" t="n">
        <x:v>67.54039436340332</x:v>
      </x:c>
      <x:c r="BH70" s="60" t="n">
        <x:v>67.77712112426758</x:v>
      </x:c>
      <x:c r="BI70" s="60" t="n">
        <x:v>68.01552886962891</x:v>
      </x:c>
      <x:c r="BJ70" s="60" t="n">
        <x:v>68.29681610107421</x:v>
      </x:c>
      <x:c r="BK70" s="60" t="n">
        <x:v>68.56999389648438</x:v>
      </x:c>
      <x:c r="BL70" s="60" t="n">
        <x:v>68.86362564086915</x:v>
      </x:c>
      <x:c r="BM70" s="60" t="n">
        <x:v>69.15026817321777</x:v>
      </x:c>
      <x:c r="BN70" s="60" t="n">
        <x:v>69.41183319091797</x:v>
      </x:c>
      <x:c r="BO70" s="60" t="n">
        <x:v>69.65460372924805</x:v>
      </x:c>
      <x:c r="BP70" s="60" t="n">
        <x:v>69.89739151000975</x:v>
      </x:c>
      <x:c r="BQ70" s="60" t="n">
        <x:v>70.17168777465821</x:v>
      </x:c>
      <x:c r="BR70" s="60" t="n">
        <x:v>70.42610900878907</x:v>
      </x:c>
      <x:c r="BS70" s="60" t="n">
        <x:v>70.70834121704101</x:v>
      </x:c>
      <x:c r="BT70" s="60" t="n">
        <x:v>70.94822158813477</x:v>
      </x:c>
      <x:c r="BU70" s="60" t="n">
        <x:v>71.22916763305665</x:v>
      </x:c>
      <x:c r="BV70" s="60" t="n">
        <x:v>71.44606231689454</x:v>
      </x:c>
      <x:c r="BW70" s="60" t="n">
        <x:v>71.68306999206543</x:v>
      </x:c>
      <x:c r="BX70" s="60" t="n">
        <x:v>71.94945678710937</x:v>
      </x:c>
      <x:c r="BY70" s="60" t="n">
        <x:v>72.22438262939453</x:v>
      </x:c>
      <x:c r="BZ70" s="60" t="n">
        <x:v>72.46861755371094</x:v>
      </x:c>
      <x:c r="CA70" s="60" t="n">
        <x:v>72.73229698181153</x:v>
      </x:c>
      <x:c r="CB70" s="60" t="n">
        <x:v>73.01105026245118</x:v>
      </x:c>
      <x:c r="CC70" s="60" t="n">
        <x:v>73.27200317382812</x:v>
      </x:c>
      <x:c r="CD70" s="60" t="n">
        <x:v>73.5427310180664</x:v>
      </x:c>
      <x:c r="CE70" s="60" t="n">
        <x:v>73.80386123657226</x:v>
      </x:c>
      <x:c r="CF70" s="60" t="n">
        <x:v>74.08806182861328</x:v>
      </x:c>
      <x:c r="CG70" s="60" t="n">
        <x:v>74.37573593139649</x:v>
      </x:c>
      <x:c r="CH70" s="60" t="n">
        <x:v>74.67519073486328</x:v>
      </x:c>
      <x:c r="CI70" s="60" t="n">
        <x:v>74.9649129486084</x:v>
      </x:c>
      <x:c r="CJ70" s="60" t="n">
        <x:v>75.24575057983398</x:v>
      </x:c>
      <x:c r="CK70" s="60" t="n">
        <x:v>75.54552574157715</x:v>
      </x:c>
      <x:c r="CL70" s="60" t="n">
        <x:v>75.80632934570312</x:v>
      </x:c>
      <x:c r="CM70" s="60" t="n">
        <x:v>76.13891983032227</x:v>
      </x:c>
      <x:c r="CN70" s="60" t="n">
        <x:v>76.5005793762207</x:v>
      </x:c>
      <x:c r="CO70" s="60" t="n">
        <x:v>76.81833969116211</x:v>
      </x:c>
      <x:c r="CP70" s="60" t="n">
        <x:v>77.17230773925782</x:v>
      </x:c>
      <x:c r="CQ70" s="60" t="n">
        <x:v>77.57571952819825</x:v>
      </x:c>
      <x:c r="CR70" s="60" t="n">
        <x:v>77.97093963623048</x:v>
      </x:c>
      <x:c r="CS70" s="60" t="n">
        <x:v>78.35383674621582</x:v>
      </x:c>
      <x:c r="CT70" s="60" t="n">
        <x:v>78.85148864746094</x:v>
      </x:c>
      <x:c r="CU70" s="60" t="n">
        <x:v>79.28174575805664</x:v>
      </x:c>
      <x:c r="CV70" s="60" t="n">
        <x:v>79.73759414672853</x:v>
      </x:c>
      <x:c r="CW70" s="60" t="n">
        <x:v>80.31291809082032</x:v>
      </x:c>
      <x:c r="CX70" s="60" t="n">
        <x:v>80.92048858642579</x:v>
      </x:c>
      <x:c r="CY70" s="60" t="n">
        <x:v>81.68092697143554</x:v>
      </x:c>
      <x:c r="CZ70" s="60" t="n">
        <x:v>82.55214385986328</x:v>
      </x:c>
      <x:c r="DA70" s="60" t="n">
        <x:v>83.80764915466308</x:v>
      </x:c>
      <x:c r="DB70" s="60" t="n">
        <x:v>88.1604232788086</x:v>
      </x:c>
    </x:row>
    <x:row r="71">
      <x:c r="A71" t="str">
        <x:v>ミミッキュ-1</x:v>
      </x:c>
      <x:c r="B71" t="str">
        <x:v>ミミッキュ</x:v>
      </x:c>
      <x:c r="C71" t="str">
        <x:v>じゃれつく</x:v>
      </x:c>
      <x:c r="D71" s="60" t="n">
        <x:v>62.76603698730469</x:v>
      </x:c>
      <x:c r="E71" s="60" t="n">
        <x:v>9.286250114440918</x:v>
      </x:c>
      <x:c r="F71" s="60" t="n">
        <x:v>31.913692474365234</x:v>
      </x:c>
      <x:c r="G71" s="60" t="n">
        <x:v>40.32108951568603</x:v>
      </x:c>
      <x:c r="H71" s="60" t="n">
        <x:v>42.64664993286133</x:v>
      </x:c>
      <x:c r="I71" s="60" t="n">
        <x:v>44.149427604675296</x:v>
      </x:c>
      <x:c r="J71" s="60" t="n">
        <x:v>45.41585006713867</x:v>
      </x:c>
      <x:c r="K71" s="60" t="n">
        <x:v>46.47167797088623</x:v>
      </x:c>
      <x:c r="L71" s="60" t="n">
        <x:v>47.394311141967776</x:v>
      </x:c>
      <x:c r="M71" s="60" t="n">
        <x:v>48.19844108581543</x:v>
      </x:c>
      <x:c r="N71" s="60" t="n">
        <x:v>48.94339889526367</x:v>
      </x:c>
      <x:c r="O71" s="60" t="n">
        <x:v>49.59403873443603</x:v>
      </x:c>
      <x:c r="P71" s="60" t="n">
        <x:v>50.1539966583252</x:v>
      </x:c>
      <x:c r="Q71" s="60" t="n">
        <x:v>50.72554054260254</x:v>
      </x:c>
      <x:c r="R71" s="60" t="n">
        <x:v>51.27012435913086</x:v>
      </x:c>
      <x:c r="S71" s="60" t="n">
        <x:v>51.76709518432617</x:v>
      </x:c>
      <x:c r="T71" s="60" t="n">
        <x:v>52.19878700256348</x:v>
      </x:c>
      <x:c r="U71" s="60" t="n">
        <x:v>52.647126007080075</x:v>
      </x:c>
      <x:c r="V71" s="60" t="n">
        <x:v>53.09650634765625</x:v>
      </x:c>
      <x:c r="W71" s="60" t="n">
        <x:v>53.49916889190674</x:v>
      </x:c>
      <x:c r="X71" s="60" t="n">
        <x:v>53.89697792053222</x:v>
      </x:c>
      <x:c r="Y71" s="60" t="n">
        <x:v>54.2843176651001</x:v>
      </x:c>
      <x:c r="Z71" s="60" t="n">
        <x:v>54.63754043579102</x:v>
      </x:c>
      <x:c r="AA71" s="60" t="n">
        <x:v>55.04791519165039</x:v>
      </x:c>
      <x:c r="AB71" s="60" t="n">
        <x:v>55.42926429748535</x:v>
      </x:c>
      <x:c r="AC71" s="60" t="n">
        <x:v>55.75960342407227</x:v>
      </x:c>
      <x:c r="AD71" s="60" t="n">
        <x:v>56.088219451904294</x:v>
      </x:c>
      <x:c r="AE71" s="60" t="n">
        <x:v>56.41264820098877</x:v>
      </x:c>
      <x:c r="AF71" s="60" t="n">
        <x:v>56.73941749572754</x:v>
      </x:c>
      <x:c r="AG71" s="60" t="n">
        <x:v>57.06934951782227</x:v>
      </x:c>
      <x:c r="AH71" s="60" t="n">
        <x:v>57.3700813293457</x:v>
      </x:c>
      <x:c r="AI71" s="60" t="n">
        <x:v>57.7111803817749</x:v>
      </x:c>
      <x:c r="AJ71" s="60" t="n">
        <x:v>57.9898983001709</x:v>
      </x:c>
      <x:c r="AK71" s="60" t="n">
        <x:v>58.29557983398438</x:v>
      </x:c>
      <x:c r="AL71" s="60" t="n">
        <x:v>58.59025085449219</x:v>
      </x:c>
      <x:c r="AM71" s="60" t="n">
        <x:v>58.92090530395508</x:v>
      </x:c>
      <x:c r="AN71" s="60" t="n">
        <x:v>59.20309143066406</x:v>
      </x:c>
      <x:c r="AO71" s="60" t="n">
        <x:v>59.482305717468265</x:v>
      </x:c>
      <x:c r="AP71" s="60" t="n">
        <x:v>59.77579132080078</x:v>
      </x:c>
      <x:c r="AQ71" s="60" t="n">
        <x:v>60.03348155975342</x:v>
      </x:c>
      <x:c r="AR71" s="60" t="n">
        <x:v>60.301324157714845</x:v>
      </x:c>
      <x:c r="AS71" s="60" t="n">
        <x:v>60.580966796875</x:v>
      </x:c>
      <x:c r="AT71" s="60" t="n">
        <x:v>60.8269546508789</x:v>
      </x:c>
      <x:c r="AU71" s="60" t="n">
        <x:v>61.09482345581055</x:v>
      </x:c>
      <x:c r="AV71" s="60" t="n">
        <x:v>61.35703239440918</x:v>
      </x:c>
      <x:c r="AW71" s="60" t="n">
        <x:v>61.58707511901856</x:v>
      </x:c>
      <x:c r="AX71" s="60" t="n">
        <x:v>61.86119903564453</x:v>
      </x:c>
      <x:c r="AY71" s="60" t="n">
        <x:v>62.13290958404541</x:v>
      </x:c>
      <x:c r="AZ71" s="60" t="n">
        <x:v>62.37698066711426</x:v>
      </x:c>
      <x:c r="BA71" s="60" t="n">
        <x:v>62.62609600067139</x:v>
      </x:c>
      <x:c r="BB71" s="60" t="n">
        <x:v>62.861249389648435</x:v>
      </x:c>
      <x:c r="BC71" s="60" t="n">
        <x:v>63.08804435729981</x:v>
      </x:c>
      <x:c r="BD71" s="60" t="n">
        <x:v>63.341867446899414</x:v>
      </x:c>
      <x:c r="BE71" s="60" t="n">
        <x:v>63.58897766113281</x:v>
      </x:c>
      <x:c r="BF71" s="60" t="n">
        <x:v>63.84022994995117</x:v>
      </x:c>
      <x:c r="BG71" s="60" t="n">
        <x:v>64.12704902648926</x:v>
      </x:c>
      <x:c r="BH71" s="60" t="n">
        <x:v>64.34447219848633</x:v>
      </x:c>
      <x:c r="BI71" s="60" t="n">
        <x:v>64.6084716796875</x:v>
      </x:c>
      <x:c r="BJ71" s="60" t="n">
        <x:v>64.85375213623047</x:v>
      </x:c>
      <x:c r="BK71" s="60" t="n">
        <x:v>65.14065368652344</x:v>
      </x:c>
      <x:c r="BL71" s="60" t="n">
        <x:v>65.37334075927734</x:v>
      </x:c>
      <x:c r="BM71" s="60" t="n">
        <x:v>65.6227774810791</x:v>
      </x:c>
      <x:c r="BN71" s="60" t="n">
        <x:v>65.82822875976562</x:v>
      </x:c>
      <x:c r="BO71" s="60" t="n">
        <x:v>66.07086791992188</x:v>
      </x:c>
      <x:c r="BP71" s="60" t="n">
        <x:v>66.31193496704101</x:v>
      </x:c>
      <x:c r="BQ71" s="60" t="n">
        <x:v>66.55930725097656</x:v>
      </x:c>
      <x:c r="BR71" s="60" t="n">
        <x:v>66.79388214111329</x:v>
      </x:c>
      <x:c r="BS71" s="60" t="n">
        <x:v>67.04921417236328</x:v>
      </x:c>
      <x:c r="BT71" s="60" t="n">
        <x:v>67.29778549194336</x:v>
      </x:c>
      <x:c r="BU71" s="60" t="n">
        <x:v>67.57220245361329</x:v>
      </x:c>
      <x:c r="BV71" s="60" t="n">
        <x:v>67.83114959716796</x:v>
      </x:c>
      <x:c r="BW71" s="60" t="n">
        <x:v>68.08655494689941</x:v>
      </x:c>
      <x:c r="BX71" s="60" t="n">
        <x:v>68.3434814453125</x:v>
      </x:c>
      <x:c r="BY71" s="60" t="n">
        <x:v>68.55582916259765</x:v>
      </x:c>
      <x:c r="BZ71" s="60" t="n">
        <x:v>68.79667358398437</x:v>
      </x:c>
      <x:c r="CA71" s="60" t="n">
        <x:v>69.05148025512695</x:v>
      </x:c>
      <x:c r="CB71" s="60" t="n">
        <x:v>69.33433471679687</x:v>
      </x:c>
      <x:c r="CC71" s="60" t="n">
        <x:v>69.59868621826172</x:v>
      </x:c>
      <x:c r="CD71" s="60" t="n">
        <x:v>69.8864892578125</x:v>
      </x:c>
      <x:c r="CE71" s="60" t="n">
        <x:v>70.13594223022461</x:v>
      </x:c>
      <x:c r="CF71" s="60" t="n">
        <x:v>70.41652511596679</x:v>
      </x:c>
      <x:c r="CG71" s="60" t="n">
        <x:v>70.72126403808593</x:v>
      </x:c>
      <x:c r="CH71" s="60" t="n">
        <x:v>71.01744995117187</x:v>
      </x:c>
      <x:c r="CI71" s="60" t="n">
        <x:v>71.33561706542969</x:v>
      </x:c>
      <x:c r="CJ71" s="60" t="n">
        <x:v>71.65109512329101</x:v>
      </x:c>
      <x:c r="CK71" s="60" t="n">
        <x:v>71.95254173278809</x:v>
      </x:c>
      <x:c r="CL71" s="60" t="n">
        <x:v>72.2495101928711</x:v>
      </x:c>
      <x:c r="CM71" s="60" t="n">
        <x:v>72.57423782348633</x:v>
      </x:c>
      <x:c r="CN71" s="60" t="n">
        <x:v>72.94320053100586</x:v>
      </x:c>
      <x:c r="CO71" s="60" t="n">
        <x:v>73.29761863708497</x:v>
      </x:c>
      <x:c r="CP71" s="60" t="n">
        <x:v>73.66919250488282</x:v>
      </x:c>
      <x:c r="CQ71" s="60" t="n">
        <x:v>74.08314414978028</x:v>
      </x:c>
      <x:c r="CR71" s="60" t="n">
        <x:v>74.51319961547851</x:v>
      </x:c>
      <x:c r="CS71" s="60" t="n">
        <x:v>74.95925476074218</x:v>
      </x:c>
      <x:c r="CT71" s="60" t="n">
        <x:v>75.4754425048828</x:v>
      </x:c>
      <x:c r="CU71" s="60" t="n">
        <x:v>75.95452423095703</x:v>
      </x:c>
      <x:c r="CV71" s="60" t="n">
        <x:v>76.50196273803711</x:v>
      </x:c>
      <x:c r="CW71" s="60" t="n">
        <x:v>77.0479103088379</x:v>
      </x:c>
      <x:c r="CX71" s="60" t="n">
        <x:v>77.7575814819336</x:v>
      </x:c>
      <x:c r="CY71" s="60" t="n">
        <x:v>78.63271545410154</x:v>
      </x:c>
      <x:c r="CZ71" s="60" t="n">
        <x:v>79.59165344238282</x:v>
      </x:c>
      <x:c r="DA71" s="60" t="n">
        <x:v>80.87979927062985</x:v>
      </x:c>
      <x:c r="DB71" s="60" t="n">
        <x:v>86.74317169189453</x:v>
      </x:c>
    </x:row>
    <x:row r="72">
      <x:c r="A72" t="str">
        <x:v>ミミッキュ-2</x:v>
      </x:c>
      <x:c r="B72" t="str">
        <x:v>ミミッキュ</x:v>
      </x:c>
      <x:c r="C72" t="str">
        <x:v>シャドークロー</x:v>
      </x:c>
      <x:c r="D72" s="60" t="n">
        <x:v>65.6325912475586</x:v>
      </x:c>
      <x:c r="E72" s="60" t="n">
        <x:v>9.21688175201416</x:v>
      </x:c>
      <x:c r="F72" s="60" t="n">
        <x:v>33.895050048828125</x:v>
      </x:c>
      <x:c r="G72" s="60" t="n">
        <x:v>41.900158462524416</x:v>
      </x:c>
      <x:c r="H72" s="60" t="n">
        <x:v>44.53332832336426</x:v>
      </x:c>
      <x:c r="I72" s="60" t="n">
        <x:v>46.34370910644531</x:v>
      </x:c>
      <x:c r="J72" s="60" t="n">
        <x:v>47.74565673828125</x:v>
      </x:c>
      <x:c r="K72" s="60" t="n">
        <x:v>48.83600845336914</x:v>
      </x:c>
      <x:c r="L72" s="60" t="n">
        <x:v>49.750462188720704</x:v>
      </x:c>
      <x:c r="M72" s="60" t="n">
        <x:v>50.63260410308838</x:v>
      </x:c>
      <x:c r="N72" s="60" t="n">
        <x:v>51.4261508178711</x:v>
      </x:c>
      <x:c r="O72" s="60" t="n">
        <x:v>52.22098609924316</x:v>
      </x:c>
      <x:c r="P72" s="60" t="n">
        <x:v>52.85524139404297</x:v>
      </x:c>
      <x:c r="Q72" s="60" t="n">
        <x:v>53.448853721618654</x:v>
      </x:c>
      <x:c r="R72" s="60" t="n">
        <x:v>53.91970764160156</x:v>
      </x:c>
      <x:c r="S72" s="60" t="n">
        <x:v>54.43998485565186</x:v>
      </x:c>
      <x:c r="T72" s="60" t="n">
        <x:v>54.996520080566405</x:v>
      </x:c>
      <x:c r="U72" s="60" t="n">
        <x:v>55.506818771362305</x:v>
      </x:c>
      <x:c r="V72" s="60" t="n">
        <x:v>55.99720260620117</x:v>
      </x:c>
      <x:c r="W72" s="60" t="n">
        <x:v>56.50173202514649</x:v>
      </x:c>
      <x:c r="X72" s="60" t="n">
        <x:v>56.9366463470459</x:v>
      </x:c>
      <x:c r="Y72" s="60" t="n">
        <x:v>57.39312202453613</x:v>
      </x:c>
      <x:c r="Z72" s="60" t="n">
        <x:v>57.848899841308594</x:v>
      </x:c>
      <x:c r="AA72" s="60" t="n">
        <x:v>58.2533438873291</x:v>
      </x:c>
      <x:c r="AB72" s="60" t="n">
        <x:v>58.601662139892575</x:v>
      </x:c>
      <x:c r="AC72" s="60" t="n">
        <x:v>58.939389877319336</x:v>
      </x:c>
      <x:c r="AD72" s="60" t="n">
        <x:v>59.257899322509765</x:v>
      </x:c>
      <x:c r="AE72" s="60" t="n">
        <x:v>59.57578659057617</x:v>
      </x:c>
      <x:c r="AF72" s="60" t="n">
        <x:v>59.98256805419922</x:v>
      </x:c>
      <x:c r="AG72" s="60" t="n">
        <x:v>60.27507602691651</x:v>
      </x:c>
      <x:c r="AH72" s="60" t="n">
        <x:v>60.61612030029297</x:v>
      </x:c>
      <x:c r="AI72" s="60" t="n">
        <x:v>60.90735935211182</x:v>
      </x:c>
      <x:c r="AJ72" s="60" t="n">
        <x:v>61.22109527587891</x:v>
      </x:c>
      <x:c r="AK72" s="60" t="n">
        <x:v>61.540231475830076</x:v>
      </x:c>
      <x:c r="AL72" s="60" t="n">
        <x:v>61.843799438476566</x:v>
      </x:c>
      <x:c r="AM72" s="60" t="n">
        <x:v>62.131509132385254</x:v>
      </x:c>
      <x:c r="AN72" s="60" t="n">
        <x:v>62.43199760437012</x:v>
      </x:c>
      <x:c r="AO72" s="60" t="n">
        <x:v>62.68802814483642</x:v>
      </x:c>
      <x:c r="AP72" s="60" t="n">
        <x:v>62.959660339355466</x:v>
      </x:c>
      <x:c r="AQ72" s="60" t="n">
        <x:v>63.258168144226076</x:v>
      </x:c>
      <x:c r="AR72" s="60" t="n">
        <x:v>63.49863677978516</x:v>
      </x:c>
      <x:c r="AS72" s="60" t="n">
        <x:v>63.78665416717529</x:v>
      </x:c>
      <x:c r="AT72" s="60" t="n">
        <x:v>64.0709014892578</x:v>
      </x:c>
      <x:c r="AU72" s="60" t="n">
        <x:v>64.34429077148438</x:v>
      </x:c>
      <x:c r="AV72" s="60" t="n">
        <x:v>64.58702255249024</x:v>
      </x:c>
      <x:c r="AW72" s="60" t="n">
        <x:v>64.87023651123047</x:v>
      </x:c>
      <x:c r="AX72" s="60" t="n">
        <x:v>65.12875793457032</x:v>
      </x:c>
      <x:c r="AY72" s="60" t="n">
        <x:v>65.36810455322265</x:v>
      </x:c>
      <x:c r="AZ72" s="60" t="n">
        <x:v>65.64503372192382</x:v>
      </x:c>
      <x:c r="BA72" s="60" t="n">
        <x:v>65.87368469238281</x:v>
      </x:c>
      <x:c r="BB72" s="60" t="n">
        <x:v>66.11938507080079</x:v>
      </x:c>
      <x:c r="BC72" s="60" t="n">
        <x:v>66.34200698852538</x:v>
      </x:c>
      <x:c r="BD72" s="60" t="n">
        <x:v>66.58752822875977</x:v>
      </x:c>
      <x:c r="BE72" s="60" t="n">
        <x:v>66.85469329833984</x:v>
      </x:c>
      <x:c r="BF72" s="60" t="n">
        <x:v>67.07647094726562</x:v>
      </x:c>
      <x:c r="BG72" s="60" t="n">
        <x:v>67.30260147094727</x:v>
      </x:c>
      <x:c r="BH72" s="60" t="n">
        <x:v>67.53650131225587</x:v>
      </x:c>
      <x:c r="BI72" s="60" t="n">
        <x:v>67.79202346801758</x:v>
      </x:c>
      <x:c r="BJ72" s="60" t="n">
        <x:v>68.07556365966796</x:v>
      </x:c>
      <x:c r="BK72" s="60" t="n">
        <x:v>68.34460533142091</x:v>
      </x:c>
      <x:c r="BL72" s="60" t="n">
        <x:v>68.58264694213867</x:v>
      </x:c>
      <x:c r="BM72" s="60" t="n">
        <x:v>68.81741867065429</x:v>
      </x:c>
      <x:c r="BN72" s="60" t="n">
        <x:v>69.05539245605469</x:v>
      </x:c>
      <x:c r="BO72" s="60" t="n">
        <x:v>69.30016510009766</x:v>
      </x:c>
      <x:c r="BP72" s="60" t="n">
        <x:v>69.5601579284668</x:v>
      </x:c>
      <x:c r="BQ72" s="60" t="n">
        <x:v>69.76050971984863</x:v>
      </x:c>
      <x:c r="BR72" s="60" t="n">
        <x:v>69.9987142944336</x:v>
      </x:c>
      <x:c r="BS72" s="60" t="n">
        <x:v>70.24004325866699</x:v>
      </x:c>
      <x:c r="BT72" s="60" t="n">
        <x:v>70.4562760925293</x:v>
      </x:c>
      <x:c r="BU72" s="60" t="n">
        <x:v>70.71065208435058</x:v>
      </x:c>
      <x:c r="BV72" s="60" t="n">
        <x:v>70.94425170898438</x:v>
      </x:c>
      <x:c r="BW72" s="60" t="n">
        <x:v>71.17156219482422</x:v>
      </x:c>
      <x:c r="BX72" s="60" t="n">
        <x:v>71.41833114624023</x:v>
      </x:c>
      <x:c r="BY72" s="60" t="n">
        <x:v>71.69734405517578</x:v>
      </x:c>
      <x:c r="BZ72" s="60" t="n">
        <x:v>71.94574157714844</x:v>
      </x:c>
      <x:c r="CA72" s="60" t="n">
        <x:v>72.1856297302246</x:v>
      </x:c>
      <x:c r="CB72" s="60" t="n">
        <x:v>72.42450286865234</x:v>
      </x:c>
      <x:c r="CC72" s="60" t="n">
        <x:v>72.66909599304199</x:v>
      </x:c>
      <x:c r="CD72" s="60" t="n">
        <x:v>72.89824523925782</x:v>
      </x:c>
      <x:c r="CE72" s="60" t="n">
        <x:v>73.14664192199707</x:v>
      </x:c>
      <x:c r="CF72" s="60" t="n">
        <x:v>73.43268234252929</x:v>
      </x:c>
      <x:c r="CG72" s="60" t="n">
        <x:v>73.68597038269043</x:v>
      </x:c>
      <x:c r="CH72" s="60" t="n">
        <x:v>73.96150817871094</x:v>
      </x:c>
      <x:c r="CI72" s="60" t="n">
        <x:v>74.24222953796387</x:v>
      </x:c>
      <x:c r="CJ72" s="60" t="n">
        <x:v>74.467431640625</x:v>
      </x:c>
      <x:c r="CK72" s="60" t="n">
        <x:v>74.72699317932128</x:v>
      </x:c>
      <x:c r="CL72" s="60" t="n">
        <x:v>75.02641326904296</x:v>
      </x:c>
      <x:c r="CM72" s="60" t="n">
        <x:v>75.28017044067383</x:v>
      </x:c>
      <x:c r="CN72" s="60" t="n">
        <x:v>75.58040313720703</x:v>
      </x:c>
      <x:c r="CO72" s="60" t="n">
        <x:v>75.88446922302246</x:v>
      </x:c>
      <x:c r="CP72" s="60" t="n">
        <x:v>76.22022644042968</x:v>
      </x:c>
      <x:c r="CQ72" s="60" t="n">
        <x:v>76.54512145996094</x:v>
      </x:c>
      <x:c r="CR72" s="60" t="n">
        <x:v>76.91102294921875</x:v>
      </x:c>
      <x:c r="CS72" s="60" t="n">
        <x:v>77.23245422363281</x:v>
      </x:c>
      <x:c r="CT72" s="60" t="n">
        <x:v>77.60860046386719</x:v>
      </x:c>
      <x:c r="CU72" s="60" t="n">
        <x:v>77.97949821472167</x:v>
      </x:c>
      <x:c r="CV72" s="60" t="n">
        <x:v>78.4290788269043</x:v>
      </x:c>
      <x:c r="CW72" s="60" t="n">
        <x:v>78.88260498046876</x:v>
      </x:c>
      <x:c r="CX72" s="60" t="n">
        <x:v>79.52858673095704</x:v>
      </x:c>
      <x:c r="CY72" s="60" t="n">
        <x:v>80.12151992797851</x:v>
      </x:c>
      <x:c r="CZ72" s="60" t="n">
        <x:v>80.99658966064453</x:v>
      </x:c>
      <x:c r="DA72" s="60" t="n">
        <x:v>82.08893608093261</x:v>
      </x:c>
      <x:c r="DB72" s="60" t="n">
        <x:v>85.29718017578125</x:v>
      </x:c>
    </x:row>
    <x:row r="73">
      <x:c r="A73" t="str">
        <x:v>ミュウツー(X)-1</x:v>
      </x:c>
      <x:c r="B73" t="str">
        <x:v>ミュウツー(X)</x:v>
      </x:c>
      <x:c r="C73" t="str">
        <x:v>共通</x:v>
      </x:c>
      <x:c r="D73" s="60" t="n">
        <x:v>66.65293884277344</x:v>
      </x:c>
      <x:c r="E73" s="60" t="n">
        <x:v>4.608713150024414</x:v>
      </x:c>
      <x:c r="F73" s="60" t="n">
        <x:v>46.594017028808594</x:v>
      </x:c>
      <x:c r="G73" s="60" t="n">
        <x:v>53.03176376342773</x:v>
      </x:c>
      <x:c r="H73" s="60" t="n">
        <x:v>55.04230926513672</x:v>
      </x:c>
      <x:c r="I73" s="60" t="n">
        <x:v>56.21609191894531</x:v>
      </x:c>
      <x:c r="J73" s="60" t="n">
        <x:v>57.14568954467774</x:v>
      </x:c>
      <x:c r="K73" s="60" t="n">
        <x:v>57.84234275817871</x:v>
      </x:c>
      <x:c r="L73" s="60" t="n">
        <x:v>58.456436767578126</x:v>
      </x:c>
      <x:c r="M73" s="60" t="n">
        <x:v>59.008265342712406</x:v>
      </x:c>
      <x:c r="N73" s="60" t="n">
        <x:v>59.464885559082035</x:v>
      </x:c>
      <x:c r="O73" s="60" t="n">
        <x:v>59.88766986846924</x:v>
      </x:c>
      <x:c r="P73" s="60" t="n">
        <x:v>60.267435455322264</x:v>
      </x:c>
      <x:c r="Q73" s="60" t="n">
        <x:v>60.64295597076416</x:v>
      </x:c>
      <x:c r="R73" s="60" t="n">
        <x:v>61.004302215576175</x:v>
      </x:c>
      <x:c r="S73" s="60" t="n">
        <x:v>61.28244243621826</x:v>
      </x:c>
      <x:c r="T73" s="60" t="n">
        <x:v>61.571759643554685</x:v>
      </x:c>
      <x:c r="U73" s="60" t="n">
        <x:v>61.83717212677002</x:v>
      </x:c>
      <x:c r="V73" s="60" t="n">
        <x:v>62.10929779052734</x:v>
      </x:c>
      <x:c r="W73" s="60" t="n">
        <x:v>62.37614322662353</x:v>
      </x:c>
      <x:c r="X73" s="60" t="n">
        <x:v>62.59200035095215</x:v>
      </x:c>
      <x:c r="Y73" s="60" t="n">
        <x:v>62.81521255493164</x:v>
      </x:c>
      <x:c r="Z73" s="60" t="n">
        <x:v>63.03413696289063</x:v>
      </x:c>
      <x:c r="AA73" s="60" t="n">
        <x:v>63.23749416351318</x:v>
      </x:c>
      <x:c r="AB73" s="60" t="n">
        <x:v>63.43140625</x:v>
      </x:c>
      <x:c r="AC73" s="60" t="n">
        <x:v>63.653969802856444</x:v>
      </x:c>
      <x:c r="AD73" s="60" t="n">
        <x:v>63.84302536010742</x:v>
      </x:c>
      <x:c r="AE73" s="60" t="n">
        <x:v>64.02026748657227</x:v>
      </x:c>
      <x:c r="AF73" s="60" t="n">
        <x:v>64.1888360595703</x:v>
      </x:c>
      <x:c r="AG73" s="60" t="n">
        <x:v>64.35577445983887</x:v>
      </x:c>
      <x:c r="AH73" s="60" t="n">
        <x:v>64.5308462524414</x:v>
      </x:c>
      <x:c r="AI73" s="60" t="n">
        <x:v>64.70059288024902</x:v>
      </x:c>
      <x:c r="AJ73" s="60" t="n">
        <x:v>64.82687149047851</x:v>
      </x:c>
      <x:c r="AK73" s="60" t="n">
        <x:v>64.97057579040528</x:v>
      </x:c>
      <x:c r="AL73" s="60" t="n">
        <x:v>65.10567993164062</x:v>
      </x:c>
      <x:c r="AM73" s="60" t="n">
        <x:v>65.25491134643555</x:v>
      </x:c>
      <x:c r="AN73" s="60" t="n">
        <x:v>65.39937637329102</x:v>
      </x:c>
      <x:c r="AO73" s="60" t="n">
        <x:v>65.55956954956055</x:v>
      </x:c>
      <x:c r="AP73" s="60" t="n">
        <x:v>65.67014923095704</x:v>
      </x:c>
      <x:c r="AQ73" s="60" t="n">
        <x:v>65.79954452514649</x:v>
      </x:c>
      <x:c r="AR73" s="60" t="n">
        <x:v>65.92657501220702</x:v>
      </x:c>
      <x:c r="AS73" s="60" t="n">
        <x:v>66.06133514404297</x:v>
      </x:c>
      <x:c r="AT73" s="60" t="n">
        <x:v>66.20288696289063</x:v>
      </x:c>
      <x:c r="AU73" s="60" t="n">
        <x:v>66.32291633605956</x:v>
      </x:c>
      <x:c r="AV73" s="60" t="n">
        <x:v>66.4363934326172</x:v>
      </x:c>
      <x:c r="AW73" s="60" t="n">
        <x:v>66.56073944091797</x:v>
      </x:c>
      <x:c r="AX73" s="60" t="n">
        <x:v>66.68051361083984</x:v>
      </x:c>
      <x:c r="AY73" s="60" t="n">
        <x:v>66.81049575805665</x:v>
      </x:c>
      <x:c r="AZ73" s="60" t="n">
        <x:v>66.9386540222168</x:v>
      </x:c>
      <x:c r="BA73" s="60" t="n">
        <x:v>67.0605436706543</x:v>
      </x:c>
      <x:c r="BB73" s="60" t="n">
        <x:v>67.16498382568359</x:v>
      </x:c>
      <x:c r="BC73" s="60" t="n">
        <x:v>67.27677040100097</x:v>
      </x:c>
      <x:c r="BD73" s="60" t="n">
        <x:v>67.39189529418945</x:v>
      </x:c>
      <x:c r="BE73" s="60" t="n">
        <x:v>67.51256317138672</x:v>
      </x:c>
      <x:c r="BF73" s="60" t="n">
        <x:v>67.62292419433594</x:v>
      </x:c>
      <x:c r="BG73" s="60" t="n">
        <x:v>67.7352269744873</x:v>
      </x:c>
      <x:c r="BH73" s="60" t="n">
        <x:v>67.84210891723633</x:v>
      </x:c>
      <x:c r="BI73" s="60" t="n">
        <x:v>67.95677871704102</x:v>
      </x:c>
      <x:c r="BJ73" s="60" t="n">
        <x:v>68.07466003417969</x:v>
      </x:c>
      <x:c r="BK73" s="60" t="n">
        <x:v>68.18065124511719</x:v>
      </x:c>
      <x:c r="BL73" s="60" t="n">
        <x:v>68.29145980834961</x:v>
      </x:c>
      <x:c r="BM73" s="60" t="n">
        <x:v>68.40062515258789</x:v>
      </x:c>
      <x:c r="BN73" s="60" t="n">
        <x:v>68.50404205322266</x:v>
      </x:c>
      <x:c r="BO73" s="60" t="n">
        <x:v>68.61372871398926</x:v>
      </x:c>
      <x:c r="BP73" s="60" t="n">
        <x:v>68.73026763916016</x:v>
      </x:c>
      <x:c r="BQ73" s="60" t="n">
        <x:v>68.82856452941894</x:v>
      </x:c>
      <x:c r="BR73" s="60" t="n">
        <x:v>68.92995178222657</x:v>
      </x:c>
      <x:c r="BS73" s="60" t="n">
        <x:v>69.0391960144043</x:v>
      </x:c>
      <x:c r="BT73" s="60" t="n">
        <x:v>69.13471786499024</x:v>
      </x:c>
      <x:c r="BU73" s="60" t="n">
        <x:v>69.22777557373047</x:v>
      </x:c>
      <x:c r="BV73" s="60" t="n">
        <x:v>69.31617492675781</x:v>
      </x:c>
      <x:c r="BW73" s="60" t="n">
        <x:v>69.41457458496095</x:v>
      </x:c>
      <x:c r="BX73" s="60" t="n">
        <x:v>69.52783737182617</x:v>
      </x:c>
      <x:c r="BY73" s="60" t="n">
        <x:v>69.65011238098144</x:v>
      </x:c>
      <x:c r="BZ73" s="60" t="n">
        <x:v>69.75241973876953</x:v>
      </x:c>
      <x:c r="CA73" s="60" t="n">
        <x:v>69.86057891845704</x:v>
      </x:c>
      <x:c r="CB73" s="60" t="n">
        <x:v>69.96002334594726</x:v>
      </x:c>
      <x:c r="CC73" s="60" t="n">
        <x:v>70.06653213500977</x:v>
      </x:c>
      <x:c r="CD73" s="60" t="n">
        <x:v>70.17878051757812</x:v>
      </x:c>
      <x:c r="CE73" s="60" t="n">
        <x:v>70.27959251403809</x:v>
      </x:c>
      <x:c r="CF73" s="60" t="n">
        <x:v>70.39501892089844</x:v>
      </x:c>
      <x:c r="CG73" s="60" t="n">
        <x:v>70.51454811096191</x:v>
      </x:c>
      <x:c r="CH73" s="60" t="n">
        <x:v>70.62798461914062</x:v>
      </x:c>
      <x:c r="CI73" s="60" t="n">
        <x:v>70.74404930114746</x:v>
      </x:c>
      <x:c r="CJ73" s="60" t="n">
        <x:v>70.84999816894532</x:v>
      </x:c>
      <x:c r="CK73" s="60" t="n">
        <x:v>70.97409049987793</x:v>
      </x:c>
      <x:c r="CL73" s="60" t="n">
        <x:v>71.08423309326172</x:v>
      </x:c>
      <x:c r="CM73" s="60" t="n">
        <x:v>71.21206970214843</x:v>
      </x:c>
      <x:c r="CN73" s="60" t="n">
        <x:v>71.34615341186523</x:v>
      </x:c>
      <x:c r="CO73" s="60" t="n">
        <x:v>71.48868782043458</x:v>
      </x:c>
      <x:c r="CP73" s="60" t="n">
        <x:v>71.63564422607422</x:v>
      </x:c>
      <x:c r="CQ73" s="60" t="n">
        <x:v>71.78142601013184</x:v>
      </x:c>
      <x:c r="CR73" s="60" t="n">
        <x:v>71.91050186157227</x:v>
      </x:c>
      <x:c r="CS73" s="60" t="n">
        <x:v>72.0543669128418</x:v>
      </x:c>
      <x:c r="CT73" s="60" t="n">
        <x:v>72.2458267211914</x:v>
      </x:c>
      <x:c r="CU73" s="60" t="n">
        <x:v>72.41305335998535</x:v>
      </x:c>
      <x:c r="CV73" s="60" t="n">
        <x:v>72.62353240966797</x:v>
      </x:c>
      <x:c r="CW73" s="60" t="n">
        <x:v>72.81742782592774</x:v>
      </x:c>
      <x:c r="CX73" s="60" t="n">
        <x:v>73.06838287353516</x:v>
      </x:c>
      <x:c r="CY73" s="60" t="n">
        <x:v>73.30864143371582</x:v>
      </x:c>
      <x:c r="CZ73" s="60" t="n">
        <x:v>73.68341735839844</x:v>
      </x:c>
      <x:c r="DA73" s="60" t="n">
        <x:v>74.19689659118652</x:v>
      </x:c>
      <x:c r="DB73" s="60" t="n">
        <x:v>76.38104248046875</x:v>
      </x:c>
    </x:row>
    <x:row r="74">
      <x:c r="A74" t="str">
        <x:v>メタグロス-1</x:v>
      </x:c>
      <x:c r="B74" t="str">
        <x:v>メタグロス</x:v>
      </x:c>
      <x:c r="C74" t="str">
        <x:v>共通</x:v>
      </x:c>
      <x:c r="D74" s="60" t="n">
        <x:v>66.62588500976562</x:v>
      </x:c>
      <x:c r="E74" s="60" t="n">
        <x:v>8.551445007324219</x:v>
      </x:c>
      <x:c r="F74" s="60" t="n">
        <x:v>35.29719924926758</x:v>
      </x:c>
      <x:c r="G74" s="60" t="n">
        <x:v>43.43549160003662</x:v>
      </x:c>
      <x:c r="H74" s="60" t="n">
        <x:v>46.283978652954104</x:v>
      </x:c>
      <x:c r="I74" s="60" t="n">
        <x:v>48.13488304138183</x:v>
      </x:c>
      <x:c r="J74" s="60" t="n">
        <x:v>49.4838752746582</x:v>
      </x:c>
      <x:c r="K74" s="60" t="n">
        <x:v>50.605217933654785</x:v>
      </x:c>
      <x:c r="L74" s="60" t="n">
        <x:v>51.60410614013672</x:v>
      </x:c>
      <x:c r="M74" s="60" t="n">
        <x:v>52.54792018890381</x:v>
      </x:c>
      <x:c r="N74" s="60" t="n">
        <x:v>53.33900527954101</x:v>
      </x:c>
      <x:c r="O74" s="60" t="n">
        <x:v>54.042010078430174</x:v>
      </x:c>
      <x:c r="P74" s="60" t="n">
        <x:v>54.71481437683106</x:v>
      </x:c>
      <x:c r="Q74" s="60" t="n">
        <x:v>55.284399833679196</x:v>
      </x:c>
      <x:c r="R74" s="60" t="n">
        <x:v>55.786107482910154</x:v>
      </x:c>
      <x:c r="S74" s="60" t="n">
        <x:v>56.33130168914795</x:v>
      </x:c>
      <x:c r="T74" s="60" t="n">
        <x:v>56.81959716796875</x:v>
      </x:c>
      <x:c r="U74" s="60" t="n">
        <x:v>57.300513076782224</x:v>
      </x:c>
      <x:c r="V74" s="60" t="n">
        <x:v>57.74199661254883</x:v>
      </x:c>
      <x:c r="W74" s="60" t="n">
        <x:v>58.20990875244141</x:v>
      </x:c>
      <x:c r="X74" s="60" t="n">
        <x:v>58.5803938293457</x:v>
      </x:c>
      <x:c r="Y74" s="60" t="n">
        <x:v>58.96302337646485</x:v>
      </x:c>
      <x:c r="Z74" s="60" t="n">
        <x:v>59.357645416259764</x:v>
      </x:c>
      <x:c r="AA74" s="60" t="n">
        <x:v>59.70982967376709</x:v>
      </x:c>
      <x:c r="AB74" s="60" t="n">
        <x:v>60.034224853515624</x:v>
      </x:c>
      <x:c r="AC74" s="60" t="n">
        <x:v>60.37493476867676</x:v>
      </x:c>
      <x:c r="AD74" s="60" t="n">
        <x:v>60.71208938598633</x:v>
      </x:c>
      <x:c r="AE74" s="60" t="n">
        <x:v>61.09375762939453</x:v>
      </x:c>
      <x:c r="AF74" s="60" t="n">
        <x:v>61.45141975402832</x:v>
      </x:c>
      <x:c r="AG74" s="60" t="n">
        <x:v>61.7812285232544</x:v>
      </x:c>
      <x:c r="AH74" s="60" t="n">
        <x:v>62.12068084716797</x:v>
      </x:c>
      <x:c r="AI74" s="60" t="n">
        <x:v>62.44084259033203</x:v>
      </x:c>
      <x:c r="AJ74" s="60" t="n">
        <x:v>62.73397789001465</x:v>
      </x:c>
      <x:c r="AK74" s="60" t="n">
        <x:v>63.01912181854248</x:v>
      </x:c>
      <x:c r="AL74" s="60" t="n">
        <x:v>63.32584396362305</x:v>
      </x:c>
      <x:c r="AM74" s="60" t="n">
        <x:v>63.617630615234376</x:v>
      </x:c>
      <x:c r="AN74" s="60" t="n">
        <x:v>63.8886058807373</x:v>
      </x:c>
      <x:c r="AO74" s="60" t="n">
        <x:v>64.14760818481446</x:v>
      </x:c>
      <x:c r="AP74" s="60" t="n">
        <x:v>64.4335513305664</x:v>
      </x:c>
      <x:c r="AQ74" s="60" t="n">
        <x:v>64.67913520812988</x:v>
      </x:c>
      <x:c r="AR74" s="60" t="n">
        <x:v>64.94576721191406</x:v>
      </x:c>
      <x:c r="AS74" s="60" t="n">
        <x:v>65.18281692504883</x:v>
      </x:c>
      <x:c r="AT74" s="60" t="n">
        <x:v>65.45265655517578</x:v>
      </x:c>
      <x:c r="AU74" s="60" t="n">
        <x:v>65.72065269470215</x:v>
      </x:c>
      <x:c r="AV74" s="60" t="n">
        <x:v>65.9464421081543</x:v>
      </x:c>
      <x:c r="AW74" s="60" t="n">
        <x:v>66.18948944091797</x:v>
      </x:c>
      <x:c r="AX74" s="60" t="n">
        <x:v>66.40554229736328</x:v>
      </x:c>
      <x:c r="AY74" s="60" t="n">
        <x:v>66.6345718383789</x:v>
      </x:c>
      <x:c r="AZ74" s="60" t="n">
        <x:v>66.86919525146484</x:v>
      </x:c>
      <x:c r="BA74" s="60" t="n">
        <x:v>67.11073272705079</x:v>
      </x:c>
      <x:c r="BB74" s="60" t="n">
        <x:v>67.37075378417968</x:v>
      </x:c>
      <x:c r="BC74" s="60" t="n">
        <x:v>67.60557250976562</x:v>
      </x:c>
      <x:c r="BD74" s="60" t="n">
        <x:v>67.83656692504883</x:v>
      </x:c>
      <x:c r="BE74" s="60" t="n">
        <x:v>68.0759009552002</x:v>
      </x:c>
      <x:c r="BF74" s="60" t="n">
        <x:v>68.31521118164062</x:v>
      </x:c>
      <x:c r="BG74" s="60" t="n">
        <x:v>68.53829200744629</x:v>
      </x:c>
      <x:c r="BH74" s="60" t="n">
        <x:v>68.72981460571289</x:v>
      </x:c>
      <x:c r="BI74" s="60" t="n">
        <x:v>68.9552173614502</x:v>
      </x:c>
      <x:c r="BJ74" s="60" t="n">
        <x:v>69.16484954833984</x:v>
      </x:c>
      <x:c r="BK74" s="60" t="n">
        <x:v>69.39384872436524</x:v>
      </x:c>
      <x:c r="BL74" s="60" t="n">
        <x:v>69.64283554077149</x:v>
      </x:c>
      <x:c r="BM74" s="60" t="n">
        <x:v>69.89622299194336</x:v>
      </x:c>
      <x:c r="BN74" s="60" t="n">
        <x:v>70.09935913085937</x:v>
      </x:c>
      <x:c r="BO74" s="60" t="n">
        <x:v>70.31829399108886</x:v>
      </x:c>
      <x:c r="BP74" s="60" t="n">
        <x:v>70.5532258605957</x:v>
      </x:c>
      <x:c r="BQ74" s="60" t="n">
        <x:v>70.74973022460938</x:v>
      </x:c>
      <x:c r="BR74" s="60" t="n">
        <x:v>70.94913604736328</x:v>
      </x:c>
      <x:c r="BS74" s="60" t="n">
        <x:v>71.16213722229004</x:v>
      </x:c>
      <x:c r="BT74" s="60" t="n">
        <x:v>71.38979522705078</x:v>
      </x:c>
      <x:c r="BU74" s="60" t="n">
        <x:v>71.59794403076172</x:v>
      </x:c>
      <x:c r="BV74" s="60" t="n">
        <x:v>71.80638305664063</x:v>
      </x:c>
      <x:c r="BW74" s="60" t="n">
        <x:v>72.02680458068848</x:v>
      </x:c>
      <x:c r="BX74" s="60" t="n">
        <x:v>72.25339813232422</x:v>
      </x:c>
      <x:c r="BY74" s="60" t="n">
        <x:v>72.47961929321289</x:v>
      </x:c>
      <x:c r="BZ74" s="60" t="n">
        <x:v>72.66467498779296</x:v>
      </x:c>
      <x:c r="CA74" s="60" t="n">
        <x:v>72.85844970703126</x:v>
      </x:c>
      <x:c r="CB74" s="60" t="n">
        <x:v>73.0620002746582</x:v>
      </x:c>
      <x:c r="CC74" s="60" t="n">
        <x:v>73.27758026123047</x:v>
      </x:c>
      <x:c r="CD74" s="60" t="n">
        <x:v>73.5032943725586</x:v>
      </x:c>
      <x:c r="CE74" s="60" t="n">
        <x:v>73.71806449890137</x:v>
      </x:c>
      <x:c r="CF74" s="60" t="n">
        <x:v>73.92654296875</x:v>
      </x:c>
      <x:c r="CG74" s="60" t="n">
        <x:v>74.13068336486816</x:v>
      </x:c>
      <x:c r="CH74" s="60" t="n">
        <x:v>74.33389129638672</x:v>
      </x:c>
      <x:c r="CI74" s="60" t="n">
        <x:v>74.57388175964356</x:v>
      </x:c>
      <x:c r="CJ74" s="60" t="n">
        <x:v>74.7933428955078</x:v>
      </x:c>
      <x:c r="CK74" s="60" t="n">
        <x:v>75.00503646850586</x:v>
      </x:c>
      <x:c r="CL74" s="60" t="n">
        <x:v>75.25900573730469</x:v>
      </x:c>
      <x:c r="CM74" s="60" t="n">
        <x:v>75.49188842773438</x:v>
      </x:c>
      <x:c r="CN74" s="60" t="n">
        <x:v>75.73974014282227</x:v>
      </x:c>
      <x:c r="CO74" s="60" t="n">
        <x:v>76.0362035369873</x:v>
      </x:c>
      <x:c r="CP74" s="60" t="n">
        <x:v>76.27730895996093</x:v>
      </x:c>
      <x:c r="CQ74" s="60" t="n">
        <x:v>76.54582618713378</x:v>
      </x:c>
      <x:c r="CR74" s="60" t="n">
        <x:v>76.80055465698243</x:v>
      </x:c>
      <x:c r="CS74" s="60" t="n">
        <x:v>77.0676343536377</x:v>
      </x:c>
      <x:c r="CT74" s="60" t="n">
        <x:v>77.34387481689453</x:v>
      </x:c>
      <x:c r="CU74" s="60" t="n">
        <x:v>77.66602523803711</x:v>
      </x:c>
      <x:c r="CV74" s="60" t="n">
        <x:v>77.99901672363282</x:v>
      </x:c>
      <x:c r="CW74" s="60" t="n">
        <x:v>78.37713165283203</x:v>
      </x:c>
      <x:c r="CX74" s="60" t="n">
        <x:v>78.75844909667968</x:v>
      </x:c>
      <x:c r="CY74" s="60" t="n">
        <x:v>79.27433677673339</x:v>
      </x:c>
      <x:c r="CZ74" s="60" t="n">
        <x:v>79.77457092285157</x:v>
      </x:c>
      <x:c r="DA74" s="60" t="n">
        <x:v>80.41617904663086</x:v>
      </x:c>
      <x:c r="DB74" s="60" t="n">
        <x:v>82.80371856689453</x:v>
      </x:c>
    </x:row>
    <x:row r="75">
      <x:c r="A75" t="str">
        <x:v>リザードン-1</x:v>
      </x:c>
      <x:c r="B75" t="str">
        <x:v>リザードン</x:v>
      </x:c>
      <x:c r="C75" t="str">
        <x:v>だいもんじ</x:v>
      </x:c>
      <x:c r="D75" s="60" t="n">
        <x:v>65.80105590820312</x:v>
      </x:c>
      <x:c r="E75" s="60" t="n">
        <x:v>8.666899681091309</x:v>
      </x:c>
      <x:c r="F75" s="60" t="n">
        <x:v>34.24919128417969</x:v>
      </x:c>
      <x:c r="G75" s="60" t="n">
        <x:v>43.476825942993166</x:v>
      </x:c>
      <x:c r="H75" s="60" t="n">
        <x:v>46.245062103271486</x:v>
      </x:c>
      <x:c r="I75" s="60" t="n">
        <x:v>48.04677040100098</x:v>
      </x:c>
      <x:c r="J75" s="60" t="n">
        <x:v>49.344986572265626</x:v>
      </x:c>
      <x:c r="K75" s="60" t="n">
        <x:v>50.311075592041014</x:v>
      </x:c>
      <x:c r="L75" s="60" t="n">
        <x:v>51.173121490478515</x:v>
      </x:c>
      <x:c r="M75" s="60" t="n">
        <x:v>51.981622276306155</x:v>
      </x:c>
      <x:c r="N75" s="60" t="n">
        <x:v>52.70026077270508</x:v>
      </x:c>
      <x:c r="O75" s="60" t="n">
        <x:v>53.34954078674316</x:v>
      </x:c>
      <x:c r="P75" s="60" t="n">
        <x:v>53.85335350036621</x:v>
      </x:c>
      <x:c r="Q75" s="60" t="n">
        <x:v>54.40592586517334</x:v>
      </x:c>
      <x:c r="R75" s="60" t="n">
        <x:v>54.92338195800781</x:v>
      </x:c>
      <x:c r="S75" s="60" t="n">
        <x:v>55.4391060256958</x:v>
      </x:c>
      <x:c r="T75" s="60" t="n">
        <x:v>55.94623908996582</x:v>
      </x:c>
      <x:c r="U75" s="60" t="n">
        <x:v>56.43767623901367</x:v>
      </x:c>
      <x:c r="V75" s="60" t="n">
        <x:v>56.84076507568359</x:v>
      </x:c>
      <x:c r="W75" s="60" t="n">
        <x:v>57.29228843688965</x:v>
      </x:c>
      <x:c r="X75" s="60" t="n">
        <x:v>57.73408081054688</x:v>
      </x:c>
      <x:c r="Y75" s="60" t="n">
        <x:v>58.1154080581665</x:v>
      </x:c>
      <x:c r="Z75" s="60" t="n">
        <x:v>58.438943481445314</x:v>
      </x:c>
      <x:c r="AA75" s="60" t="n">
        <x:v>58.757630805969235</x:v>
      </x:c>
      <x:c r="AB75" s="60" t="n">
        <x:v>59.112388076782224</x:v>
      </x:c>
      <x:c r="AC75" s="60" t="n">
        <x:v>59.45028285980225</x:v>
      </x:c>
      <x:c r="AD75" s="60" t="n">
        <x:v>59.80448501586914</x:v>
      </x:c>
      <x:c r="AE75" s="60" t="n">
        <x:v>60.11324214935303</x:v>
      </x:c>
      <x:c r="AF75" s="60" t="n">
        <x:v>60.42542350769043</x:v>
      </x:c>
      <x:c r="AG75" s="60" t="n">
        <x:v>60.71364887237549</x:v>
      </x:c>
      <x:c r="AH75" s="60" t="n">
        <x:v>61.01876556396484</x:v>
      </x:c>
      <x:c r="AI75" s="60" t="n">
        <x:v>61.30969955444336</x:v>
      </x:c>
      <x:c r="AJ75" s="60" t="n">
        <x:v>61.559796524047854</x:v>
      </x:c>
      <x:c r="AK75" s="60" t="n">
        <x:v>61.85929214477539</x:v>
      </x:c>
      <x:c r="AL75" s="60" t="n">
        <x:v>62.11788818359375</x:v>
      </x:c>
      <x:c r="AM75" s="60" t="n">
        <x:v>62.390411376953125</x:v>
      </x:c>
      <x:c r="AN75" s="60" t="n">
        <x:v>62.643899307250976</x:v>
      </x:c>
      <x:c r="AO75" s="60" t="n">
        <x:v>62.93970909118652</x:v>
      </x:c>
      <x:c r="AP75" s="60" t="n">
        <x:v>63.218302917480464</x:v>
      </x:c>
      <x:c r="AQ75" s="60" t="n">
        <x:v>63.51496463775635</x:v>
      </x:c>
      <x:c r="AR75" s="60" t="n">
        <x:v>63.7513639831543</x:v>
      </x:c>
      <x:c r="AS75" s="60" t="n">
        <x:v>64.02360145568848</x:v>
      </x:c>
      <x:c r="AT75" s="60" t="n">
        <x:v>64.27182159423828</x:v>
      </x:c>
      <x:c r="AU75" s="60" t="n">
        <x:v>64.4959496307373</x:v>
      </x:c>
      <x:c r="AV75" s="60" t="n">
        <x:v>64.71096099853516</x:v>
      </x:c>
      <x:c r="AW75" s="60" t="n">
        <x:v>64.9315029144287</x:v>
      </x:c>
      <x:c r="AX75" s="60" t="n">
        <x:v>65.12699951171875</x:v>
      </x:c>
      <x:c r="AY75" s="60" t="n">
        <x:v>65.348104095459</x:v>
      </x:c>
      <x:c r="AZ75" s="60" t="n">
        <x:v>65.59740997314454</x:v>
      </x:c>
      <x:c r="BA75" s="60" t="n">
        <x:v>65.81821197509765</x:v>
      </x:c>
      <x:c r="BB75" s="60" t="n">
        <x:v>66.05819763183594</x:v>
      </x:c>
      <x:c r="BC75" s="60" t="n">
        <x:v>66.30676925659179</x:v>
      </x:c>
      <x:c r="BD75" s="60" t="n">
        <x:v>66.53055572509766</x:v>
      </x:c>
      <x:c r="BE75" s="60" t="n">
        <x:v>66.75453971862792</x:v>
      </x:c>
      <x:c r="BF75" s="60" t="n">
        <x:v>66.99669982910156</x:v>
      </x:c>
      <x:c r="BG75" s="60" t="n">
        <x:v>67.26524032592773</x:v>
      </x:c>
      <x:c r="BH75" s="60" t="n">
        <x:v>67.45347930908203</x:v>
      </x:c>
      <x:c r="BI75" s="60" t="n">
        <x:v>67.70579719543457</x:v>
      </x:c>
      <x:c r="BJ75" s="60" t="n">
        <x:v>67.92429748535156</x:v>
      </x:c>
      <x:c r="BK75" s="60" t="n">
        <x:v>68.13407196044922</x:v>
      </x:c>
      <x:c r="BL75" s="60" t="n">
        <x:v>68.3501025390625</x:v>
      </x:c>
      <x:c r="BM75" s="60" t="n">
        <x:v>68.5804035949707</x:v>
      </x:c>
      <x:c r="BN75" s="60" t="n">
        <x:v>68.79385833740234</x:v>
      </x:c>
      <x:c r="BO75" s="60" t="n">
        <x:v>69.01564445495606</x:v>
      </x:c>
      <x:c r="BP75" s="60" t="n">
        <x:v>69.25508163452149</x:v>
      </x:c>
      <x:c r="BQ75" s="60" t="n">
        <x:v>69.48339767456055</x:v>
      </x:c>
      <x:c r="BR75" s="60" t="n">
        <x:v>69.71043121337891</x:v>
      </x:c>
      <x:c r="BS75" s="60" t="n">
        <x:v>69.90897483825684</x:v>
      </x:c>
      <x:c r="BT75" s="60" t="n">
        <x:v>70.1613151550293</x:v>
      </x:c>
      <x:c r="BU75" s="60" t="n">
        <x:v>70.40710151672363</x:v>
      </x:c>
      <x:c r="BV75" s="60" t="n">
        <x:v>70.63617889404297</x:v>
      </x:c>
      <x:c r="BW75" s="60" t="n">
        <x:v>70.83762168884277</x:v>
      </x:c>
      <x:c r="BX75" s="60" t="n">
        <x:v>71.09973068237305</x:v>
      </x:c>
      <x:c r="BY75" s="60" t="n">
        <x:v>71.34696235656737</x:v>
      </x:c>
      <x:c r="BZ75" s="60" t="n">
        <x:v>71.59029479980468</x:v>
      </x:c>
      <x:c r="CA75" s="60" t="n">
        <x:v>71.82310813903808</x:v>
      </x:c>
      <x:c r="CB75" s="60" t="n">
        <x:v>72.04377685546875</x:v>
      </x:c>
      <x:c r="CC75" s="60" t="n">
        <x:v>72.27348709106445</x:v>
      </x:c>
      <x:c r="CD75" s="60" t="n">
        <x:v>72.51890625</x:v>
      </x:c>
      <x:c r="CE75" s="60" t="n">
        <x:v>72.75361320495605</x:v>
      </x:c>
      <x:c r="CF75" s="60" t="n">
        <x:v>73.01257827758789</x:v>
      </x:c>
      <x:c r="CG75" s="60" t="n">
        <x:v>73.26319976806641</x:v>
      </x:c>
      <x:c r="CH75" s="60" t="n">
        <x:v>73.52623138427734</x:v>
      </x:c>
      <x:c r="CI75" s="60" t="n">
        <x:v>73.78987915039063</x:v>
      </x:c>
      <x:c r="CJ75" s="60" t="n">
        <x:v>74.05945159912109</x:v>
      </x:c>
      <x:c r="CK75" s="60" t="n">
        <x:v>74.37977104187011</x:v>
      </x:c>
      <x:c r="CL75" s="60" t="n">
        <x:v>74.63747192382813</x:v>
      </x:c>
      <x:c r="CM75" s="60" t="n">
        <x:v>74.92646293640136</x:v>
      </x:c>
      <x:c r="CN75" s="60" t="n">
        <x:v>75.21064453125</x:v>
      </x:c>
      <x:c r="CO75" s="60" t="n">
        <x:v>75.55112396240234</x:v>
      </x:c>
      <x:c r="CP75" s="60" t="n">
        <x:v>75.90143920898437</x:v>
      </x:c>
      <x:c r="CQ75" s="60" t="n">
        <x:v>76.21554641723633</x:v>
      </x:c>
      <x:c r="CR75" s="60" t="n">
        <x:v>76.54083786010743</x:v>
      </x:c>
      <x:c r="CS75" s="60" t="n">
        <x:v>76.89349601745606</x:v>
      </x:c>
      <x:c r="CT75" s="60" t="n">
        <x:v>77.2905892944336</x:v>
      </x:c>
      <x:c r="CU75" s="60" t="n">
        <x:v>77.70651481628418</x:v>
      </x:c>
      <x:c r="CV75" s="60" t="n">
        <x:v>78.15205749511719</x:v>
      </x:c>
      <x:c r="CW75" s="60" t="n">
        <x:v>78.64507141113282</x:v>
      </x:c>
      <x:c r="CX75" s="60" t="n">
        <x:v>79.21776153564453</x:v>
      </x:c>
      <x:c r="CY75" s="60" t="n">
        <x:v>79.90212844848631</x:v>
      </x:c>
      <x:c r="CZ75" s="60" t="n">
        <x:v>80.71109283447265</x:v>
      </x:c>
      <x:c r="DA75" s="60" t="n">
        <x:v>82.01281875610348</x:v>
      </x:c>
      <x:c r="DB75" s="60" t="n">
        <x:v>87.28116607666016</x:v>
      </x:c>
    </x:row>
    <x:row r="76">
      <x:c r="A76" t="str">
        <x:v>リザードン-2</x:v>
      </x:c>
      <x:c r="B76" t="str">
        <x:v>リザードン</x:v>
      </x:c>
      <x:c r="C76" t="str">
        <x:v>フレアドライブ</x:v>
      </x:c>
      <x:c r="D76" s="60" t="n">
        <x:v>64.83439636230469</x:v>
      </x:c>
      <x:c r="E76" s="60" t="n">
        <x:v>9.582716941833496</x:v>
      </x:c>
      <x:c r="F76" s="60" t="n">
        <x:v>31.848194122314453</x:v>
      </x:c>
      <x:c r="G76" s="60" t="n">
        <x:v>40.46209957122803</x:v>
      </x:c>
      <x:c r="H76" s="60" t="n">
        <x:v>43.23831405639648</x:v>
      </x:c>
      <x:c r="I76" s="60" t="n">
        <x:v>45.046815414428714</x:v>
      </x:c>
      <x:c r="J76" s="60" t="n">
        <x:v>46.44107635498047</x:v>
      </x:c>
      <x:c r="K76" s="60" t="n">
        <x:v>47.620271873474124</x:v>
      </x:c>
      <x:c r="L76" s="60" t="n">
        <x:v>48.66282485961914</x:v>
      </x:c>
      <x:c r="M76" s="60" t="n">
        <x:v>49.63794479370117</x:v>
      </x:c>
      <x:c r="N76" s="60" t="n">
        <x:v>50.411329956054686</x:v>
      </x:c>
      <x:c r="O76" s="60" t="n">
        <x:v>51.0685665512085</x:v>
      </x:c>
      <x:c r="P76" s="60" t="n">
        <x:v>51.70626983642578</x:v>
      </x:c>
      <x:c r="Q76" s="60" t="n">
        <x:v>52.35828998565674</x:v>
      </x:c>
      <x:c r="R76" s="60" t="n">
        <x:v>52.92285781860352</x:v>
      </x:c>
      <x:c r="S76" s="60" t="n">
        <x:v>53.44274253845215</x:v>
      </x:c>
      <x:c r="T76" s="60" t="n">
        <x:v>53.936820907592775</x:v>
      </x:c>
      <x:c r="U76" s="60" t="n">
        <x:v>54.42339153289795</x:v>
      </x:c>
      <x:c r="V76" s="60" t="n">
        <x:v>54.90940780639649</x:v>
      </x:c>
      <x:c r="W76" s="60" t="n">
        <x:v>55.330560302734376</x:v>
      </x:c>
      <x:c r="X76" s="60" t="n">
        <x:v>55.72780601501465</x:v>
      </x:c>
      <x:c r="Y76" s="60" t="n">
        <x:v>56.13566013336182</x:v>
      </x:c>
      <x:c r="Z76" s="60" t="n">
        <x:v>56.52023620605469</x:v>
      </x:c>
      <x:c r="AA76" s="60" t="n">
        <x:v>56.88945369720459</x:v>
      </x:c>
      <x:c r="AB76" s="60" t="n">
        <x:v>57.260249633789066</x:v>
      </x:c>
      <x:c r="AC76" s="60" t="n">
        <x:v>57.621961212158205</x:v>
      </x:c>
      <x:c r="AD76" s="60" t="n">
        <x:v>58.005291137695316</x:v>
      </x:c>
      <x:c r="AE76" s="60" t="n">
        <x:v>58.40124034881592</x:v>
      </x:c>
      <x:c r="AF76" s="60" t="n">
        <x:v>58.78108520507813</x:v>
      </x:c>
      <x:c r="AG76" s="60" t="n">
        <x:v>59.13077140808105</x:v>
      </x:c>
      <x:c r="AH76" s="60" t="n">
        <x:v>59.443383026123044</x:v>
      </x:c>
      <x:c r="AI76" s="60" t="n">
        <x:v>59.805313987731935</x:v>
      </x:c>
      <x:c r="AJ76" s="60" t="n">
        <x:v>60.09340133666992</x:v>
      </x:c>
      <x:c r="AK76" s="60" t="n">
        <x:v>60.39975925445557</x:v>
      </x:c>
      <x:c r="AL76" s="60" t="n">
        <x:v>60.72626678466797</x:v>
      </x:c>
      <x:c r="AM76" s="60" t="n">
        <x:v>61.01123485565186</x:v>
      </x:c>
      <x:c r="AN76" s="60" t="n">
        <x:v>61.308273544311525</x:v>
      </x:c>
      <x:c r="AO76" s="60" t="n">
        <x:v>61.63075008392334</x:v>
      </x:c>
      <x:c r="AP76" s="60" t="n">
        <x:v>61.89737976074218</x:v>
      </x:c>
      <x:c r="AQ76" s="60" t="n">
        <x:v>62.18619594573975</x:v>
      </x:c>
      <x:c r="AR76" s="60" t="n">
        <x:v>62.492444076538085</x:v>
      </x:c>
      <x:c r="AS76" s="60" t="n">
        <x:v>62.733705635070805</x:v>
      </x:c>
      <x:c r="AT76" s="60" t="n">
        <x:v>63.01780319213867</x:v>
      </x:c>
      <x:c r="AU76" s="60" t="n">
        <x:v>63.30302040100098</x:v>
      </x:c>
      <x:c r="AV76" s="60" t="n">
        <x:v>63.55616989135742</x:v>
      </x:c>
      <x:c r="AW76" s="60" t="n">
        <x:v>63.82685245513916</x:v>
      </x:c>
      <x:c r="AX76" s="60" t="n">
        <x:v>64.06787445068359</x:v>
      </x:c>
      <x:c r="AY76" s="60" t="n">
        <x:v>64.33119544982911</x:v>
      </x:c>
      <x:c r="AZ76" s="60" t="n">
        <x:v>64.57736328125</x:v>
      </x:c>
      <x:c r="BA76" s="60" t="n">
        <x:v>64.8754712677002</x:v>
      </x:c>
      <x:c r="BB76" s="60" t="n">
        <x:v>65.12959411621094</x:v>
      </x:c>
      <x:c r="BC76" s="60" t="n">
        <x:v>65.42923866271973</x:v>
      </x:c>
      <x:c r="BD76" s="60" t="n">
        <x:v>65.7036361694336</x:v>
      </x:c>
      <x:c r="BE76" s="60" t="n">
        <x:v>65.96934211730957</x:v>
      </x:c>
      <x:c r="BF76" s="60" t="n">
        <x:v>66.20153533935547</x:v>
      </x:c>
      <x:c r="BG76" s="60" t="n">
        <x:v>66.46039772033691</x:v>
      </x:c>
      <x:c r="BH76" s="60" t="n">
        <x:v>66.71632629394531</x:v>
      </x:c>
      <x:c r="BI76" s="60" t="n">
        <x:v>66.95682640075684</x:v>
      </x:c>
      <x:c r="BJ76" s="60" t="n">
        <x:v>67.22152740478516</x:v>
      </x:c>
      <x:c r="BK76" s="60" t="n">
        <x:v>67.50718070983886</x:v>
      </x:c>
      <x:c r="BL76" s="60" t="n">
        <x:v>67.77150192260743</x:v>
      </x:c>
      <x:c r="BM76" s="60" t="n">
        <x:v>68.01004608154297</x:v>
      </x:c>
      <x:c r="BN76" s="60" t="n">
        <x:v>68.2970947265625</x:v>
      </x:c>
      <x:c r="BO76" s="60" t="n">
        <x:v>68.57173568725585</x:v>
      </x:c>
      <x:c r="BP76" s="60" t="n">
        <x:v>68.79626815795898</x:v>
      </x:c>
      <x:c r="BQ76" s="60" t="n">
        <x:v>69.04951065063477</x:v>
      </x:c>
      <x:c r="BR76" s="60" t="n">
        <x:v>69.33117340087891</x:v>
      </x:c>
      <x:c r="BS76" s="60" t="n">
        <x:v>69.58671684265137</x:v>
      </x:c>
      <x:c r="BT76" s="60" t="n">
        <x:v>69.80713989257812</x:v>
      </x:c>
      <x:c r="BU76" s="60" t="n">
        <x:v>70.0290754699707</x:v>
      </x:c>
      <x:c r="BV76" s="60" t="n">
        <x:v>70.24988739013672</x:v>
      </x:c>
      <x:c r="BW76" s="60" t="n">
        <x:v>70.52874176025391</x:v>
      </x:c>
      <x:c r="BX76" s="60" t="n">
        <x:v>70.7934455871582</x:v>
      </x:c>
      <x:c r="BY76" s="60" t="n">
        <x:v>71.04459289550782</x:v>
      </x:c>
      <x:c r="BZ76" s="60" t="n">
        <x:v>71.28413330078125</x:v>
      </x:c>
      <x:c r="CA76" s="60" t="n">
        <x:v>71.54720108032227</x:v>
      </x:c>
      <x:c r="CB76" s="60" t="n">
        <x:v>71.81747894287109</x:v>
      </x:c>
      <x:c r="CC76" s="60" t="n">
        <x:v>72.08989524841309</x:v>
      </x:c>
      <x:c r="CD76" s="60" t="n">
        <x:v>72.33441833496094</x:v>
      </x:c>
      <x:c r="CE76" s="60" t="n">
        <x:v>72.6075161743164</x:v>
      </x:c>
      <x:c r="CF76" s="60" t="n">
        <x:v>72.8808218383789</x:v>
      </x:c>
      <x:c r="CG76" s="60" t="n">
        <x:v>73.16388572692871</x:v>
      </x:c>
      <x:c r="CH76" s="60" t="n">
        <x:v>73.44833526611328</x:v>
      </x:c>
      <x:c r="CI76" s="60" t="n">
        <x:v>73.72964546203613</x:v>
      </x:c>
      <x:c r="CJ76" s="60" t="n">
        <x:v>74.00718643188476</x:v>
      </x:c>
      <x:c r="CK76" s="60" t="n">
        <x:v>74.34067695617676</x:v>
      </x:c>
      <x:c r="CL76" s="60" t="n">
        <x:v>74.62066619873048</x:v>
      </x:c>
      <x:c r="CM76" s="60" t="n">
        <x:v>74.9290542602539</x:v>
      </x:c>
      <x:c r="CN76" s="60" t="n">
        <x:v>75.21658294677735</x:v>
      </x:c>
      <x:c r="CO76" s="60" t="n">
        <x:v>75.57166610717773</x:v>
      </x:c>
      <x:c r="CP76" s="60" t="n">
        <x:v>75.96132873535156</x:v>
      </x:c>
      <x:c r="CQ76" s="60" t="n">
        <x:v>76.32297065734863</x:v>
      </x:c>
      <x:c r="CR76" s="60" t="n">
        <x:v>76.7015594482422</x:v>
      </x:c>
      <x:c r="CS76" s="60" t="n">
        <x:v>77.07456787109375</x:v>
      </x:c>
      <x:c r="CT76" s="60" t="n">
        <x:v>77.53176788330079</x:v>
      </x:c>
      <x:c r="CU76" s="60" t="n">
        <x:v>77.99679237365723</x:v>
      </x:c>
      <x:c r="CV76" s="60" t="n">
        <x:v>78.47203674316407</x:v>
      </x:c>
      <x:c r="CW76" s="60" t="n">
        <x:v>79.00828742980957</x:v>
      </x:c>
      <x:c r="CX76" s="60" t="n">
        <x:v>79.58841125488281</x:v>
      </x:c>
      <x:c r="CY76" s="60" t="n">
        <x:v>80.33609748840333</x:v>
      </x:c>
      <x:c r="CZ76" s="60" t="n">
        <x:v>81.2819970703125</x:v>
      </x:c>
      <x:c r="DA76" s="60" t="n">
        <x:v>82.65415039062499</x:v>
      </x:c>
      <x:c r="DB76" s="60" t="n">
        <x:v>86.38819885253906</x:v>
      </x:c>
    </x:row>
    <x:row r="77">
      <x:c r="A77" t="str">
        <x:v>メガリザードンX-1</x:v>
      </x:c>
      <x:c r="B77" t="str">
        <x:v>メガリザードンX</x:v>
      </x:c>
      <x:c r="C77" t="str">
        <x:v>共通</x:v>
      </x:c>
      <x:c r="D77" s="60" t="n">
        <x:v>65.0064926147461</x:v>
      </x:c>
      <x:c r="E77" s="60" t="n">
        <x:v>10.354090690612793</x:v>
      </x:c>
      <x:c r="F77" s="60" t="n">
        <x:v>30.04993438720703</x:v>
      </x:c>
      <x:c r="G77" s="60" t="n">
        <x:v>39.1310888671875</x:v>
      </x:c>
      <x:c r="H77" s="60" t="n">
        <x:v>41.926794357299805</x:v>
      </x:c>
      <x:c r="I77" s="60" t="n">
        <x:v>43.90603630065918</x:v>
      </x:c>
      <x:c r="J77" s="60" t="n">
        <x:v>45.34653167724609</x:v>
      </x:c>
      <x:c r="K77" s="60" t="n">
        <x:v>46.61066913604736</x:v>
      </x:c>
      <x:c r="L77" s="60" t="n">
        <x:v>47.6225724029541</x:v>
      </x:c>
      <x:c r="M77" s="60" t="n">
        <x:v>48.674677505493165</x:v>
      </x:c>
      <x:c r="N77" s="60" t="n">
        <x:v>49.4974446105957</x:v>
      </x:c>
      <x:c r="O77" s="60" t="n">
        <x:v>50.2514669418335</x:v>
      </x:c>
      <x:c r="P77" s="60" t="n">
        <x:v>50.862843704223636</x:v>
      </x:c>
      <x:c r="Q77" s="60" t="n">
        <x:v>51.53850067138672</x:v>
      </x:c>
      <x:c r="R77" s="60" t="n">
        <x:v>52.18095458984375</x:v>
      </x:c>
      <x:c r="S77" s="60" t="n">
        <x:v>52.69875747680664</x:v>
      </x:c>
      <x:c r="T77" s="60" t="n">
        <x:v>53.263509063720704</x:v>
      </x:c>
      <x:c r="U77" s="60" t="n">
        <x:v>53.784440994262695</x:v>
      </x:c>
      <x:c r="V77" s="60" t="n">
        <x:v>54.3090234375</x:v>
      </x:c>
      <x:c r="W77" s="60" t="n">
        <x:v>54.745417137146</x:v>
      </x:c>
      <x:c r="X77" s="60" t="n">
        <x:v>55.158123092651365</x:v>
      </x:c>
      <x:c r="Y77" s="60" t="n">
        <x:v>55.576822395324704</x:v>
      </x:c>
      <x:c r="Z77" s="60" t="n">
        <x:v>55.97650146484375</x:v>
      </x:c>
      <x:c r="AA77" s="60" t="n">
        <x:v>56.37922294616699</x:v>
      </x:c>
      <x:c r="AB77" s="60" t="n">
        <x:v>56.79231483459473</x:v>
      </x:c>
      <x:c r="AC77" s="60" t="n">
        <x:v>57.22595077514649</x:v>
      </x:c>
      <x:c r="AD77" s="60" t="n">
        <x:v>57.57475082397461</x:v>
      </x:c>
      <x:c r="AE77" s="60" t="n">
        <x:v>57.96553707122803</x:v>
      </x:c>
      <x:c r="AF77" s="60" t="n">
        <x:v>58.386253356933594</x:v>
      </x:c>
      <x:c r="AG77" s="60" t="n">
        <x:v>58.76232578277588</x:v>
      </x:c>
      <x:c r="AH77" s="60" t="n">
        <x:v>59.12403015136719</x:v>
      </x:c>
      <x:c r="AI77" s="60" t="n">
        <x:v>59.48666633605957</x:v>
      </x:c>
      <x:c r="AJ77" s="60" t="n">
        <x:v>59.834738159179686</x:v>
      </x:c>
      <x:c r="AK77" s="60" t="n">
        <x:v>60.15732040405273</x:v>
      </x:c>
      <x:c r="AL77" s="60" t="n">
        <x:v>60.505718841552735</x:v>
      </x:c>
      <x:c r="AM77" s="60" t="n">
        <x:v>60.80591205596924</x:v>
      </x:c>
      <x:c r="AN77" s="60" t="n">
        <x:v>61.11796424865723</x:v>
      </x:c>
      <x:c r="AO77" s="60" t="n">
        <x:v>61.45420055389404</x:v>
      </x:c>
      <x:c r="AP77" s="60" t="n">
        <x:v>61.735520935058595</x:v>
      </x:c>
      <x:c r="AQ77" s="60" t="n">
        <x:v>62.02835330963135</x:v>
      </x:c>
      <x:c r="AR77" s="60" t="n">
        <x:v>62.33099967956543</x:v>
      </x:c>
      <x:c r="AS77" s="60" t="n">
        <x:v>62.62840251922607</x:v>
      </x:c>
      <x:c r="AT77" s="60" t="n">
        <x:v>62.95076675415039</x:v>
      </x:c>
      <x:c r="AU77" s="60" t="n">
        <x:v>63.248011436462406</x:v>
      </x:c>
      <x:c r="AV77" s="60" t="n">
        <x:v>63.53533386230469</x:v>
      </x:c>
      <x:c r="AW77" s="60" t="n">
        <x:v>63.817751541137696</x:v>
      </x:c>
      <x:c r="AX77" s="60" t="n">
        <x:v>64.09048431396484</x:v>
      </x:c>
      <x:c r="AY77" s="60" t="n">
        <x:v>64.3749210357666</x:v>
      </x:c>
      <x:c r="AZ77" s="60" t="n">
        <x:v>64.64505722045898</x:v>
      </x:c>
      <x:c r="BA77" s="60" t="n">
        <x:v>64.94840782165528</x:v>
      </x:c>
      <x:c r="BB77" s="60" t="n">
        <x:v>65.23989776611329</x:v>
      </x:c>
      <x:c r="BC77" s="60" t="n">
        <x:v>65.51297348022462</x:v>
      </x:c>
      <x:c r="BD77" s="60" t="n">
        <x:v>65.78169631958008</x:v>
      </x:c>
      <x:c r="BE77" s="60" t="n">
        <x:v>66.04726608276367</x:v>
      </x:c>
      <x:c r="BF77" s="60" t="n">
        <x:v>66.3567105102539</x:v>
      </x:c>
      <x:c r="BG77" s="60" t="n">
        <x:v>66.65546325683594</x:v>
      </x:c>
      <x:c r="BH77" s="60" t="n">
        <x:v>66.92360916137696</x:v>
      </x:c>
      <x:c r="BI77" s="60" t="n">
        <x:v>67.19351577758789</x:v>
      </x:c>
      <x:c r="BJ77" s="60" t="n">
        <x:v>67.49134155273437</x:v>
      </x:c>
      <x:c r="BK77" s="60" t="n">
        <x:v>67.75775833129883</x:v>
      </x:c>
      <x:c r="BL77" s="60" t="n">
        <x:v>68.07395568847656</x:v>
      </x:c>
      <x:c r="BM77" s="60" t="n">
        <x:v>68.36008071899414</x:v>
      </x:c>
      <x:c r="BN77" s="60" t="n">
        <x:v>68.65592956542969</x:v>
      </x:c>
      <x:c r="BO77" s="60" t="n">
        <x:v>68.94469345092773</x:v>
      </x:c>
      <x:c r="BP77" s="60" t="n">
        <x:v>69.21378219604492</x:v>
      </x:c>
      <x:c r="BQ77" s="60" t="n">
        <x:v>69.46783126831055</x:v>
      </x:c>
      <x:c r="BR77" s="60" t="n">
        <x:v>69.73919830322265</x:v>
      </x:c>
      <x:c r="BS77" s="60" t="n">
        <x:v>69.99726715087891</x:v>
      </x:c>
      <x:c r="BT77" s="60" t="n">
        <x:v>70.29650482177735</x:v>
      </x:c>
      <x:c r="BU77" s="60" t="n">
        <x:v>70.55223518371582</x:v>
      </x:c>
      <x:c r="BV77" s="60" t="n">
        <x:v>70.80739501953126</x:v>
      </x:c>
      <x:c r="BW77" s="60" t="n">
        <x:v>71.08253005981446</x:v>
      </x:c>
      <x:c r="BX77" s="60" t="n">
        <x:v>71.33671875</x:v>
      </x:c>
      <x:c r="BY77" s="60" t="n">
        <x:v>71.64000854492187</x:v>
      </x:c>
      <x:c r="BZ77" s="60" t="n">
        <x:v>71.92561248779296</x:v>
      </x:c>
      <x:c r="CA77" s="60" t="n">
        <x:v>72.2150267791748</x:v>
      </x:c>
      <x:c r="CB77" s="60" t="n">
        <x:v>72.50446990966798</x:v>
      </x:c>
      <x:c r="CC77" s="60" t="n">
        <x:v>72.77615928649902</x:v>
      </x:c>
      <x:c r="CD77" s="60" t="n">
        <x:v>73.05513763427734</x:v>
      </x:c>
      <x:c r="CE77" s="60" t="n">
        <x:v>73.33381072998047</x:v>
      </x:c>
      <x:c r="CF77" s="60" t="n">
        <x:v>73.63864074707031</x:v>
      </x:c>
      <x:c r="CG77" s="60" t="n">
        <x:v>73.95943267822265</x:v>
      </x:c>
      <x:c r="CH77" s="60" t="n">
        <x:v>74.27593231201172</x:v>
      </x:c>
      <x:c r="CI77" s="60" t="n">
        <x:v>74.60573547363282</x:v>
      </x:c>
      <x:c r="CJ77" s="60" t="n">
        <x:v>74.91968704223633</x:v>
      </x:c>
      <x:c r="CK77" s="60" t="n">
        <x:v>75.24274765014648</x:v>
      </x:c>
      <x:c r="CL77" s="60" t="n">
        <x:v>75.58045989990234</x:v>
      </x:c>
      <x:c r="CM77" s="60" t="n">
        <x:v>75.93308753967284</x:v>
      </x:c>
      <x:c r="CN77" s="60" t="n">
        <x:v>76.29372467041016</x:v>
      </x:c>
      <x:c r="CO77" s="60" t="n">
        <x:v>76.65513854980469</x:v>
      </x:c>
      <x:c r="CP77" s="60" t="n">
        <x:v>77.05688415527344</x:v>
      </x:c>
      <x:c r="CQ77" s="60" t="n">
        <x:v>77.48586135864258</x:v>
      </x:c>
      <x:c r="CR77" s="60" t="n">
        <x:v>77.9619857788086</x:v>
      </x:c>
      <x:c r="CS77" s="60" t="n">
        <x:v>78.33585647583008</x:v>
      </x:c>
      <x:c r="CT77" s="60" t="n">
        <x:v>78.81941589355469</x:v>
      </x:c>
      <x:c r="CU77" s="60" t="n">
        <x:v>79.34952049255371</x:v>
      </x:c>
      <x:c r="CV77" s="60" t="n">
        <x:v>79.90305770874023</x:v>
      </x:c>
      <x:c r="CW77" s="60" t="n">
        <x:v>80.51563835144043</x:v>
      </x:c>
      <x:c r="CX77" s="60" t="n">
        <x:v>81.23135375976562</x:v>
      </x:c>
      <x:c r="CY77" s="60" t="n">
        <x:v>82.09334846496581</x:v>
      </x:c>
      <x:c r="CZ77" s="60" t="n">
        <x:v>83.20159622192382</x:v>
      </x:c>
      <x:c r="DA77" s="60" t="n">
        <x:v>84.68776176452631</x:v>
      </x:c>
      <x:c r="DB77" s="60" t="n">
        <x:v>89.919921875</x:v>
      </x:c>
    </x:row>
    <x:row r="78">
      <x:c r="A78" t="str">
        <x:v>メガリザードンY-1</x:v>
      </x:c>
      <x:c r="B78" t="str">
        <x:v>メガリザードンY</x:v>
      </x:c>
      <x:c r="C78" t="str">
        <x:v>共通</x:v>
      </x:c>
      <x:c r="D78" s="60" t="n">
        <x:v>67.22406005859375</x:v>
      </x:c>
      <x:c r="E78" s="60" t="n">
        <x:v>9.00218677520752</x:v>
      </x:c>
      <x:c r="F78" s="60" t="n">
        <x:v>34.538978576660156</x:v>
      </x:c>
      <x:c r="G78" s="60" t="n">
        <x:v>43.37066013336182</x:v>
      </x:c>
      <x:c r="H78" s="60" t="n">
        <x:v>46.22007682800293</x:v>
      </x:c>
      <x:c r="I78" s="60" t="n">
        <x:v>47.99406566619873</x:v>
      </x:c>
      <x:c r="J78" s="60" t="n">
        <x:v>49.41052139282227</x:v>
      </x:c>
      <x:c r="K78" s="60" t="n">
        <x:v>50.52748680114746</x:v>
      </x:c>
      <x:c r="L78" s="60" t="n">
        <x:v>51.57559524536133</x:v>
      </x:c>
      <x:c r="M78" s="60" t="n">
        <x:v>52.41701362609863</x:v>
      </x:c>
      <x:c r="N78" s="60" t="n">
        <x:v>53.180597076416014</x:v>
      </x:c>
      <x:c r="O78" s="60" t="n">
        <x:v>53.86925193786621</x:v>
      </x:c>
      <x:c r="P78" s="60" t="n">
        <x:v>54.54210929870605</x:v>
      </x:c>
      <x:c r="Q78" s="60" t="n">
        <x:v>55.13149444580078</x:v>
      </x:c>
      <x:c r="R78" s="60" t="n">
        <x:v>55.81103408813477</x:v>
      </x:c>
      <x:c r="S78" s="60" t="n">
        <x:v>56.40068267822266</x:v>
      </x:c>
      <x:c r="T78" s="60" t="n">
        <x:v>56.9205867767334</x:v>
      </x:c>
      <x:c r="U78" s="60" t="n">
        <x:v>57.376740264892575</x:v>
      </x:c>
      <x:c r="V78" s="60" t="n">
        <x:v>57.82713272094727</x:v>
      </x:c>
      <x:c r="W78" s="60" t="n">
        <x:v>58.27464241027832</x:v>
      </x:c>
      <x:c r="X78" s="60" t="n">
        <x:v>58.72918914794922</x:v>
      </x:c>
      <x:c r="Y78" s="60" t="n">
        <x:v>59.20906761169434</x:v>
      </x:c>
      <x:c r="Z78" s="60" t="n">
        <x:v>59.60120849609375</x:v>
      </x:c>
      <x:c r="AA78" s="60" t="n">
        <x:v>60.0361307144165</x:v>
      </x:c>
      <x:c r="AB78" s="60" t="n">
        <x:v>60.42047134399414</x:v>
      </x:c>
      <x:c r="AC78" s="60" t="n">
        <x:v>60.78766075134278</x:v>
      </x:c>
      <x:c r="AD78" s="60" t="n">
        <x:v>61.13359756469727</x:v>
      </x:c>
      <x:c r="AE78" s="60" t="n">
        <x:v>61.45406532287598</x:v>
      </x:c>
      <x:c r="AF78" s="60" t="n">
        <x:v>61.80100730895996</x:v>
      </x:c>
      <x:c r="AG78" s="60" t="n">
        <x:v>62.168573989868165</x:v>
      </x:c>
      <x:c r="AH78" s="60" t="n">
        <x:v>62.501946716308595</x:v>
      </x:c>
      <x:c r="AI78" s="60" t="n">
        <x:v>62.78509986877442</x:v>
      </x:c>
      <x:c r="AJ78" s="60" t="n">
        <x:v>63.042365646362306</x:v>
      </x:c>
      <x:c r="AK78" s="60" t="n">
        <x:v>63.33163097381592</x:v>
      </x:c>
      <x:c r="AL78" s="60" t="n">
        <x:v>63.60844665527344</x:v>
      </x:c>
      <x:c r="AM78" s="60" t="n">
        <x:v>63.912147750854494</x:v>
      </x:c>
      <x:c r="AN78" s="60" t="n">
        <x:v>64.17125564575196</x:v>
      </x:c>
      <x:c r="AO78" s="60" t="n">
        <x:v>64.45096435546876</x:v>
      </x:c>
      <x:c r="AP78" s="60" t="n">
        <x:v>64.72042053222657</x:v>
      </x:c>
      <x:c r="AQ78" s="60" t="n">
        <x:v>65.01680068969726</x:v>
      </x:c>
      <x:c r="AR78" s="60" t="n">
        <x:v>65.3352847290039</x:v>
      </x:c>
      <x:c r="AS78" s="60" t="n">
        <x:v>65.57512878417968</x:v>
      </x:c>
      <x:c r="AT78" s="60" t="n">
        <x:v>65.88692626953124</x:v>
      </x:c>
      <x:c r="AU78" s="60" t="n">
        <x:v>66.17893020629883</x:v>
      </x:c>
      <x:c r="AV78" s="60" t="n">
        <x:v>66.45797760009765</x:v>
      </x:c>
      <x:c r="AW78" s="60" t="n">
        <x:v>66.69554527282715</x:v>
      </x:c>
      <x:c r="AX78" s="60" t="n">
        <x:v>66.94205688476562</x:v>
      </x:c>
      <x:c r="AY78" s="60" t="n">
        <x:v>67.17935371398926</x:v>
      </x:c>
      <x:c r="AZ78" s="60" t="n">
        <x:v>67.42228179931641</x:v>
      </x:c>
      <x:c r="BA78" s="60" t="n">
        <x:v>67.67298645019531</x:v>
      </x:c>
      <x:c r="BB78" s="60" t="n">
        <x:v>67.92843811035156</x:v>
      </x:c>
      <x:c r="BC78" s="60" t="n">
        <x:v>68.15416206359863</x:v>
      </x:c>
      <x:c r="BD78" s="60" t="n">
        <x:v>68.39531707763672</x:v>
      </x:c>
      <x:c r="BE78" s="60" t="n">
        <x:v>68.64798408508301</x:v>
      </x:c>
      <x:c r="BF78" s="60" t="n">
        <x:v>68.89332550048829</x:v>
      </x:c>
      <x:c r="BG78" s="60" t="n">
        <x:v>69.14009155273438</x:v>
      </x:c>
      <x:c r="BH78" s="60" t="n">
        <x:v>69.37517654418946</x:v>
      </x:c>
      <x:c r="BI78" s="60" t="n">
        <x:v>69.62514572143554</x:v>
      </x:c>
      <x:c r="BJ78" s="60" t="n">
        <x:v>69.842802734375</x:v>
      </x:c>
      <x:c r="BK78" s="60" t="n">
        <x:v>70.06087913513184</x:v>
      </x:c>
      <x:c r="BL78" s="60" t="n">
        <x:v>70.30683364868165</x:v>
      </x:c>
      <x:c r="BM78" s="60" t="n">
        <x:v>70.54939109802245</x:v>
      </x:c>
      <x:c r="BN78" s="60" t="n">
        <x:v>70.7494873046875</x:v>
      </x:c>
      <x:c r="BO78" s="60" t="n">
        <x:v>70.95026245117188</x:v>
      </x:c>
      <x:c r="BP78" s="60" t="n">
        <x:v>71.17300476074219</x:v>
      </x:c>
      <x:c r="BQ78" s="60" t="n">
        <x:v>71.4014437866211</x:v>
      </x:c>
      <x:c r="BR78" s="60" t="n">
        <x:v>71.65623962402344</x:v>
      </x:c>
      <x:c r="BS78" s="60" t="n">
        <x:v>71.86043815612793</x:v>
      </x:c>
      <x:c r="BT78" s="60" t="n">
        <x:v>72.11887802124023</x:v>
      </x:c>
      <x:c r="BU78" s="60" t="n">
        <x:v>72.33354988098145</x:v>
      </x:c>
      <x:c r="BV78" s="60" t="n">
        <x:v>72.5543002319336</x:v>
      </x:c>
      <x:c r="BW78" s="60" t="n">
        <x:v>72.75849601745605</x:v>
      </x:c>
      <x:c r="BX78" s="60" t="n">
        <x:v>72.97171173095704</x:v>
      </x:c>
      <x:c r="BY78" s="60" t="n">
        <x:v>73.20610237121582</x:v>
      </x:c>
      <x:c r="BZ78" s="60" t="n">
        <x:v>73.43908721923827</x:v>
      </x:c>
      <x:c r="CA78" s="60" t="n">
        <x:v>73.6706965637207</x:v>
      </x:c>
      <x:c r="CB78" s="60" t="n">
        <x:v>73.90967056274414</x:v>
      </x:c>
      <x:c r="CC78" s="60" t="n">
        <x:v>74.11699867248535</x:v>
      </x:c>
      <x:c r="CD78" s="60" t="n">
        <x:v>74.35119140625</x:v>
      </x:c>
      <x:c r="CE78" s="60" t="n">
        <x:v>74.58355194091797</x:v>
      </x:c>
      <x:c r="CF78" s="60" t="n">
        <x:v>74.82027252197267</x:v>
      </x:c>
      <x:c r="CG78" s="60" t="n">
        <x:v>75.02464538574219</x:v>
      </x:c>
      <x:c r="CH78" s="60" t="n">
        <x:v>75.24511108398437</x:v>
      </x:c>
      <x:c r="CI78" s="60" t="n">
        <x:v>75.49201362609864</x:v>
      </x:c>
      <x:c r="CJ78" s="60" t="n">
        <x:v>75.75591262817383</x:v>
      </x:c>
      <x:c r="CK78" s="60" t="n">
        <x:v>76.02421844482423</x:v>
      </x:c>
      <x:c r="CL78" s="60" t="n">
        <x:v>76.29979187011719</x:v>
      </x:c>
      <x:c r="CM78" s="60" t="n">
        <x:v>76.57250061035157</x:v>
      </x:c>
      <x:c r="CN78" s="60" t="n">
        <x:v>76.84810592651367</x:v>
      </x:c>
      <x:c r="CO78" s="60" t="n">
        <x:v>77.16361152648926</x:v>
      </x:c>
      <x:c r="CP78" s="60" t="n">
        <x:v>77.45346801757812</x:v>
      </x:c>
      <x:c r="CQ78" s="60" t="n">
        <x:v>77.75434043884277</x:v>
      </x:c>
      <x:c r="CR78" s="60" t="n">
        <x:v>78.04602355957032</x:v>
      </x:c>
      <x:c r="CS78" s="60" t="n">
        <x:v>78.3369068145752</x:v>
      </x:c>
      <x:c r="CT78" s="60" t="n">
        <x:v>78.69960052490235</x:v>
      </x:c>
      <x:c r="CU78" s="60" t="n">
        <x:v>79.07842529296875</x:v>
      </x:c>
      <x:c r="CV78" s="60" t="n">
        <x:v>79.44851974487305</x:v>
      </x:c>
      <x:c r="CW78" s="60" t="n">
        <x:v>79.89663238525392</x:v>
      </x:c>
      <x:c r="CX78" s="60" t="n">
        <x:v>80.41447204589844</x:v>
      </x:c>
      <x:c r="CY78" s="60" t="n">
        <x:v>80.90414405822754</x:v>
      </x:c>
      <x:c r="CZ78" s="60" t="n">
        <x:v>81.47818313598633</x:v>
      </x:c>
      <x:c r="DA78" s="60" t="n">
        <x:v>82.47662765502929</x:v>
      </x:c>
      <x:c r="DB78" s="60" t="n">
        <x:v>85.95543670654297</x:v>
      </x:c>
    </x:row>
    <x:row r="79">
      <x:c r="A79" t="str">
        <x:v>ルカリオ-1</x:v>
      </x:c>
      <x:c r="B79" t="str">
        <x:v>ルカリオ</x:v>
      </x:c>
      <x:c r="C79" t="str">
        <x:v>しんそく</x:v>
      </x:c>
      <x:c r="D79" s="60" t="n">
        <x:v>63.434906005859375</x:v>
      </x:c>
      <x:c r="E79" s="60" t="n">
        <x:v>9.953949928283691</x:v>
      </x:c>
      <x:c r="F79" s="60" t="n">
        <x:v>30.132431030273438</x:v>
      </x:c>
      <x:c r="G79" s="60" t="n">
        <x:v>39.254473190307614</x:v>
      </x:c>
      <x:c r="H79" s="60" t="n">
        <x:v>41.80999290466308</x:v>
      </x:c>
      <x:c r="I79" s="60" t="n">
        <x:v>43.591650848388674</x:v>
      </x:c>
      <x:c r="J79" s="60" t="n">
        <x:v>44.84604766845703</x:v>
      </x:c>
      <x:c r="K79" s="60" t="n">
        <x:v>45.86395893096924</x:v>
      </x:c>
      <x:c r="L79" s="60" t="n">
        <x:v>46.92220588684082</x:v>
      </x:c>
      <x:c r="M79" s="60" t="n">
        <x:v>47.83614398956299</x:v>
      </x:c>
      <x:c r="N79" s="60" t="n">
        <x:v>48.62288360595703</x:v>
      </x:c>
      <x:c r="O79" s="60" t="n">
        <x:v>49.30521007537842</x:v>
      </x:c>
      <x:c r="P79" s="60" t="n">
        <x:v>49.90030059814453</x:v>
      </x:c>
      <x:c r="Q79" s="60" t="n">
        <x:v>50.54464347839355</x:v>
      </x:c>
      <x:c r="R79" s="60" t="n">
        <x:v>51.05636795043945</x:v>
      </x:c>
      <x:c r="S79" s="60" t="n">
        <x:v>51.57531444549561</x:v>
      </x:c>
      <x:c r="T79" s="60" t="n">
        <x:v>52.09572914123535</x:v>
      </x:c>
      <x:c r="U79" s="60" t="n">
        <x:v>52.538072967529295</x:v>
      </x:c>
      <x:c r="V79" s="60" t="n">
        <x:v>53.07162322998047</x:v>
      </x:c>
      <x:c r="W79" s="60" t="n">
        <x:v>53.56506824493408</x:v>
      </x:c>
      <x:c r="X79" s="60" t="n">
        <x:v>53.93081893920898</x:v>
      </x:c>
      <x:c r="Y79" s="60" t="n">
        <x:v>54.34959861755371</x:v>
      </x:c>
      <x:c r="Z79" s="60" t="n">
        <x:v>54.78195419311523</x:v>
      </x:c>
      <x:c r="AA79" s="60" t="n">
        <x:v>55.205276298522946</x:v>
      </x:c>
      <x:c r="AB79" s="60" t="n">
        <x:v>55.58309814453125</x:v>
      </x:c>
      <x:c r="AC79" s="60" t="n">
        <x:v>55.94628143310547</x:v>
      </x:c>
      <x:c r="AD79" s="60" t="n">
        <x:v>56.33150634765625</x:v>
      </x:c>
      <x:c r="AE79" s="60" t="n">
        <x:v>56.69688892364502</x:v>
      </x:c>
      <x:c r="AF79" s="60" t="n">
        <x:v>57.064378051757814</x:v>
      </x:c>
      <x:c r="AG79" s="60" t="n">
        <x:v>57.431224250793456</x:v>
      </x:c>
      <x:c r="AH79" s="60" t="n">
        <x:v>57.73297561645508</x:v>
      </x:c>
      <x:c r="AI79" s="60" t="n">
        <x:v>58.05257747650146</x:v>
      </x:c>
      <x:c r="AJ79" s="60" t="n">
        <x:v>58.359851074218746</x:v>
      </x:c>
      <x:c r="AK79" s="60" t="n">
        <x:v>58.67644905090332</x:v>
      </x:c>
      <x:c r="AL79" s="60" t="n">
        <x:v>59.01215866088867</x:v>
      </x:c>
      <x:c r="AM79" s="60" t="n">
        <x:v>59.31706420898438</x:v>
      </x:c>
      <x:c r="AN79" s="60" t="n">
        <x:v>59.64770950317383</x:v>
      </x:c>
      <x:c r="AO79" s="60" t="n">
        <x:v>59.950195121765134</x:v>
      </x:c>
      <x:c r="AP79" s="60" t="n">
        <x:v>60.22385314941406</x:v>
      </x:c>
      <x:c r="AQ79" s="60" t="n">
        <x:v>60.534614181518556</x:v>
      </x:c>
      <x:c r="AR79" s="60" t="n">
        <x:v>60.80622116088867</x:v>
      </x:c>
      <x:c r="AS79" s="60" t="n">
        <x:v>61.111251754760744</x:v>
      </x:c>
      <x:c r="AT79" s="60" t="n">
        <x:v>61.42271957397461</x:v>
      </x:c>
      <x:c r="AU79" s="60" t="n">
        <x:v>61.71560028076172</x:v>
      </x:c>
      <x:c r="AV79" s="60" t="n">
        <x:v>61.97314376831055</x:v>
      </x:c>
      <x:c r="AW79" s="60" t="n">
        <x:v>62.20704780578613</x:v>
      </x:c>
      <x:c r="AX79" s="60" t="n">
        <x:v>62.475318145751956</x:v>
      </x:c>
      <x:c r="AY79" s="60" t="n">
        <x:v>62.7384313583374</x:v>
      </x:c>
      <x:c r="AZ79" s="60" t="n">
        <x:v>63.05002510070801</x:v>
      </x:c>
      <x:c r="BA79" s="60" t="n">
        <x:v>63.29150943756104</x:v>
      </x:c>
      <x:c r="BB79" s="60" t="n">
        <x:v>63.555218353271485</x:v>
      </x:c>
      <x:c r="BC79" s="60" t="n">
        <x:v>63.790568084716796</x:v>
      </x:c>
      <x:c r="BD79" s="60" t="n">
        <x:v>64.02742385864258</x:v>
      </x:c>
      <x:c r="BE79" s="60" t="n">
        <x:v>64.28037422180175</x:v>
      </x:c>
      <x:c r="BF79" s="60" t="n">
        <x:v>64.53910186767578</x:v>
      </x:c>
      <x:c r="BG79" s="60" t="n">
        <x:v>64.80212287902832</x:v>
      </x:c>
      <x:c r="BH79" s="60" t="n">
        <x:v>65.07012466430665</x:v>
      </x:c>
      <x:c r="BI79" s="60" t="n">
        <x:v>65.35662536621093</x:v>
      </x:c>
      <x:c r="BJ79" s="60" t="n">
        <x:v>65.65145538330079</x:v>
      </x:c>
      <x:c r="BK79" s="60" t="n">
        <x:v>65.96475730895996</x:v>
      </x:c>
      <x:c r="BL79" s="60" t="n">
        <x:v>66.20623596191406</x:v>
      </x:c>
      <x:c r="BM79" s="60" t="n">
        <x:v>66.4353791809082</x:v>
      </x:c>
      <x:c r="BN79" s="60" t="n">
        <x:v>66.70064086914063</x:v>
      </x:c>
      <x:c r="BO79" s="60" t="n">
        <x:v>66.98874145507813</x:v>
      </x:c>
      <x:c r="BP79" s="60" t="n">
        <x:v>67.2617041015625</x:v>
      </x:c>
      <x:c r="BQ79" s="60" t="n">
        <x:v>67.52484565734864</x:v>
      </x:c>
      <x:c r="BR79" s="60" t="n">
        <x:v>67.77978149414062</x:v>
      </x:c>
      <x:c r="BS79" s="60" t="n">
        <x:v>68.03875427246093</x:v>
      </x:c>
      <x:c r="BT79" s="60" t="n">
        <x:v>68.30761810302734</x:v>
      </x:c>
      <x:c r="BU79" s="60" t="n">
        <x:v>68.59609817504882</x:v>
      </x:c>
      <x:c r="BV79" s="60" t="n">
        <x:v>68.85639312744141</x:v>
      </x:c>
      <x:c r="BW79" s="60" t="n">
        <x:v>69.12955589294434</x:v>
      </x:c>
      <x:c r="BX79" s="60" t="n">
        <x:v>69.40866012573242</x:v>
      </x:c>
      <x:c r="BY79" s="60" t="n">
        <x:v>69.65479553222656</x:v>
      </x:c>
      <x:c r="BZ79" s="60" t="n">
        <x:v>69.96188751220703</x:v>
      </x:c>
      <x:c r="CA79" s="60" t="n">
        <x:v>70.24783752441407</x:v>
      </x:c>
      <x:c r="CB79" s="60" t="n">
        <x:v>70.50122100830079</x:v>
      </x:c>
      <x:c r="CC79" s="60" t="n">
        <x:v>70.74007034301758</x:v>
      </x:c>
      <x:c r="CD79" s="60" t="n">
        <x:v>71.05556274414063</x:v>
      </x:c>
      <x:c r="CE79" s="60" t="n">
        <x:v>71.32733612060547</x:v>
      </x:c>
      <x:c r="CF79" s="60" t="n">
        <x:v>71.64450271606445</x:v>
      </x:c>
      <x:c r="CG79" s="60" t="n">
        <x:v>71.97890380859376</x:v>
      </x:c>
      <x:c r="CH79" s="60" t="n">
        <x:v>72.28922576904297</x:v>
      </x:c>
      <x:c r="CI79" s="60" t="n">
        <x:v>72.61277404785156</x:v>
      </x:c>
      <x:c r="CJ79" s="60" t="n">
        <x:v>72.9209831237793</x:v>
      </x:c>
      <x:c r="CK79" s="60" t="n">
        <x:v>73.27964920043945</x:v>
      </x:c>
      <x:c r="CL79" s="60" t="n">
        <x:v>73.65653625488281</x:v>
      </x:c>
      <x:c r="CM79" s="60" t="n">
        <x:v>73.96469535827636</x:v>
      </x:c>
      <x:c r="CN79" s="60" t="n">
        <x:v>74.33663116455078</x:v>
      </x:c>
      <x:c r="CO79" s="60" t="n">
        <x:v>74.753623046875</x:v>
      </x:c>
      <x:c r="CP79" s="60" t="n">
        <x:v>75.13326782226562</x:v>
      </x:c>
      <x:c r="CQ79" s="60" t="n">
        <x:v>75.57376495361328</x:v>
      </x:c>
      <x:c r="CR79" s="60" t="n">
        <x:v>76.01511154174806</x:v>
      </x:c>
      <x:c r="CS79" s="60" t="n">
        <x:v>76.47243766784668</x:v>
      </x:c>
      <x:c r="CT79" s="60" t="n">
        <x:v>76.92891906738281</x:v>
      </x:c>
      <x:c r="CU79" s="60" t="n">
        <x:v>77.42087097167969</x:v>
      </x:c>
      <x:c r="CV79" s="60" t="n">
        <x:v>78.06119186401368</x:v>
      </x:c>
      <x:c r="CW79" s="60" t="n">
        <x:v>78.67793464660645</x:v>
      </x:c>
      <x:c r="CX79" s="60" t="n">
        <x:v>79.3926089477539</x:v>
      </x:c>
      <x:c r="CY79" s="60" t="n">
        <x:v>80.25354125976561</x:v>
      </x:c>
      <x:c r="CZ79" s="60" t="n">
        <x:v>81.37706405639649</x:v>
      </x:c>
      <x:c r="DA79" s="60" t="n">
        <x:v>82.90055175781247</x:v>
      </x:c>
      <x:c r="DB79" s="60" t="n">
        <x:v>89.83751678466797</x:v>
      </x:c>
    </x:row>
    <x:row r="80">
      <x:c r="A80" t="str">
        <x:v>ルカリオ-2</x:v>
      </x:c>
      <x:c r="B80" t="str">
        <x:v>ルカリオ</x:v>
      </x:c>
      <x:c r="C80" t="str">
        <x:v>グロウパンチ</x:v>
      </x:c>
      <x:c r="D80" s="60" t="n">
        <x:v>65.69591522216797</x:v>
      </x:c>
      <x:c r="E80" s="60" t="n">
        <x:v>10.156923294067383</x:v>
      </x:c>
      <x:c r="F80" s="60" t="n">
        <x:v>30.827579498291016</x:v>
      </x:c>
      <x:c r="G80" s="60" t="n">
        <x:v>39.90570697784424</x:v>
      </x:c>
      <x:c r="H80" s="60" t="n">
        <x:v>42.7788924407959</x:v>
      </x:c>
      <x:c r="I80" s="60" t="n">
        <x:v>44.62796035766602</x:v>
      </x:c>
      <x:c r="J80" s="60" t="n">
        <x:v>46.14488265991211</x:v>
      </x:c>
      <x:c r="K80" s="60" t="n">
        <x:v>47.28967132568359</x:v>
      </x:c>
      <x:c r="L80" s="60" t="n">
        <x:v>48.44696365356445</x:v>
      </x:c>
      <x:c r="M80" s="60" t="n">
        <x:v>49.392667350769045</x:v>
      </x:c>
      <x:c r="N80" s="60" t="n">
        <x:v>50.28879821777344</x:v>
      </x:c>
      <x:c r="O80" s="60" t="n">
        <x:v>51.06234279632568</x:v>
      </x:c>
      <x:c r="P80" s="60" t="n">
        <x:v>51.748054885864256</x:v>
      </x:c>
      <x:c r="Q80" s="60" t="n">
        <x:v>52.33354461669922</x:v>
      </x:c>
      <x:c r="R80" s="60" t="n">
        <x:v>52.965207977294924</x:v>
      </x:c>
      <x:c r="S80" s="60" t="n">
        <x:v>53.54503368377686</x:v>
      </x:c>
      <x:c r="T80" s="60" t="n">
        <x:v>54.10776985168457</x:v>
      </x:c>
      <x:c r="U80" s="60" t="n">
        <x:v>54.61024894714355</x:v>
      </x:c>
      <x:c r="V80" s="60" t="n">
        <x:v>55.123340911865235</x:v>
      </x:c>
      <x:c r="W80" s="60" t="n">
        <x:v>55.59739562988281</x:v>
      </x:c>
      <x:c r="X80" s="60" t="n">
        <x:v>56.0721044921875</x:v>
      </x:c>
      <x:c r="Y80" s="60" t="n">
        <x:v>56.47470394134521</x:v>
      </x:c>
      <x:c r="Z80" s="60" t="n">
        <x:v>56.96218185424805</x:v>
      </x:c>
      <x:c r="AA80" s="60" t="n">
        <x:v>57.40554950714111</x:v>
      </x:c>
      <x:c r="AB80" s="60" t="n">
        <x:v>57.80430686950684</x:v>
      </x:c>
      <x:c r="AC80" s="60" t="n">
        <x:v>58.18006179809571</x:v>
      </x:c>
      <x:c r="AD80" s="60" t="n">
        <x:v>58.544321899414065</x:v>
      </x:c>
      <x:c r="AE80" s="60" t="n">
        <x:v>58.932448387145996</x:v>
      </x:c>
      <x:c r="AF80" s="60" t="n">
        <x:v>59.32331535339355</x:v>
      </x:c>
      <x:c r="AG80" s="60" t="n">
        <x:v>59.68547370910645</x:v>
      </x:c>
      <x:c r="AH80" s="60" t="n">
        <x:v>59.999441680908205</x:v>
      </x:c>
      <x:c r="AI80" s="60" t="n">
        <x:v>60.36254024505615</x:v>
      </x:c>
      <x:c r="AJ80" s="60" t="n">
        <x:v>60.67466735839844</x:v>
      </x:c>
      <x:c r="AK80" s="60" t="n">
        <x:v>61.04405380249023</x:v>
      </x:c>
      <x:c r="AL80" s="60" t="n">
        <x:v>61.38713455200195</x:v>
      </x:c>
      <x:c r="AM80" s="60" t="n">
        <x:v>61.73040588378906</x:v>
      </x:c>
      <x:c r="AN80" s="60" t="n">
        <x:v>62.02447639465332</x:v>
      </x:c>
      <x:c r="AO80" s="60" t="n">
        <x:v>62.34791641235351</x:v>
      </x:c>
      <x:c r="AP80" s="60" t="n">
        <x:v>62.661733856201174</x:v>
      </x:c>
      <x:c r="AQ80" s="60" t="n">
        <x:v>62.95392738342285</x:v>
      </x:c>
      <x:c r="AR80" s="60" t="n">
        <x:v>63.25857948303223</x:v>
      </x:c>
      <x:c r="AS80" s="60" t="n">
        <x:v>63.57254848480225</x:v>
      </x:c>
      <x:c r="AT80" s="60" t="n">
        <x:v>63.86335983276367</x:v>
      </x:c>
      <x:c r="AU80" s="60" t="n">
        <x:v>64.12897911071778</x:v>
      </x:c>
      <x:c r="AV80" s="60" t="n">
        <x:v>64.41015548706055</x:v>
      </x:c>
      <x:c r="AW80" s="60" t="n">
        <x:v>64.70285049438476</x:v>
      </x:c>
      <x:c r="AX80" s="60" t="n">
        <x:v>65.008134765625</x:v>
      </x:c>
      <x:c r="AY80" s="60" t="n">
        <x:v>65.30190887451172</x:v>
      </x:c>
      <x:c r="AZ80" s="60" t="n">
        <x:v>65.5787599182129</x:v>
      </x:c>
      <x:c r="BA80" s="60" t="n">
        <x:v>65.84990821838379</x:v>
      </x:c>
      <x:c r="BB80" s="60" t="n">
        <x:v>66.1437759399414</x:v>
      </x:c>
      <x:c r="BC80" s="60" t="n">
        <x:v>66.42024101257324</x:v>
      </x:c>
      <x:c r="BD80" s="60" t="n">
        <x:v>66.67520904541016</x:v>
      </x:c>
      <x:c r="BE80" s="60" t="n">
        <x:v>66.94154609680176</x:v>
      </x:c>
      <x:c r="BF80" s="60" t="n">
        <x:v>67.19741882324219</x:v>
      </x:c>
      <x:c r="BG80" s="60" t="n">
        <x:v>67.44758270263672</x:v>
      </x:c>
      <x:c r="BH80" s="60" t="n">
        <x:v>67.67840805053712</x:v>
      </x:c>
      <x:c r="BI80" s="60" t="n">
        <x:v>67.9577117919922</x:v>
      </x:c>
      <x:c r="BJ80" s="60" t="n">
        <x:v>68.214853515625</x:v>
      </x:c>
      <x:c r="BK80" s="60" t="n">
        <x:v>68.50181053161621</x:v>
      </x:c>
      <x:c r="BL80" s="60" t="n">
        <x:v>68.78228073120117</x:v>
      </x:c>
      <x:c r="BM80" s="60" t="n">
        <x:v>69.08099647521972</x:v>
      </x:c>
      <x:c r="BN80" s="60" t="n">
        <x:v>69.34612579345703</x:v>
      </x:c>
      <x:c r="BO80" s="60" t="n">
        <x:v>69.61187637329101</x:v>
      </x:c>
      <x:c r="BP80" s="60" t="n">
        <x:v>69.88126327514648</x:v>
      </x:c>
      <x:c r="BQ80" s="60" t="n">
        <x:v>70.16093528747558</x:v>
      </x:c>
      <x:c r="BR80" s="60" t="n">
        <x:v>70.41873992919922</x:v>
      </x:c>
      <x:c r="BS80" s="60" t="n">
        <x:v>70.71441917419433</x:v>
      </x:c>
      <x:c r="BT80" s="60" t="n">
        <x:v>70.95887252807617</x:v>
      </x:c>
      <x:c r="BU80" s="60" t="n">
        <x:v>71.23950454711914</x:v>
      </x:c>
      <x:c r="BV80" s="60" t="n">
        <x:v>71.51226348876953</x:v>
      </x:c>
      <x:c r="BW80" s="60" t="n">
        <x:v>71.74886192321777</x:v>
      </x:c>
      <x:c r="BX80" s="60" t="n">
        <x:v>72.0419403076172</x:v>
      </x:c>
      <x:c r="BY80" s="60" t="n">
        <x:v>72.31085067749024</x:v>
      </x:c>
      <x:c r="BZ80" s="60" t="n">
        <x:v>72.57995849609375</x:v>
      </x:c>
      <x:c r="CA80" s="60" t="n">
        <x:v>72.84570175170899</x:v>
      </x:c>
      <x:c r="CB80" s="60" t="n">
        <x:v>73.0974755859375</x:v>
      </x:c>
      <x:c r="CC80" s="60" t="n">
        <x:v>73.33831596374512</x:v>
      </x:c>
      <x:c r="CD80" s="60" t="n">
        <x:v>73.62603210449218</x:v>
      </x:c>
      <x:c r="CE80" s="60" t="n">
        <x:v>73.93523963928223</x:v>
      </x:c>
      <x:c r="CF80" s="60" t="n">
        <x:v>74.24112167358399</x:v>
      </x:c>
      <x:c r="CG80" s="60" t="n">
        <x:v>74.516220703125</x:v>
      </x:c>
      <x:c r="CH80" s="60" t="n">
        <x:v>74.78841552734374</x:v>
      </x:c>
      <x:c r="CI80" s="60" t="n">
        <x:v>75.09369354248047</x:v>
      </x:c>
      <x:c r="CJ80" s="60" t="n">
        <x:v>75.3841291809082</x:v>
      </x:c>
      <x:c r="CK80" s="60" t="n">
        <x:v>75.64446815490723</x:v>
      </x:c>
      <x:c r="CL80" s="60" t="n">
        <x:v>76.01372589111328</x:v>
      </x:c>
      <x:c r="CM80" s="60" t="n">
        <x:v>76.34061737060546</x:v>
      </x:c>
      <x:c r="CN80" s="60" t="n">
        <x:v>76.69459442138671</x:v>
      </x:c>
      <x:c r="CO80" s="60" t="n">
        <x:v>77.06310371398926</x:v>
      </x:c>
      <x:c r="CP80" s="60" t="n">
        <x:v>77.43369873046875</x:v>
      </x:c>
      <x:c r="CQ80" s="60" t="n">
        <x:v>77.80798622131348</x:v>
      </x:c>
      <x:c r="CR80" s="60" t="n">
        <x:v>78.22468948364258</x:v>
      </x:c>
      <x:c r="CS80" s="60" t="n">
        <x:v>78.6415933227539</x:v>
      </x:c>
      <x:c r="CT80" s="60" t="n">
        <x:v>79.09059143066406</x:v>
      </x:c>
      <x:c r="CU80" s="60" t="n">
        <x:v>79.59717742919922</x:v>
      </x:c>
      <x:c r="CV80" s="60" t="n">
        <x:v>80.14003265380859</x:v>
      </x:c>
      <x:c r="CW80" s="60" t="n">
        <x:v>80.66926460266114</x:v>
      </x:c>
      <x:c r="CX80" s="60" t="n">
        <x:v>81.33642059326172</x:v>
      </x:c>
      <x:c r="CY80" s="60" t="n">
        <x:v>82.07689056396484</x:v>
      </x:c>
      <x:c r="CZ80" s="60" t="n">
        <x:v>83.0184001159668</x:v>
      </x:c>
      <x:c r="DA80" s="60" t="n">
        <x:v>84.32885086059567</x:v>
      </x:c>
      <x:c r="DB80" s="60" t="n">
        <x:v>88.86249542236328</x:v>
      </x:c>
    </x:row>
    <x:row r="81">
      <x:c r="A81" t="str">
        <x:v>メガルカリオ-1</x:v>
      </x:c>
      <x:c r="B81" t="str">
        <x:v>メガルカリオ</x:v>
      </x:c>
      <x:c r="C81" t="str">
        <x:v>共通</x:v>
      </x:c>
      <x:c r="D81" s="60" t="n">
        <x:v>64.16297149658203</x:v>
      </x:c>
      <x:c r="E81" s="60" t="n">
        <x:v>10.294721603393555</x:v>
      </x:c>
      <x:c r="F81" s="60" t="n">
        <x:v>29.644184112548828</x:v>
      </x:c>
      <x:c r="G81" s="60" t="n">
        <x:v>38.78572578430176</x:v>
      </x:c>
      <x:c r="H81" s="60" t="n">
        <x:v>41.667763214111325</x:v>
      </x:c>
      <x:c r="I81" s="60" t="n">
        <x:v>43.4627547454834</x:v>
      </x:c>
      <x:c r="J81" s="60" t="n">
        <x:v>44.95262451171875</x:v>
      </x:c>
      <x:c r="K81" s="60" t="n">
        <x:v>46.10412521362305</x:v>
      </x:c>
      <x:c r="L81" s="60" t="n">
        <x:v>47.13400177001953</x:v>
      </x:c>
      <x:c r="M81" s="60" t="n">
        <x:v>48.10775539398193</x:v>
      </x:c>
      <x:c r="N81" s="60" t="n">
        <x:v>48.91482208251953</x:v>
      </x:c>
      <x:c r="O81" s="60" t="n">
        <x:v>49.56483615875244</x:v>
      </x:c>
      <x:c r="P81" s="60" t="n">
        <x:v>50.24003219604492</x:v>
      </x:c>
      <x:c r="Q81" s="60" t="n">
        <x:v>50.948138122558596</x:v>
      </x:c>
      <x:c r="R81" s="60" t="n">
        <x:v>51.45675750732422</x:v>
      </x:c>
      <x:c r="S81" s="60" t="n">
        <x:v>52.02248550415039</x:v>
      </x:c>
      <x:c r="T81" s="60" t="n">
        <x:v>52.566445693969726</x:v>
      </x:c>
      <x:c r="U81" s="60" t="n">
        <x:v>53.09272022247315</x:v>
      </x:c>
      <x:c r="V81" s="60" t="n">
        <x:v>53.525594329833986</x:v>
      </x:c>
      <x:c r="W81" s="60" t="n">
        <x:v>53.95506664276123</x:v>
      </x:c>
      <x:c r="X81" s="60" t="n">
        <x:v>54.36365715026855</x:v>
      </x:c>
      <x:c r="Y81" s="60" t="n">
        <x:v>54.73744876861572</x:v>
      </x:c>
      <x:c r="Z81" s="60" t="n">
        <x:v>55.10267181396485</x:v>
      </x:c>
      <x:c r="AA81" s="60" t="n">
        <x:v>55.51432308197022</x:v>
      </x:c>
      <x:c r="AB81" s="60" t="n">
        <x:v>55.93702667236328</x:v>
      </x:c>
      <x:c r="AC81" s="60" t="n">
        <x:v>56.33967296600342</x:v>
      </x:c>
      <x:c r="AD81" s="60" t="n">
        <x:v>56.71971008300781</x:v>
      </x:c>
      <x:c r="AE81" s="60" t="n">
        <x:v>57.09228992462158</x:v>
      </x:c>
      <x:c r="AF81" s="60" t="n">
        <x:v>57.48730262756348</x:v>
      </x:c>
      <x:c r="AG81" s="60" t="n">
        <x:v>57.84799129486084</x:v>
      </x:c>
      <x:c r="AH81" s="60" t="n">
        <x:v>58.22976455688477</x:v>
      </x:c>
      <x:c r="AI81" s="60" t="n">
        <x:v>58.56588550567627</x:v>
      </x:c>
      <x:c r="AJ81" s="60" t="n">
        <x:v>58.903537368774415</x:v>
      </x:c>
      <x:c r="AK81" s="60" t="n">
        <x:v>59.26316310882568</x:v>
      </x:c>
      <x:c r="AL81" s="60" t="n">
        <x:v>59.569053649902344</x:v>
      </x:c>
      <x:c r="AM81" s="60" t="n">
        <x:v>59.93115264892578</x:v>
      </x:c>
      <x:c r="AN81" s="60" t="n">
        <x:v>60.19600143432617</x:v>
      </x:c>
      <x:c r="AO81" s="60" t="n">
        <x:v>60.48859481811523</x:v>
      </x:c>
      <x:c r="AP81" s="60" t="n">
        <x:v>60.80684722900391</x:v>
      </x:c>
      <x:c r="AQ81" s="60" t="n">
        <x:v>61.117727279663086</x:v>
      </x:c>
      <x:c r="AR81" s="60" t="n">
        <x:v>61.424433364868165</x:v>
      </x:c>
      <x:c r="AS81" s="60" t="n">
        <x:v>61.708786277771</x:v>
      </x:c>
      <x:c r="AT81" s="60" t="n">
        <x:v>62.01742248535156</x:v>
      </x:c>
      <x:c r="AU81" s="60" t="n">
        <x:v>62.31315010070801</x:v>
      </x:c>
      <x:c r="AV81" s="60" t="n">
        <x:v>62.62506675720215</x:v>
      </x:c>
      <x:c r="AW81" s="60" t="n">
        <x:v>62.923500061035156</x:v>
      </x:c>
      <x:c r="AX81" s="60" t="n">
        <x:v>63.18136917114258</x:v>
      </x:c>
      <x:c r="AY81" s="60" t="n">
        <x:v>63.43249626159668</x:v>
      </x:c>
      <x:c r="AZ81" s="60" t="n">
        <x:v>63.70052871704102</x:v>
      </x:c>
      <x:c r="BA81" s="60" t="n">
        <x:v>63.97442947387695</x:v>
      </x:c>
      <x:c r="BB81" s="60" t="n">
        <x:v>64.2528662109375</x:v>
      </x:c>
      <x:c r="BC81" s="60" t="n">
        <x:v>64.51785102844238</x:v>
      </x:c>
      <x:c r="BD81" s="60" t="n">
        <x:v>64.79572296142578</x:v>
      </x:c>
      <x:c r="BE81" s="60" t="n">
        <x:v>65.0575951385498</x:v>
      </x:c>
      <x:c r="BF81" s="60" t="n">
        <x:v>65.31621032714844</x:v>
      </x:c>
      <x:c r="BG81" s="60" t="n">
        <x:v>65.61717895507813</x:v>
      </x:c>
      <x:c r="BH81" s="60" t="n">
        <x:v>65.91596084594727</x:v>
      </x:c>
      <x:c r="BI81" s="60" t="n">
        <x:v>66.18119163513184</x:v>
      </x:c>
      <x:c r="BJ81" s="60" t="n">
        <x:v>66.5004949951172</x:v>
      </x:c>
      <x:c r="BK81" s="60" t="n">
        <x:v>66.78217926025391</x:v>
      </x:c>
      <x:c r="BL81" s="60" t="n">
        <x:v>67.07885803222656</x:v>
      </x:c>
      <x:c r="BM81" s="60" t="n">
        <x:v>67.33752067565918</x:v>
      </x:c>
      <x:c r="BN81" s="60" t="n">
        <x:v>67.59984741210937</x:v>
      </x:c>
      <x:c r="BO81" s="60" t="n">
        <x:v>67.85828964233399</x:v>
      </x:c>
      <x:c r="BP81" s="60" t="n">
        <x:v>68.14466659545899</x:v>
      </x:c>
      <x:c r="BQ81" s="60" t="n">
        <x:v>68.41092422485352</x:v>
      </x:c>
      <x:c r="BR81" s="60" t="n">
        <x:v>68.67072113037109</x:v>
      </x:c>
      <x:c r="BS81" s="60" t="n">
        <x:v>68.95398292541503</x:v>
      </x:c>
      <x:c r="BT81" s="60" t="n">
        <x:v>69.23388885498046</x:v>
      </x:c>
      <x:c r="BU81" s="60" t="n">
        <x:v>69.4847654724121</x:v>
      </x:c>
      <x:c r="BV81" s="60" t="n">
        <x:v>69.74623077392579</x:v>
      </x:c>
      <x:c r="BW81" s="60" t="n">
        <x:v>70.0355061340332</x:v>
      </x:c>
      <x:c r="BX81" s="60" t="n">
        <x:v>70.32311248779297</x:v>
      </x:c>
      <x:c r="BY81" s="60" t="n">
        <x:v>70.62299682617187</x:v>
      </x:c>
      <x:c r="BZ81" s="60" t="n">
        <x:v>70.94556884765625</x:v>
      </x:c>
      <x:c r="CA81" s="60" t="n">
        <x:v>71.19955993652344</x:v>
      </x:c>
      <x:c r="CB81" s="60" t="n">
        <x:v>71.50530578613281</x:v>
      </x:c>
      <x:c r="CC81" s="60" t="n">
        <x:v>71.79781532287598</x:v>
      </x:c>
      <x:c r="CD81" s="60" t="n">
        <x:v>72.11500579833984</x:v>
      </x:c>
      <x:c r="CE81" s="60" t="n">
        <x:v>72.43398574829101</x:v>
      </x:c>
      <x:c r="CF81" s="60" t="n">
        <x:v>72.73729598999023</x:v>
      </x:c>
      <x:c r="CG81" s="60" t="n">
        <x:v>73.05167518615723</x:v>
      </x:c>
      <x:c r="CH81" s="60" t="n">
        <x:v>73.38650360107422</x:v>
      </x:c>
      <x:c r="CI81" s="60" t="n">
        <x:v>73.72413070678711</x:v>
      </x:c>
      <x:c r="CJ81" s="60" t="n">
        <x:v>74.09016311645507</x:v>
      </x:c>
      <x:c r="CK81" s="60" t="n">
        <x:v>74.4085124206543</x:v>
      </x:c>
      <x:c r="CL81" s="60" t="n">
        <x:v>74.73986022949218</x:v>
      </x:c>
      <x:c r="CM81" s="60" t="n">
        <x:v>75.11984786987304</x:v>
      </x:c>
      <x:c r="CN81" s="60" t="n">
        <x:v>75.50455642700196</x:v>
      </x:c>
      <x:c r="CO81" s="60" t="n">
        <x:v>75.91209663391113</x:v>
      </x:c>
      <x:c r="CP81" s="60" t="n">
        <x:v>76.27222534179687</x:v>
      </x:c>
      <x:c r="CQ81" s="60" t="n">
        <x:v>76.68388084411622</x:v>
      </x:c>
      <x:c r="CR81" s="60" t="n">
        <x:v>77.06587295532228</x:v>
      </x:c>
      <x:c r="CS81" s="60" t="n">
        <x:v>77.5733715057373</x:v>
      </x:c>
      <x:c r="CT81" s="60" t="n">
        <x:v>78.11675170898438</x:v>
      </x:c>
      <x:c r="CU81" s="60" t="n">
        <x:v>78.61965698242187</x:v>
      </x:c>
      <x:c r="CV81" s="60" t="n">
        <x:v>79.22225234985352</x:v>
      </x:c>
      <x:c r="CW81" s="60" t="n">
        <x:v>79.8047889709473</x:v>
      </x:c>
      <x:c r="CX81" s="60" t="n">
        <x:v>80.53558013916016</x:v>
      </x:c>
      <x:c r="CY81" s="60" t="n">
        <x:v>81.44854309082031</x:v>
      </x:c>
      <x:c r="CZ81" s="60" t="n">
        <x:v>82.67913467407226</x:v>
      </x:c>
      <x:c r="DA81" s="60" t="n">
        <x:v>84.38952079772947</x:v>
      </x:c>
      <x:c r="DB81" s="60" t="n">
        <x:v>90.6153564453125</x:v>
      </x:c>
    </x:row>
    <x:row r="82">
      <x:c r="A82" t="str">
        <x:v>アブソル-1</x:v>
      </x:c>
      <x:c r="B82" t="str">
        <x:v>アブソル</x:v>
      </x:c>
      <x:c r="C82" t="str">
        <x:v>共通</x:v>
      </x:c>
      <x:c r="D82" s="60" t="n">
        <x:v>61.604705810546875</x:v>
      </x:c>
      <x:c r="E82" s="60" t="n">
        <x:v>8.433795928955078</x:v>
      </x:c>
      <x:c r="F82" s="60" t="n">
        <x:v>33.25060272216797</x:v>
      </x:c>
      <x:c r="G82" s="60" t="n">
        <x:v>41.30926746368408</x:v>
      </x:c>
      <x:c r="H82" s="60" t="n">
        <x:v>43.489481658935546</x:v>
      </x:c>
      <x:c r="I82" s="60" t="n">
        <x:v>44.89671157836914</x:v>
      </x:c>
      <x:c r="J82" s="60" t="n">
        <x:v>46.11773864746094</x:v>
      </x:c>
      <x:c r="K82" s="60" t="n">
        <x:v>46.98362274169922</x:v>
      </x:c>
      <x:c r="L82" s="60" t="n">
        <x:v>47.78157608032227</x:v>
      </x:c>
      <x:c r="M82" s="60" t="n">
        <x:v>48.47507740020752</x:v>
      </x:c>
      <x:c r="N82" s="60" t="n">
        <x:v>49.13636749267578</x:v>
      </x:c>
      <x:c r="O82" s="60" t="n">
        <x:v>49.68917972564697</x:v>
      </x:c>
      <x:c r="P82" s="60" t="n">
        <x:v>50.245843505859376</x:v>
      </x:c>
      <x:c r="Q82" s="60" t="n">
        <x:v>50.7153373336792</x:v>
      </x:c>
      <x:c r="R82" s="60" t="n">
        <x:v>51.157634887695316</x:v>
      </x:c>
      <x:c r="S82" s="60" t="n">
        <x:v>51.663274612426754</x:v>
      </x:c>
      <x:c r="T82" s="60" t="n">
        <x:v>52.0719197845459</x:v>
      </x:c>
      <x:c r="U82" s="60" t="n">
        <x:v>52.47758808135986</x:v>
      </x:c>
      <x:c r="V82" s="60" t="n">
        <x:v>52.858285675048826</x:v>
      </x:c>
      <x:c r="W82" s="60" t="n">
        <x:v>53.194410514831546</x:v>
      </x:c>
      <x:c r="X82" s="60" t="n">
        <x:v>53.53576560974121</x:v>
      </x:c>
      <x:c r="Y82" s="60" t="n">
        <x:v>53.898762969970704</x:v>
      </x:c>
      <x:c r="Z82" s="60" t="n">
        <x:v>54.21271896362305</x:v>
      </x:c>
      <x:c r="AA82" s="60" t="n">
        <x:v>54.53535663604736</x:v>
      </x:c>
      <x:c r="AB82" s="60" t="n">
        <x:v>54.85885635375976</x:v>
      </x:c>
      <x:c r="AC82" s="60" t="n">
        <x:v>55.172163772583005</x:v>
      </x:c>
      <x:c r="AD82" s="60" t="n">
        <x:v>55.50562026977539</x:v>
      </x:c>
      <x:c r="AE82" s="60" t="n">
        <x:v>55.80211639404297</x:v>
      </x:c>
      <x:c r="AF82" s="60" t="n">
        <x:v>56.07727462768555</x:v>
      </x:c>
      <x:c r="AG82" s="60" t="n">
        <x:v>56.42151008605957</x:v>
      </x:c>
      <x:c r="AH82" s="60" t="n">
        <x:v>56.710968475341794</x:v>
      </x:c>
      <x:c r="AI82" s="60" t="n">
        <x:v>56.938705101013184</x:v>
      </x:c>
      <x:c r="AJ82" s="60" t="n">
        <x:v>57.2273494720459</x:v>
      </x:c>
      <x:c r="AK82" s="60" t="n">
        <x:v>57.507789306640625</x:v>
      </x:c>
      <x:c r="AL82" s="60" t="n">
        <x:v>57.80708328247071</x:v>
      </x:c>
      <x:c r="AM82" s="60" t="n">
        <x:v>58.06043216705322</x:v>
      </x:c>
      <x:c r="AN82" s="60" t="n">
        <x:v>58.29098106384277</x:v>
      </x:c>
      <x:c r="AO82" s="60" t="n">
        <x:v>58.55069141387939</x:v>
      </x:c>
      <x:c r="AP82" s="60" t="n">
        <x:v>58.81579071044922</x:v>
      </x:c>
      <x:c r="AQ82" s="60" t="n">
        <x:v>59.066220092773435</x:v>
      </x:c>
      <x:c r="AR82" s="60" t="n">
        <x:v>59.303395385742185</x:v>
      </x:c>
      <x:c r="AS82" s="60" t="n">
        <x:v>59.558973693847655</x:v>
      </x:c>
      <x:c r="AT82" s="60" t="n">
        <x:v>59.794454956054686</x:v>
      </x:c>
      <x:c r="AU82" s="60" t="n">
        <x:v>60.03758876800537</x:v>
      </x:c>
      <x:c r="AV82" s="60" t="n">
        <x:v>60.26089050292969</x:v>
      </x:c>
      <x:c r="AW82" s="60" t="n">
        <x:v>60.51864109039307</x:v>
      </x:c>
      <x:c r="AX82" s="60" t="n">
        <x:v>60.746734619140625</x:v>
      </x:c>
      <x:c r="AY82" s="60" t="n">
        <x:v>60.96977844238281</x:v>
      </x:c>
      <x:c r="AZ82" s="60" t="n">
        <x:v>61.20717079162598</x:v>
      </x:c>
      <x:c r="BA82" s="60" t="n">
        <x:v>61.40646408081055</x:v>
      </x:c>
      <x:c r="BB82" s="60" t="n">
        <x:v>61.63461654663086</x:v>
      </x:c>
      <x:c r="BC82" s="60" t="n">
        <x:v>61.86703510284424</x:v>
      </x:c>
      <x:c r="BD82" s="60" t="n">
        <x:v>62.100250244140625</x:v>
      </x:c>
      <x:c r="BE82" s="60" t="n">
        <x:v>62.31820247650146</x:v>
      </x:c>
      <x:c r="BF82" s="60" t="n">
        <x:v>62.52677612304687</x:v>
      </x:c>
      <x:c r="BG82" s="60" t="n">
        <x:v>62.74288249969483</x:v>
      </x:c>
      <x:c r="BH82" s="60" t="n">
        <x:v>62.953635940551756</x:v>
      </x:c>
      <x:c r="BI82" s="60" t="n">
        <x:v>63.19183521270752</x:v>
      </x:c>
      <x:c r="BJ82" s="60" t="n">
        <x:v>63.388051147460935</x:v>
      </x:c>
      <x:c r="BK82" s="60" t="n">
        <x:v>63.62312191009522</x:v>
      </x:c>
      <x:c r="BL82" s="60" t="n">
        <x:v>63.85307167053222</x:v>
      </x:c>
      <x:c r="BM82" s="60" t="n">
        <x:v>64.06779586791993</x:v>
      </x:c>
      <x:c r="BN82" s="60" t="n">
        <x:v>64.31562652587891</x:v>
      </x:c>
      <x:c r="BO82" s="60" t="n">
        <x:v>64.5357586669922</x:v>
      </x:c>
      <x:c r="BP82" s="60" t="n">
        <x:v>64.77227767944336</x:v>
      </x:c>
      <x:c r="BQ82" s="60" t="n">
        <x:v>64.98171821594238</x:v>
      </x:c>
      <x:c r="BR82" s="60" t="n">
        <x:v>65.22114044189453</x:v>
      </x:c>
      <x:c r="BS82" s="60" t="n">
        <x:v>65.43788146972656</x:v>
      </x:c>
      <x:c r="BT82" s="60" t="n">
        <x:v>65.68091430664063</x:v>
      </x:c>
      <x:c r="BU82" s="60" t="n">
        <x:v>65.90638542175293</x:v>
      </x:c>
      <x:c r="BV82" s="60" t="n">
        <x:v>66.13930541992188</x:v>
      </x:c>
      <x:c r="BW82" s="60" t="n">
        <x:v>66.35178443908691</x:v>
      </x:c>
      <x:c r="BX82" s="60" t="n">
        <x:v>66.60044784545899</x:v>
      </x:c>
      <x:c r="BY82" s="60" t="n">
        <x:v>66.81674629211426</x:v>
      </x:c>
      <x:c r="BZ82" s="60" t="n">
        <x:v>67.0517510986328</x:v>
      </x:c>
      <x:c r="CA82" s="60" t="n">
        <x:v>67.29440399169921</x:v>
      </x:c>
      <x:c r="CB82" s="60" t="n">
        <x:v>67.52315826416016</x:v>
      </x:c>
      <x:c r="CC82" s="60" t="n">
        <x:v>67.7552604675293</x:v>
      </x:c>
      <x:c r="CD82" s="60" t="n">
        <x:v>68.0199609375</x:v>
      </x:c>
      <x:c r="CE82" s="60" t="n">
        <x:v>68.28340599060058</x:v>
      </x:c>
      <x:c r="CF82" s="60" t="n">
        <x:v>68.53493698120117</x:v>
      </x:c>
      <x:c r="CG82" s="60" t="n">
        <x:v>68.80288124084473</x:v>
      </x:c>
      <x:c r="CH82" s="60" t="n">
        <x:v>69.05982818603516</x:v>
      </x:c>
      <x:c r="CI82" s="60" t="n">
        <x:v>69.34261680603028</x:v>
      </x:c>
      <x:c r="CJ82" s="60" t="n">
        <x:v>69.61522888183593</x:v>
      </x:c>
      <x:c r="CK82" s="60" t="n">
        <x:v>69.92604179382325</x:v>
      </x:c>
      <x:c r="CL82" s="60" t="n">
        <x:v>70.20807312011719</x:v>
      </x:c>
      <x:c r="CM82" s="60" t="n">
        <x:v>70.53001632690429</x:v>
      </x:c>
      <x:c r="CN82" s="60" t="n">
        <x:v>70.87508148193359</x:v>
      </x:c>
      <x:c r="CO82" s="60" t="n">
        <x:v>71.20962287902832</x:v>
      </x:c>
      <x:c r="CP82" s="60" t="n">
        <x:v>71.57116302490235</x:v>
      </x:c>
      <x:c r="CQ82" s="60" t="n">
        <x:v>71.93482818603516</x:v>
      </x:c>
      <x:c r="CR82" s="60" t="n">
        <x:v>72.36325302124024</x:v>
      </x:c>
      <x:c r="CS82" s="60" t="n">
        <x:v>72.79109405517578</x:v>
      </x:c>
      <x:c r="CT82" s="60" t="n">
        <x:v>73.17848846435547</x:v>
      </x:c>
      <x:c r="CU82" s="60" t="n">
        <x:v>73.63464347839356</x:v>
      </x:c>
      <x:c r="CV82" s="60" t="n">
        <x:v>74.1830128479004</x:v>
      </x:c>
      <x:c r="CW82" s="60" t="n">
        <x:v>74.72137184143067</x:v>
      </x:c>
      <x:c r="CX82" s="60" t="n">
        <x:v>75.41032165527344</x:v>
      </x:c>
      <x:c r="CY82" s="60" t="n">
        <x:v>76.17804153442383</x:v>
      </x:c>
      <x:c r="CZ82" s="60" t="n">
        <x:v>77.07060333251954</x:v>
      </x:c>
      <x:c r="DA82" s="60" t="n">
        <x:v>78.37305099487304</x:v>
      </x:c>
      <x:c r="DB82" s="60" t="n">
        <x:v>84.6869888305664</x:v>
      </x:c>
    </x:row>
    <x:row r="83">
      <x:c r="A83" t="str">
        <x:v>ガラルギャロップ-1</x:v>
      </x:c>
      <x:c r="B83" t="str">
        <x:v>ガラルギャロップ</x:v>
      </x:c>
      <x:c r="C83" t="str">
        <x:v>共通</x:v>
      </x:c>
      <x:c r="D83" s="60" t="n">
        <x:v>65.00008392333984</x:v>
      </x:c>
      <x:c r="E83" s="60" t="n">
        <x:v>9.686232566833496</x:v>
      </x:c>
      <x:c r="F83" s="60" t="n">
        <x:v>31.458433151245117</x:v>
      </x:c>
      <x:c r="G83" s="60" t="n">
        <x:v>40.71120674133301</x:v>
      </x:c>
      <x:c r="H83" s="60" t="n">
        <x:v>43.44585243225097</x:v>
      </x:c>
      <x:c r="I83" s="60" t="n">
        <x:v>45.125557823181154</x:v>
      </x:c>
      <x:c r="J83" s="60" t="n">
        <x:v>46.543787536621096</x:v>
      </x:c>
      <x:c r="K83" s="60" t="n">
        <x:v>47.7357479095459</x:v>
      </x:c>
      <x:c r="L83" s="60" t="n">
        <x:v>48.6531566619873</x:v>
      </x:c>
      <x:c r="M83" s="60" t="n">
        <x:v>49.58361442565918</x:v>
      </x:c>
      <x:c r="N83" s="60" t="n">
        <x:v>50.494937896728516</x:v>
      </x:c>
      <x:c r="O83" s="60" t="n">
        <x:v>51.13749229431152</x:v>
      </x:c>
      <x:c r="P83" s="60" t="n">
        <x:v>51.83097190856934</x:v>
      </x:c>
      <x:c r="Q83" s="60" t="n">
        <x:v>52.35900749206543</x:v>
      </x:c>
      <x:c r="R83" s="60" t="n">
        <x:v>52.99061340332031</x:v>
      </x:c>
      <x:c r="S83" s="60" t="n">
        <x:v>53.539011802673336</x:v>
      </x:c>
      <x:c r="T83" s="60" t="n">
        <x:v>54.02830749511719</x:v>
      </x:c>
      <x:c r="U83" s="60" t="n">
        <x:v>54.487786865234376</x:v>
      </x:c>
      <x:c r="V83" s="60" t="n">
        <x:v>54.9261572265625</x:v>
      </x:c>
      <x:c r="W83" s="60" t="n">
        <x:v>55.320945205688474</x:v>
      </x:c>
      <x:c r="X83" s="60" t="n">
        <x:v>55.702526550292966</x:v>
      </x:c>
      <x:c r="Y83" s="60" t="n">
        <x:v>56.15265441894531</x:v>
      </x:c>
      <x:c r="Z83" s="60" t="n">
        <x:v>56.58269424438477</x:v>
      </x:c>
      <x:c r="AA83" s="60" t="n">
        <x:v>56.95950958251953</x:v>
      </x:c>
      <x:c r="AB83" s="60" t="n">
        <x:v>57.35490684509277</x:v>
      </x:c>
      <x:c r="AC83" s="60" t="n">
        <x:v>57.699490776062014</x:v>
      </x:c>
      <x:c r="AD83" s="60" t="n">
        <x:v>58.076300048828124</x:v>
      </x:c>
      <x:c r="AE83" s="60" t="n">
        <x:v>58.478394508361816</x:v>
      </x:c>
      <x:c r="AF83" s="60" t="n">
        <x:v>58.83550559997558</x:v>
      </x:c>
      <x:c r="AG83" s="60" t="n">
        <x:v>59.18016300201416</x:v>
      </x:c>
      <x:c r="AH83" s="60" t="n">
        <x:v>59.495338134765625</x:v>
      </x:c>
      <x:c r="AI83" s="60" t="n">
        <x:v>59.77840114593506</x:v>
      </x:c>
      <x:c r="AJ83" s="60" t="n">
        <x:v>60.15567321777344</x:v>
      </x:c>
      <x:c r="AK83" s="60" t="n">
        <x:v>60.444504737854004</x:v>
      </x:c>
      <x:c r="AL83" s="60" t="n">
        <x:v>60.768143768310544</x:v>
      </x:c>
      <x:c r="AM83" s="60" t="n">
        <x:v>61.081278228759764</x:v>
      </x:c>
      <x:c r="AN83" s="60" t="n">
        <x:v>61.41505981445313</x:v>
      </x:c>
      <x:c r="AO83" s="60" t="n">
        <x:v>61.72000713348389</x:v>
      </x:c>
      <x:c r="AP83" s="60" t="n">
        <x:v>62.00713012695312</x:v>
      </x:c>
      <x:c r="AQ83" s="60" t="n">
        <x:v>62.33062114715576</x:v>
      </x:c>
      <x:c r="AR83" s="60" t="n">
        <x:v>62.61295555114746</x:v>
      </x:c>
      <x:c r="AS83" s="60" t="n">
        <x:v>62.8882551574707</x:v>
      </x:c>
      <x:c r="AT83" s="60" t="n">
        <x:v>63.14761962890625</x:v>
      </x:c>
      <x:c r="AU83" s="60" t="n">
        <x:v>63.41035148620605</x:v>
      </x:c>
      <x:c r="AV83" s="60" t="n">
        <x:v>63.63571189880371</x:v>
      </x:c>
      <x:c r="AW83" s="60" t="n">
        <x:v>63.91715278625488</x:v>
      </x:c>
      <x:c r="AX83" s="60" t="n">
        <x:v>64.18958648681641</x:v>
      </x:c>
      <x:c r="AY83" s="60" t="n">
        <x:v>64.47321510314941</x:v>
      </x:c>
      <x:c r="AZ83" s="60" t="n">
        <x:v>64.73875717163087</x:v>
      </x:c>
      <x:c r="BA83" s="60" t="n">
        <x:v>65.02688980102539</x:v>
      </x:c>
      <x:c r="BB83" s="60" t="n">
        <x:v>65.30259552001954</x:v>
      </x:c>
      <x:c r="BC83" s="60" t="n">
        <x:v>65.57009872436524</x:v>
      </x:c>
      <x:c r="BD83" s="60" t="n">
        <x:v>65.8459243774414</x:v>
      </x:c>
      <x:c r="BE83" s="60" t="n">
        <x:v>66.1212875366211</x:v>
      </x:c>
      <x:c r="BF83" s="60" t="n">
        <x:v>66.39066040039063</x:v>
      </x:c>
      <x:c r="BG83" s="60" t="n">
        <x:v>66.67495353698732</x:v>
      </x:c>
      <x:c r="BH83" s="60" t="n">
        <x:v>66.9314518737793</x:v>
      </x:c>
      <x:c r="BI83" s="60" t="n">
        <x:v>67.20955467224121</x:v>
      </x:c>
      <x:c r="BJ83" s="60" t="n">
        <x:v>67.47688232421875</x:v>
      </x:c>
      <x:c r="BK83" s="60" t="n">
        <x:v>67.71866119384765</x:v>
      </x:c>
      <x:c r="BL83" s="60" t="n">
        <x:v>67.94730194091797</x:v>
      </x:c>
      <x:c r="BM83" s="60" t="n">
        <x:v>68.18293655395507</x:v>
      </x:c>
      <x:c r="BN83" s="60" t="n">
        <x:v>68.42743377685547</x:v>
      </x:c>
      <x:c r="BO83" s="60" t="n">
        <x:v>68.66879425048828</x:v>
      </x:c>
      <x:c r="BP83" s="60" t="n">
        <x:v>68.90895507812499</x:v>
      </x:c>
      <x:c r="BQ83" s="60" t="n">
        <x:v>69.14370887756348</x:v>
      </x:c>
      <x:c r="BR83" s="60" t="n">
        <x:v>69.40238220214844</x:v>
      </x:c>
      <x:c r="BS83" s="60" t="n">
        <x:v>69.6505744934082</x:v>
      </x:c>
      <x:c r="BT83" s="60" t="n">
        <x:v>69.94269287109375</x:v>
      </x:c>
      <x:c r="BU83" s="60" t="n">
        <x:v>70.19475708007812</x:v>
      </x:c>
      <x:c r="BV83" s="60" t="n">
        <x:v>70.42649383544922</x:v>
      </x:c>
      <x:c r="BW83" s="60" t="n">
        <x:v>70.69964225769043</x:v>
      </x:c>
      <x:c r="BX83" s="60" t="n">
        <x:v>70.97408142089844</x:v>
      </x:c>
      <x:c r="BY83" s="60" t="n">
        <x:v>71.22023513793945</x:v>
      </x:c>
      <x:c r="BZ83" s="60" t="n">
        <x:v>71.47966094970702</x:v>
      </x:c>
      <x:c r="CA83" s="60" t="n">
        <x:v>71.74097038269043</x:v>
      </x:c>
      <x:c r="CB83" s="60" t="n">
        <x:v>72.01411239624024</x:v>
      </x:c>
      <x:c r="CC83" s="60" t="n">
        <x:v>72.30229377746582</x:v>
      </x:c>
      <x:c r="CD83" s="60" t="n">
        <x:v>72.57696350097656</x:v>
      </x:c>
      <x:c r="CE83" s="60" t="n">
        <x:v>72.86173294067383</x:v>
      </x:c>
      <x:c r="CF83" s="60" t="n">
        <x:v>73.13354827880859</x:v>
      </x:c>
      <x:c r="CG83" s="60" t="n">
        <x:v>73.42826637268067</x:v>
      </x:c>
      <x:c r="CH83" s="60" t="n">
        <x:v>73.71722412109375</x:v>
      </x:c>
      <x:c r="CI83" s="60" t="n">
        <x:v>73.99220893859864</x:v>
      </x:c>
      <x:c r="CJ83" s="60" t="n">
        <x:v>74.28243621826172</x:v>
      </x:c>
      <x:c r="CK83" s="60" t="n">
        <x:v>74.5672071838379</x:v>
      </x:c>
      <x:c r="CL83" s="60" t="n">
        <x:v>74.84342254638672</x:v>
      </x:c>
      <x:c r="CM83" s="60" t="n">
        <x:v>75.1817138671875</x:v>
      </x:c>
      <x:c r="CN83" s="60" t="n">
        <x:v>75.50897674560547</x:v>
      </x:c>
      <x:c r="CO83" s="60" t="n">
        <x:v>75.87272331237793</x:v>
      </x:c>
      <x:c r="CP83" s="60" t="n">
        <x:v>76.22469787597656</x:v>
      </x:c>
      <x:c r="CQ83" s="60" t="n">
        <x:v>76.57843597412109</x:v>
      </x:c>
      <x:c r="CR83" s="60" t="n">
        <x:v>77.01321563720704</x:v>
      </x:c>
      <x:c r="CS83" s="60" t="n">
        <x:v>77.42356941223144</x:v>
      </x:c>
      <x:c r="CT83" s="60" t="n">
        <x:v>77.91510955810547</x:v>
      </x:c>
      <x:c r="CU83" s="60" t="n">
        <x:v>78.37067741394043</x:v>
      </x:c>
      <x:c r="CV83" s="60" t="n">
        <x:v>78.88342910766603</x:v>
      </x:c>
      <x:c r="CW83" s="60" t="n">
        <x:v>79.42899436950684</x:v>
      </x:c>
      <x:c r="CX83" s="60" t="n">
        <x:v>80.06663940429688</x:v>
      </x:c>
      <x:c r="CY83" s="60" t="n">
        <x:v>80.82834297180176</x:v>
      </x:c>
      <x:c r="CZ83" s="60" t="n">
        <x:v>81.7784637451172</x:v>
      </x:c>
      <x:c r="DA83" s="60" t="n">
        <x:v>83.083190536499</x:v>
      </x:c>
      <x:c r="DB83" s="60" t="n">
        <x:v>87.91511535644531</x:v>
      </x:c>
    </x:row>
    <x:row r="84">
      <x:c r="A84" t="str">
        <x:v>ゲンガー-1</x:v>
      </x:c>
      <x:c r="B84" t="str">
        <x:v>ゲンガー</x:v>
      </x:c>
      <x:c r="C84" t="str">
        <x:v>共通</x:v>
      </x:c>
      <x:c r="D84" s="60" t="n">
        <x:v>63.6728515625</x:v>
      </x:c>
      <x:c r="E84" s="60" t="n">
        <x:v>9.564953804016113</x:v>
      </x:c>
      <x:c r="F84" s="60" t="n">
        <x:v>31.100479125976562</x:v>
      </x:c>
      <x:c r="G84" s="60" t="n">
        <x:v>40.074082679748535</x:v>
      </x:c>
      <x:c r="H84" s="60" t="n">
        <x:v>42.64533729553223</x:v>
      </x:c>
      <x:c r="I84" s="60" t="n">
        <x:v>44.39456241607666</x:v>
      </x:c>
      <x:c r="J84" s="60" t="n">
        <x:v>45.68710525512695</x:v>
      </x:c>
      <x:c r="K84" s="60" t="n">
        <x:v>46.74163970947266</x:v>
      </x:c>
      <x:c r="L84" s="60" t="n">
        <x:v>47.740707092285156</x:v>
      </x:c>
      <x:c r="M84" s="60" t="n">
        <x:v>48.64142711639404</x:v>
      </x:c>
      <x:c r="N84" s="60" t="n">
        <x:v>49.36923522949219</x:v>
      </x:c>
      <x:c r="O84" s="60" t="n">
        <x:v>50.027204246520995</x:v>
      </x:c>
      <x:c r="P84" s="60" t="n">
        <x:v>50.63729820251465</x:v>
      </x:c>
      <x:c r="Q84" s="60" t="n">
        <x:v>51.26677463531494</x:v>
      </x:c>
      <x:c r="R84" s="60" t="n">
        <x:v>51.794247436523435</x:v>
      </x:c>
      <x:c r="S84" s="60" t="n">
        <x:v>52.24669624328613</x:v>
      </x:c>
      <x:c r="T84" s="60" t="n">
        <x:v>52.74493118286133</x:v>
      </x:c>
      <x:c r="U84" s="60" t="n">
        <x:v>53.23766269683838</x:v>
      </x:c>
      <x:c r="V84" s="60" t="n">
        <x:v>53.72581039428711</x:v>
      </x:c>
      <x:c r="W84" s="60" t="n">
        <x:v>54.15349189758301</x:v>
      </x:c>
      <x:c r="X84" s="60" t="n">
        <x:v>54.53996315002441</x:v>
      </x:c>
      <x:c r="Y84" s="60" t="n">
        <x:v>54.97885108947754</x:v>
      </x:c>
      <x:c r="Z84" s="60" t="n">
        <x:v>55.34614639282226</x:v>
      </x:c>
      <x:c r="AA84" s="60" t="n">
        <x:v>55.6964077758789</x:v>
      </x:c>
      <x:c r="AB84" s="60" t="n">
        <x:v>56.08627487182617</x:v>
      </x:c>
      <x:c r="AC84" s="60" t="n">
        <x:v>56.49706085205078</x:v>
      </x:c>
      <x:c r="AD84" s="60" t="n">
        <x:v>56.88440200805664</x:v>
      </x:c>
      <x:c r="AE84" s="60" t="n">
        <x:v>57.22657108306885</x:v>
      </x:c>
      <x:c r="AF84" s="60" t="n">
        <x:v>57.574972000122074</x:v>
      </x:c>
      <x:c r="AG84" s="60" t="n">
        <x:v>57.887373809814456</x:v>
      </x:c>
      <x:c r="AH84" s="60" t="n">
        <x:v>58.21879272460937</x:v>
      </x:c>
      <x:c r="AI84" s="60" t="n">
        <x:v>58.55333225250244</x:v>
      </x:c>
      <x:c r="AJ84" s="60" t="n">
        <x:v>58.864799880981444</x:v>
      </x:c>
      <x:c r="AK84" s="60" t="n">
        <x:v>59.18970203399658</x:v>
      </x:c>
      <x:c r="AL84" s="60" t="n">
        <x:v>59.452603607177736</x:v>
      </x:c>
      <x:c r="AM84" s="60" t="n">
        <x:v>59.7806396484375</x:v>
      </x:c>
      <x:c r="AN84" s="60" t="n">
        <x:v>60.065478820800784</x:v>
      </x:c>
      <x:c r="AO84" s="60" t="n">
        <x:v>60.350035667419434</x:v>
      </x:c>
      <x:c r="AP84" s="60" t="n">
        <x:v>60.632215423583986</x:v>
      </x:c>
      <x:c r="AQ84" s="60" t="n">
        <x:v>60.92394916534424</x:v>
      </x:c>
      <x:c r="AR84" s="60" t="n">
        <x:v>61.22884437561035</x:v>
      </x:c>
      <x:c r="AS84" s="60" t="n">
        <x:v>61.5219367980957</x:v>
      </x:c>
      <x:c r="AT84" s="60" t="n">
        <x:v>61.7674674987793</x:v>
      </x:c>
      <x:c r="AU84" s="60" t="n">
        <x:v>62.04649993896484</x:v>
      </x:c>
      <x:c r="AV84" s="60" t="n">
        <x:v>62.29874801635742</x:v>
      </x:c>
      <x:c r="AW84" s="60" t="n">
        <x:v>62.557317581176754</x:v>
      </x:c>
      <x:c r="AX84" s="60" t="n">
        <x:v>62.83807907104492</x:v>
      </x:c>
      <x:c r="AY84" s="60" t="n">
        <x:v>63.10205421447754</x:v>
      </x:c>
      <x:c r="AZ84" s="60" t="n">
        <x:v>63.368109512329106</x:v>
      </x:c>
      <x:c r="BA84" s="60" t="n">
        <x:v>63.61289539337158</x:v>
      </x:c>
      <x:c r="BB84" s="60" t="n">
        <x:v>63.84680404663086</x:v>
      </x:c>
      <x:c r="BC84" s="60" t="n">
        <x:v>64.08494438171387</x:v>
      </x:c>
      <x:c r="BD84" s="60" t="n">
        <x:v>64.33080291748047</x:v>
      </x:c>
      <x:c r="BE84" s="60" t="n">
        <x:v>64.61075302124023</x:v>
      </x:c>
      <x:c r="BF84" s="60" t="n">
        <x:v>64.8276644897461</x:v>
      </x:c>
      <x:c r="BG84" s="60" t="n">
        <x:v>65.06752738952638</x:v>
      </x:c>
      <x:c r="BH84" s="60" t="n">
        <x:v>65.3489942932129</x:v>
      </x:c>
      <x:c r="BI84" s="60" t="n">
        <x:v>65.6114658355713</x:v>
      </x:c>
      <x:c r="BJ84" s="60" t="n">
        <x:v>65.84695648193359</x:v>
      </x:c>
      <x:c r="BK84" s="60" t="n">
        <x:v>66.09549697875977</x:v>
      </x:c>
      <x:c r="BL84" s="60" t="n">
        <x:v>66.38453659057618</x:v>
      </x:c>
      <x:c r="BM84" s="60" t="n">
        <x:v>66.64399658203125</x:v>
      </x:c>
      <x:c r="BN84" s="60" t="n">
        <x:v>66.94025573730468</x:v>
      </x:c>
      <x:c r="BO84" s="60" t="n">
        <x:v>67.18181991577148</x:v>
      </x:c>
      <x:c r="BP84" s="60" t="n">
        <x:v>67.41093353271485</x:v>
      </x:c>
      <x:c r="BQ84" s="60" t="n">
        <x:v>67.643295211792</x:v>
      </x:c>
      <x:c r="BR84" s="60" t="n">
        <x:v>67.92119934082031</x:v>
      </x:c>
      <x:c r="BS84" s="60" t="n">
        <x:v>68.1666088104248</x:v>
      </x:c>
      <x:c r="BT84" s="60" t="n">
        <x:v>68.42885345458984</x:v>
      </x:c>
      <x:c r="BU84" s="60" t="n">
        <x:v>68.68621437072754</x:v>
      </x:c>
      <x:c r="BV84" s="60" t="n">
        <x:v>68.95455200195313</x:v>
      </x:c>
      <x:c r="BW84" s="60" t="n">
        <x:v>69.22496238708496</x:v>
      </x:c>
      <x:c r="BX84" s="60" t="n">
        <x:v>69.4582893371582</x:v>
      </x:c>
      <x:c r="BY84" s="60" t="n">
        <x:v>69.70180419921876</x:v>
      </x:c>
      <x:c r="BZ84" s="60" t="n">
        <x:v>69.96127075195312</x:v>
      </x:c>
      <x:c r="CA84" s="60" t="n">
        <x:v>70.20447257995606</x:v>
      </x:c>
      <x:c r="CB84" s="60" t="n">
        <x:v>70.47731399536133</x:v>
      </x:c>
      <x:c r="CC84" s="60" t="n">
        <x:v>70.7338752746582</x:v>
      </x:c>
      <x:c r="CD84" s="60" t="n">
        <x:v>71.03106475830079</x:v>
      </x:c>
      <x:c r="CE84" s="60" t="n">
        <x:v>71.30272087097168</x:v>
      </x:c>
      <x:c r="CF84" s="60" t="n">
        <x:v>71.5601727294922</x:v>
      </x:c>
      <x:c r="CG84" s="60" t="n">
        <x:v>71.85468399047852</x:v>
      </x:c>
      <x:c r="CH84" s="60" t="n">
        <x:v>72.13892517089845</x:v>
      </x:c>
      <x:c r="CI84" s="60" t="n">
        <x:v>72.46875778198242</x:v>
      </x:c>
      <x:c r="CJ84" s="60" t="n">
        <x:v>72.78323959350585</x:v>
      </x:c>
      <x:c r="CK84" s="60" t="n">
        <x:v>73.09419311523438</x:v>
      </x:c>
      <x:c r="CL84" s="60" t="n">
        <x:v>73.42952911376953</x:v>
      </x:c>
      <x:c r="CM84" s="60" t="n">
        <x:v>73.81544609069825</x:v>
      </x:c>
      <x:c r="CN84" s="60" t="n">
        <x:v>74.22832061767578</x:v>
      </x:c>
      <x:c r="CO84" s="60" t="n">
        <x:v>74.57735702514648</x:v>
      </x:c>
      <x:c r="CP84" s="60" t="n">
        <x:v>74.89974304199218</x:v>
      </x:c>
      <x:c r="CQ84" s="60" t="n">
        <x:v>75.26516578674317</x:v>
      </x:c>
      <x:c r="CR84" s="60" t="n">
        <x:v>75.72942657470703</x:v>
      </x:c>
      <x:c r="CS84" s="60" t="n">
        <x:v>76.11734886169434</x:v>
      </x:c>
      <x:c r="CT84" s="60" t="n">
        <x:v>76.52645477294922</x:v>
      </x:c>
      <x:c r="CU84" s="60" t="n">
        <x:v>77.07275207519531</x:v>
      </x:c>
      <x:c r="CV84" s="60" t="n">
        <x:v>77.62772583007813</x:v>
      </x:c>
      <x:c r="CW84" s="60" t="n">
        <x:v>78.2298683166504</x:v>
      </x:c>
      <x:c r="CX84" s="60" t="n">
        <x:v>78.94703247070312</x:v>
      </x:c>
      <x:c r="CY84" s="60" t="n">
        <x:v>79.70862701416016</x:v>
      </x:c>
      <x:c r="CZ84" s="60" t="n">
        <x:v>80.6919255065918</x:v>
      </x:c>
      <x:c r="DA84" s="60" t="n">
        <x:v>82.16039672851561</x:v>
      </x:c>
      <x:c r="DB84" s="60" t="n">
        <x:v>88.35054016113281</x:v>
      </x:c>
    </x:row>
    <x:row r="85">
      <x:c r="A85" t="str">
        <x:v>ゼラオラ-1</x:v>
      </x:c>
      <x:c r="B85" t="str">
        <x:v>ゼラオラ</x:v>
      </x:c>
      <x:c r="C85" t="str">
        <x:v>ほうでん</x:v>
      </x:c>
      <x:c r="D85" s="60" t="n">
        <x:v>66.54535675048828</x:v>
      </x:c>
      <x:c r="E85" s="60" t="n">
        <x:v>9.876548767089844</x:v>
      </x:c>
      <x:c r="F85" s="60" t="n">
        <x:v>32.29548645019531</x:v>
      </x:c>
      <x:c r="G85" s="60" t="n">
        <x:v>41.14101875305176</x:v>
      </x:c>
      <x:c r="H85" s="60" t="n">
        <x:v>43.88768264770508</x:v>
      </x:c>
      <x:c r="I85" s="60" t="n">
        <x:v>45.909005851745604</x:v>
      </x:c>
      <x:c r="J85" s="60" t="n">
        <x:v>47.31467254638672</x:v>
      </x:c>
      <x:c r="K85" s="60" t="n">
        <x:v>48.54225597381592</x:v>
      </x:c>
      <x:c r="L85" s="60" t="n">
        <x:v>49.51397041320801</x:v>
      </x:c>
      <x:c r="M85" s="60" t="n">
        <x:v>50.52431537628174</x:v>
      </x:c>
      <x:c r="N85" s="60" t="n">
        <x:v>51.42487045288086</x:v>
      </x:c>
      <x:c r="O85" s="60" t="n">
        <x:v>52.187496185302734</x:v>
      </x:c>
      <x:c r="P85" s="60" t="n">
        <x:v>52.82456550598145</x:v>
      </x:c>
      <x:c r="Q85" s="60" t="n">
        <x:v>53.44353771209717</x:v>
      </x:c>
      <x:c r="R85" s="60" t="n">
        <x:v>54.019486083984376</x:v>
      </x:c>
      <x:c r="S85" s="60" t="n">
        <x:v>54.61174331665039</x:v>
      </x:c>
      <x:c r="T85" s="60" t="n">
        <x:v>55.13087432861328</x:v>
      </x:c>
      <x:c r="U85" s="60" t="n">
        <x:v>55.670969009399414</x:v>
      </x:c>
      <x:c r="V85" s="60" t="n">
        <x:v>56.23433776855469</x:v>
      </x:c>
      <x:c r="W85" s="60" t="n">
        <x:v>56.76377380371094</x:v>
      </x:c>
      <x:c r="X85" s="60" t="n">
        <x:v>57.24255737304687</x:v>
      </x:c>
      <x:c r="Y85" s="60" t="n">
        <x:v>57.72322467803955</x:v>
      </x:c>
      <x:c r="Z85" s="60" t="n">
        <x:v>58.12118682861328</x:v>
      </x:c>
      <x:c r="AA85" s="60" t="n">
        <x:v>58.541825714111326</x:v>
      </x:c>
      <x:c r="AB85" s="60" t="n">
        <x:v>58.95296615600586</x:v>
      </x:c>
      <x:c r="AC85" s="60" t="n">
        <x:v>59.38443729400635</x:v>
      </x:c>
      <x:c r="AD85" s="60" t="n">
        <x:v>59.753352661132816</x:v>
      </x:c>
      <x:c r="AE85" s="60" t="n">
        <x:v>60.08762550354004</x:v>
      </x:c>
      <x:c r="AF85" s="60" t="n">
        <x:v>60.44108154296875</x:v>
      </x:c>
      <x:c r="AG85" s="60" t="n">
        <x:v>60.79746738433838</x:v>
      </x:c>
      <x:c r="AH85" s="60" t="n">
        <x:v>61.144461212158205</x:v>
      </x:c>
      <x:c r="AI85" s="60" t="n">
        <x:v>61.4585591506958</x:v>
      </x:c>
      <x:c r="AJ85" s="60" t="n">
        <x:v>61.79286766052246</x:v>
      </x:c>
      <x:c r="AK85" s="60" t="n">
        <x:v>62.171090049743654</x:v>
      </x:c>
      <x:c r="AL85" s="60" t="n">
        <x:v>62.4992024230957</x:v>
      </x:c>
      <x:c r="AM85" s="60" t="n">
        <x:v>62.779183082580566</x:v>
      </x:c>
      <x:c r="AN85" s="60" t="n">
        <x:v>63.10440635681152</x:v>
      </x:c>
      <x:c r="AO85" s="60" t="n">
        <x:v>63.37746963500977</x:v>
      </x:c>
      <x:c r="AP85" s="60" t="n">
        <x:v>63.681866760253904</x:v>
      </x:c>
      <x:c r="AQ85" s="60" t="n">
        <x:v>63.98863048553467</x:v>
      </x:c>
      <x:c r="AR85" s="60" t="n">
        <x:v>64.29503524780273</x:v>
      </x:c>
      <x:c r="AS85" s="60" t="n">
        <x:v>64.56712547302246</x:v>
      </x:c>
      <x:c r="AT85" s="60" t="n">
        <x:v>64.9029556274414</x:v>
      </x:c>
      <x:c r="AU85" s="60" t="n">
        <x:v>65.1602140045166</x:v>
      </x:c>
      <x:c r="AV85" s="60" t="n">
        <x:v>65.44738479614257</x:v>
      </x:c>
      <x:c r="AW85" s="60" t="n">
        <x:v>65.73045989990234</x:v>
      </x:c>
      <x:c r="AX85" s="60" t="n">
        <x:v>66.01442993164062</x:v>
      </x:c>
      <x:c r="AY85" s="60" t="n">
        <x:v>66.2879638671875</x:v>
      </x:c>
      <x:c r="AZ85" s="60" t="n">
        <x:v>66.53933425903321</x:v>
      </x:c>
      <x:c r="BA85" s="60" t="n">
        <x:v>66.81716064453126</x:v>
      </x:c>
      <x:c r="BB85" s="60" t="n">
        <x:v>67.07635650634765</x:v>
      </x:c>
      <x:c r="BC85" s="60" t="n">
        <x:v>67.36912094116211</x:v>
      </x:c>
      <x:c r="BD85" s="60" t="n">
        <x:v>67.62068557739258</x:v>
      </x:c>
      <x:c r="BE85" s="60" t="n">
        <x:v>67.86888526916503</x:v>
      </x:c>
      <x:c r="BF85" s="60" t="n">
        <x:v>68.13148620605469</x:v>
      </x:c>
      <x:c r="BG85" s="60" t="n">
        <x:v>68.35912750244141</x:v>
      </x:c>
      <x:c r="BH85" s="60" t="n">
        <x:v>68.63218856811524</x:v>
      </x:c>
      <x:c r="BI85" s="60" t="n">
        <x:v>68.90356788635253</x:v>
      </x:c>
      <x:c r="BJ85" s="60" t="n">
        <x:v>69.18086791992188</x:v>
      </x:c>
      <x:c r="BK85" s="60" t="n">
        <x:v>69.41395042419434</x:v>
      </x:c>
      <x:c r="BL85" s="60" t="n">
        <x:v>69.67819366455078</x:v>
      </x:c>
      <x:c r="BM85" s="60" t="n">
        <x:v>69.96436752319336</x:v>
      </x:c>
      <x:c r="BN85" s="60" t="n">
        <x:v>70.22799377441406</x:v>
      </x:c>
      <x:c r="BO85" s="60" t="n">
        <x:v>70.49059219360352</x:v>
      </x:c>
      <x:c r="BP85" s="60" t="n">
        <x:v>70.7300779724121</x:v>
      </x:c>
      <x:c r="BQ85" s="60" t="n">
        <x:v>71.00001800537109</x:v>
      </x:c>
      <x:c r="BR85" s="60" t="n">
        <x:v>71.24753875732422</x:v>
      </x:c>
      <x:c r="BS85" s="60" t="n">
        <x:v>71.49799156188965</x:v>
      </x:c>
      <x:c r="BT85" s="60" t="n">
        <x:v>71.74009155273437</x:v>
      </x:c>
      <x:c r="BU85" s="60" t="n">
        <x:v>72.00100700378418</x:v>
      </x:c>
      <x:c r="BV85" s="60" t="n">
        <x:v>72.27537811279298</x:v>
      </x:c>
      <x:c r="BW85" s="60" t="n">
        <x:v>72.54267395019532</x:v>
      </x:c>
      <x:c r="BX85" s="60" t="n">
        <x:v>72.81721649169921</x:v>
      </x:c>
      <x:c r="BY85" s="60" t="n">
        <x:v>73.05011268615722</x:v>
      </x:c>
      <x:c r="BZ85" s="60" t="n">
        <x:v>73.27617980957031</x:v>
      </x:c>
      <x:c r="CA85" s="60" t="n">
        <x:v>73.54907119750976</x:v>
      </x:c>
      <x:c r="CB85" s="60" t="n">
        <x:v>73.80647689819335</x:v>
      </x:c>
      <x:c r="CC85" s="60" t="n">
        <x:v>74.08418655395508</x:v>
      </x:c>
      <x:c r="CD85" s="60" t="n">
        <x:v>74.3272772216797</x:v>
      </x:c>
      <x:c r="CE85" s="60" t="n">
        <x:v>74.59048622131347</x:v>
      </x:c>
      <x:c r="CF85" s="60" t="n">
        <x:v>74.83619934082031</x:v>
      </x:c>
      <x:c r="CG85" s="60" t="n">
        <x:v>75.09759750366212</x:v>
      </x:c>
      <x:c r="CH85" s="60" t="n">
        <x:v>75.36424865722657</x:v>
      </x:c>
      <x:c r="CI85" s="60" t="n">
        <x:v>75.66648406982422</x:v>
      </x:c>
      <x:c r="CJ85" s="60" t="n">
        <x:v>75.95219833374024</x:v>
      </x:c>
      <x:c r="CK85" s="60" t="n">
        <x:v>76.2382765197754</x:v>
      </x:c>
      <x:c r="CL85" s="60" t="n">
        <x:v>76.54099731445312</x:v>
      </x:c>
      <x:c r="CM85" s="60" t="n">
        <x:v>76.86412925720215</x:v>
      </x:c>
      <x:c r="CN85" s="60" t="n">
        <x:v>77.19599884033202</x:v>
      </x:c>
      <x:c r="CO85" s="60" t="n">
        <x:v>77.57613670349122</x:v>
      </x:c>
      <x:c r="CP85" s="60" t="n">
        <x:v>77.93525115966797</x:v>
      </x:c>
      <x:c r="CQ85" s="60" t="n">
        <x:v>78.28878593444824</x:v>
      </x:c>
      <x:c r="CR85" s="60" t="n">
        <x:v>78.61204681396485</x:v>
      </x:c>
      <x:c r="CS85" s="60" t="n">
        <x:v>78.99766609191894</x:v>
      </x:c>
      <x:c r="CT85" s="60" t="n">
        <x:v>79.39957458496094</x:v>
      </x:c>
      <x:c r="CU85" s="60" t="n">
        <x:v>79.83212966918946</x:v>
      </x:c>
      <x:c r="CV85" s="60" t="n">
        <x:v>80.30348281860351</x:v>
      </x:c>
      <x:c r="CW85" s="60" t="n">
        <x:v>80.83525276184085</x:v>
      </x:c>
      <x:c r="CX85" s="60" t="n">
        <x:v>81.43772064208986</x:v>
      </x:c>
      <x:c r="CY85" s="60" t="n">
        <x:v>82.13923667907714</x:v>
      </x:c>
      <x:c r="CZ85" s="60" t="n">
        <x:v>82.98608337402344</x:v>
      </x:c>
      <x:c r="DA85" s="60" t="n">
        <x:v>84.09187889099121</x:v>
      </x:c>
      <x:c r="DB85" s="60" t="n">
        <x:v>87.97679901123047</x:v>
      </x:c>
    </x:row>
    <x:row r="86">
      <x:c r="A86" t="str">
        <x:v>ゼラオラ-2</x:v>
      </x:c>
      <x:c r="B86" t="str">
        <x:v>ゼラオラ</x:v>
      </x:c>
      <x:c r="C86" t="str">
        <x:v>ワイルドボルト</x:v>
      </x:c>
      <x:c r="D86" s="60" t="n">
        <x:v>64.30207061767578</x:v>
      </x:c>
      <x:c r="E86" s="60" t="n">
        <x:v>9.579347610473633</x:v>
      </x:c>
      <x:c r="F86" s="60" t="n">
        <x:v>31.579010009765625</x:v>
      </x:c>
      <x:c r="G86" s="60" t="n">
        <x:v>40.49259624481201</x:v>
      </x:c>
      <x:c r="H86" s="60" t="n">
        <x:v>43.05066131591797</x:v>
      </x:c>
      <x:c r="I86" s="60" t="n">
        <x:v>44.69086368560791</x:v>
      </x:c>
      <x:c r="J86" s="60" t="n">
        <x:v>46.146394958496096</x:v>
      </x:c>
      <x:c r="K86" s="60" t="n">
        <x:v>47.30403003692627</x:v>
      </x:c>
      <x:c r="L86" s="60" t="n">
        <x:v>48.28993217468262</x:v>
      </x:c>
      <x:c r="M86" s="60" t="n">
        <x:v>49.186043968200686</x:v>
      </x:c>
      <x:c r="N86" s="60" t="n">
        <x:v>49.97379211425781</x:v>
      </x:c>
      <x:c r="O86" s="60" t="n">
        <x:v>50.626740531921385</x:v>
      </x:c>
      <x:c r="P86" s="60" t="n">
        <x:v>51.254660034179686</x:v>
      </x:c>
      <x:c r="Q86" s="60" t="n">
        <x:v>51.83525844573975</x:v>
      </x:c>
      <x:c r="R86" s="60" t="n">
        <x:v>52.41082443237305</x:v>
      </x:c>
      <x:c r="S86" s="60" t="n">
        <x:v>52.91074489593506</x:v>
      </x:c>
      <x:c r="T86" s="60" t="n">
        <x:v>53.39189552307129</x:v>
      </x:c>
      <x:c r="U86" s="60" t="n">
        <x:v>53.86082782745361</x:v>
      </x:c>
      <x:c r="V86" s="60" t="n">
        <x:v>54.33598114013672</x:v>
      </x:c>
      <x:c r="W86" s="60" t="n">
        <x:v>54.735274467468265</x:v>
      </x:c>
      <x:c r="X86" s="60" t="n">
        <x:v>55.17886589050293</x:v>
      </x:c>
      <x:c r="Y86" s="60" t="n">
        <x:v>55.57566108703613</x:v>
      </x:c>
      <x:c r="Z86" s="60" t="n">
        <x:v>55.963792419433595</x:v>
      </x:c>
      <x:c r="AA86" s="60" t="n">
        <x:v>56.30639335632324</x:v>
      </x:c>
      <x:c r="AB86" s="60" t="n">
        <x:v>56.74900123596191</x:v>
      </x:c>
      <x:c r="AC86" s="60" t="n">
        <x:v>57.119321784973145</x:v>
      </x:c>
      <x:c r="AD86" s="60" t="n">
        <x:v>57.45703048706055</x:v>
      </x:c>
      <x:c r="AE86" s="60" t="n">
        <x:v>57.79950523376465</x:v>
      </x:c>
      <x:c r="AF86" s="60" t="n">
        <x:v>58.109139862060545</x:v>
      </x:c>
      <x:c r="AG86" s="60" t="n">
        <x:v>58.483535308837894</x:v>
      </x:c>
      <x:c r="AH86" s="60" t="n">
        <x:v>58.83566009521484</x:v>
      </x:c>
      <x:c r="AI86" s="60" t="n">
        <x:v>59.14612621307373</x:v>
      </x:c>
      <x:c r="AJ86" s="60" t="n">
        <x:v>59.45761642456055</x:v>
      </x:c>
      <x:c r="AK86" s="60" t="n">
        <x:v>59.766108474731446</x:v>
      </x:c>
      <x:c r="AL86" s="60" t="n">
        <x:v>60.05541656494141</x:v>
      </x:c>
      <x:c r="AM86" s="60" t="n">
        <x:v>60.42132675170898</x:v>
      </x:c>
      <x:c r="AN86" s="60" t="n">
        <x:v>60.728182525634764</x:v>
      </x:c>
      <x:c r="AO86" s="60" t="n">
        <x:v>61.007056427001956</x:v>
      </x:c>
      <x:c r="AP86" s="60" t="n">
        <x:v>61.29257598876953</x:v>
      </x:c>
      <x:c r="AQ86" s="60" t="n">
        <x:v>61.58137760162354</x:v>
      </x:c>
      <x:c r="AR86" s="60" t="n">
        <x:v>61.86352493286133</x:v>
      </x:c>
      <x:c r="AS86" s="60" t="n">
        <x:v>62.14581123352051</x:v>
      </x:c>
      <x:c r="AT86" s="60" t="n">
        <x:v>62.411180114746095</x:v>
      </x:c>
      <x:c r="AU86" s="60" t="n">
        <x:v>62.687893829345704</x:v>
      </x:c>
      <x:c r="AV86" s="60" t="n">
        <x:v>62.967476806640626</x:v>
      </x:c>
      <x:c r="AW86" s="60" t="n">
        <x:v>63.223361282348634</x:v>
      </x:c>
      <x:c r="AX86" s="60" t="n">
        <x:v>63.487961273193356</x:v>
      </x:c>
      <x:c r="AY86" s="60" t="n">
        <x:v>63.757270431518556</x:v>
      </x:c>
      <x:c r="AZ86" s="60" t="n">
        <x:v>64.03479080200195</x:v>
      </x:c>
      <x:c r="BA86" s="60" t="n">
        <x:v>64.29520294189453</x:v>
      </x:c>
      <x:c r="BB86" s="60" t="n">
        <x:v>64.55595886230469</x:v>
      </x:c>
      <x:c r="BC86" s="60" t="n">
        <x:v>64.81115905761719</x:v>
      </x:c>
      <x:c r="BD86" s="60" t="n">
        <x:v>65.08808135986328</x:v>
      </x:c>
      <x:c r="BE86" s="60" t="n">
        <x:v>65.33654747009277</x:v>
      </x:c>
      <x:c r="BF86" s="60" t="n">
        <x:v>65.62277069091797</x:v>
      </x:c>
      <x:c r="BG86" s="60" t="n">
        <x:v>65.87182090759278</x:v>
      </x:c>
      <x:c r="BH86" s="60" t="n">
        <x:v>66.12387237548829</x:v>
      </x:c>
      <x:c r="BI86" s="60" t="n">
        <x:v>66.38540611267089</x:v>
      </x:c>
      <x:c r="BJ86" s="60" t="n">
        <x:v>66.6552651977539</x:v>
      </x:c>
      <x:c r="BK86" s="60" t="n">
        <x:v>66.89011817932129</x:v>
      </x:c>
      <x:c r="BL86" s="60" t="n">
        <x:v>67.15607101440429</x:v>
      </x:c>
      <x:c r="BM86" s="60" t="n">
        <x:v>67.39383110046387</x:v>
      </x:c>
      <x:c r="BN86" s="60" t="n">
        <x:v>67.65171966552734</x:v>
      </x:c>
      <x:c r="BO86" s="60" t="n">
        <x:v>67.88280899047851</x:v>
      </x:c>
      <x:c r="BP86" s="60" t="n">
        <x:v>68.12610946655273</x:v>
      </x:c>
      <x:c r="BQ86" s="60" t="n">
        <x:v>68.37855049133302</x:v>
      </x:c>
      <x:c r="BR86" s="60" t="n">
        <x:v>68.64060485839843</x:v>
      </x:c>
      <x:c r="BS86" s="60" t="n">
        <x:v>68.88042411804199</x:v>
      </x:c>
      <x:c r="BT86" s="60" t="n">
        <x:v>69.09927032470704</x:v>
      </x:c>
      <x:c r="BU86" s="60" t="n">
        <x:v>69.37059860229492</x:v>
      </x:c>
      <x:c r="BV86" s="60" t="n">
        <x:v>69.61887054443359</x:v>
      </x:c>
      <x:c r="BW86" s="60" t="n">
        <x:v>69.86781257629394</x:v>
      </x:c>
      <x:c r="BX86" s="60" t="n">
        <x:v>70.12188339233398</x:v>
      </x:c>
      <x:c r="BY86" s="60" t="n">
        <x:v>70.3905517578125</x:v>
      </x:c>
      <x:c r="BZ86" s="60" t="n">
        <x:v>70.62939666748046</x:v>
      </x:c>
      <x:c r="CA86" s="60" t="n">
        <x:v>70.90986122131348</x:v>
      </x:c>
      <x:c r="CB86" s="60" t="n">
        <x:v>71.19672180175782</x:v>
      </x:c>
      <x:c r="CC86" s="60" t="n">
        <x:v>71.47894096374512</x:v>
      </x:c>
      <x:c r="CD86" s="60" t="n">
        <x:v>71.73707397460937</x:v>
      </x:c>
      <x:c r="CE86" s="60" t="n">
        <x:v>72.02831283569336</x:v>
      </x:c>
      <x:c r="CF86" s="60" t="n">
        <x:v>72.29567932128906</x:v>
      </x:c>
      <x:c r="CG86" s="60" t="n">
        <x:v>72.58350784301759</x:v>
      </x:c>
      <x:c r="CH86" s="60" t="n">
        <x:v>72.89067840576172</x:v>
      </x:c>
      <x:c r="CI86" s="60" t="n">
        <x:v>73.16721321105958</x:v>
      </x:c>
      <x:c r="CJ86" s="60" t="n">
        <x:v>73.4949526977539</x:v>
      </x:c>
      <x:c r="CK86" s="60" t="n">
        <x:v>73.77393531799316</x:v>
      </x:c>
      <x:c r="CL86" s="60" t="n">
        <x:v>74.06342346191406</x:v>
      </x:c>
      <x:c r="CM86" s="60" t="n">
        <x:v>74.37797966003416</x:v>
      </x:c>
      <x:c r="CN86" s="60" t="n">
        <x:v>74.73079010009765</x:v>
      </x:c>
      <x:c r="CO86" s="60" t="n">
        <x:v>75.07417976379395</x:v>
      </x:c>
      <x:c r="CP86" s="60" t="n">
        <x:v>75.45515167236329</x:v>
      </x:c>
      <x:c r="CQ86" s="60" t="n">
        <x:v>75.80423965454102</x:v>
      </x:c>
      <x:c r="CR86" s="60" t="n">
        <x:v>76.24416961669922</x:v>
      </x:c>
      <x:c r="CS86" s="60" t="n">
        <x:v>76.68212661743163</x:v>
      </x:c>
      <x:c r="CT86" s="60" t="n">
        <x:v>77.16214538574219</x:v>
      </x:c>
      <x:c r="CU86" s="60" t="n">
        <x:v>77.61544082641602</x:v>
      </x:c>
      <x:c r="CV86" s="60" t="n">
        <x:v>78.17827957153321</x:v>
      </x:c>
      <x:c r="CW86" s="60" t="n">
        <x:v>78.74592323303224</x:v>
      </x:c>
      <x:c r="CX86" s="60" t="n">
        <x:v>79.42909271240235</x:v>
      </x:c>
      <x:c r="CY86" s="60" t="n">
        <x:v>80.1695149230957</x:v>
      </x:c>
      <x:c r="CZ86" s="60" t="n">
        <x:v>81.08995468139649</x:v>
      </x:c>
      <x:c r="DA86" s="60" t="n">
        <x:v>82.50669868469235</x:v>
      </x:c>
      <x:c r="DB86" s="60" t="n">
        <x:v>87.54500579833984</x:v>
      </x:c>
    </x:row>
    <x:row r="87">
      <x:c r="A87" t="str">
        <x:v>ゾロアーク-1</x:v>
      </x:c>
      <x:c r="B87" t="str">
        <x:v>ゾロアーク</x:v>
      </x:c>
      <x:c r="C87" t="str">
        <x:v>共通</x:v>
      </x:c>
      <x:c r="D87" s="60" t="n">
        <x:v>61.011924743652344</x:v>
      </x:c>
      <x:c r="E87" s="60" t="n">
        <x:v>8.388667106628418</x:v>
      </x:c>
      <x:c r="F87" s="60" t="n">
        <x:v>32.98971939086914</x:v>
      </x:c>
      <x:c r="G87" s="60" t="n">
        <x:v>41.10628692626953</x:v>
      </x:c>
      <x:c r="H87" s="60" t="n">
        <x:v>43.137427978515625</x:v>
      </x:c>
      <x:c r="I87" s="60" t="n">
        <x:v>44.6125142288208</x:v>
      </x:c>
      <x:c r="J87" s="60" t="n">
        <x:v>45.708870849609376</x:v>
      </x:c>
      <x:c r="K87" s="60" t="n">
        <x:v>46.581733322143556</x:v>
      </x:c>
      <x:c r="L87" s="60" t="n">
        <x:v>47.35961898803711</x:v>
      </x:c>
      <x:c r="M87" s="60" t="n">
        <x:v>47.9908415222168</x:v>
      </x:c>
      <x:c r="N87" s="60" t="n">
        <x:v>48.65539947509765</x:v>
      </x:c>
      <x:c r="O87" s="60" t="n">
        <x:v>49.207231521606445</x:v>
      </x:c>
      <x:c r="P87" s="60" t="n">
        <x:v>49.7291934967041</x:v>
      </x:c>
      <x:c r="Q87" s="60" t="n">
        <x:v>50.25767333984375</x:v>
      </x:c>
      <x:c r="R87" s="60" t="n">
        <x:v>50.71523178100586</x:v>
      </x:c>
      <x:c r="S87" s="60" t="n">
        <x:v>51.126988372802735</x:v>
      </x:c>
      <x:c r="T87" s="60" t="n">
        <x:v>51.52785064697266</x:v>
      </x:c>
      <x:c r="U87" s="60" t="n">
        <x:v>51.89494667053223</x:v>
      </x:c>
      <x:c r="V87" s="60" t="n">
        <x:v>52.25624374389648</x:v>
      </x:c>
      <x:c r="W87" s="60" t="n">
        <x:v>52.621237716674806</x:v>
      </x:c>
      <x:c r="X87" s="60" t="n">
        <x:v>53.004836883544925</x:v>
      </x:c>
      <x:c r="Y87" s="60" t="n">
        <x:v>53.32252964019776</x:v>
      </x:c>
      <x:c r="Z87" s="60" t="n">
        <x:v>53.655388641357426</x:v>
      </x:c>
      <x:c r="AA87" s="60" t="n">
        <x:v>53.99668190002441</x:v>
      </x:c>
      <x:c r="AB87" s="60" t="n">
        <x:v>54.3356330871582</x:v>
      </x:c>
      <x:c r="AC87" s="60" t="n">
        <x:v>54.64405548095703</x:v>
      </x:c>
      <x:c r="AD87" s="60" t="n">
        <x:v>54.92513885498047</x:v>
      </x:c>
      <x:c r="AE87" s="60" t="n">
        <x:v>55.21309185028076</x:v>
      </x:c>
      <x:c r="AF87" s="60" t="n">
        <x:v>55.51102897644043</x:v>
      </x:c>
      <x:c r="AG87" s="60" t="n">
        <x:v>55.7927269744873</x:v>
      </x:c>
      <x:c r="AH87" s="60" t="n">
        <x:v>56.09627685546875</x:v>
      </x:c>
      <x:c r="AI87" s="60" t="n">
        <x:v>56.371867904663084</x:v>
      </x:c>
      <x:c r="AJ87" s="60" t="n">
        <x:v>56.65758056640625</x:v>
      </x:c>
      <x:c r="AK87" s="60" t="n">
        <x:v>56.91275901794434</x:v>
      </x:c>
      <x:c r="AL87" s="60" t="n">
        <x:v>57.19152465820313</x:v>
      </x:c>
      <x:c r="AM87" s="60" t="n">
        <x:v>57.4286413192749</x:v>
      </x:c>
      <x:c r="AN87" s="60" t="n">
        <x:v>57.68445434570313</x:v>
      </x:c>
      <x:c r="AO87" s="60" t="n">
        <x:v>57.92635726928711</x:v>
      </x:c>
      <x:c r="AP87" s="60" t="n">
        <x:v>58.192975158691404</x:v>
      </x:c>
      <x:c r="AQ87" s="60" t="n">
        <x:v>58.43157703399658</x:v>
      </x:c>
      <x:c r="AR87" s="60" t="n">
        <x:v>58.68326072692871</x:v>
      </x:c>
      <x:c r="AS87" s="60" t="n">
        <x:v>58.93325668334961</x:v>
      </x:c>
      <x:c r="AT87" s="60" t="n">
        <x:v>59.17995758056641</x:v>
      </x:c>
      <x:c r="AU87" s="60" t="n">
        <x:v>59.41537925720215</x:v>
      </x:c>
      <x:c r="AV87" s="60" t="n">
        <x:v>59.62584602355957</x:v>
      </x:c>
      <x:c r="AW87" s="60" t="n">
        <x:v>59.848687934875485</x:v>
      </x:c>
      <x:c r="AX87" s="60" t="n">
        <x:v>60.075307769775385</x:v>
      </x:c>
      <x:c r="AY87" s="60" t="n">
        <x:v>60.297186088562015</x:v>
      </x:c>
      <x:c r="AZ87" s="60" t="n">
        <x:v>60.527651672363284</x:v>
      </x:c>
      <x:c r="BA87" s="60" t="n">
        <x:v>60.754515495300296</x:v>
      </x:c>
      <x:c r="BB87" s="60" t="n">
        <x:v>60.96230239868164</x:v>
      </x:c>
      <x:c r="BC87" s="60" t="n">
        <x:v>61.19508518218994</x:v>
      </x:c>
      <x:c r="BD87" s="60" t="n">
        <x:v>61.40365791320801</x:v>
      </x:c>
      <x:c r="BE87" s="60" t="n">
        <x:v>61.61625492095947</x:v>
      </x:c>
      <x:c r="BF87" s="60" t="n">
        <x:v>61.84560409545898</x:v>
      </x:c>
      <x:c r="BG87" s="60" t="n">
        <x:v>62.06553195953369</x:v>
      </x:c>
      <x:c r="BH87" s="60" t="n">
        <x:v>62.280776824951175</x:v>
      </x:c>
      <x:c r="BI87" s="60" t="n">
        <x:v>62.50364360809326</x:v>
      </x:c>
      <x:c r="BJ87" s="60" t="n">
        <x:v>62.74016632080078</x:v>
      </x:c>
      <x:c r="BK87" s="60" t="n">
        <x:v>62.9683769607544</x:v>
      </x:c>
      <x:c r="BL87" s="60" t="n">
        <x:v>63.18916313171387</x:v>
      </x:c>
      <x:c r="BM87" s="60" t="n">
        <x:v>63.409012985229495</x:v>
      </x:c>
      <x:c r="BN87" s="60" t="n">
        <x:v>63.64901275634766</x:v>
      </x:c>
      <x:c r="BO87" s="60" t="n">
        <x:v>63.896236457824706</x:v>
      </x:c>
      <x:c r="BP87" s="60" t="n">
        <x:v>64.13620010375976</x:v>
      </x:c>
      <x:c r="BQ87" s="60" t="n">
        <x:v>64.35460456848145</x:v>
      </x:c>
      <x:c r="BR87" s="60" t="n">
        <x:v>64.57207794189453</x:v>
      </x:c>
      <x:c r="BS87" s="60" t="n">
        <x:v>64.76690788269043</x:v>
      </x:c>
      <x:c r="BT87" s="60" t="n">
        <x:v>64.99959121704102</x:v>
      </x:c>
      <x:c r="BU87" s="60" t="n">
        <x:v>65.23521850585938</x:v>
      </x:c>
      <x:c r="BV87" s="60" t="n">
        <x:v>65.46205993652343</x:v>
      </x:c>
      <x:c r="BW87" s="60" t="n">
        <x:v>65.65782859802246</x:v>
      </x:c>
      <x:c r="BX87" s="60" t="n">
        <x:v>65.89192352294923</x:v>
      </x:c>
      <x:c r="BY87" s="60" t="n">
        <x:v>66.1276756286621</x:v>
      </x:c>
      <x:c r="BZ87" s="60" t="n">
        <x:v>66.37033660888672</x:v>
      </x:c>
      <x:c r="CA87" s="60" t="n">
        <x:v>66.58899688720703</x:v>
      </x:c>
      <x:c r="CB87" s="60" t="n">
        <x:v>66.83667694091797</x:v>
      </x:c>
      <x:c r="CC87" s="60" t="n">
        <x:v>67.0845718383789</x:v>
      </x:c>
      <x:c r="CD87" s="60" t="n">
        <x:v>67.3387728881836</x:v>
      </x:c>
      <x:c r="CE87" s="60" t="n">
        <x:v>67.64718315124512</x:v>
      </x:c>
      <x:c r="CF87" s="60" t="n">
        <x:v>67.87565505981445</x:v>
      </x:c>
      <x:c r="CG87" s="60" t="n">
        <x:v>68.14584243774414</x:v>
      </x:c>
      <x:c r="CH87" s="60" t="n">
        <x:v>68.39439849853515</x:v>
      </x:c>
      <x:c r="CI87" s="60" t="n">
        <x:v>68.66051078796387</x:v>
      </x:c>
      <x:c r="CJ87" s="60" t="n">
        <x:v>68.96713668823243</x:v>
      </x:c>
      <x:c r="CK87" s="60" t="n">
        <x:v>69.31437316894531</x:v>
      </x:c>
      <x:c r="CL87" s="60" t="n">
        <x:v>69.64167816162109</x:v>
      </x:c>
      <x:c r="CM87" s="60" t="n">
        <x:v>69.96374588012695</x:v>
      </x:c>
      <x:c r="CN87" s="60" t="n">
        <x:v>70.2917237854004</x:v>
      </x:c>
      <x:c r="CO87" s="60" t="n">
        <x:v>70.62197441101074</x:v>
      </x:c>
      <x:c r="CP87" s="60" t="n">
        <x:v>71.00707763671875</x:v>
      </x:c>
      <x:c r="CQ87" s="60" t="n">
        <x:v>71.3622129058838</x:v>
      </x:c>
      <x:c r="CR87" s="60" t="n">
        <x:v>71.7639144897461</x:v>
      </x:c>
      <x:c r="CS87" s="60" t="n">
        <x:v>72.13140335083008</x:v>
      </x:c>
      <x:c r="CT87" s="60" t="n">
        <x:v>72.59313232421876</x:v>
      </x:c>
      <x:c r="CU87" s="60" t="n">
        <x:v>73.05078086853027</x:v>
      </x:c>
      <x:c r="CV87" s="60" t="n">
        <x:v>73.63792556762695</x:v>
      </x:c>
      <x:c r="CW87" s="60" t="n">
        <x:v>74.18882675170899</x:v>
      </x:c>
      <x:c r="CX87" s="60" t="n">
        <x:v>74.82113067626953</x:v>
      </x:c>
      <x:c r="CY87" s="60" t="n">
        <x:v>75.59270225524902</x:v>
      </x:c>
      <x:c r="CZ87" s="60" t="n">
        <x:v>76.62995208740236</x:v>
      </x:c>
      <x:c r="DA87" s="60" t="n">
        <x:v>77.99923843383787</x:v>
      </x:c>
      <x:c r="DB87" s="60" t="n">
        <x:v>84.41238403320312</x:v>
      </x:c>
    </x:row>
    <x:row r="88">
      <x:c r="A88" t="str">
        <x:v>ダークライ-1</x:v>
      </x:c>
      <x:c r="B88" t="str">
        <x:v>ダークライ</x:v>
      </x:c>
      <x:c r="C88" t="str">
        <x:v>共通</x:v>
      </x:c>
      <x:c r="D88" s="60" t="n">
        <x:v>62.100425720214844</x:v>
      </x:c>
      <x:c r="E88" s="60" t="n">
        <x:v>7.718198299407959</x:v>
      </x:c>
      <x:c r="F88" s="60" t="n">
        <x:v>34.705162048339844</x:v>
      </x:c>
      <x:c r="G88" s="60" t="n">
        <x:v>43.076954460144044</x:v>
      </x:c>
      <x:c r="H88" s="60" t="n">
        <x:v>45.26044441223144</x:v>
      </x:c>
      <x:c r="I88" s="60" t="n">
        <x:v>46.702725372314454</x:v>
      </x:c>
      <x:c r="J88" s="60" t="n">
        <x:v>47.81538604736328</x:v>
      </x:c>
      <x:c r="K88" s="60" t="n">
        <x:v>48.66278858184815</x:v>
      </x:c>
      <x:c r="L88" s="60" t="n">
        <x:v>49.37763191223144</x:v>
      </x:c>
      <x:c r="M88" s="60" t="n">
        <x:v>50.04653793334961</x:v>
      </x:c>
      <x:c r="N88" s="60" t="n">
        <x:v>50.65168807983398</x:v>
      </x:c>
      <x:c r="O88" s="60" t="n">
        <x:v>51.17762516021728</x:v>
      </x:c>
      <x:c r="P88" s="60" t="n">
        <x:v>51.64112510681152</x:v>
      </x:c>
      <x:c r="Q88" s="60" t="n">
        <x:v>52.07154808044434</x:v>
      </x:c>
      <x:c r="R88" s="60" t="n">
        <x:v>52.510868072509766</x:v>
      </x:c>
      <x:c r="S88" s="60" t="n">
        <x:v>52.96999057769776</x:v>
      </x:c>
      <x:c r="T88" s="60" t="n">
        <x:v>53.34588523864746</x:v>
      </x:c>
      <x:c r="U88" s="60" t="n">
        <x:v>53.71443481445313</x:v>
      </x:c>
      <x:c r="V88" s="60" t="n">
        <x:v>54.098561401367185</x:v>
      </x:c>
      <x:c r="W88" s="60" t="n">
        <x:v>54.44154956817627</x:v>
      </x:c>
      <x:c r="X88" s="60" t="n">
        <x:v>54.78058403015137</x:v>
      </x:c>
      <x:c r="Y88" s="60" t="n">
        <x:v>55.075790061950684</x:v>
      </x:c>
      <x:c r="Z88" s="60" t="n">
        <x:v>55.4082763671875</x:v>
      </x:c>
      <x:c r="AA88" s="60" t="n">
        <x:v>55.70187522888184</x:v>
      </x:c>
      <x:c r="AB88" s="60" t="n">
        <x:v>55.98404991149902</x:v>
      </x:c>
      <x:c r="AC88" s="60" t="n">
        <x:v>56.27025302886963</x:v>
      </x:c>
      <x:c r="AD88" s="60" t="n">
        <x:v>56.55412078857422</x:v>
      </x:c>
      <x:c r="AE88" s="60" t="n">
        <x:v>56.81838035583496</x:v>
      </x:c>
      <x:c r="AF88" s="60" t="n">
        <x:v>57.08996429443359</x:v>
      </x:c>
      <x:c r="AG88" s="60" t="n">
        <x:v>57.35519950866699</x:v>
      </x:c>
      <x:c r="AH88" s="60" t="n">
        <x:v>57.64373931884766</x:v>
      </x:c>
      <x:c r="AI88" s="60" t="n">
        <x:v>57.91905586242676</x:v>
      </x:c>
      <x:c r="AJ88" s="60" t="n">
        <x:v>58.16916007995606</x:v>
      </x:c>
      <x:c r="AK88" s="60" t="n">
        <x:v>58.42249950408936</x:v>
      </x:c>
      <x:c r="AL88" s="60" t="n">
        <x:v>58.669584350585936</x:v>
      </x:c>
      <x:c r="AM88" s="60" t="n">
        <x:v>58.91440502166748</x:v>
      </x:c>
      <x:c r="AN88" s="60" t="n">
        <x:v>59.12199493408203</x:v>
      </x:c>
      <x:c r="AO88" s="60" t="n">
        <x:v>59.37940864562988</x:v>
      </x:c>
      <x:c r="AP88" s="60" t="n">
        <x:v>59.598482360839846</x:v>
      </x:c>
      <x:c r="AQ88" s="60" t="n">
        <x:v>59.842778816223145</x:v>
      </x:c>
      <x:c r="AR88" s="60" t="n">
        <x:v>60.071513900756834</x:v>
      </x:c>
      <x:c r="AS88" s="60" t="n">
        <x:v>60.29331951141358</x:v>
      </x:c>
      <x:c r="AT88" s="60" t="n">
        <x:v>60.5338020324707</x:v>
      </x:c>
      <x:c r="AU88" s="60" t="n">
        <x:v>60.762226333618166</x:v>
      </x:c>
      <x:c r="AV88" s="60" t="n">
        <x:v>60.9727734375</x:v>
      </x:c>
      <x:c r="AW88" s="60" t="n">
        <x:v>61.192260551452634</x:v>
      </x:c>
      <x:c r="AX88" s="60" t="n">
        <x:v>61.40301330566406</x:v>
      </x:c>
      <x:c r="AY88" s="60" t="n">
        <x:v>61.602644538879396</x:v>
      </x:c>
      <x:c r="AZ88" s="60" t="n">
        <x:v>61.79487838745117</x:v>
      </x:c>
      <x:c r="BA88" s="60" t="n">
        <x:v>62.009742431640625</x:v>
      </x:c>
      <x:c r="BB88" s="60" t="n">
        <x:v>62.20453109741211</x:v>
      </x:c>
      <x:c r="BC88" s="60" t="n">
        <x:v>62.40164207458496</x:v>
      </x:c>
      <x:c r="BD88" s="60" t="n">
        <x:v>62.62803649902344</x:v>
      </x:c>
      <x:c r="BE88" s="60" t="n">
        <x:v>62.83786148071289</x:v>
      </x:c>
      <x:c r="BF88" s="60" t="n">
        <x:v>63.038910675048825</x:v>
      </x:c>
      <x:c r="BG88" s="60" t="n">
        <x:v>63.26160427093506</x:v>
      </x:c>
      <x:c r="BH88" s="60" t="n">
        <x:v>63.461378021240236</x:v>
      </x:c>
      <x:c r="BI88" s="60" t="n">
        <x:v>63.64543704986572</x:v>
      </x:c>
      <x:c r="BJ88" s="60" t="n">
        <x:v>63.85359924316406</x:v>
      </x:c>
      <x:c r="BK88" s="60" t="n">
        <x:v>64.04350318908692</x:v>
      </x:c>
      <x:c r="BL88" s="60" t="n">
        <x:v>64.23098037719727</x:v>
      </x:c>
      <x:c r="BM88" s="60" t="n">
        <x:v>64.41388046264649</x:v>
      </x:c>
      <x:c r="BN88" s="60" t="n">
        <x:v>64.61836853027344</x:v>
      </x:c>
      <x:c r="BO88" s="60" t="n">
        <x:v>64.82374206542968</x:v>
      </x:c>
      <x:c r="BP88" s="60" t="n">
        <x:v>65.03645355224609</x:v>
      </x:c>
      <x:c r="BQ88" s="60" t="n">
        <x:v>65.24945411682128</x:v>
      </x:c>
      <x:c r="BR88" s="60" t="n">
        <x:v>65.45174163818359</x:v>
      </x:c>
      <x:c r="BS88" s="60" t="n">
        <x:v>65.65299377441406</x:v>
      </x:c>
      <x:c r="BT88" s="60" t="n">
        <x:v>65.85606430053711</x:v>
      </x:c>
      <x:c r="BU88" s="60" t="n">
        <x:v>66.03807083129882</x:v>
      </x:c>
      <x:c r="BV88" s="60" t="n">
        <x:v>66.24831848144531</x:v>
      </x:c>
      <x:c r="BW88" s="60" t="n">
        <x:v>66.46026054382324</x:v>
      </x:c>
      <x:c r="BX88" s="60" t="n">
        <x:v>66.66025314331056</x:v>
      </x:c>
      <x:c r="BY88" s="60" t="n">
        <x:v>66.86765510559081</x:v>
      </x:c>
      <x:c r="BZ88" s="60" t="n">
        <x:v>67.11937408447265</x:v>
      </x:c>
      <x:c r="CA88" s="60" t="n">
        <x:v>67.34550918579102</x:v>
      </x:c>
      <x:c r="CB88" s="60" t="n">
        <x:v>67.55819122314453</x:v>
      </x:c>
      <x:c r="CC88" s="60" t="n">
        <x:v>67.75197792053223</x:v>
      </x:c>
      <x:c r="CD88" s="60" t="n">
        <x:v>67.9698617553711</x:v>
      </x:c>
      <x:c r="CE88" s="60" t="n">
        <x:v>68.22501365661621</x:v>
      </x:c>
      <x:c r="CF88" s="60" t="n">
        <x:v>68.45669403076172</x:v>
      </x:c>
      <x:c r="CG88" s="60" t="n">
        <x:v>68.68521659851075</x:v>
      </x:c>
      <x:c r="CH88" s="60" t="n">
        <x:v>68.89930725097656</x:v>
      </x:c>
      <x:c r="CI88" s="60" t="n">
        <x:v>69.16414970397949</x:v>
      </x:c>
      <x:c r="CJ88" s="60" t="n">
        <x:v>69.41219741821288</x:v>
      </x:c>
      <x:c r="CK88" s="60" t="n">
        <x:v>69.65824821472168</x:v>
      </x:c>
      <x:c r="CL88" s="60" t="n">
        <x:v>69.93394439697266</x:v>
      </x:c>
      <x:c r="CM88" s="60" t="n">
        <x:v>70.25000267028808</x:v>
      </x:c>
      <x:c r="CN88" s="60" t="n">
        <x:v>70.52976593017578</x:v>
      </x:c>
      <x:c r="CO88" s="60" t="n">
        <x:v>70.85199699401855</x:v>
      </x:c>
      <x:c r="CP88" s="60" t="n">
        <x:v>71.18292266845702</x:v>
      </x:c>
      <x:c r="CQ88" s="60" t="n">
        <x:v>71.51206794738769</x:v>
      </x:c>
      <x:c r="CR88" s="60" t="n">
        <x:v>71.83834838867188</x:v>
      </x:c>
      <x:c r="CS88" s="60" t="n">
        <x:v>72.18685890197754</x:v>
      </x:c>
      <x:c r="CT88" s="60" t="n">
        <x:v>72.57597290039062</x:v>
      </x:c>
      <x:c r="CU88" s="60" t="n">
        <x:v>72.99753234863282</x:v>
      </x:c>
      <x:c r="CV88" s="60" t="n">
        <x:v>73.44855514526367</x:v>
      </x:c>
      <x:c r="CW88" s="60" t="n">
        <x:v>73.96117324829102</x:v>
      </x:c>
      <x:c r="CX88" s="60" t="n">
        <x:v>74.57492645263672</x:v>
      </x:c>
      <x:c r="CY88" s="60" t="n">
        <x:v>75.25573776245118</x:v>
      </x:c>
      <x:c r="CZ88" s="60" t="n">
        <x:v>76.0481463623047</x:v>
      </x:c>
      <x:c r="DA88" s="60" t="n">
        <x:v>77.27228385925291</x:v>
      </x:c>
      <x:c r="DB88" s="60" t="n">
        <x:v>83.767578125</x:v>
      </x:c>
    </x:row>
    <x:row r="89">
      <x:c r="A89" t="str">
        <x:v>ドードリオ-1</x:v>
      </x:c>
      <x:c r="B89" t="str">
        <x:v>ドードリオ</x:v>
      </x:c>
      <x:c r="C89" t="str">
        <x:v>共通</x:v>
      </x:c>
      <x:c r="D89" s="60" t="n">
        <x:v>63.87827682495117</x:v>
      </x:c>
      <x:c r="E89" s="60" t="n">
        <x:v>9.921223640441895</x:v>
      </x:c>
      <x:c r="F89" s="60" t="n">
        <x:v>30.32340431213379</x:v>
      </x:c>
      <x:c r="G89" s="60" t="n">
        <x:v>39.52642402648926</x:v>
      </x:c>
      <x:c r="H89" s="60" t="n">
        <x:v>42.20035095214844</x:v>
      </x:c>
      <x:c r="I89" s="60" t="n">
        <x:v>43.858517494201664</x:v>
      </x:c>
      <x:c r="J89" s="60" t="n">
        <x:v>45.395595703125004</x:v>
      </x:c>
      <x:c r="K89" s="60" t="n">
        <x:v>46.5467170715332</x:v>
      </x:c>
      <x:c r="L89" s="60" t="n">
        <x:v>47.53463050842285</x:v>
      </x:c>
      <x:c r="M89" s="60" t="n">
        <x:v>48.40049247741699</x:v>
      </x:c>
      <x:c r="N89" s="60" t="n">
        <x:v>49.15320251464844</x:v>
      </x:c>
      <x:c r="O89" s="60" t="n">
        <x:v>49.801235580444335</x:v>
      </x:c>
      <x:c r="P89" s="60" t="n">
        <x:v>50.4362979888916</x:v>
      </x:c>
      <x:c r="Q89" s="60" t="n">
        <x:v>51.04837047576904</x:v>
      </x:c>
      <x:c r="R89" s="60" t="n">
        <x:v>51.65253524780273</x:v>
      </x:c>
      <x:c r="S89" s="60" t="n">
        <x:v>52.16510089874268</x:v>
      </x:c>
      <x:c r="T89" s="60" t="n">
        <x:v>52.65308738708496</x:v>
      </x:c>
      <x:c r="U89" s="60" t="n">
        <x:v>53.12222194671631</x:v>
      </x:c>
      <x:c r="V89" s="60" t="n">
        <x:v>53.5777555847168</x:v>
      </x:c>
      <x:c r="W89" s="60" t="n">
        <x:v>54.00492488861084</x:v>
      </x:c>
      <x:c r="X89" s="60" t="n">
        <x:v>54.40765426635742</x:v>
      </x:c>
      <x:c r="Y89" s="60" t="n">
        <x:v>54.80268646240234</x:v>
      </x:c>
      <x:c r="Z89" s="60" t="n">
        <x:v>55.19688110351562</x:v>
      </x:c>
      <x:c r="AA89" s="60" t="n">
        <x:v>55.565904998779295</x:v>
      </x:c>
      <x:c r="AB89" s="60" t="n">
        <x:v>55.96703636169433</x:v>
      </x:c>
      <x:c r="AC89" s="60" t="n">
        <x:v>56.35695030212403</x:v>
      </x:c>
      <x:c r="AD89" s="60" t="n">
        <x:v>56.69384536743164</x:v>
      </x:c>
      <x:c r="AE89" s="60" t="n">
        <x:v>57.06291198730469</x:v>
      </x:c>
      <x:c r="AF89" s="60" t="n">
        <x:v>57.38449035644531</x:v>
      </x:c>
      <x:c r="AG89" s="60" t="n">
        <x:v>57.79700695037842</x:v>
      </x:c>
      <x:c r="AH89" s="60" t="n">
        <x:v>58.18059204101563</x:v>
      </x:c>
      <x:c r="AI89" s="60" t="n">
        <x:v>58.52373790740967</x:v>
      </x:c>
      <x:c r="AJ89" s="60" t="n">
        <x:v>58.86154670715332</x:v>
      </x:c>
      <x:c r="AK89" s="60" t="n">
        <x:v>59.16104244232178</x:v>
      </x:c>
      <x:c r="AL89" s="60" t="n">
        <x:v>59.4699104309082</x:v>
      </x:c>
      <x:c r="AM89" s="60" t="n">
        <x:v>59.76100200653076</x:v>
      </x:c>
      <x:c r="AN89" s="60" t="n">
        <x:v>60.04505989074707</x:v>
      </x:c>
      <x:c r="AO89" s="60" t="n">
        <x:v>60.37732048034668</x:v>
      </x:c>
      <x:c r="AP89" s="60" t="n">
        <x:v>60.68365234375</x:v>
      </x:c>
      <x:c r="AQ89" s="60" t="n">
        <x:v>60.96083297729492</x:v>
      </x:c>
      <x:c r="AR89" s="60" t="n">
        <x:v>61.24753005981445</x:v>
      </x:c>
      <x:c r="AS89" s="60" t="n">
        <x:v>61.53812282562256</x:v>
      </x:c>
      <x:c r="AT89" s="60" t="n">
        <x:v>61.827989959716795</x:v>
      </x:c>
      <x:c r="AU89" s="60" t="n">
        <x:v>62.10730606079102</x:v>
      </x:c>
      <x:c r="AV89" s="60" t="n">
        <x:v>62.389863891601564</x:v>
      </x:c>
      <x:c r="AW89" s="60" t="n">
        <x:v>62.6681241607666</x:v>
      </x:c>
      <x:c r="AX89" s="60" t="n">
        <x:v>62.92447692871094</x:v>
      </x:c>
      <x:c r="AY89" s="60" t="n">
        <x:v>63.21247482299805</x:v>
      </x:c>
      <x:c r="AZ89" s="60" t="n">
        <x:v>63.48419372558594</x:v>
      </x:c>
      <x:c r="BA89" s="60" t="n">
        <x:v>63.731208686828616</x:v>
      </x:c>
      <x:c r="BB89" s="60" t="n">
        <x:v>63.97655151367188</x:v>
      </x:c>
      <x:c r="BC89" s="60" t="n">
        <x:v>64.23780181884766</x:v>
      </x:c>
      <x:c r="BD89" s="60" t="n">
        <x:v>64.50559997558594</x:v>
      </x:c>
      <x:c r="BE89" s="60" t="n">
        <x:v>64.76915016174317</x:v>
      </x:c>
      <x:c r="BF89" s="60" t="n">
        <x:v>65.03524566650391</x:v>
      </x:c>
      <x:c r="BG89" s="60" t="n">
        <x:v>65.30199035644532</x:v>
      </x:c>
      <x:c r="BH89" s="60" t="n">
        <x:v>65.58023147583008</x:v>
      </x:c>
      <x:c r="BI89" s="60" t="n">
        <x:v>65.87677345275878</x:v>
      </x:c>
      <x:c r="BJ89" s="60" t="n">
        <x:v>66.14568756103516</x:v>
      </x:c>
      <x:c r="BK89" s="60" t="n">
        <x:v>66.41855545043946</x:v>
      </x:c>
      <x:c r="BL89" s="60" t="n">
        <x:v>66.68038055419922</x:v>
      </x:c>
      <x:c r="BM89" s="60" t="n">
        <x:v>66.94749549865723</x:v>
      </x:c>
      <x:c r="BN89" s="60" t="n">
        <x:v>67.20715026855468</x:v>
      </x:c>
      <x:c r="BO89" s="60" t="n">
        <x:v>67.43990715026855</x:v>
      </x:c>
      <x:c r="BP89" s="60" t="n">
        <x:v>67.71830078125</x:v>
      </x:c>
      <x:c r="BQ89" s="60" t="n">
        <x:v>67.95270790100098</x:v>
      </x:c>
      <x:c r="BR89" s="60" t="n">
        <x:v>68.22118927001954</x:v>
      </x:c>
      <x:c r="BS89" s="60" t="n">
        <x:v>68.50039024353028</x:v>
      </x:c>
      <x:c r="BT89" s="60" t="n">
        <x:v>68.75731307983398</x:v>
      </x:c>
      <x:c r="BU89" s="60" t="n">
        <x:v>69.02230781555176</x:v>
      </x:c>
      <x:c r="BV89" s="60" t="n">
        <x:v>69.27980285644531</x:v>
      </x:c>
      <x:c r="BW89" s="60" t="n">
        <x:v>69.54019165039062</x:v>
      </x:c>
      <x:c r="BX89" s="60" t="n">
        <x:v>69.81351013183594</x:v>
      </x:c>
      <x:c r="BY89" s="60" t="n">
        <x:v>70.10613830566406</x:v>
      </x:c>
      <x:c r="BZ89" s="60" t="n">
        <x:v>70.41271362304687</x:v>
      </x:c>
      <x:c r="CA89" s="60" t="n">
        <x:v>70.7089617919922</x:v>
      </x:c>
      <x:c r="CB89" s="60" t="n">
        <x:v>70.98502227783203</x:v>
      </x:c>
      <x:c r="CC89" s="60" t="n">
        <x:v>71.26556777954102</x:v>
      </x:c>
      <x:c r="CD89" s="60" t="n">
        <x:v>71.54354095458984</x:v>
      </x:c>
      <x:c r="CE89" s="60" t="n">
        <x:v>71.82706497192383</x:v>
      </x:c>
      <x:c r="CF89" s="60" t="n">
        <x:v>72.12773712158203</x:v>
      </x:c>
      <x:c r="CG89" s="60" t="n">
        <x:v>72.39451683044435</x:v>
      </x:c>
      <x:c r="CH89" s="60" t="n">
        <x:v>72.72402954101562</x:v>
      </x:c>
      <x:c r="CI89" s="60" t="n">
        <x:v>73.0710181427002</x:v>
      </x:c>
      <x:c r="CJ89" s="60" t="n">
        <x:v>73.3554833984375</x:v>
      </x:c>
      <x:c r="CK89" s="60" t="n">
        <x:v>73.6586695098877</x:v>
      </x:c>
      <x:c r="CL89" s="60" t="n">
        <x:v>74.00731628417968</x:v>
      </x:c>
      <x:c r="CM89" s="60" t="n">
        <x:v>74.35440177917481</x:v>
      </x:c>
      <x:c r="CN89" s="60" t="n">
        <x:v>74.72210968017578</x:v>
      </x:c>
      <x:c r="CO89" s="60" t="n">
        <x:v>75.13627090454102</x:v>
      </x:c>
      <x:c r="CP89" s="60" t="n">
        <x:v>75.55600646972657</x:v>
      </x:c>
      <x:c r="CQ89" s="60" t="n">
        <x:v>75.99168579101563</x:v>
      </x:c>
      <x:c r="CR89" s="60" t="n">
        <x:v>76.42040481567383</x:v>
      </x:c>
      <x:c r="CS89" s="60" t="n">
        <x:v>76.85992454528808</x:v>
      </x:c>
      <x:c r="CT89" s="60" t="n">
        <x:v>77.29609802246095</x:v>
      </x:c>
      <x:c r="CU89" s="60" t="n">
        <x:v>77.80669548034668</x:v>
      </x:c>
      <x:c r="CV89" s="60" t="n">
        <x:v>78.41503936767579</x:v>
      </x:c>
      <x:c r="CW89" s="60" t="n">
        <x:v>79.01064453125002</x:v>
      </x:c>
      <x:c r="CX89" s="60" t="n">
        <x:v>79.72635711669922</x:v>
      </x:c>
      <x:c r="CY89" s="60" t="n">
        <x:v>80.54863601684569</x:v>
      </x:c>
      <x:c r="CZ89" s="60" t="n">
        <x:v>81.73372024536133</x:v>
      </x:c>
      <x:c r="DA89" s="60" t="n">
        <x:v>83.17781257629395</x:v>
      </x:c>
      <x:c r="DB89" s="60" t="n">
        <x:v>89.53216552734375</x:v>
      </x:c>
    </x:row>
    <x:row r="90">
      <x:c r="A90" t="str">
        <x:v>ニャース-1</x:v>
      </x:c>
      <x:c r="B90" t="str">
        <x:v>ニャース</x:v>
      </x:c>
      <x:c r="C90" t="str">
        <x:v>共通</x:v>
      </x:c>
      <x:c r="D90" s="60" t="n">
        <x:v>66.39109802246094</x:v>
      </x:c>
      <x:c r="E90" s="60" t="n">
        <x:v>9.921150207519531</x:v>
      </x:c>
      <x:c r="F90" s="60" t="n">
        <x:v>32.04143142700195</x:v>
      </x:c>
      <x:c r="G90" s="60" t="n">
        <x:v>41.00730148315429</x:v>
      </x:c>
      <x:c r="H90" s="60" t="n">
        <x:v>43.87394630432129</x:v>
      </x:c>
      <x:c r="I90" s="60" t="n">
        <x:v>45.773808555603026</x:v>
      </x:c>
      <x:c r="J90" s="60" t="n">
        <x:v>47.21457107543945</x:v>
      </x:c>
      <x:c r="K90" s="60" t="n">
        <x:v>48.36331195831299</x:v>
      </x:c>
      <x:c r="L90" s="60" t="n">
        <x:v>49.39187812805176</x:v>
      </x:c>
      <x:c r="M90" s="60" t="n">
        <x:v>50.350353775024416</x:v>
      </x:c>
      <x:c r="N90" s="60" t="n">
        <x:v>51.2331982421875</x:v>
      </x:c>
      <x:c r="O90" s="60" t="n">
        <x:v>51.94388404846191</x:v>
      </x:c>
      <x:c r="P90" s="60" t="n">
        <x:v>52.625078964233396</x:v>
      </x:c>
      <x:c r="Q90" s="60" t="n">
        <x:v>53.29293334960937</x:v>
      </x:c>
      <x:c r="R90" s="60" t="n">
        <x:v>53.82896331787109</x:v>
      </x:c>
      <x:c r="S90" s="60" t="n">
        <x:v>54.4288330078125</x:v>
      </x:c>
      <x:c r="T90" s="60" t="n">
        <x:v>55.01353126525879</x:v>
      </x:c>
      <x:c r="U90" s="60" t="n">
        <x:v>55.56615772247314</x:v>
      </x:c>
      <x:c r="V90" s="60" t="n">
        <x:v>56.05740447998047</x:v>
      </x:c>
      <x:c r="W90" s="60" t="n">
        <x:v>56.588462371826175</x:v>
      </x:c>
      <x:c r="X90" s="60" t="n">
        <x:v>57.03852195739746</x:v>
      </x:c>
      <x:c r="Y90" s="60" t="n">
        <x:v>57.49149433135986</x:v>
      </x:c>
      <x:c r="Z90" s="60" t="n">
        <x:v>57.90859527587891</x:v>
      </x:c>
      <x:c r="AA90" s="60" t="n">
        <x:v>58.316234016418456</x:v>
      </x:c>
      <x:c r="AB90" s="60" t="n">
        <x:v>58.7028441619873</x:v>
      </x:c>
      <x:c r="AC90" s="60" t="n">
        <x:v>59.14819881439209</x:v>
      </x:c>
      <x:c r="AD90" s="60" t="n">
        <x:v>59.52817230224609</x:v>
      </x:c>
      <x:c r="AE90" s="60" t="n">
        <x:v>59.92387580871582</x:v>
      </x:c>
      <x:c r="AF90" s="60" t="n">
        <x:v>60.25805290222168</x:v>
      </x:c>
      <x:c r="AG90" s="60" t="n">
        <x:v>60.609668006896975</x:v>
      </x:c>
      <x:c r="AH90" s="60" t="n">
        <x:v>60.93089797973633</x:v>
      </x:c>
      <x:c r="AI90" s="60" t="n">
        <x:v>61.26820846557617</x:v>
      </x:c>
      <x:c r="AJ90" s="60" t="n">
        <x:v>61.61073188781738</x:v>
      </x:c>
      <x:c r="AK90" s="60" t="n">
        <x:v>61.92446014404297</x:v>
      </x:c>
      <x:c r="AL90" s="60" t="n">
        <x:v>62.24750091552735</x:v>
      </x:c>
      <x:c r="AM90" s="60" t="n">
        <x:v>62.54097766876221</x:v>
      </x:c>
      <x:c r="AN90" s="60" t="n">
        <x:v>62.84559204101563</x:v>
      </x:c>
      <x:c r="AO90" s="60" t="n">
        <x:v>63.16077785491944</x:v>
      </x:c>
      <x:c r="AP90" s="60" t="n">
        <x:v>63.444451599121095</x:v>
      </x:c>
      <x:c r="AQ90" s="60" t="n">
        <x:v>63.77152515411377</x:v>
      </x:c>
      <x:c r="AR90" s="60" t="n">
        <x:v>64.05476104736329</x:v>
      </x:c>
      <x:c r="AS90" s="60" t="n">
        <x:v>64.38191856384277</x:v>
      </x:c>
      <x:c r="AT90" s="60" t="n">
        <x:v>64.6772476196289</x:v>
      </x:c>
      <x:c r="AU90" s="60" t="n">
        <x:v>64.97674980163575</x:v>
      </x:c>
      <x:c r="AV90" s="60" t="n">
        <x:v>65.24987762451173</x:v>
      </x:c>
      <x:c r="AW90" s="60" t="n">
        <x:v>65.51567253112793</x:v>
      </x:c>
      <x:c r="AX90" s="60" t="n">
        <x:v>65.7863232421875</x:v>
      </x:c>
      <x:c r="AY90" s="60" t="n">
        <x:v>66.06016578674317</x:v>
      </x:c>
      <x:c r="AZ90" s="60" t="n">
        <x:v>66.33229187011719</x:v>
      </x:c>
      <x:c r="BA90" s="60" t="n">
        <x:v>66.58975074768067</x:v>
      </x:c>
      <x:c r="BB90" s="60" t="n">
        <x:v>66.84422241210937</x:v>
      </x:c>
      <x:c r="BC90" s="60" t="n">
        <x:v>67.10538757324218</x:v>
      </x:c>
      <x:c r="BD90" s="60" t="n">
        <x:v>67.4139404296875</x:v>
      </x:c>
      <x:c r="BE90" s="60" t="n">
        <x:v>67.6848713684082</x:v>
      </x:c>
      <x:c r="BF90" s="60" t="n">
        <x:v>67.9675830078125</x:v>
      </x:c>
      <x:c r="BG90" s="60" t="n">
        <x:v>68.21785461425782</x:v>
      </x:c>
      <x:c r="BH90" s="60" t="n">
        <x:v>68.4974266052246</x:v>
      </x:c>
      <x:c r="BI90" s="60" t="n">
        <x:v>68.73753356933594</x:v>
      </x:c>
      <x:c r="BJ90" s="60" t="n">
        <x:v>68.99498138427734</x:v>
      </x:c>
      <x:c r="BK90" s="60" t="n">
        <x:v>69.23246047973633</x:v>
      </x:c>
      <x:c r="BL90" s="60" t="n">
        <x:v>69.47927322387696</x:v>
      </x:c>
      <x:c r="BM90" s="60" t="n">
        <x:v>69.76328742980957</x:v>
      </x:c>
      <x:c r="BN90" s="60" t="n">
        <x:v>70.0270492553711</x:v>
      </x:c>
      <x:c r="BO90" s="60" t="n">
        <x:v>70.30809364318847</x:v>
      </x:c>
      <x:c r="BP90" s="60" t="n">
        <x:v>70.5334864807129</x:v>
      </x:c>
      <x:c r="BQ90" s="60" t="n">
        <x:v>70.78907135009766</x:v>
      </x:c>
      <x:c r="BR90" s="60" t="n">
        <x:v>71.04793426513672</x:v>
      </x:c>
      <x:c r="BS90" s="60" t="n">
        <x:v>71.28950424194336</x:v>
      </x:c>
      <x:c r="BT90" s="60" t="n">
        <x:v>71.55882873535157</x:v>
      </x:c>
      <x:c r="BU90" s="60" t="n">
        <x:v>71.81777351379395</x:v>
      </x:c>
      <x:c r="BV90" s="60" t="n">
        <x:v>72.08175689697266</x:v>
      </x:c>
      <x:c r="BW90" s="60" t="n">
        <x:v>72.31928489685059</x:v>
      </x:c>
      <x:c r="BX90" s="60" t="n">
        <x:v>72.59846420288086</x:v>
      </x:c>
      <x:c r="BY90" s="60" t="n">
        <x:v>72.83584297180175</x:v>
      </x:c>
      <x:c r="BZ90" s="60" t="n">
        <x:v>73.08480560302735</x:v>
      </x:c>
      <x:c r="CA90" s="60" t="n">
        <x:v>73.35550994873047</x:v>
      </x:c>
      <x:c r="CB90" s="60" t="n">
        <x:v>73.63082946777344</x:v>
      </x:c>
      <x:c r="CC90" s="60" t="n">
        <x:v>73.89375305175781</x:v>
      </x:c>
      <x:c r="CD90" s="60" t="n">
        <x:v>74.14314666748047</x:v>
      </x:c>
      <x:c r="CE90" s="60" t="n">
        <x:v>74.39672554016113</x:v>
      </x:c>
      <x:c r="CF90" s="60" t="n">
        <x:v>74.66792007446288</x:v>
      </x:c>
      <x:c r="CG90" s="60" t="n">
        <x:v>74.92304824829102</x:v>
      </x:c>
      <x:c r="CH90" s="60" t="n">
        <x:v>75.20937652587891</x:v>
      </x:c>
      <x:c r="CI90" s="60" t="n">
        <x:v>75.52885978698731</x:v>
      </x:c>
      <x:c r="CJ90" s="60" t="n">
        <x:v>75.80797714233398</x:v>
      </x:c>
      <x:c r="CK90" s="60" t="n">
        <x:v>76.15031852722169</x:v>
      </x:c>
      <x:c r="CL90" s="60" t="n">
        <x:v>76.44004119873047</x:v>
      </x:c>
      <x:c r="CM90" s="60" t="n">
        <x:v>76.77604522705079</x:v>
      </x:c>
      <x:c r="CN90" s="60" t="n">
        <x:v>77.11779052734374</x:v>
      </x:c>
      <x:c r="CO90" s="60" t="n">
        <x:v>77.50868354797363</x:v>
      </x:c>
      <x:c r="CP90" s="60" t="n">
        <x:v>77.8533935546875</x:v>
      </x:c>
      <x:c r="CQ90" s="60" t="n">
        <x:v>78.20898193359375</x:v>
      </x:c>
      <x:c r="CR90" s="60" t="n">
        <x:v>78.6057113647461</x:v>
      </x:c>
      <x:c r="CS90" s="60" t="n">
        <x:v>78.95715347290039</x:v>
      </x:c>
      <x:c r="CT90" s="60" t="n">
        <x:v>79.39575073242189</x:v>
      </x:c>
      <x:c r="CU90" s="60" t="n">
        <x:v>79.81035949707031</x:v>
      </x:c>
      <x:c r="CV90" s="60" t="n">
        <x:v>80.31707977294923</x:v>
      </x:c>
      <x:c r="CW90" s="60" t="n">
        <x:v>80.90283927917481</x:v>
      </x:c>
      <x:c r="CX90" s="60" t="n">
        <x:v>81.49980194091798</x:v>
      </x:c>
      <x:c r="CY90" s="60" t="n">
        <x:v>82.17002571105957</x:v>
      </x:c>
      <x:c r="CZ90" s="60" t="n">
        <x:v>83.14939651489259</x:v>
      </x:c>
      <x:c r="DA90" s="60" t="n">
        <x:v>84.36578926086422</x:v>
      </x:c>
      <x:c r="DB90" s="60" t="n">
        <x:v>88.92919921875</x:v>
      </x:c>
    </x:row>
    <x:row r="91">
      <x:c r="A91" t="str">
        <x:v>ファイアロー-1</x:v>
      </x:c>
      <x:c r="B91" t="str">
        <x:v>ファイアロー</x:v>
      </x:c>
      <x:c r="C91" t="str">
        <x:v>共通</x:v>
      </x:c>
      <x:c r="D91" s="60" t="n">
        <x:v>62.96466827392578</x:v>
      </x:c>
      <x:c r="E91" s="60" t="n">
        <x:v>9.412079811096191</x:v>
      </x:c>
      <x:c r="F91" s="60" t="n">
        <x:v>31.637239456176758</x:v>
      </x:c>
      <x:c r="G91" s="60" t="n">
        <x:v>40.098787536621096</x:v>
      </x:c>
      <x:c r="H91" s="60" t="n">
        <x:v>42.5481876373291</x:v>
      </x:c>
      <x:c r="I91" s="60" t="n">
        <x:v>44.12083972930908</x:v>
      </x:c>
      <x:c r="J91" s="60" t="n">
        <x:v>45.56366363525391</x:v>
      </x:c>
      <x:c r="K91" s="60" t="n">
        <x:v>46.55985641479492</x:v>
      </x:c>
      <x:c r="L91" s="60" t="n">
        <x:v>47.48026092529297</x:v>
      </x:c>
      <x:c r="M91" s="60" t="n">
        <x:v>48.251672172546385</x:v>
      </x:c>
      <x:c r="N91" s="60" t="n">
        <x:v>49.00004409790039</x:v>
      </x:c>
      <x:c r="O91" s="60" t="n">
        <x:v>49.66508312225342</x:v>
      </x:c>
      <x:c r="P91" s="60" t="n">
        <x:v>50.23031005859375</x:v>
      </x:c>
      <x:c r="Q91" s="60" t="n">
        <x:v>50.80115692138672</x:v>
      </x:c>
      <x:c r="R91" s="60" t="n">
        <x:v>51.361807098388674</x:v>
      </x:c>
      <x:c r="S91" s="60" t="n">
        <x:v>51.85877388000488</x:v>
      </x:c>
      <x:c r="T91" s="60" t="n">
        <x:v>52.31650192260742</x:v>
      </x:c>
      <x:c r="U91" s="60" t="n">
        <x:v>52.75007247924805</x:v>
      </x:c>
      <x:c r="V91" s="60" t="n">
        <x:v>53.18520492553711</x:v>
      </x:c>
      <x:c r="W91" s="60" t="n">
        <x:v>53.59815063476563</x:v>
      </x:c>
      <x:c r="X91" s="60" t="n">
        <x:v>53.96949157714844</x:v>
      </x:c>
      <x:c r="Y91" s="60" t="n">
        <x:v>54.32134590148926</x:v>
      </x:c>
      <x:c r="Z91" s="60" t="n">
        <x:v>54.6970817565918</x:v>
      </x:c>
      <x:c r="AA91" s="60" t="n">
        <x:v>55.06402061462402</x:v>
      </x:c>
      <x:c r="AB91" s="60" t="n">
        <x:v>55.44257278442383</x:v>
      </x:c>
      <x:c r="AC91" s="60" t="n">
        <x:v>55.776967201232914</x:v>
      </x:c>
      <x:c r="AD91" s="60" t="n">
        <x:v>56.145482482910154</x:v>
      </x:c>
      <x:c r="AE91" s="60" t="n">
        <x:v>56.47297382354736</x:v>
      </x:c>
      <x:c r="AF91" s="60" t="n">
        <x:v>56.8007698059082</x:v>
      </x:c>
      <x:c r="AG91" s="60" t="n">
        <x:v>57.116426124572754</x:v>
      </x:c>
      <x:c r="AH91" s="60" t="n">
        <x:v>57.480618438720704</x:v>
      </x:c>
      <x:c r="AI91" s="60" t="n">
        <x:v>57.825737113952634</x:v>
      </x:c>
      <x:c r="AJ91" s="60" t="n">
        <x:v>58.167690658569335</x:v>
      </x:c>
      <x:c r="AK91" s="60" t="n">
        <x:v>58.448824081420895</x:v>
      </x:c>
      <x:c r="AL91" s="60" t="n">
        <x:v>58.75164642333984</x:v>
      </x:c>
      <x:c r="AM91" s="60" t="n">
        <x:v>59.04848358154297</x:v>
      </x:c>
      <x:c r="AN91" s="60" t="n">
        <x:v>59.34067573547363</x:v>
      </x:c>
      <x:c r="AO91" s="60" t="n">
        <x:v>59.5931095123291</x:v>
      </x:c>
      <x:c r="AP91" s="60" t="n">
        <x:v>59.86390441894531</x:v>
      </x:c>
      <x:c r="AQ91" s="60" t="n">
        <x:v>60.14066825866699</x:v>
      </x:c>
      <x:c r="AR91" s="60" t="n">
        <x:v>60.42025985717773</x:v>
      </x:c>
      <x:c r="AS91" s="60" t="n">
        <x:v>60.729332351684576</x:v>
      </x:c>
      <x:c r="AT91" s="60" t="n">
        <x:v>60.99447860717773</x:v>
      </x:c>
      <x:c r="AU91" s="60" t="n">
        <x:v>61.24328433990478</x:v>
      </x:c>
      <x:c r="AV91" s="60" t="n">
        <x:v>61.500053253173824</x:v>
      </x:c>
      <x:c r="AW91" s="60" t="n">
        <x:v>61.73840114593506</x:v>
      </x:c>
      <x:c r="AX91" s="60" t="n">
        <x:v>62.0184260559082</x:v>
      </x:c>
      <x:c r="AY91" s="60" t="n">
        <x:v>62.25286445617676</x:v>
      </x:c>
      <x:c r="AZ91" s="60" t="n">
        <x:v>62.49140396118164</x:v>
      </x:c>
      <x:c r="BA91" s="60" t="n">
        <x:v>62.75403774261475</x:v>
      </x:c>
      <x:c r="BB91" s="60" t="n">
        <x:v>63.027527008056644</x:v>
      </x:c>
      <x:c r="BC91" s="60" t="n">
        <x:v>63.291053199768065</x:v>
      </x:c>
      <x:c r="BD91" s="60" t="n">
        <x:v>63.53911018371582</x:v>
      </x:c>
      <x:c r="BE91" s="60" t="n">
        <x:v>63.80126903533935</x:v>
      </x:c>
      <x:c r="BF91" s="60" t="n">
        <x:v>64.04816436767578</x:v>
      </x:c>
      <x:c r="BG91" s="60" t="n">
        <x:v>64.34168579101562</x:v>
      </x:c>
      <x:c r="BH91" s="60" t="n">
        <x:v>64.56606811523437</x:v>
      </x:c>
      <x:c r="BI91" s="60" t="n">
        <x:v>64.7864833831787</x:v>
      </x:c>
      <x:c r="BJ91" s="60" t="n">
        <x:v>65.05548919677734</x:v>
      </x:c>
      <x:c r="BK91" s="60" t="n">
        <x:v>65.27546195983886</x:v>
      </x:c>
      <x:c r="BL91" s="60" t="n">
        <x:v>65.55433197021485</x:v>
      </x:c>
      <x:c r="BM91" s="60" t="n">
        <x:v>65.83283660888672</x:v>
      </x:c>
      <x:c r="BN91" s="60" t="n">
        <x:v>66.07545318603516</x:v>
      </x:c>
      <x:c r="BO91" s="60" t="n">
        <x:v>66.31052505493165</x:v>
      </x:c>
      <x:c r="BP91" s="60" t="n">
        <x:v>66.55096374511719</x:v>
      </x:c>
      <x:c r="BQ91" s="60" t="n">
        <x:v>66.83085060119629</x:v>
      </x:c>
      <x:c r="BR91" s="60" t="n">
        <x:v>67.07962677001953</x:v>
      </x:c>
      <x:c r="BS91" s="60" t="n">
        <x:v>67.32828025817871</x:v>
      </x:c>
      <x:c r="BT91" s="60" t="n">
        <x:v>67.58914428710938</x:v>
      </x:c>
      <x:c r="BU91" s="60" t="n">
        <x:v>67.84782638549805</x:v>
      </x:c>
      <x:c r="BV91" s="60" t="n">
        <x:v>68.08000885009766</x:v>
      </x:c>
      <x:c r="BW91" s="60" t="n">
        <x:v>68.32394798278808</x:v>
      </x:c>
      <x:c r="BX91" s="60" t="n">
        <x:v>68.55044784545899</x:v>
      </x:c>
      <x:c r="BY91" s="60" t="n">
        <x:v>68.81480499267577</x:v>
      </x:c>
      <x:c r="BZ91" s="60" t="n">
        <x:v>69.08710998535156</x:v>
      </x:c>
      <x:c r="CA91" s="60" t="n">
        <x:v>69.3517088317871</x:v>
      </x:c>
      <x:c r="CB91" s="60" t="n">
        <x:v>69.62954345703125</x:v>
      </x:c>
      <x:c r="CC91" s="60" t="n">
        <x:v>69.92332458496094</x:v>
      </x:c>
      <x:c r="CD91" s="60" t="n">
        <x:v>70.19804565429688</x:v>
      </x:c>
      <x:c r="CE91" s="60" t="n">
        <x:v>70.49319808959962</x:v>
      </x:c>
      <x:c r="CF91" s="60" t="n">
        <x:v>70.7831364440918</x:v>
      </x:c>
      <x:c r="CG91" s="60" t="n">
        <x:v>71.05932853698731</x:v>
      </x:c>
      <x:c r="CH91" s="60" t="n">
        <x:v>71.38005676269532</x:v>
      </x:c>
      <x:c r="CI91" s="60" t="n">
        <x:v>71.70024253845214</x:v>
      </x:c>
      <x:c r="CJ91" s="60" t="n">
        <x:v>71.98445617675782</x:v>
      </x:c>
      <x:c r="CK91" s="60" t="n">
        <x:v>72.26854072570801</x:v>
      </x:c>
      <x:c r="CL91" s="60" t="n">
        <x:v>72.59268798828126</x:v>
      </x:c>
      <x:c r="CM91" s="60" t="n">
        <x:v>72.94224281311034</x:v>
      </x:c>
      <x:c r="CN91" s="60" t="n">
        <x:v>73.28709320068359</x:v>
      </x:c>
      <x:c r="CO91" s="60" t="n">
        <x:v>73.682943649292</x:v>
      </x:c>
      <x:c r="CP91" s="60" t="n">
        <x:v>74.0413314819336</x:v>
      </x:c>
      <x:c r="CQ91" s="60" t="n">
        <x:v>74.43501403808594</x:v>
      </x:c>
      <x:c r="CR91" s="60" t="n">
        <x:v>74.90261917114258</x:v>
      </x:c>
      <x:c r="CS91" s="60" t="n">
        <x:v>75.38110763549804</x:v>
      </x:c>
      <x:c r="CT91" s="60" t="n">
        <x:v>75.76541931152344</x:v>
      </x:c>
      <x:c r="CU91" s="60" t="n">
        <x:v>76.2473249053955</x:v>
      </x:c>
      <x:c r="CV91" s="60" t="n">
        <x:v>76.82084655761719</x:v>
      </x:c>
      <x:c r="CW91" s="60" t="n">
        <x:v>77.4533187866211</x:v>
      </x:c>
      <x:c r="CX91" s="60" t="n">
        <x:v>78.14565490722656</x:v>
      </x:c>
      <x:c r="CY91" s="60" t="n">
        <x:v>79.03003829956054</x:v>
      </x:c>
      <x:c r="CZ91" s="60" t="n">
        <x:v>80.01316116333008</x:v>
      </x:c>
      <x:c r="DA91" s="60" t="n">
        <x:v>81.47570106506345</x:v>
      </x:c>
      <x:c r="DB91" s="60" t="n">
        <x:v>87.53085327148438</x:v>
      </x:c>
    </x:row>
    <x:row r="92">
      <x:c r="A92" t="str">
        <x:v>マスカーニャ-1</x:v>
      </x:c>
      <x:c r="B92" t="str">
        <x:v>マスカーニャ</x:v>
      </x:c>
      <x:c r="C92" t="str">
        <x:v>トリックフラワー</x:v>
      </x:c>
      <x:c r="D92" s="60" t="n">
        <x:v>65.25509643554688</x:v>
      </x:c>
      <x:c r="E92" s="60" t="n">
        <x:v>7.2871928215026855</x:v>
      </x:c>
      <x:c r="F92" s="60" t="n">
        <x:v>37.75572204589844</x:v>
      </x:c>
      <x:c r="G92" s="60" t="n">
        <x:v>46.33049026489258</x:v>
      </x:c>
      <x:c r="H92" s="60" t="n">
        <x:v>48.49606330871582</x:v>
      </x:c>
      <x:c r="I92" s="60" t="n">
        <x:v>49.946247787475585</x:v>
      </x:c>
      <x:c r="J92" s="60" t="n">
        <x:v>51.25358871459961</x:v>
      </x:c>
      <x:c r="K92" s="60" t="n">
        <x:v>52.128454971313474</x:v>
      </x:c>
      <x:c r="L92" s="60" t="n">
        <x:v>52.933421478271484</x:v>
      </x:c>
      <x:c r="M92" s="60" t="n">
        <x:v>53.574428977966306</x:v>
      </x:c>
      <x:c r="N92" s="60" t="n">
        <x:v>54.15320343017578</x:v>
      </x:c>
      <x:c r="O92" s="60" t="n">
        <x:v>54.711271362304686</x:v>
      </x:c>
      <x:c r="P92" s="60" t="n">
        <x:v>55.211341094970706</x:v>
      </x:c>
      <x:c r="Q92" s="60" t="n">
        <x:v>55.697012977600096</x:v>
      </x:c>
      <x:c r="R92" s="60" t="n">
        <x:v>56.174393310546876</x:v>
      </x:c>
      <x:c r="S92" s="60" t="n">
        <x:v>56.57682155609131</x:v>
      </x:c>
      <x:c r="T92" s="60" t="n">
        <x:v>56.96701347351074</x:v>
      </x:c>
      <x:c r="U92" s="60" t="n">
        <x:v>57.36710071563721</x:v>
      </x:c>
      <x:c r="V92" s="60" t="n">
        <x:v>57.747647247314454</x:v>
      </x:c>
      <x:c r="W92" s="60" t="n">
        <x:v>58.0856169128418</x:v>
      </x:c>
      <x:c r="X92" s="60" t="n">
        <x:v>58.423704605102536</x:v>
      </x:c>
      <x:c r="Y92" s="60" t="n">
        <x:v>58.717106628417966</x:v>
      </x:c>
      <x:c r="Z92" s="60" t="n">
        <x:v>59.03338851928711</x:v>
      </x:c>
      <x:c r="AA92" s="60" t="n">
        <x:v>59.323775939941406</x:v>
      </x:c>
      <x:c r="AB92" s="60" t="n">
        <x:v>59.63917770385742</x:v>
      </x:c>
      <x:c r="AC92" s="60" t="n">
        <x:v>59.94016258239746</x:v>
      </x:c>
      <x:c r="AD92" s="60" t="n">
        <x:v>60.196490631103515</x:v>
      </x:c>
      <x:c r="AE92" s="60" t="n">
        <x:v>60.502458572387695</x:v>
      </x:c>
      <x:c r="AF92" s="60" t="n">
        <x:v>60.76366638183594</x:v>
      </x:c>
      <x:c r="AG92" s="60" t="n">
        <x:v>61.023418769836425</x:v>
      </x:c>
      <x:c r="AH92" s="60" t="n">
        <x:v>61.302848205566406</x:v>
      </x:c>
      <x:c r="AI92" s="60" t="n">
        <x:v>61.54722206115723</x:v>
      </x:c>
      <x:c r="AJ92" s="60" t="n">
        <x:v>61.78247184753418</x:v>
      </x:c>
      <x:c r="AK92" s="60" t="n">
        <x:v>62.01078178405762</x:v>
      </x:c>
      <x:c r="AL92" s="60" t="n">
        <x:v>62.26202529907226</x:v>
      </x:c>
      <x:c r="AM92" s="60" t="n">
        <x:v>62.495682868957516</x:v>
      </x:c>
      <x:c r="AN92" s="60" t="n">
        <x:v>62.73715316772461</x:v>
      </x:c>
      <x:c r="AO92" s="60" t="n">
        <x:v>62.963880920410155</x:v>
      </x:c>
      <x:c r="AP92" s="60" t="n">
        <x:v>63.19579010009765</x:v>
      </x:c>
      <x:c r="AQ92" s="60" t="n">
        <x:v>63.392767906188965</x:v>
      </x:c>
      <x:c r="AR92" s="60" t="n">
        <x:v>63.62449493408203</x:v>
      </x:c>
      <x:c r="AS92" s="60" t="n">
        <x:v>63.833661193847654</x:v>
      </x:c>
      <x:c r="AT92" s="60" t="n">
        <x:v>64.03907928466796</x:v>
      </x:c>
      <x:c r="AU92" s="60" t="n">
        <x:v>64.23195846557617</x:v>
      </x:c>
      <x:c r="AV92" s="60" t="n">
        <x:v>64.42724624633789</x:v>
      </x:c>
      <x:c r="AW92" s="60" t="n">
        <x:v>64.63737228393555</x:v>
      </x:c>
      <x:c r="AX92" s="60" t="n">
        <x:v>64.82876678466796</x:v>
      </x:c>
      <x:c r="AY92" s="60" t="n">
        <x:v>65.0546501159668</x:v>
      </x:c>
      <x:c r="AZ92" s="60" t="n">
        <x:v>65.27451644897461</x:v>
      </x:c>
      <x:c r="BA92" s="60" t="n">
        <x:v>65.47602508544922</x:v>
      </x:c>
      <x:c r="BB92" s="60" t="n">
        <x:v>65.66148406982421</x:v>
      </x:c>
      <x:c r="BC92" s="60" t="n">
        <x:v>65.85423332214356</x:v>
      </x:c>
      <x:c r="BD92" s="60" t="n">
        <x:v>66.05157852172852</x:v>
      </x:c>
      <x:c r="BE92" s="60" t="n">
        <x:v>66.22758453369141</x:v>
      </x:c>
      <x:c r="BF92" s="60" t="n">
        <x:v>66.42438507080078</x:v>
      </x:c>
      <x:c r="BG92" s="60" t="n">
        <x:v>66.61159942626954</x:v>
      </x:c>
      <x:c r="BH92" s="60" t="n">
        <x:v>66.79114196777344</x:v>
      </x:c>
      <x:c r="BI92" s="60" t="n">
        <x:v>66.98055610656738</x:v>
      </x:c>
      <x:c r="BJ92" s="60" t="n">
        <x:v>67.17690307617187</x:v>
      </x:c>
      <x:c r="BK92" s="60" t="n">
        <x:v>67.36053993225097</x:v>
      </x:c>
      <x:c r="BL92" s="60" t="n">
        <x:v>67.56533981323243</x:v>
      </x:c>
      <x:c r="BM92" s="60" t="n">
        <x:v>67.74125541687012</x:v>
      </x:c>
      <x:c r="BN92" s="60" t="n">
        <x:v>67.92015838623047</x:v>
      </x:c>
      <x:c r="BO92" s="60" t="n">
        <x:v>68.0988697052002</x:v>
      </x:c>
      <x:c r="BP92" s="60" t="n">
        <x:v>68.28689178466797</x:v>
      </x:c>
      <x:c r="BQ92" s="60" t="n">
        <x:v>68.46599464416504</x:v>
      </x:c>
      <x:c r="BR92" s="60" t="n">
        <x:v>68.64851257324219</x:v>
      </x:c>
      <x:c r="BS92" s="60" t="n">
        <x:v>68.8133415222168</x:v>
      </x:c>
      <x:c r="BT92" s="60" t="n">
        <x:v>68.95360214233398</x:v>
      </x:c>
      <x:c r="BU92" s="60" t="n">
        <x:v>69.13829864501953</x:v>
      </x:c>
      <x:c r="BV92" s="60" t="n">
        <x:v>69.33262481689454</x:v>
      </x:c>
      <x:c r="BW92" s="60" t="n">
        <x:v>69.51590339660645</x:v>
      </x:c>
      <x:c r="BX92" s="60" t="n">
        <x:v>69.70248031616211</x:v>
      </x:c>
      <x:c r="BY92" s="60" t="n">
        <x:v>69.89028289794922</x:v>
      </x:c>
      <x:c r="BZ92" s="60" t="n">
        <x:v>70.08500274658203</x:v>
      </x:c>
      <x:c r="CA92" s="60" t="n">
        <x:v>70.30204307556153</x:v>
      </x:c>
      <x:c r="CB92" s="60" t="n">
        <x:v>70.48652938842774</x:v>
      </x:c>
      <x:c r="CC92" s="60" t="n">
        <x:v>70.6709976196289</x:v>
      </x:c>
      <x:c r="CD92" s="60" t="n">
        <x:v>70.88324951171874</x:v>
      </x:c>
      <x:c r="CE92" s="60" t="n">
        <x:v>71.0875813293457</x:v>
      </x:c>
      <x:c r="CF92" s="60" t="n">
        <x:v>71.30911056518555</x:v>
      </x:c>
      <x:c r="CG92" s="60" t="n">
        <x:v>71.51282295227051</x:v>
      </x:c>
      <x:c r="CH92" s="60" t="n">
        <x:v>71.71888275146485</x:v>
      </x:c>
      <x:c r="CI92" s="60" t="n">
        <x:v>71.93291725158691</x:v>
      </x:c>
      <x:c r="CJ92" s="60" t="n">
        <x:v>72.13909271240234</x:v>
      </x:c>
      <x:c r="CK92" s="60" t="n">
        <x:v>72.37124534606934</x:v>
      </x:c>
      <x:c r="CL92" s="60" t="n">
        <x:v>72.61547729492187</x:v>
      </x:c>
      <x:c r="CM92" s="60" t="n">
        <x:v>72.84264259338379</x:v>
      </x:c>
      <x:c r="CN92" s="60" t="n">
        <x:v>73.08902511596679</x:v>
      </x:c>
      <x:c r="CO92" s="60" t="n">
        <x:v>73.34035438537597</x:v>
      </x:c>
      <x:c r="CP92" s="60" t="n">
        <x:v>73.59683044433594</x:v>
      </x:c>
      <x:c r="CQ92" s="60" t="n">
        <x:v>73.87857856750489</x:v>
      </x:c>
      <x:c r="CR92" s="60" t="n">
        <x:v>74.13804397583007</x:v>
      </x:c>
      <x:c r="CS92" s="60" t="n">
        <x:v>74.42110832214355</x:v>
      </x:c>
      <x:c r="CT92" s="60" t="n">
        <x:v>74.71441955566407</x:v>
      </x:c>
      <x:c r="CU92" s="60" t="n">
        <x:v>75.0852897644043</x:v>
      </x:c>
      <x:c r="CV92" s="60" t="n">
        <x:v>75.43878158569336</x:v>
      </x:c>
      <x:c r="CW92" s="60" t="n">
        <x:v>75.84261665344238</x:v>
      </x:c>
      <x:c r="CX92" s="60" t="n">
        <x:v>76.29615051269532</x:v>
      </x:c>
      <x:c r="CY92" s="60" t="n">
        <x:v>76.84981903076172</x:v>
      </x:c>
      <x:c r="CZ92" s="60" t="n">
        <x:v>77.60009078979492</x:v>
      </x:c>
      <x:c r="DA92" s="60" t="n">
        <x:v>78.70885696411132</x:v>
      </x:c>
      <x:c r="DB92" s="60" t="n">
        <x:v>83.64112854003906</x:v>
      </x:c>
    </x:row>
    <x:row r="93">
      <x:c r="A93" t="str">
        <x:v>マスカーニャ-2</x:v>
      </x:c>
      <x:c r="B93" t="str">
        <x:v>マスカーニャ</x:v>
      </x:c>
      <x:c r="C93" t="str">
        <x:v>つじぎり</x:v>
      </x:c>
      <x:c r="D93" s="60" t="n">
        <x:v>64.36785125732422</x:v>
      </x:c>
      <x:c r="E93" s="60" t="n">
        <x:v>9.468446731567383</x:v>
      </x:c>
      <x:c r="F93" s="60" t="n">
        <x:v>31.676380157470703</x:v>
      </x:c>
      <x:c r="G93" s="60" t="n">
        <x:v>40.68463851928711</x:v>
      </x:c>
      <x:c r="H93" s="60" t="n">
        <x:v>43.28547416687012</x:v>
      </x:c>
      <x:c r="I93" s="60" t="n">
        <x:v>44.99147598266602</x:v>
      </x:c>
      <x:c r="J93" s="60" t="n">
        <x:v>46.344363098144534</x:v>
      </x:c>
      <x:c r="K93" s="60" t="n">
        <x:v>47.41548442840576</x:v>
      </x:c>
      <x:c r="L93" s="60" t="n">
        <x:v>48.45464416503906</x:v>
      </x:c>
      <x:c r="M93" s="60" t="n">
        <x:v>49.397257003784176</x:v>
      </x:c>
      <x:c r="N93" s="60" t="n">
        <x:v>50.14224014282227</x:v>
      </x:c>
      <x:c r="O93" s="60" t="n">
        <x:v>50.74608345031738</x:v>
      </x:c>
      <x:c r="P93" s="60" t="n">
        <x:v>51.35685043334961</x:v>
      </x:c>
      <x:c r="Q93" s="60" t="n">
        <x:v>51.96102252960205</x:v>
      </x:c>
      <x:c r="R93" s="60" t="n">
        <x:v>52.502699279785155</x:v>
      </x:c>
      <x:c r="S93" s="60" t="n">
        <x:v>53.07346641540527</x:v>
      </x:c>
      <x:c r="T93" s="60" t="n">
        <x:v>53.55434120178223</x:v>
      </x:c>
      <x:c r="U93" s="60" t="n">
        <x:v>54.02622985839844</x:v>
      </x:c>
      <x:c r="V93" s="60" t="n">
        <x:v>54.49512939453125</x:v>
      </x:c>
      <x:c r="W93" s="60" t="n">
        <x:v>54.93872611999512</x:v>
      </x:c>
      <x:c r="X93" s="60" t="n">
        <x:v>55.35965759277344</x:v>
      </x:c>
      <x:c r="Y93" s="60" t="n">
        <x:v>55.73653602600098</x:v>
      </x:c>
      <x:c r="Z93" s="60" t="n">
        <x:v>56.18483657836914</x:v>
      </x:c>
      <x:c r="AA93" s="60" t="n">
        <x:v>56.56817413330078</x:v>
      </x:c>
      <x:c r="AB93" s="60" t="n">
        <x:v>56.908498764038086</x:v>
      </x:c>
      <x:c r="AC93" s="60" t="n">
        <x:v>57.32812702178955</x:v>
      </x:c>
      <x:c r="AD93" s="60" t="n">
        <x:v>57.71391128540039</x:v>
      </x:c>
      <x:c r="AE93" s="60" t="n">
        <x:v>58.028130531311035</x:v>
      </x:c>
      <x:c r="AF93" s="60" t="n">
        <x:v>58.405079727172854</x:v>
      </x:c>
      <x:c r="AG93" s="60" t="n">
        <x:v>58.72470672607422</x:v>
      </x:c>
      <x:c r="AH93" s="60" t="n">
        <x:v>59.0758024597168</x:v>
      </x:c>
      <x:c r="AI93" s="60" t="n">
        <x:v>59.386428375244144</x:v>
      </x:c>
      <x:c r="AJ93" s="60" t="n">
        <x:v>59.686576461791994</x:v>
      </x:c>
      <x:c r="AK93" s="60" t="n">
        <x:v>59.985512237548825</x:v>
      </x:c>
      <x:c r="AL93" s="60" t="n">
        <x:v>60.24930953979492</x:v>
      </x:c>
      <x:c r="AM93" s="60" t="n">
        <x:v>60.5355558013916</x:v>
      </x:c>
      <x:c r="AN93" s="60" t="n">
        <x:v>60.84291023254394</x:v>
      </x:c>
      <x:c r="AO93" s="60" t="n">
        <x:v>61.1702392578125</x:v>
      </x:c>
      <x:c r="AP93" s="60" t="n">
        <x:v>61.46305648803711</x:v>
      </x:c>
      <x:c r="AQ93" s="60" t="n">
        <x:v>61.767206535339355</x:v>
      </x:c>
      <x:c r="AR93" s="60" t="n">
        <x:v>62.04362312316894</x:v>
      </x:c>
      <x:c r="AS93" s="60" t="n">
        <x:v>62.317768325805666</x:v>
      </x:c>
      <x:c r="AT93" s="60" t="n">
        <x:v>62.62107620239258</x:v>
      </x:c>
      <x:c r="AU93" s="60" t="n">
        <x:v>62.87514541625977</x:v>
      </x:c>
      <x:c r="AV93" s="60" t="n">
        <x:v>63.14128242492676</x:v>
      </x:c>
      <x:c r="AW93" s="60" t="n">
        <x:v>63.38646438598633</x:v>
      </x:c>
      <x:c r="AX93" s="60" t="n">
        <x:v>63.64636627197265</x:v>
      </x:c>
      <x:c r="AY93" s="60" t="n">
        <x:v>63.9050651550293</x:v>
      </x:c>
      <x:c r="AZ93" s="60" t="n">
        <x:v>64.16111160278321</x:v>
      </x:c>
      <x:c r="BA93" s="60" t="n">
        <x:v>64.41515205383301</x:v>
      </x:c>
      <x:c r="BB93" s="60" t="n">
        <x:v>64.65617065429687</x:v>
      </x:c>
      <x:c r="BC93" s="60" t="n">
        <x:v>64.91645965576171</x:v>
      </x:c>
      <x:c r="BD93" s="60" t="n">
        <x:v>65.1768798828125</x:v>
      </x:c>
      <x:c r="BE93" s="60" t="n">
        <x:v>65.4146021270752</x:v>
      </x:c>
      <x:c r="BF93" s="60" t="n">
        <x:v>65.63683135986328</x:v>
      </x:c>
      <x:c r="BG93" s="60" t="n">
        <x:v>65.88149902343751</x:v>
      </x:c>
      <x:c r="BH93" s="60" t="n">
        <x:v>66.15319381713867</x:v>
      </x:c>
      <x:c r="BI93" s="60" t="n">
        <x:v>66.38650207519531</x:v>
      </x:c>
      <x:c r="BJ93" s="60" t="n">
        <x:v>66.65198516845703</x:v>
      </x:c>
      <x:c r="BK93" s="60" t="n">
        <x:v>66.91598190307617</x:v>
      </x:c>
      <x:c r="BL93" s="60" t="n">
        <x:v>67.14950057983398</x:v>
      </x:c>
      <x:c r="BM93" s="60" t="n">
        <x:v>67.40782279968262</x:v>
      </x:c>
      <x:c r="BN93" s="60" t="n">
        <x:v>67.65349426269532</x:v>
      </x:c>
      <x:c r="BO93" s="60" t="n">
        <x:v>67.93278991699219</x:v>
      </x:c>
      <x:c r="BP93" s="60" t="n">
        <x:v>68.20418823242187</x:v>
      </x:c>
      <x:c r="BQ93" s="60" t="n">
        <x:v>68.44337120056153</x:v>
      </x:c>
      <x:c r="BR93" s="60" t="n">
        <x:v>68.6612469482422</x:v>
      </x:c>
      <x:c r="BS93" s="60" t="n">
        <x:v>68.89550437927247</x:v>
      </x:c>
      <x:c r="BT93" s="60" t="n">
        <x:v>69.16492568969727</x:v>
      </x:c>
      <x:c r="BU93" s="60" t="n">
        <x:v>69.44301963806153</x:v>
      </x:c>
      <x:c r="BV93" s="60" t="n">
        <x:v>69.67458984375001</x:v>
      </x:c>
      <x:c r="BW93" s="60" t="n">
        <x:v>69.92309661865234</x:v>
      </x:c>
      <x:c r="BX93" s="60" t="n">
        <x:v>70.18759765625</x:v>
      </x:c>
      <x:c r="BY93" s="60" t="n">
        <x:v>70.4297413635254</x:v>
      </x:c>
      <x:c r="BZ93" s="60" t="n">
        <x:v>70.67902709960937</x:v>
      </x:c>
      <x:c r="CA93" s="60" t="n">
        <x:v>70.92565635681153</x:v>
      </x:c>
      <x:c r="CB93" s="60" t="n">
        <x:v>71.19154205322266</x:v>
      </x:c>
      <x:c r="CC93" s="60" t="n">
        <x:v>71.40471267700195</x:v>
      </x:c>
      <x:c r="CD93" s="60" t="n">
        <x:v>71.67153533935547</x:v>
      </x:c>
      <x:c r="CE93" s="60" t="n">
        <x:v>71.93982490539551</x:v>
      </x:c>
      <x:c r="CF93" s="60" t="n">
        <x:v>72.23995483398437</x:v>
      </x:c>
      <x:c r="CG93" s="60" t="n">
        <x:v>72.48085411071777</x:v>
      </x:c>
      <x:c r="CH93" s="60" t="n">
        <x:v>72.75938415527344</x:v>
      </x:c>
      <x:c r="CI93" s="60" t="n">
        <x:v>73.06122848510742</x:v>
      </x:c>
      <x:c r="CJ93" s="60" t="n">
        <x:v>73.34012023925781</x:v>
      </x:c>
      <x:c r="CK93" s="60" t="n">
        <x:v>73.69865173339844</x:v>
      </x:c>
      <x:c r="CL93" s="60" t="n">
        <x:v>74.0227407836914</x:v>
      </x:c>
      <x:c r="CM93" s="60" t="n">
        <x:v>74.33906631469726</x:v>
      </x:c>
      <x:c r="CN93" s="60" t="n">
        <x:v>74.6943180847168</x:v>
      </x:c>
      <x:c r="CO93" s="60" t="n">
        <x:v>75.07234390258789</x:v>
      </x:c>
      <x:c r="CP93" s="60" t="n">
        <x:v>75.44162445068359</x:v>
      </x:c>
      <x:c r="CQ93" s="60" t="n">
        <x:v>75.76125885009766</x:v>
      </x:c>
      <x:c r="CR93" s="60" t="n">
        <x:v>76.1447624206543</x:v>
      </x:c>
      <x:c r="CS93" s="60" t="n">
        <x:v>76.57229370117187</x:v>
      </x:c>
      <x:c r="CT93" s="60" t="n">
        <x:v>76.98409393310547</x:v>
      </x:c>
      <x:c r="CU93" s="60" t="n">
        <x:v>77.45248161315918</x:v>
      </x:c>
      <x:c r="CV93" s="60" t="n">
        <x:v>78.02868789672851</x:v>
      </x:c>
      <x:c r="CW93" s="60" t="n">
        <x:v>78.57720718383791</x:v>
      </x:c>
      <x:c r="CX93" s="60" t="n">
        <x:v>79.21881958007812</x:v>
      </x:c>
      <x:c r="CY93" s="60" t="n">
        <x:v>79.96342727661133</x:v>
      </x:c>
      <x:c r="CZ93" s="60" t="n">
        <x:v>80.86581756591796</x:v>
      </x:c>
      <x:c r="DA93" s="60" t="n">
        <x:v>82.1259432220459</x:v>
      </x:c>
      <x:c r="DB93" s="60" t="n">
        <x:v>87.92544555664062</x:v>
      </x:c>
    </x:row>
    <x:row r="94">
      <x:c r="A94" t="str">
        <x:v>モルペコ-1</x:v>
      </x:c>
      <x:c r="B94" t="str">
        <x:v>モルペコ</x:v>
      </x:c>
      <x:c r="C94" t="str">
        <x:v>共通</x:v>
      </x:c>
      <x:c r="D94" s="60" t="n">
        <x:v>62.16397476196289</x:v>
      </x:c>
      <x:c r="E94" s="60" t="n">
        <x:v>8.582138061523438</x:v>
      </x:c>
      <x:c r="F94" s="60" t="n">
        <x:v>33.1494140625</x:v>
      </x:c>
      <x:c r="G94" s="60" t="n">
        <x:v>41.35964496612549</x:v>
      </x:c>
      <x:c r="H94" s="60" t="n">
        <x:v>43.52211280822754</x:v>
      </x:c>
      <x:c r="I94" s="60" t="n">
        <x:v>45.0132373046875</x:v>
      </x:c>
      <x:c r="J94" s="60" t="n">
        <x:v>46.24233520507813</x:v>
      </x:c>
      <x:c r="K94" s="60" t="n">
        <x:v>47.17559700012207</x:v>
      </x:c>
      <x:c r="L94" s="60" t="n">
        <x:v>48.00831748962403</x:v>
      </x:c>
      <x:c r="M94" s="60" t="n">
        <x:v>48.69236763000488</x:v>
      </x:c>
      <x:c r="N94" s="60" t="n">
        <x:v>49.375235900878906</x:v>
      </x:c>
      <x:c r="O94" s="60" t="n">
        <x:v>49.99569477081299</x:v>
      </x:c>
      <x:c r="P94" s="60" t="n">
        <x:v>50.54477500915527</x:v>
      </x:c>
      <x:c r="Q94" s="60" t="n">
        <x:v>51.02774871826172</x:v>
      </x:c>
      <x:c r="R94" s="60" t="n">
        <x:v>51.51690658569336</x:v>
      </x:c>
      <x:c r="S94" s="60" t="n">
        <x:v>52.00243190765381</x:v>
      </x:c>
      <x:c r="T94" s="60" t="n">
        <x:v>52.43923774719239</x:v>
      </x:c>
      <x:c r="U94" s="60" t="n">
        <x:v>52.84966640472412</x:v>
      </x:c>
      <x:c r="V94" s="60" t="n">
        <x:v>53.2295573425293</x:v>
      </x:c>
      <x:c r="W94" s="60" t="n">
        <x:v>53.58937717437745</x:v>
      </x:c>
      <x:c r="X94" s="60" t="n">
        <x:v>53.93264678955078</x:v>
      </x:c>
      <x:c r="Y94" s="60" t="n">
        <x:v>54.29376895904541</x:v>
      </x:c>
      <x:c r="Z94" s="60" t="n">
        <x:v>54.66426315307617</x:v>
      </x:c>
      <x:c r="AA94" s="60" t="n">
        <x:v>55.02948421478271</x:v>
      </x:c>
      <x:c r="AB94" s="60" t="n">
        <x:v>55.346042709350584</x:v>
      </x:c>
      <x:c r="AC94" s="60" t="n">
        <x:v>55.67108425140381</x:v>
      </x:c>
      <x:c r="AD94" s="60" t="n">
        <x:v>55.995865936279294</x:v>
      </x:c>
      <x:c r="AE94" s="60" t="n">
        <x:v>56.31814002990723</x:v>
      </x:c>
      <x:c r="AF94" s="60" t="n">
        <x:v>56.62127838134766</x:v>
      </x:c>
      <x:c r="AG94" s="60" t="n">
        <x:v>56.91626968383789</x:v>
      </x:c>
      <x:c r="AH94" s="60" t="n">
        <x:v>57.20626190185547</x:v>
      </x:c>
      <x:c r="AI94" s="60" t="n">
        <x:v>57.50080787658691</x:v>
      </x:c>
      <x:c r="AJ94" s="60" t="n">
        <x:v>57.76754455566406</x:v>
      </x:c>
      <x:c r="AK94" s="60" t="n">
        <x:v>58.05997543334961</x:v>
      </x:c>
      <x:c r="AL94" s="60" t="n">
        <x:v>58.35523086547852</x:v>
      </x:c>
      <x:c r="AM94" s="60" t="n">
        <x:v>58.611466064453126</x:v>
      </x:c>
      <x:c r="AN94" s="60" t="n">
        <x:v>58.85695640563965</x:v>
      </x:c>
      <x:c r="AO94" s="60" t="n">
        <x:v>59.11176242828369</x:v>
      </x:c>
      <x:c r="AP94" s="60" t="n">
        <x:v>59.33989685058594</x:v>
      </x:c>
      <x:c r="AQ94" s="60" t="n">
        <x:v>59.629109420776366</x:v>
      </x:c>
      <x:c r="AR94" s="60" t="n">
        <x:v>59.85915153503418</x:v>
      </x:c>
      <x:c r="AS94" s="60" t="n">
        <x:v>60.12839809417725</x:v>
      </x:c>
      <x:c r="AT94" s="60" t="n">
        <x:v>60.370610046386716</x:v>
      </x:c>
      <x:c r="AU94" s="60" t="n">
        <x:v>60.61923892974853</x:v>
      </x:c>
      <x:c r="AV94" s="60" t="n">
        <x:v>60.88045425415039</x:v>
      </x:c>
      <x:c r="AW94" s="60" t="n">
        <x:v>61.13380657196045</x:v>
      </x:c>
      <x:c r="AX94" s="60" t="n">
        <x:v>61.367608795166014</x:v>
      </x:c>
      <x:c r="AY94" s="60" t="n">
        <x:v>61.59128246307373</x:v>
      </x:c>
      <x:c r="AZ94" s="60" t="n">
        <x:v>61.82475357055664</x:v>
      </x:c>
      <x:c r="BA94" s="60" t="n">
        <x:v>62.039581031799315</x:v>
      </x:c>
      <x:c r="BB94" s="60" t="n">
        <x:v>62.25685928344726</x:v>
      </x:c>
      <x:c r="BC94" s="60" t="n">
        <x:v>62.4731547164917</x:v>
      </x:c>
      <x:c r="BD94" s="60" t="n">
        <x:v>62.69780921936035</x:v>
      </x:c>
      <x:c r="BE94" s="60" t="n">
        <x:v>62.92671642303467</x:v>
      </x:c>
      <x:c r="BF94" s="60" t="n">
        <x:v>63.14725189208984</x:v>
      </x:c>
      <x:c r="BG94" s="60" t="n">
        <x:v>63.3857419204712</x:v>
      </x:c>
      <x:c r="BH94" s="60" t="n">
        <x:v>63.62863357543945</x:v>
      </x:c>
      <x:c r="BI94" s="60" t="n">
        <x:v>63.85232238769531</x:v>
      </x:c>
      <x:c r="BJ94" s="60" t="n">
        <x:v>64.06198364257813</x:v>
      </x:c>
      <x:c r="BK94" s="60" t="n">
        <x:v>64.2722647857666</x:v>
      </x:c>
      <x:c r="BL94" s="60" t="n">
        <x:v>64.50838241577148</x:v>
      </x:c>
      <x:c r="BM94" s="60" t="n">
        <x:v>64.73668159484863</x:v>
      </x:c>
      <x:c r="BN94" s="60" t="n">
        <x:v>64.96435089111328</x:v>
      </x:c>
      <x:c r="BO94" s="60" t="n">
        <x:v>65.21806930541992</x:v>
      </x:c>
      <x:c r="BP94" s="60" t="n">
        <x:v>65.45312057495117</x:v>
      </x:c>
      <x:c r="BQ94" s="60" t="n">
        <x:v>65.66185302734375</x:v>
      </x:c>
      <x:c r="BR94" s="60" t="n">
        <x:v>65.8941162109375</x:v>
      </x:c>
      <x:c r="BS94" s="60" t="n">
        <x:v>66.10853118896485</x:v>
      </x:c>
      <x:c r="BT94" s="60" t="n">
        <x:v>66.34359970092774</x:v>
      </x:c>
      <x:c r="BU94" s="60" t="n">
        <x:v>66.57969131469727</x:v>
      </x:c>
      <x:c r="BV94" s="60" t="n">
        <x:v>66.81593017578125</x:v>
      </x:c>
      <x:c r="BW94" s="60" t="n">
        <x:v>67.03560028076171</x:v>
      </x:c>
      <x:c r="BX94" s="60" t="n">
        <x:v>67.28425903320313</x:v>
      </x:c>
      <x:c r="BY94" s="60" t="n">
        <x:v>67.5272841644287</x:v>
      </x:c>
      <x:c r="BZ94" s="60" t="n">
        <x:v>67.7601821899414</x:v>
      </x:c>
      <x:c r="CA94" s="60" t="n">
        <x:v>67.99020629882813</x:v>
      </x:c>
      <x:c r="CB94" s="60" t="n">
        <x:v>68.21819213867188</x:v>
      </x:c>
      <x:c r="CC94" s="60" t="n">
        <x:v>68.4372787475586</x:v>
      </x:c>
      <x:c r="CD94" s="60" t="n">
        <x:v>68.673095703125</x:v>
      </x:c>
      <x:c r="CE94" s="60" t="n">
        <x:v>68.94110633850097</x:v>
      </x:c>
      <x:c r="CF94" s="60" t="n">
        <x:v>69.2328305053711</x:v>
      </x:c>
      <x:c r="CG94" s="60" t="n">
        <x:v>69.49090538024903</x:v>
      </x:c>
      <x:c r="CH94" s="60" t="n">
        <x:v>69.733642578125</x:v>
      </x:c>
      <x:c r="CI94" s="60" t="n">
        <x:v>70.01790275573731</x:v>
      </x:c>
      <x:c r="CJ94" s="60" t="n">
        <x:v>70.30882934570313</x:v>
      </x:c>
      <x:c r="CK94" s="60" t="n">
        <x:v>70.61236152648925</x:v>
      </x:c>
      <x:c r="CL94" s="60" t="n">
        <x:v>70.91220703125</x:v>
      </x:c>
      <x:c r="CM94" s="60" t="n">
        <x:v>71.26620483398438</x:v>
      </x:c>
      <x:c r="CN94" s="60" t="n">
        <x:v>71.58280548095703</x:v>
      </x:c>
      <x:c r="CO94" s="60" t="n">
        <x:v>71.93297134399414</x:v>
      </x:c>
      <x:c r="CP94" s="60" t="n">
        <x:v>72.27693206787109</x:v>
      </x:c>
      <x:c r="CQ94" s="60" t="n">
        <x:v>72.64188697814942</x:v>
      </x:c>
      <x:c r="CR94" s="60" t="n">
        <x:v>73.03655319213867</x:v>
      </x:c>
      <x:c r="CS94" s="60" t="n">
        <x:v>73.47632369995117</x:v>
      </x:c>
      <x:c r="CT94" s="60" t="n">
        <x:v>73.89464385986328</x:v>
      </x:c>
      <x:c r="CU94" s="60" t="n">
        <x:v>74.31393829345703</x:v>
      </x:c>
      <x:c r="CV94" s="60" t="n">
        <x:v>74.84803070068361</x:v>
      </x:c>
      <x:c r="CW94" s="60" t="n">
        <x:v>75.42333183288575</x:v>
      </x:c>
      <x:c r="CX94" s="60" t="n">
        <x:v>76.06139678955078</x:v>
      </x:c>
      <x:c r="CY94" s="60" t="n">
        <x:v>76.83979049682617</x:v>
      </x:c>
      <x:c r="CZ94" s="60" t="n">
        <x:v>77.70134719848633</x:v>
      </x:c>
      <x:c r="DA94" s="60" t="n">
        <x:v>78.973565826416</x:v>
      </x:c>
      <x:c r="DB94" s="60" t="n">
        <x:v>85.19843292236328</x:v>
      </x:c>
    </x:row>
    <x:row r="95">
      <x:c r="A95" t="str">
        <x:v>リーフィア-1</x:v>
      </x:c>
      <x:c r="B95" t="str">
        <x:v>リーフィア</x:v>
      </x:c>
      <x:c r="C95" t="str">
        <x:v>共通</x:v>
      </x:c>
      <x:c r="D95" s="60" t="n">
        <x:v>62.13060760498047</x:v>
      </x:c>
      <x:c r="E95" s="60" t="n">
        <x:v>8.574910163879395</x:v>
      </x:c>
      <x:c r="F95" s="60" t="n">
        <x:v>33.21400833129883</x:v>
      </x:c>
      <x:c r="G95" s="60" t="n">
        <x:v>41.366171798706056</x:v>
      </x:c>
      <x:c r="H95" s="60" t="n">
        <x:v>43.487896041870115</x:v>
      </x:c>
      <x:c r="I95" s="60" t="n">
        <x:v>44.959159507751465</x:v>
      </x:c>
      <x:c r="J95" s="60" t="n">
        <x:v>46.17292144775391</x:v>
      </x:c>
      <x:c r="K95" s="60" t="n">
        <x:v>47.15843029022217</x:v>
      </x:c>
      <x:c r="L95" s="60" t="n">
        <x:v>47.992007675170896</x:v>
      </x:c>
      <x:c r="M95" s="60" t="n">
        <x:v>48.73625358581543</x:v>
      </x:c>
      <x:c r="N95" s="60" t="n">
        <x:v>49.40166473388672</x:v>
      </x:c>
      <x:c r="O95" s="60" t="n">
        <x:v>49.98962867736817</x:v>
      </x:c>
      <x:c r="P95" s="60" t="n">
        <x:v>50.49830093383789</x:v>
      </x:c>
      <x:c r="Q95" s="60" t="n">
        <x:v>51.00832023620605</x:v>
      </x:c>
      <x:c r="R95" s="60" t="n">
        <x:v>51.541141510009766</x:v>
      </x:c>
      <x:c r="S95" s="60" t="n">
        <x:v>51.99749153137207</x:v>
      </x:c>
      <x:c r="T95" s="60" t="n">
        <x:v>52.444639892578124</x:v>
      </x:c>
      <x:c r="U95" s="60" t="n">
        <x:v>52.84234466552734</x:v>
      </x:c>
      <x:c r="V95" s="60" t="n">
        <x:v>53.224274444580075</x:v>
      </x:c>
      <x:c r="W95" s="60" t="n">
        <x:v>53.5547290802002</x:v>
      </x:c>
      <x:c r="X95" s="60" t="n">
        <x:v>53.96902969360352</x:v>
      </x:c>
      <x:c r="Y95" s="60" t="n">
        <x:v>54.291753883361814</x:v>
      </x:c>
      <x:c r="Z95" s="60" t="n">
        <x:v>54.6528434753418</x:v>
      </x:c>
      <x:c r="AA95" s="60" t="n">
        <x:v>54.98173503875732</x:v>
      </x:c>
      <x:c r="AB95" s="60" t="n">
        <x:v>55.33925506591797</x:v>
      </x:c>
      <x:c r="AC95" s="60" t="n">
        <x:v>55.660098266601565</x:v>
      </x:c>
      <x:c r="AD95" s="60" t="n">
        <x:v>55.982635498046875</x:v>
      </x:c>
      <x:c r="AE95" s="60" t="n">
        <x:v>56.262654304504395</x:v>
      </x:c>
      <x:c r="AF95" s="60" t="n">
        <x:v>56.53667587280273</x:v>
      </x:c>
      <x:c r="AG95" s="60" t="n">
        <x:v>56.827499618530275</x:v>
      </x:c>
      <x:c r="AH95" s="60" t="n">
        <x:v>57.149415283203126</x:v>
      </x:c>
      <x:c r="AI95" s="60" t="n">
        <x:v>57.44549766540527</x:v>
      </x:c>
      <x:c r="AJ95" s="60" t="n">
        <x:v>57.6719409942627</x:v>
      </x:c>
      <x:c r="AK95" s="60" t="n">
        <x:v>57.97666805267334</x:v>
      </x:c>
      <x:c r="AL95" s="60" t="n">
        <x:v>58.278650512695314</x:v>
      </x:c>
      <x:c r="AM95" s="60" t="n">
        <x:v>58.54863124847412</x:v>
      </x:c>
      <x:c r="AN95" s="60" t="n">
        <x:v>58.81022102355957</x:v>
      </x:c>
      <x:c r="AO95" s="60" t="n">
        <x:v>59.08084983825684</x:v>
      </x:c>
      <x:c r="AP95" s="60" t="n">
        <x:v>59.33085067749023</x:v>
      </x:c>
      <x:c r="AQ95" s="60" t="n">
        <x:v>59.60000186920166</x:v>
      </x:c>
      <x:c r="AR95" s="60" t="n">
        <x:v>59.85032569885254</x:v>
      </x:c>
      <x:c r="AS95" s="60" t="n">
        <x:v>60.0945373916626</x:v>
      </x:c>
      <x:c r="AT95" s="60" t="n">
        <x:v>60.354095458984375</x:v>
      </x:c>
      <x:c r="AU95" s="60" t="n">
        <x:v>60.58528182983398</x:v>
      </x:c>
      <x:c r="AV95" s="60" t="n">
        <x:v>60.82374923706055</x:v>
      </x:c>
      <x:c r="AW95" s="60" t="n">
        <x:v>61.07913822174072</x:v>
      </x:c>
      <x:c r="AX95" s="60" t="n">
        <x:v>61.30844497680664</x:v>
      </x:c>
      <x:c r="AY95" s="60" t="n">
        <x:v>61.53511772155762</x:v>
      </x:c>
      <x:c r="AZ95" s="60" t="n">
        <x:v>61.776543884277345</x:v>
      </x:c>
      <x:c r="BA95" s="60" t="n">
        <x:v>62.00221405029297</x:v>
      </x:c>
      <x:c r="BB95" s="60" t="n">
        <x:v>62.210824432373045</x:v>
      </x:c>
      <x:c r="BC95" s="60" t="n">
        <x:v>62.45073249816895</x:v>
      </x:c>
      <x:c r="BD95" s="60" t="n">
        <x:v>62.66742134094238</x:v>
      </x:c>
      <x:c r="BE95" s="60" t="n">
        <x:v>62.91023792266846</x:v>
      </x:c>
      <x:c r="BF95" s="60" t="n">
        <x:v>63.11898345947266</x:v>
      </x:c>
      <x:c r="BG95" s="60" t="n">
        <x:v>63.356680412292484</x:v>
      </x:c>
      <x:c r="BH95" s="60" t="n">
        <x:v>63.59195190429688</x:v>
      </x:c>
      <x:c r="BI95" s="60" t="n">
        <x:v>63.8289478302002</x:v>
      </x:c>
      <x:c r="BJ95" s="60" t="n">
        <x:v>64.055771484375</x:v>
      </x:c>
      <x:c r="BK95" s="60" t="n">
        <x:v>64.27353981018067</x:v>
      </x:c>
      <x:c r="BL95" s="60" t="n">
        <x:v>64.48732513427734</x:v>
      </x:c>
      <x:c r="BM95" s="60" t="n">
        <x:v>64.74124359130859</x:v>
      </x:c>
      <x:c r="BN95" s="60" t="n">
        <x:v>64.93404846191406</x:v>
      </x:c>
      <x:c r="BO95" s="60" t="n">
        <x:v>65.16186286926269</x:v>
      </x:c>
      <x:c r="BP95" s="60" t="n">
        <x:v>65.37494979858398</x:v>
      </x:c>
      <x:c r="BQ95" s="60" t="n">
        <x:v>65.59391807556152</x:v>
      </x:c>
      <x:c r="BR95" s="60" t="n">
        <x:v>65.83713012695313</x:v>
      </x:c>
      <x:c r="BS95" s="60" t="n">
        <x:v>66.06701049804687</x:v>
      </x:c>
      <x:c r="BT95" s="60" t="n">
        <x:v>66.28779281616211</x:v>
      </x:c>
      <x:c r="BU95" s="60" t="n">
        <x:v>66.53978828430176</x:v>
      </x:c>
      <x:c r="BV95" s="60" t="n">
        <x:v>66.78009765625</x:v>
      </x:c>
      <x:c r="BW95" s="60" t="n">
        <x:v>67.00841316223145</x:v>
      </x:c>
      <x:c r="BX95" s="60" t="n">
        <x:v>67.24252090454102</x:v>
      </x:c>
      <x:c r="BY95" s="60" t="n">
        <x:v>67.4919538116455</x:v>
      </x:c>
      <x:c r="BZ95" s="60" t="n">
        <x:v>67.71256378173828</x:v>
      </x:c>
      <x:c r="CA95" s="60" t="n">
        <x:v>67.95098625183105</x:v>
      </x:c>
      <x:c r="CB95" s="60" t="n">
        <x:v>68.18243865966797</x:v>
      </x:c>
      <x:c r="CC95" s="60" t="n">
        <x:v>68.4343204498291</x:v>
      </x:c>
      <x:c r="CD95" s="60" t="n">
        <x:v>68.67566833496093</x:v>
      </x:c>
      <x:c r="CE95" s="60" t="n">
        <x:v>68.93128555297851</x:v>
      </x:c>
      <x:c r="CF95" s="60" t="n">
        <x:v>69.1852717590332</x:v>
      </x:c>
      <x:c r="CG95" s="60" t="n">
        <x:v>69.45713363647461</x:v>
      </x:c>
      <x:c r="CH95" s="60" t="n">
        <x:v>69.73004760742188</x:v>
      </x:c>
      <x:c r="CI95" s="60" t="n">
        <x:v>70.0087287902832</x:v>
      </x:c>
      <x:c r="CJ95" s="60" t="n">
        <x:v>70.30594909667968</x:v>
      </x:c>
      <x:c r="CK95" s="60" t="n">
        <x:v>70.57969749450685</x:v>
      </x:c>
      <x:c r="CL95" s="60" t="n">
        <x:v>70.87348602294922</x:v>
      </x:c>
      <x:c r="CM95" s="60" t="n">
        <x:v>71.18961372375487</x:v>
      </x:c>
      <x:c r="CN95" s="60" t="n">
        <x:v>71.54259292602539</x:v>
      </x:c>
      <x:c r="CO95" s="60" t="n">
        <x:v>71.82835678100587</x:v>
      </x:c>
      <x:c r="CP95" s="60" t="n">
        <x:v>72.21099243164062</x:v>
      </x:c>
      <x:c r="CQ95" s="60" t="n">
        <x:v>72.58209579467774</x:v>
      </x:c>
      <x:c r="CR95" s="60" t="n">
        <x:v>72.9922866821289</x:v>
      </x:c>
      <x:c r="CS95" s="60" t="n">
        <x:v>73.40851913452148</x:v>
      </x:c>
      <x:c r="CT95" s="60" t="n">
        <x:v>73.8603857421875</x:v>
      </x:c>
      <x:c r="CU95" s="60" t="n">
        <x:v>74.33633995056152</x:v>
      </x:c>
      <x:c r="CV95" s="60" t="n">
        <x:v>74.87031265258788</x:v>
      </x:c>
      <x:c r="CW95" s="60" t="n">
        <x:v>75.39361495971681</x:v>
      </x:c>
      <x:c r="CX95" s="60" t="n">
        <x:v>76.09585815429688</x:v>
      </x:c>
      <x:c r="CY95" s="60" t="n">
        <x:v>76.83784851074219</x:v>
      </x:c>
      <x:c r="CZ95" s="60" t="n">
        <x:v>77.65434799194335</x:v>
      </x:c>
      <x:c r="DA95" s="60" t="n">
        <x:v>78.93755851745604</x:v>
      </x:c>
      <x:c r="DB95" s="60" t="n">
        <x:v>85.35387420654297</x:v>
      </x:c>
    </x:row>
    <x:row r="96">
      <x:c r="A96" t="str">
        <x:v>イワパレス-1</x:v>
      </x:c>
      <x:c r="B96" t="str">
        <x:v>イワパレス</x:v>
      </x:c>
      <x:c r="C96" t="str">
        <x:v>がんせきふうじ</x:v>
      </x:c>
      <x:c r="D96" s="60" t="n">
        <x:v>64.23802947998047</x:v>
      </x:c>
      <x:c r="E96" s="60" t="n">
        <x:v>5.879364967346191</x:v>
      </x:c>
      <x:c r="F96" s="60" t="n">
        <x:v>42.874935150146484</x:v>
      </x:c>
      <x:c r="G96" s="60" t="n">
        <x:v>48.801050643920895</x:v>
      </x:c>
      <x:c r="H96" s="60" t="n">
        <x:v>50.6057251739502</x:v>
      </x:c>
      <x:c r="I96" s="60" t="n">
        <x:v>51.924903068542484</x:v>
      </x:c>
      <x:c r="J96" s="60" t="n">
        <x:v>52.84027053833008</x:v>
      </x:c>
      <x:c r="K96" s="60" t="n">
        <x:v>53.58982105255127</x:v>
      </x:c>
      <x:c r="L96" s="60" t="n">
        <x:v>54.17849349975586</x:v>
      </x:c>
      <x:c r="M96" s="60" t="n">
        <x:v>54.76092144012451</x:v>
      </x:c>
      <x:c r="N96" s="60" t="n">
        <x:v>55.25069595336914</x:v>
      </x:c>
      <x:c r="O96" s="60" t="n">
        <x:v>55.70036918640137</x:v>
      </x:c>
      <x:c r="P96" s="60" t="n">
        <x:v>56.14905624389648</x:v>
      </x:c>
      <x:c r="Q96" s="60" t="n">
        <x:v>56.513981590270994</x:v>
      </x:c>
      <x:c r="R96" s="60" t="n">
        <x:v>56.881110992431644</x:v>
      </x:c>
      <x:c r="S96" s="60" t="n">
        <x:v>57.218114128112795</x:v>
      </x:c>
      <x:c r="T96" s="60" t="n">
        <x:v>57.55080696105957</x:v>
      </x:c>
      <x:c r="U96" s="60" t="n">
        <x:v>57.886457443237305</x:v>
      </x:c>
      <x:c r="V96" s="60" t="n">
        <x:v>58.18021697998047</x:v>
      </x:c>
      <x:c r="W96" s="60" t="n">
        <x:v>58.459076499938966</x:v>
      </x:c>
      <x:c r="X96" s="60" t="n">
        <x:v>58.73303466796875</x:v>
      </x:c>
      <x:c r="Y96" s="60" t="n">
        <x:v>59.00299919128418</x:v>
      </x:c>
      <x:c r="Z96" s="60" t="n">
        <x:v>59.2405517578125</x:v>
      </x:c>
      <x:c r="AA96" s="60" t="n">
        <x:v>59.49904697418213</x:v>
      </x:c>
      <x:c r="AB96" s="60" t="n">
        <x:v>59.74819328308106</x:v>
      </x:c>
      <x:c r="AC96" s="60" t="n">
        <x:v>59.98047492980957</x:v>
      </x:c>
      <x:c r="AD96" s="60" t="n">
        <x:v>60.2076496887207</x:v>
      </x:c>
      <x:c r="AE96" s="60" t="n">
        <x:v>60.447959899902344</x:v>
      </x:c>
      <x:c r="AF96" s="60" t="n">
        <x:v>60.6903288269043</x:v>
      </x:c>
      <x:c r="AG96" s="60" t="n">
        <x:v>60.90896305084229</x:v>
      </x:c>
      <x:c r="AH96" s="60" t="n">
        <x:v>61.086216583251954</x:v>
      </x:c>
      <x:c r="AI96" s="60" t="n">
        <x:v>61.281028785705566</x:v>
      </x:c>
      <x:c r="AJ96" s="60" t="n">
        <x:v>61.46166877746582</x:v>
      </x:c>
      <x:c r="AK96" s="60" t="n">
        <x:v>61.6696968460083</x:v>
      </x:c>
      <x:c r="AL96" s="60" t="n">
        <x:v>61.8543115234375</x:v>
      </x:c>
      <x:c r="AM96" s="60" t="n">
        <x:v>62.04213897705078</x:v>
      </x:c>
      <x:c r="AN96" s="60" t="n">
        <x:v>62.22445167541504</x:v>
      </x:c>
      <x:c r="AO96" s="60" t="n">
        <x:v>62.41229057312012</x:v>
      </x:c>
      <x:c r="AP96" s="60" t="n">
        <x:v>62.57450424194336</x:v>
      </x:c>
      <x:c r="AQ96" s="60" t="n">
        <x:v>62.747847404479984</x:v>
      </x:c>
      <x:c r="AR96" s="60" t="n">
        <x:v>62.89771125793457</x:v>
      </x:c>
      <x:c r="AS96" s="60" t="n">
        <x:v>63.081265983581545</x:v>
      </x:c>
      <x:c r="AT96" s="60" t="n">
        <x:v>63.23209457397461</x:v>
      </x:c>
      <x:c r="AU96" s="60" t="n">
        <x:v>63.414165573120115</x:v>
      </x:c>
      <x:c r="AV96" s="60" t="n">
        <x:v>63.58517211914062</x:v>
      </x:c>
      <x:c r="AW96" s="60" t="n">
        <x:v>63.73782936096191</x:v>
      </x:c>
      <x:c r="AX96" s="60" t="n">
        <x:v>63.915357208251955</x:v>
      </x:c>
      <x:c r="AY96" s="60" t="n">
        <x:v>64.07062759399415</x:v>
      </x:c>
      <x:c r="AZ96" s="60" t="n">
        <x:v>64.23229629516602</x:v>
      </x:c>
      <x:c r="BA96" s="60" t="n">
        <x:v>64.38078063964844</x:v>
      </x:c>
      <x:c r="BB96" s="60" t="n">
        <x:v>64.52349578857422</x:v>
      </x:c>
      <x:c r="BC96" s="60" t="n">
        <x:v>64.67048110961915</x:v>
      </x:c>
      <x:c r="BD96" s="60" t="n">
        <x:v>64.81019973754883</x:v>
      </x:c>
      <x:c r="BE96" s="60" t="n">
        <x:v>64.96809371948243</x:v>
      </x:c>
      <x:c r="BF96" s="60" t="n">
        <x:v>65.13758392333985</x:v>
      </x:c>
      <x:c r="BG96" s="60" t="n">
        <x:v>65.28717231750488</x:v>
      </x:c>
      <x:c r="BH96" s="60" t="n">
        <x:v>65.43541412353515</x:v>
      </x:c>
      <x:c r="BI96" s="60" t="n">
        <x:v>65.59909706115722</x:v>
      </x:c>
      <x:c r="BJ96" s="60" t="n">
        <x:v>65.73790557861328</x:v>
      </x:c>
      <x:c r="BK96" s="60" t="n">
        <x:v>65.89020874023439</x:v>
      </x:c>
      <x:c r="BL96" s="60" t="n">
        <x:v>66.02689956665039</x:v>
      </x:c>
      <x:c r="BM96" s="60" t="n">
        <x:v>66.18310089111328</x:v>
      </x:c>
      <x:c r="BN96" s="60" t="n">
        <x:v>66.33950653076172</x:v>
      </x:c>
      <x:c r="BO96" s="60" t="n">
        <x:v>66.49676048278809</x:v>
      </x:c>
      <x:c r="BP96" s="60" t="n">
        <x:v>66.64142517089843</x:v>
      </x:c>
      <x:c r="BQ96" s="60" t="n">
        <x:v>66.79575912475586</x:v>
      </x:c>
      <x:c r="BR96" s="60" t="n">
        <x:v>66.96773498535157</x:v>
      </x:c>
      <x:c r="BS96" s="60" t="n">
        <x:v>67.14483451843262</x:v>
      </x:c>
      <x:c r="BT96" s="60" t="n">
        <x:v>67.29139038085937</x:v>
      </x:c>
      <x:c r="BU96" s="60" t="n">
        <x:v>67.43553840637207</x:v>
      </x:c>
      <x:c r="BV96" s="60" t="n">
        <x:v>67.58352111816406</x:v>
      </x:c>
      <x:c r="BW96" s="60" t="n">
        <x:v>67.73166801452636</x:v>
      </x:c>
      <x:c r="BX96" s="60" t="n">
        <x:v>67.89095001220703</x:v>
      </x:c>
      <x:c r="BY96" s="60" t="n">
        <x:v>68.04260292053223</x:v>
      </x:c>
      <x:c r="BZ96" s="60" t="n">
        <x:v>68.19170562744141</x:v>
      </x:c>
      <x:c r="CA96" s="60" t="n">
        <x:v>68.3521248626709</x:v>
      </x:c>
      <x:c r="CB96" s="60" t="n">
        <x:v>68.51166030883789</x:v>
      </x:c>
      <x:c r="CC96" s="60" t="n">
        <x:v>68.67523384094238</x:v>
      </x:c>
      <x:c r="CD96" s="60" t="n">
        <x:v>68.84018493652344</x:v>
      </x:c>
      <x:c r="CE96" s="60" t="n">
        <x:v>69.0305484008789</x:v>
      </x:c>
      <x:c r="CF96" s="60" t="n">
        <x:v>69.17326507568359</x:v>
      </x:c>
      <x:c r="CG96" s="60" t="n">
        <x:v>69.32150398254394</x:v>
      </x:c>
      <x:c r="CH96" s="60" t="n">
        <x:v>69.50824584960938</x:v>
      </x:c>
      <x:c r="CI96" s="60" t="n">
        <x:v>69.68440055847168</x:v>
      </x:c>
      <x:c r="CJ96" s="60" t="n">
        <x:v>69.85459274291992</x:v>
      </x:c>
      <x:c r="CK96" s="60" t="n">
        <x:v>70.04404052734375</x:v>
      </x:c>
      <x:c r="CL96" s="60" t="n">
        <x:v>70.21617126464844</x:v>
      </x:c>
      <x:c r="CM96" s="60" t="n">
        <x:v>70.38475875854492</x:v>
      </x:c>
      <x:c r="CN96" s="60" t="n">
        <x:v>70.58278457641602</x:v>
      </x:c>
      <x:c r="CO96" s="60" t="n">
        <x:v>70.81163963317871</x:v>
      </x:c>
      <x:c r="CP96" s="60" t="n">
        <x:v>71.02504821777343</x:v>
      </x:c>
      <x:c r="CQ96" s="60" t="n">
        <x:v>71.26556594848633</x:v>
      </x:c>
      <x:c r="CR96" s="60" t="n">
        <x:v>71.4691650390625</x:v>
      </x:c>
      <x:c r="CS96" s="60" t="n">
        <x:v>71.68551895141601</x:v>
      </x:c>
      <x:c r="CT96" s="60" t="n">
        <x:v>71.98181732177734</x:v>
      </x:c>
      <x:c r="CU96" s="60" t="n">
        <x:v>72.21838508605957</x:v>
      </x:c>
      <x:c r="CV96" s="60" t="n">
        <x:v>72.48920196533203</x:v>
      </x:c>
      <x:c r="CW96" s="60" t="n">
        <x:v>72.81397781372071</x:v>
      </x:c>
      <x:c r="CX96" s="60" t="n">
        <x:v>73.14485931396484</x:v>
      </x:c>
      <x:c r="CY96" s="60" t="n">
        <x:v>73.53524024963379</x:v>
      </x:c>
      <x:c r="CZ96" s="60" t="n">
        <x:v>74.03744506835938</x:v>
      </x:c>
      <x:c r="DA96" s="60" t="n">
        <x:v>74.70940185546874</x:v>
      </x:c>
      <x:c r="DB96" s="60" t="n">
        <x:v>77.31443786621094</x:v>
      </x:c>
    </x:row>
    <x:row r="97">
      <x:c r="A97" t="str">
        <x:v>イワパレス-2</x:v>
      </x:c>
      <x:c r="B97" t="str">
        <x:v>イワパレス</x:v>
      </x:c>
      <x:c r="C97" t="str">
        <x:v>からをやぶる</x:v>
      </x:c>
      <x:c r="D97" s="60" t="n">
        <x:v>66.579833984375</x:v>
      </x:c>
      <x:c r="E97" s="60" t="n">
        <x:v>10.087023735046387</x:v>
      </x:c>
      <x:c r="F97" s="60" t="n">
        <x:v>31.038330078125</x:v>
      </x:c>
      <x:c r="G97" s="60" t="n">
        <x:v>40.290360641479495</x:v>
      </x:c>
      <x:c r="H97" s="60" t="n">
        <x:v>43.354800109863284</x:v>
      </x:c>
      <x:c r="I97" s="60" t="n">
        <x:v>45.35364940643311</x:v>
      </x:c>
      <x:c r="J97" s="60" t="n">
        <x:v>47.005354766845706</x:v>
      </x:c>
      <x:c r="K97" s="60" t="n">
        <x:v>48.08707046508789</x:v>
      </x:c>
      <x:c r="L97" s="60" t="n">
        <x:v>49.24513481140137</x:v>
      </x:c>
      <x:c r="M97" s="60" t="n">
        <x:v>50.315027770996096</x:v>
      </x:c>
      <x:c r="N97" s="60" t="n">
        <x:v>51.14374801635742</x:v>
      </x:c>
      <x:c r="O97" s="60" t="n">
        <x:v>51.908856544494625</x:v>
      </x:c>
      <x:c r="P97" s="60" t="n">
        <x:v>52.587768936157225</x:v>
      </x:c>
      <x:c r="Q97" s="60" t="n">
        <x:v>53.316318092346194</x:v>
      </x:c>
      <x:c r="R97" s="60" t="n">
        <x:v>53.939188385009764</x:v>
      </x:c>
      <x:c r="S97" s="60" t="n">
        <x:v>54.47071147918701</x:v>
      </x:c>
      <x:c r="T97" s="60" t="n">
        <x:v>55.06367851257324</x:v>
      </x:c>
      <x:c r="U97" s="60" t="n">
        <x:v>55.57524147033691</x:v>
      </x:c>
      <x:c r="V97" s="60" t="n">
        <x:v>56.0539973449707</x:v>
      </x:c>
      <x:c r="W97" s="60" t="n">
        <x:v>56.55680347442627</x:v>
      </x:c>
      <x:c r="X97" s="60" t="n">
        <x:v>57.06506301879883</x:v>
      </x:c>
      <x:c r="Y97" s="60" t="n">
        <x:v>57.46429557800293</x:v>
      </x:c>
      <x:c r="Z97" s="60" t="n">
        <x:v>57.89146118164062</x:v>
      </x:c>
      <x:c r="AA97" s="60" t="n">
        <x:v>58.30404022216797</x:v>
      </x:c>
      <x:c r="AB97" s="60" t="n">
        <x:v>58.674789657592775</x:v>
      </x:c>
      <x:c r="AC97" s="60" t="n">
        <x:v>59.03897850036621</x:v>
      </x:c>
      <x:c r="AD97" s="60" t="n">
        <x:v>59.46647888183594</x:v>
      </x:c>
      <x:c r="AE97" s="60" t="n">
        <x:v>59.87826728820801</x:v>
      </x:c>
      <x:c r="AF97" s="60" t="n">
        <x:v>60.28282699584961</x:v>
      </x:c>
      <x:c r="AG97" s="60" t="n">
        <x:v>60.66010200500488</x:v>
      </x:c>
      <x:c r="AH97" s="60" t="n">
        <x:v>60.99422622680664</x:v>
      </x:c>
      <x:c r="AI97" s="60" t="n">
        <x:v>61.36649639129639</x:v>
      </x:c>
      <x:c r="AJ97" s="60" t="n">
        <x:v>61.712935256958005</x:v>
      </x:c>
      <x:c r="AK97" s="60" t="n">
        <x:v>62.04539024353027</x:v>
      </x:c>
      <x:c r="AL97" s="60" t="n">
        <x:v>62.37022964477539</x:v>
      </x:c>
      <x:c r="AM97" s="60" t="n">
        <x:v>62.72313903808594</x:v>
      </x:c>
      <x:c r="AN97" s="60" t="n">
        <x:v>63.06056076049805</x:v>
      </x:c>
      <x:c r="AO97" s="60" t="n">
        <x:v>63.419254302978516</x:v>
      </x:c>
      <x:c r="AP97" s="60" t="n">
        <x:v>63.72805618286133</x:v>
      </x:c>
      <x:c r="AQ97" s="60" t="n">
        <x:v>64.01033599853515</x:v>
      </x:c>
      <x:c r="AR97" s="60" t="n">
        <x:v>64.32145950317383</x:v>
      </x:c>
      <x:c r="AS97" s="60" t="n">
        <x:v>64.6270945739746</x:v>
      </x:c>
      <x:c r="AT97" s="60" t="n">
        <x:v>64.8955062866211</x:v>
      </x:c>
      <x:c r="AU97" s="60" t="n">
        <x:v>65.19843910217286</x:v>
      </x:c>
      <x:c r="AV97" s="60" t="n">
        <x:v>65.50404922485352</x:v>
      </x:c>
      <x:c r="AW97" s="60" t="n">
        <x:v>65.79187759399414</x:v>
      </x:c>
      <x:c r="AX97" s="60" t="n">
        <x:v>66.06499481201172</x:v>
      </x:c>
      <x:c r="AY97" s="60" t="n">
        <x:v>66.31947326660156</x:v>
      </x:c>
      <x:c r="AZ97" s="60" t="n">
        <x:v>66.58059188842773</x:v>
      </x:c>
      <x:c r="BA97" s="60" t="n">
        <x:v>66.8586929321289</x:v>
      </x:c>
      <x:c r="BB97" s="60" t="n">
        <x:v>67.16154724121094</x:v>
      </x:c>
      <x:c r="BC97" s="60" t="n">
        <x:v>67.41805381774903</x:v>
      </x:c>
      <x:c r="BD97" s="60" t="n">
        <x:v>67.73102188110352</x:v>
      </x:c>
      <x:c r="BE97" s="60" t="n">
        <x:v>67.99210716247559</x:v>
      </x:c>
      <x:c r="BF97" s="60" t="n">
        <x:v>68.25561279296875</x:v>
      </x:c>
      <x:c r="BG97" s="60" t="n">
        <x:v>68.52027763366699</x:v>
      </x:c>
      <x:c r="BH97" s="60" t="n">
        <x:v>68.75620559692383</x:v>
      </x:c>
      <x:c r="BI97" s="60" t="n">
        <x:v>69.03773574829101</x:v>
      </x:c>
      <x:c r="BJ97" s="60" t="n">
        <x:v>69.26447662353516</x:v>
      </x:c>
      <x:c r="BK97" s="60" t="n">
        <x:v>69.57329277038575</x:v>
      </x:c>
      <x:c r="BL97" s="60" t="n">
        <x:v>69.83732467651367</x:v>
      </x:c>
      <x:c r="BM97" s="60" t="n">
        <x:v>70.07750221252441</x:v>
      </x:c>
      <x:c r="BN97" s="60" t="n">
        <x:v>70.36788330078124</x:v>
      </x:c>
      <x:c r="BO97" s="60" t="n">
        <x:v>70.65432609558106</x:v>
      </x:c>
      <x:c r="BP97" s="60" t="n">
        <x:v>70.92521545410156</x:v>
      </x:c>
      <x:c r="BQ97" s="60" t="n">
        <x:v>71.18211654663087</x:v>
      </x:c>
      <x:c r="BR97" s="60" t="n">
        <x:v>71.41348754882813</x:v>
      </x:c>
      <x:c r="BS97" s="60" t="n">
        <x:v>71.70156974792481</x:v>
      </x:c>
      <x:c r="BT97" s="60" t="n">
        <x:v>71.94853363037109</x:v>
      </x:c>
      <x:c r="BU97" s="60" t="n">
        <x:v>72.23238555908203</x:v>
      </x:c>
      <x:c r="BV97" s="60" t="n">
        <x:v>72.48830657958985</x:v>
      </x:c>
      <x:c r="BW97" s="60" t="n">
        <x:v>72.74246299743652</x:v>
      </x:c>
      <x:c r="BX97" s="60" t="n">
        <x:v>72.99061279296875</x:v>
      </x:c>
      <x:c r="BY97" s="60" t="n">
        <x:v>73.2252365875244</x:v>
      </x:c>
      <x:c r="BZ97" s="60" t="n">
        <x:v>73.51248352050781</x:v>
      </x:c>
      <x:c r="CA97" s="60" t="n">
        <x:v>73.78873664855958</x:v>
      </x:c>
      <x:c r="CB97" s="60" t="n">
        <x:v>74.05994186401367</x:v>
      </x:c>
      <x:c r="CC97" s="60" t="n">
        <x:v>74.30842781066895</x:v>
      </x:c>
      <x:c r="CD97" s="60" t="n">
        <x:v>74.55735229492187</x:v>
      </x:c>
      <x:c r="CE97" s="60" t="n">
        <x:v>74.83241523742676</x:v>
      </x:c>
      <x:c r="CF97" s="60" t="n">
        <x:v>75.06434677124024</x:v>
      </x:c>
      <x:c r="CG97" s="60" t="n">
        <x:v>75.35880157470703</x:v>
      </x:c>
      <x:c r="CH97" s="60" t="n">
        <x:v>75.63720703125</x:v>
      </x:c>
      <x:c r="CI97" s="60" t="n">
        <x:v>75.87978515625</x:v>
      </x:c>
      <x:c r="CJ97" s="60" t="n">
        <x:v>76.2064045715332</x:v>
      </x:c>
      <x:c r="CK97" s="60" t="n">
        <x:v>76.5343096923828</x:v>
      </x:c>
      <x:c r="CL97" s="60" t="n">
        <x:v>76.83369812011719</x:v>
      </x:c>
      <x:c r="CM97" s="60" t="n">
        <x:v>77.13688735961914</x:v>
      </x:c>
      <x:c r="CN97" s="60" t="n">
        <x:v>77.41390609741211</x:v>
      </x:c>
      <x:c r="CO97" s="60" t="n">
        <x:v>77.78420127868652</x:v>
      </x:c>
      <x:c r="CP97" s="60" t="n">
        <x:v>78.13043670654297</x:v>
      </x:c>
      <x:c r="CQ97" s="60" t="n">
        <x:v>78.48428741455078</x:v>
      </x:c>
      <x:c r="CR97" s="60" t="n">
        <x:v>78.87986755371095</x:v>
      </x:c>
      <x:c r="CS97" s="60" t="n">
        <x:v>79.27507659912109</x:v>
      </x:c>
      <x:c r="CT97" s="60" t="n">
        <x:v>79.68954833984375</x:v>
      </x:c>
      <x:c r="CU97" s="60" t="n">
        <x:v>80.14350929260253</x:v>
      </x:c>
      <x:c r="CV97" s="60" t="n">
        <x:v>80.6400994873047</x:v>
      </x:c>
      <x:c r="CW97" s="60" t="n">
        <x:v>81.1543941497803</x:v>
      </x:c>
      <x:c r="CX97" s="60" t="n">
        <x:v>81.74103271484375</x:v>
      </x:c>
      <x:c r="CY97" s="60" t="n">
        <x:v>82.42773101806641</x:v>
      </x:c>
      <x:c r="CZ97" s="60" t="n">
        <x:v>83.17318252563477</x:v>
      </x:c>
      <x:c r="DA97" s="60" t="n">
        <x:v>84.33582054138184</x:v>
      </x:c>
      <x:c r="DB97" s="60" t="n">
        <x:v>87.78410339355469</x:v>
      </x:c>
    </x:row>
    <x:row r="98">
      <x:c r="A98" t="str">
        <x:v>オーロット-1</x:v>
      </x:c>
      <x:c r="B98" t="str">
        <x:v>オーロット</x:v>
      </x:c>
      <x:c r="C98" t="str">
        <x:v>ウッドハンマー</x:v>
      </x:c>
      <x:c r="D98" s="60" t="n">
        <x:v>63.728675842285156</x:v>
      </x:c>
      <x:c r="E98" s="60" t="n">
        <x:v>5.353593349456787</x:v>
      </x:c>
      <x:c r="F98" s="60" t="n">
        <x:v>42.70460891723633</x:v>
      </x:c>
      <x:c r="G98" s="60" t="n">
        <x:v>49.9607536315918</x:v>
      </x:c>
      <x:c r="H98" s="60" t="n">
        <x:v>51.634530563354495</x:v>
      </x:c>
      <x:c r="I98" s="60" t="n">
        <x:v>52.68053527832031</x:v>
      </x:c>
      <x:c r="J98" s="60" t="n">
        <x:v>53.45926254272461</x:v>
      </x:c>
      <x:c r="K98" s="60" t="n">
        <x:v>54.13405513763428</x:v>
      </x:c>
      <x:c r="L98" s="60" t="n">
        <x:v>54.718801193237304</x:v>
      </x:c>
      <x:c r="M98" s="60" t="n">
        <x:v>55.24622058868408</x:v>
      </x:c>
      <x:c r="N98" s="60" t="n">
        <x:v>55.701385955810544</x:v>
      </x:c>
      <x:c r="O98" s="60" t="n">
        <x:v>56.11471778869629</x:v>
      </x:c>
      <x:c r="P98" s="60" t="n">
        <x:v>56.47055282592773</x:v>
      </x:c>
      <x:c r="Q98" s="60" t="n">
        <x:v>56.80062492370605</x:v>
      </x:c>
      <x:c r="R98" s="60" t="n">
        <x:v>57.09351165771484</x:v>
      </x:c>
      <x:c r="S98" s="60" t="n">
        <x:v>57.385667610168454</x:v>
      </x:c>
      <x:c r="T98" s="60" t="n">
        <x:v>57.649632415771485</x:v>
      </x:c>
      <x:c r="U98" s="60" t="n">
        <x:v>57.88535022735596</x:v>
      </x:c>
      <x:c r="V98" s="60" t="n">
        <x:v>58.14137649536133</x:v>
      </x:c>
      <x:c r="W98" s="60" t="n">
        <x:v>58.41149887084961</x:v>
      </x:c>
      <x:c r="X98" s="60" t="n">
        <x:v>58.68376235961914</x:v>
      </x:c>
      <x:c r="Y98" s="60" t="n">
        <x:v>58.871837768554684</x:v>
      </x:c>
      <x:c r="Z98" s="60" t="n">
        <x:v>59.09416809082031</x:v>
      </x:c>
      <x:c r="AA98" s="60" t="n">
        <x:v>59.295381202697754</x:v>
      </x:c>
      <x:c r="AB98" s="60" t="n">
        <x:v>59.5269620513916</x:v>
      </x:c>
      <x:c r="AC98" s="60" t="n">
        <x:v>59.73879543304444</x:v>
      </x:c>
      <x:c r="AD98" s="60" t="n">
        <x:v>59.948408966064456</x:v>
      </x:c>
      <x:c r="AE98" s="60" t="n">
        <x:v>60.16837501525879</x:v>
      </x:c>
      <x:c r="AF98" s="60" t="n">
        <x:v>60.369078140258786</x:v>
      </x:c>
      <x:c r="AG98" s="60" t="n">
        <x:v>60.581887092590335</x:v>
      </x:c>
      <x:c r="AH98" s="60" t="n">
        <x:v>60.776868438720705</x:v>
      </x:c>
      <x:c r="AI98" s="60" t="n">
        <x:v>60.95929485321045</x:v>
      </x:c>
      <x:c r="AJ98" s="60" t="n">
        <x:v>61.131493759155276</x:v>
      </x:c>
      <x:c r="AK98" s="60" t="n">
        <x:v>61.2941189956665</x:v>
      </x:c>
      <x:c r="AL98" s="60" t="n">
        <x:v>61.46199890136719</x:v>
      </x:c>
      <x:c r="AM98" s="60" t="n">
        <x:v>61.63165538787842</x:v>
      </x:c>
      <x:c r="AN98" s="60" t="n">
        <x:v>61.805277557373046</x:v>
      </x:c>
      <x:c r="AO98" s="60" t="n">
        <x:v>61.97328052520752</x:v>
      </x:c>
      <x:c r="AP98" s="60" t="n">
        <x:v>62.158118438720706</x:v>
      </x:c>
      <x:c r="AQ98" s="60" t="n">
        <x:v>62.31859119415283</x:v>
      </x:c>
      <x:c r="AR98" s="60" t="n">
        <x:v>62.48418006896973</x:v>
      </x:c>
      <x:c r="AS98" s="60" t="n">
        <x:v>62.63965576171875</x:v>
      </x:c>
      <x:c r="AT98" s="60" t="n">
        <x:v>62.792188262939455</x:v>
      </x:c>
      <x:c r="AU98" s="60" t="n">
        <x:v>62.956880722045895</x:v>
      </x:c>
      <x:c r="AV98" s="60" t="n">
        <x:v>63.10851943969727</x:v>
      </x:c>
      <x:c r="AW98" s="60" t="n">
        <x:v>63.26302165985108</x:v>
      </x:c>
      <x:c r="AX98" s="60" t="n">
        <x:v>63.401575622558596</x:v>
      </x:c>
      <x:c r="AY98" s="60" t="n">
        <x:v>63.528209114074706</x:v>
      </x:c>
      <x:c r="AZ98" s="60" t="n">
        <x:v>63.67685073852539</x:v>
      </x:c>
      <x:c r="BA98" s="60" t="n">
        <x:v>63.82193260192871</x:v>
      </x:c>
      <x:c r="BB98" s="60" t="n">
        <x:v>63.97452377319336</x:v>
      </x:c>
      <x:c r="BC98" s="60" t="n">
        <x:v>64.12540435791016</x:v>
      </x:c>
      <x:c r="BD98" s="60" t="n">
        <x:v>64.26198959350586</x:v>
      </x:c>
      <x:c r="BE98" s="60" t="n">
        <x:v>64.3973046875</x:v>
      </x:c>
      <x:c r="BF98" s="60" t="n">
        <x:v>64.52230743408204</x:v>
      </x:c>
      <x:c r="BG98" s="60" t="n">
        <x:v>64.6468352508545</x:v>
      </x:c>
      <x:c r="BH98" s="60" t="n">
        <x:v>64.77265228271484</x:v>
      </x:c>
      <x:c r="BI98" s="60" t="n">
        <x:v>64.90938873291016</x:v>
      </x:c>
      <x:c r="BJ98" s="60" t="n">
        <x:v>65.03617370605468</x:v>
      </x:c>
      <x:c r="BK98" s="60" t="n">
        <x:v>65.17880256652832</x:v>
      </x:c>
      <x:c r="BL98" s="60" t="n">
        <x:v>65.31639617919922</x:v>
      </x:c>
      <x:c r="BM98" s="60" t="n">
        <x:v>65.46108215332032</x:v>
      </x:c>
      <x:c r="BN98" s="60" t="n">
        <x:v>65.5961196899414</x:v>
      </x:c>
      <x:c r="BO98" s="60" t="n">
        <x:v>65.73636421203614</x:v>
      </x:c>
      <x:c r="BP98" s="60" t="n">
        <x:v>65.87618011474609</x:v>
      </x:c>
      <x:c r="BQ98" s="60" t="n">
        <x:v>66.04027198791503</x:v>
      </x:c>
      <x:c r="BR98" s="60" t="n">
        <x:v>66.17246826171875</x:v>
      </x:c>
      <x:c r="BS98" s="60" t="n">
        <x:v>66.30118026733399</x:v>
      </x:c>
      <x:c r="BT98" s="60" t="n">
        <x:v>66.45535598754883</x:v>
      </x:c>
      <x:c r="BU98" s="60" t="n">
        <x:v>66.61679359436035</x:v>
      </x:c>
      <x:c r="BV98" s="60" t="n">
        <x:v>66.75540435791015</x:v>
      </x:c>
      <x:c r="BW98" s="60" t="n">
        <x:v>66.89341537475586</x:v>
      </x:c>
      <x:c r="BX98" s="60" t="n">
        <x:v>67.03823394775391</x:v>
      </x:c>
      <x:c r="BY98" s="60" t="n">
        <x:v>67.15982246398926</x:v>
      </x:c>
      <x:c r="BZ98" s="60" t="n">
        <x:v>67.31094940185547</x:v>
      </x:c>
      <x:c r="CA98" s="60" t="n">
        <x:v>67.46886627197266</x:v>
      </x:c>
      <x:c r="CB98" s="60" t="n">
        <x:v>67.61441436767578</x:v>
      </x:c>
      <x:c r="CC98" s="60" t="n">
        <x:v>67.77273559570312</x:v>
      </x:c>
      <x:c r="CD98" s="60" t="n">
        <x:v>67.91006805419921</x:v>
      </x:c>
      <x:c r="CE98" s="60" t="n">
        <x:v>68.07556327819825</x:v>
      </x:c>
      <x:c r="CF98" s="60" t="n">
        <x:v>68.21421173095703</x:v>
      </x:c>
      <x:c r="CG98" s="60" t="n">
        <x:v>68.37223670959473</x:v>
      </x:c>
      <x:c r="CH98" s="60" t="n">
        <x:v>68.53257598876954</x:v>
      </x:c>
      <x:c r="CI98" s="60" t="n">
        <x:v>68.69303817749024</x:v>
      </x:c>
      <x:c r="CJ98" s="60" t="n">
        <x:v>68.8399365234375</x:v>
      </x:c>
      <x:c r="CK98" s="60" t="n">
        <x:v>69.02562316894532</x:v>
      </x:c>
      <x:c r="CL98" s="60" t="n">
        <x:v>69.20393981933594</x:v>
      </x:c>
      <x:c r="CM98" s="60" t="n">
        <x:v>69.38289642333984</x:v>
      </x:c>
      <x:c r="CN98" s="60" t="n">
        <x:v>69.58679412841796</x:v>
      </x:c>
      <x:c r="CO98" s="60" t="n">
        <x:v>69.77143859863281</x:v>
      </x:c>
      <x:c r="CP98" s="60" t="n">
        <x:v>69.95175689697265</x:v>
      </x:c>
      <x:c r="CQ98" s="60" t="n">
        <x:v>70.13901763916016</x:v>
      </x:c>
      <x:c r="CR98" s="60" t="n">
        <x:v>70.34739837646485</x:v>
      </x:c>
      <x:c r="CS98" s="60" t="n">
        <x:v>70.56308128356933</x:v>
      </x:c>
      <x:c r="CT98" s="60" t="n">
        <x:v>70.79439239501953</x:v>
      </x:c>
      <x:c r="CU98" s="60" t="n">
        <x:v>71.06272987365723</x:v>
      </x:c>
      <x:c r="CV98" s="60" t="n">
        <x:v>71.32816589355468</x:v>
      </x:c>
      <x:c r="CW98" s="60" t="n">
        <x:v>71.6011043548584</x:v>
      </x:c>
      <x:c r="CX98" s="60" t="n">
        <x:v>71.90284271240235</x:v>
      </x:c>
      <x:c r="CY98" s="60" t="n">
        <x:v>72.31887145996093</x:v>
      </x:c>
      <x:c r="CZ98" s="60" t="n">
        <x:v>72.83910079956054</x:v>
      </x:c>
      <x:c r="DA98" s="60" t="n">
        <x:v>73.46064414978026</x:v>
      </x:c>
      <x:c r="DB98" s="60" t="n">
        <x:v>76.08464050292969</x:v>
      </x:c>
    </x:row>
    <x:row r="99">
      <x:c r="A99" t="str">
        <x:v>オーロット-2</x:v>
      </x:c>
      <x:c r="B99" t="str">
        <x:v>オーロット</x:v>
      </x:c>
      <x:c r="C99" t="str">
        <x:v>のろい</x:v>
      </x:c>
      <x:c r="D99" s="60" t="n">
        <x:v>65.14376068115234</x:v>
      </x:c>
      <x:c r="E99" s="60" t="n">
        <x:v>4.689964294433594</x:v>
      </x:c>
      <x:c r="F99" s="60" t="n">
        <x:v>46.084320068359375</x:v>
      </x:c>
      <x:c r="G99" s="60" t="n">
        <x:v>51.777010192871096</x:v>
      </x:c>
      <x:c r="H99" s="60" t="n">
        <x:v>53.39748062133789</x:v>
      </x:c>
      <x:c r="I99" s="60" t="n">
        <x:v>54.59769630432129</x:v>
      </x:c>
      <x:c r="J99" s="60" t="n">
        <x:v>55.47096267700195</x:v>
      </x:c>
      <x:c r="K99" s="60" t="n">
        <x:v>56.2248514175415</x:v>
      </x:c>
      <x:c r="L99" s="60" t="n">
        <x:v>56.83736518859863</x:v>
      </x:c>
      <x:c r="M99" s="60" t="n">
        <x:v>57.31203350067139</x:v>
      </x:c>
      <x:c r="N99" s="60" t="n">
        <x:v>57.75918594360351</x:v>
      </x:c>
      <x:c r="O99" s="60" t="n">
        <x:v>58.16908878326416</x:v>
      </x:c>
      <x:c r="P99" s="60" t="n">
        <x:v>58.54621925354004</x:v>
      </x:c>
      <x:c r="Q99" s="60" t="n">
        <x:v>58.90110111236572</x:v>
      </x:c>
      <x:c r="R99" s="60" t="n">
        <x:v>59.20460083007813</x:v>
      </x:c>
      <x:c r="S99" s="60" t="n">
        <x:v>59.55850391387939</x:v>
      </x:c>
      <x:c r="T99" s="60" t="n">
        <x:v>59.823761520385744</x:v>
      </x:c>
      <x:c r="U99" s="60" t="n">
        <x:v>60.09727897644043</x:v>
      </x:c>
      <x:c r="V99" s="60" t="n">
        <x:v>60.38509963989258</x:v>
      </x:c>
      <x:c r="W99" s="60" t="n">
        <x:v>60.62418460845947</x:v>
      </x:c>
      <x:c r="X99" s="60" t="n">
        <x:v>60.87037544250488</x:v>
      </x:c>
      <x:c r="Y99" s="60" t="n">
        <x:v>61.12688835144043</x:v>
      </x:c>
      <x:c r="Z99" s="60" t="n">
        <x:v>61.36190567016602</x:v>
      </x:c>
      <x:c r="AA99" s="60" t="n">
        <x:v>61.57110885620117</x:v>
      </x:c>
      <x:c r="AB99" s="60" t="n">
        <x:v>61.78664878845215</x:v>
      </x:c>
      <x:c r="AC99" s="60" t="n">
        <x:v>61.985008811950685</x:v>
      </x:c>
      <x:c r="AD99" s="60" t="n">
        <x:v>62.15896759033203</x:v>
      </x:c>
      <x:c r="AE99" s="60" t="n">
        <x:v>62.3588285446167</x:v>
      </x:c>
      <x:c r="AF99" s="60" t="n">
        <x:v>62.543905639648436</x:v>
      </x:c>
      <x:c r="AG99" s="60" t="n">
        <x:v>62.72477806091309</x:v>
      </x:c>
      <x:c r="AH99" s="60" t="n">
        <x:v>62.894210510253906</x:v>
      </x:c>
      <x:c r="AI99" s="60" t="n">
        <x:v>63.04753486633301</x:v>
      </x:c>
      <x:c r="AJ99" s="60" t="n">
        <x:v>63.21043357849121</x:v>
      </x:c>
      <x:c r="AK99" s="60" t="n">
        <x:v>63.37555866241455</x:v>
      </x:c>
      <x:c r="AL99" s="60" t="n">
        <x:v>63.525811462402345</x:v>
      </x:c>
      <x:c r="AM99" s="60" t="n">
        <x:v>63.676257629394534</x:v>
      </x:c>
      <x:c r="AN99" s="60" t="n">
        <x:v>63.82777420043946</x:v>
      </x:c>
      <x:c r="AO99" s="60" t="n">
        <x:v>63.9582820892334</x:v>
      </x:c>
      <x:c r="AP99" s="60" t="n">
        <x:v>64.11212982177734</x:v>
      </x:c>
      <x:c r="AQ99" s="60" t="n">
        <x:v>64.25560684204102</x:v>
      </x:c>
      <x:c r="AR99" s="60" t="n">
        <x:v>64.40234481811524</x:v>
      </x:c>
      <x:c r="AS99" s="60" t="n">
        <x:v>64.55280799865723</x:v>
      </x:c>
      <x:c r="AT99" s="60" t="n">
        <x:v>64.70241241455078</x:v>
      </x:c>
      <x:c r="AU99" s="60" t="n">
        <x:v>64.84087791442872</x:v>
      </x:c>
      <x:c r="AV99" s="60" t="n">
        <x:v>64.95466171264648</x:v>
      </x:c>
      <x:c r="AW99" s="60" t="n">
        <x:v>65.08776741027832</x:v>
      </x:c>
      <x:c r="AX99" s="60" t="n">
        <x:v>65.21968231201171</x:v>
      </x:c>
      <x:c r="AY99" s="60" t="n">
        <x:v>65.34677658081054</x:v>
      </x:c>
      <x:c r="AZ99" s="60" t="n">
        <x:v>65.45513656616211</x:v>
      </x:c>
      <x:c r="BA99" s="60" t="n">
        <x:v>65.57353256225586</x:v>
      </x:c>
      <x:c r="BB99" s="60" t="n">
        <x:v>65.6825161743164</x:v>
      </x:c>
      <x:c r="BC99" s="60" t="n">
        <x:v>65.79715377807617</x:v>
      </x:c>
      <x:c r="BD99" s="60" t="n">
        <x:v>65.90629196166992</x:v>
      </x:c>
      <x:c r="BE99" s="60" t="n">
        <x:v>66.0362117767334</x:v>
      </x:c>
      <x:c r="BF99" s="60" t="n">
        <x:v>66.15638702392577</x:v>
      </x:c>
      <x:c r="BG99" s="60" t="n">
        <x:v>66.27234001159668</x:v>
      </x:c>
      <x:c r="BH99" s="60" t="n">
        <x:v>66.3822901916504</x:v>
      </x:c>
      <x:c r="BI99" s="60" t="n">
        <x:v>66.51347885131835</x:v>
      </x:c>
      <x:c r="BJ99" s="60" t="n">
        <x:v>66.62151611328125</x:v>
      </x:c>
      <x:c r="BK99" s="60" t="n">
        <x:v>66.73437088012696</x:v>
      </x:c>
      <x:c r="BL99" s="60" t="n">
        <x:v>66.84336929321289</x:v>
      </x:c>
      <x:c r="BM99" s="60" t="n">
        <x:v>66.95999412536621</x:v>
      </x:c>
      <x:c r="BN99" s="60" t="n">
        <x:v>67.07891998291015</x:v>
      </x:c>
      <x:c r="BO99" s="60" t="n">
        <x:v>67.17995712280273</x:v>
      </x:c>
      <x:c r="BP99" s="60" t="n">
        <x:v>67.29733428955078</x:v>
      </x:c>
      <x:c r="BQ99" s="60" t="n">
        <x:v>67.40511726379394</x:v>
      </x:c>
      <x:c r="BR99" s="60" t="n">
        <x:v>67.49869445800782</x:v>
      </x:c>
      <x:c r="BS99" s="60" t="n">
        <x:v>67.62182159423828</x:v>
      </x:c>
      <x:c r="BT99" s="60" t="n">
        <x:v>67.73719009399414</x:v>
      </x:c>
      <x:c r="BU99" s="60" t="n">
        <x:v>67.8362957763672</x:v>
      </x:c>
      <x:c r="BV99" s="60" t="n">
        <x:v>67.93701049804687</x:v>
      </x:c>
      <x:c r="BW99" s="60" t="n">
        <x:v>68.04513801574707</x:v>
      </x:c>
      <x:c r="BX99" s="60" t="n">
        <x:v>68.14458770751953</x:v>
      </x:c>
      <x:c r="BY99" s="60" t="n">
        <x:v>68.25759086608886</x:v>
      </x:c>
      <x:c r="BZ99" s="60" t="n">
        <x:v>68.37690826416015</x:v>
      </x:c>
      <x:c r="CA99" s="60" t="n">
        <x:v>68.47363967895508</x:v>
      </x:c>
      <x:c r="CB99" s="60" t="n">
        <x:v>68.57960372924805</x:v>
      </x:c>
      <x:c r="CC99" s="60" t="n">
        <x:v>68.68994903564453</x:v>
      </x:c>
      <x:c r="CD99" s="60" t="n">
        <x:v>68.79239807128906</x:v>
      </x:c>
      <x:c r="CE99" s="60" t="n">
        <x:v>68.89495414733886</x:v>
      </x:c>
      <x:c r="CF99" s="60" t="n">
        <x:v>69.01182891845703</x:v>
      </x:c>
      <x:c r="CG99" s="60" t="n">
        <x:v>69.1210765838623</x:v>
      </x:c>
      <x:c r="CH99" s="60" t="n">
        <x:v>69.23292236328125</x:v>
      </x:c>
      <x:c r="CI99" s="60" t="n">
        <x:v>69.33219177246093</x:v>
      </x:c>
      <x:c r="CJ99" s="60" t="n">
        <x:v>69.45848556518555</x:v>
      </x:c>
      <x:c r="CK99" s="60" t="n">
        <x:v>69.56939506530762</x:v>
      </x:c>
      <x:c r="CL99" s="60" t="n">
        <x:v>69.69030975341796</x:v>
      </x:c>
      <x:c r="CM99" s="60" t="n">
        <x:v>69.81735763549804</x:v>
      </x:c>
      <x:c r="CN99" s="60" t="n">
        <x:v>69.95193344116211</x:v>
      </x:c>
      <x:c r="CO99" s="60" t="n">
        <x:v>70.06652969360351</x:v>
      </x:c>
      <x:c r="CP99" s="60" t="n">
        <x:v>70.20266265869141</x:v>
      </x:c>
      <x:c r="CQ99" s="60" t="n">
        <x:v>70.36122123718262</x:v>
      </x:c>
      <x:c r="CR99" s="60" t="n">
        <x:v>70.51770324707032</x:v>
      </x:c>
      <x:c r="CS99" s="60" t="n">
        <x:v>70.65191070556641</x:v>
      </x:c>
      <x:c r="CT99" s="60" t="n">
        <x:v>70.80943511962892</x:v>
      </x:c>
      <x:c r="CU99" s="60" t="n">
        <x:v>70.97128936767578</x:v>
      </x:c>
      <x:c r="CV99" s="60" t="n">
        <x:v>71.1680517578125</x:v>
      </x:c>
      <x:c r="CW99" s="60" t="n">
        <x:v>71.35472106933594</x:v>
      </x:c>
      <x:c r="CX99" s="60" t="n">
        <x:v>71.62297790527344</x:v>
      </x:c>
      <x:c r="CY99" s="60" t="n">
        <x:v>71.9013776397705</x:v>
      </x:c>
      <x:c r="CZ99" s="60" t="n">
        <x:v>72.29476669311524</x:v>
      </x:c>
      <x:c r="DA99" s="60" t="n">
        <x:v>72.80513221740722</x:v>
      </x:c>
      <x:c r="DB99" s="60" t="n">
        <x:v>75.399658203125</x:v>
      </x:c>
    </x:row>
    <x:row r="100">
      <x:c r="A100" t="str">
        <x:v>カビゴン-1</x:v>
      </x:c>
      <x:c r="B100" t="str">
        <x:v>カビゴン</x:v>
      </x:c>
      <x:c r="C100" t="str">
        <x:v>ヘビーボンバー</x:v>
      </x:c>
      <x:c r="D100" s="60" t="n">
        <x:v>63.32421875</x:v>
      </x:c>
      <x:c r="E100" s="60" t="n">
        <x:v>6.214662551879883</x:v>
      </x:c>
      <x:c r="F100" s="60" t="n">
        <x:v>39.702476501464844</x:v>
      </x:c>
      <x:c r="G100" s="60" t="n">
        <x:v>47.7231632232666</x:v>
      </x:c>
      <x:c r="H100" s="60" t="n">
        <x:v>49.562958602905276</x:v>
      </x:c>
      <x:c r="I100" s="60" t="n">
        <x:v>50.741837692260745</x:v>
      </x:c>
      <x:c r="J100" s="60" t="n">
        <x:v>51.57927963256836</x:v>
      </x:c>
      <x:c r="K100" s="60" t="n">
        <x:v>52.34825897216797</x:v>
      </x:c>
      <x:c r="L100" s="60" t="n">
        <x:v>52.99391510009766</x:v>
      </x:c>
      <x:c r="M100" s="60" t="n">
        <x:v>53.54456565856933</x:v>
      </x:c>
      <x:c r="N100" s="60" t="n">
        <x:v>54.041445617675784</x:v>
      </x:c>
      <x:c r="O100" s="60" t="n">
        <x:v>54.47724067687988</x:v>
      </x:c>
      <x:c r="P100" s="60" t="n">
        <x:v>54.89356460571289</x:v>
      </x:c>
      <x:c r="Q100" s="60" t="n">
        <x:v>55.274015007019045</x:v>
      </x:c>
      <x:c r="R100" s="60" t="n">
        <x:v>55.649779052734374</x:v>
      </x:c>
      <x:c r="S100" s="60" t="n">
        <x:v>55.934458045959474</x:v>
      </x:c>
      <x:c r="T100" s="60" t="n">
        <x:v>56.248426589965824</x:v>
      </x:c>
      <x:c r="U100" s="60" t="n">
        <x:v>56.55673885345459</x:v>
      </x:c>
      <x:c r="V100" s="60" t="n">
        <x:v>56.87477508544922</x:v>
      </x:c>
      <x:c r="W100" s="60" t="n">
        <x:v>57.15003650665283</x:v>
      </x:c>
      <x:c r="X100" s="60" t="n">
        <x:v>57.4359245300293</x:v>
      </x:c>
      <x:c r="Y100" s="60" t="n">
        <x:v>57.69115734100342</x:v>
      </x:c>
      <x:c r="Z100" s="60" t="n">
        <x:v>57.93211975097656</x:v>
      </x:c>
      <x:c r="AA100" s="60" t="n">
        <x:v>58.16024715423584</x:v>
      </x:c>
      <x:c r="AB100" s="60" t="n">
        <x:v>58.43590103149414</x:v>
      </x:c>
      <x:c r="AC100" s="60" t="n">
        <x:v>58.67290340423584</x:v>
      </x:c>
      <x:c r="AD100" s="60" t="n">
        <x:v>58.9000390625</x:v>
      </x:c>
      <x:c r="AE100" s="60" t="n">
        <x:v>59.13676166534424</x:v>
      </x:c>
      <x:c r="AF100" s="60" t="n">
        <x:v>59.37351036071777</x:v>
      </x:c>
      <x:c r="AG100" s="60" t="n">
        <x:v>59.58674243927002</x:v>
      </x:c>
      <x:c r="AH100" s="60" t="n">
        <x:v>59.78703567504883</x:v>
      </x:c>
      <x:c r="AI100" s="60" t="n">
        <x:v>60.027580451965335</x:v>
      </x:c>
      <x:c r="AJ100" s="60" t="n">
        <x:v>60.26378860473633</x:v>
      </x:c>
      <x:c r="AK100" s="60" t="n">
        <x:v>60.48784561157227</x:v>
      </x:c>
      <x:c r="AL100" s="60" t="n">
        <x:v>60.694918670654296</x:v>
      </x:c>
      <x:c r="AM100" s="60" t="n">
        <x:v>60.88815822601318</x:v>
      </x:c>
      <x:c r="AN100" s="60" t="n">
        <x:v>61.073184127807615</x:v>
      </x:c>
      <x:c r="AO100" s="60" t="n">
        <x:v>61.27048034667969</x:v>
      </x:c>
      <x:c r="AP100" s="60" t="n">
        <x:v>61.44050277709961</x:v>
      </x:c>
      <x:c r="AQ100" s="60" t="n">
        <x:v>61.61699634552002</x:v>
      </x:c>
      <x:c r="AR100" s="60" t="n">
        <x:v>61.80083206176758</x:v>
      </x:c>
      <x:c r="AS100" s="60" t="n">
        <x:v>61.96305938720703</x:v>
      </x:c>
      <x:c r="AT100" s="60" t="n">
        <x:v>62.128291320800784</x:v>
      </x:c>
      <x:c r="AU100" s="60" t="n">
        <x:v>62.310137557983396</x:v>
      </x:c>
      <x:c r="AV100" s="60" t="n">
        <x:v>62.462832641601565</x:v>
      </x:c>
      <x:c r="AW100" s="60" t="n">
        <x:v>62.64185722351074</x:v>
      </x:c>
      <x:c r="AX100" s="60" t="n">
        <x:v>62.803711853027345</x:v>
      </x:c>
      <x:c r="AY100" s="60" t="n">
        <x:v>62.98690280914307</x:v>
      </x:c>
      <x:c r="AZ100" s="60" t="n">
        <x:v>63.15756660461426</x:v>
      </x:c>
      <x:c r="BA100" s="60" t="n">
        <x:v>63.31661354064941</x:v>
      </x:c>
      <x:c r="BB100" s="60" t="n">
        <x:v>63.48708206176758</x:v>
      </x:c>
      <x:c r="BC100" s="60" t="n">
        <x:v>63.65365425109863</x:v>
      </x:c>
      <x:c r="BD100" s="60" t="n">
        <x:v>63.814937591552734</x:v>
      </x:c>
      <x:c r="BE100" s="60" t="n">
        <x:v>63.97252811431885</x:v>
      </x:c>
      <x:c r="BF100" s="60" t="n">
        <x:v>64.12017822265625</x:v>
      </x:c>
      <x:c r="BG100" s="60" t="n">
        <x:v>64.29442008972168</x:v>
      </x:c>
      <x:c r="BH100" s="60" t="n">
        <x:v>64.44147247314453</x:v>
      </x:c>
      <x:c r="BI100" s="60" t="n">
        <x:v>64.60921325683594</x:v>
      </x:c>
      <x:c r="BJ100" s="60" t="n">
        <x:v>64.76570922851562</x:v>
      </x:c>
      <x:c r="BK100" s="60" t="n">
        <x:v>64.90908676147461</x:v>
      </x:c>
      <x:c r="BL100" s="60" t="n">
        <x:v>65.10416442871093</x:v>
      </x:c>
      <x:c r="BM100" s="60" t="n">
        <x:v>65.26982833862304</x:v>
      </x:c>
      <x:c r="BN100" s="60" t="n">
        <x:v>65.41952362060547</x:v>
      </x:c>
      <x:c r="BO100" s="60" t="n">
        <x:v>65.57861564636231</x:v>
      </x:c>
      <x:c r="BP100" s="60" t="n">
        <x:v>65.75979675292969</x:v>
      </x:c>
      <x:c r="BQ100" s="60" t="n">
        <x:v>65.92848449707031</x:v>
      </x:c>
      <x:c r="BR100" s="60" t="n">
        <x:v>66.08173217773438</x:v>
      </x:c>
      <x:c r="BS100" s="60" t="n">
        <x:v>66.25298843383788</x:v>
      </x:c>
      <x:c r="BT100" s="60" t="n">
        <x:v>66.40239242553712</x:v>
      </x:c>
      <x:c r="BU100" s="60" t="n">
        <x:v>66.5522957611084</x:v>
      </x:c>
      <x:c r="BV100" s="60" t="n">
        <x:v>66.73254058837891</x:v>
      </x:c>
      <x:c r="BW100" s="60" t="n">
        <x:v>66.92038917541504</x:v>
      </x:c>
      <x:c r="BX100" s="60" t="n">
        <x:v>67.1141944885254</x:v>
      </x:c>
      <x:c r="BY100" s="60" t="n">
        <x:v>67.29589691162109</x:v>
      </x:c>
      <x:c r="BZ100" s="60" t="n">
        <x:v>67.45891693115234</x:v>
      </x:c>
      <x:c r="CA100" s="60" t="n">
        <x:v>67.62935592651367</x:v>
      </x:c>
      <x:c r="CB100" s="60" t="n">
        <x:v>67.79139205932617</x:v>
      </x:c>
      <x:c r="CC100" s="60" t="n">
        <x:v>67.95515823364258</x:v>
      </x:c>
      <x:c r="CD100" s="60" t="n">
        <x:v>68.13215423583985</x:v>
      </x:c>
      <x:c r="CE100" s="60" t="n">
        <x:v>68.28398658752441</x:v>
      </x:c>
      <x:c r="CF100" s="60" t="n">
        <x:v>68.4781413269043</x:v>
      </x:c>
      <x:c r="CG100" s="60" t="n">
        <x:v>68.67393753051758</x:v>
      </x:c>
      <x:c r="CH100" s="60" t="n">
        <x:v>68.85715026855469</x:v>
      </x:c>
      <x:c r="CI100" s="60" t="n">
        <x:v>69.04631561279297</x:v>
      </x:c>
      <x:c r="CJ100" s="60" t="n">
        <x:v>69.24728164672851</x:v>
      </x:c>
      <x:c r="CK100" s="60" t="n">
        <x:v>69.45407989501953</x:v>
      </x:c>
      <x:c r="CL100" s="60" t="n">
        <x:v>69.67487091064453</x:v>
      </x:c>
      <x:c r="CM100" s="60" t="n">
        <x:v>69.89355163574218</x:v>
      </x:c>
      <x:c r="CN100" s="60" t="n">
        <x:v>70.11129623413086</x:v>
      </x:c>
      <x:c r="CO100" s="60" t="n">
        <x:v>70.35561050415039</x:v>
      </x:c>
      <x:c r="CP100" s="60" t="n">
        <x:v>70.56599365234375</x:v>
      </x:c>
      <x:c r="CQ100" s="60" t="n">
        <x:v>70.82164665222169</x:v>
      </x:c>
      <x:c r="CR100" s="60" t="n">
        <x:v>71.06738967895508</x:v>
      </x:c>
      <x:c r="CS100" s="60" t="n">
        <x:v>71.35274894714355</x:v>
      </x:c>
      <x:c r="CT100" s="60" t="n">
        <x:v>71.63909179687501</x:v>
      </x:c>
      <x:c r="CU100" s="60" t="n">
        <x:v>71.96655540466308</x:v>
      </x:c>
      <x:c r="CV100" s="60" t="n">
        <x:v>72.30755798339844</x:v>
      </x:c>
      <x:c r="CW100" s="60" t="n">
        <x:v>72.71438446044922</x:v>
      </x:c>
      <x:c r="CX100" s="60" t="n">
        <x:v>73.15734252929688</x:v>
      </x:c>
      <x:c r="CY100" s="60" t="n">
        <x:v>73.66060241699219</x:v>
      </x:c>
      <x:c r="CZ100" s="60" t="n">
        <x:v>74.25789672851563</x:v>
      </x:c>
      <x:c r="DA100" s="60" t="n">
        <x:v>75.0998345184326</x:v>
      </x:c>
      <x:c r="DB100" s="60" t="n">
        <x:v>78.73280334472656</x:v>
      </x:c>
    </x:row>
    <x:row r="101">
      <x:c r="A101" t="str">
        <x:v>カビゴン-2</x:v>
      </x:c>
      <x:c r="B101" t="str">
        <x:v>カビゴン</x:v>
      </x:c>
      <x:c r="C101" t="str">
        <x:v>じたばた</x:v>
      </x:c>
      <x:c r="D101" s="60" t="n">
        <x:v>66.64844512939453</x:v>
      </x:c>
      <x:c r="E101" s="60" t="n">
        <x:v>5.91647481918335</x:v>
      </x:c>
      <x:c r="F101" s="60" t="n">
        <x:v>42.376800537109375</x:v>
      </x:c>
      <x:c r="G101" s="60" t="n">
        <x:v>49.7061198425293</x:v>
      </x:c>
      <x:c r="H101" s="60" t="n">
        <x:v>51.90751312255859</x:v>
      </x:c>
      <x:c r="I101" s="60" t="n">
        <x:v>53.44853748321533</x:v>
      </x:c>
      <x:c r="J101" s="60" t="n">
        <x:v>54.420968780517576</x:v>
      </x:c>
      <x:c r="K101" s="60" t="n">
        <x:v>55.32179508209229</x:v>
      </x:c>
      <x:c r="L101" s="60" t="n">
        <x:v>56.08170768737793</x:v>
      </x:c>
      <x:c r="M101" s="60" t="n">
        <x:v>56.699316329956055</x:v>
      </x:c>
      <x:c r="N101" s="60" t="n">
        <x:v>57.278462677001954</x:v>
      </x:c>
      <x:c r="O101" s="60" t="n">
        <x:v>57.821098747253416</x:v>
      </x:c>
      <x:c r="P101" s="60" t="n">
        <x:v>58.30301475524902</x:v>
      </x:c>
      <x:c r="Q101" s="60" t="n">
        <x:v>58.71645420074463</x:v>
      </x:c>
      <x:c r="R101" s="60" t="n">
        <x:v>59.1491764831543</x:v>
      </x:c>
      <x:c r="S101" s="60" t="n">
        <x:v>59.56553554534912</x:v>
      </x:c>
      <x:c r="T101" s="60" t="n">
        <x:v>59.926779174804686</x:v>
      </x:c>
      <x:c r="U101" s="60" t="n">
        <x:v>60.260342025756835</x:v>
      </x:c>
      <x:c r="V101" s="60" t="n">
        <x:v>60.61245239257813</x:v>
      </x:c>
      <x:c r="W101" s="60" t="n">
        <x:v>60.93168991088867</x:v>
      </x:c>
      <x:c r="X101" s="60" t="n">
        <x:v>61.21689826965332</x:v>
      </x:c>
      <x:c r="Y101" s="60" t="n">
        <x:v>61.540629653930665</x:v>
      </x:c>
      <x:c r="Z101" s="60" t="n">
        <x:v>61.822838592529294</x:v>
      </x:c>
      <x:c r="AA101" s="60" t="n">
        <x:v>62.09623950958252</x:v>
      </x:c>
      <x:c r="AB101" s="60" t="n">
        <x:v>62.37896369934082</x:v>
      </x:c>
      <x:c r="AC101" s="60" t="n">
        <x:v>62.625825080871586</x:v>
      </x:c>
      <x:c r="AD101" s="60" t="n">
        <x:v>62.85783187866211</x:v>
      </x:c>
      <x:c r="AE101" s="60" t="n">
        <x:v>63.07340621948242</x:v>
      </x:c>
      <x:c r="AF101" s="60" t="n">
        <x:v>63.30785263061524</x:v>
      </x:c>
      <x:c r="AG101" s="60" t="n">
        <x:v>63.5299630355835</x:v>
      </x:c>
      <x:c r="AH101" s="60" t="n">
        <x:v>63.75914031982422</x:v>
      </x:c>
      <x:c r="AI101" s="60" t="n">
        <x:v>63.97107765197754</x:v>
      </x:c>
      <x:c r="AJ101" s="60" t="n">
        <x:v>64.17151260375977</x:v>
      </x:c>
      <x:c r="AK101" s="60" t="n">
        <x:v>64.38151908874512</x:v>
      </x:c>
      <x:c r="AL101" s="60" t="n">
        <x:v>64.57167846679687</x:v>
      </x:c>
      <x:c r="AM101" s="60" t="n">
        <x:v>64.76767608642578</x:v>
      </x:c>
      <x:c r="AN101" s="60" t="n">
        <x:v>64.94104187011719</x:v>
      </x:c>
      <x:c r="AO101" s="60" t="n">
        <x:v>65.14221000671387</x:v>
      </x:c>
      <x:c r="AP101" s="60" t="n">
        <x:v>65.32413879394531</x:v>
      </x:c>
      <x:c r="AQ101" s="60" t="n">
        <x:v>65.49603294372558</x:v>
      </x:c>
      <x:c r="AR101" s="60" t="n">
        <x:v>65.6853515625</x:v>
      </x:c>
      <x:c r="AS101" s="60" t="n">
        <x:v>65.87131240844727</x:v>
      </x:c>
      <x:c r="AT101" s="60" t="n">
        <x:v>66.05460662841797</x:v>
      </x:c>
      <x:c r="AU101" s="60" t="n">
        <x:v>66.24352188110352</x:v>
      </x:c>
      <x:c r="AV101" s="60" t="n">
        <x:v>66.43333206176757</x:v>
      </x:c>
      <x:c r="AW101" s="60" t="n">
        <x:v>66.60969062805175</x:v>
      </x:c>
      <x:c r="AX101" s="60" t="n">
        <x:v>66.75994262695312</x:v>
      </x:c>
      <x:c r="AY101" s="60" t="n">
        <x:v>66.93081779479981</x:v>
      </x:c>
      <x:c r="AZ101" s="60" t="n">
        <x:v>67.08224716186524</x:v>
      </x:c>
      <x:c r="BA101" s="60" t="n">
        <x:v>67.23223640441894</x:v>
      </x:c>
      <x:c r="BB101" s="60" t="n">
        <x:v>67.3840673828125</x:v>
      </x:c>
      <x:c r="BC101" s="60" t="n">
        <x:v>67.54717559814453</x:v>
      </x:c>
      <x:c r="BD101" s="60" t="n">
        <x:v>67.696533203125</x:v>
      </x:c>
      <x:c r="BE101" s="60" t="n">
        <x:v>67.8501586151123</x:v>
      </x:c>
      <x:c r="BF101" s="60" t="n">
        <x:v>68.00283477783204</x:v>
      </x:c>
      <x:c r="BG101" s="60" t="n">
        <x:v>68.14568702697754</x:v>
      </x:c>
      <x:c r="BH101" s="60" t="n">
        <x:v>68.29089874267578</x:v>
      </x:c>
      <x:c r="BI101" s="60" t="n">
        <x:v>68.43135681152344</x:v>
      </x:c>
      <x:c r="BJ101" s="60" t="n">
        <x:v>68.5985986328125</x:v>
      </x:c>
      <x:c r="BK101" s="60" t="n">
        <x:v>68.73876502990723</x:v>
      </x:c>
      <x:c r="BL101" s="60" t="n">
        <x:v>68.89231323242187</x:v>
      </x:c>
      <x:c r="BM101" s="60" t="n">
        <x:v>69.02685958862304</x:v>
      </x:c>
      <x:c r="BN101" s="60" t="n">
        <x:v>69.15472869873047</x:v>
      </x:c>
      <x:c r="BO101" s="60" t="n">
        <x:v>69.28366600036621</x:v>
      </x:c>
      <x:c r="BP101" s="60" t="n">
        <x:v>69.42747573852539</x:v>
      </x:c>
      <x:c r="BQ101" s="60" t="n">
        <x:v>69.5598511505127</x:v>
      </x:c>
      <x:c r="BR101" s="60" t="n">
        <x:v>69.68815490722656</x:v>
      </x:c>
      <x:c r="BS101" s="60" t="n">
        <x:v>69.81509399414062</x:v>
      </x:c>
      <x:c r="BT101" s="60" t="n">
        <x:v>69.96820999145508</x:v>
      </x:c>
      <x:c r="BU101" s="60" t="n">
        <x:v>70.08949829101563</x:v>
      </x:c>
      <x:c r="BV101" s="60" t="n">
        <x:v>70.22696807861328</x:v>
      </x:c>
      <x:c r="BW101" s="60" t="n">
        <x:v>70.3485425567627</x:v>
      </x:c>
      <x:c r="BX101" s="60" t="n">
        <x:v>70.47871704101563</x:v>
      </x:c>
      <x:c r="BY101" s="60" t="n">
        <x:v>70.63818710327148</x:v>
      </x:c>
      <x:c r="BZ101" s="60" t="n">
        <x:v>70.78420013427734</x:v>
      </x:c>
      <x:c r="CA101" s="60" t="n">
        <x:v>70.91280235290527</x:v>
      </x:c>
      <x:c r="CB101" s="60" t="n">
        <x:v>71.06082733154297</x:v>
      </x:c>
      <x:c r="CC101" s="60" t="n">
        <x:v>71.19306182861328</x:v>
      </x:c>
      <x:c r="CD101" s="60" t="n">
        <x:v>71.3167739868164</x:v>
      </x:c>
      <x:c r="CE101" s="60" t="n">
        <x:v>71.44106986999512</x:v>
      </x:c>
      <x:c r="CF101" s="60" t="n">
        <x:v>71.57509918212891</x:v>
      </x:c>
      <x:c r="CG101" s="60" t="n">
        <x:v>71.70188835144043</x:v>
      </x:c>
      <x:c r="CH101" s="60" t="n">
        <x:v>71.84555358886719</x:v>
      </x:c>
      <x:c r="CI101" s="60" t="n">
        <x:v>72.00366889953614</x:v>
      </x:c>
      <x:c r="CJ101" s="60" t="n">
        <x:v>72.1695492553711</x:v>
      </x:c>
      <x:c r="CK101" s="60" t="n">
        <x:v>72.32539916992188</x:v>
      </x:c>
      <x:c r="CL101" s="60" t="n">
        <x:v>72.48943511962891</x:v>
      </x:c>
      <x:c r="CM101" s="60" t="n">
        <x:v>72.63639183044434</x:v>
      </x:c>
      <x:c r="CN101" s="60" t="n">
        <x:v>72.7741616821289</x:v>
      </x:c>
      <x:c r="CO101" s="60" t="n">
        <x:v>72.92708801269531</x:v>
      </x:c>
      <x:c r="CP101" s="60" t="n">
        <x:v>73.07005706787109</x:v>
      </x:c>
      <x:c r="CQ101" s="60" t="n">
        <x:v>73.231552734375</x:v>
      </x:c>
      <x:c r="CR101" s="60" t="n">
        <x:v>73.407918548584</x:v>
      </x:c>
      <x:c r="CS101" s="60" t="n">
        <x:v>73.60510879516602</x:v>
      </x:c>
      <x:c r="CT101" s="60" t="n">
        <x:v>73.78030151367187</x:v>
      </x:c>
      <x:c r="CU101" s="60" t="n">
        <x:v>73.98491836547852</x:v>
      </x:c>
      <x:c r="CV101" s="60" t="n">
        <x:v>74.19566497802734</x:v>
      </x:c>
      <x:c r="CW101" s="60" t="n">
        <x:v>74.43026084899903</x:v>
      </x:c>
      <x:c r="CX101" s="60" t="n">
        <x:v>74.67002563476562</x:v>
      </x:c>
      <x:c r="CY101" s="60" t="n">
        <x:v>74.98211967468262</x:v>
      </x:c>
      <x:c r="CZ101" s="60" t="n">
        <x:v>75.35848876953125</x:v>
      </x:c>
      <x:c r="DA101" s="60" t="n">
        <x:v>75.901011428833</x:v>
      </x:c>
      <x:c r="DB101" s="60" t="n">
        <x:v>77.66751861572266</x:v>
      </x:c>
    </x:row>
    <x:row r="102">
      <x:c r="A102" t="str">
        <x:v>カメックス-1</x:v>
      </x:c>
      <x:c r="B102" t="str">
        <x:v>カメックス</x:v>
      </x:c>
      <x:c r="C102" t="str">
        <x:v>なみのり</x:v>
      </x:c>
      <x:c r="D102" s="60" t="n">
        <x:v>64.30455780029297</x:v>
      </x:c>
      <x:c r="E102" s="60" t="n">
        <x:v>6.088475227355957</x:v>
      </x:c>
      <x:c r="F102" s="60" t="n">
        <x:v>39.85185623168945</x:v>
      </x:c>
      <x:c r="G102" s="60" t="n">
        <x:v>48.75299282073975</x:v>
      </x:c>
      <x:c r="H102" s="60" t="n">
        <x:v>50.62848587036133</x:v>
      </x:c>
      <x:c r="I102" s="60" t="n">
        <x:v>51.80997428894043</x:v>
      </x:c>
      <x:c r="J102" s="60" t="n">
        <x:v>52.62822265625</x:v>
      </x:c>
      <x:c r="K102" s="60" t="n">
        <x:v>53.39721508026123</x:v>
      </x:c>
      <x:c r="L102" s="60" t="n">
        <x:v>54.117512741088866</x:v>
      </x:c>
      <x:c r="M102" s="60" t="n">
        <x:v>54.61582817077637</x:v>
      </x:c>
      <x:c r="N102" s="60" t="n">
        <x:v>55.085567474365234</x:v>
      </x:c>
      <x:c r="O102" s="60" t="n">
        <x:v>55.55158226013184</x:v>
      </x:c>
      <x:c r="P102" s="60" t="n">
        <x:v>55.96463508605957</x:v>
      </x:c>
      <x:c r="Q102" s="60" t="n">
        <x:v>56.35302757263184</x:v>
      </x:c>
      <x:c r="R102" s="60" t="n">
        <x:v>56.713125457763674</x:v>
      </x:c>
      <x:c r="S102" s="60" t="n">
        <x:v>57.01193859100342</x:v>
      </x:c>
      <x:c r="T102" s="60" t="n">
        <x:v>57.30332649230957</x:v>
      </x:c>
      <x:c r="U102" s="60" t="n">
        <x:v>57.61938743591308</x:v>
      </x:c>
      <x:c r="V102" s="60" t="n">
        <x:v>57.93119873046875</x:v>
      </x:c>
      <x:c r="W102" s="60" t="n">
        <x:v>58.25029678344727</x:v>
      </x:c>
      <x:c r="X102" s="60" t="n">
        <x:v>58.553502044677735</x:v>
      </x:c>
      <x:c r="Y102" s="60" t="n">
        <x:v>58.78994529724121</x:v>
      </x:c>
      <x:c r="Z102" s="60" t="n">
        <x:v>59.068538665771484</x:v>
      </x:c>
      <x:c r="AA102" s="60" t="n">
        <x:v>59.30613273620605</x:v>
      </x:c>
      <x:c r="AB102" s="60" t="n">
        <x:v>59.5422314453125</x:v>
      </x:c>
      <x:c r="AC102" s="60" t="n">
        <x:v>59.757482070922855</x:v>
      </x:c>
      <x:c r="AD102" s="60" t="n">
        <x:v>59.99936874389648</x:v>
      </x:c>
      <x:c r="AE102" s="60" t="n">
        <x:v>60.23022174835205</x:v>
      </x:c>
      <x:c r="AF102" s="60" t="n">
        <x:v>60.461131744384765</x:v>
      </x:c>
      <x:c r="AG102" s="60" t="n">
        <x:v>60.65857486724854</x:v>
      </x:c>
      <x:c r="AH102" s="60" t="n">
        <x:v>60.87490570068359</x:v>
      </x:c>
      <x:c r="AI102" s="60" t="n">
        <x:v>61.12705554962158</x:v>
      </x:c>
      <x:c r="AJ102" s="60" t="n">
        <x:v>61.34638137817383</x:v>
      </x:c>
      <x:c r="AK102" s="60" t="n">
        <x:v>61.535046157836916</x:v>
      </x:c>
      <x:c r="AL102" s="60" t="n">
        <x:v>61.733374481201174</x:v>
      </x:c>
      <x:c r="AM102" s="60" t="n">
        <x:v>61.91240119934082</x:v>
      </x:c>
      <x:c r="AN102" s="60" t="n">
        <x:v>62.098289794921875</x:v>
      </x:c>
      <x:c r="AO102" s="60" t="n">
        <x:v>62.2761905670166</x:v>
      </x:c>
      <x:c r="AP102" s="60" t="n">
        <x:v>62.45270721435547</x:v>
      </x:c>
      <x:c r="AQ102" s="60" t="n">
        <x:v>62.63443115234375</x:v>
      </x:c>
      <x:c r="AR102" s="60" t="n">
        <x:v>62.83202964782715</x:v>
      </x:c>
      <x:c r="AS102" s="60" t="n">
        <x:v>63.02549072265625</x:v>
      </x:c>
      <x:c r="AT102" s="60" t="n">
        <x:v>63.194338989257815</x:v>
      </x:c>
      <x:c r="AU102" s="60" t="n">
        <x:v>63.384796943664554</x:v>
      </x:c>
      <x:c r="AV102" s="60" t="n">
        <x:v>63.56859069824219</x:v>
      </x:c>
      <x:c r="AW102" s="60" t="n">
        <x:v>63.73565036773682</x:v>
      </x:c>
      <x:c r="AX102" s="60" t="n">
        <x:v>63.93059310913086</x:v>
      </x:c>
      <x:c r="AY102" s="60" t="n">
        <x:v>64.08411598205566</x:v>
      </x:c>
      <x:c r="AZ102" s="60" t="n">
        <x:v>64.2512484741211</x:v>
      </x:c>
      <x:c r="BA102" s="60" t="n">
        <x:v>64.40789794921875</x:v>
      </x:c>
      <x:c r="BB102" s="60" t="n">
        <x:v>64.58268615722656</x:v>
      </x:c>
      <x:c r="BC102" s="60" t="n">
        <x:v>64.76100227355957</x:v>
      </x:c>
      <x:c r="BD102" s="60" t="n">
        <x:v>64.92668533325195</x:v>
      </x:c>
      <x:c r="BE102" s="60" t="n">
        <x:v>65.0819881439209</x:v>
      </x:c>
      <x:c r="BF102" s="60" t="n">
        <x:v>65.24439758300781</x:v>
      </x:c>
      <x:c r="BG102" s="60" t="n">
        <x:v>65.39547195434571</x:v>
      </x:c>
      <x:c r="BH102" s="60" t="n">
        <x:v>65.56707672119141</x:v>
      </x:c>
      <x:c r="BI102" s="60" t="n">
        <x:v>65.71897163391114</x:v>
      </x:c>
      <x:c r="BJ102" s="60" t="n">
        <x:v>65.87359680175781</x:v>
      </x:c>
      <x:c r="BK102" s="60" t="n">
        <x:v>66.01684379577637</x:v>
      </x:c>
      <x:c r="BL102" s="60" t="n">
        <x:v>66.1862907409668</x:v>
      </x:c>
      <x:c r="BM102" s="60" t="n">
        <x:v>66.33617515563965</x:v>
      </x:c>
      <x:c r="BN102" s="60" t="n">
        <x:v>66.50064239501953</x:v>
      </x:c>
      <x:c r="BO102" s="60" t="n">
        <x:v>66.65424659729004</x:v>
      </x:c>
      <x:c r="BP102" s="60" t="n">
        <x:v>66.82140655517578</x:v>
      </x:c>
      <x:c r="BQ102" s="60" t="n">
        <x:v>66.97944969177246</x:v>
      </x:c>
      <x:c r="BR102" s="60" t="n">
        <x:v>67.13951751708984</x:v>
      </x:c>
      <x:c r="BS102" s="60" t="n">
        <x:v>67.29308624267578</x:v>
      </x:c>
      <x:c r="BT102" s="60" t="n">
        <x:v>67.45891448974609</x:v>
      </x:c>
      <x:c r="BU102" s="60" t="n">
        <x:v>67.61203643798828</x:v>
      </x:c>
      <x:c r="BV102" s="60" t="n">
        <x:v>67.78814514160156</x:v>
      </x:c>
      <x:c r="BW102" s="60" t="n">
        <x:v>67.93442245483399</x:v>
      </x:c>
      <x:c r="BX102" s="60" t="n">
        <x:v>68.08206787109376</x:v>
      </x:c>
      <x:c r="BY102" s="60" t="n">
        <x:v>68.2212452697754</x:v>
      </x:c>
      <x:c r="BZ102" s="60" t="n">
        <x:v>68.37163452148437</x:v>
      </x:c>
      <x:c r="CA102" s="60" t="n">
        <x:v>68.54551536560058</x:v>
      </x:c>
      <x:c r="CB102" s="60" t="n">
        <x:v>68.69888565063476</x:v>
      </x:c>
      <x:c r="CC102" s="60" t="n">
        <x:v>68.87473678588867</x:v>
      </x:c>
      <x:c r="CD102" s="60" t="n">
        <x:v>69.03728302001953</x:v>
      </x:c>
      <x:c r="CE102" s="60" t="n">
        <x:v>69.23743934631348</x:v>
      </x:c>
      <x:c r="CF102" s="60" t="n">
        <x:v>69.42638793945312</x:v>
      </x:c>
      <x:c r="CG102" s="60" t="n">
        <x:v>69.61057868957519</x:v>
      </x:c>
      <x:c r="CH102" s="60" t="n">
        <x:v>69.80152130126953</x:v>
      </x:c>
      <x:c r="CI102" s="60" t="n">
        <x:v>69.9880167388916</x:v>
      </x:c>
      <x:c r="CJ102" s="60" t="n">
        <x:v>70.15806549072266</x:v>
      </x:c>
      <x:c r="CK102" s="60" t="n">
        <x:v>70.35430824279786</x:v>
      </x:c>
      <x:c r="CL102" s="60" t="n">
        <x:v>70.55743377685548</x:v>
      </x:c>
      <x:c r="CM102" s="60" t="n">
        <x:v>70.75538597106933</x:v>
      </x:c>
      <x:c r="CN102" s="60" t="n">
        <x:v>70.97014846801758</x:v>
      </x:c>
      <x:c r="CO102" s="60" t="n">
        <x:v>71.16701538085938</x:v>
      </x:c>
      <x:c r="CP102" s="60" t="n">
        <x:v>71.37154693603516</x:v>
      </x:c>
      <x:c r="CQ102" s="60" t="n">
        <x:v>71.59139251708984</x:v>
      </x:c>
      <x:c r="CR102" s="60" t="n">
        <x:v>71.81632843017579</x:v>
      </x:c>
      <x:c r="CS102" s="60" t="n">
        <x:v>72.05804428100586</x:v>
      </x:c>
      <x:c r="CT102" s="60" t="n">
        <x:v>72.31474487304688</x:v>
      </x:c>
      <x:c r="CU102" s="60" t="n">
        <x:v>72.57650848388671</x:v>
      </x:c>
      <x:c r="CV102" s="60" t="n">
        <x:v>72.88274978637695</x:v>
      </x:c>
      <x:c r="CW102" s="60" t="n">
        <x:v>73.23195953369141</x:v>
      </x:c>
      <x:c r="CX102" s="60" t="n">
        <x:v>73.59859191894532</x:v>
      </x:c>
      <x:c r="CY102" s="60" t="n">
        <x:v>74.0487922668457</x:v>
      </x:c>
      <x:c r="CZ102" s="60" t="n">
        <x:v>74.61615249633789</x:v>
      </x:c>
      <x:c r="DA102" s="60" t="n">
        <x:v>75.30556579589843</x:v>
      </x:c>
      <x:c r="DB102" s="60" t="n">
        <x:v>78.49784851074219</x:v>
      </x:c>
    </x:row>
    <x:row r="103">
      <x:c r="A103" t="str">
        <x:v>カメックス-2</x:v>
      </x:c>
      <x:c r="B103" t="str">
        <x:v>カメックス</x:v>
      </x:c>
      <x:c r="C103" t="str">
        <x:v>こうそくスピン</x:v>
      </x:c>
      <x:c r="D103" s="60" t="n">
        <x:v>65.68721771240234</x:v>
      </x:c>
      <x:c r="E103" s="60" t="n">
        <x:v>9.165618896484375</x:v>
      </x:c>
      <x:c r="F103" s="60" t="n">
        <x:v>33.064125061035156</x:v>
      </x:c>
      <x:c r="G103" s="60" t="n">
        <x:v>41.66427867889404</x:v>
      </x:c>
      <x:c r="H103" s="60" t="n">
        <x:v>44.482586517333985</x:v>
      </x:c>
      <x:c r="I103" s="60" t="n">
        <x:v>46.40663452148438</x:v>
      </x:c>
      <x:c r="J103" s="60" t="n">
        <x:v>47.758707733154296</x:v>
      </x:c>
      <x:c r="K103" s="60" t="n">
        <x:v>48.85766124725342</x:v>
      </x:c>
      <x:c r="L103" s="60" t="n">
        <x:v>49.81563980102539</x:v>
      </x:c>
      <x:c r="M103" s="60" t="n">
        <x:v>50.80793758392334</x:v>
      </x:c>
      <x:c r="N103" s="60" t="n">
        <x:v>51.63437927246094</x:v>
      </x:c>
      <x:c r="O103" s="60" t="n">
        <x:v>52.327493820190426</x:v>
      </x:c>
      <x:c r="P103" s="60" t="n">
        <x:v>52.906013870239256</x:v>
      </x:c>
      <x:c r="Q103" s="60" t="n">
        <x:v>53.60759826660156</x:v>
      </x:c>
      <x:c r="R103" s="60" t="n">
        <x:v>54.147945709228516</x:v>
      </x:c>
      <x:c r="S103" s="60" t="n">
        <x:v>54.70984260559082</x:v>
      </x:c>
      <x:c r="T103" s="60" t="n">
        <x:v>55.24544403076172</x:v>
      </x:c>
      <x:c r="U103" s="60" t="n">
        <x:v>55.70701026916504</x:v>
      </x:c>
      <x:c r="V103" s="60" t="n">
        <x:v>56.110595855712894</x:v>
      </x:c>
      <x:c r="W103" s="60" t="n">
        <x:v>56.584391860961915</x:v>
      </x:c>
      <x:c r="X103" s="60" t="n">
        <x:v>57.029829788208005</x:v>
      </x:c>
      <x:c r="Y103" s="60" t="n">
        <x:v>57.438762435913084</x:v>
      </x:c>
      <x:c r="Z103" s="60" t="n">
        <x:v>57.85314025878906</x:v>
      </x:c>
      <x:c r="AA103" s="60" t="n">
        <x:v>58.2137829208374</x:v>
      </x:c>
      <x:c r="AB103" s="60" t="n">
        <x:v>58.57069282531738</x:v>
      </x:c>
      <x:c r="AC103" s="60" t="n">
        <x:v>58.941436233520506</x:v>
      </x:c>
      <x:c r="AD103" s="60" t="n">
        <x:v>59.275189514160154</x:v>
      </x:c>
      <x:c r="AE103" s="60" t="n">
        <x:v>59.62778377532959</x:v>
      </x:c>
      <x:c r="AF103" s="60" t="n">
        <x:v>59.985268630981444</x:v>
      </x:c>
      <x:c r="AG103" s="60" t="n">
        <x:v>60.328156356811526</x:v>
      </x:c>
      <x:c r="AH103" s="60" t="n">
        <x:v>60.65381301879883</x:v>
      </x:c>
      <x:c r="AI103" s="60" t="n">
        <x:v>60.98641185760498</x:v>
      </x:c>
      <x:c r="AJ103" s="60" t="n">
        <x:v>61.2953987121582</x:v>
      </x:c>
      <x:c r="AK103" s="60" t="n">
        <x:v>61.592044029235836</x:v>
      </x:c>
      <x:c r="AL103" s="60" t="n">
        <x:v>61.910377197265625</x:v>
      </x:c>
      <x:c r="AM103" s="60" t="n">
        <x:v>62.23844268798828</x:v>
      </x:c>
      <x:c r="AN103" s="60" t="n">
        <x:v>62.55338493347168</x:v>
      </x:c>
      <x:c r="AO103" s="60" t="n">
        <x:v>62.87078990936279</x:v>
      </x:c>
      <x:c r="AP103" s="60" t="n">
        <x:v>63.13404266357422</x:v>
      </x:c>
      <x:c r="AQ103" s="60" t="n">
        <x:v>63.426351890563964</x:v>
      </x:c>
      <x:c r="AR103" s="60" t="n">
        <x:v>63.68744163513183</x:v>
      </x:c>
      <x:c r="AS103" s="60" t="n">
        <x:v>63.96682739257813</x:v>
      </x:c>
      <x:c r="AT103" s="60" t="n">
        <x:v>64.22594146728515</x:v>
      </x:c>
      <x:c r="AU103" s="60" t="n">
        <x:v>64.48816513061523</x:v>
      </x:c>
      <x:c r="AV103" s="60" t="n">
        <x:v>64.75909408569336</x:v>
      </x:c>
      <x:c r="AW103" s="60" t="n">
        <x:v>64.99681854248047</x:v>
      </x:c>
      <x:c r="AX103" s="60" t="n">
        <x:v>65.22338439941406</x:v>
      </x:c>
      <x:c r="AY103" s="60" t="n">
        <x:v>65.49277763366699</x:v>
      </x:c>
      <x:c r="AZ103" s="60" t="n">
        <x:v>65.7509457397461</x:v>
      </x:c>
      <x:c r="BA103" s="60" t="n">
        <x:v>65.99482460021973</x:v>
      </x:c>
      <x:c r="BB103" s="60" t="n">
        <x:v>66.26370239257812</x:v>
      </x:c>
      <x:c r="BC103" s="60" t="n">
        <x:v>66.52784431457519</x:v>
      </x:c>
      <x:c r="BD103" s="60" t="n">
        <x:v>66.76127624511719</x:v>
      </x:c>
      <x:c r="BE103" s="60" t="n">
        <x:v>66.99600830078126</x:v>
      </x:c>
      <x:c r="BF103" s="60" t="n">
        <x:v>67.24491638183594</x:v>
      </x:c>
      <x:c r="BG103" s="60" t="n">
        <x:v>67.48220848083496</x:v>
      </x:c>
      <x:c r="BH103" s="60" t="n">
        <x:v>67.72814819335937</x:v>
      </x:c>
      <x:c r="BI103" s="60" t="n">
        <x:v>67.96477890014648</x:v>
      </x:c>
      <x:c r="BJ103" s="60" t="n">
        <x:v>68.21099731445312</x:v>
      </x:c>
      <x:c r="BK103" s="60" t="n">
        <x:v>68.45802459716796</x:v>
      </x:c>
      <x:c r="BL103" s="60" t="n">
        <x:v>68.68440475463868</x:v>
      </x:c>
      <x:c r="BM103" s="60" t="n">
        <x:v>68.91273651123046</x:v>
      </x:c>
      <x:c r="BN103" s="60" t="n">
        <x:v>69.17135162353516</x:v>
      </x:c>
      <x:c r="BO103" s="60" t="n">
        <x:v>69.43299278259278</x:v>
      </x:c>
      <x:c r="BP103" s="60" t="n">
        <x:v>69.6684910583496</x:v>
      </x:c>
      <x:c r="BQ103" s="60" t="n">
        <x:v>69.89558227539062</x:v>
      </x:c>
      <x:c r="BR103" s="60" t="n">
        <x:v>70.13935943603515</x:v>
      </x:c>
      <x:c r="BS103" s="60" t="n">
        <x:v>70.34619369506837</x:v>
      </x:c>
      <x:c r="BT103" s="60" t="n">
        <x:v>70.56120864868164</x:v>
      </x:c>
      <x:c r="BU103" s="60" t="n">
        <x:v>70.80533401489258</x:v>
      </x:c>
      <x:c r="BV103" s="60" t="n">
        <x:v>71.04549713134766</x:v>
      </x:c>
      <x:c r="BW103" s="60" t="n">
        <x:v>71.2815601348877</x:v>
      </x:c>
      <x:c r="BX103" s="60" t="n">
        <x:v>71.53172912597657</x:v>
      </x:c>
      <x:c r="BY103" s="60" t="n">
        <x:v>71.7703353881836</x:v>
      </x:c>
      <x:c r="BZ103" s="60" t="n">
        <x:v>72.00873992919922</x:v>
      </x:c>
      <x:c r="CA103" s="60" t="n">
        <x:v>72.26087844848632</x:v>
      </x:c>
      <x:c r="CB103" s="60" t="n">
        <x:v>72.50609146118164</x:v>
      </x:c>
      <x:c r="CC103" s="60" t="n">
        <x:v>72.7169361114502</x:v>
      </x:c>
      <x:c r="CD103" s="60" t="n">
        <x:v>72.95769104003907</x:v>
      </x:c>
      <x:c r="CE103" s="60" t="n">
        <x:v>73.19661460876465</x:v>
      </x:c>
      <x:c r="CF103" s="60" t="n">
        <x:v>73.43808013916016</x:v>
      </x:c>
      <x:c r="CG103" s="60" t="n">
        <x:v>73.66894691467286</x:v>
      </x:c>
      <x:c r="CH103" s="60" t="n">
        <x:v>73.89857025146485</x:v>
      </x:c>
      <x:c r="CI103" s="60" t="n">
        <x:v>74.155698928833</x:v>
      </x:c>
      <x:c r="CJ103" s="60" t="n">
        <x:v>74.43107009887696</x:v>
      </x:c>
      <x:c r="CK103" s="60" t="n">
        <x:v>74.69873573303222</x:v>
      </x:c>
      <x:c r="CL103" s="60" t="n">
        <x:v>74.98026092529297</x:v>
      </x:c>
      <x:c r="CM103" s="60" t="n">
        <x:v>75.24716873168946</x:v>
      </x:c>
      <x:c r="CN103" s="60" t="n">
        <x:v>75.51818603515625</x:v>
      </x:c>
      <x:c r="CO103" s="60" t="n">
        <x:v>75.85437553405762</x:v>
      </x:c>
      <x:c r="CP103" s="60" t="n">
        <x:v>76.14434509277343</x:v>
      </x:c>
      <x:c r="CQ103" s="60" t="n">
        <x:v>76.48634292602539</x:v>
      </x:c>
      <x:c r="CR103" s="60" t="n">
        <x:v>76.80550384521484</x:v>
      </x:c>
      <x:c r="CS103" s="60" t="n">
        <x:v>77.15123352050782</x:v>
      </x:c>
      <x:c r="CT103" s="60" t="n">
        <x:v>77.53064422607423</x:v>
      </x:c>
      <x:c r="CU103" s="60" t="n">
        <x:v>77.93793670654297</x:v>
      </x:c>
      <x:c r="CV103" s="60" t="n">
        <x:v>78.38069274902344</x:v>
      </x:c>
      <x:c r="CW103" s="60" t="n">
        <x:v>78.84229164123535</x:v>
      </x:c>
      <x:c r="CX103" s="60" t="n">
        <x:v>79.39482818603516</x:v>
      </x:c>
      <x:c r="CY103" s="60" t="n">
        <x:v>79.93864463806152</x:v>
      </x:c>
      <x:c r="CZ103" s="60" t="n">
        <x:v>80.5961653137207</x:v>
      </x:c>
      <x:c r="DA103" s="60" t="n">
        <x:v>81.59894088745115</x:v>
      </x:c>
      <x:c r="DB103" s="60" t="n">
        <x:v>84.90290069580078</x:v>
      </x:c>
    </x:row>
    <x:row r="104">
      <x:c r="A104" t="str">
        <x:v>シャワーズ-1</x:v>
      </x:c>
      <x:c r="B104" t="str">
        <x:v>シャワーズ</x:v>
      </x:c>
      <x:c r="C104" t="str">
        <x:v>アクアリング</x:v>
      </x:c>
      <x:c r="D104" s="60" t="n">
        <x:v>63.64680099487305</x:v>
      </x:c>
      <x:c r="E104" s="60" t="n">
        <x:v>8.567508697509766</x:v>
      </x:c>
      <x:c r="F104" s="60" t="n">
        <x:v>35.09491729736328</x:v>
      </x:c>
      <x:c r="G104" s="60" t="n">
        <x:v>42.151577377319335</x:v>
      </x:c>
      <x:c r="H104" s="60" t="n">
        <x:v>44.43018318176269</x:v>
      </x:c>
      <x:c r="I104" s="60" t="n">
        <x:v>46.014497985839846</x:v>
      </x:c>
      <x:c r="J104" s="60" t="n">
        <x:v>47.30996429443359</x:v>
      </x:c>
      <x:c r="K104" s="60" t="n">
        <x:v>48.32441596984863</x:v>
      </x:c>
      <x:c r="L104" s="60" t="n">
        <x:v>49.16716178894043</x:v>
      </x:c>
      <x:c r="M104" s="60" t="n">
        <x:v>49.98357715606689</x:v>
      </x:c>
      <x:c r="N104" s="60" t="n">
        <x:v>50.69518859863281</x:v>
      </x:c>
      <x:c r="O104" s="60" t="n">
        <x:v>51.33425071716309</x:v>
      </x:c>
      <x:c r="P104" s="60" t="n">
        <x:v>51.93104248046875</x:v>
      </x:c>
      <x:c r="Q104" s="60" t="n">
        <x:v>52.450297889709475</x:v>
      </x:c>
      <x:c r="R104" s="60" t="n">
        <x:v>52.954989166259764</x:v>
      </x:c>
      <x:c r="S104" s="60" t="n">
        <x:v>53.39096973419189</x:v>
      </x:c>
      <x:c r="T104" s="60" t="n">
        <x:v>53.88245719909668</x:v>
      </x:c>
      <x:c r="U104" s="60" t="n">
        <x:v>54.35402355194092</x:v>
      </x:c>
      <x:c r="V104" s="60" t="n">
        <x:v>54.75209259033203</x:v>
      </x:c>
      <x:c r="W104" s="60" t="n">
        <x:v>55.134684715271</x:v>
      </x:c>
      <x:c r="X104" s="60" t="n">
        <x:v>55.55311370849609</x:v>
      </x:c>
      <x:c r="Y104" s="60" t="n">
        <x:v>55.9146841430664</x:v>
      </x:c>
      <x:c r="Z104" s="60" t="n">
        <x:v>56.27377853393555</x:v>
      </x:c>
      <x:c r="AA104" s="60" t="n">
        <x:v>56.61044921875</x:v>
      </x:c>
      <x:c r="AB104" s="60" t="n">
        <x:v>56.90596389770508</x:v>
      </x:c>
      <x:c r="AC104" s="60" t="n">
        <x:v>57.25030101776123</x:v>
      </x:c>
      <x:c r="AD104" s="60" t="n">
        <x:v>57.57325866699219</x:v>
      </x:c>
      <x:c r="AE104" s="60" t="n">
        <x:v>57.907883644104004</x:v>
      </x:c>
      <x:c r="AF104" s="60" t="n">
        <x:v>58.21844947814942</x:v>
      </x:c>
      <x:c r="AG104" s="60" t="n">
        <x:v>58.50152057647705</x:v>
      </x:c>
      <x:c r="AH104" s="60" t="n">
        <x:v>58.79019866943359</x:v>
      </x:c>
      <x:c r="AI104" s="60" t="n">
        <x:v>59.0800862121582</x:v>
      </x:c>
      <x:c r="AJ104" s="60" t="n">
        <x:v>59.35099487304687</x:v>
      </x:c>
      <x:c r="AK104" s="60" t="n">
        <x:v>59.633338890075684</x:v>
      </x:c>
      <x:c r="AL104" s="60" t="n">
        <x:v>59.90034240722656</x:v>
      </x:c>
      <x:c r="AM104" s="60" t="n">
        <x:v>60.16865333557129</x:v>
      </x:c>
      <x:c r="AN104" s="60" t="n">
        <x:v>60.43374397277832</x:v>
      </x:c>
      <x:c r="AO104" s="60" t="n">
        <x:v>60.68751373291016</x:v>
      </x:c>
      <x:c r="AP104" s="60" t="n">
        <x:v>60.94113662719727</x:v>
      </x:c>
      <x:c r="AQ104" s="60" t="n">
        <x:v>61.173301162719724</x:v>
      </x:c>
      <x:c r="AR104" s="60" t="n">
        <x:v>61.45159828186035</x:v>
      </x:c>
      <x:c r="AS104" s="60" t="n">
        <x:v>61.70093456268311</x:v>
      </x:c>
      <x:c r="AT104" s="60" t="n">
        <x:v>61.93310775756836</x:v>
      </x:c>
      <x:c r="AU104" s="60" t="n">
        <x:v>62.173476448059084</x:v>
      </x:c>
      <x:c r="AV104" s="60" t="n">
        <x:v>62.44840911865234</x:v>
      </x:c>
      <x:c r="AW104" s="60" t="n">
        <x:v>62.69338661193848</x:v>
      </x:c>
      <x:c r="AX104" s="60" t="n">
        <x:v>62.90954818725586</x:v>
      </x:c>
      <x:c r="AY104" s="60" t="n">
        <x:v>63.17514057159424</x:v>
      </x:c>
      <x:c r="AZ104" s="60" t="n">
        <x:v>63.425177078247074</x:v>
      </x:c>
      <x:c r="BA104" s="60" t="n">
        <x:v>63.66699348449707</x:v>
      </x:c>
      <x:c r="BB104" s="60" t="n">
        <x:v>63.90019073486328</x:v>
      </x:c>
      <x:c r="BC104" s="60" t="n">
        <x:v>64.11906219482422</x:v>
      </x:c>
      <x:c r="BD104" s="60" t="n">
        <x:v>64.3558235168457</x:v>
      </x:c>
      <x:c r="BE104" s="60" t="n">
        <x:v>64.56867752075195</x:v>
      </x:c>
      <x:c r="BF104" s="60" t="n">
        <x:v>64.78970947265626</x:v>
      </x:c>
      <x:c r="BG104" s="60" t="n">
        <x:v>65.03528709411621</x:v>
      </x:c>
      <x:c r="BH104" s="60" t="n">
        <x:v>65.28563003540039</x:v>
      </x:c>
      <x:c r="BI104" s="60" t="n">
        <x:v>65.50863571166992</x:v>
      </x:c>
      <x:c r="BJ104" s="60" t="n">
        <x:v>65.75895568847656</x:v>
      </x:c>
      <x:c r="BK104" s="60" t="n">
        <x:v>65.9883609008789</x:v>
      </x:c>
      <x:c r="BL104" s="60" t="n">
        <x:v>66.21742797851563</x:v>
      </x:c>
      <x:c r="BM104" s="60" t="n">
        <x:v>66.4379783630371</x:v>
      </x:c>
      <x:c r="BN104" s="60" t="n">
        <x:v>66.66799621582031</x:v>
      </x:c>
      <x:c r="BO104" s="60" t="n">
        <x:v>66.90392784118652</x:v>
      </x:c>
      <x:c r="BP104" s="60" t="n">
        <x:v>67.14883911132813</x:v>
      </x:c>
      <x:c r="BQ104" s="60" t="n">
        <x:v>67.38355949401856</x:v>
      </x:c>
      <x:c r="BR104" s="60" t="n">
        <x:v>67.59467864990235</x:v>
      </x:c>
      <x:c r="BS104" s="60" t="n">
        <x:v>67.79140396118164</x:v>
      </x:c>
      <x:c r="BT104" s="60" t="n">
        <x:v>68.03261917114258</x:v>
      </x:c>
      <x:c r="BU104" s="60" t="n">
        <x:v>68.26785293579101</x:v>
      </x:c>
      <x:c r="BV104" s="60" t="n">
        <x:v>68.52956756591797</x:v>
      </x:c>
      <x:c r="BW104" s="60" t="n">
        <x:v>68.7698805999756</x:v>
      </x:c>
      <x:c r="BX104" s="60" t="n">
        <x:v>68.99678268432618</x:v>
      </x:c>
      <x:c r="BY104" s="60" t="n">
        <x:v>69.22918670654296</x:v>
      </x:c>
      <x:c r="BZ104" s="60" t="n">
        <x:v>69.46707763671876</x:v>
      </x:c>
      <x:c r="CA104" s="60" t="n">
        <x:v>69.69100303649903</x:v>
      </x:c>
      <x:c r="CB104" s="60" t="n">
        <x:v>69.92785705566406</x:v>
      </x:c>
      <x:c r="CC104" s="60" t="n">
        <x:v>70.18277740478516</x:v>
      </x:c>
      <x:c r="CD104" s="60" t="n">
        <x:v>70.41908386230469</x:v>
      </x:c>
      <x:c r="CE104" s="60" t="n">
        <x:v>70.66441070556641</x:v>
      </x:c>
      <x:c r="CF104" s="60" t="n">
        <x:v>70.9032292175293</x:v>
      </x:c>
      <x:c r="CG104" s="60" t="n">
        <x:v>71.13552963256836</x:v>
      </x:c>
      <x:c r="CH104" s="60" t="n">
        <x:v>71.38112945556641</x:v>
      </x:c>
      <x:c r="CI104" s="60" t="n">
        <x:v>71.61747444152832</x:v>
      </x:c>
      <x:c r="CJ104" s="60" t="n">
        <x:v>71.85379241943359</x:v>
      </x:c>
      <x:c r="CK104" s="60" t="n">
        <x:v>72.15378067016601</x:v>
      </x:c>
      <x:c r="CL104" s="60" t="n">
        <x:v>72.42770080566406</x:v>
      </x:c>
      <x:c r="CM104" s="60" t="n">
        <x:v>72.75465126037597</x:v>
      </x:c>
      <x:c r="CN104" s="60" t="n">
        <x:v>73.01774307250976</x:v>
      </x:c>
      <x:c r="CO104" s="60" t="n">
        <x:v>73.30435272216796</x:v>
      </x:c>
      <x:c r="CP104" s="60" t="n">
        <x:v>73.59464874267579</x:v>
      </x:c>
      <x:c r="CQ104" s="60" t="n">
        <x:v>73.88474632263184</x:v>
      </x:c>
      <x:c r="CR104" s="60" t="n">
        <x:v>74.29402160644531</x:v>
      </x:c>
      <x:c r="CS104" s="60" t="n">
        <x:v>74.68234588623046</x:v>
      </x:c>
      <x:c r="CT104" s="60" t="n">
        <x:v>75.09291290283204</x:v>
      </x:c>
      <x:c r="CU104" s="60" t="n">
        <x:v>75.46751693725587</x:v>
      </x:c>
      <x:c r="CV104" s="60" t="n">
        <x:v>75.92464172363282</x:v>
      </x:c>
      <x:c r="CW104" s="60" t="n">
        <x:v>76.44127922058107</x:v>
      </x:c>
      <x:c r="CX104" s="60" t="n">
        <x:v>76.94685516357421</x:v>
      </x:c>
      <x:c r="CY104" s="60" t="n">
        <x:v>77.59496788024902</x:v>
      </x:c>
      <x:c r="CZ104" s="60" t="n">
        <x:v>78.4493978881836</x:v>
      </x:c>
      <x:c r="DA104" s="60" t="n">
        <x:v>79.50882331848143</x:v>
      </x:c>
      <x:c r="DB104" s="60" t="n">
        <x:v>84.58146667480469</x:v>
      </x:c>
    </x:row>
    <x:row r="105">
      <x:c r="A105" t="str">
        <x:v>シャワーズ-2</x:v>
      </x:c>
      <x:c r="B105" t="str">
        <x:v>シャワーズ</x:v>
      </x:c>
      <x:c r="C105" t="str">
        <x:v>クイックターン</x:v>
      </x:c>
      <x:c r="D105" s="60" t="n">
        <x:v>66.26737213134766</x:v>
      </x:c>
      <x:c r="E105" s="60" t="n">
        <x:v>5.125381946563721</x:v>
      </x:c>
      <x:c r="F105" s="60" t="n">
        <x:v>45.75572967529297</x:v>
      </x:c>
      <x:c r="G105" s="60" t="n">
        <x:v>52.208946990966794</x:v>
      </x:c>
      <x:c r="H105" s="60" t="n">
        <x:v>53.912106094360354</x:v>
      </x:c>
      <x:c r="I105" s="60" t="n">
        <x:v>55.09324020385742</x:v>
      </x:c>
      <x:c r="J105" s="60" t="n">
        <x:v>56.02114089965821</x:v>
      </x:c>
      <x:c r="K105" s="60" t="n">
        <x:v>56.73866996765137</x:v>
      </x:c>
      <x:c r="L105" s="60" t="n">
        <x:v>57.33397163391113</x:v>
      </x:c>
      <x:c r="M105" s="60" t="n">
        <x:v>57.93420303344727</x:v>
      </x:c>
      <x:c r="N105" s="60" t="n">
        <x:v>58.43777923583984</x:v>
      </x:c>
      <x:c r="O105" s="60" t="n">
        <x:v>58.85361019134521</x:v>
      </x:c>
      <x:c r="P105" s="60" t="n">
        <x:v>59.25412788391113</x:v>
      </x:c>
      <x:c r="Q105" s="60" t="n">
        <x:v>59.55700374603271</x:v>
      </x:c>
      <x:c r="R105" s="60" t="n">
        <x:v>59.878002624511716</x:v>
      </x:c>
      <x:c r="S105" s="60" t="n">
        <x:v>60.19387958526611</x:v>
      </x:c>
      <x:c r="T105" s="60" t="n">
        <x:v>60.529770584106444</x:v>
      </x:c>
      <x:c r="U105" s="60" t="n">
        <x:v>60.794181442260744</x:v>
      </x:c>
      <x:c r="V105" s="60" t="n">
        <x:v>61.03942367553711</x:v>
      </x:c>
      <x:c r="W105" s="60" t="n">
        <x:v>61.291477088928225</x:v>
      </x:c>
      <x:c r="X105" s="60" t="n">
        <x:v>61.57434921264648</x:v>
      </x:c>
      <x:c r="Y105" s="60" t="n">
        <x:v>61.827485427856445</x:v>
      </x:c>
      <x:c r="Z105" s="60" t="n">
        <x:v>62.05122451782226</x:v>
      </x:c>
      <x:c r="AA105" s="60" t="n">
        <x:v>62.29155559539795</x:v>
      </x:c>
      <x:c r="AB105" s="60" t="n">
        <x:v>62.516724548339845</x:v>
      </x:c>
      <x:c r="AC105" s="60" t="n">
        <x:v>62.72069316864014</x:v>
      </x:c>
      <x:c r="AD105" s="60" t="n">
        <x:v>62.906240234375</x:v>
      </x:c>
      <x:c r="AE105" s="60" t="n">
        <x:v>63.10466766357422</x:v>
      </x:c>
      <x:c r="AF105" s="60" t="n">
        <x:v>63.3056436920166</x:v>
      </x:c>
      <x:c r="AG105" s="60" t="n">
        <x:v>63.472107009887694</x:v>
      </x:c>
      <x:c r="AH105" s="60" t="n">
        <x:v>63.637479553222654</x:v>
      </x:c>
      <x:c r="AI105" s="60" t="n">
        <x:v>63.80976505279541</x:v>
      </x:c>
      <x:c r="AJ105" s="60" t="n">
        <x:v>63.97592468261719</x:v>
      </x:c>
      <x:c r="AK105" s="60" t="n">
        <x:v>64.14706047058105</x:v>
      </x:c>
      <x:c r="AL105" s="60" t="n">
        <x:v>64.3168521118164</x:v>
      </x:c>
      <x:c r="AM105" s="60" t="n">
        <x:v>64.48574523925781</x:v>
      </x:c>
      <x:c r="AN105" s="60" t="n">
        <x:v>64.64605682373048</x:v>
      </x:c>
      <x:c r="AO105" s="60" t="n">
        <x:v>64.82339744567871</x:v>
      </x:c>
      <x:c r="AP105" s="60" t="n">
        <x:v>64.97805389404297</x:v>
      </x:c>
      <x:c r="AQ105" s="60" t="n">
        <x:v>65.12527328491211</x:v>
      </x:c>
      <x:c r="AR105" s="60" t="n">
        <x:v>65.27224990844726</x:v>
      </x:c>
      <x:c r="AS105" s="60" t="n">
        <x:v>65.4158489227295</x:v>
      </x:c>
      <x:c r="AT105" s="60" t="n">
        <x:v>65.58418121337891</x:v>
      </x:c>
      <x:c r="AU105" s="60" t="n">
        <x:v>65.69644355773926</x:v>
      </x:c>
      <x:c r="AV105" s="60" t="n">
        <x:v>65.8410612487793</x:v>
      </x:c>
      <x:c r="AW105" s="60" t="n">
        <x:v>65.98110282897949</x:v>
      </x:c>
      <x:c r="AX105" s="60" t="n">
        <x:v>66.10052764892578</x:v>
      </x:c>
      <x:c r="AY105" s="60" t="n">
        <x:v>66.24266242980957</x:v>
      </x:c>
      <x:c r="AZ105" s="60" t="n">
        <x:v>66.38521270751953</x:v>
      </x:c>
      <x:c r="BA105" s="60" t="n">
        <x:v>66.52218116760254</x:v>
      </x:c>
      <x:c r="BB105" s="60" t="n">
        <x:v>66.66281585693359</x:v>
      </x:c>
      <x:c r="BC105" s="60" t="n">
        <x:v>66.795376663208</x:v>
      </x:c>
      <x:c r="BD105" s="60" t="n">
        <x:v>66.93629455566406</x:v>
      </x:c>
      <x:c r="BE105" s="60" t="n">
        <x:v>67.06941024780274</x:v>
      </x:c>
      <x:c r="BF105" s="60" t="n">
        <x:v>67.18880310058594</x:v>
      </x:c>
      <x:c r="BG105" s="60" t="n">
        <x:v>67.32349418640136</x:v>
      </x:c>
      <x:c r="BH105" s="60" t="n">
        <x:v>67.44814208984376</x:v>
      </x:c>
      <x:c r="BI105" s="60" t="n">
        <x:v>67.5794677734375</x:v>
      </x:c>
      <x:c r="BJ105" s="60" t="n">
        <x:v>67.69525329589844</x:v>
      </x:c>
      <x:c r="BK105" s="60" t="n">
        <x:v>67.81418128967286</x:v>
      </x:c>
      <x:c r="BL105" s="60" t="n">
        <x:v>67.9321517944336</x:v>
      </x:c>
      <x:c r="BM105" s="60" t="n">
        <x:v>68.06376663208007</x:v>
      </x:c>
      <x:c r="BN105" s="60" t="n">
        <x:v>68.19034881591797</x:v>
      </x:c>
      <x:c r="BO105" s="60" t="n">
        <x:v>68.32386543273925</x:v>
      </x:c>
      <x:c r="BP105" s="60" t="n">
        <x:v>68.46622634887696</x:v>
      </x:c>
      <x:c r="BQ105" s="60" t="n">
        <x:v>68.59345191955566</x:v>
      </x:c>
      <x:c r="BR105" s="60" t="n">
        <x:v>68.72573669433594</x:v>
      </x:c>
      <x:c r="BS105" s="60" t="n">
        <x:v>68.86804313659668</x:v>
      </x:c>
      <x:c r="BT105" s="60" t="n">
        <x:v>68.99103927612305</x:v>
      </x:c>
      <x:c r="BU105" s="60" t="n">
        <x:v>69.12401786804199</x:v>
      </x:c>
      <x:c r="BV105" s="60" t="n">
        <x:v>69.2547836303711</x:v>
      </x:c>
      <x:c r="BW105" s="60" t="n">
        <x:v>69.37956855773926</x:v>
      </x:c>
      <x:c r="BX105" s="60" t="n">
        <x:v>69.50666046142578</x:v>
      </x:c>
      <x:c r="BY105" s="60" t="n">
        <x:v>69.65151992797851</x:v>
      </x:c>
      <x:c r="BZ105" s="60" t="n">
        <x:v>69.77002563476563</x:v>
      </x:c>
      <x:c r="CA105" s="60" t="n">
        <x:v>69.88625038146972</x:v>
      </x:c>
      <x:c r="CB105" s="60" t="n">
        <x:v>70.0166569519043</x:v>
      </x:c>
      <x:c r="CC105" s="60" t="n">
        <x:v>70.1597957611084</x:v>
      </x:c>
      <x:c r="CD105" s="60" t="n">
        <x:v>70.29368194580078</x:v>
      </x:c>
      <x:c r="CE105" s="60" t="n">
        <x:v>70.41862205505372</x:v>
      </x:c>
      <x:c r="CF105" s="60" t="n">
        <x:v>70.55191696166992</x:v>
      </x:c>
      <x:c r="CG105" s="60" t="n">
        <x:v>70.693148727417</x:v>
      </x:c>
      <x:c r="CH105" s="60" t="n">
        <x:v>70.83009033203125</x:v>
      </x:c>
      <x:c r="CI105" s="60" t="n">
        <x:v>70.9692342376709</x:v>
      </x:c>
      <x:c r="CJ105" s="60" t="n">
        <x:v>71.10861297607421</x:v>
      </x:c>
      <x:c r="CK105" s="60" t="n">
        <x:v>71.24721572875977</x:v>
      </x:c>
      <x:c r="CL105" s="60" t="n">
        <x:v>71.3849105834961</x:v>
      </x:c>
      <x:c r="CM105" s="60" t="n">
        <x:v>71.5526840209961</x:v>
      </x:c>
      <x:c r="CN105" s="60" t="n">
        <x:v>71.69895446777343</x:v>
      </x:c>
      <x:c r="CO105" s="60" t="n">
        <x:v>71.85248977661134</x:v>
      </x:c>
      <x:c r="CP105" s="60" t="n">
        <x:v>72.03146667480469</x:v>
      </x:c>
      <x:c r="CQ105" s="60" t="n">
        <x:v>72.19522148132324</x:v>
      </x:c>
      <x:c r="CR105" s="60" t="n">
        <x:v>72.37331161499023</x:v>
      </x:c>
      <x:c r="CS105" s="60" t="n">
        <x:v>72.54390434265137</x:v>
      </x:c>
      <x:c r="CT105" s="60" t="n">
        <x:v>72.7401205444336</x:v>
      </x:c>
      <x:c r="CU105" s="60" t="n">
        <x:v>72.95114906311035</x:v>
      </x:c>
      <x:c r="CV105" s="60" t="n">
        <x:v>73.17137405395508</x:v>
      </x:c>
      <x:c r="CW105" s="60" t="n">
        <x:v>73.43460845947266</x:v>
      </x:c>
      <x:c r="CX105" s="60" t="n">
        <x:v>73.68524536132813</x:v>
      </x:c>
      <x:c r="CY105" s="60" t="n">
        <x:v>74.02771171569825</x:v>
      </x:c>
      <x:c r="CZ105" s="60" t="n">
        <x:v>74.38218872070313</x:v>
      </x:c>
      <x:c r="DA105" s="60" t="n">
        <x:v>74.9951023864746</x:v>
      </x:c>
      <x:c r="DB105" s="60" t="n">
        <x:v>77.23158264160156</x:v>
      </x:c>
    </x:row>
    <x:row r="106">
      <x:c r="A106" t="str">
        <x:v>ヌメルゴン-1</x:v>
      </x:c>
      <x:c r="B106" t="str">
        <x:v>ヌメルゴン</x:v>
      </x:c>
      <x:c r="C106" t="str">
        <x:v>共通</x:v>
      </x:c>
      <x:c r="D106" s="60" t="n">
        <x:v>64.952392578125</x:v>
      </x:c>
      <x:c r="E106" s="60" t="n">
        <x:v>5.750380992889404</x:v>
      </x:c>
      <x:c r="F106" s="60" t="n">
        <x:v>42.802406311035156</x:v>
      </x:c>
      <x:c r="G106" s="60" t="n">
        <x:v>49.232807121276856</x:v>
      </x:c>
      <x:c r="H106" s="60" t="n">
        <x:v>50.97927711486816</x:v>
      </x:c>
      <x:c r="I106" s="60" t="n">
        <x:v>52.309213409423826</x:v>
      </x:c>
      <x:c r="J106" s="60" t="n">
        <x:v>53.36380935668945</x:v>
      </x:c>
      <x:c r="K106" s="60" t="n">
        <x:v>54.219787788391116</x:v>
      </x:c>
      <x:c r="L106" s="60" t="n">
        <x:v>54.88301834106446</x:v>
      </x:c>
      <x:c r="M106" s="60" t="n">
        <x:v>55.43400192260742</x:v>
      </x:c>
      <x:c r="N106" s="60" t="n">
        <x:v>55.932856750488284</x:v>
      </x:c>
      <x:c r="O106" s="60" t="n">
        <x:v>56.41154006958008</x:v>
      </x:c>
      <x:c r="P106" s="60" t="n">
        <x:v>56.85003318786621</x:v>
      </x:c>
      <x:c r="Q106" s="60" t="n">
        <x:v>57.25283363342285</x:v>
      </x:c>
      <x:c r="R106" s="60" t="n">
        <x:v>57.685531005859374</x:v>
      </x:c>
      <x:c r="S106" s="60" t="n">
        <x:v>58.056289253234866</x:v>
      </x:c>
      <x:c r="T106" s="60" t="n">
        <x:v>58.38319709777832</x:v>
      </x:c>
      <x:c r="U106" s="60" t="n">
        <x:v>58.71064491271973</x:v>
      </x:c>
      <x:c r="V106" s="60" t="n">
        <x:v>58.99549102783203</x:v>
      </x:c>
      <x:c r="W106" s="60" t="n">
        <x:v>59.30020164489746</x:v>
      </x:c>
      <x:c r="X106" s="60" t="n">
        <x:v>59.60591987609863</x:v>
      </x:c>
      <x:c r="Y106" s="60" t="n">
        <x:v>59.89771690368652</x:v>
      </x:c>
      <x:c r="Z106" s="60" t="n">
        <x:v>60.183806610107425</x:v>
      </x:c>
      <x:c r="AA106" s="60" t="n">
        <x:v>60.452897491455076</x:v>
      </x:c>
      <x:c r="AB106" s="60" t="n">
        <x:v>60.69206222534179</x:v>
      </x:c>
      <x:c r="AC106" s="60" t="n">
        <x:v>60.961695976257325</x:v>
      </x:c>
      <x:c r="AD106" s="60" t="n">
        <x:v>61.20280670166016</x:v>
      </x:c>
      <x:c r="AE106" s="60" t="n">
        <x:v>61.41956424713135</x:v>
      </x:c>
      <x:c r="AF106" s="60" t="n">
        <x:v>61.6278914642334</x:v>
      </x:c>
      <x:c r="AG106" s="60" t="n">
        <x:v>61.833484230041506</x:v>
      </x:c>
      <x:c r="AH106" s="60" t="n">
        <x:v>62.03089828491211</x:v>
      </x:c>
      <x:c r="AI106" s="60" t="n">
        <x:v>62.253294792175296</x:v>
      </x:c>
      <x:c r="AJ106" s="60" t="n">
        <x:v>62.473609161376956</x:v>
      </x:c>
      <x:c r="AK106" s="60" t="n">
        <x:v>62.65120666503906</x:v>
      </x:c>
      <x:c r="AL106" s="60" t="n">
        <x:v>62.84748413085938</x:v>
      </x:c>
      <x:c r="AM106" s="60" t="n">
        <x:v>63.02793182373047</x:v>
      </x:c>
      <x:c r="AN106" s="60" t="n">
        <x:v>63.22816955566407</x:v>
      </x:c>
      <x:c r="AO106" s="60" t="n">
        <x:v>63.406173133850096</x:v>
      </x:c>
      <x:c r="AP106" s="60" t="n">
        <x:v>63.571390838623046</x:v>
      </x:c>
      <x:c r="AQ106" s="60" t="n">
        <x:v>63.74070083618164</x:v>
      </x:c>
      <x:c r="AR106" s="60" t="n">
        <x:v>63.942459182739256</x:v>
      </x:c>
      <x:c r="AS106" s="60" t="n">
        <x:v>64.11443832397461</x:v>
      </x:c>
      <x:c r="AT106" s="60" t="n">
        <x:v>64.27762603759766</x:v>
      </x:c>
      <x:c r="AU106" s="60" t="n">
        <x:v>64.44367454528809</x:v>
      </x:c>
      <x:c r="AV106" s="60" t="n">
        <x:v>64.60093933105469</x:v>
      </x:c>
      <x:c r="AW106" s="60" t="n">
        <x:v>64.75470474243164</x:v>
      </x:c>
      <x:c r="AX106" s="60" t="n">
        <x:v>64.9134683227539</x:v>
      </x:c>
      <x:c r="AY106" s="60" t="n">
        <x:v>65.04520072937012</x:v>
      </x:c>
      <x:c r="AZ106" s="60" t="n">
        <x:v>65.20535415649414</x:v>
      </x:c>
      <x:c r="BA106" s="60" t="n">
        <x:v>65.36483329772949</x:v>
      </x:c>
      <x:c r="BB106" s="60" t="n">
        <x:v>65.5181817626953</x:v>
      </x:c>
      <x:c r="BC106" s="60" t="n">
        <x:v>65.66325325012207</x:v>
      </x:c>
      <x:c r="BD106" s="60" t="n">
        <x:v>65.81314086914062</x:v>
      </x:c>
      <x:c r="BE106" s="60" t="n">
        <x:v>65.94997901916504</x:v>
      </x:c>
      <x:c r="BF106" s="60" t="n">
        <x:v>66.10660705566406</x:v>
      </x:c>
      <x:c r="BG106" s="60" t="n">
        <x:v>66.25621963500977</x:v>
      </x:c>
      <x:c r="BH106" s="60" t="n">
        <x:v>66.40546569824218</x:v>
      </x:c>
      <x:c r="BI106" s="60" t="n">
        <x:v>66.553715133667</x:v>
      </x:c>
      <x:c r="BJ106" s="60" t="n">
        <x:v>66.68637542724609</x:v>
      </x:c>
      <x:c r="BK106" s="60" t="n">
        <x:v>66.83914085388183</x:v>
      </x:c>
      <x:c r="BL106" s="60" t="n">
        <x:v>66.98103713989258</x:v>
      </x:c>
      <x:c r="BM106" s="60" t="n">
        <x:v>67.11549880981445</x:v>
      </x:c>
      <x:c r="BN106" s="60" t="n">
        <x:v>67.23921203613281</x:v>
      </x:c>
      <x:c r="BO106" s="60" t="n">
        <x:v>67.38566246032715</x:v>
      </x:c>
      <x:c r="BP106" s="60" t="n">
        <x:v>67.52252288818359</x:v>
      </x:c>
      <x:c r="BQ106" s="60" t="n">
        <x:v>67.66149879455567</x:v>
      </x:c>
      <x:c r="BR106" s="60" t="n">
        <x:v>67.79966033935547</x:v>
      </x:c>
      <x:c r="BS106" s="60" t="n">
        <x:v>67.92578048706055</x:v>
      </x:c>
      <x:c r="BT106" s="60" t="n">
        <x:v>68.05924041748047</x:v>
      </x:c>
      <x:c r="BU106" s="60" t="n">
        <x:v>68.19562675476074</x:v>
      </x:c>
      <x:c r="BV106" s="60" t="n">
        <x:v>68.32764617919922</x:v>
      </x:c>
      <x:c r="BW106" s="60" t="n">
        <x:v>68.46432609558106</x:v>
      </x:c>
      <x:c r="BX106" s="60" t="n">
        <x:v>68.61392135620117</x:v>
      </x:c>
      <x:c r="BY106" s="60" t="n">
        <x:v>68.76207626342773</x:v>
      </x:c>
      <x:c r="BZ106" s="60" t="n">
        <x:v>68.89614135742187</x:v>
      </x:c>
      <x:c r="CA106" s="60" t="n">
        <x:v>69.0388320159912</x:v>
      </x:c>
      <x:c r="CB106" s="60" t="n">
        <x:v>69.18384201049804</x:v>
      </x:c>
      <x:c r="CC106" s="60" t="n">
        <x:v>69.31603813171387</x:v>
      </x:c>
      <x:c r="CD106" s="60" t="n">
        <x:v>69.43671997070312</x:v>
      </x:c>
      <x:c r="CE106" s="60" t="n">
        <x:v>69.58238220214844</x:v>
      </x:c>
      <x:c r="CF106" s="60" t="n">
        <x:v>69.72260406494141</x:v>
      </x:c>
      <x:c r="CG106" s="60" t="n">
        <x:v>69.86712181091309</x:v>
      </x:c>
      <x:c r="CH106" s="60" t="n">
        <x:v>70.0048095703125</x:v>
      </x:c>
      <x:c r="CI106" s="60" t="n">
        <x:v>70.15866287231445</x:v>
      </x:c>
      <x:c r="CJ106" s="60" t="n">
        <x:v>70.31050140380859</x:v>
      </x:c>
      <x:c r="CK106" s="60" t="n">
        <x:v>70.47615951538086</x:v>
      </x:c>
      <x:c r="CL106" s="60" t="n">
        <x:v>70.62715759277344</x:v>
      </x:c>
      <x:c r="CM106" s="60" t="n">
        <x:v>70.7717113494873</x:v>
      </x:c>
      <x:c r="CN106" s="60" t="n">
        <x:v>70.9183659362793</x:v>
      </x:c>
      <x:c r="CO106" s="60" t="n">
        <x:v>71.08842163085937</x:v>
      </x:c>
      <x:c r="CP106" s="60" t="n">
        <x:v>71.2580874633789</x:v>
      </x:c>
      <x:c r="CQ106" s="60" t="n">
        <x:v>71.46552780151367</x:v>
      </x:c>
      <x:c r="CR106" s="60" t="n">
        <x:v>71.64907150268554</x:v>
      </x:c>
      <x:c r="CS106" s="60" t="n">
        <x:v>71.8337654876709</x:v>
      </x:c>
      <x:c r="CT106" s="60" t="n">
        <x:v>72.06489166259766</x:v>
      </x:c>
      <x:c r="CU106" s="60" t="n">
        <x:v>72.31583274841309</x:v>
      </x:c>
      <x:c r="CV106" s="60" t="n">
        <x:v>72.58402038574219</x:v>
      </x:c>
      <x:c r="CW106" s="60" t="n">
        <x:v>72.8916389465332</x:v>
      </x:c>
      <x:c r="CX106" s="60" t="n">
        <x:v>73.15846740722657</x:v>
      </x:c>
      <x:c r="CY106" s="60" t="n">
        <x:v>73.54329307556152</x:v>
      </x:c>
      <x:c r="CZ106" s="60" t="n">
        <x:v>74.00997970581055</x:v>
      </x:c>
      <x:c r="DA106" s="60" t="n">
        <x:v>74.64058952331543</x:v>
      </x:c>
      <x:c r="DB106" s="60" t="n">
        <x:v>78.19292449951172</x:v>
      </x:c>
    </x:row>
    <x:row r="107">
      <x:c r="A107" t="str">
        <x:v>フリーザー-1</x:v>
      </x:c>
      <x:c r="B107" t="str">
        <x:v>フリーザー</x:v>
      </x:c>
      <x:c r="C107" t="str">
        <x:v>共通</x:v>
      </x:c>
      <x:c r="D107" s="60" t="n">
        <x:v>63.37409210205078</x:v>
      </x:c>
      <x:c r="E107" s="60" t="n">
        <x:v>6.397578239440918</x:v>
      </x:c>
      <x:c r="F107" s="60" t="n">
        <x:v>40.41124725341797</x:v>
      </x:c>
      <x:c r="G107" s="60" t="n">
        <x:v>46.62560428619385</x:v>
      </x:c>
      <x:c r="H107" s="60" t="n">
        <x:v>48.56349021911621</x:v>
      </x:c>
      <x:c r="I107" s="60" t="n">
        <x:v>49.80677032470703</x:v>
      </x:c>
      <x:c r="J107" s="60" t="n">
        <x:v>50.74675933837891</x:v>
      </x:c>
      <x:c r="K107" s="60" t="n">
        <x:v>51.621701049804685</x:v>
      </x:c>
      <x:c r="L107" s="60" t="n">
        <x:v>52.349664764404295</x:v>
      </x:c>
      <x:c r="M107" s="60" t="n">
        <x:v>52.95507259368897</x:v>
      </x:c>
      <x:c r="N107" s="60" t="n">
        <x:v>53.54010513305664</x:v>
      </x:c>
      <x:c r="O107" s="60" t="n">
        <x:v>54.032951202392574</x:v>
      </x:c>
      <x:c r="P107" s="60" t="n">
        <x:v>54.49804878234863</x:v>
      </x:c>
      <x:c r="Q107" s="60" t="n">
        <x:v>54.92403846740723</x:v>
      </x:c>
      <x:c r="R107" s="60" t="n">
        <x:v>55.347244567871094</x:v>
      </x:c>
      <x:c r="S107" s="60" t="n">
        <x:v>55.73856494903564</x:v>
      </x:c>
      <x:c r="T107" s="60" t="n">
        <x:v>56.07811050415039</x:v>
      </x:c>
      <x:c r="U107" s="60" t="n">
        <x:v>56.4284854888916</x:v>
      </x:c>
      <x:c r="V107" s="60" t="n">
        <x:v>56.74172302246094</x:v>
      </x:c>
      <x:c r="W107" s="60" t="n">
        <x:v>57.01777896881104</x:v>
      </x:c>
      <x:c r="X107" s="60" t="n">
        <x:v>57.35429122924805</x:v>
      </x:c>
      <x:c r="Y107" s="60" t="n">
        <x:v>57.640769462585446</x:v>
      </x:c>
      <x:c r="Z107" s="60" t="n">
        <x:v>57.903404235839844</x:v>
      </x:c>
      <x:c r="AA107" s="60" t="n">
        <x:v>58.17350326538086</x:v>
      </x:c>
      <x:c r="AB107" s="60" t="n">
        <x:v>58.42404609680176</x:v>
      </x:c>
      <x:c r="AC107" s="60" t="n">
        <x:v>58.6796662902832</x:v>
      </x:c>
      <x:c r="AD107" s="60" t="n">
        <x:v>58.928080291748046</x:v>
      </x:c>
      <x:c r="AE107" s="60" t="n">
        <x:v>59.17377281188965</x:v>
      </x:c>
      <x:c r="AF107" s="60" t="n">
        <x:v>59.425389251708985</x:v>
      </x:c>
      <x:c r="AG107" s="60" t="n">
        <x:v>59.687123756408695</x:v>
      </x:c>
      <x:c r="AH107" s="60" t="n">
        <x:v>59.90408218383789</x:v>
      </x:c>
      <x:c r="AI107" s="60" t="n">
        <x:v>60.11618316650391</x:v>
      </x:c>
      <x:c r="AJ107" s="60" t="n">
        <x:v>60.34336357116699</x:v>
      </x:c>
      <x:c r="AK107" s="60" t="n">
        <x:v>60.55179344177246</x:v>
      </x:c>
      <x:c r="AL107" s="60" t="n">
        <x:v>60.78683242797852</x:v>
      </x:c>
      <x:c r="AM107" s="60" t="n">
        <x:v>60.97669036865234</x:v>
      </x:c>
      <x:c r="AN107" s="60" t="n">
        <x:v>61.16701141357422</x:v>
      </x:c>
      <x:c r="AO107" s="60" t="n">
        <x:v>61.355540084838864</x:v>
      </x:c>
      <x:c r="AP107" s="60" t="n">
        <x:v>61.52908309936524</x:v>
      </x:c>
      <x:c r="AQ107" s="60" t="n">
        <x:v>61.708782272338865</x:v>
      </x:c>
      <x:c r="AR107" s="60" t="n">
        <x:v>61.90346290588379</x:v>
      </x:c>
      <x:c r="AS107" s="60" t="n">
        <x:v>62.11358299255371</x:v>
      </x:c>
      <x:c r="AT107" s="60" t="n">
        <x:v>62.31234436035156</x:v>
      </x:c>
      <x:c r="AU107" s="60" t="n">
        <x:v>62.48847618103027</x:v>
      </x:c>
      <x:c r="AV107" s="60" t="n">
        <x:v>62.674446182250975</x:v>
      </x:c>
      <x:c r="AW107" s="60" t="n">
        <x:v>62.85960952758789</x:v>
      </x:c>
      <x:c r="AX107" s="60" t="n">
        <x:v>63.030807647705075</x:v>
      </x:c>
      <x:c r="AY107" s="60" t="n">
        <x:v>63.23055362701416</x:v>
      </x:c>
      <x:c r="AZ107" s="60" t="n">
        <x:v>63.41562294006348</x:v>
      </x:c>
      <x:c r="BA107" s="60" t="n">
        <x:v>63.589085998535154</x:v>
      </x:c>
      <x:c r="BB107" s="60" t="n">
        <x:v>63.74214981079101</x:v>
      </x:c>
      <x:c r="BC107" s="60" t="n">
        <x:v>63.94091800689697</x:v>
      </x:c>
      <x:c r="BD107" s="60" t="n">
        <x:v>64.12084197998047</x:v>
      </x:c>
      <x:c r="BE107" s="60" t="n">
        <x:v>64.29887367248536</x:v>
      </x:c>
      <x:c r="BF107" s="60" t="n">
        <x:v>64.4604345703125</x:v>
      </x:c>
      <x:c r="BG107" s="60" t="n">
        <x:v>64.6302882385254</x:v>
      </x:c>
      <x:c r="BH107" s="60" t="n">
        <x:v>64.79846923828126</x:v>
      </x:c>
      <x:c r="BI107" s="60" t="n">
        <x:v>64.95727844238282</x:v>
      </x:c>
      <x:c r="BJ107" s="60" t="n">
        <x:v>65.12714447021484</x:v>
      </x:c>
      <x:c r="BK107" s="60" t="n">
        <x:v>65.28689804077149</x:v>
      </x:c>
      <x:c r="BL107" s="60" t="n">
        <x:v>65.46141540527344</x:v>
      </x:c>
      <x:c r="BM107" s="60" t="n">
        <x:v>65.6184317779541</x:v>
      </x:c>
      <x:c r="BN107" s="60" t="n">
        <x:v>65.77759246826172</x:v>
      </x:c>
      <x:c r="BO107" s="60" t="n">
        <x:v>65.94077857971192</x:v>
      </x:c>
      <x:c r="BP107" s="60" t="n">
        <x:v>66.11312469482422</x:v>
      </x:c>
      <x:c r="BQ107" s="60" t="n">
        <x:v>66.28879051208496</x:v>
      </x:c>
      <x:c r="BR107" s="60" t="n">
        <x:v>66.45630401611328</x:v>
      </x:c>
      <x:c r="BS107" s="60" t="n">
        <x:v>66.64226722717285</x:v>
      </x:c>
      <x:c r="BT107" s="60" t="n">
        <x:v>66.80024322509766</x:v>
      </x:c>
      <x:c r="BU107" s="60" t="n">
        <x:v>66.96451751708985</x:v>
      </x:c>
      <x:c r="BV107" s="60" t="n">
        <x:v>67.12382110595703</x:v>
      </x:c>
      <x:c r="BW107" s="60" t="n">
        <x:v>67.30347946166992</x:v>
      </x:c>
      <x:c r="BX107" s="60" t="n">
        <x:v>67.47078475952148</x:v>
      </x:c>
      <x:c r="BY107" s="60" t="n">
        <x:v>67.6605558013916</x:v>
      </x:c>
      <x:c r="BZ107" s="60" t="n">
        <x:v>67.81637786865234</x:v>
      </x:c>
      <x:c r="CA107" s="60" t="n">
        <x:v>67.99128562927245</x:v>
      </x:c>
      <x:c r="CB107" s="60" t="n">
        <x:v>68.1517547607422</x:v>
      </x:c>
      <x:c r="CC107" s="60" t="n">
        <x:v>68.3152027130127</x:v>
      </x:c>
      <x:c r="CD107" s="60" t="n">
        <x:v>68.46038604736329</x:v>
      </x:c>
      <x:c r="CE107" s="60" t="n">
        <x:v>68.6423875427246</x:v>
      </x:c>
      <x:c r="CF107" s="60" t="n">
        <x:v>68.80766464233399</x:v>
      </x:c>
      <x:c r="CG107" s="60" t="n">
        <x:v>68.97414360046386</x:v>
      </x:c>
      <x:c r="CH107" s="60" t="n">
        <x:v>69.14630279541015</x:v>
      </x:c>
      <x:c r="CI107" s="60" t="n">
        <x:v>69.3361555480957</x:v>
      </x:c>
      <x:c r="CJ107" s="60" t="n">
        <x:v>69.5029978942871</x:v>
      </x:c>
      <x:c r="CK107" s="60" t="n">
        <x:v>69.70169662475585</x:v>
      </x:c>
      <x:c r="CL107" s="60" t="n">
        <x:v>69.89304840087891</x:v>
      </x:c>
      <x:c r="CM107" s="60" t="n">
        <x:v>70.08839797973633</x:v>
      </x:c>
      <x:c r="CN107" s="60" t="n">
        <x:v>70.27277450561523</x:v>
      </x:c>
      <x:c r="CO107" s="60" t="n">
        <x:v>70.46378868103028</x:v>
      </x:c>
      <x:c r="CP107" s="60" t="n">
        <x:v>70.68705627441406</x:v>
      </x:c>
      <x:c r="CQ107" s="60" t="n">
        <x:v>70.91124809265136</x:v>
      </x:c>
      <x:c r="CR107" s="60" t="n">
        <x:v>71.14383850097656</x:v>
      </x:c>
      <x:c r="CS107" s="60" t="n">
        <x:v>71.38658683776856</x:v>
      </x:c>
      <x:c r="CT107" s="60" t="n">
        <x:v>71.66193176269532</x:v>
      </x:c>
      <x:c r="CU107" s="60" t="n">
        <x:v>71.90388847351075</x:v>
      </x:c>
      <x:c r="CV107" s="60" t="n">
        <x:v>72.18740341186523</x:v>
      </x:c>
      <x:c r="CW107" s="60" t="n">
        <x:v>72.49912719726562</x:v>
      </x:c>
      <x:c r="CX107" s="60" t="n">
        <x:v>72.81984191894531</x:v>
      </x:c>
      <x:c r="CY107" s="60" t="n">
        <x:v>73.22220481872559</x:v>
      </x:c>
      <x:c r="CZ107" s="60" t="n">
        <x:v>73.80140853881836</x:v>
      </x:c>
      <x:c r="DA107" s="60" t="n">
        <x:v>74.49121932983397</x:v>
      </x:c>
      <x:c r="DB107" s="60" t="n">
        <x:v>77.1549301147461</x:v>
      </x:c>
    </x:row>
    <x:row r="108">
      <x:c r="A108" t="str">
        <x:v>ブラッキー-1</x:v>
      </x:c>
      <x:c r="B108" t="str">
        <x:v>ブラッキー</x:v>
      </x:c>
      <x:c r="C108" t="str">
        <x:v>ねがいごと</x:v>
      </x:c>
      <x:c r="D108" s="60" t="n">
        <x:v>63.69761276245117</x:v>
      </x:c>
      <x:c r="E108" s="60" t="n">
        <x:v>8.625110626220703</x:v>
      </x:c>
      <x:c r="F108" s="60" t="n">
        <x:v>34.44783020019531</x:v>
      </x:c>
      <x:c r="G108" s="60" t="n">
        <x:v>42.15766960144043</x:v>
      </x:c>
      <x:c r="H108" s="60" t="n">
        <x:v>44.244413223266605</x:v>
      </x:c>
      <x:c r="I108" s="60" t="n">
        <x:v>45.95977916717529</x:v>
      </x:c>
      <x:c r="J108" s="60" t="n">
        <x:v>47.22324310302734</x:v>
      </x:c>
      <x:c r="K108" s="60" t="n">
        <x:v>48.221595001220706</x:v>
      </x:c>
      <x:c r="L108" s="60" t="n">
        <x:v>49.089634552001954</x:v>
      </x:c>
      <x:c r="M108" s="60" t="n">
        <x:v>49.92549877166748</x:v>
      </x:c>
      <x:c r="N108" s="60" t="n">
        <x:v>50.59831298828125</x:v>
      </x:c>
      <x:c r="O108" s="60" t="n">
        <x:v>51.28429496765137</x:v>
      </x:c>
      <x:c r="P108" s="60" t="n">
        <x:v>51.89349555969238</x:v>
      </x:c>
      <x:c r="Q108" s="60" t="n">
        <x:v>52.44808212280273</x:v>
      </x:c>
      <x:c r="R108" s="60" t="n">
        <x:v>52.97310806274414</x:v>
      </x:c>
      <x:c r="S108" s="60" t="n">
        <x:v>53.44733013153076</x:v>
      </x:c>
      <x:c r="T108" s="60" t="n">
        <x:v>53.910136947631834</x:v>
      </x:c>
      <x:c r="U108" s="60" t="n">
        <x:v>54.32369518280029</x:v>
      </x:c>
      <x:c r="V108" s="60" t="n">
        <x:v>54.75352188110352</x:v>
      </x:c>
      <x:c r="W108" s="60" t="n">
        <x:v>55.15746017456055</x:v>
      </x:c>
      <x:c r="X108" s="60" t="n">
        <x:v>55.53753143310547</x:v>
      </x:c>
      <x:c r="Y108" s="60" t="n">
        <x:v>55.900975456237795</x:v>
      </x:c>
      <x:c r="Z108" s="60" t="n">
        <x:v>56.276030731201175</x:v>
      </x:c>
      <x:c r="AA108" s="60" t="n">
        <x:v>56.62505764007568</x:v>
      </x:c>
      <x:c r="AB108" s="60" t="n">
        <x:v>56.920632400512694</x:v>
      </x:c>
      <x:c r="AC108" s="60" t="n">
        <x:v>57.29824443817139</x:v>
      </x:c>
      <x:c r="AD108" s="60" t="n">
        <x:v>57.649890441894534</x:v>
      </x:c>
      <x:c r="AE108" s="60" t="n">
        <x:v>57.976980209350586</x:v>
      </x:c>
      <x:c r="AF108" s="60" t="n">
        <x:v>58.27502159118652</x:v>
      </x:c>
      <x:c r="AG108" s="60" t="n">
        <x:v>58.5815007019043</x:v>
      </x:c>
      <x:c r="AH108" s="60" t="n">
        <x:v>58.86036651611328</x:v>
      </x:c>
      <x:c r="AI108" s="60" t="n">
        <x:v>59.10200225830078</x:v>
      </x:c>
      <x:c r="AJ108" s="60" t="n">
        <x:v>59.381172561645506</x:v>
      </x:c>
      <x:c r="AK108" s="60" t="n">
        <x:v>59.653313179016116</x:v>
      </x:c>
      <x:c r="AL108" s="60" t="n">
        <x:v>59.92618804931641</x:v>
      </x:c>
      <x:c r="AM108" s="60" t="n">
        <x:v>60.208758125305174</x:v>
      </x:c>
      <x:c r="AN108" s="60" t="n">
        <x:v>60.46484329223633</x:v>
      </x:c>
      <x:c r="AO108" s="60" t="n">
        <x:v>60.7217981338501</x:v>
      </x:c>
      <x:c r="AP108" s="60" t="n">
        <x:v>60.97587295532227</x:v>
      </x:c>
      <x:c r="AQ108" s="60" t="n">
        <x:v>61.24471446990967</x:v>
      </x:c>
      <x:c r="AR108" s="60" t="n">
        <x:v>61.487845230102536</x:v>
      </x:c>
      <x:c r="AS108" s="60" t="n">
        <x:v>61.738310928344724</x:v>
      </x:c>
      <x:c r="AT108" s="60" t="n">
        <x:v>62.0142318725586</x:v>
      </x:c>
      <x:c r="AU108" s="60" t="n">
        <x:v>62.27310619354248</x:v>
      </x:c>
      <x:c r="AV108" s="60" t="n">
        <x:v>62.511573028564456</x:v>
      </x:c>
      <x:c r="AW108" s="60" t="n">
        <x:v>62.73926231384277</x:v>
      </x:c>
      <x:c r="AX108" s="60" t="n">
        <x:v>62.96496124267578</x:v>
      </x:c>
      <x:c r="AY108" s="60" t="n">
        <x:v>63.20621509552002</x:v>
      </x:c>
      <x:c r="AZ108" s="60" t="n">
        <x:v>63.45631324768066</x:v>
      </x:c>
      <x:c r="BA108" s="60" t="n">
        <x:v>63.697002487182615</x:v>
      </x:c>
      <x:c r="BB108" s="60" t="n">
        <x:v>63.93912536621094</x:v>
      </x:c>
      <x:c r="BC108" s="60" t="n">
        <x:v>64.18439186096191</x:v>
      </x:c>
      <x:c r="BD108" s="60" t="n">
        <x:v>64.41672134399414</x:v>
      </x:c>
      <x:c r="BE108" s="60" t="n">
        <x:v>64.63413566589355</x:v>
      </x:c>
      <x:c r="BF108" s="60" t="n">
        <x:v>64.88541809082031</x:v>
      </x:c>
      <x:c r="BG108" s="60" t="n">
        <x:v>65.11578033447266</x:v>
      </x:c>
      <x:c r="BH108" s="60" t="n">
        <x:v>65.34992935180664</x:v>
      </x:c>
      <x:c r="BI108" s="60" t="n">
        <x:v>65.58344306945801</x:v>
      </x:c>
      <x:c r="BJ108" s="60" t="n">
        <x:v>65.84045837402344</x:v>
      </x:c>
      <x:c r="BK108" s="60" t="n">
        <x:v>66.07256538391114</x:v>
      </x:c>
      <x:c r="BL108" s="60" t="n">
        <x:v>66.31377090454102</x:v>
      </x:c>
      <x:c r="BM108" s="60" t="n">
        <x:v>66.542953414917</x:v>
      </x:c>
      <x:c r="BN108" s="60" t="n">
        <x:v>66.7640609741211</x:v>
      </x:c>
      <x:c r="BO108" s="60" t="n">
        <x:v>67.00800880432129</x:v>
      </x:c>
      <x:c r="BP108" s="60" t="n">
        <x:v>67.22994461059571</x:v>
      </x:c>
      <x:c r="BQ108" s="60" t="n">
        <x:v>67.44962539672852</x:v>
      </x:c>
      <x:c r="BR108" s="60" t="n">
        <x:v>67.65135314941406</x:v>
      </x:c>
      <x:c r="BS108" s="60" t="n">
        <x:v>67.86844139099121</x:v>
      </x:c>
      <x:c r="BT108" s="60" t="n">
        <x:v>68.10726425170898</x:v>
      </x:c>
      <x:c r="BU108" s="60" t="n">
        <x:v>68.33633377075195</x:v>
      </x:c>
      <x:c r="BV108" s="60" t="n">
        <x:v>68.58319427490234</x:v>
      </x:c>
      <x:c r="BW108" s="60" t="n">
        <x:v>68.81064559936523</x:v>
      </x:c>
      <x:c r="BX108" s="60" t="n">
        <x:v>69.07516860961914</x:v>
      </x:c>
      <x:c r="BY108" s="60" t="n">
        <x:v>69.3181241607666</x:v>
      </x:c>
      <x:c r="BZ108" s="60" t="n">
        <x:v>69.54833587646485</x:v>
      </x:c>
      <x:c r="CA108" s="60" t="n">
        <x:v>69.76921287536621</x:v>
      </x:c>
      <x:c r="CB108" s="60" t="n">
        <x:v>70.01476119995117</x:v>
      </x:c>
      <x:c r="CC108" s="60" t="n">
        <x:v>70.26619148254395</x:v>
      </x:c>
      <x:c r="CD108" s="60" t="n">
        <x:v>70.51184936523437</x:v>
      </x:c>
      <x:c r="CE108" s="60" t="n">
        <x:v>70.7326739501953</x:v>
      </x:c>
      <x:c r="CF108" s="60" t="n">
        <x:v>70.98169052124024</x:v>
      </x:c>
      <x:c r="CG108" s="60" t="n">
        <x:v>71.21900573730468</x:v>
      </x:c>
      <x:c r="CH108" s="60" t="n">
        <x:v>71.49287414550781</x:v>
      </x:c>
      <x:c r="CI108" s="60" t="n">
        <x:v>71.7271827697754</x:v>
      </x:c>
      <x:c r="CJ108" s="60" t="n">
        <x:v>71.97401245117187</x:v>
      </x:c>
      <x:c r="CK108" s="60" t="n">
        <x:v>72.24885070800782</x:v>
      </x:c>
      <x:c r="CL108" s="60" t="n">
        <x:v>72.54954376220704</x:v>
      </x:c>
      <x:c r="CM108" s="60" t="n">
        <x:v>72.84737396240234</x:v>
      </x:c>
      <x:c r="CN108" s="60" t="n">
        <x:v>73.12183715820312</x:v>
      </x:c>
      <x:c r="CO108" s="60" t="n">
        <x:v>73.42445808410645</x:v>
      </x:c>
      <x:c r="CP108" s="60" t="n">
        <x:v>73.71070404052735</x:v>
      </x:c>
      <x:c r="CQ108" s="60" t="n">
        <x:v>74.03566650390626</x:v>
      </x:c>
      <x:c r="CR108" s="60" t="n">
        <x:v>74.38890914916992</x:v>
      </x:c>
      <x:c r="CS108" s="60" t="n">
        <x:v>74.73511077880859</x:v>
      </x:c>
      <x:c r="CT108" s="60" t="n">
        <x:v>75.11502990722657</x:v>
      </x:c>
      <x:c r="CU108" s="60" t="n">
        <x:v>75.53232948303223</x:v>
      </x:c>
      <x:c r="CV108" s="60" t="n">
        <x:v>76.02539306640625</x:v>
      </x:c>
      <x:c r="CW108" s="60" t="n">
        <x:v>76.59532470703127</x:v>
      </x:c>
      <x:c r="CX108" s="60" t="n">
        <x:v>77.11798400878907</x:v>
      </x:c>
      <x:c r="CY108" s="60" t="n">
        <x:v>77.71565864562989</x:v>
      </x:c>
      <x:c r="CZ108" s="60" t="n">
        <x:v>78.55496536254884</x:v>
      </x:c>
      <x:c r="DA108" s="60" t="n">
        <x:v>79.61461303710938</x:v>
      </x:c>
      <x:c r="DB108" s="60" t="n">
        <x:v>85.00176239013672</x:v>
      </x:c>
    </x:row>
    <x:row r="109">
      <x:c r="A109" t="str">
        <x:v>ブラッキー-2</x:v>
      </x:c>
      <x:c r="B109" t="str">
        <x:v>ブラッキー</x:v>
      </x:c>
      <x:c r="C109" t="str">
        <x:v>イカサマ</x:v>
      </x:c>
      <x:c r="D109" s="60" t="n">
        <x:v>63.38570022583008</x:v>
      </x:c>
      <x:c r="E109" s="60" t="n">
        <x:v>5.243695259094238</x:v>
      </x:c>
      <x:c r="F109" s="60" t="n">
        <x:v>43.99723434448242</x:v>
      </x:c>
      <x:c r="G109" s="60" t="n">
        <x:v>49.78501842498779</x:v>
      </x:c>
      <x:c r="H109" s="60" t="n">
        <x:v>51.41755172729492</x:v>
      </x:c>
      <x:c r="I109" s="60" t="n">
        <x:v>52.47335243225098</x:v>
      </x:c>
      <x:c r="J109" s="60" t="n">
        <x:v>53.28670867919922</x:v>
      </x:c>
      <x:c r="K109" s="60" t="n">
        <x:v>53.97565402984619</x:v>
      </x:c>
      <x:c r="L109" s="60" t="n">
        <x:v>54.512887191772464</x:v>
      </x:c>
      <x:c r="M109" s="60" t="n">
        <x:v>55.00884246826172</x:v>
      </x:c>
      <x:c r="N109" s="60" t="n">
        <x:v>55.426758728027345</x:v>
      </x:c>
      <x:c r="O109" s="60" t="n">
        <x:v>55.84794681549072</x:v>
      </x:c>
      <x:c r="P109" s="60" t="n">
        <x:v>56.18640289306641</x:v>
      </x:c>
      <x:c r="Q109" s="60" t="n">
        <x:v>56.513595504760744</x:v>
      </x:c>
      <x:c r="R109" s="60" t="n">
        <x:v>56.81848693847656</x:v>
      </x:c>
      <x:c r="S109" s="60" t="n">
        <x:v>57.15860420227051</x:v>
      </x:c>
      <x:c r="T109" s="60" t="n">
        <x:v>57.451455459594726</x:v>
      </x:c>
      <x:c r="U109" s="60" t="n">
        <x:v>57.708907508850096</x:v>
      </x:c>
      <x:c r="V109" s="60" t="n">
        <x:v>57.9995458984375</x:v>
      </x:c>
      <x:c r="W109" s="60" t="n">
        <x:v>58.280054054260255</x:v>
      </x:c>
      <x:c r="X109" s="60" t="n">
        <x:v>58.539025115966794</x:v>
      </x:c>
      <x:c r="Y109" s="60" t="n">
        <x:v>58.75589126586914</x:v>
      </x:c>
      <x:c r="Z109" s="60" t="n">
        <x:v>58.99720230102539</x:v>
      </x:c>
      <x:c r="AA109" s="60" t="n">
        <x:v>59.230157356262204</x:v>
      </x:c>
      <x:c r="AB109" s="60" t="n">
        <x:v>59.43380805969238</x:v>
      </x:c>
      <x:c r="AC109" s="60" t="n">
        <x:v>59.62133636474609</x:v>
      </x:c>
      <x:c r="AD109" s="60" t="n">
        <x:v>59.81295928955078</x:v>
      </x:c>
      <x:c r="AE109" s="60" t="n">
        <x:v>59.99371528625488</x:v>
      </x:c>
      <x:c r="AF109" s="60" t="n">
        <x:v>60.180647735595706</x:v>
      </x:c>
      <x:c r="AG109" s="60" t="n">
        <x:v>60.35089782714844</x:v>
      </x:c>
      <x:c r="AH109" s="60" t="n">
        <x:v>60.53052307128906</x:v>
      </x:c>
      <x:c r="AI109" s="60" t="n">
        <x:v>60.71133419036865</x:v>
      </x:c>
      <x:c r="AJ109" s="60" t="n">
        <x:v>60.8783576965332</x:v>
      </x:c>
      <x:c r="AK109" s="60" t="n">
        <x:v>61.068345108032226</x:v>
      </x:c>
      <x:c r="AL109" s="60" t="n">
        <x:v>61.237168884277345</x:v>
      </x:c>
      <x:c r="AM109" s="60" t="n">
        <x:v>61.37081432342529</x:v>
      </x:c>
      <x:c r="AN109" s="60" t="n">
        <x:v>61.52116668701172</x:v>
      </x:c>
      <x:c r="AO109" s="60" t="n">
        <x:v>61.663862800598146</x:v>
      </x:c>
      <x:c r="AP109" s="60" t="n">
        <x:v>61.823857421875</x:v>
      </x:c>
      <x:c r="AQ109" s="60" t="n">
        <x:v>61.98688606262207</x:v>
      </x:c>
      <x:c r="AR109" s="60" t="n">
        <x:v>62.13904151916504</x:v>
      </x:c>
      <x:c r="AS109" s="60" t="n">
        <x:v>62.29389350891113</x:v>
      </x:c>
      <x:c r="AT109" s="60" t="n">
        <x:v>62.43520812988281</x:v>
      </x:c>
      <x:c r="AU109" s="60" t="n">
        <x:v>62.58064426422119</x:v>
      </x:c>
      <x:c r="AV109" s="60" t="n">
        <x:v>62.73819076538086</x:v>
      </x:c>
      <x:c r="AW109" s="60" t="n">
        <x:v>62.907177505493166</x:v>
      </x:c>
      <x:c r="AX109" s="60" t="n">
        <x:v>63.04859573364258</x:v>
      </x:c>
      <x:c r="AY109" s="60" t="n">
        <x:v>63.18900775909424</x:v>
      </x:c>
      <x:c r="AZ109" s="60" t="n">
        <x:v>63.3331665802002</x:v>
      </x:c>
      <x:c r="BA109" s="60" t="n">
        <x:v>63.46523509979248</x:v>
      </x:c>
      <x:c r="BB109" s="60" t="n">
        <x:v>63.61419174194336</x:v>
      </x:c>
      <x:c r="BC109" s="60" t="n">
        <x:v>63.74692028045654</x:v>
      </x:c>
      <x:c r="BD109" s="60" t="n">
        <x:v>63.883615493774414</x:v>
      </x:c>
      <x:c r="BE109" s="60" t="n">
        <x:v>64.028871383667</x:v>
      </x:c>
      <x:c r="BF109" s="60" t="n">
        <x:v>64.16287139892579</x:v>
      </x:c>
      <x:c r="BG109" s="60" t="n">
        <x:v>64.30767990112305</x:v>
      </x:c>
      <x:c r="BH109" s="60" t="n">
        <x:v>64.44151260375976</x:v>
      </x:c>
      <x:c r="BI109" s="60" t="n">
        <x:v>64.5662109375</x:v>
      </x:c>
      <x:c r="BJ109" s="60" t="n">
        <x:v>64.6849658203125</x:v>
      </x:c>
      <x:c r="BK109" s="60" t="n">
        <x:v>64.8342123413086</x:v>
      </x:c>
      <x:c r="BL109" s="60" t="n">
        <x:v>64.97876892089843</x:v>
      </x:c>
      <x:c r="BM109" s="60" t="n">
        <x:v>65.12233848571778</x:v>
      </x:c>
      <x:c r="BN109" s="60" t="n">
        <x:v>65.24359588623047</x:v>
      </x:c>
      <x:c r="BO109" s="60" t="n">
        <x:v>65.39847877502442</x:v>
      </x:c>
      <x:c r="BP109" s="60" t="n">
        <x:v>65.52301910400391</x:v>
      </x:c>
      <x:c r="BQ109" s="60" t="n">
        <x:v>65.66355438232422</x:v>
      </x:c>
      <x:c r="BR109" s="60" t="n">
        <x:v>65.7899331665039</x:v>
      </x:c>
      <x:c r="BS109" s="60" t="n">
        <x:v>65.9104118347168</x:v>
      </x:c>
      <x:c r="BT109" s="60" t="n">
        <x:v>66.04860748291016</x:v>
      </x:c>
      <x:c r="BU109" s="60" t="n">
        <x:v>66.18034332275391</x:v>
      </x:c>
      <x:c r="BV109" s="60" t="n">
        <x:v>66.31211303710937</x:v>
      </x:c>
      <x:c r="BW109" s="60" t="n">
        <x:v>66.46925155639649</x:v>
      </x:c>
      <x:c r="BX109" s="60" t="n">
        <x:v>66.58802337646485</x:v>
      </x:c>
      <x:c r="BY109" s="60" t="n">
        <x:v>66.71139892578125</x:v>
      </x:c>
      <x:c r="BZ109" s="60" t="n">
        <x:v>66.86809814453125</x:v>
      </x:c>
      <x:c r="CA109" s="60" t="n">
        <x:v>67.01456069946289</x:v>
      </x:c>
      <x:c r="CB109" s="60" t="n">
        <x:v>67.15382339477539</x:v>
      </x:c>
      <x:c r="CC109" s="60" t="n">
        <x:v>67.29697036743164</x:v>
      </x:c>
      <x:c r="CD109" s="60" t="n">
        <x:v>67.44028015136719</x:v>
      </x:c>
      <x:c r="CE109" s="60" t="n">
        <x:v>67.57998474121094</x:v>
      </x:c>
      <x:c r="CF109" s="60" t="n">
        <x:v>67.73831024169922</x:v>
      </x:c>
      <x:c r="CG109" s="60" t="n">
        <x:v>67.89666549682617</x:v>
      </x:c>
      <x:c r="CH109" s="60" t="n">
        <x:v>68.05477752685547</x:v>
      </x:c>
      <x:c r="CI109" s="60" t="n">
        <x:v>68.22528869628906</x:v>
      </x:c>
      <x:c r="CJ109" s="60" t="n">
        <x:v>68.38985549926758</x:v>
      </x:c>
      <x:c r="CK109" s="60" t="n">
        <x:v>68.55318893432617</x:v>
      </x:c>
      <x:c r="CL109" s="60" t="n">
        <x:v>68.72752777099609</x:v>
      </x:c>
      <x:c r="CM109" s="60" t="n">
        <x:v>68.90414733886719</x:v>
      </x:c>
      <x:c r="CN109" s="60" t="n">
        <x:v>69.06350143432617</x:v>
      </x:c>
      <x:c r="CO109" s="60" t="n">
        <x:v>69.24529891967774</x:v>
      </x:c>
      <x:c r="CP109" s="60" t="n">
        <x:v>69.44510955810547</x:v>
      </x:c>
      <x:c r="CQ109" s="60" t="n">
        <x:v>69.61555366516113</x:v>
      </x:c>
      <x:c r="CR109" s="60" t="n">
        <x:v>69.82411270141601</x:v>
      </x:c>
      <x:c r="CS109" s="60" t="n">
        <x:v>70.06601997375488</x:v>
      </x:c>
      <x:c r="CT109" s="60" t="n">
        <x:v>70.29206146240234</x:v>
      </x:c>
      <x:c r="CU109" s="60" t="n">
        <x:v>70.51526344299316</x:v>
      </x:c>
      <x:c r="CV109" s="60" t="n">
        <x:v>70.79744720458984</x:v>
      </x:c>
      <x:c r="CW109" s="60" t="n">
        <x:v>71.13129234313966</x:v>
      </x:c>
      <x:c r="CX109" s="60" t="n">
        <x:v>71.45237335205078</x:v>
      </x:c>
      <x:c r="CY109" s="60" t="n">
        <x:v>71.8517381286621</x:v>
      </x:c>
      <x:c r="CZ109" s="60" t="n">
        <x:v>72.2948065185547</x:v>
      </x:c>
      <x:c r="DA109" s="60" t="n">
        <x:v>72.90895820617675</x:v>
      </x:c>
      <x:c r="DB109" s="60" t="n">
        <x:v>75.3870849609375</x:v>
      </x:c>
    </x:row>
    <x:row r="110">
      <x:c r="A110" t="str">
        <x:v>ホウオウ-1</x:v>
      </x:c>
      <x:c r="B110" t="str">
        <x:v>ホウオウ</x:v>
      </x:c>
      <x:c r="C110" t="str">
        <x:v>かえんほうしゃ</x:v>
      </x:c>
      <x:c r="D110" s="60" t="n">
        <x:v>64.86563873291016</x:v>
      </x:c>
      <x:c r="E110" s="60" t="n">
        <x:v>6.1565656661987305</x:v>
      </x:c>
      <x:c r="F110" s="60" t="n">
        <x:v>40.396270751953125</x:v>
      </x:c>
      <x:c r="G110" s="60" t="n">
        <x:v>47.94431526184082</x:v>
      </x:c>
      <x:c r="H110" s="60" t="n">
        <x:v>49.79367607116699</x:v>
      </x:c>
      <x:c r="I110" s="60" t="n">
        <x:v>51.1793021774292</x:v>
      </x:c>
      <x:c r="J110" s="60" t="n">
        <x:v>52.27342437744141</x:v>
      </x:c>
      <x:c r="K110" s="60" t="n">
        <x:v>53.1606523513794</x:v>
      </x:c>
      <x:c r="L110" s="60" t="n">
        <x:v>53.8317839050293</x:v>
      </x:c>
      <x:c r="M110" s="60" t="n">
        <x:v>54.57776802062988</x:v>
      </x:c>
      <x:c r="N110" s="60" t="n">
        <x:v>55.16069458007812</x:v>
      </x:c>
      <x:c r="O110" s="60" t="n">
        <x:v>55.71044792175293</x:v>
      </x:c>
      <x:c r="P110" s="60" t="n">
        <x:v>56.21235809326172</x:v>
      </x:c>
      <x:c r="Q110" s="60" t="n">
        <x:v>56.62875114440918</x:v>
      </x:c>
      <x:c r="R110" s="60" t="n">
        <x:v>57.03009841918945</x:v>
      </x:c>
      <x:c r="S110" s="60" t="n">
        <x:v>57.43439640045166</x:v>
      </x:c>
      <x:c r="T110" s="60" t="n">
        <x:v>57.7840567779541</x:v>
      </x:c>
      <x:c r="U110" s="60" t="n">
        <x:v>58.12678871154785</x:v>
      </x:c>
      <x:c r="V110" s="60" t="n">
        <x:v>58.44040374755859</x:v>
      </x:c>
      <x:c r="W110" s="60" t="n">
        <x:v>58.750629615783694</x:v>
      </x:c>
      <x:c r="X110" s="60" t="n">
        <x:v>59.065608215332034</x:v>
      </x:c>
      <x:c r="Y110" s="60" t="n">
        <x:v>59.38754405975342</x:v>
      </x:c>
      <x:c r="Z110" s="60" t="n">
        <x:v>59.692996978759766</x:v>
      </x:c>
      <x:c r="AA110" s="60" t="n">
        <x:v>60.00007381439209</x:v>
      </x:c>
      <x:c r="AB110" s="60" t="n">
        <x:v>60.272891159057615</x:v>
      </x:c>
      <x:c r="AC110" s="60" t="n">
        <x:v>60.54843997955322</x:v>
      </x:c>
      <x:c r="AD110" s="60" t="n">
        <x:v>60.78309829711914</x:v>
      </x:c>
      <x:c r="AE110" s="60" t="n">
        <x:v>61.01649475097656</x:v>
      </x:c>
      <x:c r="AF110" s="60" t="n">
        <x:v>61.27100898742676</x:v>
      </x:c>
      <x:c r="AG110" s="60" t="n">
        <x:v>61.50574886322021</x:v>
      </x:c>
      <x:c r="AH110" s="60" t="n">
        <x:v>61.74777206420899</x:v>
      </x:c>
      <x:c r="AI110" s="60" t="n">
        <x:v>61.9744779586792</x:v>
      </x:c>
      <x:c r="AJ110" s="60" t="n">
        <x:v>62.21702919006348</x:v>
      </x:c>
      <x:c r="AK110" s="60" t="n">
        <x:v>62.41359279632568</x:v>
      </x:c>
      <x:c r="AL110" s="60" t="n">
        <x:v>62.61216995239258</x:v>
      </x:c>
      <x:c r="AM110" s="60" t="n">
        <x:v>62.803678016662595</x:v>
      </x:c>
      <x:c r="AN110" s="60" t="n">
        <x:v>63.03415710449219</x:v>
      </x:c>
      <x:c r="AO110" s="60" t="n">
        <x:v>63.223053550720216</x:v>
      </x:c>
      <x:c r="AP110" s="60" t="n">
        <x:v>63.421898956298826</x:v>
      </x:c>
      <x:c r="AQ110" s="60" t="n">
        <x:v>63.63638008117676</x:v>
      </x:c>
      <x:c r="AR110" s="60" t="n">
        <x:v>63.832543487548826</x:v>
      </x:c>
      <x:c r="AS110" s="60" t="n">
        <x:v>64.0065609741211</x:v>
      </x:c>
      <x:c r="AT110" s="60" t="n">
        <x:v>64.18505096435547</x:v>
      </x:c>
      <x:c r="AU110" s="60" t="n">
        <x:v>64.37477088928223</x:v>
      </x:c>
      <x:c r="AV110" s="60" t="n">
        <x:v>64.55213027954102</x:v>
      </x:c>
      <x:c r="AW110" s="60" t="n">
        <x:v>64.71709609985352</x:v>
      </x:c>
      <x:c r="AX110" s="60" t="n">
        <x:v>64.90611114501954</x:v>
      </x:c>
      <x:c r="AY110" s="60" t="n">
        <x:v>65.10080337524414</x:v>
      </x:c>
      <x:c r="AZ110" s="60" t="n">
        <x:v>65.26806549072266</x:v>
      </x:c>
      <x:c r="BA110" s="60" t="n">
        <x:v>65.44210464477538</x:v>
      </x:c>
      <x:c r="BB110" s="60" t="n">
        <x:v>65.60398406982422</x:v>
      </x:c>
      <x:c r="BC110" s="60" t="n">
        <x:v>65.7774234008789</x:v>
      </x:c>
      <x:c r="BD110" s="60" t="n">
        <x:v>65.93715286254883</x:v>
      </x:c>
      <x:c r="BE110" s="60" t="n">
        <x:v>66.11153297424316</x:v>
      </x:c>
      <x:c r="BF110" s="60" t="n">
        <x:v>66.26362518310548</x:v>
      </x:c>
      <x:c r="BG110" s="60" t="n">
        <x:v>66.4299967956543</x:v>
      </x:c>
      <x:c r="BH110" s="60" t="n">
        <x:v>66.59807723999023</x:v>
      </x:c>
      <x:c r="BI110" s="60" t="n">
        <x:v>66.74936103820801</x:v>
      </x:c>
      <x:c r="BJ110" s="60" t="n">
        <x:v>66.91391357421875</x:v>
      </x:c>
      <x:c r="BK110" s="60" t="n">
        <x:v>67.07890594482421</x:v>
      </x:c>
      <x:c r="BL110" s="60" t="n">
        <x:v>67.22227569580077</x:v>
      </x:c>
      <x:c r="BM110" s="60" t="n">
        <x:v>67.3777855682373</x:v>
      </x:c>
      <x:c r="BN110" s="60" t="n">
        <x:v>67.51102294921876</x:v>
      </x:c>
      <x:c r="BO110" s="60" t="n">
        <x:v>67.65360809326172</x:v>
      </x:c>
      <x:c r="BP110" s="60" t="n">
        <x:v>67.80629989624023</x:v>
      </x:c>
      <x:c r="BQ110" s="60" t="n">
        <x:v>67.96803329467774</x:v>
      </x:c>
      <x:c r="BR110" s="60" t="n">
        <x:v>68.11745086669922</x:v>
      </x:c>
      <x:c r="BS110" s="60" t="n">
        <x:v>68.26147232055663</x:v>
      </x:c>
      <x:c r="BT110" s="60" t="n">
        <x:v>68.39804656982422</x:v>
      </x:c>
      <x:c r="BU110" s="60" t="n">
        <x:v>68.530210647583</x:v>
      </x:c>
      <x:c r="BV110" s="60" t="n">
        <x:v>68.66559020996094</x:v>
      </x:c>
      <x:c r="BW110" s="60" t="n">
        <x:v>68.80863403320312</x:v>
      </x:c>
      <x:c r="BX110" s="60" t="n">
        <x:v>68.94874420166016</x:v>
      </x:c>
      <x:c r="BY110" s="60" t="n">
        <x:v>69.09481170654297</x:v>
      </x:c>
      <x:c r="BZ110" s="60" t="n">
        <x:v>69.24288482666016</x:v>
      </x:c>
      <x:c r="CA110" s="60" t="n">
        <x:v>69.38089752197266</x:v>
      </x:c>
      <x:c r="CB110" s="60" t="n">
        <x:v>69.51148529052735</x:v>
      </x:c>
      <x:c r="CC110" s="60" t="n">
        <x:v>69.64225769042969</x:v>
      </x:c>
      <x:c r="CD110" s="60" t="n">
        <x:v>69.78030029296875</x:v>
      </x:c>
      <x:c r="CE110" s="60" t="n">
        <x:v>69.91058868408203</x:v>
      </x:c>
      <x:c r="CF110" s="60" t="n">
        <x:v>70.05988967895507</x:v>
      </x:c>
      <x:c r="CG110" s="60" t="n">
        <x:v>70.21021461486816</x:v>
      </x:c>
      <x:c r="CH110" s="60" t="n">
        <x:v>70.34908142089844</x:v>
      </x:c>
      <x:c r="CI110" s="60" t="n">
        <x:v>70.49693801879883</x:v>
      </x:c>
      <x:c r="CJ110" s="60" t="n">
        <x:v>70.64490859985352</x:v>
      </x:c>
      <x:c r="CK110" s="60" t="n">
        <x:v>70.79361854553223</x:v>
      </x:c>
      <x:c r="CL110" s="60" t="n">
        <x:v>70.95714965820312</x:v>
      </x:c>
      <x:c r="CM110" s="60" t="n">
        <x:v>71.12448806762696</x:v>
      </x:c>
      <x:c r="CN110" s="60" t="n">
        <x:v>71.29996215820313</x:v>
      </x:c>
      <x:c r="CO110" s="60" t="n">
        <x:v>71.44582344055176</x:v>
      </x:c>
      <x:c r="CP110" s="60" t="n">
        <x:v>71.60764678955078</x:v>
      </x:c>
      <x:c r="CQ110" s="60" t="n">
        <x:v>71.76923683166504</x:v>
      </x:c>
      <x:c r="CR110" s="60" t="n">
        <x:v>71.94626235961914</x:v>
      </x:c>
      <x:c r="CS110" s="60" t="n">
        <x:v>72.11675987243652</x:v>
      </x:c>
      <x:c r="CT110" s="60" t="n">
        <x:v>72.30567962646485</x:v>
      </x:c>
      <x:c r="CU110" s="60" t="n">
        <x:v>72.52099388122558</x:v>
      </x:c>
      <x:c r="CV110" s="60" t="n">
        <x:v>72.75060333251953</x:v>
      </x:c>
      <x:c r="CW110" s="60" t="n">
        <x:v>72.97358551025391</x:v>
      </x:c>
      <x:c r="CX110" s="60" t="n">
        <x:v>73.25073486328125</x:v>
      </x:c>
      <x:c r="CY110" s="60" t="n">
        <x:v>73.5545606994629</x:v>
      </x:c>
      <x:c r="CZ110" s="60" t="n">
        <x:v>73.8932844543457</x:v>
      </x:c>
      <x:c r="DA110" s="60" t="n">
        <x:v>74.44789909362792</x:v>
      </x:c>
      <x:c r="DB110" s="60" t="n">
        <x:v>76.78905487060547</x:v>
      </x:c>
    </x:row>
    <x:row r="111">
      <x:c r="A111" t="str">
        <x:v>ホウオウ-2</x:v>
      </x:c>
      <x:c r="B111" t="str">
        <x:v>ホウオウ</x:v>
      </x:c>
      <x:c r="C111" t="str">
        <x:v>ゴッドバード</x:v>
      </x:c>
      <x:c r="D111" s="60" t="n">
        <x:v>66.8203125</x:v>
      </x:c>
      <x:c r="E111" s="60" t="n">
        <x:v>5.566959857940674</x:v>
      </x:c>
      <x:c r="F111" s="60" t="n">
        <x:v>44.11893081665039</x:v>
      </x:c>
      <x:c r="G111" s="60" t="n">
        <x:v>51.87321147918701</x:v>
      </x:c>
      <x:c r="H111" s="60" t="n">
        <x:v>53.682405166625976</x:v>
      </x:c>
      <x:c r="I111" s="60" t="n">
        <x:v>54.88175445556641</x:v>
      </x:c>
      <x:c r="J111" s="60" t="n">
        <x:v>55.91587142944336</x:v>
      </x:c>
      <x:c r="K111" s="60" t="n">
        <x:v>56.68789558410644</x:v>
      </x:c>
      <x:c r="L111" s="60" t="n">
        <x:v>57.441062393188474</x:v>
      </x:c>
      <x:c r="M111" s="60" t="n">
        <x:v>58.00784317016602</x:v>
      </x:c>
      <x:c r="N111" s="60" t="n">
        <x:v>58.558499603271486</x:v>
      </x:c>
      <x:c r="O111" s="60" t="n">
        <x:v>58.98863220214844</x:v>
      </x:c>
      <x:c r="P111" s="60" t="n">
        <x:v>59.36827049255371</x:v>
      </x:c>
      <x:c r="Q111" s="60" t="n">
        <x:v>59.73276298522949</x:v>
      </x:c>
      <x:c r="R111" s="60" t="n">
        <x:v>60.060938415527346</x:v>
      </x:c>
      <x:c r="S111" s="60" t="n">
        <x:v>60.38303363800049</x:v>
      </x:c>
      <x:c r="T111" s="60" t="n">
        <x:v>60.694428024291994</x:v>
      </x:c>
      <x:c r="U111" s="60" t="n">
        <x:v>60.97564430236817</x:v>
      </x:c>
      <x:c r="V111" s="60" t="n">
        <x:v>61.195592346191404</x:v>
      </x:c>
      <x:c r="W111" s="60" t="n">
        <x:v>61.48017795562744</x:v>
      </x:c>
      <x:c r="X111" s="60" t="n">
        <x:v>61.73682960510254</x:v>
      </x:c>
      <x:c r="Y111" s="60" t="n">
        <x:v>62.002833671569825</x:v>
      </x:c>
      <x:c r="Z111" s="60" t="n">
        <x:v>62.225792694091794</x:v>
      </x:c>
      <x:c r="AA111" s="60" t="n">
        <x:v>62.46188976287842</x:v>
      </x:c>
      <x:c r="AB111" s="60" t="n">
        <x:v>62.67411659240722</x:v>
      </x:c>
      <x:c r="AC111" s="60" t="n">
        <x:v>62.87118812561035</x:v>
      </x:c>
      <x:c r="AD111" s="60" t="n">
        <x:v>63.08508590698242</x:v>
      </x:c>
      <x:c r="AE111" s="60" t="n">
        <x:v>63.27580261230469</x:v>
      </x:c>
      <x:c r="AF111" s="60" t="n">
        <x:v>63.48295310974121</x:v>
      </x:c>
      <x:c r="AG111" s="60" t="n">
        <x:v>63.679981269836425</x:v>
      </x:c>
      <x:c r="AH111" s="60" t="n">
        <x:v>63.87819549560547</x:v>
      </x:c>
      <x:c r="AI111" s="60" t="n">
        <x:v>64.05563346862793</x:v>
      </x:c>
      <x:c r="AJ111" s="60" t="n">
        <x:v>64.22428359985352</x:v>
      </x:c>
      <x:c r="AK111" s="60" t="n">
        <x:v>64.40550689697265</x:v>
      </x:c>
      <x:c r="AL111" s="60" t="n">
        <x:v>64.59440338134766</x:v>
      </x:c>
      <x:c r="AM111" s="60" t="n">
        <x:v>64.77944847106933</x:v>
      </x:c>
      <x:c r="AN111" s="60" t="n">
        <x:v>64.95751525878906</x:v>
      </x:c>
      <x:c r="AO111" s="60" t="n">
        <x:v>65.14865951538086</x:v>
      </x:c>
      <x:c r="AP111" s="60" t="n">
        <x:v>65.32283996582031</x:v>
      </x:c>
      <x:c r="AQ111" s="60" t="n">
        <x:v>65.49105415344238</x:v>
      </x:c>
      <x:c r="AR111" s="60" t="n">
        <x:v>65.65604049682617</x:v>
      </x:c>
      <x:c r="AS111" s="60" t="n">
        <x:v>65.81402709960938</x:v>
      </x:c>
      <x:c r="AT111" s="60" t="n">
        <x:v>65.96068572998047</x:v>
      </x:c>
      <x:c r="AU111" s="60" t="n">
        <x:v>66.1173038482666</x:v>
      </x:c>
      <x:c r="AV111" s="60" t="n">
        <x:v>66.25598449707032</x:v>
      </x:c>
      <x:c r="AW111" s="60" t="n">
        <x:v>66.40794258117675</x:v>
      </x:c>
      <x:c r="AX111" s="60" t="n">
        <x:v>66.54479583740235</x:v>
      </x:c>
      <x:c r="AY111" s="60" t="n">
        <x:v>66.6923957824707</x:v>
      </x:c>
      <x:c r="AZ111" s="60" t="n">
        <x:v>66.82483657836914</x:v>
      </x:c>
      <x:c r="BA111" s="60" t="n">
        <x:v>66.96873001098633</x:v>
      </x:c>
      <x:c r="BB111" s="60" t="n">
        <x:v>67.10130310058594</x:v>
      </x:c>
      <x:c r="BC111" s="60" t="n">
        <x:v>67.23503356933594</x:v>
      </x:c>
      <x:c r="BD111" s="60" t="n">
        <x:v>67.3686637878418</x:v>
      </x:c>
      <x:c r="BE111" s="60" t="n">
        <x:v>67.50682815551758</x:v>
      </x:c>
      <x:c r="BF111" s="60" t="n">
        <x:v>67.64775817871094</x:v>
      </x:c>
      <x:c r="BG111" s="60" t="n">
        <x:v>67.79576805114746</x:v>
      </x:c>
      <x:c r="BH111" s="60" t="n">
        <x:v>67.93819183349609</x:v>
      </x:c>
      <x:c r="BI111" s="60" t="n">
        <x:v>68.07603302001954</x:v>
      </x:c>
      <x:c r="BJ111" s="60" t="n">
        <x:v>68.22265686035156</x:v>
      </x:c>
      <x:c r="BK111" s="60" t="n">
        <x:v>68.3649772644043</x:v>
      </x:c>
      <x:c r="BL111" s="60" t="n">
        <x:v>68.4894921875</x:v>
      </x:c>
      <x:c r="BM111" s="60" t="n">
        <x:v>68.62209434509278</x:v>
      </x:c>
      <x:c r="BN111" s="60" t="n">
        <x:v>68.7623275756836</x:v>
      </x:c>
      <x:c r="BO111" s="60" t="n">
        <x:v>68.90108390808105</x:v>
      </x:c>
      <x:c r="BP111" s="60" t="n">
        <x:v>69.05954452514648</x:v>
      </x:c>
      <x:c r="BQ111" s="60" t="n">
        <x:v>69.20053489685058</x:v>
      </x:c>
      <x:c r="BR111" s="60" t="n">
        <x:v>69.32286102294923</x:v>
      </x:c>
      <x:c r="BS111" s="60" t="n">
        <x:v>69.45571746826172</x:v>
      </x:c>
      <x:c r="BT111" s="60" t="n">
        <x:v>69.6007633972168</x:v>
      </x:c>
      <x:c r="BU111" s="60" t="n">
        <x:v>69.72529670715332</x:v>
      </x:c>
      <x:c r="BV111" s="60" t="n">
        <x:v>69.85255401611329</x:v>
      </x:c>
      <x:c r="BW111" s="60" t="n">
        <x:v>69.9816529083252</x:v>
      </x:c>
      <x:c r="BX111" s="60" t="n">
        <x:v>70.12517623901367</x:v>
      </x:c>
      <x:c r="BY111" s="60" t="n">
        <x:v>70.2769482421875</x:v>
      </x:c>
      <x:c r="BZ111" s="60" t="n">
        <x:v>70.43020385742187</x:v>
      </x:c>
      <x:c r="CA111" s="60" t="n">
        <x:v>70.57847229003906</x:v>
      </x:c>
      <x:c r="CB111" s="60" t="n">
        <x:v>70.71959716796874</x:v>
      </x:c>
      <x:c r="CC111" s="60" t="n">
        <x:v>70.8741683959961</x:v>
      </x:c>
      <x:c r="CD111" s="60" t="n">
        <x:v>71.03408325195312</x:v>
      </x:c>
      <x:c r="CE111" s="60" t="n">
        <x:v>71.18477928161622</x:v>
      </x:c>
      <x:c r="CF111" s="60" t="n">
        <x:v>71.34956359863281</x:v>
      </x:c>
      <x:c r="CG111" s="60" t="n">
        <x:v>71.48887382507324</x:v>
      </x:c>
      <x:c r="CH111" s="60" t="n">
        <x:v>71.65258178710937</x:v>
      </x:c>
      <x:c r="CI111" s="60" t="n">
        <x:v>71.81408142089843</x:v>
      </x:c>
      <x:c r="CJ111" s="60" t="n">
        <x:v>71.98993728637696</x:v>
      </x:c>
      <x:c r="CK111" s="60" t="n">
        <x:v>72.16475082397461</x:v>
      </x:c>
      <x:c r="CL111" s="60" t="n">
        <x:v>72.33222595214843</x:v>
      </x:c>
      <x:c r="CM111" s="60" t="n">
        <x:v>72.53085403442383</x:v>
      </x:c>
      <x:c r="CN111" s="60" t="n">
        <x:v>72.70419143676757</x:v>
      </x:c>
      <x:c r="CO111" s="60" t="n">
        <x:v>72.89825317382812</x:v>
      </x:c>
      <x:c r="CP111" s="60" t="n">
        <x:v>73.08033142089843</x:v>
      </x:c>
      <x:c r="CQ111" s="60" t="n">
        <x:v>73.29064956665039</x:v>
      </x:c>
      <x:c r="CR111" s="60" t="n">
        <x:v>73.54781570434571</x:v>
      </x:c>
      <x:c r="CS111" s="60" t="n">
        <x:v>73.7890754699707</x:v>
      </x:c>
      <x:c r="CT111" s="60" t="n">
        <x:v>74.04468200683594</x:v>
      </x:c>
      <x:c r="CU111" s="60" t="n">
        <x:v>74.31022682189942</x:v>
      </x:c>
      <x:c r="CV111" s="60" t="n">
        <x:v>74.60276077270508</x:v>
      </x:c>
      <x:c r="CW111" s="60" t="n">
        <x:v>74.93896217346192</x:v>
      </x:c>
      <x:c r="CX111" s="60" t="n">
        <x:v>75.34894958496093</x:v>
      </x:c>
      <x:c r="CY111" s="60" t="n">
        <x:v>75.82624908447265</x:v>
      </x:c>
      <x:c r="CZ111" s="60" t="n">
        <x:v>76.44815322875976</x:v>
      </x:c>
      <x:c r="DA111" s="60" t="n">
        <x:v>77.23723854064941</x:v>
      </x:c>
      <x:c r="DB111" s="60" t="n">
        <x:v>80.9582748413086</x:v>
      </x:c>
    </x:row>
    <x:row r="112">
      <x:c r="A112" t="str">
        <x:v>マンムー-1</x:v>
      </x:c>
      <x:c r="B112" t="str">
        <x:v>マンムー</x:v>
      </x:c>
      <x:c r="C112" t="str">
        <x:v>共通</x:v>
      </x:c>
      <x:c r="D112" s="60" t="n">
        <x:v>63.78044891357422</x:v>
      </x:c>
      <x:c r="E112" s="60" t="n">
        <x:v>7.032440185546875</x:v>
      </x:c>
      <x:c r="F112" s="60" t="n">
        <x:v>38.933841705322266</x:v>
      </x:c>
      <x:c r="G112" s="60" t="n">
        <x:v>45.897753677368165</x:v>
      </x:c>
      <x:c r="H112" s="60" t="n">
        <x:v>47.74653511047363</x:v>
      </x:c>
      <x:c r="I112" s="60" t="n">
        <x:v>49.36003280639648</x:v>
      </x:c>
      <x:c r="J112" s="60" t="n">
        <x:v>50.363772583007815</x:v>
      </x:c>
      <x:c r="K112" s="60" t="n">
        <x:v>51.314686393737794</x:v>
      </x:c>
      <x:c r="L112" s="60" t="n">
        <x:v>52.08256317138672</x:v>
      </x:c>
      <x:c r="M112" s="60" t="n">
        <x:v>52.644142379760744</x:v>
      </x:c>
      <x:c r="N112" s="60" t="n">
        <x:v>53.18366943359375</x:v>
      </x:c>
      <x:c r="O112" s="60" t="n">
        <x:v>53.714133682250974</x:v>
      </x:c>
      <x:c r="P112" s="60" t="n">
        <x:v>54.19889869689941</x:v>
      </x:c>
      <x:c r="Q112" s="60" t="n">
        <x:v>54.65098606109619</x:v>
      </x:c>
      <x:c r="R112" s="60" t="n">
        <x:v>55.02641174316406</x:v>
      </x:c>
      <x:c r="S112" s="60" t="n">
        <x:v>55.40830585479736</x:v>
      </x:c>
      <x:c r="T112" s="60" t="n">
        <x:v>55.76805641174317</x:v>
      </x:c>
      <x:c r="U112" s="60" t="n">
        <x:v>56.11264591217041</x:v>
      </x:c>
      <x:c r="V112" s="60" t="n">
        <x:v>56.44329254150391</x:v>
      </x:c>
      <x:c r="W112" s="60" t="n">
        <x:v>56.77007144927978</x:v>
      </x:c>
      <x:c r="X112" s="60" t="n">
        <x:v>57.12045501708984</x:v>
      </x:c>
      <x:c r="Y112" s="60" t="n">
        <x:v>57.42302215576172</x:v>
      </x:c>
      <x:c r="Z112" s="60" t="n">
        <x:v>57.688330841064456</x:v>
      </x:c>
      <x:c r="AA112" s="60" t="n">
        <x:v>58.00253719329834</x:v>
      </x:c>
      <x:c r="AB112" s="60" t="n">
        <x:v>58.32616737365723</x:v>
      </x:c>
      <x:c r="AC112" s="60" t="n">
        <x:v>58.647165069580076</x:v>
      </x:c>
      <x:c r="AD112" s="60" t="n">
        <x:v>58.90365173339844</x:v>
      </x:c>
      <x:c r="AE112" s="60" t="n">
        <x:v>59.17913341522217</x:v>
      </x:c>
      <x:c r="AF112" s="60" t="n">
        <x:v>59.41330444335937</x:v>
      </x:c>
      <x:c r="AG112" s="60" t="n">
        <x:v>59.652653503417966</x:v>
      </x:c>
      <x:c r="AH112" s="60" t="n">
        <x:v>59.886409301757816</x:v>
      </x:c>
      <x:c r="AI112" s="60" t="n">
        <x:v>60.12842212677002</x:v>
      </x:c>
      <x:c r="AJ112" s="60" t="n">
        <x:v>60.35876312255859</x:v>
      </x:c>
      <x:c r="AK112" s="60" t="n">
        <x:v>60.58941089630127</x:v>
      </x:c>
      <x:c r="AL112" s="60" t="n">
        <x:v>60.79084167480469</x:v>
      </x:c>
      <x:c r="AM112" s="60" t="n">
        <x:v>61.013325691223145</x:v>
      </x:c>
      <x:c r="AN112" s="60" t="n">
        <x:v>61.21882629394531</x:v>
      </x:c>
      <x:c r="AO112" s="60" t="n">
        <x:v>61.419006729125975</x:v>
      </x:c>
      <x:c r="AP112" s="60" t="n">
        <x:v>61.61601089477539</x:v>
      </x:c>
      <x:c r="AQ112" s="60" t="n">
        <x:v>61.830923576354984</x:v>
      </x:c>
      <x:c r="AR112" s="60" t="n">
        <x:v>62.04236801147461</x:v>
      </x:c>
      <x:c r="AS112" s="60" t="n">
        <x:v>62.25622776031494</x:v>
      </x:c>
      <x:c r="AT112" s="60" t="n">
        <x:v>62.48760986328125</x:v>
      </x:c>
      <x:c r="AU112" s="60" t="n">
        <x:v>62.688304023742674</x:v>
      </x:c>
      <x:c r="AV112" s="60" t="n">
        <x:v>62.88956352233887</x:v>
      </x:c>
      <x:c r="AW112" s="60" t="n">
        <x:v>63.067038230895996</x:v>
      </x:c>
      <x:c r="AX112" s="60" t="n">
        <x:v>63.25473922729492</x:v>
      </x:c>
      <x:c r="AY112" s="60" t="n">
        <x:v>63.43593463897705</x:v>
      </x:c>
      <x:c r="AZ112" s="60" t="n">
        <x:v>63.63232833862305</x:v>
      </x:c>
      <x:c r="BA112" s="60" t="n">
        <x:v>63.832326850891114</x:v>
      </x:c>
      <x:c r="BB112" s="60" t="n">
        <x:v>64.00558471679688</x:v>
      </x:c>
      <x:c r="BC112" s="60" t="n">
        <x:v>64.18150398254394</x:v>
      </x:c>
      <x:c r="BD112" s="60" t="n">
        <x:v>64.37821197509766</x:v>
      </x:c>
      <x:c r="BE112" s="60" t="n">
        <x:v>64.57611450195313</x:v>
      </x:c>
      <x:c r="BF112" s="60" t="n">
        <x:v>64.7730078125</x:v>
      </x:c>
      <x:c r="BG112" s="60" t="n">
        <x:v>64.93682121276855</x:v>
      </x:c>
      <x:c r="BH112" s="60" t="n">
        <x:v>65.13183654785156</x:v>
      </x:c>
      <x:c r="BI112" s="60" t="n">
        <x:v>65.33883819580078</x:v>
      </x:c>
      <x:c r="BJ112" s="60" t="n">
        <x:v>65.5108071899414</x:v>
      </x:c>
      <x:c r="BK112" s="60" t="n">
        <x:v>65.69368301391602</x:v>
      </x:c>
      <x:c r="BL112" s="60" t="n">
        <x:v>65.8558576965332</x:v>
      </x:c>
      <x:c r="BM112" s="60" t="n">
        <x:v>66.0248398590088</x:v>
      </x:c>
      <x:c r="BN112" s="60" t="n">
        <x:v>66.19294586181641</x:v>
      </x:c>
      <x:c r="BO112" s="60" t="n">
        <x:v>66.40424926757812</x:v>
      </x:c>
      <x:c r="BP112" s="60" t="n">
        <x:v>66.59390121459961</x:v>
      </x:c>
      <x:c r="BQ112" s="60" t="n">
        <x:v>66.7723868560791</x:v>
      </x:c>
      <x:c r="BR112" s="60" t="n">
        <x:v>66.94235137939454</x:v>
      </x:c>
      <x:c r="BS112" s="60" t="n">
        <x:v>67.13881759643554</x:v>
      </x:c>
      <x:c r="BT112" s="60" t="n">
        <x:v>67.32133895874023</x:v>
      </x:c>
      <x:c r="BU112" s="60" t="n">
        <x:v>67.50249008178712</x:v>
      </x:c>
      <x:c r="BV112" s="60" t="n">
        <x:v>67.67475219726563</x:v>
      </x:c>
      <x:c r="BW112" s="60" t="n">
        <x:v>67.86614852905274</x:v>
      </x:c>
      <x:c r="BX112" s="60" t="n">
        <x:v>68.04641036987304</x:v>
      </x:c>
      <x:c r="BY112" s="60" t="n">
        <x:v>68.25578834533691</x:v>
      </x:c>
      <x:c r="BZ112" s="60" t="n">
        <x:v>68.45826568603516</x:v>
      </x:c>
      <x:c r="CA112" s="60" t="n">
        <x:v>68.67632179260254</x:v>
      </x:c>
      <x:c r="CB112" s="60" t="n">
        <x:v>68.86717834472657</x:v>
      </x:c>
      <x:c r="CC112" s="60" t="n">
        <x:v>69.08436584472656</x:v>
      </x:c>
      <x:c r="CD112" s="60" t="n">
        <x:v>69.29251953125</x:v>
      </x:c>
      <x:c r="CE112" s="60" t="n">
        <x:v>69.45056480407715</x:v>
      </x:c>
      <x:c r="CF112" s="60" t="n">
        <x:v>69.65599426269532</x:v>
      </x:c>
      <x:c r="CG112" s="60" t="n">
        <x:v>69.86281852722168</x:v>
      </x:c>
      <x:c r="CH112" s="60" t="n">
        <x:v>70.0744400024414</x:v>
      </x:c>
      <x:c r="CI112" s="60" t="n">
        <x:v>70.27917808532715</x:v>
      </x:c>
      <x:c r="CJ112" s="60" t="n">
        <x:v>70.50145324707032</x:v>
      </x:c>
      <x:c r="CK112" s="60" t="n">
        <x:v>70.74812995910645</x:v>
      </x:c>
      <x:c r="CL112" s="60" t="n">
        <x:v>70.95816650390626</x:v>
      </x:c>
      <x:c r="CM112" s="60" t="n">
        <x:v>71.18408737182617</x:v>
      </x:c>
      <x:c r="CN112" s="60" t="n">
        <x:v>71.4266567993164</x:v>
      </x:c>
      <x:c r="CO112" s="60" t="n">
        <x:v>71.67116676330566</x:v>
      </x:c>
      <x:c r="CP112" s="60" t="n">
        <x:v>71.9271548461914</x:v>
      </x:c>
      <x:c r="CQ112" s="60" t="n">
        <x:v>72.18456504821778</x:v>
      </x:c>
      <x:c r="CR112" s="60" t="n">
        <x:v>72.4856803894043</x:v>
      </x:c>
      <x:c r="CS112" s="60" t="n">
        <x:v>72.80276405334473</x:v>
      </x:c>
      <x:c r="CT112" s="60" t="n">
        <x:v>73.13046722412109</x:v>
      </x:c>
      <x:c r="CU112" s="60" t="n">
        <x:v>73.49688179016113</x:v>
      </x:c>
      <x:c r="CV112" s="60" t="n">
        <x:v>73.85527328491212</x:v>
      </x:c>
      <x:c r="CW112" s="60" t="n">
        <x:v>74.26546821594239</x:v>
      </x:c>
      <x:c r="CX112" s="60" t="n">
        <x:v>74.77677124023438</x:v>
      </x:c>
      <x:c r="CY112" s="60" t="n">
        <x:v>75.32629272460937</x:v>
      </x:c>
      <x:c r="CZ112" s="60" t="n">
        <x:v>75.93402633666992</x:v>
      </x:c>
      <x:c r="DA112" s="60" t="n">
        <x:v>76.84676971435546</x:v>
      </x:c>
      <x:c r="DB112" s="60" t="n">
        <x:v>80.86428833007812</x:v>
      </x:c>
    </x:row>
    <x:row r="113">
      <x:c r="A113" t="str">
        <x:v>ヤドラン-1</x:v>
      </x:c>
      <x:c r="B113" t="str">
        <x:v>ヤドラン</x:v>
      </x:c>
      <x:c r="C113" t="str">
        <x:v>ドわすれ</x:v>
      </x:c>
      <x:c r="D113" s="60" t="n">
        <x:v>66.69618225097656</x:v>
      </x:c>
      <x:c r="E113" s="60" t="n">
        <x:v>7.919000148773193</x:v>
      </x:c>
      <x:c r="F113" s="60" t="n">
        <x:v>36.69333267211914</x:v>
      </x:c>
      <x:c r="G113" s="60" t="n">
        <x:v>45.61336727142334</x:v>
      </x:c>
      <x:c r="H113" s="60" t="n">
        <x:v>48.04512489318848</x:v>
      </x:c>
      <x:c r="I113" s="60" t="n">
        <x:v>49.73074901580811</x:v>
      </x:c>
      <x:c r="J113" s="60" t="n">
        <x:v>50.96592025756836</x:v>
      </x:c>
      <x:c r="K113" s="60" t="n">
        <x:v>51.9742935180664</x:v>
      </x:c>
      <x:c r="L113" s="60" t="n">
        <x:v>52.82153366088867</x:v>
      </x:c>
      <x:c r="M113" s="60" t="n">
        <x:v>53.69329593658447</x:v>
      </x:c>
      <x:c r="N113" s="60" t="n">
        <x:v>54.336064453125</x:v>
      </x:c>
      <x:c r="O113" s="60" t="n">
        <x:v>54.997454719543455</x:v>
      </x:c>
      <x:c r="P113" s="60" t="n">
        <x:v>55.50404090881348</x:v>
      </x:c>
      <x:c r="Q113" s="60" t="n">
        <x:v>56.021802711486814</x:v>
      </x:c>
      <x:c r="R113" s="60" t="n">
        <x:v>56.526292877197264</x:v>
      </x:c>
      <x:c r="S113" s="60" t="n">
        <x:v>57.00681999206543</x:v>
      </x:c>
      <x:c r="T113" s="60" t="n">
        <x:v>57.55107955932617</x:v>
      </x:c>
      <x:c r="U113" s="60" t="n">
        <x:v>57.99523582458496</x:v>
      </x:c>
      <x:c r="V113" s="60" t="n">
        <x:v>58.468271026611326</x:v>
      </x:c>
      <x:c r="W113" s="60" t="n">
        <x:v>58.880143623352055</x:v>
      </x:c>
      <x:c r="X113" s="60" t="n">
        <x:v>59.26321525573731</x:v>
      </x:c>
      <x:c r="Y113" s="60" t="n">
        <x:v>59.66893379211426</x:v>
      </x:c>
      <x:c r="Z113" s="60" t="n">
        <x:v>60.009725952148436</x:v>
      </x:c>
      <x:c r="AA113" s="60" t="n">
        <x:v>60.352634010314944</x:v>
      </x:c>
      <x:c r="AB113" s="60" t="n">
        <x:v>60.66611625671387</x:v>
      </x:c>
      <x:c r="AC113" s="60" t="n">
        <x:v>60.998658981323246</x:v>
      </x:c>
      <x:c r="AD113" s="60" t="n">
        <x:v>61.271309509277344</x:v>
      </x:c>
      <x:c r="AE113" s="60" t="n">
        <x:v>61.5965576171875</x:v>
      </x:c>
      <x:c r="AF113" s="60" t="n">
        <x:v>61.897870254516604</x:v>
      </x:c>
      <x:c r="AG113" s="60" t="n">
        <x:v>62.22911651611328</x:v>
      </x:c>
      <x:c r="AH113" s="60" t="n">
        <x:v>62.51912780761719</x:v>
      </x:c>
      <x:c r="AI113" s="60" t="n">
        <x:v>62.83253211975098</x:v>
      </x:c>
      <x:c r="AJ113" s="60" t="n">
        <x:v>63.08751182556152</x:v>
      </x:c>
      <x:c r="AK113" s="60" t="n">
        <x:v>63.35674468994141</x:v>
      </x:c>
      <x:c r="AL113" s="60" t="n">
        <x:v>63.6138557434082</x:v>
      </x:c>
      <x:c r="AM113" s="60" t="n">
        <x:v>63.87876399993897</x:v>
      </x:c>
      <x:c r="AN113" s="60" t="n">
        <x:v>64.12606811523438</x:v>
      </x:c>
      <x:c r="AO113" s="60" t="n">
        <x:v>64.39202194213867</x:v>
      </x:c>
      <x:c r="AP113" s="60" t="n">
        <x:v>64.67056823730469</x:v>
      </x:c>
      <x:c r="AQ113" s="60" t="n">
        <x:v>64.89427436828613</x:v>
      </x:c>
      <x:c r="AR113" s="60" t="n">
        <x:v>65.13585693359374</x:v>
      </x:c>
      <x:c r="AS113" s="60" t="n">
        <x:v>65.36791007995606</x:v>
      </x:c>
      <x:c r="AT113" s="60" t="n">
        <x:v>65.59854583740234</x:v>
      </x:c>
      <x:c r="AU113" s="60" t="n">
        <x:v>65.82108764648437</x:v>
      </x:c>
      <x:c r="AV113" s="60" t="n">
        <x:v>66.08036514282226</x:v>
      </x:c>
      <x:c r="AW113" s="60" t="n">
        <x:v>66.27633361816406</x:v>
      </x:c>
      <x:c r="AX113" s="60" t="n">
        <x:v>66.50052062988281</x:v>
      </x:c>
      <x:c r="AY113" s="60" t="n">
        <x:v>66.71087417602538</x:v>
      </x:c>
      <x:c r="AZ113" s="60" t="n">
        <x:v>66.92169204711914</x:v>
      </x:c>
      <x:c r="BA113" s="60" t="n">
        <x:v>67.13026451110841</x:v>
      </x:c>
      <x:c r="BB113" s="60" t="n">
        <x:v>67.35298675537109</x:v>
      </x:c>
      <x:c r="BC113" s="60" t="n">
        <x:v>67.5570352935791</x:v>
      </x:c>
      <x:c r="BD113" s="60" t="n">
        <x:v>67.77257919311523</x:v>
      </x:c>
      <x:c r="BE113" s="60" t="n">
        <x:v>67.9692082977295</x:v>
      </x:c>
      <x:c r="BF113" s="60" t="n">
        <x:v>68.20311126708984</x:v>
      </x:c>
      <x:c r="BG113" s="60" t="n">
        <x:v>68.39535820007325</x:v>
      </x:c>
      <x:c r="BH113" s="60" t="n">
        <x:v>68.59276794433593</x:v>
      </x:c>
      <x:c r="BI113" s="60" t="n">
        <x:v>68.79805145263671</x:v>
      </x:c>
      <x:c r="BJ113" s="60" t="n">
        <x:v>69.01085510253907</x:v>
      </x:c>
      <x:c r="BK113" s="60" t="n">
        <x:v>69.23559135437011</x:v>
      </x:c>
      <x:c r="BL113" s="60" t="n">
        <x:v>69.4377508544922</x:v>
      </x:c>
      <x:c r="BM113" s="60" t="n">
        <x:v>69.64880485534668</x:v>
      </x:c>
      <x:c r="BN113" s="60" t="n">
        <x:v>69.84484558105468</x:v>
      </x:c>
      <x:c r="BO113" s="60" t="n">
        <x:v>70.02870681762695</x:v>
      </x:c>
      <x:c r="BP113" s="60" t="n">
        <x:v>70.2357209777832</x:v>
      </x:c>
      <x:c r="BQ113" s="60" t="n">
        <x:v>70.4260097503662</x:v>
      </x:c>
      <x:c r="BR113" s="60" t="n">
        <x:v>70.631337890625</x:v>
      </x:c>
      <x:c r="BS113" s="60" t="n">
        <x:v>70.84278984069825</x:v>
      </x:c>
      <x:c r="BT113" s="60" t="n">
        <x:v>71.0623712158203</x:v>
      </x:c>
      <x:c r="BU113" s="60" t="n">
        <x:v>71.25616516113281</x:v>
      </x:c>
      <x:c r="BV113" s="60" t="n">
        <x:v>71.47716583251953</x:v>
      </x:c>
      <x:c r="BW113" s="60" t="n">
        <x:v>71.66141456604004</x:v>
      </x:c>
      <x:c r="BX113" s="60" t="n">
        <x:v>71.8510643005371</x:v>
      </x:c>
      <x:c r="BY113" s="60" t="n">
        <x:v>72.06145202636719</x:v>
      </x:c>
      <x:c r="BZ113" s="60" t="n">
        <x:v>72.2454556274414</x:v>
      </x:c>
      <x:c r="CA113" s="60" t="n">
        <x:v>72.4564511871338</x:v>
      </x:c>
      <x:c r="CB113" s="60" t="n">
        <x:v>72.64772659301758</x:v>
      </x:c>
      <x:c r="CC113" s="60" t="n">
        <x:v>72.82845687866211</x:v>
      </x:c>
      <x:c r="CD113" s="60" t="n">
        <x:v>73.03697174072265</x:v>
      </x:c>
      <x:c r="CE113" s="60" t="n">
        <x:v>73.2606258392334</x:v>
      </x:c>
      <x:c r="CF113" s="60" t="n">
        <x:v>73.45976119995117</x:v>
      </x:c>
      <x:c r="CG113" s="60" t="n">
        <x:v>73.6658088684082</x:v>
      </x:c>
      <x:c r="CH113" s="60" t="n">
        <x:v>73.87348937988281</x:v>
      </x:c>
      <x:c r="CI113" s="60" t="n">
        <x:v>74.05197830200196</x:v>
      </x:c>
      <x:c r="CJ113" s="60" t="n">
        <x:v>74.27242477416992</x:v>
      </x:c>
      <x:c r="CK113" s="60" t="n">
        <x:v>74.4810383605957</x:v>
      </x:c>
      <x:c r="CL113" s="60" t="n">
        <x:v>74.67794860839844</x:v>
      </x:c>
      <x:c r="CM113" s="60" t="n">
        <x:v>74.89241600036621</x:v>
      </x:c>
      <x:c r="CN113" s="60" t="n">
        <x:v>75.1048681640625</x:v>
      </x:c>
      <x:c r="CO113" s="60" t="n">
        <x:v>75.35287635803223</x:v>
      </x:c>
      <x:c r="CP113" s="60" t="n">
        <x:v>75.60673156738281</x:v>
      </x:c>
      <x:c r="CQ113" s="60" t="n">
        <x:v>75.84918190002442</x:v>
      </x:c>
      <x:c r="CR113" s="60" t="n">
        <x:v>76.12465209960938</x:v>
      </x:c>
      <x:c r="CS113" s="60" t="n">
        <x:v>76.37421882629394</x:v>
      </x:c>
      <x:c r="CT113" s="60" t="n">
        <x:v>76.65420532226562</x:v>
      </x:c>
      <x:c r="CU113" s="60" t="n">
        <x:v>76.9784652709961</x:v>
      </x:c>
      <x:c r="CV113" s="60" t="n">
        <x:v>77.29387817382813</x:v>
      </x:c>
      <x:c r="CW113" s="60" t="n">
        <x:v>77.6255558013916</x:v>
      </x:c>
      <x:c r="CX113" s="60" t="n">
        <x:v>78.066474609375</x:v>
      </x:c>
      <x:c r="CY113" s="60" t="n">
        <x:v>78.57076950073242</x:v>
      </x:c>
      <x:c r="CZ113" s="60" t="n">
        <x:v>79.01690963745118</x:v>
      </x:c>
      <x:c r="DA113" s="60" t="n">
        <x:v>79.74392112731933</x:v>
      </x:c>
      <x:c r="DB113" s="60" t="n">
        <x:v>82.73426818847656</x:v>
      </x:c>
    </x:row>
    <x:row r="114">
      <x:c r="A114" t="str">
        <x:v>ヤドラン-2</x:v>
      </x:c>
      <x:c r="B114" t="str">
        <x:v>ヤドラン</x:v>
      </x:c>
      <x:c r="C114" t="str">
        <x:v>テレキネシス</x:v>
      </x:c>
      <x:c r="D114" s="60" t="n">
        <x:v>64.99374389648438</x:v>
      </x:c>
      <x:c r="E114" s="60" t="n">
        <x:v>6.59040641784668</x:v>
      </x:c>
      <x:c r="F114" s="60" t="n">
        <x:v>39.80532455444336</x:v>
      </x:c>
      <x:c r="G114" s="60" t="n">
        <x:v>47.83491859436035</x:v>
      </x:c>
      <x:c r="H114" s="60" t="n">
        <x:v>49.80297088623047</x:v>
      </x:c>
      <x:c r="I114" s="60" t="n">
        <x:v>50.95949672698975</x:v>
      </x:c>
      <x:c r="J114" s="60" t="n">
        <x:v>51.982268524169925</x:v>
      </x:c>
      <x:c r="K114" s="60" t="n">
        <x:v>52.80650253295899</x:v>
      </x:c>
      <x:c r="L114" s="60" t="n">
        <x:v>53.52508567810059</x:v>
      </x:c>
      <x:c r="M114" s="60" t="n">
        <x:v>54.18918193817139</x:v>
      </x:c>
      <x:c r="N114" s="60" t="n">
        <x:v>54.83233489990234</x:v>
      </x:c>
      <x:c r="O114" s="60" t="n">
        <x:v>55.32153354644775</x:v>
      </x:c>
      <x:c r="P114" s="60" t="n">
        <x:v>55.83675537109375</x:v>
      </x:c>
      <x:c r="Q114" s="60" t="n">
        <x:v>56.290340957641604</x:v>
      </x:c>
      <x:c r="R114" s="60" t="n">
        <x:v>56.6722087097168</x:v>
      </x:c>
      <x:c r="S114" s="60" t="n">
        <x:v>57.061743659973146</x:v>
      </x:c>
      <x:c r="T114" s="60" t="n">
        <x:v>57.410105514526364</x:v>
      </x:c>
      <x:c r="U114" s="60" t="n">
        <x:v>57.7891845703125</x:v>
      </x:c>
      <x:c r="V114" s="60" t="n">
        <x:v>58.11221725463867</x:v>
      </x:c>
      <x:c r="W114" s="60" t="n">
        <x:v>58.46635471343994</x:v>
      </x:c>
      <x:c r="X114" s="60" t="n">
        <x:v>58.78351364135742</x:v>
      </x:c>
      <x:c r="Y114" s="60" t="n">
        <x:v>59.08689788818359</x:v>
      </x:c>
      <x:c r="Z114" s="60" t="n">
        <x:v>59.38913497924805</x:v>
      </x:c>
      <x:c r="AA114" s="60" t="n">
        <x:v>59.66691860198975</x:v>
      </x:c>
      <x:c r="AB114" s="60" t="n">
        <x:v>59.92622947692871</x:v>
      </x:c>
      <x:c r="AC114" s="60" t="n">
        <x:v>60.16860984802246</x:v>
      </x:c>
      <x:c r="AD114" s="60" t="n">
        <x:v>60.45022918701172</x:v>
      </x:c>
      <x:c r="AE114" s="60" t="n">
        <x:v>60.70139217376709</x:v>
      </x:c>
      <x:c r="AF114" s="60" t="n">
        <x:v>60.956492538452146</x:v>
      </x:c>
      <x:c r="AG114" s="60" t="n">
        <x:v>61.18315860748291</x:v>
      </x:c>
      <x:c r="AH114" s="60" t="n">
        <x:v>61.427746276855466</x:v>
      </x:c>
      <x:c r="AI114" s="60" t="n">
        <x:v>61.644039916992185</x:v>
      </x:c>
      <x:c r="AJ114" s="60" t="n">
        <x:v>61.886634063720706</x:v>
      </x:c>
      <x:c r="AK114" s="60" t="n">
        <x:v>62.1032893371582</x:v>
      </x:c>
      <x:c r="AL114" s="60" t="n">
        <x:v>62.3363754272461</x:v>
      </x:c>
      <x:c r="AM114" s="60" t="n">
        <x:v>62.55706115722656</x:v>
      </x:c>
      <x:c r="AN114" s="60" t="n">
        <x:v>62.74988059997559</x:v>
      </x:c>
      <x:c r="AO114" s="60" t="n">
        <x:v>62.96327514648438</x:v>
      </x:c>
      <x:c r="AP114" s="60" t="n">
        <x:v>63.19094345092773</x:v>
      </x:c>
      <x:c r="AQ114" s="60" t="n">
        <x:v>63.40138683319092</x:v>
      </x:c>
      <x:c r="AR114" s="60" t="n">
        <x:v>63.59606376647949</x:v>
      </x:c>
      <x:c r="AS114" s="60" t="n">
        <x:v>63.80976593017578</x:v>
      </x:c>
      <x:c r="AT114" s="60" t="n">
        <x:v>63.998741912841794</x:v>
      </x:c>
      <x:c r="AU114" s="60" t="n">
        <x:v>64.17452438354492</x:v>
      </x:c>
      <x:c r="AV114" s="60" t="n">
        <x:v>64.3722232055664</x:v>
      </x:c>
      <x:c r="AW114" s="60" t="n">
        <x:v>64.55174293518067</x:v>
      </x:c>
      <x:c r="AX114" s="60" t="n">
        <x:v>64.72035461425781</x:v>
      </x:c>
      <x:c r="AY114" s="60" t="n">
        <x:v>64.8874439239502</x:v>
      </x:c>
      <x:c r="AZ114" s="60" t="n">
        <x:v>65.06263549804687</x:v>
      </x:c>
      <x:c r="BA114" s="60" t="n">
        <x:v>65.23661827087402</x:v>
      </x:c>
      <x:c r="BB114" s="60" t="n">
        <x:v>65.41572265625</x:v>
      </x:c>
      <x:c r="BC114" s="60" t="n">
        <x:v>65.60036193847657</x:v>
      </x:c>
      <x:c r="BD114" s="60" t="n">
        <x:v>65.77933120727539</x:v>
      </x:c>
      <x:c r="BE114" s="60" t="n">
        <x:v>65.96068138122558</x:v>
      </x:c>
      <x:c r="BF114" s="60" t="n">
        <x:v>66.14276947021484</x:v>
      </x:c>
      <x:c r="BG114" s="60" t="n">
        <x:v>66.30190948486329</x:v>
      </x:c>
      <x:c r="BH114" s="60" t="n">
        <x:v>66.48087127685547</x:v>
      </x:c>
      <x:c r="BI114" s="60" t="n">
        <x:v>66.64292335510254</x:v>
      </x:c>
      <x:c r="BJ114" s="60" t="n">
        <x:v>66.82356872558594</x:v>
      </x:c>
      <x:c r="BK114" s="60" t="n">
        <x:v>67.0038816833496</x:v>
      </x:c>
      <x:c r="BL114" s="60" t="n">
        <x:v>67.17685989379883</x:v>
      </x:c>
      <x:c r="BM114" s="60" t="n">
        <x:v>67.35796783447266</x:v>
      </x:c>
      <x:c r="BN114" s="60" t="n">
        <x:v>67.52776947021485</x:v>
      </x:c>
      <x:c r="BO114" s="60" t="n">
        <x:v>67.70281814575195</x:v>
      </x:c>
      <x:c r="BP114" s="60" t="n">
        <x:v>67.86246154785157</x:v>
      </x:c>
      <x:c r="BQ114" s="60" t="n">
        <x:v>68.02858940124511</x:v>
      </x:c>
      <x:c r="BR114" s="60" t="n">
        <x:v>68.17582733154296</x:v>
      </x:c>
      <x:c r="BS114" s="60" t="n">
        <x:v>68.34819259643555</x:v>
      </x:c>
      <x:c r="BT114" s="60" t="n">
        <x:v>68.50093368530274</x:v>
      </x:c>
      <x:c r="BU114" s="60" t="n">
        <x:v>68.68396408081054</x:v>
      </x:c>
      <x:c r="BV114" s="60" t="n">
        <x:v>68.85858245849609</x:v>
      </x:c>
      <x:c r="BW114" s="60" t="n">
        <x:v>69.01915649414063</x:v>
      </x:c>
      <x:c r="BX114" s="60" t="n">
        <x:v>69.18355865478516</x:v>
      </x:c>
      <x:c r="BY114" s="60" t="n">
        <x:v>69.3668578338623</x:v>
      </x:c>
      <x:c r="BZ114" s="60" t="n">
        <x:v>69.54144409179688</x:v>
      </x:c>
      <x:c r="CA114" s="60" t="n">
        <x:v>69.70990348815918</x:v>
      </x:c>
      <x:c r="CB114" s="60" t="n">
        <x:v>69.92143798828126</x:v>
      </x:c>
      <x:c r="CC114" s="60" t="n">
        <x:v>70.09866523742676</x:v>
      </x:c>
      <x:c r="CD114" s="60" t="n">
        <x:v>70.27106414794922</x:v>
      </x:c>
      <x:c r="CE114" s="60" t="n">
        <x:v>70.44497352600098</x:v>
      </x:c>
      <x:c r="CF114" s="60" t="n">
        <x:v>70.62383926391603</x:v>
      </x:c>
      <x:c r="CG114" s="60" t="n">
        <x:v>70.81873458862304</x:v>
      </x:c>
      <x:c r="CH114" s="60" t="n">
        <x:v>71.01365356445312</x:v>
      </x:c>
      <x:c r="CI114" s="60" t="n">
        <x:v>71.18748558044433</x:v>
      </x:c>
      <x:c r="CJ114" s="60" t="n">
        <x:v>71.35897552490235</x:v>
      </x:c>
      <x:c r="CK114" s="60" t="n">
        <x:v>71.52635276794433</x:v>
      </x:c>
      <x:c r="CL114" s="60" t="n">
        <x:v>71.72273468017578</x:v>
      </x:c>
      <x:c r="CM114" s="60" t="n">
        <x:v>71.90447807312012</x:v>
      </x:c>
      <x:c r="CN114" s="60" t="n">
        <x:v>72.10128494262695</x:v>
      </x:c>
      <x:c r="CO114" s="60" t="n">
        <x:v>72.33689033508301</x:v>
      </x:c>
      <x:c r="CP114" s="60" t="n">
        <x:v>72.53800659179687</x:v>
      </x:c>
      <x:c r="CQ114" s="60" t="n">
        <x:v>72.76452857971192</x:v>
      </x:c>
      <x:c r="CR114" s="60" t="n">
        <x:v>72.98880233764649</x:v>
      </x:c>
      <x:c r="CS114" s="60" t="n">
        <x:v>73.2208097076416</x:v>
      </x:c>
      <x:c r="CT114" s="60" t="n">
        <x:v>73.48696075439453</x:v>
      </x:c>
      <x:c r="CU114" s="60" t="n">
        <x:v>73.72623916625976</x:v>
      </x:c>
      <x:c r="CV114" s="60" t="n">
        <x:v>73.99705810546875</x:v>
      </x:c>
      <x:c r="CW114" s="60" t="n">
        <x:v>74.31028671264649</x:v>
      </x:c>
      <x:c r="CX114" s="60" t="n">
        <x:v>74.62112213134766</x:v>
      </x:c>
      <x:c r="CY114" s="60" t="n">
        <x:v>75.0280736541748</x:v>
      </x:c>
      <x:c r="CZ114" s="60" t="n">
        <x:v>75.47633346557618</x:v>
      </x:c>
      <x:c r="DA114" s="60" t="n">
        <x:v>76.18489219665527</x:v>
      </x:c>
      <x:c r="DB114" s="60" t="n">
        <x:v>78.28273010253906</x:v>
      </x:c>
    </x:row>
    <x:row r="115">
      <x:c r="A115" t="str">
        <x:v>ヨクバリス-1</x:v>
      </x:c>
      <x:c r="B115" t="str">
        <x:v>ヨクバリス</x:v>
      </x:c>
      <x:c r="C115" t="str">
        <x:v>ほおばる</x:v>
      </x:c>
      <x:c r="D115" s="60" t="n">
        <x:v>65.79203796386719</x:v>
      </x:c>
      <x:c r="E115" s="60" t="n">
        <x:v>8.530585289001465</x:v>
      </x:c>
      <x:c r="F115" s="60" t="n">
        <x:v>35.49851608276367</x:v>
      </x:c>
      <x:c r="G115" s="60" t="n">
        <x:v>43.14794261932373</x:v>
      </x:c>
      <x:c r="H115" s="60" t="n">
        <x:v>45.832545318603515</x:v>
      </x:c>
      <x:c r="I115" s="60" t="n">
        <x:v>47.613741149902346</x:v>
      </x:c>
      <x:c r="J115" s="60" t="n">
        <x:v>48.996271209716795</x:v>
      </x:c>
      <x:c r="K115" s="60" t="n">
        <x:v>49.924500465393066</x:v>
      </x:c>
      <x:c r="L115" s="60" t="n">
        <x:v>50.814141998291014</x:v>
      </x:c>
      <x:c r="M115" s="60" t="n">
        <x:v>51.77650989532471</x:v>
      </x:c>
      <x:c r="N115" s="60" t="n">
        <x:v>52.586715087890624</x:v>
      </x:c>
      <x:c r="O115" s="60" t="n">
        <x:v>53.31484992980957</x:v>
      </x:c>
      <x:c r="P115" s="60" t="n">
        <x:v>53.88609619140625</x:v>
      </x:c>
      <x:c r="Q115" s="60" t="n">
        <x:v>54.47095985412598</x:v>
      </x:c>
      <x:c r="R115" s="60" t="n">
        <x:v>54.97065231323242</x:v>
      </x:c>
      <x:c r="S115" s="60" t="n">
        <x:v>55.50004451751709</x:v>
      </x:c>
      <x:c r="T115" s="60" t="n">
        <x:v>55.92500877380371</x:v>
      </x:c>
      <x:c r="U115" s="60" t="n">
        <x:v>56.38997936248779</x:v>
      </x:c>
      <x:c r="V115" s="60" t="n">
        <x:v>56.88692855834961</x:v>
      </x:c>
      <x:c r="W115" s="60" t="n">
        <x:v>57.272524452209474</x:v>
      </x:c>
      <x:c r="X115" s="60" t="n">
        <x:v>57.71803268432617</x:v>
      </x:c>
      <x:c r="Y115" s="60" t="n">
        <x:v>58.17753520965576</x:v>
      </x:c>
      <x:c r="Z115" s="60" t="n">
        <x:v>58.572749328613284</x:v>
      </x:c>
      <x:c r="AA115" s="60" t="n">
        <x:v>58.95940227508545</x:v>
      </x:c>
      <x:c r="AB115" s="60" t="n">
        <x:v>59.32970527648926</x:v>
      </x:c>
      <x:c r="AC115" s="60" t="n">
        <x:v>59.67788063049316</x:v>
      </x:c>
      <x:c r="AD115" s="60" t="n">
        <x:v>60.00199462890625</x:v>
      </x:c>
      <x:c r="AE115" s="60" t="n">
        <x:v>60.359848976135254</x:v>
      </x:c>
      <x:c r="AF115" s="60" t="n">
        <x:v>60.670926818847654</x:v>
      </x:c>
      <x:c r="AG115" s="60" t="n">
        <x:v>60.94958805084229</x:v>
      </x:c>
      <x:c r="AH115" s="60" t="n">
        <x:v>61.26349578857422</x:v>
      </x:c>
      <x:c r="AI115" s="60" t="n">
        <x:v>61.565405654907224</x:v>
      </x:c>
      <x:c r="AJ115" s="60" t="n">
        <x:v>61.85776138305664</x:v>
      </x:c>
      <x:c r="AK115" s="60" t="n">
        <x:v>62.146202125549316</x:v>
      </x:c>
      <x:c r="AL115" s="60" t="n">
        <x:v>62.47176544189453</x:v>
      </x:c>
      <x:c r="AM115" s="60" t="n">
        <x:v>62.738394279479984</x:v>
      </x:c>
      <x:c r="AN115" s="60" t="n">
        <x:v>63.01492286682129</x:v>
      </x:c>
      <x:c r="AO115" s="60" t="n">
        <x:v>63.26540393829346</x:v>
      </x:c>
      <x:c r="AP115" s="60" t="n">
        <x:v>63.53696029663086</x:v>
      </x:c>
      <x:c r="AQ115" s="60" t="n">
        <x:v>63.75933284759522</x:v>
      </x:c>
      <x:c r="AR115" s="60" t="n">
        <x:v>64.0249494934082</x:v>
      </x:c>
      <x:c r="AS115" s="60" t="n">
        <x:v>64.26330871582032</x:v>
      </x:c>
      <x:c r="AT115" s="60" t="n">
        <x:v>64.50556945800781</x:v>
      </x:c>
      <x:c r="AU115" s="60" t="n">
        <x:v>64.75228088378907</x:v>
      </x:c>
      <x:c r="AV115" s="60" t="n">
        <x:v>65.00189453125</x:v>
      </x:c>
      <x:c r="AW115" s="60" t="n">
        <x:v>65.24619117736816</x:v>
      </x:c>
      <x:c r="AX115" s="60" t="n">
        <x:v>65.45963897705079</x:v>
      </x:c>
      <x:c r="AY115" s="60" t="n">
        <x:v>65.69187431335449</x:v>
      </x:c>
      <x:c r="AZ115" s="60" t="n">
        <x:v>65.92628860473633</x:v>
      </x:c>
      <x:c r="BA115" s="60" t="n">
        <x:v>66.16770561218262</x:v>
      </x:c>
      <x:c r="BB115" s="60" t="n">
        <x:v>66.378466796875</x:v>
      </x:c>
      <x:c r="BC115" s="60" t="n">
        <x:v>66.62239280700683</x:v>
      </x:c>
      <x:c r="BD115" s="60" t="n">
        <x:v>66.86348724365234</x:v>
      </x:c>
      <x:c r="BE115" s="60" t="n">
        <x:v>67.08586532592773</x:v>
      </x:c>
      <x:c r="BF115" s="60" t="n">
        <x:v>67.31045806884765</x:v>
      </x:c>
      <x:c r="BG115" s="60" t="n">
        <x:v>67.51556701660157</x:v>
      </x:c>
      <x:c r="BH115" s="60" t="n">
        <x:v>67.77405197143555</x:v>
      </x:c>
      <x:c r="BI115" s="60" t="n">
        <x:v>67.9889045715332</x:v>
      </x:c>
      <x:c r="BJ115" s="60" t="n">
        <x:v>68.20383697509766</x:v>
      </x:c>
      <x:c r="BK115" s="60" t="n">
        <x:v>68.41958435058594</x:v>
      </x:c>
      <x:c r="BL115" s="60" t="n">
        <x:v>68.64243606567383</x:v>
      </x:c>
      <x:c r="BM115" s="60" t="n">
        <x:v>68.84690795898437</x:v>
      </x:c>
      <x:c r="BN115" s="60" t="n">
        <x:v>69.04622497558594</x:v>
      </x:c>
      <x:c r="BO115" s="60" t="n">
        <x:v>69.29645515441895</x:v>
      </x:c>
      <x:c r="BP115" s="60" t="n">
        <x:v>69.49843887329101</x:v>
      </x:c>
      <x:c r="BQ115" s="60" t="n">
        <x:v>69.71391593933106</x:v>
      </x:c>
      <x:c r="BR115" s="60" t="n">
        <x:v>69.96491241455078</x:v>
      </x:c>
      <x:c r="BS115" s="60" t="n">
        <x:v>70.19680786132812</x:v>
      </x:c>
      <x:c r="BT115" s="60" t="n">
        <x:v>70.41176528930664</x:v>
      </x:c>
      <x:c r="BU115" s="60" t="n">
        <x:v>70.63474342346191</x:v>
      </x:c>
      <x:c r="BV115" s="60" t="n">
        <x:v>70.83526672363281</x:v>
      </x:c>
      <x:c r="BW115" s="60" t="n">
        <x:v>71.07001579284668</x:v>
      </x:c>
      <x:c r="BX115" s="60" t="n">
        <x:v>71.28341293334961</x:v>
      </x:c>
      <x:c r="BY115" s="60" t="n">
        <x:v>71.48594688415527</x:v>
      </x:c>
      <x:c r="BZ115" s="60" t="n">
        <x:v>71.70895751953125</x:v>
      </x:c>
      <x:c r="CA115" s="60" t="n">
        <x:v>71.94433769226075</x:v>
      </x:c>
      <x:c r="CB115" s="60" t="n">
        <x:v>72.1427262878418</x:v>
      </x:c>
      <x:c r="CC115" s="60" t="n">
        <x:v>72.36721611022949</x:v>
      </x:c>
      <x:c r="CD115" s="60" t="n">
        <x:v>72.58735931396484</x:v>
      </x:c>
      <x:c r="CE115" s="60" t="n">
        <x:v>72.79641479492187</x:v>
      </x:c>
      <x:c r="CF115" s="60" t="n">
        <x:v>73.02035751342774</x:v>
      </x:c>
      <x:c r="CG115" s="60" t="n">
        <x:v>73.22494522094726</x:v>
      </x:c>
      <x:c r="CH115" s="60" t="n">
        <x:v>73.48350677490234</x:v>
      </x:c>
      <x:c r="CI115" s="60" t="n">
        <x:v>73.71729591369629</x:v>
      </x:c>
      <x:c r="CJ115" s="60" t="n">
        <x:v>73.95062942504883</x:v>
      </x:c>
      <x:c r="CK115" s="60" t="n">
        <x:v>74.1662393951416</x:v>
      </x:c>
      <x:c r="CL115" s="60" t="n">
        <x:v>74.41351745605469</x:v>
      </x:c>
      <x:c r="CM115" s="60" t="n">
        <x:v>74.66572265625</x:v>
      </x:c>
      <x:c r="CN115" s="60" t="n">
        <x:v>74.8991291809082</x:v>
      </x:c>
      <x:c r="CO115" s="60" t="n">
        <x:v>75.13740165710449</x:v>
      </x:c>
      <x:c r="CP115" s="60" t="n">
        <x:v>75.41620544433593</x:v>
      </x:c>
      <x:c r="CQ115" s="60" t="n">
        <x:v>75.69961700439453</x:v>
      </x:c>
      <x:c r="CR115" s="60" t="n">
        <x:v>75.97828826904298</x:v>
      </x:c>
      <x:c r="CS115" s="60" t="n">
        <x:v>76.30076141357422</x:v>
      </x:c>
      <x:c r="CT115" s="60" t="n">
        <x:v>76.65031005859376</x:v>
      </x:c>
      <x:c r="CU115" s="60" t="n">
        <x:v>76.97037078857421</x:v>
      </x:c>
      <x:c r="CV115" s="60" t="n">
        <x:v>77.3465805053711</x:v>
      </x:c>
      <x:c r="CW115" s="60" t="n">
        <x:v>77.78060455322266</x:v>
      </x:c>
      <x:c r="CX115" s="60" t="n">
        <x:v>78.25592498779297</x:v>
      </x:c>
      <x:c r="CY115" s="60" t="n">
        <x:v>78.8101397705078</x:v>
      </x:c>
      <x:c r="CZ115" s="60" t="n">
        <x:v>79.47524337768554</x:v>
      </x:c>
      <x:c r="DA115" s="60" t="n">
        <x:v>80.4445261383056</x:v>
      </x:c>
      <x:c r="DB115" s="60" t="n">
        <x:v>83.77972412109375</x:v>
      </x:c>
    </x:row>
    <x:row r="116">
      <x:c r="A116" t="str">
        <x:v>ヨクバリス-2</x:v>
      </x:c>
      <x:c r="B116" t="str">
        <x:v>ヨクバリス</x:v>
      </x:c>
      <x:c r="C116" t="str">
        <x:v>ほしがる</x:v>
      </x:c>
      <x:c r="D116" s="60" t="n">
        <x:v>66.37415313720703</x:v>
      </x:c>
      <x:c r="E116" s="60" t="n">
        <x:v>7.807119846343994</x:v>
      </x:c>
      <x:c r="F116" s="60" t="n">
        <x:v>37.05177307128906</x:v>
      </x:c>
      <x:c r="G116" s="60" t="n">
        <x:v>46.2195947265625</x:v>
      </x:c>
      <x:c r="H116" s="60" t="n">
        <x:v>48.56467315673828</x:v>
      </x:c>
      <x:c r="I116" s="60" t="n">
        <x:v>50.19572956085205</x:v>
      </x:c>
      <x:c r="J116" s="60" t="n">
        <x:v>51.5447932434082</x:v>
      </x:c>
      <x:c r="K116" s="60" t="n">
        <x:v>52.47568607330322</x:v>
      </x:c>
      <x:c r="L116" s="60" t="n">
        <x:v>53.22883018493653</x:v>
      </x:c>
      <x:c r="M116" s="60" t="n">
        <x:v>53.978589897155764</x:v>
      </x:c>
      <x:c r="N116" s="60" t="n">
        <x:v>54.58718719482422</x:v>
      </x:c>
      <x:c r="O116" s="60" t="n">
        <x:v>55.184728927612305</x:v>
      </x:c>
      <x:c r="P116" s="60" t="n">
        <x:v>55.77019729614258</x:v>
      </x:c>
      <x:c r="Q116" s="60" t="n">
        <x:v>56.206939239501956</x:v>
      </x:c>
      <x:c r="R116" s="60" t="n">
        <x:v>56.7059001159668</x:v>
      </x:c>
      <x:c r="S116" s="60" t="n">
        <x:v>57.13571266174316</x:v>
      </x:c>
      <x:c r="T116" s="60" t="n">
        <x:v>57.520347366333006</x:v>
      </x:c>
      <x:c r="U116" s="60" t="n">
        <x:v>57.91913738250732</x:v>
      </x:c>
      <x:c r="V116" s="60" t="n">
        <x:v>58.29629791259766</x:v>
      </x:c>
      <x:c r="W116" s="60" t="n">
        <x:v>58.68788894653321</x:v>
      </x:c>
      <x:c r="X116" s="60" t="n">
        <x:v>59.0728849029541</x:v>
      </x:c>
      <x:c r="Y116" s="60" t="n">
        <x:v>59.425379295349124</x:v>
      </x:c>
      <x:c r="Z116" s="60" t="n">
        <x:v>59.74777603149414</x:v>
      </x:c>
      <x:c r="AA116" s="60" t="n">
        <x:v>60.049449043273924</x:v>
      </x:c>
      <x:c r="AB116" s="60" t="n">
        <x:v>60.35353378295898</x:v>
      </x:c>
      <x:c r="AC116" s="60" t="n">
        <x:v>60.65639770507813</x:v>
      </x:c>
      <x:c r="AD116" s="60" t="n">
        <x:v>60.9478254699707</x:v>
      </x:c>
      <x:c r="AE116" s="60" t="n">
        <x:v>61.25124645233154</x:v>
      </x:c>
      <x:c r="AF116" s="60" t="n">
        <x:v>61.542840728759764</x:v>
      </x:c>
      <x:c r="AG116" s="60" t="n">
        <x:v>61.84289112091064</x:v>
      </x:c>
      <x:c r="AH116" s="60" t="n">
        <x:v>62.11717178344727</x:v>
      </x:c>
      <x:c r="AI116" s="60" t="n">
        <x:v>62.39458602905273</x:v>
      </x:c>
      <x:c r="AJ116" s="60" t="n">
        <x:v>62.634905624389646</x:v>
      </x:c>
      <x:c r="AK116" s="60" t="n">
        <x:v>62.895229225158694</x:v>
      </x:c>
      <x:c r="AL116" s="60" t="n">
        <x:v>63.12160034179688</x:v>
      </x:c>
      <x:c r="AM116" s="60" t="n">
        <x:v>63.37785171508789</x:v>
      </x:c>
      <x:c r="AN116" s="60" t="n">
        <x:v>63.63519515991211</x:v>
      </x:c>
      <x:c r="AO116" s="60" t="n">
        <x:v>63.84966678619385</x:v>
      </x:c>
      <x:c r="AP116" s="60" t="n">
        <x:v>64.06081085205078</x:v>
      </x:c>
      <x:c r="AQ116" s="60" t="n">
        <x:v>64.27969718933106</x:v>
      </x:c>
      <x:c r="AR116" s="60" t="n">
        <x:v>64.51447067260742</x:v>
      </x:c>
      <x:c r="AS116" s="60" t="n">
        <x:v>64.74793495178223</x:v>
      </x:c>
      <x:c r="AT116" s="60" t="n">
        <x:v>64.97289428710937</x:v>
      </x:c>
      <x:c r="AU116" s="60" t="n">
        <x:v>65.19622848510743</x:v>
      </x:c>
      <x:c r="AV116" s="60" t="n">
        <x:v>65.40607803344727</x:v>
      </x:c>
      <x:c r="AW116" s="60" t="n">
        <x:v>65.6624038696289</x:v>
      </x:c>
      <x:c r="AX116" s="60" t="n">
        <x:v>65.84941040039062</x:v>
      </x:c>
      <x:c r="AY116" s="60" t="n">
        <x:v>66.0496841430664</x:v>
      </x:c>
      <x:c r="AZ116" s="60" t="n">
        <x:v>66.2661979675293</x:v>
      </x:c>
      <x:c r="BA116" s="60" t="n">
        <x:v>66.47100402832031</x:v>
      </x:c>
      <x:c r="BB116" s="60" t="n">
        <x:v>66.67494995117188</x:v>
      </x:c>
      <x:c r="BC116" s="60" t="n">
        <x:v>66.89922706604004</x:v>
      </x:c>
      <x:c r="BD116" s="60" t="n">
        <x:v>67.10398483276367</x:v>
      </x:c>
      <x:c r="BE116" s="60" t="n">
        <x:v>67.31294189453125</x:v>
      </x:c>
      <x:c r="BF116" s="60" t="n">
        <x:v>67.5052505493164</x:v>
      </x:c>
      <x:c r="BG116" s="60" t="n">
        <x:v>67.69434280395508</x:v>
      </x:c>
      <x:c r="BH116" s="60" t="n">
        <x:v>67.8987028503418</x:v>
      </x:c>
      <x:c r="BI116" s="60" t="n">
        <x:v>68.09492225646973</x:v>
      </x:c>
      <x:c r="BJ116" s="60" t="n">
        <x:v>68.30385864257812</x:v>
      </x:c>
      <x:c r="BK116" s="60" t="n">
        <x:v>68.50681427001953</x:v>
      </x:c>
      <x:c r="BL116" s="60" t="n">
        <x:v>68.7177033996582</x:v>
      </x:c>
      <x:c r="BM116" s="60" t="n">
        <x:v>68.93019653320313</x:v>
      </x:c>
      <x:c r="BN116" s="60" t="n">
        <x:v>69.12258605957031</x:v>
      </x:c>
      <x:c r="BO116" s="60" t="n">
        <x:v>69.29824844360351</x:v>
      </x:c>
      <x:c r="BP116" s="60" t="n">
        <x:v>69.50763580322266</x:v>
      </x:c>
      <x:c r="BQ116" s="60" t="n">
        <x:v>69.70417167663574</x:v>
      </x:c>
      <x:c r="BR116" s="60" t="n">
        <x:v>69.9045477294922</x:v>
      </x:c>
      <x:c r="BS116" s="60" t="n">
        <x:v>70.10586128234863</x:v>
      </x:c>
      <x:c r="BT116" s="60" t="n">
        <x:v>70.31385040283203</x:v>
      </x:c>
      <x:c r="BU116" s="60" t="n">
        <x:v>70.49923652648926</x:v>
      </x:c>
      <x:c r="BV116" s="60" t="n">
        <x:v>70.69032043457031</x:v>
      </x:c>
      <x:c r="BW116" s="60" t="n">
        <x:v>70.91326477050781</x:v>
      </x:c>
      <x:c r="BX116" s="60" t="n">
        <x:v>71.13099670410156</x:v>
      </x:c>
      <x:c r="BY116" s="60" t="n">
        <x:v>71.32977722167969</x:v>
      </x:c>
      <x:c r="BZ116" s="60" t="n">
        <x:v>71.5340853881836</x:v>
      </x:c>
      <x:c r="CA116" s="60" t="n">
        <x:v>71.73396614074707</x:v>
      </x:c>
      <x:c r="CB116" s="60" t="n">
        <x:v>71.9279443359375</x:v>
      </x:c>
      <x:c r="CC116" s="60" t="n">
        <x:v>72.16113090515137</x:v>
      </x:c>
      <x:c r="CD116" s="60" t="n">
        <x:v>72.36880706787109</x:v>
      </x:c>
      <x:c r="CE116" s="60" t="n">
        <x:v>72.6101153564453</x:v>
      </x:c>
      <x:c r="CF116" s="60" t="n">
        <x:v>72.84748229980468</x:v>
      </x:c>
      <x:c r="CG116" s="60" t="n">
        <x:v>73.0589714050293</x:v>
      </x:c>
      <x:c r="CH116" s="60" t="n">
        <x:v>73.25645141601562</x:v>
      </x:c>
      <x:c r="CI116" s="60" t="n">
        <x:v>73.49581321716309</x:v>
      </x:c>
      <x:c r="CJ116" s="60" t="n">
        <x:v>73.73437789916993</x:v>
      </x:c>
      <x:c r="CK116" s="60" t="n">
        <x:v>73.9755899810791</x:v>
      </x:c>
      <x:c r="CL116" s="60" t="n">
        <x:v>74.20903747558594</x:v>
      </x:c>
      <x:c r="CM116" s="60" t="n">
        <x:v>74.47959632873534</x:v>
      </x:c>
      <x:c r="CN116" s="60" t="n">
        <x:v>74.7741227722168</x:v>
      </x:c>
      <x:c r="CO116" s="60" t="n">
        <x:v>75.07972915649414</x:v>
      </x:c>
      <x:c r="CP116" s="60" t="n">
        <x:v>75.34800842285156</x:v>
      </x:c>
      <x:c r="CQ116" s="60" t="n">
        <x:v>75.64084938049317</x:v>
      </x:c>
      <x:c r="CR116" s="60" t="n">
        <x:v>75.9805305480957</x:v>
      </x:c>
      <x:c r="CS116" s="60" t="n">
        <x:v>76.30881973266601</x:v>
      </x:c>
      <x:c r="CT116" s="60" t="n">
        <x:v>76.6878125</x:v>
      </x:c>
      <x:c r="CU116" s="60" t="n">
        <x:v>77.04665298461914</x:v>
      </x:c>
      <x:c r="CV116" s="60" t="n">
        <x:v>77.44004196166992</x:v>
      </x:c>
      <x:c r="CW116" s="60" t="n">
        <x:v>77.90726737976075</x:v>
      </x:c>
      <x:c r="CX116" s="60" t="n">
        <x:v>78.42238189697265</x:v>
      </x:c>
      <x:c r="CY116" s="60" t="n">
        <x:v>79.04941787719726</x:v>
      </x:c>
      <x:c r="CZ116" s="60" t="n">
        <x:v>79.87191802978516</x:v>
      </x:c>
      <x:c r="DA116" s="60" t="n">
        <x:v>81.11195495605469</x:v>
      </x:c>
      <x:c r="DB116" s="60" t="n">
        <x:v>86.73686981201172</x:v>
      </x:c>
    </x:row>
    <x:row r="117">
      <x:c r="A117" t="str">
        <x:v>ラプラス-1</x:v>
      </x:c>
      <x:c r="B117" t="str">
        <x:v>ラプラス</x:v>
      </x:c>
      <x:c r="C117" t="str">
        <x:v>共通</x:v>
      </x:c>
      <x:c r="D117" s="60" t="n">
        <x:v>66.77806854248047</x:v>
      </x:c>
      <x:c r="E117" s="60" t="n">
        <x:v>5.612269401550293</x:v>
      </x:c>
      <x:c r="F117" s="60" t="n">
        <x:v>42.89090347290039</x:v>
      </x:c>
      <x:c r="G117" s="60" t="n">
        <x:v>50.68907684326172</x:v>
      </x:c>
      <x:c r="H117" s="60" t="n">
        <x:v>52.75822853088379</x:v>
      </x:c>
      <x:c r="I117" s="60" t="n">
        <x:v>54.11912551879883</x:v>
      </x:c>
      <x:c r="J117" s="60" t="n">
        <x:v>55.160860748291014</x:v>
      </x:c>
      <x:c r="K117" s="60" t="n">
        <x:v>56.05122737884521</x:v>
      </x:c>
      <x:c r="L117" s="60" t="n">
        <x:v>56.769986953735355</x:v>
      </x:c>
      <x:c r="M117" s="60" t="n">
        <x:v>57.33572479248047</x:v>
      </x:c>
      <x:c r="N117" s="60" t="n">
        <x:v>57.915220947265624</x:v>
      </x:c>
      <x:c r="O117" s="60" t="n">
        <x:v>58.45741310119629</x:v>
      </x:c>
      <x:c r="P117" s="60" t="n">
        <x:v>58.9283935546875</x:v>
      </x:c>
      <x:c r="Q117" s="60" t="n">
        <x:v>59.33142555236817</x:v>
      </x:c>
      <x:c r="R117" s="60" t="n">
        <x:v>59.790237731933594</x:v>
      </x:c>
      <x:c r="S117" s="60" t="n">
        <x:v>60.17760265350342</x:v>
      </x:c>
      <x:c r="T117" s="60" t="n">
        <x:v>60.49578323364258</x:v>
      </x:c>
      <x:c r="U117" s="60" t="n">
        <x:v>60.81247386932373</x:v>
      </x:c>
      <x:c r="V117" s="60" t="n">
        <x:v>61.10760711669922</x:v>
      </x:c>
      <x:c r="W117" s="60" t="n">
        <x:v>61.44696544647217</x:v>
      </x:c>
      <x:c r="X117" s="60" t="n">
        <x:v>61.73748779296875</x:v>
      </x:c>
      <x:c r="Y117" s="60" t="n">
        <x:v>62.010704803466794</x:v>
      </x:c>
      <x:c r="Z117" s="60" t="n">
        <x:v>62.271795654296874</x:v>
      </x:c>
      <x:c r="AA117" s="60" t="n">
        <x:v>62.541235771179196</x:v>
      </x:c>
      <x:c r="AB117" s="60" t="n">
        <x:v>62.77643814086914</x:v>
      </x:c>
      <x:c r="AC117" s="60" t="n">
        <x:v>63.03471294403076</x:v>
      </x:c>
      <x:c r="AD117" s="60" t="n">
        <x:v>63.28153823852539</x:v>
      </x:c>
      <x:c r="AE117" s="60" t="n">
        <x:v>63.49238300323486</x:v>
      </x:c>
      <x:c r="AF117" s="60" t="n">
        <x:v>63.7365283203125</x:v>
      </x:c>
      <x:c r="AG117" s="60" t="n">
        <x:v>63.94151412963867</x:v>
      </x:c>
      <x:c r="AH117" s="60" t="n">
        <x:v>64.13464965820313</x:v>
      </x:c>
      <x:c r="AI117" s="60" t="n">
        <x:v>64.32489631652832</x:v>
      </x:c>
      <x:c r="AJ117" s="60" t="n">
        <x:v>64.50612411499023</x:v>
      </x:c>
      <x:c r="AK117" s="60" t="n">
        <x:v>64.68709259033203</x:v>
      </x:c>
      <x:c r="AL117" s="60" t="n">
        <x:v>64.85490692138671</x:v>
      </x:c>
      <x:c r="AM117" s="60" t="n">
        <x:v>65.04505752563476</x:v>
      </x:c>
      <x:c r="AN117" s="60" t="n">
        <x:v>65.22416793823243</x:v>
      </x:c>
      <x:c r="AO117" s="60" t="n">
        <x:v>65.44640922546387</x:v>
      </x:c>
      <x:c r="AP117" s="60" t="n">
        <x:v>65.5849624633789</x:v>
      </x:c>
      <x:c r="AQ117" s="60" t="n">
        <x:v>65.766626663208</x:v>
      </x:c>
      <x:c r="AR117" s="60" t="n">
        <x:v>65.92035232543945</x:v>
      </x:c>
      <x:c r="AS117" s="60" t="n">
        <x:v>66.09006553649903</x:v>
      </x:c>
      <x:c r="AT117" s="60" t="n">
        <x:v>66.24239959716797</x:v>
      </x:c>
      <x:c r="AU117" s="60" t="n">
        <x:v>66.404169921875</x:v>
      </x:c>
      <x:c r="AV117" s="60" t="n">
        <x:v>66.55973571777344</x:v>
      </x:c>
      <x:c r="AW117" s="60" t="n">
        <x:v>66.71454391479492</x:v>
      </x:c>
      <x:c r="AX117" s="60" t="n">
        <x:v>66.86170623779297</x:v>
      </x:c>
      <x:c r="AY117" s="60" t="n">
        <x:v>67.01283950805664</x:v>
      </x:c>
      <x:c r="AZ117" s="60" t="n">
        <x:v>67.15867095947266</x:v>
      </x:c>
      <x:c r="BA117" s="60" t="n">
        <x:v>67.29628486633301</x:v>
      </x:c>
      <x:c r="BB117" s="60" t="n">
        <x:v>67.4483724975586</x:v>
      </x:c>
      <x:c r="BC117" s="60" t="n">
        <x:v>67.59199394226074</x:v>
      </x:c>
      <x:c r="BD117" s="60" t="n">
        <x:v>67.72657775878906</x:v>
      </x:c>
      <x:c r="BE117" s="60" t="n">
        <x:v>67.84939613342286</x:v>
      </x:c>
      <x:c r="BF117" s="60" t="n">
        <x:v>67.9917269897461</x:v>
      </x:c>
      <x:c r="BG117" s="60" t="n">
        <x:v>68.1358837890625</x:v>
      </x:c>
      <x:c r="BH117" s="60" t="n">
        <x:v>68.27507446289063</x:v>
      </x:c>
      <x:c r="BI117" s="60" t="n">
        <x:v>68.39933319091797</x:v>
      </x:c>
      <x:c r="BJ117" s="60" t="n">
        <x:v>68.53623840332031</x:v>
      </x:c>
      <x:c r="BK117" s="60" t="n">
        <x:v>68.66532188415528</x:v>
      </x:c>
      <x:c r="BL117" s="60" t="n">
        <x:v>68.77310302734375</x:v>
      </x:c>
      <x:c r="BM117" s="60" t="n">
        <x:v>68.90808990478516</x:v>
      </x:c>
      <x:c r="BN117" s="60" t="n">
        <x:v>69.03489990234375</x:v>
      </x:c>
      <x:c r="BO117" s="60" t="n">
        <x:v>69.14825416564942</x:v>
      </x:c>
      <x:c r="BP117" s="60" t="n">
        <x:v>69.2750112915039</x:v>
      </x:c>
      <x:c r="BQ117" s="60" t="n">
        <x:v>69.41028045654296</x:v>
      </x:c>
      <x:c r="BR117" s="60" t="n">
        <x:v>69.54679443359375</x:v>
      </x:c>
      <x:c r="BS117" s="60" t="n">
        <x:v>69.68128662109375</x:v>
      </x:c>
      <x:c r="BT117" s="60" t="n">
        <x:v>69.8188230895996</x:v>
      </x:c>
      <x:c r="BU117" s="60" t="n">
        <x:v>69.94782905578613</x:v>
      </x:c>
      <x:c r="BV117" s="60" t="n">
        <x:v>70.07634887695312</x:v>
      </x:c>
      <x:c r="BW117" s="60" t="n">
        <x:v>70.20401458740234</x:v>
      </x:c>
      <x:c r="BX117" s="60" t="n">
        <x:v>70.31679153442383</x:v>
      </x:c>
      <x:c r="BY117" s="60" t="n">
        <x:v>70.43381141662597</x:v>
      </x:c>
      <x:c r="BZ117" s="60" t="n">
        <x:v>70.56306732177734</x:v>
      </x:c>
      <x:c r="CA117" s="60" t="n">
        <x:v>70.68491691589355</x:v>
      </x:c>
      <x:c r="CB117" s="60" t="n">
        <x:v>70.80748107910156</x:v>
      </x:c>
      <x:c r="CC117" s="60" t="n">
        <x:v>70.94671440124512</x:v>
      </x:c>
      <x:c r="CD117" s="60" t="n">
        <x:v>71.09515655517578</x:v>
      </x:c>
      <x:c r="CE117" s="60" t="n">
        <x:v>71.21573310852051</x:v>
      </x:c>
      <x:c r="CF117" s="60" t="n">
        <x:v>71.35632263183594</x:v>
      </x:c>
      <x:c r="CG117" s="60" t="n">
        <x:v>71.48578857421874</x:v>
      </x:c>
      <x:c r="CH117" s="60" t="n">
        <x:v>71.62332916259766</x:v>
      </x:c>
      <x:c r="CI117" s="60" t="n">
        <x:v>71.76781616210937</x:v>
      </x:c>
      <x:c r="CJ117" s="60" t="n">
        <x:v>71.89753646850586</x:v>
      </x:c>
      <x:c r="CK117" s="60" t="n">
        <x:v>72.06506828308106</x:v>
      </x:c>
      <x:c r="CL117" s="60" t="n">
        <x:v>72.20498657226562</x:v>
      </x:c>
      <x:c r="CM117" s="60" t="n">
        <x:v>72.34595336914062</x:v>
      </x:c>
      <x:c r="CN117" s="60" t="n">
        <x:v>72.49703063964844</x:v>
      </x:c>
      <x:c r="CO117" s="60" t="n">
        <x:v>72.65835212707519</x:v>
      </x:c>
      <x:c r="CP117" s="60" t="n">
        <x:v>72.8355078125</x:v>
      </x:c>
      <x:c r="CQ117" s="60" t="n">
        <x:v>73.01773460388183</x:v>
      </x:c>
      <x:c r="CR117" s="60" t="n">
        <x:v>73.19694442749024</x:v>
      </x:c>
      <x:c r="CS117" s="60" t="n">
        <x:v>73.39138442993163</x:v>
      </x:c>
      <x:c r="CT117" s="60" t="n">
        <x:v>73.58371398925782</x:v>
      </x:c>
      <x:c r="CU117" s="60" t="n">
        <x:v>73.80077499389648</x:v>
      </x:c>
      <x:c r="CV117" s="60" t="n">
        <x:v>74.03618789672852</x:v>
      </x:c>
      <x:c r="CW117" s="60" t="n">
        <x:v>74.30931205749512</x:v>
      </x:c>
      <x:c r="CX117" s="60" t="n">
        <x:v>74.63520446777343</x:v>
      </x:c>
      <x:c r="CY117" s="60" t="n">
        <x:v>74.96441986083984</x:v>
      </x:c>
      <x:c r="CZ117" s="60" t="n">
        <x:v>75.39474273681641</x:v>
      </x:c>
      <x:c r="DA117" s="60" t="n">
        <x:v>75.99757591247557</x:v>
      </x:c>
      <x:c r="DB117" s="60" t="n">
        <x:v>78.68486785888672</x:v>
      </x:c>
    </x:row>
    <x:row r="118">
      <x:c r="A118" t="str">
        <x:v>キュワワー-1</x:v>
      </x:c>
      <x:c r="B118" t="str">
        <x:v>キュワワー</x:v>
      </x:c>
      <x:c r="C118" t="str">
        <x:v>共通</x:v>
      </x:c>
      <x:c r="D118" s="60" t="n">
        <x:v>61.937442779541016</x:v>
      </x:c>
      <x:c r="E118" s="60" t="n">
        <x:v>7.20165491104126</x:v>
      </x:c>
      <x:c r="F118" s="60" t="n">
        <x:v>37.274078369140625</x:v>
      </x:c>
      <x:c r="G118" s="60" t="n">
        <x:v>43.91514717102051</x:v>
      </x:c>
      <x:c r="H118" s="60" t="n">
        <x:v>46.0075764465332</x:v>
      </x:c>
      <x:c r="I118" s="60" t="n">
        <x:v>47.25630157470703</x:v>
      </x:c>
      <x:c r="J118" s="60" t="n">
        <x:v>48.29402847290039</x:v>
      </x:c>
      <x:c r="K118" s="60" t="n">
        <x:v>49.144473266601565</x:v>
      </x:c>
      <x:c r="L118" s="60" t="n">
        <x:v>49.885016708374025</x:v>
      </x:c>
      <x:c r="M118" s="60" t="n">
        <x:v>50.51919799804688</x:v>
      </x:c>
      <x:c r="N118" s="60" t="n">
        <x:v>51.09578170776367</x:v>
      </x:c>
      <x:c r="O118" s="60" t="n">
        <x:v>51.63854515075683</x:v>
      </x:c>
      <x:c r="P118" s="60" t="n">
        <x:v>52.13160934448242</x:v>
      </x:c>
      <x:c r="Q118" s="60" t="n">
        <x:v>52.62863639831543</x:v>
      </x:c>
      <x:c r="R118" s="60" t="n">
        <x:v>53.01260726928711</x:v>
      </x:c>
      <x:c r="S118" s="60" t="n">
        <x:v>53.424902725219724</x:v>
      </x:c>
      <x:c r="T118" s="60" t="n">
        <x:v>53.828229370117185</x:v>
      </x:c>
      <x:c r="U118" s="60" t="n">
        <x:v>54.19926204681396</x:v>
      </x:c>
      <x:c r="V118" s="60" t="n">
        <x:v>54.50422302246094</x:v>
      </x:c>
      <x:c r="W118" s="60" t="n">
        <x:v>54.83107959747314</x:v>
      </x:c>
      <x:c r="X118" s="60" t="n">
        <x:v>55.18251625061035</x:v>
      </x:c>
      <x:c r="Y118" s="60" t="n">
        <x:v>55.505910568237304</x:v>
      </x:c>
      <x:c r="Z118" s="60" t="n">
        <x:v>55.797882080078125</x:v>
      </x:c>
      <x:c r="AA118" s="60" t="n">
        <x:v>56.0897720336914</x:v>
      </x:c>
      <x:c r="AB118" s="60" t="n">
        <x:v>56.36983901977539</x:v>
      </x:c>
      <x:c r="AC118" s="60" t="n">
        <x:v>56.60521125793457</x:v>
      </x:c>
      <x:c r="AD118" s="60" t="n">
        <x:v>56.85744827270508</x:v>
      </x:c>
      <x:c r="AE118" s="60" t="n">
        <x:v>57.11484432220459</x:v>
      </x:c>
      <x:c r="AF118" s="60" t="n">
        <x:v>57.372090072631835</x:v>
      </x:c>
      <x:c r="AG118" s="60" t="n">
        <x:v>57.60902275085449</x:v>
      </x:c>
      <x:c r="AH118" s="60" t="n">
        <x:v>57.84790756225586</x:v>
      </x:c>
      <x:c r="AI118" s="60" t="n">
        <x:v>58.071451339721676</x:v>
      </x:c>
      <x:c r="AJ118" s="60" t="n">
        <x:v>58.28883438110351</x:v>
      </x:c>
      <x:c r="AK118" s="60" t="n">
        <x:v>58.53068420410156</x:v>
      </x:c>
      <x:c r="AL118" s="60" t="n">
        <x:v>58.750843658447266</x:v>
      </x:c>
      <x:c r="AM118" s="60" t="n">
        <x:v>58.99406433105469</x:v>
      </x:c>
      <x:c r="AN118" s="60" t="n">
        <x:v>59.218431625366215</x:v>
      </x:c>
      <x:c r="AO118" s="60" t="n">
        <x:v>59.446730041503905</x:v>
      </x:c>
      <x:c r="AP118" s="60" t="n">
        <x:v>59.67756011962891</x:v>
      </x:c>
      <x:c r="AQ118" s="60" t="n">
        <x:v>59.87140331268311</x:v>
      </x:c>
      <x:c r="AR118" s="60" t="n">
        <x:v>60.08335540771484</x:v>
      </x:c>
      <x:c r="AS118" s="60" t="n">
        <x:v>60.27869018554688</x:v>
      </x:c>
      <x:c r="AT118" s="60" t="n">
        <x:v>60.46926651000977</x:v>
      </x:c>
      <x:c r="AU118" s="60" t="n">
        <x:v>60.68957542419434</x:v>
      </x:c>
      <x:c r="AV118" s="60" t="n">
        <x:v>60.88693946838379</x:v>
      </x:c>
      <x:c r="AW118" s="60" t="n">
        <x:v>61.071202774047855</x:v>
      </x:c>
      <x:c r="AX118" s="60" t="n">
        <x:v>61.26896987915039</x:v>
      </x:c>
      <x:c r="AY118" s="60" t="n">
        <x:v>61.46556015014649</x:v>
      </x:c>
      <x:c r="AZ118" s="60" t="n">
        <x:v>61.68261428833008</x:v>
      </x:c>
      <x:c r="BA118" s="60" t="n">
        <x:v>61.87295387268066</x:v>
      </x:c>
      <x:c r="BB118" s="60" t="n">
        <x:v>62.08213150024414</x:v>
      </x:c>
      <x:c r="BC118" s="60" t="n">
        <x:v>62.27557472229004</x:v>
      </x:c>
      <x:c r="BD118" s="60" t="n">
        <x:v>62.439130783081055</x:v>
      </x:c>
      <x:c r="BE118" s="60" t="n">
        <x:v>62.621613578796385</x:v>
      </x:c>
      <x:c r="BF118" s="60" t="n">
        <x:v>62.80405975341797</x:v>
      </x:c>
      <x:c r="BG118" s="60" t="n">
        <x:v>62.9983882522583</x:v>
      </x:c>
      <x:c r="BH118" s="60" t="n">
        <x:v>63.21348518371582</x:v>
      </x:c>
      <x:c r="BI118" s="60" t="n">
        <x:v>63.4215612411499</x:v>
      </x:c>
      <x:c r="BJ118" s="60" t="n">
        <x:v>63.635754394531254</x:v>
      </x:c>
      <x:c r="BK118" s="60" t="n">
        <x:v>63.83518070220947</x:v>
      </x:c>
      <x:c r="BL118" s="60" t="n">
        <x:v>64.04154235839843</x:v>
      </x:c>
      <x:c r="BM118" s="60" t="n">
        <x:v>64.23119926452637</x:v>
      </x:c>
      <x:c r="BN118" s="60" t="n">
        <x:v>64.40721435546875</x:v>
      </x:c>
      <x:c r="BO118" s="60" t="n">
        <x:v>64.59529724121094</x:v>
      </x:c>
      <x:c r="BP118" s="60" t="n">
        <x:v>64.78751892089844</x:v>
      </x:c>
      <x:c r="BQ118" s="60" t="n">
        <x:v>64.97329223632812</x:v>
      </x:c>
      <x:c r="BR118" s="60" t="n">
        <x:v>65.14975402832032</x:v>
      </x:c>
      <x:c r="BS118" s="60" t="n">
        <x:v>65.33830108642579</x:v>
      </x:c>
      <x:c r="BT118" s="60" t="n">
        <x:v>65.5318536376953</x:v>
      </x:c>
      <x:c r="BU118" s="60" t="n">
        <x:v>65.71352172851563</x:v>
      </x:c>
      <x:c r="BV118" s="60" t="n">
        <x:v>65.90207458496094</x:v>
      </x:c>
      <x:c r="BW118" s="60" t="n">
        <x:v>66.11407516479493</x:v>
      </x:c>
      <x:c r="BX118" s="60" t="n">
        <x:v>66.31518173217773</x:v>
      </x:c>
      <x:c r="BY118" s="60" t="n">
        <x:v>66.51105941772461</x:v>
      </x:c>
      <x:c r="BZ118" s="60" t="n">
        <x:v>66.74263610839844</x:v>
      </x:c>
      <x:c r="CA118" s="60" t="n">
        <x:v>66.93140609741211</x:v>
      </x:c>
      <x:c r="CB118" s="60" t="n">
        <x:v>67.12095138549805</x:v>
      </x:c>
      <x:c r="CC118" s="60" t="n">
        <x:v>67.29806709289551</x:v>
      </x:c>
      <x:c r="CD118" s="60" t="n">
        <x:v>67.50381072998047</x:v>
      </x:c>
      <x:c r="CE118" s="60" t="n">
        <x:v>67.71746147155761</x:v>
      </x:c>
      <x:c r="CF118" s="60" t="n">
        <x:v>67.94436157226562</x:v>
      </x:c>
      <x:c r="CG118" s="60" t="n">
        <x:v>68.15821220397949</x:v>
      </x:c>
      <x:c r="CH118" s="60" t="n">
        <x:v>68.38689422607422</x:v>
      </x:c>
      <x:c r="CI118" s="60" t="n">
        <x:v>68.57398147583008</x:v>
      </x:c>
      <x:c r="CJ118" s="60" t="n">
        <x:v>68.78366592407227</x:v>
      </x:c>
      <x:c r="CK118" s="60" t="n">
        <x:v>68.9975008392334</x:v>
      </x:c>
      <x:c r="CL118" s="60" t="n">
        <x:v>69.23096008300782</x:v>
      </x:c>
      <x:c r="CM118" s="60" t="n">
        <x:v>69.44934349060058</x:v>
      </x:c>
      <x:c r="CN118" s="60" t="n">
        <x:v>69.71883758544922</x:v>
      </x:c>
      <x:c r="CO118" s="60" t="n">
        <x:v>69.99406898498535</x:v>
      </x:c>
      <x:c r="CP118" s="60" t="n">
        <x:v>70.29889495849609</x:v>
      </x:c>
      <x:c r="CQ118" s="60" t="n">
        <x:v>70.59533813476563</x:v>
      </x:c>
      <x:c r="CR118" s="60" t="n">
        <x:v>70.92343063354492</x:v>
      </x:c>
      <x:c r="CS118" s="60" t="n">
        <x:v>71.25281318664551</x:v>
      </x:c>
      <x:c r="CT118" s="60" t="n">
        <x:v>71.58587310791016</x:v>
      </x:c>
      <x:c r="CU118" s="60" t="n">
        <x:v>71.93050918579101</x:v>
      </x:c>
      <x:c r="CV118" s="60" t="n">
        <x:v>72.343046875</x:v>
      </x:c>
      <x:c r="CW118" s="60" t="n">
        <x:v>72.77932586669924</x:v>
      </x:c>
      <x:c r="CX118" s="60" t="n">
        <x:v>73.347080078125</x:v>
      </x:c>
      <x:c r="CY118" s="60" t="n">
        <x:v>73.96459533691406</x:v>
      </x:c>
      <x:c r="CZ118" s="60" t="n">
        <x:v>74.666103515625</x:v>
      </x:c>
      <x:c r="DA118" s="60" t="n">
        <x:v>75.78058639526367</x:v>
      </x:c>
      <x:c r="DB118" s="60" t="n">
        <x:v>81.02963256835938</x:v>
      </x:c>
    </x:row>
    <x:row r="119">
      <x:c r="A119" t="str">
        <x:v>コダック-1</x:v>
      </x:c>
      <x:c r="B119" t="str">
        <x:v>コダック</x:v>
      </x:c>
      <x:c r="C119" t="str">
        <x:v>共通</x:v>
      </x:c>
      <x:c r="D119" s="60" t="n">
        <x:v>66.21400451660156</x:v>
      </x:c>
      <x:c r="E119" s="60" t="n">
        <x:v>5.6385908126831055</x:v>
      </x:c>
      <x:c r="F119" s="60" t="n">
        <x:v>43.17858123779297</x:v>
      </x:c>
      <x:c r="G119" s="60" t="n">
        <x:v>51.13055751800537</x:v>
      </x:c>
      <x:c r="H119" s="60" t="n">
        <x:v>52.92245384216309</x:v>
      </x:c>
      <x:c r="I119" s="60" t="n">
        <x:v>54.27797733306885</x:v>
      </x:c>
      <x:c r="J119" s="60" t="n">
        <x:v>55.102728576660155</x:v>
      </x:c>
      <x:c r="K119" s="60" t="n">
        <x:v>55.79074687957764</x:v>
      </x:c>
      <x:c r="L119" s="60" t="n">
        <x:v>56.40097930908203</x:v>
      </x:c>
      <x:c r="M119" s="60" t="n">
        <x:v>56.98247058868408</x:v>
      </x:c>
      <x:c r="N119" s="60" t="n">
        <x:v>57.48649551391602</x:v>
      </x:c>
      <x:c r="O119" s="60" t="n">
        <x:v>57.94157230377197</x:v>
      </x:c>
      <x:c r="P119" s="60" t="n">
        <x:v>58.3706787109375</x:v>
      </x:c>
      <x:c r="Q119" s="60" t="n">
        <x:v>58.739320030212404</x:v>
      </x:c>
      <x:c r="R119" s="60" t="n">
        <x:v>59.1267268371582</x:v>
      </x:c>
      <x:c r="S119" s="60" t="n">
        <x:v>59.52732467651367</x:v>
      </x:c>
      <x:c r="T119" s="60" t="n">
        <x:v>59.82987777709961</x:v>
      </x:c>
      <x:c r="U119" s="60" t="n">
        <x:v>60.14659671783447</x:v>
      </x:c>
      <x:c r="V119" s="60" t="n">
        <x:v>60.47856979370117</x:v>
      </x:c>
      <x:c r="W119" s="60" t="n">
        <x:v>60.760221786499024</x:v>
      </x:c>
      <x:c r="X119" s="60" t="n">
        <x:v>61.004095001220705</x:v>
      </x:c>
      <x:c r="Y119" s="60" t="n">
        <x:v>61.227297439575196</x:v>
      </x:c>
      <x:c r="Z119" s="60" t="n">
        <x:v>61.461228942871095</x:v>
      </x:c>
      <x:c r="AA119" s="60" t="n">
        <x:v>61.70900707244873</x:v>
      </x:c>
      <x:c r="AB119" s="60" t="n">
        <x:v>61.946970825195315</x:v>
      </x:c>
      <x:c r="AC119" s="60" t="n">
        <x:v>62.16245700836182</x:v>
      </x:c>
      <x:c r="AD119" s="60" t="n">
        <x:v>62.395721893310544</x:v>
      </x:c>
      <x:c r="AE119" s="60" t="n">
        <x:v>62.60849857330322</x:v>
      </x:c>
      <x:c r="AF119" s="60" t="n">
        <x:v>62.842372283935546</x:v>
      </x:c>
      <x:c r="AG119" s="60" t="n">
        <x:v>63.06023349761963</x:v>
      </x:c>
      <x:c r="AH119" s="60" t="n">
        <x:v>63.25195678710938</x:v>
      </x:c>
      <x:c r="AI119" s="60" t="n">
        <x:v>63.42877239227295</x:v>
      </x:c>
      <x:c r="AJ119" s="60" t="n">
        <x:v>63.59959373474121</x:v>
      </x:c>
      <x:c r="AK119" s="60" t="n">
        <x:v>63.78189266204834</x:v>
      </x:c>
      <x:c r="AL119" s="60" t="n">
        <x:v>63.977958068847656</x:v>
      </x:c>
      <x:c r="AM119" s="60" t="n">
        <x:v>64.15155052185058</x:v>
      </x:c>
      <x:c r="AN119" s="60" t="n">
        <x:v>64.33441360473633</x:v>
      </x:c>
      <x:c r="AO119" s="60" t="n">
        <x:v>64.50877571105957</x:v>
      </x:c>
      <x:c r="AP119" s="60" t="n">
        <x:v>64.67526763916015</x:v>
      </x:c>
      <x:c r="AQ119" s="60" t="n">
        <x:v>64.84956672668457</x:v>
      </x:c>
      <x:c r="AR119" s="60" t="n">
        <x:v>65.00886566162109</x:v>
      </x:c>
      <x:c r="AS119" s="60" t="n">
        <x:v>65.17002334594727</x:v>
      </x:c>
      <x:c r="AT119" s="60" t="n">
        <x:v>65.34080047607422</x:v>
      </x:c>
      <x:c r="AU119" s="60" t="n">
        <x:v>65.50560272216796</x:v>
      </x:c>
      <x:c r="AV119" s="60" t="n">
        <x:v>65.67876205444335</x:v>
      </x:c>
      <x:c r="AW119" s="60" t="n">
        <x:v>65.83418342590332</x:v>
      </x:c>
      <x:c r="AX119" s="60" t="n">
        <x:v>66.01148010253907</x:v>
      </x:c>
      <x:c r="AY119" s="60" t="n">
        <x:v>66.15397491455079</x:v>
      </x:c>
      <x:c r="AZ119" s="60" t="n">
        <x:v>66.30892471313477</x:v>
      </x:c>
      <x:c r="BA119" s="60" t="n">
        <x:v>66.47685913085938</x:v>
      </x:c>
      <x:c r="BB119" s="60" t="n">
        <x:v>66.63553100585938</x:v>
      </x:c>
      <x:c r="BC119" s="60" t="n">
        <x:v>66.7654872894287</x:v>
      </x:c>
      <x:c r="BD119" s="60" t="n">
        <x:v>66.91409301757812</x:v>
      </x:c>
      <x:c r="BE119" s="60" t="n">
        <x:v>67.0634455871582</x:v>
      </x:c>
      <x:c r="BF119" s="60" t="n">
        <x:v>67.22564849853515</x:v>
      </x:c>
      <x:c r="BG119" s="60" t="n">
        <x:v>67.37516983032226</x:v>
      </x:c>
      <x:c r="BH119" s="60" t="n">
        <x:v>67.5156381225586</x:v>
      </x:c>
      <x:c r="BI119" s="60" t="n">
        <x:v>67.68034934997559</x:v>
      </x:c>
      <x:c r="BJ119" s="60" t="n">
        <x:v>67.80793609619141</x:v>
      </x:c>
      <x:c r="BK119" s="60" t="n">
        <x:v>67.94311706542969</x:v>
      </x:c>
      <x:c r="BL119" s="60" t="n">
        <x:v>68.0913264465332</x:v>
      </x:c>
      <x:c r="BM119" s="60" t="n">
        <x:v>68.24792068481446</x:v>
      </x:c>
      <x:c r="BN119" s="60" t="n">
        <x:v>68.40670928955078</x:v>
      </x:c>
      <x:c r="BO119" s="60" t="n">
        <x:v>68.54047416687011</x:v>
      </x:c>
      <x:c r="BP119" s="60" t="n">
        <x:v>68.6864227294922</x:v>
      </x:c>
      <x:c r="BQ119" s="60" t="n">
        <x:v>68.8356177520752</x:v>
      </x:c>
      <x:c r="BR119" s="60" t="n">
        <x:v>68.97011688232422</x:v>
      </x:c>
      <x:c r="BS119" s="60" t="n">
        <x:v>69.09235153198242</x:v>
      </x:c>
      <x:c r="BT119" s="60" t="n">
        <x:v>69.23637832641602</x:v>
      </x:c>
      <x:c r="BU119" s="60" t="n">
        <x:v>69.37785194396973</x:v>
      </x:c>
      <x:c r="BV119" s="60" t="n">
        <x:v>69.52454010009765</x:v>
      </x:c>
      <x:c r="BW119" s="60" t="n">
        <x:v>69.66254348754883</x:v>
      </x:c>
      <x:c r="BX119" s="60" t="n">
        <x:v>69.80189895629883</x:v>
      </x:c>
      <x:c r="BY119" s="60" t="n">
        <x:v>69.9563298034668</x:v>
      </x:c>
      <x:c r="BZ119" s="60" t="n">
        <x:v>70.08795989990234</x:v>
      </x:c>
      <x:c r="CA119" s="60" t="n">
        <x:v>70.2134741973877</x:v>
      </x:c>
      <x:c r="CB119" s="60" t="n">
        <x:v>70.37345794677735</x:v>
      </x:c>
      <x:c r="CC119" s="60" t="n">
        <x:v>70.51321411132812</x:v>
      </x:c>
      <x:c r="CD119" s="60" t="n">
        <x:v>70.64326446533204</x:v>
      </x:c>
      <x:c r="CE119" s="60" t="n">
        <x:v>70.77869750976562</x:v>
      </x:c>
      <x:c r="CF119" s="60" t="n">
        <x:v>70.92956573486327</x:v>
      </x:c>
      <x:c r="CG119" s="60" t="n">
        <x:v>71.10641548156738</x:v>
      </x:c>
      <x:c r="CH119" s="60" t="n">
        <x:v>71.25984039306641</x:v>
      </x:c>
      <x:c r="CI119" s="60" t="n">
        <x:v>71.4182022857666</x:v>
      </x:c>
      <x:c r="CJ119" s="60" t="n">
        <x:v>71.57077331542969</x:v>
      </x:c>
      <x:c r="CK119" s="60" t="n">
        <x:v>71.74179801940917</x:v>
      </x:c>
      <x:c r="CL119" s="60" t="n">
        <x:v>71.8981494140625</x:v>
      </x:c>
      <x:c r="CM119" s="60" t="n">
        <x:v>72.06329803466797</x:v>
      </x:c>
      <x:c r="CN119" s="60" t="n">
        <x:v>72.2259764099121</x:v>
      </x:c>
      <x:c r="CO119" s="60" t="n">
        <x:v>72.40720031738282</x:v>
      </x:c>
      <x:c r="CP119" s="60" t="n">
        <x:v>72.60074401855469</x:v>
      </x:c>
      <x:c r="CQ119" s="60" t="n">
        <x:v>72.78715789794921</x:v>
      </x:c>
      <x:c r="CR119" s="60" t="n">
        <x:v>72.99321212768555</x:v>
      </x:c>
      <x:c r="CS119" s="60" t="n">
        <x:v>73.1920320892334</x:v>
      </x:c>
      <x:c r="CT119" s="60" t="n">
        <x:v>73.40507751464844</x:v>
      </x:c>
      <x:c r="CU119" s="60" t="n">
        <x:v>73.66423248291015</x:v>
      </x:c>
      <x:c r="CV119" s="60" t="n">
        <x:v>73.88697647094726</x:v>
      </x:c>
      <x:c r="CW119" s="60" t="n">
        <x:v>74.14553985595704</x:v>
      </x:c>
      <x:c r="CX119" s="60" t="n">
        <x:v>74.43704315185546</x:v>
      </x:c>
      <x:c r="CY119" s="60" t="n">
        <x:v>74.7651651763916</x:v>
      </x:c>
      <x:c r="CZ119" s="60" t="n">
        <x:v>75.25617492675782</x:v>
      </x:c>
      <x:c r="DA119" s="60" t="n">
        <x:v>75.90175308227539</x:v>
      </x:c>
      <x:c r="DB119" s="60" t="n">
        <x:v>78.69290924072266</x:v>
      </x:c>
    </x:row>
    <x:row r="120">
      <x:c r="A120" t="str">
        <x:v>ハピナス-1</x:v>
      </x:c>
      <x:c r="B120" t="str">
        <x:v>ハピナス</x:v>
      </x:c>
      <x:c r="C120" t="str">
        <x:v>共通</x:v>
      </x:c>
      <x:c r="D120" s="60" t="n">
        <x:v>64.16183471679688</x:v>
      </x:c>
      <x:c r="E120" s="60" t="n">
        <x:v>8.758503913879395</x:v>
      </x:c>
      <x:c r="F120" s="60" t="n">
        <x:v>34.65932083129883</x:v>
      </x:c>
      <x:c r="G120" s="60" t="n">
        <x:v>42.02996757507324</x:v>
      </x:c>
      <x:c r="H120" s="60" t="n">
        <x:v>44.29505523681641</x:v>
      </x:c>
      <x:c r="I120" s="60" t="n">
        <x:v>45.898724784851076</x:v>
      </x:c>
      <x:c r="J120" s="60" t="n">
        <x:v>47.41244125366211</x:v>
      </x:c>
      <x:c r="K120" s="60" t="n">
        <x:v>48.367818450927736</x:v>
      </x:c>
      <x:c r="L120" s="60" t="n">
        <x:v>49.27725891113281</x:v>
      </x:c>
      <x:c r="M120" s="60" t="n">
        <x:v>50.05095806121826</x:v>
      </x:c>
      <x:c r="N120" s="60" t="n">
        <x:v>50.786403045654296</x:v>
      </x:c>
      <x:c r="O120" s="60" t="n">
        <x:v>51.493677635192874</x:v>
      </x:c>
      <x:c r="P120" s="60" t="n">
        <x:v>52.099021911621094</x:v>
      </x:c>
      <x:c r="Q120" s="60" t="n">
        <x:v>52.6586678314209</x:v>
      </x:c>
      <x:c r="R120" s="60" t="n">
        <x:v>53.17821197509765</x:v>
      </x:c>
      <x:c r="S120" s="60" t="n">
        <x:v>53.68156097412109</x:v>
      </x:c>
      <x:c r="T120" s="60" t="n">
        <x:v>54.19711921691894</x:v>
      </x:c>
      <x:c r="U120" s="60" t="n">
        <x:v>54.64489669799805</x:v>
      </x:c>
      <x:c r="V120" s="60" t="n">
        <x:v>55.06535125732422</x:v>
      </x:c>
      <x:c r="W120" s="60" t="n">
        <x:v>55.50562206268311</x:v>
      </x:c>
      <x:c r="X120" s="60" t="n">
        <x:v>55.874138565063475</x:v>
      </x:c>
      <x:c r="Y120" s="60" t="n">
        <x:v>56.26562614440918</x:v>
      </x:c>
      <x:c r="Z120" s="60" t="n">
        <x:v>56.6186408996582</x:v>
      </x:c>
      <x:c r="AA120" s="60" t="n">
        <x:v>56.99151195526123</x:v>
      </x:c>
      <x:c r="AB120" s="60" t="n">
        <x:v>57.3585262298584</x:v>
      </x:c>
      <x:c r="AC120" s="60" t="n">
        <x:v>57.70248554229737</x:v>
      </x:c>
      <x:c r="AD120" s="60" t="n">
        <x:v>58.06642700195312</x:v>
      </x:c>
      <x:c r="AE120" s="60" t="n">
        <x:v>58.369704246520996</x:v>
      </x:c>
      <x:c r="AF120" s="60" t="n">
        <x:v>58.6605940246582</x:v>
      </x:c>
      <x:c r="AG120" s="60" t="n">
        <x:v>59.017442855834965</x:v>
      </x:c>
      <x:c r="AH120" s="60" t="n">
        <x:v>59.283432464599606</x:v>
      </x:c>
      <x:c r="AI120" s="60" t="n">
        <x:v>59.54408126831055</x:v>
      </x:c>
      <x:c r="AJ120" s="60" t="n">
        <x:v>59.821814727783206</x:v>
      </x:c>
      <x:c r="AK120" s="60" t="n">
        <x:v>60.11350204467774</x:v>
      </x:c>
      <x:c r="AL120" s="60" t="n">
        <x:v>60.40002655029297</x:v>
      </x:c>
      <x:c r="AM120" s="60" t="n">
        <x:v>60.683379554748534</x:v>
      </x:c>
      <x:c r="AN120" s="60" t="n">
        <x:v>60.95967018127442</x:v>
      </x:c>
      <x:c r="AO120" s="60" t="n">
        <x:v>61.21593132019043</x:v>
      </x:c>
      <x:c r="AP120" s="60" t="n">
        <x:v>61.494336700439455</x:v>
      </x:c>
      <x:c r="AQ120" s="60" t="n">
        <x:v>61.757874641418454</x:v>
      </x:c>
      <x:c r="AR120" s="60" t="n">
        <x:v>61.98795310974121</x:v>
      </x:c>
      <x:c r="AS120" s="60" t="n">
        <x:v>62.28520843505859</x:v>
      </x:c>
      <x:c r="AT120" s="60" t="n">
        <x:v>62.53905487060547</x:v>
      </x:c>
      <x:c r="AU120" s="60" t="n">
        <x:v>62.803125343322755</x:v>
      </x:c>
      <x:c r="AV120" s="60" t="n">
        <x:v>63.06201461791992</x:v>
      </x:c>
      <x:c r="AW120" s="60" t="n">
        <x:v>63.309133796691896</x:v>
      </x:c>
      <x:c r="AX120" s="60" t="n">
        <x:v>63.556459197998045</x:v>
      </x:c>
      <x:c r="AY120" s="60" t="n">
        <x:v>63.80531024932861</x:v>
      </x:c>
      <x:c r="AZ120" s="60" t="n">
        <x:v>64.04495803833008</x:v>
      </x:c>
      <x:c r="BA120" s="60" t="n">
        <x:v>64.27149452209473</x:v>
      </x:c>
      <x:c r="BB120" s="60" t="n">
        <x:v>64.4980776977539</x:v>
      </x:c>
      <x:c r="BC120" s="60" t="n">
        <x:v>64.73329116821289</x:v>
      </x:c>
      <x:c r="BD120" s="60" t="n">
        <x:v>64.96068572998047</x:v>
      </x:c>
      <x:c r="BE120" s="60" t="n">
        <x:v>65.21348579406738</x:v>
      </x:c>
      <x:c r="BF120" s="60" t="n">
        <x:v>65.43898559570313</x:v>
      </x:c>
      <x:c r="BG120" s="60" t="n">
        <x:v>65.6757674407959</x:v>
      </x:c>
      <x:c r="BH120" s="60" t="n">
        <x:v>65.9122361755371</x:v>
      </x:c>
      <x:c r="BI120" s="60" t="n">
        <x:v>66.13804054260254</x:v>
      </x:c>
      <x:c r="BJ120" s="60" t="n">
        <x:v>66.37202117919922</x:v>
      </x:c>
      <x:c r="BK120" s="60" t="n">
        <x:v>66.62574035644532</x:v>
      </x:c>
      <x:c r="BL120" s="60" t="n">
        <x:v>66.86031524658203</x:v>
      </x:c>
      <x:c r="BM120" s="60" t="n">
        <x:v>67.0857194519043</x:v>
      </x:c>
      <x:c r="BN120" s="60" t="n">
        <x:v>67.32223663330078</x:v>
      </x:c>
      <x:c r="BO120" s="60" t="n">
        <x:v>67.55774787902833</x:v>
      </x:c>
      <x:c r="BP120" s="60" t="n">
        <x:v>67.79831512451172</x:v>
      </x:c>
      <x:c r="BQ120" s="60" t="n">
        <x:v>68.00721870422363</x:v>
      </x:c>
      <x:c r="BR120" s="60" t="n">
        <x:v>68.23259857177734</x:v>
      </x:c>
      <x:c r="BS120" s="60" t="n">
        <x:v>68.44721946716308</x:v>
      </x:c>
      <x:c r="BT120" s="60" t="n">
        <x:v>68.67972579956054</x:v>
      </x:c>
      <x:c r="BU120" s="60" t="n">
        <x:v>68.92957275390626</x:v>
      </x:c>
      <x:c r="BV120" s="60" t="n">
        <x:v>69.17644470214844</x:v>
      </x:c>
      <x:c r="BW120" s="60" t="n">
        <x:v>69.39049179077149</x:v>
      </x:c>
      <x:c r="BX120" s="60" t="n">
        <x:v>69.66506652832031</x:v>
      </x:c>
      <x:c r="BY120" s="60" t="n">
        <x:v>69.89996795654297</x:v>
      </x:c>
      <x:c r="BZ120" s="60" t="n">
        <x:v>70.10119659423827</x:v>
      </x:c>
      <x:c r="CA120" s="60" t="n">
        <x:v>70.31498161315918</x:v>
      </x:c>
      <x:c r="CB120" s="60" t="n">
        <x:v>70.56487213134766</x:v>
      </x:c>
      <x:c r="CC120" s="60" t="n">
        <x:v>70.84115028381348</x:v>
      </x:c>
      <x:c r="CD120" s="60" t="n">
        <x:v>71.11266235351563</x:v>
      </x:c>
      <x:c r="CE120" s="60" t="n">
        <x:v>71.3340697479248</x:v>
      </x:c>
      <x:c r="CF120" s="60" t="n">
        <x:v>71.55882446289063</x:v>
      </x:c>
      <x:c r="CG120" s="60" t="n">
        <x:v>71.81435020446777</x:v>
      </x:c>
      <x:c r="CH120" s="60" t="n">
        <x:v>72.05093078613281</x:v>
      </x:c>
      <x:c r="CI120" s="60" t="n">
        <x:v>72.30972869873047</x:v>
      </x:c>
      <x:c r="CJ120" s="60" t="n">
        <x:v>72.53130508422852</x:v>
      </x:c>
      <x:c r="CK120" s="60" t="n">
        <x:v>72.83367248535156</x:v>
      </x:c>
      <x:c r="CL120" s="60" t="n">
        <x:v>73.10242980957031</x:v>
      </x:c>
      <x:c r="CM120" s="60" t="n">
        <x:v>73.36971626281738</x:v>
      </x:c>
      <x:c r="CN120" s="60" t="n">
        <x:v>73.6485871887207</x:v>
      </x:c>
      <x:c r="CO120" s="60" t="n">
        <x:v>73.92459487915039</x:v>
      </x:c>
      <x:c r="CP120" s="60" t="n">
        <x:v>74.2369320678711</x:v>
      </x:c>
      <x:c r="CQ120" s="60" t="n">
        <x:v>74.56340347290039</x:v>
      </x:c>
      <x:c r="CR120" s="60" t="n">
        <x:v>74.90527496337891</x:v>
      </x:c>
      <x:c r="CS120" s="60" t="n">
        <x:v>75.22932075500488</x:v>
      </x:c>
      <x:c r="CT120" s="60" t="n">
        <x:v>75.65463439941406</x:v>
      </x:c>
      <x:c r="CU120" s="60" t="n">
        <x:v>76.10774963378907</x:v>
      </x:c>
      <x:c r="CV120" s="60" t="n">
        <x:v>76.52128326416016</x:v>
      </x:c>
      <x:c r="CW120" s="60" t="n">
        <x:v>77.0377182006836</x:v>
      </x:c>
      <x:c r="CX120" s="60" t="n">
        <x:v>77.61382202148438</x:v>
      </x:c>
      <x:c r="CY120" s="60" t="n">
        <x:v>78.23651527404785</x:v>
      </x:c>
      <x:c r="CZ120" s="60" t="n">
        <x:v>79.05706939697266</x:v>
      </x:c>
      <x:c r="DA120" s="60" t="n">
        <x:v>80.26045890808105</x:v>
      </x:c>
      <x:c r="DB120" s="60" t="n">
        <x:v>85.36647033691406</x:v>
      </x:c>
    </x:row>
    <x:row r="121">
      <x:c r="A121" t="str">
        <x:v>バリヤード-1</x:v>
      </x:c>
      <x:c r="B121" t="str">
        <x:v>バリヤード</x:v>
      </x:c>
      <x:c r="C121" t="str">
        <x:v>バリアー</x:v>
      </x:c>
      <x:c r="D121" s="60" t="n">
        <x:v>66.1976547241211</x:v>
      </x:c>
      <x:c r="E121" s="60" t="n">
        <x:v>6.0856404304504395</x:v>
      </x:c>
      <x:c r="F121" s="60" t="n">
        <x:v>43.49683380126953</x:v>
      </x:c>
      <x:c r="G121" s="60" t="n">
        <x:v>50.21007011413574</x:v>
      </x:c>
      <x:c r="H121" s="60" t="n">
        <x:v>51.99653701782226</x:v>
      </x:c>
      <x:c r="I121" s="60" t="n">
        <x:v>53.45293972015381</x:v>
      </x:c>
      <x:c r="J121" s="60" t="n">
        <x:v>54.42100799560547</x:v>
      </x:c>
      <x:c r="K121" s="60" t="n">
        <x:v>55.11979217529297</x:v>
      </x:c>
      <x:c r="L121" s="60" t="n">
        <x:v>55.796250915527345</x:v>
      </x:c>
      <x:c r="M121" s="60" t="n">
        <x:v>56.40630729675293</x:v>
      </x:c>
      <x:c r="N121" s="60" t="n">
        <x:v>56.914879150390625</x:v>
      </x:c>
      <x:c r="O121" s="60" t="n">
        <x:v>57.379955711364744</x:v>
      </x:c>
      <x:c r="P121" s="60" t="n">
        <x:v>57.80443916320801</x:v>
      </x:c>
      <x:c r="Q121" s="60" t="n">
        <x:v>58.207851295471194</x:v>
      </x:c>
      <x:c r="R121" s="60" t="n">
        <x:v>58.59015029907226</x:v>
      </x:c>
      <x:c r="S121" s="60" t="n">
        <x:v>59.00134819030762</x:v>
      </x:c>
      <x:c r="T121" s="60" t="n">
        <x:v>59.34207092285156</x:v>
      </x:c>
      <x:c r="U121" s="60" t="n">
        <x:v>59.67516040802002</x:v>
      </x:c>
      <x:c r="V121" s="60" t="n">
        <x:v>59.985116729736326</x:v>
      </x:c>
      <x:c r="W121" s="60" t="n">
        <x:v>60.28743312835694</x:v>
      </x:c>
      <x:c r="X121" s="60" t="n">
        <x:v>60.57655288696289</x:v>
      </x:c>
      <x:c r="Y121" s="60" t="n">
        <x:v>60.8439603805542</x:v>
      </x:c>
      <x:c r="Z121" s="60" t="n">
        <x:v>61.119676971435545</x:v>
      </x:c>
      <x:c r="AA121" s="60" t="n">
        <x:v>61.38671241760254</x:v>
      </x:c>
      <x:c r="AB121" s="60" t="n">
        <x:v>61.62622703552246</x:v>
      </x:c>
      <x:c r="AC121" s="60" t="n">
        <x:v>61.85285793304443</x:v>
      </x:c>
      <x:c r="AD121" s="60" t="n">
        <x:v>62.074366149902346</x:v>
      </x:c>
      <x:c r="AE121" s="60" t="n">
        <x:v>62.32164764404297</x:v>
      </x:c>
      <x:c r="AF121" s="60" t="n">
        <x:v>62.543552780151366</x:v>
      </x:c>
      <x:c r="AG121" s="60" t="n">
        <x:v>62.74813846588135</x:v>
      </x:c>
      <x:c r="AH121" s="60" t="n">
        <x:v>62.966572265625</x:v>
      </x:c>
      <x:c r="AI121" s="60" t="n">
        <x:v>63.151712570190426</x:v>
      </x:c>
      <x:c r="AJ121" s="60" t="n">
        <x:v>63.36162414550781</x:v>
      </x:c>
      <x:c r="AK121" s="60" t="n">
        <x:v>63.54177795410156</x:v>
      </x:c>
      <x:c r="AL121" s="60" t="n">
        <x:v>63.726827239990236</x:v>
      </x:c>
      <x:c r="AM121" s="60" t="n">
        <x:v>63.93514484405517</x:v>
      </x:c>
      <x:c r="AN121" s="60" t="n">
        <x:v>64.12751495361329</x:v>
      </x:c>
      <x:c r="AO121" s="60" t="n">
        <x:v>64.2962776184082</x:v>
      </x:c>
      <x:c r="AP121" s="60" t="n">
        <x:v>64.48213684082032</x:v>
      </x:c>
      <x:c r="AQ121" s="60" t="n">
        <x:v>64.63529975891113</x:v>
      </x:c>
      <x:c r="AR121" s="60" t="n">
        <x:v>64.80555541992187</x:v>
      </x:c>
      <x:c r="AS121" s="60" t="n">
        <x:v>64.96948722839356</x:v>
      </x:c>
      <x:c r="AT121" s="60" t="n">
        <x:v>65.13509368896484</x:v>
      </x:c>
      <x:c r="AU121" s="60" t="n">
        <x:v>65.31366523742676</x:v>
      </x:c>
      <x:c r="AV121" s="60" t="n">
        <x:v>65.49767654418946</x:v>
      </x:c>
      <x:c r="AW121" s="60" t="n">
        <x:v>65.65860084533692</x:v>
      </x:c>
      <x:c r="AX121" s="60" t="n">
        <x:v>65.83637756347656</x:v>
      </x:c>
      <x:c r="AY121" s="60" t="n">
        <x:v>66.01058845520019</x:v>
      </x:c>
      <x:c r="AZ121" s="60" t="n">
        <x:v>66.18690811157227</x:v>
      </x:c>
      <x:c r="BA121" s="60" t="n">
        <x:v>66.35046463012695</x:v>
      </x:c>
      <x:c r="BB121" s="60" t="n">
        <x:v>66.49976470947266</x:v>
      </x:c>
      <x:c r="BC121" s="60" t="n">
        <x:v>66.65977210998535</x:v>
      </x:c>
      <x:c r="BD121" s="60" t="n">
        <x:v>66.81302261352539</x:v>
      </x:c>
      <x:c r="BE121" s="60" t="n">
        <x:v>66.97643516540528</x:v>
      </x:c>
      <x:c r="BF121" s="60" t="n">
        <x:v>67.13047546386719</x:v>
      </x:c>
      <x:c r="BG121" s="60" t="n">
        <x:v>67.29405250549317</x:v>
      </x:c>
      <x:c r="BH121" s="60" t="n">
        <x:v>67.44128128051759</x:v>
      </x:c>
      <x:c r="BI121" s="60" t="n">
        <x:v>67.60630073547364</x:v>
      </x:c>
      <x:c r="BJ121" s="60" t="n">
        <x:v>67.76679046630859</x:v>
      </x:c>
      <x:c r="BK121" s="60" t="n">
        <x:v>67.91569091796875</x:v>
      </x:c>
      <x:c r="BL121" s="60" t="n">
        <x:v>68.06562042236328</x:v>
      </x:c>
      <x:c r="BM121" s="60" t="n">
        <x:v>68.22290740966797</x:v>
      </x:c>
      <x:c r="BN121" s="60" t="n">
        <x:v>68.38404388427735</x:v>
      </x:c>
      <x:c r="BO121" s="60" t="n">
        <x:v>68.52964752197265</x:v>
      </x:c>
      <x:c r="BP121" s="60" t="n">
        <x:v>68.6796208190918</x:v>
      </x:c>
      <x:c r="BQ121" s="60" t="n">
        <x:v>68.8398762512207</x:v>
      </x:c>
      <x:c r="BR121" s="60" t="n">
        <x:v>68.99855895996095</x:v>
      </x:c>
      <x:c r="BS121" s="60" t="n">
        <x:v>69.16074256896972</x:v>
      </x:c>
      <x:c r="BT121" s="60" t="n">
        <x:v>69.32817504882813</x:v>
      </x:c>
      <x:c r="BU121" s="60" t="n">
        <x:v>69.47398231506348</x:v>
      </x:c>
      <x:c r="BV121" s="60" t="n">
        <x:v>69.64050720214844</x:v>
      </x:c>
      <x:c r="BW121" s="60" t="n">
        <x:v>69.7972908782959</x:v>
      </x:c>
      <x:c r="BX121" s="60" t="n">
        <x:v>69.96138229370118</x:v>
      </x:c>
      <x:c r="BY121" s="60" t="n">
        <x:v>70.12376091003418</x:v>
      </x:c>
      <x:c r="BZ121" s="60" t="n">
        <x:v>70.27612030029297</x:v>
      </x:c>
      <x:c r="CA121" s="60" t="n">
        <x:v>70.43909942626954</x:v>
      </x:c>
      <x:c r="CB121" s="60" t="n">
        <x:v>70.60843246459962</x:v>
      </x:c>
      <x:c r="CC121" s="60" t="n">
        <x:v>70.7674617767334</x:v>
      </x:c>
      <x:c r="CD121" s="60" t="n">
        <x:v>70.95380340576172</x:v>
      </x:c>
      <x:c r="CE121" s="60" t="n">
        <x:v>71.11825973510742</x:v>
      </x:c>
      <x:c r="CF121" s="60" t="n">
        <x:v>71.28953994750977</x:v>
      </x:c>
      <x:c r="CG121" s="60" t="n">
        <x:v>71.4668293762207</x:v>
      </x:c>
      <x:c r="CH121" s="60" t="n">
        <x:v>71.67569427490234</x:v>
      </x:c>
      <x:c r="CI121" s="60" t="n">
        <x:v>71.84005111694336</x:v>
      </x:c>
      <x:c r="CJ121" s="60" t="n">
        <x:v>72.02602966308594</x:v>
      </x:c>
      <x:c r="CK121" s="60" t="n">
        <x:v>72.20071418762207</x:v>
      </x:c>
      <x:c r="CL121" s="60" t="n">
        <x:v>72.39424591064453</x:v>
      </x:c>
      <x:c r="CM121" s="60" t="n">
        <x:v>72.58385124206542</x:v>
      </x:c>
      <x:c r="CN121" s="60" t="n">
        <x:v>72.76603897094726</x:v>
      </x:c>
      <x:c r="CO121" s="60" t="n">
        <x:v>72.99234375</x:v>
      </x:c>
      <x:c r="CP121" s="60" t="n">
        <x:v>73.20566223144532</x:v>
      </x:c>
      <x:c r="CQ121" s="60" t="n">
        <x:v>73.4188988494873</x:v>
      </x:c>
      <x:c r="CR121" s="60" t="n">
        <x:v>73.6327751159668</x:v>
      </x:c>
      <x:c r="CS121" s="60" t="n">
        <x:v>73.89286422729492</x:v>
      </x:c>
      <x:c r="CT121" s="60" t="n">
        <x:v>74.16377777099609</x:v>
      </x:c>
      <x:c r="CU121" s="60" t="n">
        <x:v>74.44604209899902</x:v>
      </x:c>
      <x:c r="CV121" s="60" t="n">
        <x:v>74.72420166015625</x:v>
      </x:c>
      <x:c r="CW121" s="60" t="n">
        <x:v>74.98906173706055</x:v>
      </x:c>
      <x:c r="CX121" s="60" t="n">
        <x:v>75.37349060058594</x:v>
      </x:c>
      <x:c r="CY121" s="60" t="n">
        <x:v>75.83181114196778</x:v>
      </x:c>
      <x:c r="CZ121" s="60" t="n">
        <x:v>76.29892166137695</x:v>
      </x:c>
      <x:c r="DA121" s="60" t="n">
        <x:v>77.01640228271484</x:v>
      </x:c>
      <x:c r="DB121" s="60" t="n">
        <x:v>79.43793487548828</x:v>
      </x:c>
    </x:row>
    <x:row r="122">
      <x:c r="A122" t="str">
        <x:v>バリヤード-2</x:v>
      </x:c>
      <x:c r="B122" t="str">
        <x:v>バリヤード</x:v>
      </x:c>
      <x:c r="C122" t="str">
        <x:v>パワースワップ</x:v>
      </x:c>
      <x:c r="D122" s="60" t="n">
        <x:v>66.79930877685547</x:v>
      </x:c>
      <x:c r="E122" s="60" t="n">
        <x:v>9.24765682220459</x:v>
      </x:c>
      <x:c r="F122" s="60" t="n">
        <x:v>33.24608612060547</x:v>
      </x:c>
      <x:c r="G122" s="60" t="n">
        <x:v>42.30216724395752</x:v>
      </x:c>
      <x:c r="H122" s="60" t="n">
        <x:v>45.165806198120116</x:v>
      </x:c>
      <x:c r="I122" s="60" t="n">
        <x:v>47.04968692779541</x:v>
      </x:c>
      <x:c r="J122" s="60" t="n">
        <x:v>48.43280364990235</x:v>
      </x:c>
      <x:c r="K122" s="60" t="n">
        <x:v>49.53199481964111</x:v>
      </x:c>
      <x:c r="L122" s="60" t="n">
        <x:v>50.64374252319336</x:v>
      </x:c>
      <x:c r="M122" s="60" t="n">
        <x:v>51.51455570220947</x:v>
      </x:c>
      <x:c r="N122" s="60" t="n">
        <x:v>52.33794326782227</x:v>
      </x:c>
      <x:c r="O122" s="60" t="n">
        <x:v>53.09732040405273</x:v>
      </x:c>
      <x:c r="P122" s="60" t="n">
        <x:v>53.814310455322264</x:v>
      </x:c>
      <x:c r="Q122" s="60" t="n">
        <x:v>54.538243713378904</x:v>
      </x:c>
      <x:c r="R122" s="60" t="n">
        <x:v>55.12107284545898</x:v>
      </x:c>
      <x:c r="S122" s="60" t="n">
        <x:v>55.64359943389893</x:v>
      </x:c>
      <x:c r="T122" s="60" t="n">
        <x:v>56.19279563903809</x:v>
      </x:c>
      <x:c r="U122" s="60" t="n">
        <x:v>56.66983165740967</x:v>
      </x:c>
      <x:c r="V122" s="60" t="n">
        <x:v>57.196475219726565</x:v>
      </x:c>
      <x:c r="W122" s="60" t="n">
        <x:v>57.68698055267334</x:v>
      </x:c>
      <x:c r="X122" s="60" t="n">
        <x:v>58.11017532348633</x:v>
      </x:c>
      <x:c r="Y122" s="60" t="n">
        <x:v>58.536283264160154</x:v>
      </x:c>
      <x:c r="Z122" s="60" t="n">
        <x:v>58.9392578125</x:v>
      </x:c>
      <x:c r="AA122" s="60" t="n">
        <x:v>59.34003681182861</x:v>
      </x:c>
      <x:c r="AB122" s="60" t="n">
        <x:v>59.72000366210938</x:v>
      </x:c>
      <x:c r="AC122" s="60" t="n">
        <x:v>60.10283500671387</x:v>
      </x:c>
      <x:c r="AD122" s="60" t="n">
        <x:v>60.50234344482422</x:v>
      </x:c>
      <x:c r="AE122" s="60" t="n">
        <x:v>60.89690017700195</x:v>
      </x:c>
      <x:c r="AF122" s="60" t="n">
        <x:v>61.25976531982422</x:v>
      </x:c>
      <x:c r="AG122" s="60" t="n">
        <x:v>61.59488109588623</x:v>
      </x:c>
      <x:c r="AH122" s="60" t="n">
        <x:v>61.9003581237793</x:v>
      </x:c>
      <x:c r="AI122" s="60" t="n">
        <x:v>62.187802734375</x:v>
      </x:c>
      <x:c r="AJ122" s="60" t="n">
        <x:v>62.4893123626709</x:v>
      </x:c>
      <x:c r="AK122" s="60" t="n">
        <x:v>62.815580406188964</x:v>
      </x:c>
      <x:c r="AL122" s="60" t="n">
        <x:v>63.13534561157227</x:v>
      </x:c>
      <x:c r="AM122" s="60" t="n">
        <x:v>63.433019485473636</x:v>
      </x:c>
      <x:c r="AN122" s="60" t="n">
        <x:v>63.69565010070801</x:v>
      </x:c>
      <x:c r="AO122" s="60" t="n">
        <x:v>64.00735816955567</x:v>
      </x:c>
      <x:c r="AP122" s="60" t="n">
        <x:v>64.27999908447265</x:v>
      </x:c>
      <x:c r="AQ122" s="60" t="n">
        <x:v>64.58709449768067</x:v>
      </x:c>
      <x:c r="AR122" s="60" t="n">
        <x:v>64.88624801635743</x:v>
      </x:c>
      <x:c r="AS122" s="60" t="n">
        <x:v>65.18901397705078</x:v>
      </x:c>
      <x:c r="AT122" s="60" t="n">
        <x:v>65.47170715332031</x:v>
      </x:c>
      <x:c r="AU122" s="60" t="n">
        <x:v>65.7197622680664</x:v>
      </x:c>
      <x:c r="AV122" s="60" t="n">
        <x:v>65.9632942199707</x:v>
      </x:c>
      <x:c r="AW122" s="60" t="n">
        <x:v>66.22222480773925</x:v>
      </x:c>
      <x:c r="AX122" s="60" t="n">
        <x:v>66.5114907836914</x:v>
      </x:c>
      <x:c r="AY122" s="60" t="n">
        <x:v>66.7591709136963</x:v>
      </x:c>
      <x:c r="AZ122" s="60" t="n">
        <x:v>66.97149429321288</x:v>
      </x:c>
      <x:c r="BA122" s="60" t="n">
        <x:v>67.23251113891602</x:v>
      </x:c>
      <x:c r="BB122" s="60" t="n">
        <x:v>67.4984979248047</x:v>
      </x:c>
      <x:c r="BC122" s="60" t="n">
        <x:v>67.70715087890625</x:v>
      </x:c>
      <x:c r="BD122" s="60" t="n">
        <x:v>67.96294021606445</x:v>
      </x:c>
      <x:c r="BE122" s="60" t="n">
        <x:v>68.21709289550782</x:v>
      </x:c>
      <x:c r="BF122" s="60" t="n">
        <x:v>68.45106201171875</x:v>
      </x:c>
      <x:c r="BG122" s="60" t="n">
        <x:v>68.71751586914063</x:v>
      </x:c>
      <x:c r="BH122" s="60" t="n">
        <x:v>68.96940872192383</x:v>
      </x:c>
      <x:c r="BI122" s="60" t="n">
        <x:v>69.23157005310058</x:v>
      </x:c>
      <x:c r="BJ122" s="60" t="n">
        <x:v>69.46722442626954</x:v>
      </x:c>
      <x:c r="BK122" s="60" t="n">
        <x:v>69.70904983520508</x:v>
      </x:c>
      <x:c r="BL122" s="60" t="n">
        <x:v>69.95370040893555</x:v>
      </x:c>
      <x:c r="BM122" s="60" t="n">
        <x:v>70.19272514343261</x:v>
      </x:c>
      <x:c r="BN122" s="60" t="n">
        <x:v>70.41823883056641</x:v>
      </x:c>
      <x:c r="BO122" s="60" t="n">
        <x:v>70.62862113952637</x:v>
      </x:c>
      <x:c r="BP122" s="60" t="n">
        <x:v>70.84421737670898</x:v>
      </x:c>
      <x:c r="BQ122" s="60" t="n">
        <x:v>71.10320014953614</x:v>
      </x:c>
      <x:c r="BR122" s="60" t="n">
        <x:v>71.32416076660157</x:v>
      </x:c>
      <x:c r="BS122" s="60" t="n">
        <x:v>71.57173767089844</x:v>
      </x:c>
      <x:c r="BT122" s="60" t="n">
        <x:v>71.78056701660157</x:v>
      </x:c>
      <x:c r="BU122" s="60" t="n">
        <x:v>71.99913223266601</x:v>
      </x:c>
      <x:c r="BV122" s="60" t="n">
        <x:v>72.25455657958985</x:v>
      </x:c>
      <x:c r="BW122" s="60" t="n">
        <x:v>72.51165344238281</x:v>
      </x:c>
      <x:c r="BX122" s="60" t="n">
        <x:v>72.76663589477539</x:v>
      </x:c>
      <x:c r="BY122" s="60" t="n">
        <x:v>72.98941116333008</x:v>
      </x:c>
      <x:c r="BZ122" s="60" t="n">
        <x:v>73.21933776855468</x:v>
      </x:c>
      <x:c r="CA122" s="60" t="n">
        <x:v>73.48179321289062</x:v>
      </x:c>
      <x:c r="CB122" s="60" t="n">
        <x:v>73.7085221862793</x:v>
      </x:c>
      <x:c r="CC122" s="60" t="n">
        <x:v>73.96814155578613</x:v>
      </x:c>
      <x:c r="CD122" s="60" t="n">
        <x:v>74.22495056152344</x:v>
      </x:c>
      <x:c r="CE122" s="60" t="n">
        <x:v>74.4472353363037</x:v>
      </x:c>
      <x:c r="CF122" s="60" t="n">
        <x:v>74.67852920532226</x:v>
      </x:c>
      <x:c r="CG122" s="60" t="n">
        <x:v>74.91265563964843</x:v>
      </x:c>
      <x:c r="CH122" s="60" t="n">
        <x:v>75.11666870117188</x:v>
      </x:c>
      <x:c r="CI122" s="60" t="n">
        <x:v>75.35933067321777</x:v>
      </x:c>
      <x:c r="CJ122" s="60" t="n">
        <x:v>75.64188537597656</x:v>
      </x:c>
      <x:c r="CK122" s="60" t="n">
        <x:v>75.89219291687012</x:v>
      </x:c>
      <x:c r="CL122" s="60" t="n">
        <x:v>76.17116271972657</x:v>
      </x:c>
      <x:c r="CM122" s="60" t="n">
        <x:v>76.42475852966308</x:v>
      </x:c>
      <x:c r="CN122" s="60" t="n">
        <x:v>76.6945361328125</x:v>
      </x:c>
      <x:c r="CO122" s="60" t="n">
        <x:v>76.97834999084473</x:v>
      </x:c>
      <x:c r="CP122" s="60" t="n">
        <x:v>77.26386138916016</x:v>
      </x:c>
      <x:c r="CQ122" s="60" t="n">
        <x:v>77.53586990356445</x:v>
      </x:c>
      <x:c r="CR122" s="60" t="n">
        <x:v>77.84440841674805</x:v>
      </x:c>
      <x:c r="CS122" s="60" t="n">
        <x:v>78.16412307739257</x:v>
      </x:c>
      <x:c r="CT122" s="60" t="n">
        <x:v>78.48349365234377</x:v>
      </x:c>
      <x:c r="CU122" s="60" t="n">
        <x:v>78.89790016174317</x:v>
      </x:c>
      <x:c r="CV122" s="60" t="n">
        <x:v>79.30454330444336</x:v>
      </x:c>
      <x:c r="CW122" s="60" t="n">
        <x:v>79.7527229309082</x:v>
      </x:c>
      <x:c r="CX122" s="60" t="n">
        <x:v>80.2448159790039</x:v>
      </x:c>
      <x:c r="CY122" s="60" t="n">
        <x:v>80.8396531677246</x:v>
      </x:c>
      <x:c r="CZ122" s="60" t="n">
        <x:v>81.52090301513672</x:v>
      </x:c>
      <x:c r="DA122" s="60" t="n">
        <x:v>82.47331153869628</x:v>
      </x:c>
      <x:c r="DB122" s="60" t="n">
        <x:v>87.05852508544922</x:v>
      </x:c>
    </x:row>
    <x:row r="123">
      <x:c r="A123" t="str">
        <x:v>ピクシー-1</x:v>
      </x:c>
      <x:c r="B123" t="str">
        <x:v>ピクシー</x:v>
      </x:c>
      <x:c r="C123" t="str">
        <x:v>共通</x:v>
      </x:c>
      <x:c r="D123" s="60" t="n">
        <x:v>63.01827621459961</x:v>
      </x:c>
      <x:c r="E123" s="60" t="n">
        <x:v>9.599897384643555</x:v>
      </x:c>
      <x:c r="F123" s="60" t="n">
        <x:v>32.21114730834961</x:v>
      </x:c>
      <x:c r="G123" s="60" t="n">
        <x:v>39.5197350692749</x:v>
      </x:c>
      <x:c r="H123" s="60" t="n">
        <x:v>41.86958053588867</x:v>
      </x:c>
      <x:c r="I123" s="60" t="n">
        <x:v>43.633382606506345</x:v>
      </x:c>
      <x:c r="J123" s="60" t="n">
        <x:v>45.06548278808594</x:v>
      </x:c>
      <x:c r="K123" s="60" t="n">
        <x:v>46.09719676971436</x:v>
      </x:c>
      <x:c r="L123" s="60" t="n">
        <x:v>47.011562728881835</x:v>
      </x:c>
      <x:c r="M123" s="60" t="n">
        <x:v>47.94086479187012</x:v>
      </x:c>
      <x:c r="N123" s="60" t="n">
        <x:v>48.714736480712894</x:v>
      </x:c>
      <x:c r="O123" s="60" t="n">
        <x:v>49.35206645965576</x:v>
      </x:c>
      <x:c r="P123" s="60" t="n">
        <x:v>49.952175521850585</x:v>
      </x:c>
      <x:c r="Q123" s="60" t="n">
        <x:v>50.551560134887694</x:v>
      </x:c>
      <x:c r="R123" s="60" t="n">
        <x:v>51.13257019042969</x:v>
      </x:c>
      <x:c r="S123" s="60" t="n">
        <x:v>51.650932235717775</x:v>
      </x:c>
      <x:c r="T123" s="60" t="n">
        <x:v>52.096668090820316</x:v>
      </x:c>
      <x:c r="U123" s="60" t="n">
        <x:v>52.628227615356444</x:v>
      </x:c>
      <x:c r="V123" s="60" t="n">
        <x:v>53.082897644042966</x:v>
      </x:c>
      <x:c r="W123" s="60" t="n">
        <x:v>53.500595321655275</x:v>
      </x:c>
      <x:c r="X123" s="60" t="n">
        <x:v>53.89852195739746</x:v>
      </x:c>
      <x:c r="Y123" s="60" t="n">
        <x:v>54.26115493774414</x:v>
      </x:c>
      <x:c r="Z123" s="60" t="n">
        <x:v>54.68315887451172</x:v>
      </x:c>
      <x:c r="AA123" s="60" t="n">
        <x:v>55.08270793914795</x:v>
      </x:c>
      <x:c r="AB123" s="60" t="n">
        <x:v>55.459299392700196</x:v>
      </x:c>
      <x:c r="AC123" s="60" t="n">
        <x:v>55.83501773834229</x:v>
      </x:c>
      <x:c r="AD123" s="60" t="n">
        <x:v>56.175511016845704</x:v>
      </x:c>
      <x:c r="AE123" s="60" t="n">
        <x:v>56.51588821411133</x:v>
      </x:c>
      <x:c r="AF123" s="60" t="n">
        <x:v>56.86779655456543</x:v>
      </x:c>
      <x:c r="AG123" s="60" t="n">
        <x:v>57.177415199279785</x:v>
      </x:c>
      <x:c r="AH123" s="60" t="n">
        <x:v>57.46538787841797</x:v>
      </x:c>
      <x:c r="AI123" s="60" t="n">
        <x:v>57.778420219421385</x:v>
      </x:c>
      <x:c r="AJ123" s="60" t="n">
        <x:v>58.06475601196289</x:v>
      </x:c>
      <x:c r="AK123" s="60" t="n">
        <x:v>58.38866184234619</x:v>
      </x:c>
      <x:c r="AL123" s="60" t="n">
        <x:v>58.69088027954101</x:v>
      </x:c>
      <x:c r="AM123" s="60" t="n">
        <x:v>59.005723266601564</x:v>
      </x:c>
      <x:c r="AN123" s="60" t="n">
        <x:v>59.29251976013184</x:v>
      </x:c>
      <x:c r="AO123" s="60" t="n">
        <x:v>59.55628643035889</x:v>
      </x:c>
      <x:c r="AP123" s="60" t="n">
        <x:v>59.83969985961914</x:v>
      </x:c>
      <x:c r="AQ123" s="60" t="n">
        <x:v>60.12144744873047</x:v>
      </x:c>
      <x:c r="AR123" s="60" t="n">
        <x:v>60.40106719970703</x:v>
      </x:c>
      <x:c r="AS123" s="60" t="n">
        <x:v>60.67856090545654</x:v>
      </x:c>
      <x:c r="AT123" s="60" t="n">
        <x:v>60.96233596801758</x:v>
      </x:c>
      <x:c r="AU123" s="60" t="n">
        <x:v>61.21387733459473</x:v>
      </x:c>
      <x:c r="AV123" s="60" t="n">
        <x:v>61.454838790893554</x:v>
      </x:c>
      <x:c r="AW123" s="60" t="n">
        <x:v>61.74197662353516</x:v>
      </x:c>
      <x:c r="AX123" s="60" t="n">
        <x:v>62.00663345336914</x:v>
      </x:c>
      <x:c r="AY123" s="60" t="n">
        <x:v>62.266824913024905</x:v>
      </x:c>
      <x:c r="AZ123" s="60" t="n">
        <x:v>62.55857833862305</x:v>
      </x:c>
      <x:c r="BA123" s="60" t="n">
        <x:v>62.83551807403565</x:v>
      </x:c>
      <x:c r="BB123" s="60" t="n">
        <x:v>63.104073486328126</x:v>
      </x:c>
      <x:c r="BC123" s="60" t="n">
        <x:v>63.386241035461424</x:v>
      </x:c>
      <x:c r="BD123" s="60" t="n">
        <x:v>63.639509201049805</x:v>
      </x:c>
      <x:c r="BE123" s="60" t="n">
        <x:v>63.90519390106201</x:v>
      </x:c>
      <x:c r="BF123" s="60" t="n">
        <x:v>64.1882537841797</x:v>
      </x:c>
      <x:c r="BG123" s="60" t="n">
        <x:v>64.45649742126464</x:v>
      </x:c>
      <x:c r="BH123" s="60" t="n">
        <x:v>64.71718353271484</x:v>
      </x:c>
      <x:c r="BI123" s="60" t="n">
        <x:v>64.95411682128906</x:v>
      </x:c>
      <x:c r="BJ123" s="60" t="n">
        <x:v>65.2016815185547</x:v>
      </x:c>
      <x:c r="BK123" s="60" t="n">
        <x:v>65.46538246154786</x:v>
      </x:c>
      <x:c r="BL123" s="60" t="n">
        <x:v>65.73618804931641</x:v>
      </x:c>
      <x:c r="BM123" s="60" t="n">
        <x:v>66.0077075958252</x:v>
      </x:c>
      <x:c r="BN123" s="60" t="n">
        <x:v>66.24514617919922</x:v>
      </x:c>
      <x:c r="BO123" s="60" t="n">
        <x:v>66.5251953125</x:v>
      </x:c>
      <x:c r="BP123" s="60" t="n">
        <x:v>66.78279067993164</x:v>
      </x:c>
      <x:c r="BQ123" s="60" t="n">
        <x:v>67.02027084350586</x:v>
      </x:c>
      <x:c r="BR123" s="60" t="n">
        <x:v>67.28853088378906</x:v>
      </x:c>
      <x:c r="BS123" s="60" t="n">
        <x:v>67.55614814758302</x:v>
      </x:c>
      <x:c r="BT123" s="60" t="n">
        <x:v>67.80960067749024</x:v>
      </x:c>
      <x:c r="BU123" s="60" t="n">
        <x:v>68.07845703125</x:v>
      </x:c>
      <x:c r="BV123" s="60" t="n">
        <x:v>68.35971282958984</x:v>
      </x:c>
      <x:c r="BW123" s="60" t="n">
        <x:v>68.60253074645996</x:v>
      </x:c>
      <x:c r="BX123" s="60" t="n">
        <x:v>68.90989990234375</x:v>
      </x:c>
      <x:c r="BY123" s="60" t="n">
        <x:v>69.16793113708496</x:v>
      </x:c>
      <x:c r="BZ123" s="60" t="n">
        <x:v>69.43199768066405</x:v>
      </x:c>
      <x:c r="CA123" s="60" t="n">
        <x:v>69.67074211120605</x:v>
      </x:c>
      <x:c r="CB123" s="60" t="n">
        <x:v>69.91572494506836</x:v>
      </x:c>
      <x:c r="CC123" s="60" t="n">
        <x:v>70.14603614807129</x:v>
      </x:c>
      <x:c r="CD123" s="60" t="n">
        <x:v>70.44573181152343</x:v>
      </x:c>
      <x:c r="CE123" s="60" t="n">
        <x:v>70.70221054077149</x:v>
      </x:c>
      <x:c r="CF123" s="60" t="n">
        <x:v>70.98646438598634</x:v>
      </x:c>
      <x:c r="CG123" s="60" t="n">
        <x:v>71.26720832824707</x:v>
      </x:c>
      <x:c r="CH123" s="60" t="n">
        <x:v>71.59057312011718</x:v>
      </x:c>
      <x:c r="CI123" s="60" t="n">
        <x:v>71.92861518859863</x:v>
      </x:c>
      <x:c r="CJ123" s="60" t="n">
        <x:v>72.25975936889648</x:v>
      </x:c>
      <x:c r="CK123" s="60" t="n">
        <x:v>72.58163124084473</x:v>
      </x:c>
      <x:c r="CL123" s="60" t="n">
        <x:v>72.87572509765624</x:v>
      </x:c>
      <x:c r="CM123" s="60" t="n">
        <x:v>73.2003116607666</x:v>
      </x:c>
      <x:c r="CN123" s="60" t="n">
        <x:v>73.54995132446288</x:v>
      </x:c>
      <x:c r="CO123" s="60" t="n">
        <x:v>73.93343727111817</x:v>
      </x:c>
      <x:c r="CP123" s="60" t="n">
        <x:v>74.3018081665039</x:v>
      </x:c>
      <x:c r="CQ123" s="60" t="n">
        <x:v>74.71465393066407</x:v>
      </x:c>
      <x:c r="CR123" s="60" t="n">
        <x:v>75.0856689453125</x:v>
      </x:c>
      <x:c r="CS123" s="60" t="n">
        <x:v>75.51859313964843</x:v>
      </x:c>
      <x:c r="CT123" s="60" t="n">
        <x:v>75.98302185058594</x:v>
      </x:c>
      <x:c r="CU123" s="60" t="n">
        <x:v>76.45295425415038</x:v>
      </x:c>
      <x:c r="CV123" s="60" t="n">
        <x:v>77.05044403076172</x:v>
      </x:c>
      <x:c r="CW123" s="60" t="n">
        <x:v>77.70455322265626</x:v>
      </x:c>
      <x:c r="CX123" s="60" t="n">
        <x:v>78.42008239746094</x:v>
      </x:c>
      <x:c r="CY123" s="60" t="n">
        <x:v>79.20006324768066</x:v>
      </x:c>
      <x:c r="CZ123" s="60" t="n">
        <x:v>80.14959564208985</x:v>
      </x:c>
      <x:c r="DA123" s="60" t="n">
        <x:v>81.5209856414795</x:v>
      </x:c>
      <x:c r="DB123" s="60" t="n">
        <x:v>87.98312377929688</x:v>
      </x:c>
    </x:row>
    <x:row r="124">
      <x:c r="A124" t="str">
        <x:v>フーパ-1</x:v>
      </x:c>
      <x:c r="B124" t="str">
        <x:v>フーパ</x:v>
      </x:c>
      <x:c r="C124" t="str">
        <x:v>いじげんホール</x:v>
      </x:c>
      <x:c r="D124" s="60" t="n">
        <x:v>62.14906692504883</x:v>
      </x:c>
      <x:c r="E124" s="60" t="n">
        <x:v>5.917102813720703</x:v>
      </x:c>
      <x:c r="F124" s="60" t="n">
        <x:v>40.72568130493164</x:v>
      </x:c>
      <x:c r="G124" s="60" t="n">
        <x:v>46.99807598114014</x:v>
      </x:c>
      <x:c r="H124" s="60" t="n">
        <x:v>48.58995834350586</x:v>
      </x:c>
      <x:c r="I124" s="60" t="n">
        <x:v>49.88261917114258</x:v>
      </x:c>
      <x:c r="J124" s="60" t="n">
        <x:v>50.79377716064453</x:v>
      </x:c>
      <x:c r="K124" s="60" t="n">
        <x:v>51.42252655029297</x:v>
      </x:c>
      <x:c r="L124" s="60" t="n">
        <x:v>52.07034103393555</x:v>
      </x:c>
      <x:c r="M124" s="60" t="n">
        <x:v>52.6968127822876</x:v>
      </x:c>
      <x:c r="N124" s="60" t="n">
        <x:v>53.21590316772461</x:v>
      </x:c>
      <x:c r="O124" s="60" t="n">
        <x:v>53.68158935546875</x:v>
      </x:c>
      <x:c r="P124" s="60" t="n">
        <x:v>54.049478149414064</x:v>
      </x:c>
      <x:c r="Q124" s="60" t="n">
        <x:v>54.39768779754639</x:v>
      </x:c>
      <x:c r="R124" s="60" t="n">
        <x:v>54.78595443725586</x:v>
      </x:c>
      <x:c r="S124" s="60" t="n">
        <x:v>55.11796951293945</x:v>
      </x:c>
      <x:c r="T124" s="60" t="n">
        <x:v>55.46006187438965</x:v>
      </x:c>
      <x:c r="U124" s="60" t="n">
        <x:v>55.73881301879883</x:v>
      </x:c>
      <x:c r="V124" s="60" t="n">
        <x:v>56.04984588623047</x:v>
      </x:c>
      <x:c r="W124" s="60" t="n">
        <x:v>56.31149593353272</x:v>
      </x:c>
      <x:c r="X124" s="60" t="n">
        <x:v>56.59486274719238</x:v>
      </x:c>
      <x:c r="Y124" s="60" t="n">
        <x:v>56.860219917297364</x:v>
      </x:c>
      <x:c r="Z124" s="60" t="n">
        <x:v>57.11436996459961</x:v>
      </x:c>
      <x:c r="AA124" s="60" t="n">
        <x:v>57.378374900817875</x:v>
      </x:c>
      <x:c r="AB124" s="60" t="n">
        <x:v>57.605157470703126</x:v>
      </x:c>
      <x:c r="AC124" s="60" t="n">
        <x:v>57.86099998474121</x:v>
      </x:c>
      <x:c r="AD124" s="60" t="n">
        <x:v>58.08690124511719</x:v>
      </x:c>
      <x:c r="AE124" s="60" t="n">
        <x:v>58.31588840484619</x:v>
      </x:c>
      <x:c r="AF124" s="60" t="n">
        <x:v>58.517140045166016</x:v>
      </x:c>
      <x:c r="AG124" s="60" t="n">
        <x:v>58.71147060394287</x:v>
      </x:c>
      <x:c r="AH124" s="60" t="n">
        <x:v>58.9122705078125</x:v>
      </x:c>
      <x:c r="AI124" s="60" t="n">
        <x:v>59.13339412689209</x:v>
      </x:c>
      <x:c r="AJ124" s="60" t="n">
        <x:v>59.33833198547363</x:v>
      </x:c>
      <x:c r="AK124" s="60" t="n">
        <x:v>59.552253074645996</x:v>
      </x:c>
      <x:c r="AL124" s="60" t="n">
        <x:v>59.74755020141602</x:v>
      </x:c>
      <x:c r="AM124" s="60" t="n">
        <x:v>59.90401084899902</x:v>
      </x:c>
      <x:c r="AN124" s="60" t="n">
        <x:v>60.08784172058105</x:v>
      </x:c>
      <x:c r="AO124" s="60" t="n">
        <x:v>60.26240921020508</x:v>
      </x:c>
      <x:c r="AP124" s="60" t="n">
        <x:v>60.44468536376953</x:v>
      </x:c>
      <x:c r="AQ124" s="60" t="n">
        <x:v>60.611514472961424</x:v>
      </x:c>
      <x:c r="AR124" s="60" t="n">
        <x:v>60.78617805480957</x:v>
      </x:c>
      <x:c r="AS124" s="60" t="n">
        <x:v>60.96084823608398</x:v>
      </x:c>
      <x:c r="AT124" s="60" t="n">
        <x:v>61.14412155151367</x:v>
      </x:c>
      <x:c r="AU124" s="60" t="n">
        <x:v>61.29777328491211</x:v>
      </x:c>
      <x:c r="AV124" s="60" t="n">
        <x:v>61.463647537231445</x:v>
      </x:c>
      <x:c r="AW124" s="60" t="n">
        <x:v>61.633433685302734</x:v>
      </x:c>
      <x:c r="AX124" s="60" t="n">
        <x:v>61.781864929199216</x:v>
      </x:c>
      <x:c r="AY124" s="60" t="n">
        <x:v>61.9444076538086</x:v>
      </x:c>
      <x:c r="AZ124" s="60" t="n">
        <x:v>62.114871673583984</x:v>
      </x:c>
      <x:c r="BA124" s="60" t="n">
        <x:v>62.26741146087647</x:v>
      </x:c>
      <x:c r="BB124" s="60" t="n">
        <x:v>62.41959335327149</x:v>
      </x:c>
      <x:c r="BC124" s="60" t="n">
        <x:v>62.5692098236084</x:v>
      </x:c>
      <x:c r="BD124" s="60" t="n">
        <x:v>62.716217041015625</x:v>
      </x:c>
      <x:c r="BE124" s="60" t="n">
        <x:v>62.87836349487305</x:v>
      </x:c>
      <x:c r="BF124" s="60" t="n">
        <x:v>63.02504455566406</x:v>
      </x:c>
      <x:c r="BG124" s="60" t="n">
        <x:v>63.17096687316894</x:v>
      </x:c>
      <x:c r="BH124" s="60" t="n">
        <x:v>63.31210823059082</x:v>
      </x:c>
      <x:c r="BI124" s="60" t="n">
        <x:v>63.469425964355466</x:v>
      </x:c>
      <x:c r="BJ124" s="60" t="n">
        <x:v>63.62454833984375</x:v>
      </x:c>
      <x:c r="BK124" s="60" t="n">
        <x:v>63.76176464080811</x:v>
      </x:c>
      <x:c r="BL124" s="60" t="n">
        <x:v>63.92696914672852</x:v>
      </x:c>
      <x:c r="BM124" s="60" t="n">
        <x:v>64.06764335632325</x:v>
      </x:c>
      <x:c r="BN124" s="60" t="n">
        <x:v>64.21167449951172</x:v>
      </x:c>
      <x:c r="BO124" s="60" t="n">
        <x:v>64.35942512512207</x:v>
      </x:c>
      <x:c r="BP124" s="60" t="n">
        <x:v>64.49911895751953</x:v>
      </x:c>
      <x:c r="BQ124" s="60" t="n">
        <x:v>64.65968795776367</x:v>
      </x:c>
      <x:c r="BR124" s="60" t="n">
        <x:v>64.8056982421875</x:v>
      </x:c>
      <x:c r="BS124" s="60" t="n">
        <x:v>64.9456958770752</x:v>
      </x:c>
      <x:c r="BT124" s="60" t="n">
        <x:v>65.09938674926758</x:v>
      </x:c>
      <x:c r="BU124" s="60" t="n">
        <x:v>65.25211166381835</x:v>
      </x:c>
      <x:c r="BV124" s="60" t="n">
        <x:v>65.41344787597656</x:v>
      </x:c>
      <x:c r="BW124" s="60" t="n">
        <x:v>65.54767555236816</x:v>
      </x:c>
      <x:c r="BX124" s="60" t="n">
        <x:v>65.69608001708984</x:v>
      </x:c>
      <x:c r="BY124" s="60" t="n">
        <x:v>65.84027923583984</x:v>
      </x:c>
      <x:c r="BZ124" s="60" t="n">
        <x:v>65.98907623291015</x:v>
      </x:c>
      <x:c r="CA124" s="60" t="n">
        <x:v>66.15078071594239</x:v>
      </x:c>
      <x:c r="CB124" s="60" t="n">
        <x:v>66.29962371826171</x:v>
      </x:c>
      <x:c r="CC124" s="60" t="n">
        <x:v>66.46582984924316</x:v>
      </x:c>
      <x:c r="CD124" s="60" t="n">
        <x:v>66.64417694091797</x:v>
      </x:c>
      <x:c r="CE124" s="60" t="n">
        <x:v>66.81544494628906</x:v>
      </x:c>
      <x:c r="CF124" s="60" t="n">
        <x:v>66.99245849609375</x:v>
      </x:c>
      <x:c r="CG124" s="60" t="n">
        <x:v>67.17907951354981</x:v>
      </x:c>
      <x:c r="CH124" s="60" t="n">
        <x:v>67.34564208984375</x:v>
      </x:c>
      <x:c r="CI124" s="60" t="n">
        <x:v>67.5164591217041</x:v>
      </x:c>
      <x:c r="CJ124" s="60" t="n">
        <x:v>67.70671188354493</x:v>
      </x:c>
      <x:c r="CK124" s="60" t="n">
        <x:v>67.88842498779297</x:v>
      </x:c>
      <x:c r="CL124" s="60" t="n">
        <x:v>68.0714828491211</x:v>
      </x:c>
      <x:c r="CM124" s="60" t="n">
        <x:v>68.27733840942383</x:v>
      </x:c>
      <x:c r="CN124" s="60" t="n">
        <x:v>68.50387344360351</x:v>
      </x:c>
      <x:c r="CO124" s="60" t="n">
        <x:v>68.69815208435058</x:v>
      </x:c>
      <x:c r="CP124" s="60" t="n">
        <x:v>68.91528442382813</x:v>
      </x:c>
      <x:c r="CQ124" s="60" t="n">
        <x:v>69.1459211730957</x:v>
      </x:c>
      <x:c r="CR124" s="60" t="n">
        <x:v>69.39439010620117</x:v>
      </x:c>
      <x:c r="CS124" s="60" t="n">
        <x:v>69.63922004699707</x:v>
      </x:c>
      <x:c r="CT124" s="60" t="n">
        <x:v>69.90594146728516</x:v>
      </x:c>
      <x:c r="CU124" s="60" t="n">
        <x:v>70.21806816101075</x:v>
      </x:c>
      <x:c r="CV124" s="60" t="n">
        <x:v>70.57912551879883</x:v>
      </x:c>
      <x:c r="CW124" s="60" t="n">
        <x:v>70.94962387084962</x:v>
      </x:c>
      <x:c r="CX124" s="60" t="n">
        <x:v>71.33419250488281</x:v>
      </x:c>
      <x:c r="CY124" s="60" t="n">
        <x:v>71.80472160339353</x:v>
      </x:c>
      <x:c r="CZ124" s="60" t="n">
        <x:v>72.46494873046875</x:v>
      </x:c>
      <x:c r="DA124" s="60" t="n">
        <x:v>73.47553688049317</x:v>
      </x:c>
      <x:c r="DB124" s="60" t="n">
        <x:v>78.45845031738281</x:v>
      </x:c>
    </x:row>
    <x:row r="125">
      <x:c r="A125" t="str">
        <x:v>フーパ-2</x:v>
      </x:c>
      <x:c r="B125" t="str">
        <x:v>フーパ</x:v>
      </x:c>
      <x:c r="C125" t="str">
        <x:v>トリック</x:v>
      </x:c>
      <x:c r="D125" s="60" t="n">
        <x:v>65.857421875</x:v>
      </x:c>
      <x:c r="E125" s="60" t="n">
        <x:v>8.02800464630127</x:v>
      </x:c>
      <x:c r="F125" s="60" t="n">
        <x:v>37.107357025146484</x:v>
      </x:c>
      <x:c r="G125" s="60" t="n">
        <x:v>44.721609573364255</x:v>
      </x:c>
      <x:c r="H125" s="60" t="n">
        <x:v>47.050994033813474</x:v>
      </x:c>
      <x:c r="I125" s="60" t="n">
        <x:v>48.70254631042481</x:v>
      </x:c>
      <x:c r="J125" s="60" t="n">
        <x:v>50.120339965820314</x:v>
      </x:c>
      <x:c r="K125" s="60" t="n">
        <x:v>51.03589553833008</x:v>
      </x:c>
      <x:c r="L125" s="60" t="n">
        <x:v>51.90100624084473</x:v>
      </x:c>
      <x:c r="M125" s="60" t="n">
        <x:v>52.66186317443848</x:v>
      </x:c>
      <x:c r="N125" s="60" t="n">
        <x:v>53.42798919677735</x:v>
      </x:c>
      <x:c r="O125" s="60" t="n">
        <x:v>54.040457000732424</x:v>
      </x:c>
      <x:c r="P125" s="60" t="n">
        <x:v>54.684926223754886</x:v>
      </x:c>
      <x:c r="Q125" s="60" t="n">
        <x:v>55.19337009429932</x:v>
      </x:c>
      <x:c r="R125" s="60" t="n">
        <x:v>55.707938232421874</x:v>
      </x:c>
      <x:c r="S125" s="60" t="n">
        <x:v>56.182484550476076</x:v>
      </x:c>
      <x:c r="T125" s="60" t="n">
        <x:v>56.65726287841797</x:v>
      </x:c>
      <x:c r="U125" s="60" t="n">
        <x:v>57.13619747161865</x:v>
      </x:c>
      <x:c r="V125" s="60" t="n">
        <x:v>57.52166030883789</x:v>
      </x:c>
      <x:c r="W125" s="60" t="n">
        <x:v>57.90811794281006</x:v>
      </x:c>
      <x:c r="X125" s="60" t="n">
        <x:v>58.28731636047363</x:v>
      </x:c>
      <x:c r="Y125" s="60" t="n">
        <x:v>58.68829372406006</x:v>
      </x:c>
      <x:c r="Z125" s="60" t="n">
        <x:v>59.040818786621095</x:v>
      </x:c>
      <x:c r="AA125" s="60" t="n">
        <x:v>59.37343955993652</x:v>
      </x:c>
      <x:c r="AB125" s="60" t="n">
        <x:v>59.70396255493164</x:v>
      </x:c>
      <x:c r="AC125" s="60" t="n">
        <x:v>60.02816947937012</x:v>
      </x:c>
      <x:c r="AD125" s="60" t="n">
        <x:v>60.36815460205078</x:v>
      </x:c>
      <x:c r="AE125" s="60" t="n">
        <x:v>60.688313484191895</x:v>
      </x:c>
      <x:c r="AF125" s="60" t="n">
        <x:v>61.00526496887207</x:v>
      </x:c>
      <x:c r="AG125" s="60" t="n">
        <x:v>61.290505447387694</x:v>
      </x:c>
      <x:c r="AH125" s="60" t="n">
        <x:v>61.57435943603516</x:v>
      </x:c>
      <x:c r="AI125" s="60" t="n">
        <x:v>61.83926929473877</x:v>
      </x:c>
      <x:c r="AJ125" s="60" t="n">
        <x:v>62.08389892578125</x:v>
      </x:c>
      <x:c r="AK125" s="60" t="n">
        <x:v>62.35631866455078</x:v>
      </x:c>
      <x:c r="AL125" s="60" t="n">
        <x:v>62.663958435058596</x:v>
      </x:c>
      <x:c r="AM125" s="60" t="n">
        <x:v>62.90890472412109</x:v>
      </x:c>
      <x:c r="AN125" s="60" t="n">
        <x:v>63.179196166992185</x:v>
      </x:c>
      <x:c r="AO125" s="60" t="n">
        <x:v>63.41913356781006</x:v>
      </x:c>
      <x:c r="AP125" s="60" t="n">
        <x:v>63.679891204833986</x:v>
      </x:c>
      <x:c r="AQ125" s="60" t="n">
        <x:v>63.92769172668457</x:v>
      </x:c>
      <x:c r="AR125" s="60" t="n">
        <x:v>64.15762145996094</x:v>
      </x:c>
      <x:c r="AS125" s="60" t="n">
        <x:v>64.39686851501465</x:v>
      </x:c>
      <x:c r="AT125" s="60" t="n">
        <x:v>64.62559051513672</x:v>
      </x:c>
      <x:c r="AU125" s="60" t="n">
        <x:v>64.86432731628418</x:v>
      </x:c>
      <x:c r="AV125" s="60" t="n">
        <x:v>65.08867828369141</x:v>
      </x:c>
      <x:c r="AW125" s="60" t="n">
        <x:v>65.31459869384766</x:v>
      </x:c>
      <x:c r="AX125" s="60" t="n">
        <x:v>65.54109039306641</x:v>
      </x:c>
      <x:c r="AY125" s="60" t="n">
        <x:v>65.77080993652343</x:v>
      </x:c>
      <x:c r="AZ125" s="60" t="n">
        <x:v>66.008095703125</x:v>
      </x:c>
      <x:c r="BA125" s="60" t="n">
        <x:v>66.21128646850586</x:v>
      </x:c>
      <x:c r="BB125" s="60" t="n">
        <x:v>66.38532440185547</x:v>
      </x:c>
      <x:c r="BC125" s="60" t="n">
        <x:v>66.61745857238769</x:v>
      </x:c>
      <x:c r="BD125" s="60" t="n">
        <x:v>66.83424377441406</x:v>
      </x:c>
      <x:c r="BE125" s="60" t="n">
        <x:v>67.03170379638672</x:v>
      </x:c>
      <x:c r="BF125" s="60" t="n">
        <x:v>67.25679565429688</x:v>
      </x:c>
      <x:c r="BG125" s="60" t="n">
        <x:v>67.46441314697266</x:v>
      </x:c>
      <x:c r="BH125" s="60" t="n">
        <x:v>67.67423767089844</x:v>
      </x:c>
      <x:c r="BI125" s="60" t="n">
        <x:v>67.89515037536621</x:v>
      </x:c>
      <x:c r="BJ125" s="60" t="n">
        <x:v>68.11724304199218</x:v>
      </x:c>
      <x:c r="BK125" s="60" t="n">
        <x:v>68.32531021118164</x:v>
      </x:c>
      <x:c r="BL125" s="60" t="n">
        <x:v>68.53203170776368</x:v>
      </x:c>
      <x:c r="BM125" s="60" t="n">
        <x:v>68.74551345825195</x:v>
      </x:c>
      <x:c r="BN125" s="60" t="n">
        <x:v>68.9469009399414</x:v>
      </x:c>
      <x:c r="BO125" s="60" t="n">
        <x:v>69.17024971008301</x:v>
      </x:c>
      <x:c r="BP125" s="60" t="n">
        <x:v>69.36604385375976</x:v>
      </x:c>
      <x:c r="BQ125" s="60" t="n">
        <x:v>69.54205741882325</x:v>
      </x:c>
      <x:c r="BR125" s="60" t="n">
        <x:v>69.74749969482421</x:v>
      </x:c>
      <x:c r="BS125" s="60" t="n">
        <x:v>69.95902671813965</x:v>
      </x:c>
      <x:c r="BT125" s="60" t="n">
        <x:v>70.16242141723633</x:v>
      </x:c>
      <x:c r="BU125" s="60" t="n">
        <x:v>70.3853451538086</x:v>
      </x:c>
      <x:c r="BV125" s="60" t="n">
        <x:v>70.59668029785156</x:v>
      </x:c>
      <x:c r="BW125" s="60" t="n">
        <x:v>70.76564292907715</x:v>
      </x:c>
      <x:c r="BX125" s="60" t="n">
        <x:v>70.96686019897462</x:v>
      </x:c>
      <x:c r="BY125" s="60" t="n">
        <x:v>71.16297004699707</x:v>
      </x:c>
      <x:c r="BZ125" s="60" t="n">
        <x:v>71.39396179199218</x:v>
      </x:c>
      <x:c r="CA125" s="60" t="n">
        <x:v>71.56687980651856</x:v>
      </x:c>
      <x:c r="CB125" s="60" t="n">
        <x:v>71.77878005981445</x:v>
      </x:c>
      <x:c r="CC125" s="60" t="n">
        <x:v>71.98790740966797</x:v>
      </x:c>
      <x:c r="CD125" s="60" t="n">
        <x:v>72.20171173095703</x:v>
      </x:c>
      <x:c r="CE125" s="60" t="n">
        <x:v>72.42397903442382</x:v>
      </x:c>
      <x:c r="CF125" s="60" t="n">
        <x:v>72.62680587768554</x:v>
      </x:c>
      <x:c r="CG125" s="60" t="n">
        <x:v>72.84466110229492</x:v>
      </x:c>
      <x:c r="CH125" s="60" t="n">
        <x:v>73.04907531738282</x:v>
      </x:c>
      <x:c r="CI125" s="60" t="n">
        <x:v>73.29730194091798</x:v>
      </x:c>
      <x:c r="CJ125" s="60" t="n">
        <x:v>73.52347793579102</x:v>
      </x:c>
      <x:c r="CK125" s="60" t="n">
        <x:v>73.76118240356445</x:v>
      </x:c>
      <x:c r="CL125" s="60" t="n">
        <x:v>73.98332763671876</x:v>
      </x:c>
      <x:c r="CM125" s="60" t="n">
        <x:v>74.22457809448242</x:v>
      </x:c>
      <x:c r="CN125" s="60" t="n">
        <x:v>74.46234222412109</x:v>
      </x:c>
      <x:c r="CO125" s="60" t="n">
        <x:v>74.72609832763672</x:v>
      </x:c>
      <x:c r="CP125" s="60" t="n">
        <x:v>74.97298431396484</x:v>
      </x:c>
      <x:c r="CQ125" s="60" t="n">
        <x:v>75.21085556030273</x:v>
      </x:c>
      <x:c r="CR125" s="60" t="n">
        <x:v>75.48001861572266</x:v>
      </x:c>
      <x:c r="CS125" s="60" t="n">
        <x:v>75.75619873046875</x:v>
      </x:c>
      <x:c r="CT125" s="60" t="n">
        <x:v>76.06566101074219</x:v>
      </x:c>
      <x:c r="CU125" s="60" t="n">
        <x:v>76.4023705291748</x:v>
      </x:c>
      <x:c r="CV125" s="60" t="n">
        <x:v>76.72532852172851</x:v>
      </x:c>
      <x:c r="CW125" s="60" t="n">
        <x:v>77.1251880645752</x:v>
      </x:c>
      <x:c r="CX125" s="60" t="n">
        <x:v>77.65329711914063</x:v>
      </x:c>
      <x:c r="CY125" s="60" t="n">
        <x:v>78.15679527282714</x:v>
      </x:c>
      <x:c r="CZ125" s="60" t="n">
        <x:v>78.81414642333985</x:v>
      </x:c>
      <x:c r="DA125" s="60" t="n">
        <x:v>79.83035507202148</x:v>
      </x:c>
      <x:c r="DB125" s="60" t="n">
        <x:v>84.04981994628906</x:v>
      </x:c>
    </x:row>
    <x:row r="126">
      <x:c r="A126" t="str">
        <x:v>プクリン-1</x:v>
      </x:c>
      <x:c r="B126" t="str">
        <x:v>プクリン</x:v>
      </x:c>
      <x:c r="C126" t="str">
        <x:v>共通</x:v>
      </x:c>
      <x:c r="D126" s="60" t="n">
        <x:v>63.515201568603516</x:v>
      </x:c>
      <x:c r="E126" s="60" t="n">
        <x:v>6.487538814544678</x:v>
      </x:c>
      <x:c r="F126" s="60" t="n">
        <x:v>40.107421875</x:v>
      </x:c>
      <x:c r="G126" s="60" t="n">
        <x:v>46.67109142303467</x:v>
      </x:c>
      <x:c r="H126" s="60" t="n">
        <x:v>48.588892211914064</x:v>
      </x:c>
      <x:c r="I126" s="60" t="n">
        <x:v>49.82824146270752</x:v>
      </x:c>
      <x:c r="J126" s="60" t="n">
        <x:v>50.899298400878905</x:v>
      </x:c>
      <x:c r="K126" s="60" t="n">
        <x:v>51.663601875305176</x:v>
      </x:c>
      <x:c r="L126" s="60" t="n">
        <x:v>52.376202697753904</x:v>
      </x:c>
      <x:c r="M126" s="60" t="n">
        <x:v>53.028323287963865</x:v>
      </x:c>
      <x:c r="N126" s="60" t="n">
        <x:v>53.549853515625</x:v>
      </x:c>
      <x:c r="O126" s="60" t="n">
        <x:v>54.0781409072876</x:v>
      </x:c>
      <x:c r="P126" s="60" t="n">
        <x:v>54.54130477905274</x:v>
      </x:c>
      <x:c r="Q126" s="60" t="n">
        <x:v>54.96333442687988</x:v>
      </x:c>
      <x:c r="R126" s="60" t="n">
        <x:v>55.355386352539064</x:v>
      </x:c>
      <x:c r="S126" s="60" t="n">
        <x:v>55.6935018157959</x:v>
      </x:c>
      <x:c r="T126" s="60" t="n">
        <x:v>56.124394226074216</x:v>
      </x:c>
      <x:c r="U126" s="60" t="n">
        <x:v>56.44296722412109</x:v>
      </x:c>
      <x:c r="V126" s="60" t="n">
        <x:v>56.750433654785155</x:v>
      </x:c>
      <x:c r="W126" s="60" t="n">
        <x:v>57.062916412353516</x:v>
      </x:c>
      <x:c r="X126" s="60" t="n">
        <x:v>57.366500778198244</x:v>
      </x:c>
      <x:c r="Y126" s="60" t="n">
        <x:v>57.634403686523434</x:v>
      </x:c>
      <x:c r="Z126" s="60" t="n">
        <x:v>57.94278335571289</x:v>
      </x:c>
      <x:c r="AA126" s="60" t="n">
        <x:v>58.2076224899292</x:v>
      </x:c>
      <x:c r="AB126" s="60" t="n">
        <x:v>58.4458846282959</x:v>
      </x:c>
      <x:c r="AC126" s="60" t="n">
        <x:v>58.70230381011963</x:v>
      </x:c>
      <x:c r="AD126" s="60" t="n">
        <x:v>58.980540924072265</x:v>
      </x:c>
      <x:c r="AE126" s="60" t="n">
        <x:v>59.23028564453125</x:v>
      </x:c>
      <x:c r="AF126" s="60" t="n">
        <x:v>59.4654574584961</x:v>
      </x:c>
      <x:c r="AG126" s="60" t="n">
        <x:v>59.70426235198975</x:v>
      </x:c>
      <x:c r="AH126" s="60" t="n">
        <x:v>59.949762115478514</x:v>
      </x:c>
      <x:c r="AI126" s="60" t="n">
        <x:v>60.169262657165525</x:v>
      </x:c>
      <x:c r="AJ126" s="60" t="n">
        <x:v>60.37556533813476</x:v>
      </x:c>
      <x:c r="AK126" s="60" t="n">
        <x:v>60.627778968811036</x:v>
      </x:c>
      <x:c r="AL126" s="60" t="n">
        <x:v>60.84886642456055</x:v>
      </x:c>
      <x:c r="AM126" s="60" t="n">
        <x:v>61.04796180725098</x:v>
      </x:c>
      <x:c r="AN126" s="60" t="n">
        <x:v>61.24297958374024</x:v>
      </x:c>
      <x:c r="AO126" s="60" t="n">
        <x:v>61.444726181030276</x:v>
      </x:c>
      <x:c r="AP126" s="60" t="n">
        <x:v>61.647908782958986</x:v>
      </x:c>
      <x:c r="AQ126" s="60" t="n">
        <x:v>61.85091579437256</x:v>
      </x:c>
      <x:c r="AR126" s="60" t="n">
        <x:v>62.041655654907224</x:v>
      </x:c>
      <x:c r="AS126" s="60" t="n">
        <x:v>62.2382353591919</x:v>
      </x:c>
      <x:c r="AT126" s="60" t="n">
        <x:v>62.43060073852539</x:v>
      </x:c>
      <x:c r="AU126" s="60" t="n">
        <x:v>62.61901782989502</x:v>
      </x:c>
      <x:c r="AV126" s="60" t="n">
        <x:v>62.80269798278809</x:v>
      </x:c>
      <x:c r="AW126" s="60" t="n">
        <x:v>62.98377796173096</x:v>
      </x:c>
      <x:c r="AX126" s="60" t="n">
        <x:v>63.166307830810545</x:v>
      </x:c>
      <x:c r="AY126" s="60" t="n">
        <x:v>63.34081611633301</x:v>
      </x:c>
      <x:c r="AZ126" s="60" t="n">
        <x:v>63.514112625122074</x:v>
      </x:c>
      <x:c r="BA126" s="60" t="n">
        <x:v>63.715343894958494</x:v>
      </x:c>
      <x:c r="BB126" s="60" t="n">
        <x:v>63.87816680908203</x:v>
      </x:c>
      <x:c r="BC126" s="60" t="n">
        <x:v>64.04616386413574</x:v>
      </x:c>
      <x:c r="BD126" s="60" t="n">
        <x:v>64.19764709472656</x:v>
      </x:c>
      <x:c r="BE126" s="60" t="n">
        <x:v>64.38327743530273</x:v>
      </x:c>
      <x:c r="BF126" s="60" t="n">
        <x:v>64.56954864501954</x:v>
      </x:c>
      <x:c r="BG126" s="60" t="n">
        <x:v>64.74735397338867</x:v>
      </x:c>
      <x:c r="BH126" s="60" t="n">
        <x:v>64.91403289794921</x:v>
      </x:c>
      <x:c r="BI126" s="60" t="n">
        <x:v>65.0956413269043</x:v>
      </x:c>
      <x:c r="BJ126" s="60" t="n">
        <x:v>65.26320861816406</x:v>
      </x:c>
      <x:c r="BK126" s="60" t="n">
        <x:v>65.44259101867677</x:v>
      </x:c>
      <x:c r="BL126" s="60" t="n">
        <x:v>65.62404083251953</x:v>
      </x:c>
      <x:c r="BM126" s="60" t="n">
        <x:v>65.80061233520507</x:v>
      </x:c>
      <x:c r="BN126" s="60" t="n">
        <x:v>65.95677642822265</x:v>
      </x:c>
      <x:c r="BO126" s="60" t="n">
        <x:v>66.10579521179199</x:v>
      </x:c>
      <x:c r="BP126" s="60" t="n">
        <x:v>66.29847137451172</x:v>
      </x:c>
      <x:c r="BQ126" s="60" t="n">
        <x:v>66.47083374023438</x:v>
      </x:c>
      <x:c r="BR126" s="60" t="n">
        <x:v>66.63997833251953</x:v>
      </x:c>
      <x:c r="BS126" s="60" t="n">
        <x:v>66.79716110229492</x:v>
      </x:c>
      <x:c r="BT126" s="60" t="n">
        <x:v>66.9553059387207</x:v>
      </x:c>
      <x:c r="BU126" s="60" t="n">
        <x:v>67.14754402160645</x:v>
      </x:c>
      <x:c r="BV126" s="60" t="n">
        <x:v>67.3160775756836</x:v>
      </x:c>
      <x:c r="BW126" s="60" t="n">
        <x:v>67.49177627563476</x:v>
      </x:c>
      <x:c r="BX126" s="60" t="n">
        <x:v>67.6525146484375</x:v>
      </x:c>
      <x:c r="BY126" s="60" t="n">
        <x:v>67.8279345703125</x:v>
      </x:c>
      <x:c r="BZ126" s="60" t="n">
        <x:v>67.9789044189453</x:v>
      </x:c>
      <x:c r="CA126" s="60" t="n">
        <x:v>68.16172622680664</x:v>
      </x:c>
      <x:c r="CB126" s="60" t="n">
        <x:v>68.33001266479492</x:v>
      </x:c>
      <x:c r="CC126" s="60" t="n">
        <x:v>68.5047378540039</x:v>
      </x:c>
      <x:c r="CD126" s="60" t="n">
        <x:v>68.67807891845703</x:v>
      </x:c>
      <x:c r="CE126" s="60" t="n">
        <x:v>68.85472282409668</x:v>
      </x:c>
      <x:c r="CF126" s="60" t="n">
        <x:v>69.01989562988281</x:v>
      </x:c>
      <x:c r="CG126" s="60" t="n">
        <x:v>69.2107332611084</x:v>
      </x:c>
      <x:c r="CH126" s="60" t="n">
        <x:v>69.38592834472657</x:v>
      </x:c>
      <x:c r="CI126" s="60" t="n">
        <x:v>69.5724504852295</x:v>
      </x:c>
      <x:c r="CJ126" s="60" t="n">
        <x:v>69.74656173706055</x:v>
      </x:c>
      <x:c r="CK126" s="60" t="n">
        <x:v>69.9520484161377</x:v>
      </x:c>
      <x:c r="CL126" s="60" t="n">
        <x:v>70.1570751953125</x:v>
      </x:c>
      <x:c r="CM126" s="60" t="n">
        <x:v>70.34399948120117</x:v>
      </x:c>
      <x:c r="CN126" s="60" t="n">
        <x:v>70.53691818237304</x:v>
      </x:c>
      <x:c r="CO126" s="60" t="n">
        <x:v>70.74481506347657</x:v>
      </x:c>
      <x:c r="CP126" s="60" t="n">
        <x:v>70.96189483642578</x:v>
      </x:c>
      <x:c r="CQ126" s="60" t="n">
        <x:v>71.18898849487304</x:v>
      </x:c>
      <x:c r="CR126" s="60" t="n">
        <x:v>71.41166305541992</x:v>
      </x:c>
      <x:c r="CS126" s="60" t="n">
        <x:v>71.65927467346191</x:v>
      </x:c>
      <x:c r="CT126" s="60" t="n">
        <x:v>71.9169418334961</x:v>
      </x:c>
      <x:c r="CU126" s="60" t="n">
        <x:v>72.19263450622559</x:v>
      </x:c>
      <x:c r="CV126" s="60" t="n">
        <x:v>72.51884155273437</x:v>
      </x:c>
      <x:c r="CW126" s="60" t="n">
        <x:v>72.84047203063966</x:v>
      </x:c>
      <x:c r="CX126" s="60" t="n">
        <x:v>73.18536254882812</x:v>
      </x:c>
      <x:c r="CY126" s="60" t="n">
        <x:v>73.59955932617187</x:v>
      </x:c>
      <x:c r="CZ126" s="60" t="n">
        <x:v>74.15280563354493</x:v>
      </x:c>
      <x:c r="DA126" s="60" t="n">
        <x:v>74.88460296630859</x:v>
      </x:c>
      <x:c r="DB126" s="60" t="n">
        <x:v>77.30906677246094</x:v>
      </x:c>
    </x:row>
    <x:row r="127">
      <x:c r="A127" t="str">
        <x:v>マホイップ-1</x:v>
      </x:c>
      <x:c r="B127" t="str">
        <x:v>マホイップ</x:v>
      </x:c>
      <x:c r="C127" t="str">
        <x:v>共通</x:v>
      </x:c>
      <x:c r="D127" s="60" t="n">
        <x:v>61.90113067626953</x:v>
      </x:c>
      <x:c r="E127" s="60" t="n">
        <x:v>9.398195266723633</x:v>
      </x:c>
      <x:c r="F127" s="60" t="n">
        <x:v>30.52705955505371</x:v>
      </x:c>
      <x:c r="G127" s="60" t="n">
        <x:v>39.3226969909668</x:v>
      </x:c>
      <x:c r="H127" s="60" t="n">
        <x:v>41.57108642578125</x:v>
      </x:c>
      <x:c r="I127" s="60" t="n">
        <x:v>43.12442977905273</x:v>
      </x:c>
      <x:c r="J127" s="60" t="n">
        <x:v>44.49245727539063</x:v>
      </x:c>
      <x:c r="K127" s="60" t="n">
        <x:v>45.587364768981935</x:v>
      </x:c>
      <x:c r="L127" s="60" t="n">
        <x:v>46.450874404907225</x:v>
      </x:c>
      <x:c r="M127" s="60" t="n">
        <x:v>47.231059074401855</x:v>
      </x:c>
      <x:c r="N127" s="60" t="n">
        <x:v>47.970186157226564</x:v>
      </x:c>
      <x:c r="O127" s="60" t="n">
        <x:v>48.55191390991211</x:v>
      </x:c>
      <x:c r="P127" s="60" t="n">
        <x:v>49.2028091430664</x:v>
      </x:c>
      <x:c r="Q127" s="60" t="n">
        <x:v>49.844074211120606</x:v>
      </x:c>
      <x:c r="R127" s="60" t="n">
        <x:v>50.317352294921875</x:v>
      </x:c>
      <x:c r="S127" s="60" t="n">
        <x:v>50.82726921081543</x:v>
      </x:c>
      <x:c r="T127" s="60" t="n">
        <x:v>51.343830032348635</x:v>
      </x:c>
      <x:c r="U127" s="60" t="n">
        <x:v>51.77030944824219</x:v>
      </x:c>
      <x:c r="V127" s="60" t="n">
        <x:v>52.185184173583984</x:v>
      </x:c>
      <x:c r="W127" s="60" t="n">
        <x:v>52.55758178710938</x:v>
      </x:c>
      <x:c r="X127" s="60" t="n">
        <x:v>52.97042785644531</x:v>
      </x:c>
      <x:c r="Y127" s="60" t="n">
        <x:v>53.367673530578614</x:v>
      </x:c>
      <x:c r="Z127" s="60" t="n">
        <x:v>53.75725784301758</x:v>
      </x:c>
      <x:c r="AA127" s="60" t="n">
        <x:v>54.07462211608887</x:v>
      </x:c>
      <x:c r="AB127" s="60" t="n">
        <x:v>54.46591217041016</x:v>
      </x:c>
      <x:c r="AC127" s="60" t="n">
        <x:v>54.82242198944092</x:v>
      </x:c>
      <x:c r="AD127" s="60" t="n">
        <x:v>55.14037582397461</x:v>
      </x:c>
      <x:c r="AE127" s="60" t="n">
        <x:v>55.47023677825928</x:v>
      </x:c>
      <x:c r="AF127" s="60" t="n">
        <x:v>55.784367904663085</x:v>
      </x:c>
      <x:c r="AG127" s="60" t="n">
        <x:v>56.113729095458986</x:v>
      </x:c>
      <x:c r="AH127" s="60" t="n">
        <x:v>56.42132537841797</x:v>
      </x:c>
      <x:c r="AI127" s="60" t="n">
        <x:v>56.738550682067874</x:v>
      </x:c>
      <x:c r="AJ127" s="60" t="n">
        <x:v>57.02137336730957</x:v>
      </x:c>
      <x:c r="AK127" s="60" t="n">
        <x:v>57.29246631622314</x:v>
      </x:c>
      <x:c r="AL127" s="60" t="n">
        <x:v>57.55489059448242</x:v>
      </x:c>
      <x:c r="AM127" s="60" t="n">
        <x:v>57.84314281463623</x:v>
      </x:c>
      <x:c r="AN127" s="60" t="n">
        <x:v>58.161379699707034</x:v>
      </x:c>
      <x:c r="AO127" s="60" t="n">
        <x:v>58.42388362884522</x:v>
      </x:c>
      <x:c r="AP127" s="60" t="n">
        <x:v>58.69223648071289</x:v>
      </x:c>
      <x:c r="AQ127" s="60" t="n">
        <x:v>58.95805534362793</x:v>
      </x:c>
      <x:c r="AR127" s="60" t="n">
        <x:v>59.22361625671387</x:v>
      </x:c>
      <x:c r="AS127" s="60" t="n">
        <x:v>59.46731269836426</x:v>
      </x:c>
      <x:c r="AT127" s="60" t="n">
        <x:v>59.746996307373045</x:v>
      </x:c>
      <x:c r="AU127" s="60" t="n">
        <x:v>60.019135093688966</x:v>
      </x:c>
      <x:c r="AV127" s="60" t="n">
        <x:v>60.305767135620115</x:v>
      </x:c>
      <x:c r="AW127" s="60" t="n">
        <x:v>60.58634937286377</x:v>
      </x:c>
      <x:c r="AX127" s="60" t="n">
        <x:v>60.83068298339844</x:v>
      </x:c>
      <x:c r="AY127" s="60" t="n">
        <x:v>61.07422389984131</x:v>
      </x:c>
      <x:c r="AZ127" s="60" t="n">
        <x:v>61.33349868774414</x:v>
      </x:c>
      <x:c r="BA127" s="60" t="n">
        <x:v>61.59596660614014</x:v>
      </x:c>
      <x:c r="BB127" s="60" t="n">
        <x:v>61.845950317382815</x:v>
      </x:c>
      <x:c r="BC127" s="60" t="n">
        <x:v>62.08346179962158</x:v>
      </x:c>
      <x:c r="BD127" s="60" t="n">
        <x:v>62.3471565246582</x:v>
      </x:c>
      <x:c r="BE127" s="60" t="n">
        <x:v>62.628341064453124</x:v>
      </x:c>
      <x:c r="BF127" s="60" t="n">
        <x:v>62.86783981323242</x:v>
      </x:c>
      <x:c r="BG127" s="60" t="n">
        <x:v>63.117903366088875</x:v>
      </x:c>
      <x:c r="BH127" s="60" t="n">
        <x:v>63.3980354309082</x:v>
      </x:c>
      <x:c r="BI127" s="60" t="n">
        <x:v>63.682279396057126</x:v>
      </x:c>
      <x:c r="BJ127" s="60" t="n">
        <x:v>63.92131881713867</x:v>
      </x:c>
      <x:c r="BK127" s="60" t="n">
        <x:v>64.18380561828613</x:v>
      </x:c>
      <x:c r="BL127" s="60" t="n">
        <x:v>64.44904373168946</x:v>
      </x:c>
      <x:c r="BM127" s="60" t="n">
        <x:v>64.71186714172363</x:v>
      </x:c>
      <x:c r="BN127" s="60" t="n">
        <x:v>64.9410415649414</x:v>
      </x:c>
      <x:c r="BO127" s="60" t="n">
        <x:v>65.22076110839843</x:v>
      </x:c>
      <x:c r="BP127" s="60" t="n">
        <x:v>65.49375946044921</x:v>
      </x:c>
      <x:c r="BQ127" s="60" t="n">
        <x:v>65.77059127807617</x:v>
      </x:c>
      <x:c r="BR127" s="60" t="n">
        <x:v>66.04534759521485</x:v>
      </x:c>
      <x:c r="BS127" s="60" t="n">
        <x:v>66.30276679992676</x:v>
      </x:c>
      <x:c r="BT127" s="60" t="n">
        <x:v>66.5496810913086</x:v>
      </x:c>
      <x:c r="BU127" s="60" t="n">
        <x:v>66.78505432128907</x:v>
      </x:c>
      <x:c r="BV127" s="60" t="n">
        <x:v>67.02777465820313</x:v>
      </x:c>
      <x:c r="BW127" s="60" t="n">
        <x:v>67.27251876831055</x:v>
      </x:c>
      <x:c r="BX127" s="60" t="n">
        <x:v>67.54998168945312</x:v>
      </x:c>
      <x:c r="BY127" s="60" t="n">
        <x:v>67.79816413879394</x:v>
      </x:c>
      <x:c r="BZ127" s="60" t="n">
        <x:v>68.07711334228516</x:v>
      </x:c>
      <x:c r="CA127" s="60" t="n">
        <x:v>68.29879943847656</x:v>
      </x:c>
      <x:c r="CB127" s="60" t="n">
        <x:v>68.57421905517579</x:v>
      </x:c>
      <x:c r="CC127" s="60" t="n">
        <x:v>68.84746742248535</x:v>
      </x:c>
      <x:c r="CD127" s="60" t="n">
        <x:v>69.11019104003907</x:v>
      </x:c>
      <x:c r="CE127" s="60" t="n">
        <x:v>69.41447578430176</x:v>
      </x:c>
      <x:c r="CF127" s="60" t="n">
        <x:v>69.72234344482422</x:v>
      </x:c>
      <x:c r="CG127" s="60" t="n">
        <x:v>69.99996688842774</x:v>
      </x:c>
      <x:c r="CH127" s="60" t="n">
        <x:v>70.3139419555664</x:v>
      </x:c>
      <x:c r="CI127" s="60" t="n">
        <x:v>70.6044278717041</x:v>
      </x:c>
      <x:c r="CJ127" s="60" t="n">
        <x:v>70.90520294189453</x:v>
      </x:c>
      <x:c r="CK127" s="60" t="n">
        <x:v>71.18613960266113</x:v>
      </x:c>
      <x:c r="CL127" s="60" t="n">
        <x:v>71.53886016845703</x:v>
      </x:c>
      <x:c r="CM127" s="60" t="n">
        <x:v>71.89345436096191</x:v>
      </x:c>
      <x:c r="CN127" s="60" t="n">
        <x:v>72.27988128662109</x:v>
      </x:c>
      <x:c r="CO127" s="60" t="n">
        <x:v>72.6317375946045</x:v>
      </x:c>
      <x:c r="CP127" s="60" t="n">
        <x:v>73.09242523193359</x:v>
      </x:c>
      <x:c r="CQ127" s="60" t="n">
        <x:v>73.47330093383789</x:v>
      </x:c>
      <x:c r="CR127" s="60" t="n">
        <x:v>73.88951416015625</x:v>
      </x:c>
      <x:c r="CS127" s="60" t="n">
        <x:v>74.32497291564941</x:v>
      </x:c>
      <x:c r="CT127" s="60" t="n">
        <x:v>74.81407592773438</x:v>
      </x:c>
      <x:c r="CU127" s="60" t="n">
        <x:v>75.30845153808593</x:v>
      </x:c>
      <x:c r="CV127" s="60" t="n">
        <x:v>75.78733505249023</x:v>
      </x:c>
      <x:c r="CW127" s="60" t="n">
        <x:v>76.43782463073731</x:v>
      </x:c>
      <x:c r="CX127" s="60" t="n">
        <x:v>77.12253387451172</x:v>
      </x:c>
      <x:c r="CY127" s="60" t="n">
        <x:v>77.92153968811034</x:v>
      </x:c>
      <x:c r="CZ127" s="60" t="n">
        <x:v>79.03953918457032</x:v>
      </x:c>
      <x:c r="DA127" s="60" t="n">
        <x:v>80.5480428314209</x:v>
      </x:c>
      <x:c r="DB127" s="60" t="n">
        <x:v>87.10974884033203</x:v>
      </x:c>
    </x:row>
    <x:row r="128">
      <x:c r="A128" t="str">
        <x:v>メガニウム-1</x:v>
      </x:c>
      <x:c r="B128" t="str">
        <x:v>メガニウム</x:v>
      </x:c>
      <x:c r="C128" t="str">
        <x:v>共通</x:v>
      </x:c>
      <x:c r="D128" s="60" t="n">
        <x:v>63.87203598022461</x:v>
      </x:c>
      <x:c r="E128" s="60" t="n">
        <x:v>9.901106834411621</x:v>
      </x:c>
      <x:c r="F128" s="60" t="n">
        <x:v>31.07337188720703</x:v>
      </x:c>
      <x:c r="G128" s="60" t="n">
        <x:v>39.44001735687256</x:v>
      </x:c>
      <x:c r="H128" s="60" t="n">
        <x:v>41.83980133056641</x:v>
      </x:c>
      <x:c r="I128" s="60" t="n">
        <x:v>43.68493808746338</x:v>
      </x:c>
      <x:c r="J128" s="60" t="n">
        <x:v>45.078834991455075</x:v>
      </x:c>
      <x:c r="K128" s="60" t="n">
        <x:v>46.33479900360108</x:v>
      </x:c>
      <x:c r="L128" s="60" t="n">
        <x:v>47.316254501342776</x:v>
      </x:c>
      <x:c r="M128" s="60" t="n">
        <x:v>48.13796463012695</x:v>
      </x:c>
      <x:c r="N128" s="60" t="n">
        <x:v>48.96277069091797</x:v>
      </x:c>
      <x:c r="O128" s="60" t="n">
        <x:v>49.73818252563476</x:v>
      </x:c>
      <x:c r="P128" s="60" t="n">
        <x:v>50.35719451904297</x:v>
      </x:c>
      <x:c r="Q128" s="60" t="n">
        <x:v>50.99626327514648</x:v>
      </x:c>
      <x:c r="R128" s="60" t="n">
        <x:v>51.53527389526367</x:v>
      </x:c>
      <x:c r="S128" s="60" t="n">
        <x:v>52.06894092559814</x:v>
      </x:c>
      <x:c r="T128" s="60" t="n">
        <x:v>52.64888618469239</x:v>
      </x:c>
      <x:c r="U128" s="60" t="n">
        <x:v>53.145548820495605</x:v>
      </x:c>
      <x:c r="V128" s="60" t="n">
        <x:v>53.60318954467773</x:v>
      </x:c>
      <x:c r="W128" s="60" t="n">
        <x:v>54.03403484344482</x:v>
      </x:c>
      <x:c r="X128" s="60" t="n">
        <x:v>54.50349136352539</x:v>
      </x:c>
      <x:c r="Y128" s="60" t="n">
        <x:v>54.91988986968994</x:v>
      </x:c>
      <x:c r="Z128" s="60" t="n">
        <x:v>55.26764144897461</x:v>
      </x:c>
      <x:c r="AA128" s="60" t="n">
        <x:v>55.689819526672366</x:v>
      </x:c>
      <x:c r="AB128" s="60" t="n">
        <x:v>56.126339492797854</x:v>
      </x:c>
      <x:c r="AC128" s="60" t="n">
        <x:v>56.49183292388916</x:v>
      </x:c>
      <x:c r="AD128" s="60" t="n">
        <x:v>56.841168823242185</x:v>
      </x:c>
      <x:c r="AE128" s="60" t="n">
        <x:v>57.20331954956055</x:v>
      </x:c>
      <x:c r="AF128" s="60" t="n">
        <x:v>57.54689552307129</x:v>
      </x:c>
      <x:c r="AG128" s="60" t="n">
        <x:v>57.89546699523926</x:v>
      </x:c>
      <x:c r="AH128" s="60" t="n">
        <x:v>58.21512252807617</x:v>
      </x:c>
      <x:c r="AI128" s="60" t="n">
        <x:v>58.54152675628662</x:v>
      </x:c>
      <x:c r="AJ128" s="60" t="n">
        <x:v>58.86654853820801</x:v>
      </x:c>
      <x:c r="AK128" s="60" t="n">
        <x:v>59.157824707031246</x:v>
      </x:c>
      <x:c r="AL128" s="60" t="n">
        <x:v>59.52239654541016</x:v>
      </x:c>
      <x:c r="AM128" s="60" t="n">
        <x:v>59.81219882965088</x:v>
      </x:c>
      <x:c r="AN128" s="60" t="n">
        <x:v>60.12633224487305</x:v>
      </x:c>
      <x:c r="AO128" s="60" t="n">
        <x:v>60.39905338287353</x:v>
      </x:c>
      <x:c r="AP128" s="60" t="n">
        <x:v>60.662327423095704</x:v>
      </x:c>
      <x:c r="AQ128" s="60" t="n">
        <x:v>60.945577430725095</x:v>
      </x:c>
      <x:c r="AR128" s="60" t="n">
        <x:v>61.24689659118652</x:v>
      </x:c>
      <x:c r="AS128" s="60" t="n">
        <x:v>61.531639137268066</x:v>
      </x:c>
      <x:c r="AT128" s="60" t="n">
        <x:v>61.84546890258789</x:v>
      </x:c>
      <x:c r="AU128" s="60" t="n">
        <x:v>62.102128410339354</x:v>
      </x:c>
      <x:c r="AV128" s="60" t="n">
        <x:v>62.378732986450196</x:v>
      </x:c>
      <x:c r="AW128" s="60" t="n">
        <x:v>62.65810722351074</x:v>
      </x:c>
      <x:c r="AX128" s="60" t="n">
        <x:v>62.961370391845705</x:v>
      </x:c>
      <x:c r="AY128" s="60" t="n">
        <x:v>63.22286777496338</x:v>
      </x:c>
      <x:c r="AZ128" s="60" t="n">
        <x:v>63.521953353881834</x:v>
      </x:c>
      <x:c r="BA128" s="60" t="n">
        <x:v>63.777046585083006</x:v>
      </x:c>
      <x:c r="BB128" s="60" t="n">
        <x:v>64.05779022216797</x:v>
      </x:c>
      <x:c r="BC128" s="60" t="n">
        <x:v>64.34356986999512</x:v>
      </x:c>
      <x:c r="BD128" s="60" t="n">
        <x:v>64.60227966308594</x:v>
      </x:c>
      <x:c r="BE128" s="60" t="n">
        <x:v>64.85863906860351</x:v>
      </x:c>
      <x:c r="BF128" s="60" t="n">
        <x:v>65.14476287841796</x:v>
      </x:c>
      <x:c r="BG128" s="60" t="n">
        <x:v>65.42093711853028</x:v>
      </x:c>
      <x:c r="BH128" s="60" t="n">
        <x:v>65.69202926635742</x:v>
      </x:c>
      <x:c r="BI128" s="60" t="n">
        <x:v>65.95169601440429</x:v>
      </x:c>
      <x:c r="BJ128" s="60" t="n">
        <x:v>66.22715759277344</x:v>
      </x:c>
      <x:c r="BK128" s="60" t="n">
        <x:v>66.4939013671875</x:v>
      </x:c>
      <x:c r="BL128" s="60" t="n">
        <x:v>66.76581115722657</x:v>
      </x:c>
      <x:c r="BM128" s="60" t="n">
        <x:v>67.02843559265136</x:v>
      </x:c>
      <x:c r="BN128" s="60" t="n">
        <x:v>67.30693817138672</x:v>
      </x:c>
      <x:c r="BO128" s="60" t="n">
        <x:v>67.60262649536132</x:v>
      </x:c>
      <x:c r="BP128" s="60" t="n">
        <x:v>67.85990539550781</x:v>
      </x:c>
      <x:c r="BQ128" s="60" t="n">
        <x:v>68.10065338134766</x:v>
      </x:c>
      <x:c r="BR128" s="60" t="n">
        <x:v>68.376728515625</x:v>
      </x:c>
      <x:c r="BS128" s="60" t="n">
        <x:v>68.65017700195312</x:v>
      </x:c>
      <x:c r="BT128" s="60" t="n">
        <x:v>68.89954132080078</x:v>
      </x:c>
      <x:c r="BU128" s="60" t="n">
        <x:v>69.17002471923828</x:v>
      </x:c>
      <x:c r="BV128" s="60" t="n">
        <x:v>69.46966247558593</x:v>
      </x:c>
      <x:c r="BW128" s="60" t="n">
        <x:v>69.71127517700197</x:v>
      </x:c>
      <x:c r="BX128" s="60" t="n">
        <x:v>69.98195571899414</x:v>
      </x:c>
      <x:c r="BY128" s="60" t="n">
        <x:v>70.25153594970703</x:v>
      </x:c>
      <x:c r="BZ128" s="60" t="n">
        <x:v>70.50789947509766</x:v>
      </x:c>
      <x:c r="CA128" s="60" t="n">
        <x:v>70.76222915649414</x:v>
      </x:c>
      <x:c r="CB128" s="60" t="n">
        <x:v>71.03461273193359</x:v>
      </x:c>
      <x:c r="CC128" s="60" t="n">
        <x:v>71.28066062927246</x:v>
      </x:c>
      <x:c r="CD128" s="60" t="n">
        <x:v>71.55239562988281</x:v>
      </x:c>
      <x:c r="CE128" s="60" t="n">
        <x:v>71.86411392211915</x:v>
      </x:c>
      <x:c r="CF128" s="60" t="n">
        <x:v>72.13535003662109</x:v>
      </x:c>
      <x:c r="CG128" s="60" t="n">
        <x:v>72.4247878265381</x:v>
      </x:c>
      <x:c r="CH128" s="60" t="n">
        <x:v>72.73546142578125</x:v>
      </x:c>
      <x:c r="CI128" s="60" t="n">
        <x:v>73.03664268493652</x:v>
      </x:c>
      <x:c r="CJ128" s="60" t="n">
        <x:v>73.39325576782227</x:v>
      </x:c>
      <x:c r="CK128" s="60" t="n">
        <x:v>73.73407264709473</x:v>
      </x:c>
      <x:c r="CL128" s="60" t="n">
        <x:v>74.03676727294922</x:v>
      </x:c>
      <x:c r="CM128" s="60" t="n">
        <x:v>74.36662063598632</x:v>
      </x:c>
      <x:c r="CN128" s="60" t="n">
        <x:v>74.7221759033203</x:v>
      </x:c>
      <x:c r="CO128" s="60" t="n">
        <x:v>75.09041046142579</x:v>
      </x:c>
      <x:c r="CP128" s="60" t="n">
        <x:v>75.47003784179687</x:v>
      </x:c>
      <x:c r="CQ128" s="60" t="n">
        <x:v>75.84385391235351</x:v>
      </x:c>
      <x:c r="CR128" s="60" t="n">
        <x:v>76.25707168579102</x:v>
      </x:c>
      <x:c r="CS128" s="60" t="n">
        <x:v>76.65130325317382</x:v>
      </x:c>
      <x:c r="CT128" s="60" t="n">
        <x:v>77.11419372558593</x:v>
      </x:c>
      <x:c r="CU128" s="60" t="n">
        <x:v>77.65025802612304</x:v>
      </x:c>
      <x:c r="CV128" s="60" t="n">
        <x:v>78.18581512451172</x:v>
      </x:c>
      <x:c r="CW128" s="60" t="n">
        <x:v>78.81014404296876</x:v>
      </x:c>
      <x:c r="CX128" s="60" t="n">
        <x:v>79.51054626464845</x:v>
      </x:c>
      <x:c r="CY128" s="60" t="n">
        <x:v>80.32652862548828</x:v>
      </x:c>
      <x:c r="CZ128" s="60" t="n">
        <x:v>81.35190277099609</x:v>
      </x:c>
      <x:c r="DA128" s="60" t="n">
        <x:v>82.63426445007322</x:v>
      </x:c>
      <x:c r="DB128" s="60" t="n">
        <x:v>89.10806274414062</x:v>
      </x:c>
    </x:row>
    <x:row r="129">
      <x:c r="A129" t="str">
        <x:v>ヤミラミ-1</x:v>
      </x:c>
      <x:c r="B129" t="str">
        <x:v>ヤミラミ</x:v>
      </x:c>
      <x:c r="C129" t="str">
        <x:v>共通</x:v>
      </x:c>
      <x:c r="D129" s="60" t="n">
        <x:v>64.39112854003906</x:v>
      </x:c>
      <x:c r="E129" s="60" t="n">
        <x:v>5.058803081512451</x:v>
      </x:c>
      <x:c r="F129" s="60" t="n">
        <x:v>44.1904296875</x:v>
      </x:c>
      <x:c r="G129" s="60" t="n">
        <x:v>51.22896984100342</x:v>
      </x:c>
      <x:c r="H129" s="60" t="n">
        <x:v>52.94660438537598</x:v>
      </x:c>
      <x:c r="I129" s="60" t="n">
        <x:v>54.01365608215332</x:v>
      </x:c>
      <x:c r="J129" s="60" t="n">
        <x:v>54.797174530029295</x:v>
      </x:c>
      <x:c r="K129" s="60" t="n">
        <x:v>55.53573989868164</x:v>
      </x:c>
      <x:c r="L129" s="60" t="n">
        <x:v>56.06309646606445</x:v>
      </x:c>
      <x:c r="M129" s="60" t="n">
        <x:v>56.560691032409665</x:v>
      </x:c>
      <x:c r="N129" s="60" t="n">
        <x:v>56.97645660400391</x:v>
      </x:c>
      <x:c r="O129" s="60" t="n">
        <x:v>57.3476794052124</x:v>
      </x:c>
      <x:c r="P129" s="60" t="n">
        <x:v>57.65831832885742</x:v>
      </x:c>
      <x:c r="Q129" s="60" t="n">
        <x:v>57.953521156311034</x:v>
      </x:c>
      <x:c r="R129" s="60" t="n">
        <x:v>58.25455764770508</x:v>
      </x:c>
      <x:c r="S129" s="60" t="n">
        <x:v>58.555071144104005</x:v>
      </x:c>
      <x:c r="T129" s="60" t="n">
        <x:v>58.7884555053711</x:v>
      </x:c>
      <x:c r="U129" s="60" t="n">
        <x:v>59.04757213592529</x:v>
      </x:c>
      <x:c r="V129" s="60" t="n">
        <x:v>59.28787246704102</x:v>
      </x:c>
      <x:c r="W129" s="60" t="n">
        <x:v>59.5226025390625</x:v>
      </x:c>
      <x:c r="X129" s="60" t="n">
        <x:v>59.74035758972168</x:v>
      </x:c>
      <x:c r="Y129" s="60" t="n">
        <x:v>59.944328727722166</x:v>
      </x:c>
      <x:c r="Z129" s="60" t="n">
        <x:v>60.15178680419922</x:v>
      </x:c>
      <x:c r="AA129" s="60" t="n">
        <x:v>60.33284900665283</x:v>
      </x:c>
      <x:c r="AB129" s="60" t="n">
        <x:v>60.52664665222168</x:v>
      </x:c>
      <x:c r="AC129" s="60" t="n">
        <x:v>60.717894592285155</x:v>
      </x:c>
      <x:c r="AD129" s="60" t="n">
        <x:v>60.87725143432617</x:v>
      </x:c>
      <x:c r="AE129" s="60" t="n">
        <x:v>61.0677490234375</x:v>
      </x:c>
      <x:c r="AF129" s="60" t="n">
        <x:v>61.244580078125</x:v>
      </x:c>
      <x:c r="AG129" s="60" t="n">
        <x:v>61.42055877685547</x:v>
      </x:c>
      <x:c r="AH129" s="60" t="n">
        <x:v>61.5979541015625</x:v>
      </x:c>
      <x:c r="AI129" s="60" t="n">
        <x:v>61.766263236999514</x:v>
      </x:c>
      <x:c r="AJ129" s="60" t="n">
        <x:v>61.93843116760254</x:v>
      </x:c>
      <x:c r="AK129" s="60" t="n">
        <x:v>62.12134189605713</x:v>
      </x:c>
      <x:c r="AL129" s="60" t="n">
        <x:v>62.26285491943359</x:v>
      </x:c>
      <x:c r="AM129" s="60" t="n">
        <x:v>62.41207618713379</x:v>
      </x:c>
      <x:c r="AN129" s="60" t="n">
        <x:v>62.555940551757814</x:v>
      </x:c>
      <x:c r="AO129" s="60" t="n">
        <x:v>62.70733776092529</x:v>
      </x:c>
      <x:c r="AP129" s="60" t="n">
        <x:v>62.866101837158205</x:v>
      </x:c>
      <x:c r="AQ129" s="60" t="n">
        <x:v>63.011217918396</x:v>
      </x:c>
      <x:c r="AR129" s="60" t="n">
        <x:v>63.15843330383301</x:v>
      </x:c>
      <x:c r="AS129" s="60" t="n">
        <x:v>63.293004837036136</x:v>
      </x:c>
      <x:c r="AT129" s="60" t="n">
        <x:v>63.425027465820314</x:v>
      </x:c>
      <x:c r="AU129" s="60" t="n">
        <x:v>63.562593383789064</x:v>
      </x:c>
      <x:c r="AV129" s="60" t="n">
        <x:v>63.702957458496094</x:v>
      </x:c>
      <x:c r="AW129" s="60" t="n">
        <x:v>63.84196601867676</x:v>
      </x:c>
      <x:c r="AX129" s="60" t="n">
        <x:v>63.980370635986326</x:v>
      </x:c>
      <x:c r="AY129" s="60" t="n">
        <x:v>64.10767784118653</x:v>
      </x:c>
      <x:c r="AZ129" s="60" t="n">
        <x:v>64.24388641357422</x:v>
      </x:c>
      <x:c r="BA129" s="60" t="n">
        <x:v>64.37558570861816</x:v>
      </x:c>
      <x:c r="BB129" s="60" t="n">
        <x:v>64.49493530273438</x:v>
      </x:c>
      <x:c r="BC129" s="60" t="n">
        <x:v>64.61887481689453</x:v>
      </x:c>
      <x:c r="BD129" s="60" t="n">
        <x:v>64.7441177368164</x:v>
      </x:c>
      <x:c r="BE129" s="60" t="n">
        <x:v>64.88149459838867</x:v>
      </x:c>
      <x:c r="BF129" s="60" t="n">
        <x:v>64.99916046142579</x:v>
      </x:c>
      <x:c r="BG129" s="60" t="n">
        <x:v>65.13252433776856</x:v>
      </x:c>
      <x:c r="BH129" s="60" t="n">
        <x:v>65.26982559204102</x:v>
      </x:c>
      <x:c r="BI129" s="60" t="n">
        <x:v>65.40564079284668</x:v>
      </x:c>
      <x:c r="BJ129" s="60" t="n">
        <x:v>65.55242950439452</x:v>
      </x:c>
      <x:c r="BK129" s="60" t="n">
        <x:v>65.66506759643555</x:v>
      </x:c>
      <x:c r="BL129" s="60" t="n">
        <x:v>65.78986053466797</x:v>
      </x:c>
      <x:c r="BM129" s="60" t="n">
        <x:v>65.89926872253417</x:v>
      </x:c>
      <x:c r="BN129" s="60" t="n">
        <x:v>66.03656616210938</x:v>
      </x:c>
      <x:c r="BO129" s="60" t="n">
        <x:v>66.15735481262207</x:v>
      </x:c>
      <x:c r="BP129" s="60" t="n">
        <x:v>66.28624237060546</x:v>
      </x:c>
      <x:c r="BQ129" s="60" t="n">
        <x:v>66.41855331420898</x:v>
      </x:c>
      <x:c r="BR129" s="60" t="n">
        <x:v>66.54567810058593</x:v>
      </x:c>
      <x:c r="BS129" s="60" t="n">
        <x:v>66.67463531494141</x:v>
      </x:c>
      <x:c r="BT129" s="60" t="n">
        <x:v>66.8021922302246</x:v>
      </x:c>
      <x:c r="BU129" s="60" t="n">
        <x:v>66.94117530822754</x:v>
      </x:c>
      <x:c r="BV129" s="60" t="n">
        <x:v>67.07107757568359</x:v>
      </x:c>
      <x:c r="BW129" s="60" t="n">
        <x:v>67.19385200500489</x:v>
      </x:c>
      <x:c r="BX129" s="60" t="n">
        <x:v>67.32127532958984</x:v>
      </x:c>
      <x:c r="BY129" s="60" t="n">
        <x:v>67.4576188659668</x:v>
      </x:c>
      <x:c r="BZ129" s="60" t="n">
        <x:v>67.60209533691406</x:v>
      </x:c>
      <x:c r="CA129" s="60" t="n">
        <x:v>67.73901710510253</x:v>
      </x:c>
      <x:c r="CB129" s="60" t="n">
        <x:v>67.87276733398437</x:v>
      </x:c>
      <x:c r="CC129" s="60" t="n">
        <x:v>68.01059150695801</x:v>
      </x:c>
      <x:c r="CD129" s="60" t="n">
        <x:v>68.15953063964844</x:v>
      </x:c>
      <x:c r="CE129" s="60" t="n">
        <x:v>68.3033910369873</x:v>
      </x:c>
      <x:c r="CF129" s="60" t="n">
        <x:v>68.44597106933594</x:v>
      </x:c>
      <x:c r="CG129" s="60" t="n">
        <x:v>68.61517578125</x:v>
      </x:c>
      <x:c r="CH129" s="60" t="n">
        <x:v>68.77786560058594</x:v>
      </x:c>
      <x:c r="CI129" s="60" t="n">
        <x:v>68.93089179992675</x:v>
      </x:c>
      <x:c r="CJ129" s="60" t="n">
        <x:v>69.08875350952148</x:v>
      </x:c>
      <x:c r="CK129" s="60" t="n">
        <x:v>69.23645538330078</x:v>
      </x:c>
      <x:c r="CL129" s="60" t="n">
        <x:v>69.4071273803711</x:v>
      </x:c>
      <x:c r="CM129" s="60" t="n">
        <x:v>69.61131591796874</x:v>
      </x:c>
      <x:c r="CN129" s="60" t="n">
        <x:v>69.78831024169922</x:v>
      </x:c>
      <x:c r="CO129" s="60" t="n">
        <x:v>69.97532638549805</x:v>
      </x:c>
      <x:c r="CP129" s="60" t="n">
        <x:v>70.22233215332031</x:v>
      </x:c>
      <x:c r="CQ129" s="60" t="n">
        <x:v>70.42955780029297</x:v>
      </x:c>
      <x:c r="CR129" s="60" t="n">
        <x:v>70.6662696838379</x:v>
      </x:c>
      <x:c r="CS129" s="60" t="n">
        <x:v>70.90401962280274</x:v>
      </x:c>
      <x:c r="CT129" s="60" t="n">
        <x:v>71.13906555175781</x:v>
      </x:c>
      <x:c r="CU129" s="60" t="n">
        <x:v>71.40902381896973</x:v>
      </x:c>
      <x:c r="CV129" s="60" t="n">
        <x:v>71.74363754272461</x:v>
      </x:c>
      <x:c r="CW129" s="60" t="n">
        <x:v>72.07626571655274</x:v>
      </x:c>
      <x:c r="CX129" s="60" t="n">
        <x:v>72.49571075439454</x:v>
      </x:c>
      <x:c r="CY129" s="60" t="n">
        <x:v>73.01445190429688</x:v>
      </x:c>
      <x:c r="CZ129" s="60" t="n">
        <x:v>73.56866119384766</x:v>
      </x:c>
      <x:c r="DA129" s="60" t="n">
        <x:v>74.467587890625</x:v>
      </x:c>
      <x:c r="DB129" s="60" t="n">
        <x:v>79.24818420410156</x:v>
      </x:c>
    </x:row>
    <x:row r="130">
      <x:c r="A130" t="str">
        <x:v>ラティアス-1</x:v>
      </x:c>
      <x:c r="B130" t="str">
        <x:v>ラティアス</x:v>
      </x:c>
      <x:c r="C130" t="str">
        <x:v>共通</x:v>
      </x:c>
      <x:c r="D130" s="60" t="n">
        <x:v>67.29151153564453</x:v>
      </x:c>
      <x:c r="E130" s="60" t="n">
        <x:v>8.07229995727539</x:v>
      </x:c>
      <x:c r="F130" s="60" t="n">
        <x:v>36.04046630859375</x:v>
      </x:c>
      <x:c r="G130" s="60" t="n">
        <x:v>44.907038650512696</x:v>
      </x:c>
      <x:c r="H130" s="60" t="n">
        <x:v>47.69797477722168</x:v>
      </x:c>
      <x:c r="I130" s="60" t="n">
        <x:v>49.47876579284668</x:v>
      </x:c>
      <x:c r="J130" s="60" t="n">
        <x:v>50.789688415527344</x:v>
      </x:c>
      <x:c r="K130" s="60" t="n">
        <x:v>51.87818775177002</x:v>
      </x:c>
      <x:c r="L130" s="60" t="n">
        <x:v>52.82409217834473</x:v>
      </x:c>
      <x:c r="M130" s="60" t="n">
        <x:v>53.65732372283936</x:v>
      </x:c>
      <x:c r="N130" s="60" t="n">
        <x:v>54.44474822998047</x:v>
      </x:c>
      <x:c r="O130" s="60" t="n">
        <x:v>55.257179260253906</x:v>
      </x:c>
      <x:c r="P130" s="60" t="n">
        <x:v>55.842664337158205</x:v>
      </x:c>
      <x:c r="Q130" s="60" t="n">
        <x:v>56.43921291351318</x:v>
      </x:c>
      <x:c r="R130" s="60" t="n">
        <x:v>56.97921112060547</x:v>
      </x:c>
      <x:c r="S130" s="60" t="n">
        <x:v>57.5133861541748</x:v>
      </x:c>
      <x:c r="T130" s="60" t="n">
        <x:v>58.029910736083984</x:v>
      </x:c>
      <x:c r="U130" s="60" t="n">
        <x:v>58.514539527893064</x:v>
      </x:c>
      <x:c r="V130" s="60" t="n">
        <x:v>58.94586318969726</x:v>
      </x:c>
      <x:c r="W130" s="60" t="n">
        <x:v>59.38269412994385</x:v>
      </x:c>
      <x:c r="X130" s="60" t="n">
        <x:v>59.78679580688476</x:v>
      </x:c>
      <x:c r="Y130" s="60" t="n">
        <x:v>60.214546089172366</x:v>
      </x:c>
      <x:c r="Z130" s="60" t="n">
        <x:v>60.56920623779297</x:v>
      </x:c>
      <x:c r="AA130" s="60" t="n">
        <x:v>60.9207092666626</x:v>
      </x:c>
      <x:c r="AB130" s="60" t="n">
        <x:v>61.266931686401364</x:v>
      </x:c>
      <x:c r="AC130" s="60" t="n">
        <x:v>61.62863361358642</x:v>
      </x:c>
      <x:c r="AD130" s="60" t="n">
        <x:v>61.972666625976565</x:v>
      </x:c>
      <x:c r="AE130" s="60" t="n">
        <x:v>62.272027015686035</x:v>
      </x:c>
      <x:c r="AF130" s="60" t="n">
        <x:v>62.56811363220215</x:v>
      </x:c>
      <x:c r="AG130" s="60" t="n">
        <x:v>62.88632110595703</x:v>
      </x:c>
      <x:c r="AH130" s="60" t="n">
        <x:v>63.20047317504883</x:v>
      </x:c>
      <x:c r="AI130" s="60" t="n">
        <x:v>63.5272864151001</x:v>
      </x:c>
      <x:c r="AJ130" s="60" t="n">
        <x:v>63.794826126098634</x:v>
      </x:c>
      <x:c r="AK130" s="60" t="n">
        <x:v>64.07404617309571</x:v>
      </x:c>
      <x:c r="AL130" s="60" t="n">
        <x:v>64.34180084228515</x:v>
      </x:c>
      <x:c r="AM130" s="60" t="n">
        <x:v>64.61592330932618</x:v>
      </x:c>
      <x:c r="AN130" s="60" t="n">
        <x:v>64.92303848266602</x:v>
      </x:c>
      <x:c r="AO130" s="60" t="n">
        <x:v>65.1957275390625</x:v>
      </x:c>
      <x:c r="AP130" s="60" t="n">
        <x:v>65.42740509033203</x:v>
      </x:c>
      <x:c r="AQ130" s="60" t="n">
        <x:v>65.66643653869629</x:v>
      </x:c>
      <x:c r="AR130" s="60" t="n">
        <x:v>65.90906875610352</x:v>
      </x:c>
      <x:c r="AS130" s="60" t="n">
        <x:v>66.13672210693359</x:v>
      </x:c>
      <x:c r="AT130" s="60" t="n">
        <x:v>66.36592102050781</x:v>
      </x:c>
      <x:c r="AU130" s="60" t="n">
        <x:v>66.60511405944824</x:v>
      </x:c>
      <x:c r="AV130" s="60" t="n">
        <x:v>66.81943359375</x:v>
      </x:c>
      <x:c r="AW130" s="60" t="n">
        <x:v>67.09606506347656</x:v>
      </x:c>
      <x:c r="AX130" s="60" t="n">
        <x:v>67.33306884765625</x:v>
      </x:c>
      <x:c r="AY130" s="60" t="n">
        <x:v>67.57321472167969</x:v>
      </x:c>
      <x:c r="AZ130" s="60" t="n">
        <x:v>67.77102951049805</x:v>
      </x:c>
      <x:c r="BA130" s="60" t="n">
        <x:v>67.98356590270996</x:v>
      </x:c>
      <x:c r="BB130" s="60" t="n">
        <x:v>68.20053802490234</x:v>
      </x:c>
      <x:c r="BC130" s="60" t="n">
        <x:v>68.4051252746582</x:v>
      </x:c>
      <x:c r="BD130" s="60" t="n">
        <x:v>68.6269416809082</x:v>
      </x:c>
      <x:c r="BE130" s="60" t="n">
        <x:v>68.8353694152832</x:v>
      </x:c>
      <x:c r="BF130" s="60" t="n">
        <x:v>69.05035858154297</x:v>
      </x:c>
      <x:c r="BG130" s="60" t="n">
        <x:v>69.23471046447754</x:v>
      </x:c>
      <x:c r="BH130" s="60" t="n">
        <x:v>69.46850082397461</x:v>
      </x:c>
      <x:c r="BI130" s="60" t="n">
        <x:v>69.68800621032715</x:v>
      </x:c>
      <x:c r="BJ130" s="60" t="n">
        <x:v>69.90212493896485</x:v>
      </x:c>
      <x:c r="BK130" s="60" t="n">
        <x:v>70.0638427734375</x:v>
      </x:c>
      <x:c r="BL130" s="60" t="n">
        <x:v>70.25880447387695</x:v>
      </x:c>
      <x:c r="BM130" s="60" t="n">
        <x:v>70.48906158447265</x:v>
      </x:c>
      <x:c r="BN130" s="60" t="n">
        <x:v>70.68633270263672</x:v>
      </x:c>
      <x:c r="BO130" s="60" t="n">
        <x:v>70.88404991149902</x:v>
      </x:c>
      <x:c r="BP130" s="60" t="n">
        <x:v>71.07650863647461</x:v>
      </x:c>
      <x:c r="BQ130" s="60" t="n">
        <x:v>71.25996589660645</x:v>
      </x:c>
      <x:c r="BR130" s="60" t="n">
        <x:v>71.45986694335937</x:v>
      </x:c>
      <x:c r="BS130" s="60" t="n">
        <x:v>71.64449615478516</x:v>
      </x:c>
      <x:c r="BT130" s="60" t="n">
        <x:v>71.85521514892578</x:v>
      </x:c>
      <x:c r="BU130" s="60" t="n">
        <x:v>72.05395935058594</x:v>
      </x:c>
      <x:c r="BV130" s="60" t="n">
        <x:v>72.22429870605468</x:v>
      </x:c>
      <x:c r="BW130" s="60" t="n">
        <x:v>72.41070205688477</x:v>
      </x:c>
      <x:c r="BX130" s="60" t="n">
        <x:v>72.58619613647461</x:v>
      </x:c>
      <x:c r="BY130" s="60" t="n">
        <x:v>72.77453483581543</x:v>
      </x:c>
      <x:c r="BZ130" s="60" t="n">
        <x:v>72.94378021240234</x:v>
      </x:c>
      <x:c r="CA130" s="60" t="n">
        <x:v>73.11992881774903</x:v>
      </x:c>
      <x:c r="CB130" s="60" t="n">
        <x:v>73.30408004760743</x:v>
      </x:c>
      <x:c r="CC130" s="60" t="n">
        <x:v>73.4834041595459</x:v>
      </x:c>
      <x:c r="CD130" s="60" t="n">
        <x:v>73.6735302734375</x:v>
      </x:c>
      <x:c r="CE130" s="60" t="n">
        <x:v>73.86610702514649</x:v>
      </x:c>
      <x:c r="CF130" s="60" t="n">
        <x:v>74.05997924804687</x:v>
      </x:c>
      <x:c r="CG130" s="60" t="n">
        <x:v>74.27260276794433</x:v>
      </x:c>
      <x:c r="CH130" s="60" t="n">
        <x:v>74.46876220703125</x:v>
      </x:c>
      <x:c r="CI130" s="60" t="n">
        <x:v>74.68717796325683</x:v>
      </x:c>
      <x:c r="CJ130" s="60" t="n">
        <x:v>74.88699096679687</x:v>
      </x:c>
      <x:c r="CK130" s="60" t="n">
        <x:v>75.07883331298828</x:v>
      </x:c>
      <x:c r="CL130" s="60" t="n">
        <x:v>75.30026916503907</x:v>
      </x:c>
      <x:c r="CM130" s="60" t="n">
        <x:v>75.51108589172362</x:v>
      </x:c>
      <x:c r="CN130" s="60" t="n">
        <x:v>75.71037109375</x:v>
      </x:c>
      <x:c r="CO130" s="60" t="n">
        <x:v>75.92698677062988</x:v>
      </x:c>
      <x:c r="CP130" s="60" t="n">
        <x:v>76.14059020996093</x:v>
      </x:c>
      <x:c r="CQ130" s="60" t="n">
        <x:v>76.36462364196777</x:v>
      </x:c>
      <x:c r="CR130" s="60" t="n">
        <x:v>76.60393981933593</x:v>
      </x:c>
      <x:c r="CS130" s="60" t="n">
        <x:v>76.84636589050292</x:v>
      </x:c>
      <x:c r="CT130" s="60" t="n">
        <x:v>77.15195556640626</x:v>
      </x:c>
      <x:c r="CU130" s="60" t="n">
        <x:v>77.4496949005127</x:v>
      </x:c>
      <x:c r="CV130" s="60" t="n">
        <x:v>77.74462799072266</x:v>
      </x:c>
      <x:c r="CW130" s="60" t="n">
        <x:v>78.04863929748535</x:v>
      </x:c>
      <x:c r="CX130" s="60" t="n">
        <x:v>78.45967102050781</x:v>
      </x:c>
      <x:c r="CY130" s="60" t="n">
        <x:v>78.88993537902832</x:v>
      </x:c>
      <x:c r="CZ130" s="60" t="n">
        <x:v>79.42259460449219</x:v>
      </x:c>
      <x:c r="DA130" s="60" t="n">
        <x:v>80.16003364562988</x:v>
      </x:c>
      <x:c r="DB130" s="60" t="n">
        <x:v>83.82321166992188</x:v>
      </x:c>
    </x:row>
    <x:row r="131">
      <x:c r="A131" t="str">
        <x:v>ワタシラガ-1</x:v>
      </x:c>
      <x:c r="B131" t="str">
        <x:v>ワタシラガ</x:v>
      </x:c>
      <x:c r="C131" t="str">
        <x:v>共通</x:v>
      </x:c>
      <x:c r="D131" s="60" t="n">
        <x:v>66.92386627197266</x:v>
      </x:c>
      <x:c r="E131" s="60" t="n">
        <x:v>8.848078727722168</x:v>
      </x:c>
      <x:c r="F131" s="60" t="n">
        <x:v>33.7866325378418</x:v>
      </x:c>
      <x:c r="G131" s="60" t="n">
        <x:v>43.055526428222656</x:v>
      </x:c>
      <x:c r="H131" s="60" t="n">
        <x:v>46.0567896270752</x:v>
      </x:c>
      <x:c r="I131" s="60" t="n">
        <x:v>47.677979698181154</x:v>
      </x:c>
      <x:c r="J131" s="60" t="n">
        <x:v>49.088573150634765</x:v>
      </x:c>
      <x:c r="K131" s="60" t="n">
        <x:v>50.2887845993042</x:v>
      </x:c>
      <x:c r="L131" s="60" t="n">
        <x:v>51.338149337768556</x:v>
      </x:c>
      <x:c r="M131" s="60" t="n">
        <x:v>52.141408920288086</x:v>
      </x:c>
      <x:c r="N131" s="60" t="n">
        <x:v>52.951209716796875</x:v>
      </x:c>
      <x:c r="O131" s="60" t="n">
        <x:v>53.773624877929684</x:v>
      </x:c>
      <x:c r="P131" s="60" t="n">
        <x:v>54.43008193969727</x:v>
      </x:c>
      <x:c r="Q131" s="60" t="n">
        <x:v>55.07901298522949</x:v>
      </x:c>
      <x:c r="R131" s="60" t="n">
        <x:v>55.66325805664062</x:v>
      </x:c>
      <x:c r="S131" s="60" t="n">
        <x:v>56.186136894226074</x:v>
      </x:c>
      <x:c r="T131" s="60" t="n">
        <x:v>56.74524505615234</x:v>
      </x:c>
      <x:c r="U131" s="60" t="n">
        <x:v>57.25167999267578</x:v>
      </x:c>
      <x:c r="V131" s="60" t="n">
        <x:v>57.71292236328125</x:v>
      </x:c>
      <x:c r="W131" s="60" t="n">
        <x:v>58.17184143066406</x:v>
      </x:c>
      <x:c r="X131" s="60" t="n">
        <x:v>58.61518508911133</x:v>
      </x:c>
      <x:c r="Y131" s="60" t="n">
        <x:v>59.02454399108887</x:v>
      </x:c>
      <x:c r="Z131" s="60" t="n">
        <x:v>59.43518142700195</x:v>
      </x:c>
      <x:c r="AA131" s="60" t="n">
        <x:v>59.83696521759033</x:v>
      </x:c>
      <x:c r="AB131" s="60" t="n">
        <x:v>60.24817733764648</x:v>
      </x:c>
      <x:c r="AC131" s="60" t="n">
        <x:v>60.60192718505859</x:v>
      </x:c>
      <x:c r="AD131" s="60" t="n">
        <x:v>60.93685791015625</x:v>
      </x:c>
      <x:c r="AE131" s="60" t="n">
        <x:v>61.27138137817383</x:v>
      </x:c>
      <x:c r="AF131" s="60" t="n">
        <x:v>61.6045369720459</x:v>
      </x:c>
      <x:c r="AG131" s="60" t="n">
        <x:v>61.981942596435545</x:v>
      </x:c>
      <x:c r="AH131" s="60" t="n">
        <x:v>62.3341552734375</x:v>
      </x:c>
      <x:c r="AI131" s="60" t="n">
        <x:v>62.646886329650876</x:v>
      </x:c>
      <x:c r="AJ131" s="60" t="n">
        <x:v>62.9681812286377</x:v>
      </x:c>
      <x:c r="AK131" s="60" t="n">
        <x:v>63.24998977661133</x:v>
      </x:c>
      <x:c r="AL131" s="60" t="n">
        <x:v>63.5492138671875</x:v>
      </x:c>
      <x:c r="AM131" s="60" t="n">
        <x:v>63.80943218231201</x:v>
      </x:c>
      <x:c r="AN131" s="60" t="n">
        <x:v>64.08630081176757</x:v>
      </x:c>
      <x:c r="AO131" s="60" t="n">
        <x:v>64.3567008972168</x:v>
      </x:c>
      <x:c r="AP131" s="60" t="n">
        <x:v>64.64099090576171</x:v>
      </x:c>
      <x:c r="AQ131" s="60" t="n">
        <x:v>64.86617919921875</x:v>
      </x:c>
      <x:c r="AR131" s="60" t="n">
        <x:v>65.14675704956055</x:v>
      </x:c>
      <x:c r="AS131" s="60" t="n">
        <x:v>65.45850120544434</x:v>
      </x:c>
      <x:c r="AT131" s="60" t="n">
        <x:v>65.75656127929688</x:v>
      </x:c>
      <x:c r="AU131" s="60" t="n">
        <x:v>66.01903800964355</x:v>
      </x:c>
      <x:c r="AV131" s="60" t="n">
        <x:v>66.28182723999024</x:v>
      </x:c>
      <x:c r="AW131" s="60" t="n">
        <x:v>66.555571975708</x:v>
      </x:c>
      <x:c r="AX131" s="60" t="n">
        <x:v>66.8041259765625</x:v>
      </x:c>
      <x:c r="AY131" s="60" t="n">
        <x:v>67.04038009643556</x:v>
      </x:c>
      <x:c r="AZ131" s="60" t="n">
        <x:v>67.27708572387695</x:v>
      </x:c>
      <x:c r="BA131" s="60" t="n">
        <x:v>67.5167593383789</x:v>
      </x:c>
      <x:c r="BB131" s="60" t="n">
        <x:v>67.76384063720702</x:v>
      </x:c>
      <x:c r="BC131" s="60" t="n">
        <x:v>68.0101220703125</x:v>
      </x:c>
      <x:c r="BD131" s="60" t="n">
        <x:v>68.23741149902344</x:v>
      </x:c>
      <x:c r="BE131" s="60" t="n">
        <x:v>68.5011531829834</x:v>
      </x:c>
      <x:c r="BF131" s="60" t="n">
        <x:v>68.75233825683594</x:v>
      </x:c>
      <x:c r="BG131" s="60" t="n">
        <x:v>68.94923530578613</x:v>
      </x:c>
      <x:c r="BH131" s="60" t="n">
        <x:v>69.16581985473633</x:v>
      </x:c>
      <x:c r="BI131" s="60" t="n">
        <x:v>69.38967018127441</x:v>
      </x:c>
      <x:c r="BJ131" s="60" t="n">
        <x:v>69.61200744628907</x:v>
      </x:c>
      <x:c r="BK131" s="60" t="n">
        <x:v>69.82187881469727</x:v>
      </x:c>
      <x:c r="BL131" s="60" t="n">
        <x:v>70.06125900268555</x:v>
      </x:c>
      <x:c r="BM131" s="60" t="n">
        <x:v>70.28608116149903</x:v>
      </x:c>
      <x:c r="BN131" s="60" t="n">
        <x:v>70.51691284179688</x:v>
      </x:c>
      <x:c r="BO131" s="60" t="n">
        <x:v>70.75190139770508</x:v>
      </x:c>
      <x:c r="BP131" s="60" t="n">
        <x:v>70.93448623657227</x:v>
      </x:c>
      <x:c r="BQ131" s="60" t="n">
        <x:v>71.15867790222168</x:v>
      </x:c>
      <x:c r="BR131" s="60" t="n">
        <x:v>71.37451477050782</x:v>
      </x:c>
      <x:c r="BS131" s="60" t="n">
        <x:v>71.59830131530762</x:v>
      </x:c>
      <x:c r="BT131" s="60" t="n">
        <x:v>71.7988916015625</x:v>
      </x:c>
      <x:c r="BU131" s="60" t="n">
        <x:v>72.00361709594726</x:v>
      </x:c>
      <x:c r="BV131" s="60" t="n">
        <x:v>72.2134780883789</x:v>
      </x:c>
      <x:c r="BW131" s="60" t="n">
        <x:v>72.46267875671387</x:v>
      </x:c>
      <x:c r="BX131" s="60" t="n">
        <x:v>72.68746795654297</x:v>
      </x:c>
      <x:c r="BY131" s="60" t="n">
        <x:v>72.89738250732422</x:v>
      </x:c>
      <x:c r="BZ131" s="60" t="n">
        <x:v>73.11893859863281</x:v>
      </x:c>
      <x:c r="CA131" s="60" t="n">
        <x:v>73.34200302124023</x:v>
      </x:c>
      <x:c r="CB131" s="60" t="n">
        <x:v>73.57485580444336</x:v>
      </x:c>
      <x:c r="CC131" s="60" t="n">
        <x:v>73.7787094116211</x:v>
      </x:c>
      <x:c r="CD131" s="60" t="n">
        <x:v>73.9874200439453</x:v>
      </x:c>
      <x:c r="CE131" s="60" t="n">
        <x:v>74.23087600708007</x:v>
      </x:c>
      <x:c r="CF131" s="60" t="n">
        <x:v>74.42943161010743</x:v>
      </x:c>
      <x:c r="CG131" s="60" t="n">
        <x:v>74.640306930542</x:v>
      </x:c>
      <x:c r="CH131" s="60" t="n">
        <x:v>74.87045440673828</x:v>
      </x:c>
      <x:c r="CI131" s="60" t="n">
        <x:v>75.11787666320801</x:v>
      </x:c>
      <x:c r="CJ131" s="60" t="n">
        <x:v>75.31638076782227</x:v>
      </x:c>
      <x:c r="CK131" s="60" t="n">
        <x:v>75.5504052734375</x:v>
      </x:c>
      <x:c r="CL131" s="60" t="n">
        <x:v>75.7963787841797</x:v>
      </x:c>
      <x:c r="CM131" s="60" t="n">
        <x:v>76.05156898498535</x:v>
      </x:c>
      <x:c r="CN131" s="60" t="n">
        <x:v>76.26213104248046</x:v>
      </x:c>
      <x:c r="CO131" s="60" t="n">
        <x:v>76.5232007598877</x:v>
      </x:c>
      <x:c r="CP131" s="60" t="n">
        <x:v>76.77621673583984</x:v>
      </x:c>
      <x:c r="CQ131" s="60" t="n">
        <x:v>77.05360542297363</x:v>
      </x:c>
      <x:c r="CR131" s="60" t="n">
        <x:v>77.33546752929688</x:v>
      </x:c>
      <x:c r="CS131" s="60" t="n">
        <x:v>77.66221305847168</x:v>
      </x:c>
      <x:c r="CT131" s="60" t="n">
        <x:v>77.97832916259766</x:v>
      </x:c>
      <x:c r="CU131" s="60" t="n">
        <x:v>78.28507972717286</x:v>
      </x:c>
      <x:c r="CV131" s="60" t="n">
        <x:v>78.61526748657226</x:v>
      </x:c>
      <x:c r="CW131" s="60" t="n">
        <x:v>79.02328910827637</x:v>
      </x:c>
      <x:c r="CX131" s="60" t="n">
        <x:v>79.46143920898437</x:v>
      </x:c>
      <x:c r="CY131" s="60" t="n">
        <x:v>79.97940101623534</x:v>
      </x:c>
      <x:c r="CZ131" s="60" t="n">
        <x:v>80.53923233032226</x:v>
      </x:c>
      <x:c r="DA131" s="60" t="n">
        <x:v>81.5244831085205</x:v>
      </x:c>
      <x:c r="DB131" s="60" t="n">
        <x:v>85.76371002197266</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20" hidden="0" customWidth="1"/>
    <x:col min="2" max="2" width="18" hidden="0" customWidth="1"/>
    <x:col min="3" max="3" width="16" hidden="0" customWidth="1"/>
    <x:col min="4" max="4" width="18" hidden="0" customWidth="1"/>
    <x:col min="5" max="5" width="20" hidden="0" customWidth="1"/>
    <x:col min="6" max="6" width="18" hidden="0" customWidth="1"/>
    <x:col min="7" max="7" width="18" hidden="0" customWidth="1"/>
    <x:col min="8" max="8" width="16" hidden="0" customWidth="1"/>
    <x:col min="9" max="9" width="14" hidden="0" customWidth="1"/>
    <x:col min="10" max="10" width="18" hidden="0" customWidth="1"/>
    <x:col min="11" max="11" width="12" hidden="0" customWidth="1"/>
    <x:col min="13" max="13" width="30" hidden="0" customWidth="1"/>
    <x:col min="14" max="14" width="76" hidden="0" customWidth="1"/>
  </x:cols>
  <x:sheetData>
    <x:row r="1">
      <x:c r="A1" s="215" t="str">
        <x:v>個性補正後：同アーキタイプ内の識別力監査</x:v>
      </x:c>
      <x:c r="B1" s="215"/>
      <x:c r="C1" s="215"/>
      <x:c r="D1" s="215"/>
      <x:c r="E1" s="215"/>
      <x:c r="F1" s="215"/>
      <x:c r="G1" s="215"/>
      <x:c r="H1" s="215"/>
      <x:c r="I1" s="215"/>
      <x:c r="J1" s="215"/>
      <x:c r="K1" s="218"/>
      <x:c r="L1" s="218"/>
      <x:c r="M1" s="218"/>
      <x:c r="N1" s="218"/>
    </x:row>
    <x:row r="2">
      <x:c r="A2" s="215"/>
      <x:c r="B2" s="215"/>
      <x:c r="C2" s="215"/>
      <x:c r="D2" s="215"/>
      <x:c r="E2" s="215"/>
      <x:c r="F2" s="215"/>
      <x:c r="G2" s="215"/>
      <x:c r="H2" s="215"/>
      <x:c r="I2" s="215"/>
      <x:c r="J2" s="215"/>
      <x:c r="K2" s="218"/>
      <x:c r="L2" s="218"/>
      <x:c r="M2" s="218"/>
      <x:c r="N2" s="218"/>
    </x:row>
    <x:row r="3">
      <x:c r="A3" s="216" t="str">
        <x:v>アーキタイプの共通性は残しつつ、各ポケモン固有の強み・弱みを2〜5軸で補正。 距離を広げること自体ではなく、Wikiで説明できる差だけを数値化しています。</x:v>
      </x:c>
      <x:c r="B3" s="216"/>
      <x:c r="C3" s="216"/>
      <x:c r="D3" s="216"/>
      <x:c r="E3" s="216"/>
      <x:c r="F3" s="216"/>
      <x:c r="G3" s="216"/>
      <x:c r="H3" s="216"/>
      <x:c r="I3" s="216"/>
      <x:c r="J3" s="216"/>
      <x:c r="K3" s="216"/>
      <x:c r="L3" s="216"/>
      <x:c r="M3" s="216"/>
      <x:c r="N3" s="216"/>
    </x:row>
    <x:row r="4">
      <x:c r="A4" s="216"/>
      <x:c r="B4" s="216"/>
      <x:c r="C4" s="216"/>
      <x:c r="D4" s="216"/>
      <x:c r="E4" s="216"/>
      <x:c r="F4" s="216"/>
      <x:c r="G4" s="216"/>
      <x:c r="H4" s="216"/>
      <x:c r="I4" s="216"/>
      <x:c r="J4" s="216"/>
      <x:c r="K4" s="216"/>
      <x:c r="L4" s="216"/>
      <x:c r="M4" s="216"/>
      <x:c r="N4" s="216"/>
    </x:row>
    <x:row r="6">
      <x:c r="A6" s="213" t="str">
        <x:v>監査KPI</x:v>
      </x:c>
      <x:c r="B6" s="213" t="str">
        <x:v>旧版</x:v>
      </x:c>
      <x:c r="C6" s="213" t="str">
        <x:v>新版</x:v>
      </x:c>
      <x:c r="D6" s="210" t="str">
        <x:v>評価</x:v>
      </x:c>
      <x:c r="E6" s="203" t="str">
        <x:v>Pokemon A</x:v>
      </x:c>
      <x:c r="F6" s="213" t="str">
        <x:v>Archetype</x:v>
      </x:c>
      <x:c r="G6" s="213" t="str">
        <x:v>Profile数</x:v>
      </x:c>
      <x:c r="H6" s="213" t="str">
        <x:v>最小距離</x:v>
      </x:c>
      <x:c r="I6" s="213" t="str">
        <x:v>中央値</x:v>
      </x:c>
      <x:c r="J6" s="213" t="str">
        <x:v>平均距離</x:v>
      </x:c>
      <x:c r="K6" s="210" t="str">
        <x:v>距離&lt;3</x:v>
      </x:c>
      <x:c r="L6" s="210" t="str">
        <x:v>距離&lt;5</x:v>
      </x:c>
      <x:c r="M6" s="203" t="str">
        <x:v>改善案</x:v>
      </x:c>
      <x:c r="N6" s="203" t="str">
        <x:v>理由</x:v>
      </x:c>
    </x:row>
    <x:row r="7">
      <x:c r="A7" s="12" t="str">
        <x:v>最寄り別ポケモン距離 中央値</x:v>
      </x:c>
      <x:c r="B7" s="57" t="n">
        <x:v>2.71</x:v>
      </x:c>
      <x:c r="C7" s="12" t="n">
        <x:v>7.143110683918643</x:v>
      </x:c>
      <x:c r="D7" s="12" t="str">
        <x:v>目標5〜7を達成</x:v>
      </x:c>
      <x:c r="E7" t="str">
        <x:v>グレンアルマ</x:v>
      </x:c>
      <x:c r="F7" t="str">
        <x:v>Artillery</x:v>
      </x:c>
      <x:c r="G7" t="n">
        <x:v>5</x:v>
      </x:c>
      <x:c r="H7" s="60" t="n">
        <x:v>7.5804146698689365</x:v>
      </x:c>
      <x:c r="I7" s="60" t="n">
        <x:v>9.578304798428917</x:v>
      </x:c>
      <x:c r="J7" s="60" t="n">
        <x:v>9.340982150910223</x:v>
      </x:c>
      <x:c r="K7" t="n">
        <x:v>0</x:v>
      </x:c>
      <x:c r="L7" t="n">
        <x:v>0</x:v>
      </x:c>
      <x:c r="M7" s="12" t="str">
        <x:v>1. 同アーキタイプ内の固有差を広げる</x:v>
      </x:c>
      <x:c r="N7" s="12" t="str">
        <x:v>今は同アーキタイプの中央値6.2、最寄り別ポケモン中央値2.7。アーキタイプ判定は強いが個体識別が弱い。</x:v>
      </x:c>
    </x:row>
    <x:row r="8">
      <x:c r="A8" s="12" t="str">
        <x:v>距離&lt;3 のプロファイル率</x:v>
      </x:c>
      <x:c r="B8" s="205" t="n">
        <x:v>0.554</x:v>
      </x:c>
      <x:c r="C8" s="205" t="n">
        <x:v>0</x:v>
      </x:c>
      <x:c r="D8" s="12" t="str">
        <x:v>ほぼ同一を解消</x:v>
      </x:c>
      <x:c r="E8" t="str">
        <x:v>サーナイト</x:v>
      </x:c>
      <x:c r="F8" t="str">
        <x:v>Assassin</x:v>
      </x:c>
      <x:c r="G8" t="n">
        <x:v>14</x:v>
      </x:c>
      <x:c r="H8" s="60" t="n">
        <x:v>3.4554737023254405</x:v>
      </x:c>
      <x:c r="I8" s="60" t="n">
        <x:v>12.8423274033303</x:v>
      </x:c>
      <x:c r="J8" s="60" t="n">
        <x:v>13.212558541544425</x:v>
      </x:c>
      <x:c r="K8" t="n">
        <x:v>0</x:v>
      </x:c>
      <x:c r="L8" t="n">
        <x:v>4</x:v>
      </x:c>
      <x:c r="M8" s="12" t="str">
        <x:v>2. 完全一致3ペアを最優先で修正</x:v>
      </x:c>
      <x:c r="N8" s="12" t="str">
        <x:v>現行15軸では回答をどう変えても区別できず、RankBiasだけで順位が決まる。</x:v>
      </x:c>
    </x:row>
    <x:row r="9">
      <x:c r="A9" s="12" t="str">
        <x:v>距離&lt;5 のプロファイル率</x:v>
      </x:c>
      <x:c r="B9" s="205" t="n">
        <x:v>0.8</x:v>
      </x:c>
      <x:c r="C9" s="205" t="n">
        <x:v>0.12307692307692308</x:v>
      </x:c>
      <x:c r="D9" s="12" t="str">
        <x:v>近すぎる組を大幅削減</x:v>
      </x:c>
      <x:c r="E9" t="str">
        <x:v>エンペルト</x:v>
      </x:c>
      <x:c r="F9" t="str">
        <x:v>BattleMage</x:v>
      </x:c>
      <x:c r="G9" t="n">
        <x:v>7</x:v>
      </x:c>
      <x:c r="H9" s="60" t="n">
        <x:v>4.243080407355437</x:v>
      </x:c>
      <x:c r="I9" s="60" t="n">
        <x:v>12.758520711519367</x:v>
      </x:c>
      <x:c r="J9" s="60" t="n">
        <x:v>12.300925082707423</x:v>
      </x:c>
      <x:c r="K9" t="n">
        <x:v>0</x:v>
      </x:c>
      <x:c r="L9" t="n">
        <x:v>1</x:v>
      </x:c>
      <x:c r="M9" s="12" t="str">
        <x:v>3. 近いペアは2〜3軸を±10〜15動かす</x:v>
      </x:c>
      <x:c r="N9" s="12" t="str">
        <x:v>軸を増やす前に、既存15軸のポケモン固有値を強める方が効果的。</x:v>
      </x:c>
    </x:row>
    <x:row r="10">
      <x:c r="A10" s="12" t="str">
        <x:v>同アーキタイプ内 距離中央値</x:v>
      </x:c>
      <x:c r="B10" s="57" t="n">
        <x:v>6.24</x:v>
      </x:c>
      <x:c r="C10" s="12" t="n">
        <x:v>13.550967802394185</x:v>
      </x:c>
      <x:c r="D10" s="12" t="str">
        <x:v>同系統内の個体差を強化</x:v>
      </x:c>
      <x:c r="F10" t="str">
        <x:v>BurstMage</x:v>
      </x:c>
      <x:c r="G10" t="n">
        <x:v>12</x:v>
      </x:c>
      <x:c r="H10" s="60" t="n">
        <x:v>5.11071452783998</x:v>
      </x:c>
      <x:c r="I10" s="60" t="n">
        <x:v>11.382902783494565</x:v>
      </x:c>
      <x:c r="J10" s="60" t="n">
        <x:v>11.501266473482515</x:v>
      </x:c>
      <x:c r="K10" t="n">
        <x:v>0</x:v>
      </x:c>
      <x:c r="L10" t="n">
        <x:v>0</x:v>
      </x:c>
      <x:c r="M10" s="12" t="str">
        <x:v>4. archetype baseを弱める</x:v>
      </x:c>
      <x:c r="N10" s="12" t="str">
        <x:v>同じアーキタイプがRankScore相関0.99で一緒に上下している。個別modifierを今より強くする。</x:v>
      </x:c>
    </x:row>
    <x:row r="11">
      <x:c r="A11" s="12" t="str">
        <x:v>完全一致ペア</x:v>
      </x:c>
      <x:c r="B11" s="57" t="n">
        <x:v>3</x:v>
      </x:c>
      <x:c r="C11" s="12" t="n">
        <x:v>0</x:v>
      </x:c>
      <x:c r="D11" s="12" t="str">
        <x:v>解消</x:v>
      </x:c>
      <x:c r="F11" t="str">
        <x:v>Catcher</x:v>
      </x:c>
      <x:c r="G11" t="n">
        <x:v>4</x:v>
      </x:c>
      <x:c r="H11" s="60" t="n">
        <x:v>6.55060667123237</x:v>
      </x:c>
      <x:c r="I11" s="60" t="n">
        <x:v>15.10347400079904</x:v>
      </x:c>
      <x:c r="J11" s="60" t="n">
        <x:v>13.739852578393133</x:v>
      </x:c>
      <x:c r="K11" t="n">
        <x:v>0</x:v>
      </x:c>
      <x:c r="L11" t="n">
        <x:v>0</x:v>
      </x:c>
      <x:c r="M11" s="12" t="str">
        <x:v>5. 目標</x:v>
      </x:c>
      <x:c r="N11" s="12" t="str">
        <x:v>最寄り別ポケモン距離の中央値5〜7、完全一致0、Top5アーキタイプ中央値3程度を目安に再調整。</x:v>
      </x:c>
    </x:row>
    <x:row r="12">
      <x:c r="A12" s="12" t="str">
        <x:v>Top1/Top2 同アーキタイプ率</x:v>
      </x:c>
      <x:c r="B12" s="205" t="n">
        <x:v>0.698</x:v>
      </x:c>
      <x:c r="C12" s="205" t="n">
        <x:v>0.49857142857142855</x:v>
      </x:c>
      <x:c r="D12" s="12" t="str">
        <x:v>候補の固まりを緩和</x:v>
      </x:c>
      <x:c r="E12" s="203" t="str">
        <x:v>Archetype</x:v>
      </x:c>
      <x:c r="F12" s="203" t="str">
        <x:v>Diver</x:v>
      </x:c>
      <x:c r="G12" s="203" t="n">
        <x:v>23</x:v>
      </x:c>
      <x:c r="H12" s="221" t="n">
        <x:v>3.7655151676247356</x:v>
      </x:c>
      <x:c r="I12" s="221" t="n">
        <x:v>12.232206083599221</x:v>
      </x:c>
      <x:c r="J12" s="221" t="n">
        <x:v>13.264651782034893</x:v>
      </x:c>
      <x:c r="K12" s="203" t="n">
        <x:v>0</x:v>
      </x:c>
      <x:c r="L12" t="n">
        <x:v>3</x:v>
      </x:c>
      <x:c r="M12" s="12" t="str">
        <x:v>注意</x:v>
      </x:c>
      <x:c r="N12" s="12" t="str">
        <x:v>この監査は『ゲームプレイ特徴の識別力』の監査で、心理尺度の妥当性とは別です。</x:v>
      </x:c>
    </x:row>
    <x:row r="13">
      <x:c r="A13" s="12" t="str">
        <x:v>Top5アーキタイプ数 中央値</x:v>
      </x:c>
      <x:c r="B13" s="57" t="n">
        <x:v>2</x:v>
      </x:c>
      <x:c r="C13" s="12" t="n">
        <x:v>2</x:v>
      </x:c>
      <x:c r="D13" s="12" t="str">
        <x:v>同系統候補は残る</x:v>
      </x:c>
      <x:c r="E13" t="str">
        <x:v>Artillery</x:v>
      </x:c>
      <x:c r="F13" t="str">
        <x:v>Enchanter</x:v>
      </x:c>
      <x:c r="G13" s="60" t="n">
        <x:v>11</x:v>
      </x:c>
      <x:c r="H13" s="60" t="n">
        <x:v>3.8633370464312793</x:v>
      </x:c>
      <x:c r="I13" s="60" t="n">
        <x:v>19.29735887891119</x:v>
      </x:c>
      <x:c r="J13" s="60" t="n">
        <x:v>18.948491234944267</x:v>
      </x:c>
      <x:c r="K13" t="n">
        <x:v>0</x:v>
      </x:c>
      <x:c r="L13" t="n">
        <x:v>1</x:v>
      </x:c>
    </x:row>
    <x:row r="14">
      <x:c r="A14" s="12" t="str">
        <x:v>Top1とTop2が同アーキタイプ</x:v>
      </x:c>
      <x:c r="B14" s="205" t="n">
        <x:v>0.6984444444444444</x:v>
      </x:c>
      <x:c r="C14" s="12" t="str">
        <x:v>サイト表示の候補が固まりやすい</x:v>
      </x:c>
      <x:c r="E14" t="str">
        <x:v>BurstMage</x:v>
      </x:c>
      <x:c r="F14" t="str">
        <x:v>Juggernaut</x:v>
      </x:c>
      <x:c r="G14" s="60" t="n">
        <x:v>18</x:v>
      </x:c>
      <x:c r="H14" s="60" t="n">
        <x:v>3.054236108907631</x:v>
      </x:c>
      <x:c r="I14" s="60" t="n">
        <x:v>16.3736683405208</x:v>
      </x:c>
      <x:c r="J14" s="60" t="n">
        <x:v>17.707955315718312</x:v>
      </x:c>
      <x:c r="K14" t="n">
        <x:v>0</x:v>
      </x:c>
      <x:c r="L14" t="n">
        <x:v>1</x:v>
      </x:c>
    </x:row>
    <x:row r="15">
      <x:c r="A15" s="12" t="str">
        <x:v>Top5のアーキタイプ数 中央値</x:v>
      </x:c>
      <x:c r="B15" s="57" t="n">
        <x:v>2</x:v>
      </x:c>
      <x:c r="C15" s="12" t="str">
        <x:v>5候補中の多様性</x:v>
      </x:c>
      <x:c r="E15" t="str">
        <x:v>Skirmisher</x:v>
      </x:c>
      <x:c r="F15" t="str">
        <x:v>Marksman</x:v>
      </x:c>
      <x:c r="G15" s="60" t="n">
        <x:v>10</x:v>
      </x:c>
      <x:c r="H15" s="60" t="n">
        <x:v>3.5355339059327378</x:v>
      </x:c>
      <x:c r="I15" s="60" t="n">
        <x:v>16.549338265167144</x:v>
      </x:c>
      <x:c r="J15" s="60" t="n">
        <x:v>16.936337745087847</x:v>
      </x:c>
      <x:c r="K15" t="n">
        <x:v>0</x:v>
      </x:c>
      <x:c r="L15" t="n">
        <x:v>1</x:v>
      </x:c>
    </x:row>
    <x:row r="16">
      <x:c r="A16" s="12" t="str">
        <x:v>1位 vs 同アーキタイプ次点 RankScore差 中央値</x:v>
      </x:c>
      <x:c r="B16" s="57" t="n">
        <x:v>0.7405359613067901</x:v>
      </x:c>
      <x:c r="C16" s="12" t="str">
        <x:v>かなり僅差</x:v>
      </x:c>
      <x:c r="E16" t="str">
        <x:v>Assassin</x:v>
      </x:c>
      <x:c r="F16" t="str">
        <x:v>Skirmisher</x:v>
      </x:c>
      <x:c r="G16" s="60" t="n">
        <x:v>12</x:v>
      </x:c>
      <x:c r="H16" s="60" t="n">
        <x:v>5.272428990767592</x:v>
      </x:c>
      <x:c r="I16" s="60" t="n">
        <x:v>11.966199007509022</x:v>
      </x:c>
      <x:c r="J16" s="60" t="n">
        <x:v>12.716872998536648</x:v>
      </x:c>
      <x:c r="K16" t="n">
        <x:v>0</x:v>
      </x:c>
      <x:c r="L16" t="n">
        <x:v>0</x:v>
      </x:c>
    </x:row>
    <x:row r="17">
      <x:c r="A17" s="12" t="str">
        <x:v>同アーキタイプ RankScore相関 中央値</x:v>
      </x:c>
      <x:c r="B17" s="57" t="n">
        <x:v>0.9940202668913416</x:v>
      </x:c>
      <x:c r="C17" s="12" t="str">
        <x:v>1に近いほど一緒に上下する</x:v>
      </x:c>
      <x:c r="E17" t="str">
        <x:v>BattleMage</x:v>
      </x:c>
      <x:c r="F17" t="str">
        <x:v>Specialist</x:v>
      </x:c>
      <x:c r="G17" s="60" t="n">
        <x:v>3</x:v>
      </x:c>
      <x:c r="H17" s="60" t="n">
        <x:v>34.80489329124463</x:v>
      </x:c>
      <x:c r="I17" s="60" t="n">
        <x:v>40.20586019512393</x:v>
      </x:c>
      <x:c r="J17" s="60" t="n">
        <x:v>39.55356412193717</x:v>
      </x:c>
      <x:c r="K17" t="n">
        <x:v>0</x:v>
      </x:c>
      <x:c r="L17" t="n">
        <x:v>0</x:v>
      </x:c>
    </x:row>
    <x:row r="18">
      <x:c r="A18" s="12" t="str">
        <x:v>別アーキタイプ RankScore相関 中央値</x:v>
      </x:c>
      <x:c r="B18" s="57" t="n">
        <x:v>0.2198560405911064</x:v>
      </x:c>
      <x:c r="C18" s="12" t="str"/>
      <x:c r="E18" t="str">
        <x:v>Diver</x:v>
      </x:c>
      <x:c r="F18" t="str">
        <x:v>Vanguard</x:v>
      </x:c>
      <x:c r="G18" s="60" t="n">
        <x:v>6</x:v>
      </x:c>
      <x:c r="H18" s="60" t="n">
        <x:v>6.077853116640998</x:v>
      </x:c>
      <x:c r="I18" s="60" t="n">
        <x:v>16.698042605816756</x:v>
      </x:c>
      <x:c r="J18" s="60" t="n">
        <x:v>21.6474947599723</x:v>
      </x:c>
      <x:c r="K18" t="n">
        <x:v>0</x:v>
      </x:c>
      <x:c r="L18" t="n">
        <x:v>0</x:v>
      </x:c>
    </x:row>
    <x:row r="19">
      <x:c r="E19" t="str">
        <x:v>Catcher</x:v>
      </x:c>
      <x:c r="F19" t="str">
        <x:v>Warden</x:v>
      </x:c>
      <x:c r="G19" s="60" t="n">
        <x:v>5</x:v>
      </x:c>
      <x:c r="H19" s="60" t="n">
        <x:v>6.435674824582206</x:v>
      </x:c>
      <x:c r="I19" s="60" t="n">
        <x:v>15.357737395874114</x:v>
      </x:c>
      <x:c r="J19" s="60" t="n">
        <x:v>15.55042614851466</x:v>
      </x:c>
      <x:c r="K19" t="n">
        <x:v>0</x:v>
      </x:c>
      <x:c r="L19" t="n">
        <x:v>0</x:v>
      </x:c>
    </x:row>
    <x:row r="20">
      <x:c r="E20" t="str">
        <x:v>Marksman</x:v>
      </x:c>
      <x:c r="F20" t="n">
        <x:v>10</x:v>
      </x:c>
      <x:c r="G20" s="60" t="n">
        <x:v>1.8827575838123678</x:v>
      </x:c>
      <x:c r="H20" s="60" t="n">
        <x:v>7.561933338829133</x:v>
      </x:c>
      <x:c r="I20" s="60" t="n">
        <x:v>8.148216094945276</x:v>
      </x:c>
      <x:c r="J20" t="n">
        <x:v>4</x:v>
      </x:c>
      <x:c r="K20" t="n">
        <x:v>11</x:v>
      </x:c>
    </x:row>
    <x:row r="21">
      <x:c r="E21" t="str">
        <x:v>Vanguard</x:v>
      </x:c>
      <x:c r="F21" t="n">
        <x:v>6</x:v>
      </x:c>
      <x:c r="G21" s="60" t="n">
        <x:v>1.9316685232156396</x:v>
      </x:c>
      <x:c r="H21" s="60" t="n">
        <x:v>7.905694150420949</x:v>
      </x:c>
      <x:c r="I21" s="60" t="n">
        <x:v>14.112936836508089</x:v>
      </x:c>
      <x:c r="J21" t="n">
        <x:v>1</x:v>
      </x:c>
      <x:c r="K21" t="n">
        <x:v>4</x:v>
      </x:c>
    </x:row>
    <x:row r="22">
      <x:c r="E22" t="str">
        <x:v>Juggernaut</x:v>
      </x:c>
      <x:c r="F22" t="n">
        <x:v>18</x:v>
      </x:c>
      <x:c r="G22" s="60" t="n">
        <x:v>0</x:v>
      </x:c>
      <x:c r="H22" s="60" t="n">
        <x:v>8.178283949473078</x:v>
      </x:c>
      <x:c r="I22" s="60" t="n">
        <x:v>9.418773714747694</x:v>
      </x:c>
      <x:c r="J22" t="n">
        <x:v>24</x:v>
      </x:c>
      <x:c r="K22" t="n">
        <x:v>39</x:v>
      </x:c>
    </x:row>
    <x:row r="23">
      <x:c r="E23" t="str">
        <x:v>Warden</x:v>
      </x:c>
      <x:c r="F23" t="n">
        <x:v>5</x:v>
      </x:c>
      <x:c r="G23" s="60" t="n">
        <x:v>3.428371529353781</x:v>
      </x:c>
      <x:c r="H23" s="60" t="n">
        <x:v>8.20763190806217</x:v>
      </x:c>
      <x:c r="I23" s="60" t="n">
        <x:v>8.205287098799497</x:v>
      </x:c>
      <x:c r="J23" t="n">
        <x:v>0</x:v>
      </x:c>
      <x:c r="K23" t="n">
        <x:v>2</x:v>
      </x:c>
    </x:row>
    <x:row r="24">
      <x:c r="A24" s="210" t="str">
        <x:v>Pokemon</x:v>
      </x:c>
      <x:c r="B24" s="210" t="str">
        <x:v>Profile</x:v>
      </x:c>
      <x:c r="C24" s="210" t="str">
        <x:v>Role</x:v>
      </x:c>
      <x:c r="D24" s="210" t="str">
        <x:v>PrimaryArchetype</x:v>
      </x:c>
      <x:c r="E24" s="210" t="str">
        <x:v>Nearest Pokémon</x:v>
      </x:c>
      <x:c r="F24" s="210" t="str">
        <x:v>Nearest Profile</x:v>
      </x:c>
      <x:c r="G24" s="223" t="str">
        <x:v>Nearest Archetype</x:v>
      </x:c>
      <x:c r="H24" s="223" t="str">
        <x:v>WeightedDistance</x:v>
      </x:c>
      <x:c r="I24" s="223" t="str">
        <x:v>SameArchetype</x:v>
      </x:c>
      <x:c r="J24" s="210" t="str">
        <x:v>判定</x:v>
      </x:c>
      <x:c r="K24" t="n">
        <x:v>7</x:v>
      </x:c>
    </x:row>
    <x:row r="25">
      <x:c r="A25" t="str">
        <x:v>アローラキュウコン</x:v>
      </x:c>
      <x:c r="B25" t="str">
        <x:v>ふぶき</x:v>
      </x:c>
      <x:c r="C25" t="str">
        <x:v>アタック型</x:v>
      </x:c>
      <x:c r="D25" t="str">
        <x:v>BurstMage</x:v>
      </x:c>
      <x:c r="E25" t="str">
        <x:v>グレンアルマ</x:v>
      </x:c>
      <x:c r="F25" t="str">
        <x:v>アーマーキャノン</x:v>
      </x:c>
      <x:c r="G25" s="60" t="str">
        <x:v>BurstMage</x:v>
      </x:c>
      <x:c r="H25" s="60" t="n">
        <x:v>5.11071452783998</x:v>
      </x:c>
      <x:c r="I25" s="60" t="str">
        <x:v>Yes</x:v>
      </x:c>
      <x:c r="J25" t="str">
        <x:v>やや近い</x:v>
      </x:c>
      <x:c r="K25" t="n">
        <x:v>0</x:v>
      </x:c>
    </x:row>
    <x:row r="26">
      <x:c r="A26" t="str">
        <x:v>アローラキュウコン</x:v>
      </x:c>
      <x:c r="B26" t="str">
        <x:v>オーロラベール</x:v>
      </x:c>
      <x:c r="C26" t="str">
        <x:v>アタック型</x:v>
      </x:c>
      <x:c r="D26" t="str">
        <x:v>Marksman</x:v>
      </x:c>
      <x:c r="E26" t="str">
        <x:v>レシラム</x:v>
      </x:c>
      <x:c r="F26" t="str">
        <x:v>共通</x:v>
      </x:c>
      <x:c r="G26" t="str">
        <x:v>BattleMage</x:v>
      </x:c>
      <x:c r="H26" s="60" t="n">
        <x:v>17.33665773707658</x:v>
      </x:c>
      <x:c r="I26" t="str">
        <x:v>No</x:v>
      </x:c>
      <x:c r="J26" t="str">
        <x:v>十分離れている</x:v>
      </x:c>
    </x:row>
    <x:row r="27">
      <x:c r="A27" t="str">
        <x:v>アローラライチュウ</x:v>
      </x:c>
      <x:c r="B27" t="str">
        <x:v>共通</x:v>
      </x:c>
      <x:c r="C27" t="str">
        <x:v>アタック型</x:v>
      </x:c>
      <x:c r="D27" t="str">
        <x:v>BattleMage</x:v>
      </x:c>
      <x:c r="E27" t="str">
        <x:v>レシラム</x:v>
      </x:c>
      <x:c r="F27" t="str">
        <x:v>共通</x:v>
      </x:c>
      <x:c r="G27" t="str">
        <x:v>BattleMage</x:v>
      </x:c>
      <x:c r="H27" s="60" t="n">
        <x:v>4.243080407355437</x:v>
      </x:c>
      <x:c r="I27" t="str">
        <x:v>Yes</x:v>
      </x:c>
      <x:c r="J27" t="str">
        <x:v>近い</x:v>
      </x:c>
    </x:row>
    <x:row r="28">
      <x:c r="A28" t="str">
        <x:v>イベルタル</x:v>
      </x:c>
      <x:c r="B28" t="str">
        <x:v>共通</x:v>
      </x:c>
      <x:c r="C28" t="str">
        <x:v>アタック型</x:v>
      </x:c>
      <x:c r="D28" t="str">
        <x:v>BurstMage</x:v>
      </x:c>
      <x:c r="E28" t="str">
        <x:v>ラティオス</x:v>
      </x:c>
      <x:c r="F28" t="str">
        <x:v>共通</x:v>
      </x:c>
      <x:c r="G28" t="str">
        <x:v>BurstMage</x:v>
      </x:c>
      <x:c r="H28" s="60" t="n">
        <x:v>7.870215912378941</x:v>
      </x:c>
      <x:c r="I28" t="str">
        <x:v>Yes</x:v>
      </x:c>
      <x:c r="J28" t="str">
        <x:v>十分離れている</x:v>
      </x:c>
    </x:row>
    <x:row r="29">
      <x:c r="A29" t="str">
        <x:v>インテレオン</x:v>
      </x:c>
      <x:c r="B29" t="str">
        <x:v>ねらいうち</x:v>
      </x:c>
      <x:c r="C29" t="str">
        <x:v>アタック型</x:v>
      </x:c>
      <x:c r="D29" t="str">
        <x:v>Artillery</x:v>
      </x:c>
      <x:c r="E29" t="str">
        <x:v>ジュナイパー</x:v>
      </x:c>
      <x:c r="F29" t="str">
        <x:v>かげぬい</x:v>
      </x:c>
      <x:c r="G29" t="str">
        <x:v>Artillery</x:v>
      </x:c>
      <x:c r="H29" s="60" t="n">
        <x:v>7.846474633815143</x:v>
      </x:c>
      <x:c r="I29" t="str">
        <x:v>Yes</x:v>
      </x:c>
      <x:c r="J29" t="str">
        <x:v>十分離れている</x:v>
      </x:c>
    </x:row>
    <x:row r="30">
      <x:c r="A30" t="str">
        <x:v>インテレオン</x:v>
      </x:c>
      <x:c r="B30" t="str">
        <x:v>アクアブレイク</x:v>
      </x:c>
      <x:c r="C30" t="str">
        <x:v>アタック型</x:v>
      </x:c>
      <x:c r="D30" t="str">
        <x:v>BattleMage</x:v>
      </x:c>
      <x:c r="E30" t="str">
        <x:v>グレイシア</x:v>
      </x:c>
      <x:c r="F30" t="str">
        <x:v>共通</x:v>
      </x:c>
      <x:c r="G30" t="str">
        <x:v>Marksman</x:v>
      </x:c>
      <x:c r="H30" s="60" t="n">
        <x:v>8.028633459305551</x:v>
      </x:c>
      <x:c r="I30" t="str">
        <x:v>No</x:v>
      </x:c>
      <x:c r="J30" t="str">
        <x:v>十分離れている</x:v>
      </x:c>
    </x:row>
    <x:row r="31">
      <x:c r="A31" t="str">
        <x:v>ウッウ</x:v>
      </x:c>
      <x:c r="B31" t="str">
        <x:v>なみのり</x:v>
      </x:c>
      <x:c r="C31" t="str">
        <x:v>アタック型</x:v>
      </x:c>
      <x:c r="D31" t="str">
        <x:v>BurstMage</x:v>
      </x:c>
      <x:c r="E31" t="str">
        <x:v>サンダー</x:v>
      </x:c>
      <x:c r="F31" t="str">
        <x:v>共通</x:v>
      </x:c>
      <x:c r="G31" t="str">
        <x:v>BurstMage</x:v>
      </x:c>
      <x:c r="H31" s="60" t="n">
        <x:v>6.753937491700012</x:v>
      </x:c>
      <x:c r="I31" t="str">
        <x:v>Yes</x:v>
      </x:c>
      <x:c r="J31" t="str">
        <x:v>やや近い</x:v>
      </x:c>
    </x:row>
    <x:row r="32">
      <x:c r="A32" s="203" t="str">
        <x:v>ウッウ</x:v>
      </x:c>
      <x:c r="B32" s="203" t="str">
        <x:v>ダイビング</x:v>
      </x:c>
      <x:c r="C32" s="203" t="str">
        <x:v>アタック型</x:v>
      </x:c>
      <x:c r="D32" s="203" t="str">
        <x:v>BattleMage</x:v>
      </x:c>
      <x:c r="E32" s="203" t="str">
        <x:v>マフォクシー</x:v>
      </x:c>
      <x:c r="F32" s="203" t="str">
        <x:v>ニトロチャージ</x:v>
      </x:c>
      <x:c r="G32" s="203" t="str">
        <x:v>BattleMage</x:v>
      </x:c>
      <x:c r="H32" s="221" t="n">
        <x:v>7.870215912378941</x:v>
      </x:c>
      <x:c r="I32" s="203" t="str">
        <x:v>Yes</x:v>
      </x:c>
      <x:c r="J32" s="203" t="str">
        <x:v>十分離れている</x:v>
      </x:c>
    </x:row>
    <x:row r="33">
      <x:c r="A33" t="str">
        <x:v>エースバーン</x:v>
      </x:c>
      <x:c r="B33" t="str">
        <x:v>共通</x:v>
      </x:c>
      <x:c r="C33" t="str">
        <x:v>アタック型</x:v>
      </x:c>
      <x:c r="D33" t="str">
        <x:v>Marksman</x:v>
      </x:c>
      <x:c r="E33" t="str">
        <x:v>ゲッコウガ</x:v>
      </x:c>
      <x:c r="F33" t="str">
        <x:v>みずしゅりけん</x:v>
      </x:c>
      <x:c r="G33" t="str">
        <x:v>Marksman</x:v>
      </x:c>
      <x:c r="H33" s="60" t="n">
        <x:v>3.5355339059327378</x:v>
      </x:c>
      <x:c r="I33" t="str">
        <x:v>Yes</x:v>
      </x:c>
      <x:c r="J33" t="str">
        <x:v>かなり近い</x:v>
      </x:c>
    </x:row>
    <x:row r="34">
      <x:c r="A34" t="str">
        <x:v>エーフィ</x:v>
      </x:c>
      <x:c r="B34" t="str">
        <x:v>共通</x:v>
      </x:c>
      <x:c r="C34" t="str">
        <x:v>アタック型</x:v>
      </x:c>
      <x:c r="D34" t="str">
        <x:v>BurstMage</x:v>
      </x:c>
      <x:c r="E34" t="str">
        <x:v>レシラム</x:v>
      </x:c>
      <x:c r="F34" t="str">
        <x:v>共通</x:v>
      </x:c>
      <x:c r="G34" t="str">
        <x:v>BattleMage</x:v>
      </x:c>
      <x:c r="H34" s="60" t="n">
        <x:v>8.956778472029715</x:v>
      </x:c>
      <x:c r="I34" t="str">
        <x:v>No</x:v>
      </x:c>
      <x:c r="J34" t="str">
        <x:v>十分離れている</x:v>
      </x:c>
    </x:row>
    <x:row r="35">
      <x:c r="A35" t="str">
        <x:v>グレイシア</x:v>
      </x:c>
      <x:c r="B35" t="str">
        <x:v>共通</x:v>
      </x:c>
      <x:c r="C35" t="str">
        <x:v>アタック型</x:v>
      </x:c>
      <x:c r="D35" t="str">
        <x:v>Marksman</x:v>
      </x:c>
      <x:c r="E35" t="str">
        <x:v>リザードン</x:v>
      </x:c>
      <x:c r="F35" t="str">
        <x:v>だいもんじ</x:v>
      </x:c>
      <x:c r="G35" t="str">
        <x:v>BattleMage</x:v>
      </x:c>
      <x:c r="H35" s="60" t="n">
        <x:v>7.097403351110757</x:v>
      </x:c>
      <x:c r="I35" t="str">
        <x:v>No</x:v>
      </x:c>
      <x:c r="J35" t="str">
        <x:v>十分離れている</x:v>
      </x:c>
    </x:row>
    <x:row r="36">
      <x:c r="A36" t="str">
        <x:v>グレンアルマ</x:v>
      </x:c>
      <x:c r="B36" t="str">
        <x:v>ほのおのうず</x:v>
      </x:c>
      <x:c r="C36" t="str">
        <x:v>アタック型</x:v>
      </x:c>
      <x:c r="D36" t="str">
        <x:v>Juggernaut</x:v>
      </x:c>
      <x:c r="E36" t="str">
        <x:v>フシギバナ</x:v>
      </x:c>
      <x:c r="F36" t="str">
        <x:v>はなびらのまい</x:v>
      </x:c>
      <x:c r="G36" t="str">
        <x:v>Juggernaut</x:v>
      </x:c>
      <x:c r="H36" s="60" t="n">
        <x:v>3.054236108907631</x:v>
      </x:c>
      <x:c r="I36" t="str">
        <x:v>Yes</x:v>
      </x:c>
      <x:c r="J36" t="str">
        <x:v>かなり近い</x:v>
      </x:c>
    </x:row>
    <x:row r="37">
      <x:c r="A37" t="str">
        <x:v>グレンアルマ</x:v>
      </x:c>
      <x:c r="B37" t="str">
        <x:v>アーマーキャノン</x:v>
      </x:c>
      <x:c r="C37" t="str">
        <x:v>アタック型</x:v>
      </x:c>
      <x:c r="D37" t="str">
        <x:v>BurstMage</x:v>
      </x:c>
      <x:c r="E37" t="str">
        <x:v>アローラキュウコン</x:v>
      </x:c>
      <x:c r="F37" t="str">
        <x:v>ふぶき</x:v>
      </x:c>
      <x:c r="G37" t="str">
        <x:v>BurstMage</x:v>
      </x:c>
      <x:c r="H37" s="60" t="n">
        <x:v>5.11071452783998</x:v>
      </x:c>
      <x:c r="I37" t="str">
        <x:v>Yes</x:v>
      </x:c>
      <x:c r="J37" t="str">
        <x:v>やや近い</x:v>
      </x:c>
    </x:row>
    <x:row r="38">
      <x:c r="A38" t="str">
        <x:v>ゲッコウガ</x:v>
      </x:c>
      <x:c r="B38" t="str">
        <x:v>みずしゅりけん</x:v>
      </x:c>
      <x:c r="C38" t="str">
        <x:v>アタック型</x:v>
      </x:c>
      <x:c r="D38" t="str">
        <x:v>Marksman</x:v>
      </x:c>
      <x:c r="E38" t="str">
        <x:v>エースバーン</x:v>
      </x:c>
      <x:c r="F38" t="str">
        <x:v>共通</x:v>
      </x:c>
      <x:c r="G38" t="str">
        <x:v>Marksman</x:v>
      </x:c>
      <x:c r="H38" s="60" t="n">
        <x:v>3.5355339059327378</x:v>
      </x:c>
      <x:c r="I38" t="str">
        <x:v>Yes</x:v>
      </x:c>
      <x:c r="J38" t="str">
        <x:v>かなり近い</x:v>
      </x:c>
    </x:row>
    <x:row r="39">
      <x:c r="A39" t="str">
        <x:v>ゲッコウガ</x:v>
      </x:c>
      <x:c r="B39" t="str">
        <x:v>なみのり</x:v>
      </x:c>
      <x:c r="C39" t="str">
        <x:v>アタック型</x:v>
      </x:c>
      <x:c r="D39" t="str">
        <x:v>Assassin</x:v>
      </x:c>
      <x:c r="E39" t="str">
        <x:v>ハッサム</x:v>
      </x:c>
      <x:c r="F39" t="str">
        <x:v>ストライク</x:v>
      </x:c>
      <x:c r="G39" t="str">
        <x:v>Assassin</x:v>
      </x:c>
      <x:c r="H39" s="60" t="n">
        <x:v>4.962546289118299</x:v>
      </x:c>
      <x:c r="I39" t="str">
        <x:v>Yes</x:v>
      </x:c>
      <x:c r="J39" t="str">
        <x:v>近い</x:v>
      </x:c>
    </x:row>
    <x:row r="40">
      <x:c r="A40" t="str">
        <x:v>サンダー</x:v>
      </x:c>
      <x:c r="B40" t="str">
        <x:v>共通</x:v>
      </x:c>
      <x:c r="C40" t="str">
        <x:v>アタック型</x:v>
      </x:c>
      <x:c r="D40" t="str">
        <x:v>BurstMage</x:v>
      </x:c>
      <x:c r="E40" t="str">
        <x:v>サーナイト</x:v>
      </x:c>
      <x:c r="F40" t="str">
        <x:v>共通</x:v>
      </x:c>
      <x:c r="G40" t="str">
        <x:v>BurstMage</x:v>
      </x:c>
      <x:c r="H40" s="60" t="n">
        <x:v>6.01614742594846</x:v>
      </x:c>
      <x:c r="I40" t="str">
        <x:v>Yes</x:v>
      </x:c>
      <x:c r="J40" t="str">
        <x:v>やや近い</x:v>
      </x:c>
    </x:row>
    <x:row r="41">
      <x:c r="A41" t="str">
        <x:v>サーナイト</x:v>
      </x:c>
      <x:c r="B41" t="str">
        <x:v>共通</x:v>
      </x:c>
      <x:c r="C41" t="str">
        <x:v>アタック型</x:v>
      </x:c>
      <x:c r="D41" t="str">
        <x:v>BurstMage</x:v>
      </x:c>
      <x:c r="E41" t="str">
        <x:v>サンダー</x:v>
      </x:c>
      <x:c r="F41" t="str">
        <x:v>共通</x:v>
      </x:c>
      <x:c r="G41" t="str">
        <x:v>BurstMage</x:v>
      </x:c>
      <x:c r="H41" s="60" t="n">
        <x:v>6.01614742594846</x:v>
      </x:c>
      <x:c r="I41" t="str">
        <x:v>Yes</x:v>
      </x:c>
      <x:c r="J41" t="str">
        <x:v>やや近い</x:v>
      </x:c>
    </x:row>
    <x:row r="42">
      <x:c r="A42" t="str">
        <x:v>シャンデラ</x:v>
      </x:c>
      <x:c r="B42" t="str">
        <x:v>共通</x:v>
      </x:c>
      <x:c r="C42" t="str">
        <x:v>アタック型</x:v>
      </x:c>
      <x:c r="D42" t="str">
        <x:v>BurstMage</x:v>
      </x:c>
      <x:c r="E42" t="str">
        <x:v>マフォクシー</x:v>
      </x:c>
      <x:c r="F42" t="str">
        <x:v>ほのおのうず</x:v>
      </x:c>
      <x:c r="G42" t="str">
        <x:v>BurstMage</x:v>
      </x:c>
      <x:c r="H42" s="60" t="n">
        <x:v>5.455040117777977</x:v>
      </x:c>
      <x:c r="I42" t="str">
        <x:v>Yes</x:v>
      </x:c>
      <x:c r="J42" t="str">
        <x:v>やや近い</x:v>
      </x:c>
    </x:row>
    <x:row r="43">
      <x:c r="A43" t="str">
        <x:v>ジュナイパー</x:v>
      </x:c>
      <x:c r="B43" t="str">
        <x:v>かげぬい</x:v>
      </x:c>
      <x:c r="C43" t="str">
        <x:v>アタック型</x:v>
      </x:c>
      <x:c r="D43" t="str">
        <x:v>Artillery</x:v>
      </x:c>
      <x:c r="E43" t="str">
        <x:v>インテレオン</x:v>
      </x:c>
      <x:c r="F43" t="str">
        <x:v>ねらいうち</x:v>
      </x:c>
      <x:c r="G43" t="str">
        <x:v>Artillery</x:v>
      </x:c>
      <x:c r="H43" s="60" t="n">
        <x:v>7.846474633815143</x:v>
      </x:c>
      <x:c r="I43" t="str">
        <x:v>Yes</x:v>
      </x:c>
      <x:c r="J43" t="str">
        <x:v>十分離れている</x:v>
      </x:c>
    </x:row>
    <x:row r="44">
      <x:c r="A44" t="str">
        <x:v>ジュナイパー</x:v>
      </x:c>
      <x:c r="B44" t="str">
        <x:v>はっぱカッター</x:v>
      </x:c>
      <x:c r="C44" t="str">
        <x:v>アタック型</x:v>
      </x:c>
      <x:c r="D44" t="str">
        <x:v>Marksman</x:v>
      </x:c>
      <x:c r="E44" t="str">
        <x:v>カイリュー</x:v>
      </x:c>
      <x:c r="F44" t="str">
        <x:v>はかいこうせん</x:v>
      </x:c>
      <x:c r="G44" t="str">
        <x:v>Marksman</x:v>
      </x:c>
      <x:c r="H44" s="60" t="n">
        <x:v>8.638684255813601</x:v>
      </x:c>
      <x:c r="I44" t="str">
        <x:v>Yes</x:v>
      </x:c>
      <x:c r="J44" t="str">
        <x:v>十分離れている</x:v>
      </x:c>
    </x:row>
    <x:row r="45">
      <x:c r="A45" t="str">
        <x:v>ジュラルドン</x:v>
      </x:c>
      <x:c r="B45" t="str">
        <x:v>共通</x:v>
      </x:c>
      <x:c r="C45" t="str">
        <x:v>アタック型</x:v>
      </x:c>
      <x:c r="D45" t="str">
        <x:v>Marksman</x:v>
      </x:c>
      <x:c r="E45" t="str">
        <x:v>ミライドン</x:v>
      </x:c>
      <x:c r="F45" t="str">
        <x:v>チャージビーム</x:v>
      </x:c>
      <x:c r="G45" t="str">
        <x:v>Artillery</x:v>
      </x:c>
      <x:c r="H45" s="60" t="n">
        <x:v>9.086031595215468</x:v>
      </x:c>
      <x:c r="I45" t="str">
        <x:v>No</x:v>
      </x:c>
      <x:c r="J45" t="str">
        <x:v>十分離れている</x:v>
      </x:c>
    </x:row>
    <x:row r="46">
      <x:c r="A46" t="str">
        <x:v>ドラパルト</x:v>
      </x:c>
      <x:c r="B46" t="str">
        <x:v>りゅうのまい</x:v>
      </x:c>
      <x:c r="C46" t="str">
        <x:v>アタック型</x:v>
      </x:c>
      <x:c r="D46" t="str">
        <x:v>Marksman</x:v>
      </x:c>
      <x:c r="E46" t="str">
        <x:v>インテレオン</x:v>
      </x:c>
      <x:c r="F46" t="str">
        <x:v>アクアブレイク</x:v>
      </x:c>
      <x:c r="G46" t="str">
        <x:v>BattleMage</x:v>
      </x:c>
      <x:c r="H46" s="60" t="n">
        <x:v>10.225991175548122</x:v>
      </x:c>
      <x:c r="I46" t="str">
        <x:v>No</x:v>
      </x:c>
      <x:c r="J46" t="str">
        <x:v>十分離れている</x:v>
      </x:c>
    </x:row>
    <x:row r="47">
      <x:c r="A47" t="str">
        <x:v>ドラパルト</x:v>
      </x:c>
      <x:c r="B47" t="str">
        <x:v>ゴーストダイブ</x:v>
      </x:c>
      <x:c r="C47" t="str">
        <x:v>アタック型</x:v>
      </x:c>
      <x:c r="D47" t="str">
        <x:v>Assassin</x:v>
      </x:c>
      <x:c r="E47" t="str">
        <x:v>マスカーニャ</x:v>
      </x:c>
      <x:c r="F47" t="str">
        <x:v>つじぎり</x:v>
      </x:c>
      <x:c r="G47" t="str">
        <x:v>Skirmisher</x:v>
      </x:c>
      <x:c r="H47" s="60" t="n">
        <x:v>18.825098362510857</x:v>
      </x:c>
      <x:c r="I47" t="str">
        <x:v>No</x:v>
      </x:c>
      <x:c r="J47" t="str">
        <x:v>十分離れている</x:v>
      </x:c>
    </x:row>
    <x:row r="48">
      <x:c r="A48" t="str">
        <x:v>ニンフィア</x:v>
      </x:c>
      <x:c r="B48" t="str">
        <x:v>共通</x:v>
      </x:c>
      <x:c r="C48" t="str">
        <x:v>アタック型</x:v>
      </x:c>
      <x:c r="D48" t="str">
        <x:v>BattleMage</x:v>
      </x:c>
      <x:c r="E48" t="str">
        <x:v>メガリザードンY</x:v>
      </x:c>
      <x:c r="F48" t="str">
        <x:v>共通</x:v>
      </x:c>
      <x:c r="G48" t="str">
        <x:v>Diver</x:v>
      </x:c>
      <x:c r="H48" s="60" t="n">
        <x:v>7.893885788116072</x:v>
      </x:c>
      <x:c r="I48" t="str">
        <x:v>No</x:v>
      </x:c>
      <x:c r="J48" t="str">
        <x:v>十分離れている</x:v>
      </x:c>
    </x:row>
    <x:row r="49">
      <x:c r="A49" t="str">
        <x:v>バクフーン</x:v>
      </x:c>
      <x:c r="B49" t="str">
        <x:v>共通</x:v>
      </x:c>
      <x:c r="C49" t="str">
        <x:v>アタック型</x:v>
      </x:c>
      <x:c r="D49" t="str">
        <x:v>Diver</x:v>
      </x:c>
      <x:c r="E49" t="str">
        <x:v>ギャラドス</x:v>
      </x:c>
      <x:c r="F49" t="str">
        <x:v>共通</x:v>
      </x:c>
      <x:c r="G49" t="str">
        <x:v>Diver</x:v>
      </x:c>
      <x:c r="H49" s="60" t="n">
        <x:v>6.774623413006785</x:v>
      </x:c>
      <x:c r="I49" t="str">
        <x:v>Yes</x:v>
      </x:c>
      <x:c r="J49" t="str">
        <x:v>やや近い</x:v>
      </x:c>
    </x:row>
    <x:row r="50">
      <x:c r="A50" t="str">
        <x:v>ピカチュウ</x:v>
      </x:c>
      <x:c r="B50" t="str">
        <x:v>共通</x:v>
      </x:c>
      <x:c r="C50" t="str">
        <x:v>アタック型</x:v>
      </x:c>
      <x:c r="D50" t="str">
        <x:v>BurstMage</x:v>
      </x:c>
      <x:c r="E50" t="str">
        <x:v>スイクン</x:v>
      </x:c>
      <x:c r="F50" t="str">
        <x:v>共通</x:v>
      </x:c>
      <x:c r="G50" t="str">
        <x:v>BurstMage</x:v>
      </x:c>
      <x:c r="H50" s="60" t="n">
        <x:v>10.841462698032762</x:v>
      </x:c>
      <x:c r="I50" t="str">
        <x:v>Yes</x:v>
      </x:c>
      <x:c r="J50" t="str">
        <x:v>十分離れている</x:v>
      </x:c>
    </x:row>
    <x:row r="51">
      <x:c r="A51" t="str">
        <x:v>フシギバナ</x:v>
      </x:c>
      <x:c r="B51" t="str">
        <x:v>ソーラービーム</x:v>
      </x:c>
      <x:c r="C51" t="str">
        <x:v>アタック型</x:v>
      </x:c>
      <x:c r="D51" t="str">
        <x:v>Artillery</x:v>
      </x:c>
      <x:c r="E51" t="str">
        <x:v>ミライドン</x:v>
      </x:c>
      <x:c r="F51" t="str">
        <x:v>チャージビーム</x:v>
      </x:c>
      <x:c r="G51" t="str">
        <x:v>Artillery</x:v>
      </x:c>
      <x:c r="H51" s="60" t="n">
        <x:v>7.5804146698689365</x:v>
      </x:c>
      <x:c r="I51" t="str">
        <x:v>Yes</x:v>
      </x:c>
      <x:c r="J51" t="str">
        <x:v>十分離れている</x:v>
      </x:c>
    </x:row>
    <x:row r="52">
      <x:c r="A52" t="str">
        <x:v>フシギバナ</x:v>
      </x:c>
      <x:c r="B52" t="str">
        <x:v>はなびらのまい</x:v>
      </x:c>
      <x:c r="C52" t="str">
        <x:v>アタック型</x:v>
      </x:c>
      <x:c r="D52" t="str">
        <x:v>Juggernaut</x:v>
      </x:c>
      <x:c r="E52" t="str">
        <x:v>グレンアルマ</x:v>
      </x:c>
      <x:c r="F52" t="str">
        <x:v>ほのおのうず</x:v>
      </x:c>
      <x:c r="G52" t="str">
        <x:v>Juggernaut</x:v>
      </x:c>
      <x:c r="H52" s="60" t="n">
        <x:v>3.054236108907631</x:v>
      </x:c>
      <x:c r="I52" t="str">
        <x:v>Yes</x:v>
      </x:c>
      <x:c r="J52" t="str">
        <x:v>かなり近い</x:v>
      </x:c>
    </x:row>
    <x:row r="53">
      <x:c r="A53" t="str">
        <x:v>マフォクシー</x:v>
      </x:c>
      <x:c r="B53" t="str">
        <x:v>ほのおのうず</x:v>
      </x:c>
      <x:c r="C53" t="str">
        <x:v>アタック型</x:v>
      </x:c>
      <x:c r="D53" t="str">
        <x:v>BurstMage</x:v>
      </x:c>
      <x:c r="E53" t="str">
        <x:v>グレンアルマ</x:v>
      </x:c>
      <x:c r="F53" t="str">
        <x:v>アーマーキャノン</x:v>
      </x:c>
      <x:c r="G53" t="str">
        <x:v>BurstMage</x:v>
      </x:c>
      <x:c r="H53" s="60" t="n">
        <x:v>5.290092118939487</x:v>
      </x:c>
      <x:c r="I53" t="str">
        <x:v>Yes</x:v>
      </x:c>
      <x:c r="J53" t="str">
        <x:v>やや近い</x:v>
      </x:c>
    </x:row>
    <x:row r="54">
      <x:c r="A54" t="str">
        <x:v>マフォクシー</x:v>
      </x:c>
      <x:c r="B54" t="str">
        <x:v>ニトロチャージ</x:v>
      </x:c>
      <x:c r="C54" t="str">
        <x:v>アタック型</x:v>
      </x:c>
      <x:c r="D54" t="str">
        <x:v>BattleMage</x:v>
      </x:c>
      <x:c r="E54" t="str">
        <x:v>アローラライチュウ</x:v>
      </x:c>
      <x:c r="F54" t="str">
        <x:v>共通</x:v>
      </x:c>
      <x:c r="G54" t="str">
        <x:v>BattleMage</x:v>
      </x:c>
      <x:c r="H54" s="60" t="n">
        <x:v>6.0316330305254295</x:v>
      </x:c>
      <x:c r="I54" t="str">
        <x:v>Yes</x:v>
      </x:c>
      <x:c r="J54" t="str">
        <x:v>やや近い</x:v>
      </x:c>
    </x:row>
    <x:row r="55">
      <x:c r="A55" t="str">
        <x:v>ミュウ</x:v>
      </x:c>
      <x:c r="B55" t="str">
        <x:v>共通</x:v>
      </x:c>
      <x:c r="C55" t="str">
        <x:v>アタック型</x:v>
      </x:c>
      <x:c r="D55" t="str">
        <x:v>Specialist</x:v>
      </x:c>
      <x:c r="E55" t="str">
        <x:v>フシギバナ</x:v>
      </x:c>
      <x:c r="F55" t="str">
        <x:v>ソーラービーム</x:v>
      </x:c>
      <x:c r="G55" t="str">
        <x:v>Artillery</x:v>
      </x:c>
      <x:c r="H55" s="60" t="n">
        <x:v>15.618468784236793</x:v>
      </x:c>
      <x:c r="I55" t="str">
        <x:v>No</x:v>
      </x:c>
      <x:c r="J55" t="str">
        <x:v>十分離れている</x:v>
      </x:c>
    </x:row>
    <x:row r="56">
      <x:c r="A56" t="str">
        <x:v>ミュウツー(Y)</x:v>
      </x:c>
      <x:c r="B56" t="str">
        <x:v>共通</x:v>
      </x:c>
      <x:c r="C56" t="str">
        <x:v>アタック型</x:v>
      </x:c>
      <x:c r="D56" t="str">
        <x:v>Marksman</x:v>
      </x:c>
      <x:c r="E56" t="str">
        <x:v>ストリンダー</x:v>
      </x:c>
      <x:c r="F56" t="str">
        <x:v>共通</x:v>
      </x:c>
      <x:c r="G56" t="str">
        <x:v>Marksman</x:v>
      </x:c>
      <x:c r="H56" s="60" t="n">
        <x:v>8.51907429628781</x:v>
      </x:c>
      <x:c r="I56" t="str">
        <x:v>Yes</x:v>
      </x:c>
      <x:c r="J56" t="str">
        <x:v>十分離れている</x:v>
      </x:c>
    </x:row>
    <x:row r="57">
      <x:c r="A57" t="str">
        <x:v>ミライドン</x:v>
      </x:c>
      <x:c r="B57" t="str">
        <x:v>チャージビーム</x:v>
      </x:c>
      <x:c r="C57" t="str">
        <x:v>アタック型</x:v>
      </x:c>
      <x:c r="D57" t="str">
        <x:v>Artillery</x:v>
      </x:c>
      <x:c r="E57" t="str">
        <x:v>フシギバナ</x:v>
      </x:c>
      <x:c r="F57" t="str">
        <x:v>ソーラービーム</x:v>
      </x:c>
      <x:c r="G57" t="str">
        <x:v>Artillery</x:v>
      </x:c>
      <x:c r="H57" s="60" t="n">
        <x:v>7.5804146698689365</x:v>
      </x:c>
      <x:c r="I57" t="str">
        <x:v>Yes</x:v>
      </x:c>
      <x:c r="J57" t="str">
        <x:v>十分離れている</x:v>
      </x:c>
    </x:row>
    <x:row r="58">
      <x:c r="A58" t="str">
        <x:v>ミライドン</x:v>
      </x:c>
      <x:c r="B58" t="str">
        <x:v>イナズマドライブ</x:v>
      </x:c>
      <x:c r="C58" t="str">
        <x:v>アタック型</x:v>
      </x:c>
      <x:c r="D58" t="str">
        <x:v>Skirmisher</x:v>
      </x:c>
      <x:c r="E58" t="str">
        <x:v>マスカーニャ</x:v>
      </x:c>
      <x:c r="F58" t="str">
        <x:v>つじぎり</x:v>
      </x:c>
      <x:c r="G58" t="str">
        <x:v>Skirmisher</x:v>
      </x:c>
      <x:c r="H58" s="60" t="n">
        <x:v>5.272428990767592</x:v>
      </x:c>
      <x:c r="I58" t="str">
        <x:v>Yes</x:v>
      </x:c>
      <x:c r="J58" t="str">
        <x:v>やや近い</x:v>
      </x:c>
    </x:row>
    <x:row r="59">
      <x:c r="A59" t="str">
        <x:v>ラウドボーン</x:v>
      </x:c>
      <x:c r="B59" t="str">
        <x:v>共通</x:v>
      </x:c>
      <x:c r="C59" t="str">
        <x:v>アタック型</x:v>
      </x:c>
      <x:c r="D59" t="str">
        <x:v>Artillery</x:v>
      </x:c>
      <x:c r="E59" t="str">
        <x:v>ジュナイパー</x:v>
      </x:c>
      <x:c r="F59" t="str">
        <x:v>かげぬい</x:v>
      </x:c>
      <x:c r="G59" t="str">
        <x:v>Artillery</x:v>
      </x:c>
      <x:c r="H59" s="60" t="n">
        <x:v>8.993156602197129</x:v>
      </x:c>
      <x:c r="I59" t="str">
        <x:v>Yes</x:v>
      </x:c>
      <x:c r="J59" t="str">
        <x:v>十分離れている</x:v>
      </x:c>
    </x:row>
    <x:row r="60">
      <x:c r="A60" t="str">
        <x:v>ラティオス</x:v>
      </x:c>
      <x:c r="B60" t="str">
        <x:v>共通</x:v>
      </x:c>
      <x:c r="C60" t="str">
        <x:v>アタック型</x:v>
      </x:c>
      <x:c r="D60" t="str">
        <x:v>BurstMage</x:v>
      </x:c>
      <x:c r="E60" t="str">
        <x:v>アローラキュウコン</x:v>
      </x:c>
      <x:c r="F60" t="str">
        <x:v>ふぶき</x:v>
      </x:c>
      <x:c r="G60" t="str">
        <x:v>BurstMage</x:v>
      </x:c>
      <x:c r="H60" s="60" t="n">
        <x:v>7.456340585392619</x:v>
      </x:c>
      <x:c r="I60" t="str">
        <x:v>Yes</x:v>
      </x:c>
      <x:c r="J60" t="str">
        <x:v>十分離れている</x:v>
      </x:c>
    </x:row>
    <x:row r="61">
      <x:c r="A61" t="str">
        <x:v>レシラム</x:v>
      </x:c>
      <x:c r="B61" t="str">
        <x:v>共通</x:v>
      </x:c>
      <x:c r="C61" t="str">
        <x:v>アタック型</x:v>
      </x:c>
      <x:c r="D61" t="str">
        <x:v>BattleMage</x:v>
      </x:c>
      <x:c r="E61" t="str">
        <x:v>アローラライチュウ</x:v>
      </x:c>
      <x:c r="F61" t="str">
        <x:v>共通</x:v>
      </x:c>
      <x:c r="G61" t="str">
        <x:v>BattleMage</x:v>
      </x:c>
      <x:c r="H61" s="60" t="n">
        <x:v>4.243080407355437</x:v>
      </x:c>
      <x:c r="I61" t="str">
        <x:v>Yes</x:v>
      </x:c>
      <x:c r="J61" t="str">
        <x:v>近い</x:v>
      </x:c>
    </x:row>
    <x:row r="62">
      <x:c r="A62" t="str">
        <x:v>ストリンダー</x:v>
      </x:c>
      <x:c r="B62" t="str">
        <x:v>共通</x:v>
      </x:c>
      <x:c r="C62" t="str">
        <x:v>アタック型</x:v>
      </x:c>
      <x:c r="D62" t="str">
        <x:v>Marksman</x:v>
      </x:c>
      <x:c r="E62" t="str">
        <x:v>リザードン</x:v>
      </x:c>
      <x:c r="F62" t="str">
        <x:v>だいもんじ</x:v>
      </x:c>
      <x:c r="G62" t="str">
        <x:v>BattleMage</x:v>
      </x:c>
      <x:c r="H62" s="60" t="n">
        <x:v>7.349230846139666</x:v>
      </x:c>
      <x:c r="I62" t="str">
        <x:v>No</x:v>
      </x:c>
      <x:c r="J62" t="str">
        <x:v>十分離れている</x:v>
      </x:c>
    </x:row>
    <x:row r="63">
      <x:c r="A63" t="str">
        <x:v>アマージョ</x:v>
      </x:c>
      <x:c r="B63" t="str">
        <x:v>共通</x:v>
      </x:c>
      <x:c r="C63" t="str">
        <x:v>バランス型</x:v>
      </x:c>
      <x:c r="D63" t="str">
        <x:v>Skirmisher</x:v>
      </x:c>
      <x:c r="E63" t="str">
        <x:v>ザシアン</x:v>
      </x:c>
      <x:c r="F63" t="str">
        <x:v>共通</x:v>
      </x:c>
      <x:c r="G63" t="str">
        <x:v>Skirmisher</x:v>
      </x:c>
      <x:c r="H63" s="60" t="n">
        <x:v>6.289057068112052</x:v>
      </x:c>
      <x:c r="I63" t="str">
        <x:v>Yes</x:v>
      </x:c>
      <x:c r="J63" t="str">
        <x:v>やや近い</x:v>
      </x:c>
    </x:row>
    <x:row r="64">
      <x:c r="A64" t="str">
        <x:v>ウェーニバル</x:v>
      </x:c>
      <x:c r="B64" t="str">
        <x:v>共通</x:v>
      </x:c>
      <x:c r="C64" t="str">
        <x:v>バランス型</x:v>
      </x:c>
      <x:c r="D64" t="str">
        <x:v>Skirmisher</x:v>
      </x:c>
      <x:c r="E64" t="str">
        <x:v>ウーラオス</x:v>
      </x:c>
      <x:c r="F64" t="str">
        <x:v>すいりゅうれんだ</x:v>
      </x:c>
      <x:c r="G64" t="str">
        <x:v>Skirmisher</x:v>
      </x:c>
      <x:c r="H64" s="60" t="n">
        <x:v>6.904195133957412</x:v>
      </x:c>
      <x:c r="I64" t="str">
        <x:v>Yes</x:v>
      </x:c>
      <x:c r="J64" t="str">
        <x:v>やや近い</x:v>
      </x:c>
    </x:row>
    <x:row r="65">
      <x:c r="A65" t="str">
        <x:v>ウーラオス</x:v>
      </x:c>
      <x:c r="B65" t="str">
        <x:v>あんこくきょうだ</x:v>
      </x:c>
      <x:c r="C65" t="str">
        <x:v>バランス型</x:v>
      </x:c>
      <x:c r="D65" t="str">
        <x:v>Diver</x:v>
      </x:c>
      <x:c r="E65" t="str">
        <x:v>ゼラオラ</x:v>
      </x:c>
      <x:c r="F65" t="str">
        <x:v>ワイルドボルト</x:v>
      </x:c>
      <x:c r="G65" t="str">
        <x:v>Assassin</x:v>
      </x:c>
      <x:c r="H65" s="60" t="n">
        <x:v>7.0047957985300675</x:v>
      </x:c>
      <x:c r="I65" t="str">
        <x:v>No</x:v>
      </x:c>
      <x:c r="J65" t="str">
        <x:v>十分離れている</x:v>
      </x:c>
    </x:row>
    <x:row r="66">
      <x:c r="A66" t="str">
        <x:v>ウーラオス</x:v>
      </x:c>
      <x:c r="B66" t="str">
        <x:v>すいりゅうれんだ</x:v>
      </x:c>
      <x:c r="C66" t="str">
        <x:v>バランス型</x:v>
      </x:c>
      <x:c r="D66" t="str">
        <x:v>Skirmisher</x:v>
      </x:c>
      <x:c r="E66" t="str">
        <x:v>ウェーニバル</x:v>
      </x:c>
      <x:c r="F66" t="str">
        <x:v>共通</x:v>
      </x:c>
      <x:c r="G66" t="str">
        <x:v>Skirmisher</x:v>
      </x:c>
      <x:c r="H66" s="60" t="n">
        <x:v>6.904195133957412</x:v>
      </x:c>
      <x:c r="I66" t="str">
        <x:v>Yes</x:v>
      </x:c>
      <x:c r="J66" t="str">
        <x:v>やや近い</x:v>
      </x:c>
    </x:row>
    <x:row r="67">
      <x:c r="A67" t="str">
        <x:v>エンペルト</x:v>
      </x:c>
      <x:c r="B67" t="str">
        <x:v>共通</x:v>
      </x:c>
      <x:c r="C67" t="str">
        <x:v>バランス型</x:v>
      </x:c>
      <x:c r="D67" t="str">
        <x:v>Juggernaut</x:v>
      </x:c>
      <x:c r="E67" t="str">
        <x:v>ガブリアス</x:v>
      </x:c>
      <x:c r="F67" t="str">
        <x:v>共通</x:v>
      </x:c>
      <x:c r="G67" t="str">
        <x:v>Juggernaut</x:v>
      </x:c>
      <x:c r="H67" s="60" t="n">
        <x:v>5</x:v>
      </x:c>
      <x:c r="I67" t="str">
        <x:v>Yes</x:v>
      </x:c>
      <x:c r="J67" t="str">
        <x:v>やや近い</x:v>
      </x:c>
    </x:row>
    <x:row r="68">
      <x:c r="A68" t="str">
        <x:v>オーダイル</x:v>
      </x:c>
      <x:c r="B68" t="str">
        <x:v>共通</x:v>
      </x:c>
      <x:c r="C68" t="str">
        <x:v>バランス型</x:v>
      </x:c>
      <x:c r="D68" t="str">
        <x:v>Diver</x:v>
      </x:c>
      <x:c r="E68" t="str">
        <x:v>パーモット</x:v>
      </x:c>
      <x:c r="F68" t="str">
        <x:v>共通</x:v>
      </x:c>
      <x:c r="G68" t="str">
        <x:v>Diver</x:v>
      </x:c>
      <x:c r="H68" s="60" t="n">
        <x:v>6.251865393266428</x:v>
      </x:c>
      <x:c r="I68" t="str">
        <x:v>Yes</x:v>
      </x:c>
      <x:c r="J68" t="str">
        <x:v>やや近い</x:v>
      </x:c>
    </x:row>
    <x:row r="69">
      <x:c r="A69" t="str">
        <x:v>カイリキー</x:v>
      </x:c>
      <x:c r="B69" t="str">
        <x:v>共通</x:v>
      </x:c>
      <x:c r="C69" t="str">
        <x:v>バランス型</x:v>
      </x:c>
      <x:c r="D69" t="str">
        <x:v>Diver</x:v>
      </x:c>
      <x:c r="E69" t="str">
        <x:v>ギャラドス</x:v>
      </x:c>
      <x:c r="F69" t="str">
        <x:v>共通</x:v>
      </x:c>
      <x:c r="G69" t="str">
        <x:v>Diver</x:v>
      </x:c>
      <x:c r="H69" s="60" t="n">
        <x:v>7.4312771847788675</x:v>
      </x:c>
      <x:c r="I69" t="str">
        <x:v>Yes</x:v>
      </x:c>
      <x:c r="J69" t="str">
        <x:v>十分離れている</x:v>
      </x:c>
    </x:row>
    <x:row r="70">
      <x:c r="A70" t="str">
        <x:v>カイリュー</x:v>
      </x:c>
      <x:c r="B70" t="str">
        <x:v>はかいこうせん</x:v>
      </x:c>
      <x:c r="C70" t="str">
        <x:v>バランス型</x:v>
      </x:c>
      <x:c r="D70" t="str">
        <x:v>Marksman</x:v>
      </x:c>
      <x:c r="E70" t="str">
        <x:v>エースバーン</x:v>
      </x:c>
      <x:c r="F70" t="str">
        <x:v>共通</x:v>
      </x:c>
      <x:c r="G70" t="str">
        <x:v>Marksman</x:v>
      </x:c>
      <x:c r="H70" s="60" t="n">
        <x:v>6.829479558851913</x:v>
      </x:c>
      <x:c r="I70" t="str">
        <x:v>Yes</x:v>
      </x:c>
      <x:c r="J70" t="str">
        <x:v>やや近い</x:v>
      </x:c>
    </x:row>
    <x:row r="71">
      <x:c r="A71" t="str">
        <x:v>カイリュー</x:v>
      </x:c>
      <x:c r="B71" t="str">
        <x:v>げきりん</x:v>
      </x:c>
      <x:c r="C71" t="str">
        <x:v>バランス型</x:v>
      </x:c>
      <x:c r="D71" t="str">
        <x:v>Juggernaut</x:v>
      </x:c>
      <x:c r="E71" t="str">
        <x:v>イワパレス</x:v>
      </x:c>
      <x:c r="F71" t="str">
        <x:v>からをやぶる</x:v>
      </x:c>
      <x:c r="G71" t="str">
        <x:v>Diver</x:v>
      </x:c>
      <x:c r="H71" s="60" t="n">
        <x:v>7.899792175615157</x:v>
      </x:c>
      <x:c r="I71" t="str">
        <x:v>No</x:v>
      </x:c>
      <x:c r="J71" t="str">
        <x:v>十分離れている</x:v>
      </x:c>
    </x:row>
    <x:row r="72">
      <x:c r="A72" t="str">
        <x:v>ガブリアス</x:v>
      </x:c>
      <x:c r="B72" t="str">
        <x:v>共通</x:v>
      </x:c>
      <x:c r="C72" t="str">
        <x:v>バランス型</x:v>
      </x:c>
      <x:c r="D72" t="str">
        <x:v>Juggernaut</x:v>
      </x:c>
      <x:c r="E72" t="str">
        <x:v>エンペルト</x:v>
      </x:c>
      <x:c r="F72" t="str">
        <x:v>共通</x:v>
      </x:c>
      <x:c r="G72" t="str">
        <x:v>Juggernaut</x:v>
      </x:c>
      <x:c r="H72" s="60" t="n">
        <x:v>5</x:v>
      </x:c>
      <x:c r="I72" t="str">
        <x:v>Yes</x:v>
      </x:c>
      <x:c r="J72" t="str">
        <x:v>やや近い</x:v>
      </x:c>
    </x:row>
    <x:row r="73">
      <x:c r="A73" t="str">
        <x:v>ギャラドス</x:v>
      </x:c>
      <x:c r="B73" t="str">
        <x:v>共通</x:v>
      </x:c>
      <x:c r="C73" t="str">
        <x:v>バランス型</x:v>
      </x:c>
      <x:c r="D73" t="str">
        <x:v>Diver</x:v>
      </x:c>
      <x:c r="E73" t="str">
        <x:v>パーモット</x:v>
      </x:c>
      <x:c r="F73" t="str">
        <x:v>共通</x:v>
      </x:c>
      <x:c r="G73" t="str">
        <x:v>Diver</x:v>
      </x:c>
      <x:c r="H73" s="60" t="n">
        <x:v>5.819101330833436</x:v>
      </x:c>
      <x:c r="I73" t="str">
        <x:v>Yes</x:v>
      </x:c>
      <x:c r="J73" t="str">
        <x:v>やや近い</x:v>
      </x:c>
    </x:row>
    <x:row r="74">
      <x:c r="A74" t="str">
        <x:v>メガギャラドス</x:v>
      </x:c>
      <x:c r="B74" t="str">
        <x:v>共通</x:v>
      </x:c>
      <x:c r="C74" t="str">
        <x:v>バランス型</x:v>
      </x:c>
      <x:c r="D74" t="str">
        <x:v>Diver</x:v>
      </x:c>
      <x:c r="E74" t="str">
        <x:v>パルキア</x:v>
      </x:c>
      <x:c r="F74" t="str">
        <x:v>共通</x:v>
      </x:c>
      <x:c r="G74" t="str">
        <x:v>Diver</x:v>
      </x:c>
      <x:c r="H74" s="60" t="n">
        <x:v>3.7655151676247356</x:v>
      </x:c>
      <x:c r="I74" t="str">
        <x:v>Yes</x:v>
      </x:c>
      <x:c r="J74" t="str">
        <x:v>かなり近い</x:v>
      </x:c>
    </x:row>
    <x:row r="75">
      <x:c r="A75" t="str">
        <x:v>ギルガルド</x:v>
      </x:c>
      <x:c r="B75" t="str">
        <x:v>共通</x:v>
      </x:c>
      <x:c r="C75" t="str">
        <x:v>バランス型</x:v>
      </x:c>
      <x:c r="D75" t="str">
        <x:v>Skirmisher</x:v>
      </x:c>
      <x:c r="E75" t="str">
        <x:v>アマージョ</x:v>
      </x:c>
      <x:c r="F75" t="str">
        <x:v>共通</x:v>
      </x:c>
      <x:c r="G75" t="str">
        <x:v>Skirmisher</x:v>
      </x:c>
      <x:c r="H75" s="60" t="n">
        <x:v>6.564831675326729</x:v>
      </x:c>
      <x:c r="I75" t="str">
        <x:v>Yes</x:v>
      </x:c>
      <x:c r="J75" t="str">
        <x:v>やや近い</x:v>
      </x:c>
    </x:row>
    <x:row r="76">
      <x:c r="A76" t="str">
        <x:v>ザシアン</x:v>
      </x:c>
      <x:c r="B76" t="str">
        <x:v>共通</x:v>
      </x:c>
      <x:c r="C76" t="str">
        <x:v>バランス型</x:v>
      </x:c>
      <x:c r="D76" t="str">
        <x:v>Skirmisher</x:v>
      </x:c>
      <x:c r="E76" t="str">
        <x:v>アマージョ</x:v>
      </x:c>
      <x:c r="F76" t="str">
        <x:v>共通</x:v>
      </x:c>
      <x:c r="G76" t="str">
        <x:v>Skirmisher</x:v>
      </x:c>
      <x:c r="H76" s="60" t="n">
        <x:v>6.289057068112052</x:v>
      </x:c>
      <x:c r="I76" t="str">
        <x:v>Yes</x:v>
      </x:c>
      <x:c r="J76" t="str">
        <x:v>やや近い</x:v>
      </x:c>
    </x:row>
    <x:row r="77">
      <x:c r="A77" t="str">
        <x:v>スイクン</x:v>
      </x:c>
      <x:c r="B77" t="str">
        <x:v>共通</x:v>
      </x:c>
      <x:c r="C77" t="str">
        <x:v>バランス型</x:v>
      </x:c>
      <x:c r="D77" t="str">
        <x:v>BurstMage</x:v>
      </x:c>
      <x:c r="E77" t="str">
        <x:v>ピカチュウ</x:v>
      </x:c>
      <x:c r="F77" t="str">
        <x:v>共通</x:v>
      </x:c>
      <x:c r="G77" t="str">
        <x:v>BurstMage</x:v>
      </x:c>
      <x:c r="H77" s="60" t="n">
        <x:v>10.841462698032762</x:v>
      </x:c>
      <x:c r="I77" t="str">
        <x:v>Yes</x:v>
      </x:c>
      <x:c r="J77" t="str">
        <x:v>十分離れている</x:v>
      </x:c>
    </x:row>
    <x:row r="78">
      <x:c r="A78" t="str">
        <x:v>ソウブレイズ</x:v>
      </x:c>
      <x:c r="B78" t="str">
        <x:v>共通</x:v>
      </x:c>
      <x:c r="C78" t="str">
        <x:v>バランス型</x:v>
      </x:c>
      <x:c r="D78" t="str">
        <x:v>Skirmisher</x:v>
      </x:c>
      <x:c r="E78" t="str">
        <x:v>ミミッキュ</x:v>
      </x:c>
      <x:c r="F78" t="str">
        <x:v>シャドークロー</x:v>
      </x:c>
      <x:c r="G78" t="str">
        <x:v>Skirmisher</x:v>
      </x:c>
      <x:c r="H78" s="60" t="n">
        <x:v>6.635499283872214</x:v>
      </x:c>
      <x:c r="I78" t="str">
        <x:v>Yes</x:v>
      </x:c>
      <x:c r="J78" t="str">
        <x:v>やや近い</x:v>
      </x:c>
    </x:row>
    <x:row r="79">
      <x:c r="A79" t="str">
        <x:v>ソルガレオ</x:v>
      </x:c>
      <x:c r="B79" t="str">
        <x:v>共通</x:v>
      </x:c>
      <x:c r="C79" t="str">
        <x:v>バランス型</x:v>
      </x:c>
      <x:c r="D79" t="str">
        <x:v>Juggernaut</x:v>
      </x:c>
      <x:c r="E79" t="str">
        <x:v>エンペルト</x:v>
      </x:c>
      <x:c r="F79" t="str">
        <x:v>共通</x:v>
      </x:c>
      <x:c r="G79" t="str">
        <x:v>Juggernaut</x:v>
      </x:c>
      <x:c r="H79" s="60" t="n">
        <x:v>5.539882535529313</x:v>
      </x:c>
      <x:c r="I79" t="str">
        <x:v>Yes</x:v>
      </x:c>
      <x:c r="J79" t="str">
        <x:v>やや近い</x:v>
      </x:c>
    </x:row>
    <x:row r="80">
      <x:c r="A80" t="str">
        <x:v>タイレーツ</x:v>
      </x:c>
      <x:c r="B80" t="str">
        <x:v>はいすいのじん</x:v>
      </x:c>
      <x:c r="C80" t="str">
        <x:v>バランス型</x:v>
      </x:c>
      <x:c r="D80" t="str">
        <x:v>Juggernaut</x:v>
      </x:c>
      <x:c r="E80" t="str">
        <x:v>バンギラス</x:v>
      </x:c>
      <x:c r="F80" t="str">
        <x:v>共通</x:v>
      </x:c>
      <x:c r="G80" t="str">
        <x:v>Juggernaut</x:v>
      </x:c>
      <x:c r="H80" s="60" t="n">
        <x:v>7.468840746029617</x:v>
      </x:c>
      <x:c r="I80" t="str">
        <x:v>Yes</x:v>
      </x:c>
      <x:c r="J80" t="str">
        <x:v>十分離れている</x:v>
      </x:c>
    </x:row>
    <x:row r="81">
      <x:c r="A81" t="str">
        <x:v>タイレーツ</x:v>
      </x:c>
      <x:c r="B81" t="str">
        <x:v>ふくろだたき</x:v>
      </x:c>
      <x:c r="C81" t="str">
        <x:v>バランス型</x:v>
      </x:c>
      <x:c r="D81" t="str">
        <x:v>Diver</x:v>
      </x:c>
      <x:c r="E81" t="str">
        <x:v>ルカリオ</x:v>
      </x:c>
      <x:c r="F81" t="str">
        <x:v>グロウパンチ</x:v>
      </x:c>
      <x:c r="G81" t="str">
        <x:v>Diver</x:v>
      </x:c>
      <x:c r="H81" s="60" t="n">
        <x:v>8.638684255813601</x:v>
      </x:c>
      <x:c r="I81" t="str">
        <x:v>Yes</x:v>
      </x:c>
      <x:c r="J81" t="str">
        <x:v>十分離れている</x:v>
      </x:c>
    </x:row>
    <x:row r="82">
      <x:c r="A82" t="str">
        <x:v>ダダリン</x:v>
      </x:c>
      <x:c r="B82" t="str">
        <x:v>共通</x:v>
      </x:c>
      <x:c r="C82" t="str">
        <x:v>バランス型</x:v>
      </x:c>
      <x:c r="D82" t="str">
        <x:v>Catcher</x:v>
      </x:c>
      <x:c r="E82" t="str">
        <x:v>マッシブーン</x:v>
      </x:c>
      <x:c r="F82" t="str">
        <x:v>共通</x:v>
      </x:c>
      <x:c r="G82" t="str">
        <x:v>Catcher</x:v>
      </x:c>
      <x:c r="H82" s="60" t="n">
        <x:v>6.55060667123237</x:v>
      </x:c>
      <x:c r="I82" t="str">
        <x:v>Yes</x:v>
      </x:c>
      <x:c r="J82" t="str">
        <x:v>やや近い</x:v>
      </x:c>
    </x:row>
    <x:row r="83">
      <x:c r="A83" t="str">
        <x:v>デカヌチャン</x:v>
      </x:c>
      <x:c r="B83" t="str">
        <x:v>共通</x:v>
      </x:c>
      <x:c r="C83" t="str">
        <x:v>バランス型</x:v>
      </x:c>
      <x:c r="D83" t="str">
        <x:v>Juggernaut</x:v>
      </x:c>
      <x:c r="E83" t="str">
        <x:v>バンギラス</x:v>
      </x:c>
      <x:c r="F83" t="str">
        <x:v>共通</x:v>
      </x:c>
      <x:c r="G83" t="str">
        <x:v>Juggernaut</x:v>
      </x:c>
      <x:c r="H83" s="60" t="n">
        <x:v>5.254706490234014</x:v>
      </x:c>
      <x:c r="I83" t="str">
        <x:v>Yes</x:v>
      </x:c>
      <x:c r="J83" t="str">
        <x:v>やや近い</x:v>
      </x:c>
    </x:row>
    <x:row r="84">
      <x:c r="A84" t="str">
        <x:v>ネギガナイト</x:v>
      </x:c>
      <x:c r="B84" t="str">
        <x:v>共通</x:v>
      </x:c>
      <x:c r="C84" t="str">
        <x:v>バランス型</x:v>
      </x:c>
      <x:c r="D84" t="str">
        <x:v>Diver</x:v>
      </x:c>
      <x:c r="E84" t="str">
        <x:v>メガルカリオ</x:v>
      </x:c>
      <x:c r="F84" t="str">
        <x:v>共通</x:v>
      </x:c>
      <x:c r="G84" t="str">
        <x:v>Diver</x:v>
      </x:c>
      <x:c r="H84" s="60" t="n">
        <x:v>6.712374404728459</x:v>
      </x:c>
      <x:c r="I84" t="str">
        <x:v>Yes</x:v>
      </x:c>
      <x:c r="J84" t="str">
        <x:v>やや近い</x:v>
      </x:c>
    </x:row>
    <x:row r="85">
      <x:c r="A85" t="str">
        <x:v>ハッサム</x:v>
      </x:c>
      <x:c r="B85" t="str">
        <x:v>ストライク</x:v>
      </x:c>
      <x:c r="C85" t="str">
        <x:v>バランス型</x:v>
      </x:c>
      <x:c r="D85" t="str">
        <x:v>Assassin</x:v>
      </x:c>
      <x:c r="E85" t="str">
        <x:v>モルペコ</x:v>
      </x:c>
      <x:c r="F85" t="str">
        <x:v>共通</x:v>
      </x:c>
      <x:c r="G85" t="str">
        <x:v>Assassin</x:v>
      </x:c>
      <x:c r="H85" s="60" t="n">
        <x:v>3.4554737023254405</x:v>
      </x:c>
      <x:c r="I85" t="str">
        <x:v>Yes</x:v>
      </x:c>
      <x:c r="J85" t="str">
        <x:v>かなり近い</x:v>
      </x:c>
    </x:row>
    <x:row r="86">
      <x:c r="A86" t="str">
        <x:v>ハッサム</x:v>
      </x:c>
      <x:c r="B86" t="str">
        <x:v>ハッサム</x:v>
      </x:c>
      <x:c r="C86" t="str">
        <x:v>バランス型</x:v>
      </x:c>
      <x:c r="D86" t="str">
        <x:v>Skirmisher</x:v>
      </x:c>
      <x:c r="E86" t="str">
        <x:v>ヨクバリス</x:v>
      </x:c>
      <x:c r="F86" t="str">
        <x:v>ほおばる</x:v>
      </x:c>
      <x:c r="G86" t="str">
        <x:v>Juggernaut</x:v>
      </x:c>
      <x:c r="H86" s="60" t="n">
        <x:v>8.375515132297433</x:v>
      </x:c>
      <x:c r="I86" t="str">
        <x:v>No</x:v>
      </x:c>
      <x:c r="J86" t="str">
        <x:v>十分離れている</x:v>
      </x:c>
    </x:row>
    <x:row r="87">
      <x:c r="A87" t="str">
        <x:v>バシャーモ</x:v>
      </x:c>
      <x:c r="B87" t="str">
        <x:v>共通</x:v>
      </x:c>
      <x:c r="C87" t="str">
        <x:v>バランス型</x:v>
      </x:c>
      <x:c r="D87" t="str">
        <x:v>Diver</x:v>
      </x:c>
      <x:c r="E87" t="str">
        <x:v>ネギガナイト</x:v>
      </x:c>
      <x:c r="F87" t="str">
        <x:v>共通</x:v>
      </x:c>
      <x:c r="G87" t="str">
        <x:v>Diver</x:v>
      </x:c>
      <x:c r="H87" s="60" t="n">
        <x:v>7.317429611509973</x:v>
      </x:c>
      <x:c r="I87" t="str">
        <x:v>Yes</x:v>
      </x:c>
      <x:c r="J87" t="str">
        <x:v>十分離れている</x:v>
      </x:c>
    </x:row>
    <x:row r="88">
      <x:c r="A88" t="str">
        <x:v>バンギラス</x:v>
      </x:c>
      <x:c r="B88" t="str">
        <x:v>共通</x:v>
      </x:c>
      <x:c r="C88" t="str">
        <x:v>バランス型</x:v>
      </x:c>
      <x:c r="D88" t="str">
        <x:v>Juggernaut</x:v>
      </x:c>
      <x:c r="E88" t="str">
        <x:v>デカヌチャン</x:v>
      </x:c>
      <x:c r="F88" t="str">
        <x:v>共通</x:v>
      </x:c>
      <x:c r="G88" t="str">
        <x:v>Juggernaut</x:v>
      </x:c>
      <x:c r="H88" s="60" t="n">
        <x:v>5.254706490234014</x:v>
      </x:c>
      <x:c r="I88" t="str">
        <x:v>Yes</x:v>
      </x:c>
      <x:c r="J88" t="str">
        <x:v>やや近い</x:v>
      </x:c>
    </x:row>
    <x:row r="89">
      <x:c r="A89" t="str">
        <x:v>パルキア</x:v>
      </x:c>
      <x:c r="B89" t="str">
        <x:v>共通</x:v>
      </x:c>
      <x:c r="C89" t="str">
        <x:v>バランス型</x:v>
      </x:c>
      <x:c r="D89" t="str">
        <x:v>Diver</x:v>
      </x:c>
      <x:c r="E89" t="str">
        <x:v>メガギャラドス</x:v>
      </x:c>
      <x:c r="F89" t="str">
        <x:v>共通</x:v>
      </x:c>
      <x:c r="G89" t="str">
        <x:v>Diver</x:v>
      </x:c>
      <x:c r="H89" s="60" t="n">
        <x:v>3.7655151676247356</x:v>
      </x:c>
      <x:c r="I89" t="str">
        <x:v>Yes</x:v>
      </x:c>
      <x:c r="J89" t="str">
        <x:v>かなり近い</x:v>
      </x:c>
    </x:row>
    <x:row r="90">
      <x:c r="A90" t="str">
        <x:v>パーモット</x:v>
      </x:c>
      <x:c r="B90" t="str">
        <x:v>共通</x:v>
      </x:c>
      <x:c r="C90" t="str">
        <x:v>バランス型</x:v>
      </x:c>
      <x:c r="D90" t="str">
        <x:v>Diver</x:v>
      </x:c>
      <x:c r="E90" t="str">
        <x:v>ギャラドス</x:v>
      </x:c>
      <x:c r="F90" t="str">
        <x:v>共通</x:v>
      </x:c>
      <x:c r="G90" t="str">
        <x:v>Diver</x:v>
      </x:c>
      <x:c r="H90" s="60" t="n">
        <x:v>5.819101330833436</x:v>
      </x:c>
      <x:c r="I90" t="str">
        <x:v>Yes</x:v>
      </x:c>
      <x:c r="J90" t="str">
        <x:v>やや近い</x:v>
      </x:c>
    </x:row>
    <x:row r="91">
      <x:c r="A91" t="str">
        <x:v>ファイヤー</x:v>
      </x:c>
      <x:c r="B91" t="str">
        <x:v>共通</x:v>
      </x:c>
      <x:c r="C91" t="str">
        <x:v>バランス型</x:v>
      </x:c>
      <x:c r="D91" t="str">
        <x:v>Juggernaut</x:v>
      </x:c>
      <x:c r="E91" t="str">
        <x:v>ガブリアス</x:v>
      </x:c>
      <x:c r="F91" t="str">
        <x:v>共通</x:v>
      </x:c>
      <x:c r="G91" t="str">
        <x:v>Juggernaut</x:v>
      </x:c>
      <x:c r="H91" s="60" t="n">
        <x:v>5.018622038386543</x:v>
      </x:c>
      <x:c r="I91" t="str">
        <x:v>Yes</x:v>
      </x:c>
      <x:c r="J91" t="str">
        <x:v>やや近い</x:v>
      </x:c>
    </x:row>
    <x:row r="92">
      <x:c r="A92" t="str">
        <x:v>マッシブーン</x:v>
      </x:c>
      <x:c r="B92" t="str">
        <x:v>共通</x:v>
      </x:c>
      <x:c r="C92" t="str">
        <x:v>バランス型</x:v>
      </x:c>
      <x:c r="D92" t="str">
        <x:v>Catcher</x:v>
      </x:c>
      <x:c r="E92" t="str">
        <x:v>ダダリン</x:v>
      </x:c>
      <x:c r="F92" t="str">
        <x:v>共通</x:v>
      </x:c>
      <x:c r="G92" t="str">
        <x:v>Catcher</x:v>
      </x:c>
      <x:c r="H92" s="60" t="n">
        <x:v>6.55060667123237</x:v>
      </x:c>
      <x:c r="I92" t="str">
        <x:v>Yes</x:v>
      </x:c>
      <x:c r="J92" t="str">
        <x:v>やや近い</x:v>
      </x:c>
    </x:row>
    <x:row r="93">
      <x:c r="A93" t="str">
        <x:v>マリルリ</x:v>
      </x:c>
      <x:c r="B93" t="str">
        <x:v>共通</x:v>
      </x:c>
      <x:c r="C93" t="str">
        <x:v>バランス型</x:v>
      </x:c>
      <x:c r="D93" t="str">
        <x:v>Diver</x:v>
      </x:c>
      <x:c r="E93" t="str">
        <x:v>ギャラドス</x:v>
      </x:c>
      <x:c r="F93" t="str">
        <x:v>共通</x:v>
      </x:c>
      <x:c r="G93" t="str">
        <x:v>Diver</x:v>
      </x:c>
      <x:c r="H93" s="60" t="n">
        <x:v>8.761985394857806</x:v>
      </x:c>
      <x:c r="I93" t="str">
        <x:v>Yes</x:v>
      </x:c>
      <x:c r="J93" t="str">
        <x:v>十分離れている</x:v>
      </x:c>
    </x:row>
    <x:row r="94">
      <x:c r="A94" t="str">
        <x:v>ミミッキュ</x:v>
      </x:c>
      <x:c r="B94" t="str">
        <x:v>じゃれつく</x:v>
      </x:c>
      <x:c r="C94" t="str">
        <x:v>バランス型</x:v>
      </x:c>
      <x:c r="D94" t="str">
        <x:v>Assassin</x:v>
      </x:c>
      <x:c r="E94" t="str">
        <x:v>ゲッコウガ</x:v>
      </x:c>
      <x:c r="F94" t="str">
        <x:v>なみのり</x:v>
      </x:c>
      <x:c r="G94" t="str">
        <x:v>Assassin</x:v>
      </x:c>
      <x:c r="H94" s="60" t="n">
        <x:v>6.199422216698547</x:v>
      </x:c>
      <x:c r="I94" t="str">
        <x:v>Yes</x:v>
      </x:c>
      <x:c r="J94" t="str">
        <x:v>やや近い</x:v>
      </x:c>
    </x:row>
    <x:row r="95">
      <x:c r="A95" t="str">
        <x:v>ミミッキュ</x:v>
      </x:c>
      <x:c r="B95" t="str">
        <x:v>シャドークロー</x:v>
      </x:c>
      <x:c r="C95" t="str">
        <x:v>バランス型</x:v>
      </x:c>
      <x:c r="D95" t="str">
        <x:v>Skirmisher</x:v>
      </x:c>
      <x:c r="E95" t="str">
        <x:v>ソウブレイズ</x:v>
      </x:c>
      <x:c r="F95" t="str">
        <x:v>共通</x:v>
      </x:c>
      <x:c r="G95" t="str">
        <x:v>Skirmisher</x:v>
      </x:c>
      <x:c r="H95" s="60" t="n">
        <x:v>6.635499283872214</x:v>
      </x:c>
      <x:c r="I95" t="str">
        <x:v>Yes</x:v>
      </x:c>
      <x:c r="J95" t="str">
        <x:v>やや近い</x:v>
      </x:c>
    </x:row>
    <x:row r="96">
      <x:c r="A96" t="str">
        <x:v>ミュウツー(X)</x:v>
      </x:c>
      <x:c r="B96" t="str">
        <x:v>共通</x:v>
      </x:c>
      <x:c r="C96" t="str">
        <x:v>バランス型</x:v>
      </x:c>
      <x:c r="D96" t="str">
        <x:v>Juggernaut</x:v>
      </x:c>
      <x:c r="E96" t="str">
        <x:v>カビゴン</x:v>
      </x:c>
      <x:c r="F96" t="str">
        <x:v>じたばた</x:v>
      </x:c>
      <x:c r="G96" t="str">
        <x:v>Juggernaut</x:v>
      </x:c>
      <x:c r="H96" s="60" t="n">
        <x:v>10.092852502726425</x:v>
      </x:c>
      <x:c r="I96" t="str">
        <x:v>Yes</x:v>
      </x:c>
      <x:c r="J96" t="str">
        <x:v>十分離れている</x:v>
      </x:c>
    </x:row>
    <x:row r="97">
      <x:c r="A97" t="str">
        <x:v>メタグロス</x:v>
      </x:c>
      <x:c r="B97" t="str">
        <x:v>共通</x:v>
      </x:c>
      <x:c r="C97" t="str">
        <x:v>バランス型</x:v>
      </x:c>
      <x:c r="D97" t="str">
        <x:v>Diver</x:v>
      </x:c>
      <x:c r="E97" t="str">
        <x:v>カメックス</x:v>
      </x:c>
      <x:c r="F97" t="str">
        <x:v>こうそくスピン</x:v>
      </x:c>
      <x:c r="G97" t="str">
        <x:v>Diver</x:v>
      </x:c>
      <x:c r="H97" s="60" t="n">
        <x:v>7.5804146698689365</x:v>
      </x:c>
      <x:c r="I97" t="str">
        <x:v>Yes</x:v>
      </x:c>
      <x:c r="J97" t="str">
        <x:v>十分離れている</x:v>
      </x:c>
    </x:row>
    <x:row r="98">
      <x:c r="A98" t="str">
        <x:v>リザードン</x:v>
      </x:c>
      <x:c r="B98" t="str">
        <x:v>だいもんじ</x:v>
      </x:c>
      <x:c r="C98" t="str">
        <x:v>バランス型</x:v>
      </x:c>
      <x:c r="D98" t="str">
        <x:v>BattleMage</x:v>
      </x:c>
      <x:c r="E98" t="str">
        <x:v>グレイシア</x:v>
      </x:c>
      <x:c r="F98" t="str">
        <x:v>共通</x:v>
      </x:c>
      <x:c r="G98" t="str">
        <x:v>Marksman</x:v>
      </x:c>
      <x:c r="H98" s="60" t="n">
        <x:v>7.097403351110757</x:v>
      </x:c>
      <x:c r="I98" t="str">
        <x:v>No</x:v>
      </x:c>
      <x:c r="J98" t="str">
        <x:v>十分離れている</x:v>
      </x:c>
    </x:row>
    <x:row r="99">
      <x:c r="A99" t="str">
        <x:v>リザードン</x:v>
      </x:c>
      <x:c r="B99" t="str">
        <x:v>フレアドライブ</x:v>
      </x:c>
      <x:c r="C99" t="str">
        <x:v>バランス型</x:v>
      </x:c>
      <x:c r="D99" t="str">
        <x:v>Diver</x:v>
      </x:c>
      <x:c r="E99" t="str">
        <x:v>メガギャラドス</x:v>
      </x:c>
      <x:c r="F99" t="str">
        <x:v>共通</x:v>
      </x:c>
      <x:c r="G99" t="str">
        <x:v>Diver</x:v>
      </x:c>
      <x:c r="H99" s="60" t="n">
        <x:v>5.39485658863517</x:v>
      </x:c>
      <x:c r="I99" t="str">
        <x:v>Yes</x:v>
      </x:c>
      <x:c r="J99" t="str">
        <x:v>やや近い</x:v>
      </x:c>
    </x:row>
    <x:row r="100">
      <x:c r="A100" t="str">
        <x:v>メガリザードンX</x:v>
      </x:c>
      <x:c r="B100" t="str">
        <x:v>共通</x:v>
      </x:c>
      <x:c r="C100" t="str">
        <x:v>バランス型</x:v>
      </x:c>
      <x:c r="D100" t="str">
        <x:v>Diver</x:v>
      </x:c>
      <x:c r="E100" t="str">
        <x:v>メガギャラドス</x:v>
      </x:c>
      <x:c r="F100" t="str">
        <x:v>共通</x:v>
      </x:c>
      <x:c r="G100" t="str">
        <x:v>Diver</x:v>
      </x:c>
      <x:c r="H100" s="60" t="n">
        <x:v>4.005593104573028</x:v>
      </x:c>
      <x:c r="I100" t="str">
        <x:v>Yes</x:v>
      </x:c>
      <x:c r="J100" t="str">
        <x:v>近い</x:v>
      </x:c>
    </x:row>
    <x:row r="101">
      <x:c r="A101" t="str">
        <x:v>メガリザードンY</x:v>
      </x:c>
      <x:c r="B101" t="str">
        <x:v>共通</x:v>
      </x:c>
      <x:c r="C101" t="str">
        <x:v>バランス型</x:v>
      </x:c>
      <x:c r="D101" t="str">
        <x:v>Diver</x:v>
      </x:c>
      <x:c r="E101" t="str">
        <x:v>ニンフィア</x:v>
      </x:c>
      <x:c r="F101" t="str">
        <x:v>共通</x:v>
      </x:c>
      <x:c r="G101" t="str">
        <x:v>BattleMage</x:v>
      </x:c>
      <x:c r="H101" s="60" t="n">
        <x:v>7.893885788116072</x:v>
      </x:c>
      <x:c r="I101" t="str">
        <x:v>No</x:v>
      </x:c>
      <x:c r="J101" t="str">
        <x:v>十分離れている</x:v>
      </x:c>
    </x:row>
    <x:row r="102">
      <x:c r="A102" t="str">
        <x:v>ルカリオ</x:v>
      </x:c>
      <x:c r="B102" t="str">
        <x:v>しんそく</x:v>
      </x:c>
      <x:c r="C102" t="str">
        <x:v>バランス型</x:v>
      </x:c>
      <x:c r="D102" t="str">
        <x:v>Assassin</x:v>
      </x:c>
      <x:c r="E102" t="str">
        <x:v>ゲンガー</x:v>
      </x:c>
      <x:c r="F102" t="str">
        <x:v>共通</x:v>
      </x:c>
      <x:c r="G102" t="str">
        <x:v>Assassin</x:v>
      </x:c>
      <x:c r="H102" s="60" t="n">
        <x:v>6.191894075224961</x:v>
      </x:c>
      <x:c r="I102" t="str">
        <x:v>Yes</x:v>
      </x:c>
      <x:c r="J102" t="str">
        <x:v>やや近い</x:v>
      </x:c>
    </x:row>
    <x:row r="103">
      <x:c r="A103" t="str">
        <x:v>ルカリオ</x:v>
      </x:c>
      <x:c r="B103" t="str">
        <x:v>グロウパンチ</x:v>
      </x:c>
      <x:c r="C103" t="str">
        <x:v>バランス型</x:v>
      </x:c>
      <x:c r="D103" t="str">
        <x:v>Diver</x:v>
      </x:c>
      <x:c r="E103" t="str">
        <x:v>ザシアン</x:v>
      </x:c>
      <x:c r="F103" t="str">
        <x:v>共通</x:v>
      </x:c>
      <x:c r="G103" t="str">
        <x:v>Skirmisher</x:v>
      </x:c>
      <x:c r="H103" s="60" t="n">
        <x:v>6.571932631080655</x:v>
      </x:c>
      <x:c r="I103" t="str">
        <x:v>No</x:v>
      </x:c>
      <x:c r="J103" t="str">
        <x:v>やや近い</x:v>
      </x:c>
    </x:row>
    <x:row r="104">
      <x:c r="A104" t="str">
        <x:v>メガルカリオ</x:v>
      </x:c>
      <x:c r="B104" t="str">
        <x:v>共通</x:v>
      </x:c>
      <x:c r="C104" t="str">
        <x:v>バランス型</x:v>
      </x:c>
      <x:c r="D104" t="str">
        <x:v>Diver</x:v>
      </x:c>
      <x:c r="E104" t="str">
        <x:v>パルキア</x:v>
      </x:c>
      <x:c r="F104" t="str">
        <x:v>共通</x:v>
      </x:c>
      <x:c r="G104" t="str">
        <x:v>Diver</x:v>
      </x:c>
      <x:c r="H104" s="60" t="n">
        <x:v>6.442918129997521</x:v>
      </x:c>
      <x:c r="I104" t="str">
        <x:v>Yes</x:v>
      </x:c>
      <x:c r="J104" t="str">
        <x:v>やや近い</x:v>
      </x:c>
    </x:row>
    <x:row r="105">
      <x:c r="A105" t="str">
        <x:v>アブソル</x:v>
      </x:c>
      <x:c r="B105" t="str">
        <x:v>共通</x:v>
      </x:c>
      <x:c r="C105" t="str">
        <x:v>スピード型</x:v>
      </x:c>
      <x:c r="D105" t="str">
        <x:v>Assassin</x:v>
      </x:c>
      <x:c r="E105" t="str">
        <x:v>リーフィア</x:v>
      </x:c>
      <x:c r="F105" t="str">
        <x:v>共通</x:v>
      </x:c>
      <x:c r="G105" t="str">
        <x:v>Assassin</x:v>
      </x:c>
      <x:c r="H105" s="60" t="n">
        <x:v>3.703064483257641</x:v>
      </x:c>
      <x:c r="I105" t="str">
        <x:v>Yes</x:v>
      </x:c>
      <x:c r="J105" t="str">
        <x:v>かなり近い</x:v>
      </x:c>
    </x:row>
    <x:row r="106">
      <x:c r="A106" t="str">
        <x:v>ガラルギャロップ</x:v>
      </x:c>
      <x:c r="B106" t="str">
        <x:v>共通</x:v>
      </x:c>
      <x:c r="C106" t="str">
        <x:v>スピード型</x:v>
      </x:c>
      <x:c r="D106" t="str">
        <x:v>Diver</x:v>
      </x:c>
      <x:c r="E106" t="str">
        <x:v>パーモット</x:v>
      </x:c>
      <x:c r="F106" t="str">
        <x:v>共通</x:v>
      </x:c>
      <x:c r="G106" t="str">
        <x:v>Diver</x:v>
      </x:c>
      <x:c r="H106" s="60" t="n">
        <x:v>7.450082640030485</x:v>
      </x:c>
      <x:c r="I106" t="str">
        <x:v>Yes</x:v>
      </x:c>
      <x:c r="J106" t="str">
        <x:v>十分離れている</x:v>
      </x:c>
    </x:row>
    <x:row r="107">
      <x:c r="A107" t="str">
        <x:v>ゲンガー</x:v>
      </x:c>
      <x:c r="B107" t="str">
        <x:v>共通</x:v>
      </x:c>
      <x:c r="C107" t="str">
        <x:v>スピード型</x:v>
      </x:c>
      <x:c r="D107" t="str">
        <x:v>Assassin</x:v>
      </x:c>
      <x:c r="E107" t="str">
        <x:v>ルカリオ</x:v>
      </x:c>
      <x:c r="F107" t="str">
        <x:v>しんそく</x:v>
      </x:c>
      <x:c r="G107" t="str">
        <x:v>Assassin</x:v>
      </x:c>
      <x:c r="H107" s="60" t="n">
        <x:v>6.191894075224961</x:v>
      </x:c>
      <x:c r="I107" t="str">
        <x:v>Yes</x:v>
      </x:c>
      <x:c r="J107" t="str">
        <x:v>やや近い</x:v>
      </x:c>
    </x:row>
    <x:row r="108">
      <x:c r="A108" t="str">
        <x:v>ゼラオラ</x:v>
      </x:c>
      <x:c r="B108" t="str">
        <x:v>ほうでん</x:v>
      </x:c>
      <x:c r="C108" t="str">
        <x:v>スピード型</x:v>
      </x:c>
      <x:c r="D108" t="str">
        <x:v>Skirmisher</x:v>
      </x:c>
      <x:c r="E108" t="str">
        <x:v>ニャース</x:v>
      </x:c>
      <x:c r="F108" t="str">
        <x:v>共通</x:v>
      </x:c>
      <x:c r="G108" t="str">
        <x:v>Skirmisher</x:v>
      </x:c>
      <x:c r="H108" s="60" t="n">
        <x:v>7.330166661378313</x:v>
      </x:c>
      <x:c r="I108" t="str">
        <x:v>Yes</x:v>
      </x:c>
      <x:c r="J108" t="str">
        <x:v>十分離れている</x:v>
      </x:c>
    </x:row>
    <x:row r="109">
      <x:c r="A109" t="str">
        <x:v>ゼラオラ</x:v>
      </x:c>
      <x:c r="B109" t="str">
        <x:v>ワイルドボルト</x:v>
      </x:c>
      <x:c r="C109" t="str">
        <x:v>スピード型</x:v>
      </x:c>
      <x:c r="D109" t="str">
        <x:v>Assassin</x:v>
      </x:c>
      <x:c r="E109" t="str">
        <x:v>ウーラオス</x:v>
      </x:c>
      <x:c r="F109" t="str">
        <x:v>あんこくきょうだ</x:v>
      </x:c>
      <x:c r="G109" t="str">
        <x:v>Diver</x:v>
      </x:c>
      <x:c r="H109" s="60" t="n">
        <x:v>7.0047957985300675</x:v>
      </x:c>
      <x:c r="I109" t="str">
        <x:v>No</x:v>
      </x:c>
      <x:c r="J109" t="str">
        <x:v>十分離れている</x:v>
      </x:c>
    </x:row>
    <x:row r="110">
      <x:c r="A110" t="str">
        <x:v>ゾロアーク</x:v>
      </x:c>
      <x:c r="B110" t="str">
        <x:v>共通</x:v>
      </x:c>
      <x:c r="C110" t="str">
        <x:v>スピード型</x:v>
      </x:c>
      <x:c r="D110" t="str">
        <x:v>Assassin</x:v>
      </x:c>
      <x:c r="E110" t="str">
        <x:v>アブソル</x:v>
      </x:c>
      <x:c r="F110" t="str">
        <x:v>共通</x:v>
      </x:c>
      <x:c r="G110" t="str">
        <x:v>Assassin</x:v>
      </x:c>
      <x:c r="H110" s="60" t="n">
        <x:v>5.930253826587965</x:v>
      </x:c>
      <x:c r="I110" t="str">
        <x:v>Yes</x:v>
      </x:c>
      <x:c r="J110" t="str">
        <x:v>やや近い</x:v>
      </x:c>
    </x:row>
    <x:row r="111">
      <x:c r="A111" t="str">
        <x:v>ダークライ</x:v>
      </x:c>
      <x:c r="B111" t="str">
        <x:v>共通</x:v>
      </x:c>
      <x:c r="C111" t="str">
        <x:v>スピード型</x:v>
      </x:c>
      <x:c r="D111" t="str">
        <x:v>Assassin</x:v>
      </x:c>
      <x:c r="E111" t="str">
        <x:v>モルペコ</x:v>
      </x:c>
      <x:c r="F111" t="str">
        <x:v>共通</x:v>
      </x:c>
      <x:c r="G111" t="str">
        <x:v>Assassin</x:v>
      </x:c>
      <x:c r="H111" s="60" t="n">
        <x:v>8.915021701616801</x:v>
      </x:c>
      <x:c r="I111" t="str">
        <x:v>Yes</x:v>
      </x:c>
      <x:c r="J111" t="str">
        <x:v>十分離れている</x:v>
      </x:c>
    </x:row>
    <x:row r="112">
      <x:c r="A112" t="str">
        <x:v>ドードリオ</x:v>
      </x:c>
      <x:c r="B112" t="str">
        <x:v>共通</x:v>
      </x:c>
      <x:c r="C112" t="str">
        <x:v>スピード型</x:v>
      </x:c>
      <x:c r="D112" t="str">
        <x:v>Diver</x:v>
      </x:c>
      <x:c r="E112" t="str">
        <x:v>ガラルギャロップ</x:v>
      </x:c>
      <x:c r="F112" t="str">
        <x:v>共通</x:v>
      </x:c>
      <x:c r="G112" t="str">
        <x:v>Diver</x:v>
      </x:c>
      <x:c r="H112" s="60" t="n">
        <x:v>7.899792175615157</x:v>
      </x:c>
      <x:c r="I112" t="str">
        <x:v>Yes</x:v>
      </x:c>
      <x:c r="J112" t="str">
        <x:v>十分離れている</x:v>
      </x:c>
    </x:row>
    <x:row r="113">
      <x:c r="A113" t="str">
        <x:v>ニャース</x:v>
      </x:c>
      <x:c r="B113" t="str">
        <x:v>共通</x:v>
      </x:c>
      <x:c r="C113" t="str">
        <x:v>スピード型</x:v>
      </x:c>
      <x:c r="D113" t="str">
        <x:v>Skirmisher</x:v>
      </x:c>
      <x:c r="E113" t="str">
        <x:v>ゼラオラ</x:v>
      </x:c>
      <x:c r="F113" t="str">
        <x:v>ほうでん</x:v>
      </x:c>
      <x:c r="G113" t="str">
        <x:v>Skirmisher</x:v>
      </x:c>
      <x:c r="H113" s="60" t="n">
        <x:v>7.330166661378313</x:v>
      </x:c>
      <x:c r="I113" t="str">
        <x:v>Yes</x:v>
      </x:c>
      <x:c r="J113" t="str">
        <x:v>十分離れている</x:v>
      </x:c>
    </x:row>
    <x:row r="114">
      <x:c r="A114" t="str">
        <x:v>ファイアロー</x:v>
      </x:c>
      <x:c r="B114" t="str">
        <x:v>共通</x:v>
      </x:c>
      <x:c r="C114" t="str">
        <x:v>スピード型</x:v>
      </x:c>
      <x:c r="D114" t="str">
        <x:v>Assassin</x:v>
      </x:c>
      <x:c r="E114" t="str">
        <x:v>ゼラオラ</x:v>
      </x:c>
      <x:c r="F114" t="str">
        <x:v>ワイルドボルト</x:v>
      </x:c>
      <x:c r="G114" t="str">
        <x:v>Assassin</x:v>
      </x:c>
      <x:c r="H114" s="60" t="n">
        <x:v>7.291888767051016</x:v>
      </x:c>
      <x:c r="I114" t="str">
        <x:v>Yes</x:v>
      </x:c>
      <x:c r="J114" t="str">
        <x:v>十分離れている</x:v>
      </x:c>
    </x:row>
    <x:row r="115">
      <x:c r="A115" t="str">
        <x:v>マスカーニャ</x:v>
      </x:c>
      <x:c r="B115" t="str">
        <x:v>トリックフラワー</x:v>
      </x:c>
      <x:c r="C115" t="str">
        <x:v>スピード型</x:v>
      </x:c>
      <x:c r="D115" t="str">
        <x:v>Assassin</x:v>
      </x:c>
      <x:c r="E115" t="str">
        <x:v>ヨクバリス</x:v>
      </x:c>
      <x:c r="F115" t="str">
        <x:v>ほしがる</x:v>
      </x:c>
      <x:c r="G115" t="str">
        <x:v>Diver</x:v>
      </x:c>
      <x:c r="H115" s="60" t="n">
        <x:v>11.891926271540756</x:v>
      </x:c>
      <x:c r="I115" t="str">
        <x:v>No</x:v>
      </x:c>
      <x:c r="J115" t="str">
        <x:v>十分離れている</x:v>
      </x:c>
    </x:row>
    <x:row r="116">
      <x:c r="A116" t="str">
        <x:v>マスカーニャ</x:v>
      </x:c>
      <x:c r="B116" t="str">
        <x:v>つじぎり</x:v>
      </x:c>
      <x:c r="C116" t="str">
        <x:v>スピード型</x:v>
      </x:c>
      <x:c r="D116" t="str">
        <x:v>Skirmisher</x:v>
      </x:c>
      <x:c r="E116" t="str">
        <x:v>ミライドン</x:v>
      </x:c>
      <x:c r="F116" t="str">
        <x:v>イナズマドライブ</x:v>
      </x:c>
      <x:c r="G116" t="str">
        <x:v>Skirmisher</x:v>
      </x:c>
      <x:c r="H116" s="60" t="n">
        <x:v>5.272428990767592</x:v>
      </x:c>
      <x:c r="I116" t="str">
        <x:v>Yes</x:v>
      </x:c>
      <x:c r="J116" t="str">
        <x:v>やや近い</x:v>
      </x:c>
    </x:row>
    <x:row r="117">
      <x:c r="A117" t="str">
        <x:v>モルペコ</x:v>
      </x:c>
      <x:c r="B117" t="str">
        <x:v>共通</x:v>
      </x:c>
      <x:c r="C117" t="str">
        <x:v>スピード型</x:v>
      </x:c>
      <x:c r="D117" t="str">
        <x:v>Assassin</x:v>
      </x:c>
      <x:c r="E117" t="str">
        <x:v>ハッサム</x:v>
      </x:c>
      <x:c r="F117" t="str">
        <x:v>ストライク</x:v>
      </x:c>
      <x:c r="G117" t="str">
        <x:v>Assassin</x:v>
      </x:c>
      <x:c r="H117" s="60" t="n">
        <x:v>3.4554737023254405</x:v>
      </x:c>
      <x:c r="I117" t="str">
        <x:v>Yes</x:v>
      </x:c>
      <x:c r="J117" t="str">
        <x:v>かなり近い</x:v>
      </x:c>
    </x:row>
    <x:row r="118">
      <x:c r="A118" t="str">
        <x:v>リーフィア</x:v>
      </x:c>
      <x:c r="B118" t="str">
        <x:v>共通</x:v>
      </x:c>
      <x:c r="C118" t="str">
        <x:v>スピード型</x:v>
      </x:c>
      <x:c r="D118" t="str">
        <x:v>Assassin</x:v>
      </x:c>
      <x:c r="E118" t="str">
        <x:v>アブソル</x:v>
      </x:c>
      <x:c r="F118" t="str">
        <x:v>共通</x:v>
      </x:c>
      <x:c r="G118" t="str">
        <x:v>Assassin</x:v>
      </x:c>
      <x:c r="H118" s="60" t="n">
        <x:v>3.703064483257641</x:v>
      </x:c>
      <x:c r="I118" t="str">
        <x:v>Yes</x:v>
      </x:c>
      <x:c r="J118" t="str">
        <x:v>かなり近い</x:v>
      </x:c>
    </x:row>
    <x:row r="119">
      <x:c r="A119" t="str">
        <x:v>イワパレス</x:v>
      </x:c>
      <x:c r="B119" t="str">
        <x:v>がんせきふうじ</x:v>
      </x:c>
      <x:c r="C119" t="str">
        <x:v>ディフェンス型</x:v>
      </x:c>
      <x:c r="D119" t="str">
        <x:v>Vanguard</x:v>
      </x:c>
      <x:c r="E119" t="str">
        <x:v>マンムー</x:v>
      </x:c>
      <x:c r="F119" t="str">
        <x:v>共通</x:v>
      </x:c>
      <x:c r="G119" t="str">
        <x:v>Vanguard</x:v>
      </x:c>
      <x:c r="H119" s="60" t="n">
        <x:v>8.998341472389862</x:v>
      </x:c>
      <x:c r="I119" t="str">
        <x:v>Yes</x:v>
      </x:c>
      <x:c r="J119" t="str">
        <x:v>十分離れている</x:v>
      </x:c>
    </x:row>
    <x:row r="120">
      <x:c r="A120" t="str">
        <x:v>イワパレス</x:v>
      </x:c>
      <x:c r="B120" t="str">
        <x:v>からをやぶる</x:v>
      </x:c>
      <x:c r="C120" t="str">
        <x:v>ディフェンス型</x:v>
      </x:c>
      <x:c r="D120" t="str">
        <x:v>Diver</x:v>
      </x:c>
      <x:c r="E120" t="str">
        <x:v>カイリュー</x:v>
      </x:c>
      <x:c r="F120" t="str">
        <x:v>げきりん</x:v>
      </x:c>
      <x:c r="G120" t="str">
        <x:v>Juggernaut</x:v>
      </x:c>
      <x:c r="H120" s="60" t="n">
        <x:v>7.899792175615157</x:v>
      </x:c>
      <x:c r="I120" t="str">
        <x:v>No</x:v>
      </x:c>
      <x:c r="J120" t="str">
        <x:v>十分離れている</x:v>
      </x:c>
    </x:row>
    <x:row r="121">
      <x:c r="A121" t="str">
        <x:v>オーロット</x:v>
      </x:c>
      <x:c r="B121" t="str">
        <x:v>ウッドハンマー</x:v>
      </x:c>
      <x:c r="C121" t="str">
        <x:v>ディフェンス型</x:v>
      </x:c>
      <x:c r="D121" t="str">
        <x:v>Vanguard</x:v>
      </x:c>
      <x:c r="E121" t="str">
        <x:v>カビゴン</x:v>
      </x:c>
      <x:c r="F121" t="str">
        <x:v>ヘビーボンバー</x:v>
      </x:c>
      <x:c r="G121" t="str">
        <x:v>Vanguard</x:v>
      </x:c>
      <x:c r="H121" s="60" t="n">
        <x:v>6.077853116640998</x:v>
      </x:c>
      <x:c r="I121" t="str">
        <x:v>Yes</x:v>
      </x:c>
      <x:c r="J121" t="str">
        <x:v>やや近い</x:v>
      </x:c>
    </x:row>
    <x:row r="122">
      <x:c r="A122" t="str">
        <x:v>オーロット</x:v>
      </x:c>
      <x:c r="B122" t="str">
        <x:v>のろい</x:v>
      </x:c>
      <x:c r="C122" t="str">
        <x:v>ディフェンス型</x:v>
      </x:c>
      <x:c r="D122" t="str">
        <x:v>Juggernaut</x:v>
      </x:c>
      <x:c r="E122" t="str">
        <x:v>ファイヤー</x:v>
      </x:c>
      <x:c r="F122" t="str">
        <x:v>共通</x:v>
      </x:c>
      <x:c r="G122" t="str">
        <x:v>Juggernaut</x:v>
      </x:c>
      <x:c r="H122" s="60" t="n">
        <x:v>7.188818016726529</x:v>
      </x:c>
      <x:c r="I122" t="str">
        <x:v>Yes</x:v>
      </x:c>
      <x:c r="J122" t="str">
        <x:v>十分離れている</x:v>
      </x:c>
    </x:row>
    <x:row r="123">
      <x:c r="A123" t="str">
        <x:v>カビゴン</x:v>
      </x:c>
      <x:c r="B123" t="str">
        <x:v>ヘビーボンバー</x:v>
      </x:c>
      <x:c r="C123" t="str">
        <x:v>ディフェンス型</x:v>
      </x:c>
      <x:c r="D123" t="str">
        <x:v>Vanguard</x:v>
      </x:c>
      <x:c r="E123" t="str">
        <x:v>オーロット</x:v>
      </x:c>
      <x:c r="F123" t="str">
        <x:v>ウッドハンマー</x:v>
      </x:c>
      <x:c r="G123" t="str">
        <x:v>Vanguard</x:v>
      </x:c>
      <x:c r="H123" s="60" t="n">
        <x:v>6.077853116640998</x:v>
      </x:c>
      <x:c r="I123" t="str">
        <x:v>Yes</x:v>
      </x:c>
      <x:c r="J123" t="str">
        <x:v>やや近い</x:v>
      </x:c>
    </x:row>
    <x:row r="124">
      <x:c r="A124" t="str">
        <x:v>カビゴン</x:v>
      </x:c>
      <x:c r="B124" t="str">
        <x:v>じたばた</x:v>
      </x:c>
      <x:c r="C124" t="str">
        <x:v>ディフェンス型</x:v>
      </x:c>
      <x:c r="D124" t="str">
        <x:v>Juggernaut</x:v>
      </x:c>
      <x:c r="E124" t="str">
        <x:v>ミュウツー(X)</x:v>
      </x:c>
      <x:c r="F124" t="str">
        <x:v>共通</x:v>
      </x:c>
      <x:c r="G124" t="str">
        <x:v>Juggernaut</x:v>
      </x:c>
      <x:c r="H124" s="60" t="n">
        <x:v>10.092852502726425</x:v>
      </x:c>
      <x:c r="I124" t="str">
        <x:v>Yes</x:v>
      </x:c>
      <x:c r="J124" t="str">
        <x:v>十分離れている</x:v>
      </x:c>
    </x:row>
    <x:row r="125">
      <x:c r="A125" t="str">
        <x:v>カメックス</x:v>
      </x:c>
      <x:c r="B125" t="str">
        <x:v>なみのり</x:v>
      </x:c>
      <x:c r="C125" t="str">
        <x:v>ディフェンス型</x:v>
      </x:c>
      <x:c r="D125" t="str">
        <x:v>Warden</x:v>
      </x:c>
      <x:c r="E125" t="str">
        <x:v>オーロット</x:v>
      </x:c>
      <x:c r="F125" t="str">
        <x:v>ウッドハンマー</x:v>
      </x:c>
      <x:c r="G125" t="str">
        <x:v>Vanguard</x:v>
      </x:c>
      <x:c r="H125" s="60" t="n">
        <x:v>8.72464343025402</x:v>
      </x:c>
      <x:c r="I125" t="str">
        <x:v>No</x:v>
      </x:c>
      <x:c r="J125" t="str">
        <x:v>十分離れている</x:v>
      </x:c>
    </x:row>
    <x:row r="126">
      <x:c r="A126" t="str">
        <x:v>カメックス</x:v>
      </x:c>
      <x:c r="B126" t="str">
        <x:v>こうそくスピン</x:v>
      </x:c>
      <x:c r="C126" t="str">
        <x:v>ディフェンス型</x:v>
      </x:c>
      <x:c r="D126" t="str">
        <x:v>Diver</x:v>
      </x:c>
      <x:c r="E126" t="str">
        <x:v>メタグロス</x:v>
      </x:c>
      <x:c r="F126" t="str">
        <x:v>共通</x:v>
      </x:c>
      <x:c r="G126" t="str">
        <x:v>Diver</x:v>
      </x:c>
      <x:c r="H126" s="60" t="n">
        <x:v>7.5804146698689365</x:v>
      </x:c>
      <x:c r="I126" t="str">
        <x:v>Yes</x:v>
      </x:c>
      <x:c r="J126" t="str">
        <x:v>十分離れている</x:v>
      </x:c>
    </x:row>
    <x:row r="127">
      <x:c r="A127" t="str">
        <x:v>シャワーズ</x:v>
      </x:c>
      <x:c r="B127" t="str">
        <x:v>アクアリング</x:v>
      </x:c>
      <x:c r="C127" t="str">
        <x:v>ディフェンス型</x:v>
      </x:c>
      <x:c r="D127" t="str">
        <x:v>Enchanter</x:v>
      </x:c>
      <x:c r="E127" t="str">
        <x:v>ブラッキー</x:v>
      </x:c>
      <x:c r="F127" t="str">
        <x:v>ねがいごと</x:v>
      </x:c>
      <x:c r="G127" t="str">
        <x:v>Enchanter</x:v>
      </x:c>
      <x:c r="H127" s="60" t="n">
        <x:v>3.8633370464312793</x:v>
      </x:c>
      <x:c r="I127" t="str">
        <x:v>Yes</x:v>
      </x:c>
      <x:c r="J127" t="str">
        <x:v>かなり近い</x:v>
      </x:c>
    </x:row>
    <x:row r="128">
      <x:c r="A128" t="str">
        <x:v>シャワーズ</x:v>
      </x:c>
      <x:c r="B128" t="str">
        <x:v>クイックターン</x:v>
      </x:c>
      <x:c r="C128" t="str">
        <x:v>ディフェンス型</x:v>
      </x:c>
      <x:c r="D128" t="str">
        <x:v>Warden</x:v>
      </x:c>
      <x:c r="E128" t="str">
        <x:v>バリヤード</x:v>
      </x:c>
      <x:c r="F128" t="str">
        <x:v>バリアー</x:v>
      </x:c>
      <x:c r="G128" t="str">
        <x:v>Catcher</x:v>
      </x:c>
      <x:c r="H128" s="60" t="n">
        <x:v>11.777635015874969</x:v>
      </x:c>
      <x:c r="I128" t="str">
        <x:v>No</x:v>
      </x:c>
      <x:c r="J128" t="str">
        <x:v>十分離れている</x:v>
      </x:c>
    </x:row>
    <x:row r="129">
      <x:c r="A129" t="str">
        <x:v>ヌメルゴン</x:v>
      </x:c>
      <x:c r="B129" t="str">
        <x:v>共通</x:v>
      </x:c>
      <x:c r="C129" t="str">
        <x:v>ディフェンス型</x:v>
      </x:c>
      <x:c r="D129" t="str">
        <x:v>Juggernaut</x:v>
      </x:c>
      <x:c r="E129" t="str">
        <x:v>ガブリアス</x:v>
      </x:c>
      <x:c r="F129" t="str">
        <x:v>共通</x:v>
      </x:c>
      <x:c r="G129" t="str">
        <x:v>Juggernaut</x:v>
      </x:c>
      <x:c r="H129" s="60" t="n">
        <x:v>6.450153301429378</x:v>
      </x:c>
      <x:c r="I129" t="str">
        <x:v>Yes</x:v>
      </x:c>
      <x:c r="J129" t="str">
        <x:v>やや近い</x:v>
      </x:c>
    </x:row>
    <x:row r="130">
      <x:c r="A130" t="str">
        <x:v>フリーザー</x:v>
      </x:c>
      <x:c r="B130" t="str">
        <x:v>共通</x:v>
      </x:c>
      <x:c r="C130" t="str">
        <x:v>ディフェンス型</x:v>
      </x:c>
      <x:c r="D130" t="str">
        <x:v>Warden</x:v>
      </x:c>
      <x:c r="E130" t="str">
        <x:v>プクリン</x:v>
      </x:c>
      <x:c r="F130" t="str">
        <x:v>共通</x:v>
      </x:c>
      <x:c r="G130" t="str">
        <x:v>Warden</x:v>
      </x:c>
      <x:c r="H130" s="60" t="n">
        <x:v>6.435674824582206</x:v>
      </x:c>
      <x:c r="I130" t="str">
        <x:v>Yes</x:v>
      </x:c>
      <x:c r="J130" t="str">
        <x:v>やや近い</x:v>
      </x:c>
    </x:row>
    <x:row r="131">
      <x:c r="A131" t="str">
        <x:v>ブラッキー</x:v>
      </x:c>
      <x:c r="B131" t="str">
        <x:v>ねがいごと</x:v>
      </x:c>
      <x:c r="C131" t="str">
        <x:v>ディフェンス型</x:v>
      </x:c>
      <x:c r="D131" t="str">
        <x:v>Enchanter</x:v>
      </x:c>
      <x:c r="E131" t="str">
        <x:v>シャワーズ</x:v>
      </x:c>
      <x:c r="F131" t="str">
        <x:v>アクアリング</x:v>
      </x:c>
      <x:c r="G131" t="str">
        <x:v>Enchanter</x:v>
      </x:c>
      <x:c r="H131" s="60" t="n">
        <x:v>3.8633370464312793</x:v>
      </x:c>
      <x:c r="I131" t="str">
        <x:v>Yes</x:v>
      </x:c>
      <x:c r="J131" t="str">
        <x:v>かなり近い</x:v>
      </x:c>
    </x:row>
    <x:row r="132">
      <x:c r="A132" t="str">
        <x:v>ブラッキー</x:v>
      </x:c>
      <x:c r="B132" t="str">
        <x:v>イカサマ</x:v>
      </x:c>
      <x:c r="C132" t="str">
        <x:v>ディフェンス型</x:v>
      </x:c>
      <x:c r="D132" t="str">
        <x:v>Vanguard</x:v>
      </x:c>
      <x:c r="E132" t="str">
        <x:v>オーロット</x:v>
      </x:c>
      <x:c r="F132" t="str">
        <x:v>ウッドハンマー</x:v>
      </x:c>
      <x:c r="G132" t="str">
        <x:v>Vanguard</x:v>
      </x:c>
      <x:c r="H132" s="60" t="n">
        <x:v>7.304670352262577</x:v>
      </x:c>
      <x:c r="I132" t="str">
        <x:v>Yes</x:v>
      </x:c>
      <x:c r="J132" t="str">
        <x:v>十分離れている</x:v>
      </x:c>
    </x:row>
    <x:row r="133">
      <x:c r="A133" t="str">
        <x:v>ホウオウ</x:v>
      </x:c>
      <x:c r="B133" t="str">
        <x:v>かえんほうしゃ</x:v>
      </x:c>
      <x:c r="C133" t="str">
        <x:v>ディフェンス型</x:v>
      </x:c>
      <x:c r="D133" t="str">
        <x:v>Juggernaut</x:v>
      </x:c>
      <x:c r="E133" t="str">
        <x:v>ラプラス</x:v>
      </x:c>
      <x:c r="F133" t="str">
        <x:v>共通</x:v>
      </x:c>
      <x:c r="G133" t="str">
        <x:v>Juggernaut</x:v>
      </x:c>
      <x:c r="H133" s="60" t="n">
        <x:v>16.490046749207377</x:v>
      </x:c>
      <x:c r="I133" t="str">
        <x:v>Yes</x:v>
      </x:c>
      <x:c r="J133" t="str">
        <x:v>十分離れている</x:v>
      </x:c>
    </x:row>
    <x:row r="134">
      <x:c r="A134" t="str">
        <x:v>ホウオウ</x:v>
      </x:c>
      <x:c r="B134" t="str">
        <x:v>ゴッドバード</x:v>
      </x:c>
      <x:c r="C134" t="str">
        <x:v>ディフェンス型</x:v>
      </x:c>
      <x:c r="D134" t="str">
        <x:v>Vanguard</x:v>
      </x:c>
      <x:c r="E134" t="str">
        <x:v>ヨクバリス</x:v>
      </x:c>
      <x:c r="F134" t="str">
        <x:v>ほしがる</x:v>
      </x:c>
      <x:c r="G134" t="str">
        <x:v>Diver</x:v>
      </x:c>
      <x:c r="H134" s="60" t="n">
        <x:v>15.111525699121975</x:v>
      </x:c>
      <x:c r="I134" t="str">
        <x:v>No</x:v>
      </x:c>
      <x:c r="J134" t="str">
        <x:v>十分離れている</x:v>
      </x:c>
    </x:row>
    <x:row r="135">
      <x:c r="A135" t="str">
        <x:v>マンムー</x:v>
      </x:c>
      <x:c r="B135" t="str">
        <x:v>共通</x:v>
      </x:c>
      <x:c r="C135" t="str">
        <x:v>ディフェンス型</x:v>
      </x:c>
      <x:c r="D135" t="str">
        <x:v>Vanguard</x:v>
      </x:c>
      <x:c r="E135" t="str">
        <x:v>イワパレス</x:v>
      </x:c>
      <x:c r="F135" t="str">
        <x:v>がんせきふうじ</x:v>
      </x:c>
      <x:c r="G135" t="str">
        <x:v>Vanguard</x:v>
      </x:c>
      <x:c r="H135" s="60" t="n">
        <x:v>8.998341472389862</x:v>
      </x:c>
      <x:c r="I135" t="str">
        <x:v>Yes</x:v>
      </x:c>
      <x:c r="J135" t="str">
        <x:v>十分離れている</x:v>
      </x:c>
    </x:row>
    <x:row r="136">
      <x:c r="A136" t="str">
        <x:v>ヤドラン</x:v>
      </x:c>
      <x:c r="B136" t="str">
        <x:v>ドわすれ</x:v>
      </x:c>
      <x:c r="C136" t="str">
        <x:v>ディフェンス型</x:v>
      </x:c>
      <x:c r="D136" t="str">
        <x:v>Juggernaut</x:v>
      </x:c>
      <x:c r="E136" t="str">
        <x:v>グレンアルマ</x:v>
      </x:c>
      <x:c r="F136" t="str">
        <x:v>ほのおのうず</x:v>
      </x:c>
      <x:c r="G136" t="str">
        <x:v>Juggernaut</x:v>
      </x:c>
      <x:c r="H136" s="60" t="n">
        <x:v>8.573649321413091</x:v>
      </x:c>
      <x:c r="I136" t="str">
        <x:v>Yes</x:v>
      </x:c>
      <x:c r="J136" t="str">
        <x:v>十分離れている</x:v>
      </x:c>
    </x:row>
    <x:row r="137">
      <x:c r="A137" t="str">
        <x:v>ヤドラン</x:v>
      </x:c>
      <x:c r="B137" t="str">
        <x:v>テレキネシス</x:v>
      </x:c>
      <x:c r="C137" t="str">
        <x:v>ディフェンス型</x:v>
      </x:c>
      <x:c r="D137" t="str">
        <x:v>Warden</x:v>
      </x:c>
      <x:c r="E137" t="str">
        <x:v>プクリン</x:v>
      </x:c>
      <x:c r="F137" t="str">
        <x:v>共通</x:v>
      </x:c>
      <x:c r="G137" t="str">
        <x:v>Warden</x:v>
      </x:c>
      <x:c r="H137" s="60" t="n">
        <x:v>9.658342616078198</x:v>
      </x:c>
      <x:c r="I137" t="str">
        <x:v>Yes</x:v>
      </x:c>
      <x:c r="J137" t="str">
        <x:v>十分離れている</x:v>
      </x:c>
    </x:row>
    <x:row r="138">
      <x:c r="A138" t="str">
        <x:v>ヨクバリス</x:v>
      </x:c>
      <x:c r="B138" t="str">
        <x:v>ほおばる</x:v>
      </x:c>
      <x:c r="C138" t="str">
        <x:v>ディフェンス型</x:v>
      </x:c>
      <x:c r="D138" t="str">
        <x:v>Juggernaut</x:v>
      </x:c>
      <x:c r="E138" t="str">
        <x:v>ハッサム</x:v>
      </x:c>
      <x:c r="F138" t="str">
        <x:v>ハッサム</x:v>
      </x:c>
      <x:c r="G138" t="str">
        <x:v>Skirmisher</x:v>
      </x:c>
      <x:c r="H138" s="60" t="n">
        <x:v>8.375515132297433</x:v>
      </x:c>
      <x:c r="I138" t="str">
        <x:v>No</x:v>
      </x:c>
      <x:c r="J138" t="str">
        <x:v>十分離れている</x:v>
      </x:c>
    </x:row>
    <x:row r="139">
      <x:c r="A139" t="str">
        <x:v>ヨクバリス</x:v>
      </x:c>
      <x:c r="B139" t="str">
        <x:v>ほしがる</x:v>
      </x:c>
      <x:c r="C139" t="str">
        <x:v>ディフェンス型</x:v>
      </x:c>
      <x:c r="D139" t="str">
        <x:v>Diver</x:v>
      </x:c>
      <x:c r="E139" t="str">
        <x:v>マスカーニャ</x:v>
      </x:c>
      <x:c r="F139" t="str">
        <x:v>トリックフラワー</x:v>
      </x:c>
      <x:c r="G139" t="str">
        <x:v>Assassin</x:v>
      </x:c>
      <x:c r="H139" s="60" t="n">
        <x:v>11.891926271540756</x:v>
      </x:c>
      <x:c r="I139" t="str">
        <x:v>No</x:v>
      </x:c>
      <x:c r="J139" t="str">
        <x:v>十分離れている</x:v>
      </x:c>
    </x:row>
    <x:row r="140">
      <x:c r="A140" t="str">
        <x:v>ラプラス</x:v>
      </x:c>
      <x:c r="B140" t="str">
        <x:v>共通</x:v>
      </x:c>
      <x:c r="C140" t="str">
        <x:v>ディフェンス型</x:v>
      </x:c>
      <x:c r="D140" t="str">
        <x:v>Juggernaut</x:v>
      </x:c>
      <x:c r="E140" t="str">
        <x:v>ホウオウ</x:v>
      </x:c>
      <x:c r="F140" t="str">
        <x:v>かえんほうしゃ</x:v>
      </x:c>
      <x:c r="G140" t="str">
        <x:v>Juggernaut</x:v>
      </x:c>
      <x:c r="H140" s="60" t="n">
        <x:v>16.490046749207377</x:v>
      </x:c>
      <x:c r="I140" t="str">
        <x:v>Yes</x:v>
      </x:c>
      <x:c r="J140" t="str">
        <x:v>十分離れている</x:v>
      </x:c>
    </x:row>
    <x:row r="141">
      <x:c r="A141" t="str">
        <x:v>キュワワー</x:v>
      </x:c>
      <x:c r="B141" t="str">
        <x:v>共通</x:v>
      </x:c>
      <x:c r="C141" t="str">
        <x:v>サポート型</x:v>
      </x:c>
      <x:c r="D141" t="str">
        <x:v>Enchanter</x:v>
      </x:c>
      <x:c r="E141" t="str">
        <x:v>メガニウム</x:v>
      </x:c>
      <x:c r="F141" t="str">
        <x:v>共通</x:v>
      </x:c>
      <x:c r="G141" t="str">
        <x:v>Enchanter</x:v>
      </x:c>
      <x:c r="H141" s="60" t="n">
        <x:v>20.54527218012027</x:v>
      </x:c>
      <x:c r="I141" t="str">
        <x:v>Yes</x:v>
      </x:c>
      <x:c r="J141" t="str">
        <x:v>十分離れている</x:v>
      </x:c>
    </x:row>
    <x:row r="142">
      <x:c r="A142" t="str">
        <x:v>コダック</x:v>
      </x:c>
      <x:c r="B142" t="str">
        <x:v>共通</x:v>
      </x:c>
      <x:c r="C142" t="str">
        <x:v>サポート型</x:v>
      </x:c>
      <x:c r="D142" t="str">
        <x:v>Catcher</x:v>
      </x:c>
      <x:c r="E142" t="str">
        <x:v>ヤドラン</x:v>
      </x:c>
      <x:c r="F142" t="str">
        <x:v>テレキネシス</x:v>
      </x:c>
      <x:c r="G142" t="str">
        <x:v>Warden</x:v>
      </x:c>
      <x:c r="H142" s="60" t="n">
        <x:v>12.067131873058779</x:v>
      </x:c>
      <x:c r="I142" t="str">
        <x:v>No</x:v>
      </x:c>
      <x:c r="J142" t="str">
        <x:v>十分離れている</x:v>
      </x:c>
    </x:row>
    <x:row r="143">
      <x:c r="A143" t="str">
        <x:v>ハピナス</x:v>
      </x:c>
      <x:c r="B143" t="str">
        <x:v>共通</x:v>
      </x:c>
      <x:c r="C143" t="str">
        <x:v>サポート型</x:v>
      </x:c>
      <x:c r="D143" t="str">
        <x:v>Enchanter</x:v>
      </x:c>
      <x:c r="E143" t="str">
        <x:v>メガニウム</x:v>
      </x:c>
      <x:c r="F143" t="str">
        <x:v>共通</x:v>
      </x:c>
      <x:c r="G143" t="str">
        <x:v>Enchanter</x:v>
      </x:c>
      <x:c r="H143" s="60" t="n">
        <x:v>9.849615493669504</x:v>
      </x:c>
      <x:c r="I143" t="str">
        <x:v>Yes</x:v>
      </x:c>
      <x:c r="J143" t="str">
        <x:v>十分離れている</x:v>
      </x:c>
    </x:row>
    <x:row r="144">
      <x:c r="A144" t="str">
        <x:v>バリヤード</x:v>
      </x:c>
      <x:c r="B144" t="str">
        <x:v>バリアー</x:v>
      </x:c>
      <x:c r="C144" t="str">
        <x:v>サポート型</x:v>
      </x:c>
      <x:c r="D144" t="str">
        <x:v>Catcher</x:v>
      </x:c>
      <x:c r="E144" t="str">
        <x:v>シャワーズ</x:v>
      </x:c>
      <x:c r="F144" t="str">
        <x:v>クイックターン</x:v>
      </x:c>
      <x:c r="G144" t="str">
        <x:v>Warden</x:v>
      </x:c>
      <x:c r="H144" s="60" t="n">
        <x:v>11.777635015874969</x:v>
      </x:c>
      <x:c r="I144" t="str">
        <x:v>No</x:v>
      </x:c>
      <x:c r="J144" t="str">
        <x:v>十分離れている</x:v>
      </x:c>
    </x:row>
    <x:row r="145">
      <x:c r="A145" t="str">
        <x:v>バリヤード</x:v>
      </x:c>
      <x:c r="B145" t="str">
        <x:v>パワースワップ</x:v>
      </x:c>
      <x:c r="C145" t="str">
        <x:v>サポート型</x:v>
      </x:c>
      <x:c r="D145" t="str">
        <x:v>Enchanter</x:v>
      </x:c>
      <x:c r="E145" t="str">
        <x:v>ワタシラガ</x:v>
      </x:c>
      <x:c r="F145" t="str">
        <x:v>共通</x:v>
      </x:c>
      <x:c r="G145" t="str">
        <x:v>Enchanter</x:v>
      </x:c>
      <x:c r="H145" s="60" t="n">
        <x:v>10.460479998118862</x:v>
      </x:c>
      <x:c r="I145" t="str">
        <x:v>Yes</x:v>
      </x:c>
      <x:c r="J145" t="str">
        <x:v>十分離れている</x:v>
      </x:c>
    </x:row>
    <x:row r="146">
      <x:c r="A146" t="str">
        <x:v>ピクシー</x:v>
      </x:c>
      <x:c r="B146" t="str">
        <x:v>共通</x:v>
      </x:c>
      <x:c r="C146" t="str">
        <x:v>サポート型</x:v>
      </x:c>
      <x:c r="D146" t="str">
        <x:v>Enchanter</x:v>
      </x:c>
      <x:c r="E146" t="str">
        <x:v>メガニウム</x:v>
      </x:c>
      <x:c r="F146" t="str">
        <x:v>共通</x:v>
      </x:c>
      <x:c r="G146" t="str">
        <x:v>Enchanter</x:v>
      </x:c>
      <x:c r="H146" s="60" t="n">
        <x:v>6.435674824582206</x:v>
      </x:c>
      <x:c r="I146" t="str">
        <x:v>Yes</x:v>
      </x:c>
      <x:c r="J146" t="str">
        <x:v>やや近い</x:v>
      </x:c>
    </x:row>
    <x:row r="147">
      <x:c r="A147" t="str">
        <x:v>フーパ</x:v>
      </x:c>
      <x:c r="B147" t="str">
        <x:v>いじげんホール</x:v>
      </x:c>
      <x:c r="C147" t="str">
        <x:v>サポート型</x:v>
      </x:c>
      <x:c r="D147" t="str">
        <x:v>Specialist</x:v>
      </x:c>
      <x:c r="E147" t="str">
        <x:v>ハピナス</x:v>
      </x:c>
      <x:c r="F147" t="str">
        <x:v>共通</x:v>
      </x:c>
      <x:c r="G147" t="str">
        <x:v>Enchanter</x:v>
      </x:c>
      <x:c r="H147" s="60" t="n">
        <x:v>18.95103667467234</x:v>
      </x:c>
      <x:c r="I147" t="str">
        <x:v>No</x:v>
      </x:c>
      <x:c r="J147" t="str">
        <x:v>十分離れている</x:v>
      </x:c>
    </x:row>
    <x:row r="148">
      <x:c r="A148" t="str">
        <x:v>フーパ</x:v>
      </x:c>
      <x:c r="B148" t="str">
        <x:v>トリック</x:v>
      </x:c>
      <x:c r="C148" t="str">
        <x:v>サポート型</x:v>
      </x:c>
      <x:c r="D148" t="str">
        <x:v>Enchanter</x:v>
      </x:c>
      <x:c r="E148" t="str">
        <x:v>ハピナス</x:v>
      </x:c>
      <x:c r="F148" t="str">
        <x:v>共通</x:v>
      </x:c>
      <x:c r="G148" t="str">
        <x:v>Enchanter</x:v>
      </x:c>
      <x:c r="H148" s="60" t="n">
        <x:v>11.59403475029486</x:v>
      </x:c>
      <x:c r="I148" t="str">
        <x:v>Yes</x:v>
      </x:c>
      <x:c r="J148" t="str">
        <x:v>十分離れている</x:v>
      </x:c>
    </x:row>
    <x:row r="149">
      <x:c r="A149" t="str">
        <x:v>プクリン</x:v>
      </x:c>
      <x:c r="B149" t="str">
        <x:v>共通</x:v>
      </x:c>
      <x:c r="C149" t="str">
        <x:v>サポート型</x:v>
      </x:c>
      <x:c r="D149" t="str">
        <x:v>Warden</x:v>
      </x:c>
      <x:c r="E149" t="str">
        <x:v>フリーザー</x:v>
      </x:c>
      <x:c r="F149" t="str">
        <x:v>共通</x:v>
      </x:c>
      <x:c r="G149" t="str">
        <x:v>Warden</x:v>
      </x:c>
      <x:c r="H149" s="60" t="n">
        <x:v>6.435674824582206</x:v>
      </x:c>
      <x:c r="I149" t="str">
        <x:v>Yes</x:v>
      </x:c>
      <x:c r="J149" t="str">
        <x:v>やや近い</x:v>
      </x:c>
    </x:row>
    <x:row r="150">
      <x:c r="A150" t="str">
        <x:v>マホイップ</x:v>
      </x:c>
      <x:c r="B150" t="str">
        <x:v>共通</x:v>
      </x:c>
      <x:c r="C150" t="str">
        <x:v>サポート型</x:v>
      </x:c>
      <x:c r="D150" t="str">
        <x:v>Enchanter</x:v>
      </x:c>
      <x:c r="E150" t="str">
        <x:v>ピクシー</x:v>
      </x:c>
      <x:c r="F150" t="str">
        <x:v>共通</x:v>
      </x:c>
      <x:c r="G150" t="str">
        <x:v>Enchanter</x:v>
      </x:c>
      <x:c r="H150" s="60" t="n">
        <x:v>13.11544606077637</x:v>
      </x:c>
      <x:c r="I150" t="str">
        <x:v>Yes</x:v>
      </x:c>
      <x:c r="J150" t="str">
        <x:v>十分離れている</x:v>
      </x:c>
    </x:row>
    <x:row r="151">
      <x:c r="A151" t="str">
        <x:v>メガニウム</x:v>
      </x:c>
      <x:c r="B151" t="str">
        <x:v>共通</x:v>
      </x:c>
      <x:c r="C151" t="str">
        <x:v>サポート型</x:v>
      </x:c>
      <x:c r="D151" t="str">
        <x:v>Enchanter</x:v>
      </x:c>
      <x:c r="E151" t="str">
        <x:v>ピクシー</x:v>
      </x:c>
      <x:c r="F151" t="str">
        <x:v>共通</x:v>
      </x:c>
      <x:c r="G151" t="str">
        <x:v>Enchanter</x:v>
      </x:c>
      <x:c r="H151" s="60" t="n">
        <x:v>6.435674824582206</x:v>
      </x:c>
      <x:c r="I151" t="str">
        <x:v>Yes</x:v>
      </x:c>
      <x:c r="J151" t="str">
        <x:v>やや近い</x:v>
      </x:c>
    </x:row>
    <x:row r="152">
      <x:c r="A152" t="str">
        <x:v>ヤミラミ</x:v>
      </x:c>
      <x:c r="B152" t="str">
        <x:v>共通</x:v>
      </x:c>
      <x:c r="C152" t="str">
        <x:v>サポート型</x:v>
      </x:c>
      <x:c r="D152" t="str">
        <x:v>Specialist</x:v>
      </x:c>
      <x:c r="E152" t="str">
        <x:v>ヨクバリス</x:v>
      </x:c>
      <x:c r="F152" t="str">
        <x:v>ほしがる</x:v>
      </x:c>
      <x:c r="G152" t="str">
        <x:v>Diver</x:v>
      </x:c>
      <x:c r="H152" s="60" t="n">
        <x:v>17.756646853014974</x:v>
      </x:c>
      <x:c r="I152" t="str">
        <x:v>No</x:v>
      </x:c>
      <x:c r="J152" t="str">
        <x:v>十分離れている</x:v>
      </x:c>
    </x:row>
    <x:row r="153">
      <x:c r="A153" t="str">
        <x:v>ラティアス</x:v>
      </x:c>
      <x:c r="B153" t="str">
        <x:v>共通</x:v>
      </x:c>
      <x:c r="C153" t="str">
        <x:v>サポート型</x:v>
      </x:c>
      <x:c r="D153" t="str">
        <x:v>Enchanter</x:v>
      </x:c>
      <x:c r="E153" t="str">
        <x:v>ワタシラガ</x:v>
      </x:c>
      <x:c r="F153" t="str">
        <x:v>共通</x:v>
      </x:c>
      <x:c r="G153" t="str">
        <x:v>Enchanter</x:v>
      </x:c>
      <x:c r="H153" s="60" t="n">
        <x:v>10.513850140463266</x:v>
      </x:c>
      <x:c r="I153" t="str">
        <x:v>Yes</x:v>
      </x:c>
      <x:c r="J153" t="str">
        <x:v>十分離れている</x:v>
      </x:c>
    </x:row>
    <x:row r="154">
      <x:c r="A154" t="str">
        <x:v>ワタシラガ</x:v>
      </x:c>
      <x:c r="B154" t="str">
        <x:v>共通</x:v>
      </x:c>
      <x:c r="C154" t="str">
        <x:v>サポート型</x:v>
      </x:c>
      <x:c r="D154" t="str">
        <x:v>Enchanter</x:v>
      </x:c>
      <x:c r="E154" t="str">
        <x:v>バリヤード</x:v>
      </x:c>
      <x:c r="F154" t="str">
        <x:v>パワースワップ</x:v>
      </x:c>
      <x:c r="G154" t="str">
        <x:v>Enchanter</x:v>
      </x:c>
      <x:c r="H154" s="60" t="n">
        <x:v>10.460479998118862</x:v>
      </x:c>
      <x:c r="I154" t="str">
        <x:v>Yes</x:v>
      </x:c>
      <x:c r="J154" t="str">
        <x:v>十分離れている</x:v>
      </x:c>
    </x:row>
    <x:row r="155">
      <x:c r="A155" t="str">
        <x:v>ドラパルト</x:v>
      </x:c>
      <x:c r="B155" t="str">
        <x:v>ゴーストダイブ</x:v>
      </x:c>
      <x:c r="C155" t="str">
        <x:v>アタック型</x:v>
      </x:c>
      <x:c r="D155" t="str">
        <x:v>Assassin</x:v>
      </x:c>
      <x:c r="E155" t="str">
        <x:v>ハッサム</x:v>
      </x:c>
      <x:c r="F155" t="str">
        <x:v>ストライク</x:v>
      </x:c>
      <x:c r="G155" t="str">
        <x:v>Assassin</x:v>
      </x:c>
      <x:c r="H155" s="60" t="n">
        <x:v>10.536007910331463</x:v>
      </x:c>
      <x:c r="I155" t="str">
        <x:v>Yes</x:v>
      </x:c>
      <x:c r="J155" t="str">
        <x:v>十分離れている</x:v>
      </x:c>
    </x:row>
    <x:row r="156">
      <x:c r="A156" t="str">
        <x:v>ホウオウ</x:v>
      </x:c>
      <x:c r="B156" t="str">
        <x:v>かえんほうしゃ</x:v>
      </x:c>
      <x:c r="C156" t="str">
        <x:v>ディフェンス型</x:v>
      </x:c>
      <x:c r="D156" t="str">
        <x:v>Juggernaut</x:v>
      </x:c>
      <x:c r="E156" t="str">
        <x:v>ラプラス</x:v>
      </x:c>
      <x:c r="F156" t="str">
        <x:v>共通</x:v>
      </x:c>
      <x:c r="G156" t="str">
        <x:v>Juggernaut</x:v>
      </x:c>
      <x:c r="H156" s="60" t="n">
        <x:v>10.575774908978214</x:v>
      </x:c>
      <x:c r="I156" t="str">
        <x:v>Yes</x:v>
      </x:c>
      <x:c r="J156" t="str">
        <x:v>十分離れている</x:v>
      </x:c>
    </x:row>
    <x:row r="157">
      <x:c r="A157" t="str">
        <x:v>ラプラス</x:v>
      </x:c>
      <x:c r="B157" t="str">
        <x:v>共通</x:v>
      </x:c>
      <x:c r="C157" t="str">
        <x:v>ディフェンス型</x:v>
      </x:c>
      <x:c r="D157" t="str">
        <x:v>Juggernaut</x:v>
      </x:c>
      <x:c r="E157" t="str">
        <x:v>ホウオウ</x:v>
      </x:c>
      <x:c r="F157" t="str">
        <x:v>かえんほうしゃ</x:v>
      </x:c>
      <x:c r="G157" t="str">
        <x:v>Juggernaut</x:v>
      </x:c>
      <x:c r="H157" s="60" t="n">
        <x:v>10.575774908978214</x:v>
      </x:c>
      <x:c r="I157" t="str">
        <x:v>Yes</x:v>
      </x:c>
      <x:c r="J157" t="str">
        <x:v>十分離れている</x:v>
      </x:c>
    </x:row>
    <x:row r="158">
      <x:c r="A158" t="str">
        <x:v>キュワワー</x:v>
      </x:c>
      <x:c r="B158" t="str">
        <x:v>共通</x:v>
      </x:c>
      <x:c r="C158" t="str">
        <x:v>サポート型</x:v>
      </x:c>
      <x:c r="D158" t="str">
        <x:v>Enchanter</x:v>
      </x:c>
      <x:c r="E158" t="str">
        <x:v>メガニウム</x:v>
      </x:c>
      <x:c r="F158" t="str">
        <x:v>共通</x:v>
      </x:c>
      <x:c r="G158" t="str">
        <x:v>Enchanter</x:v>
      </x:c>
      <x:c r="H158" s="60" t="n">
        <x:v>11.079765071058626</x:v>
      </x:c>
      <x:c r="I158" t="str">
        <x:v>Yes</x:v>
      </x:c>
      <x:c r="J158" t="str">
        <x:v>十分離れている</x:v>
      </x:c>
    </x:row>
    <x:row r="159">
      <x:c r="A159" t="str">
        <x:v>ホウオウ</x:v>
      </x:c>
      <x:c r="B159" t="str">
        <x:v>ゴッドバード</x:v>
      </x:c>
      <x:c r="C159" t="str">
        <x:v>ディフェンス型</x:v>
      </x:c>
      <x:c r="D159" t="str">
        <x:v>Vanguard</x:v>
      </x:c>
      <x:c r="E159" t="str">
        <x:v>ヨクバリス</x:v>
      </x:c>
      <x:c r="F159" t="str">
        <x:v>ほしがる</x:v>
      </x:c>
      <x:c r="G159" t="str">
        <x:v>Diver</x:v>
      </x:c>
      <x:c r="H159" s="60" t="n">
        <x:v>15.255901720758194</x:v>
      </x:c>
      <x:c r="I159" t="str">
        <x:v>No</x:v>
      </x:c>
      <x:c r="J159" t="str">
        <x:v>十分離れている</x:v>
      </x:c>
    </x:row>
    <x:row r="160">
      <x:c r="A160" t="str">
        <x:v>ミュウ</x:v>
      </x:c>
      <x:c r="B160" t="str">
        <x:v>共通</x:v>
      </x:c>
      <x:c r="C160" t="str">
        <x:v>アタック型</x:v>
      </x:c>
      <x:c r="D160" t="str">
        <x:v>Specialist</x:v>
      </x:c>
      <x:c r="E160" t="str">
        <x:v>エーフィ</x:v>
      </x:c>
      <x:c r="F160" t="str">
        <x:v>共通</x:v>
      </x:c>
      <x:c r="G160" t="str">
        <x:v>BurstMage</x:v>
      </x:c>
      <x:c r="H160" s="60" t="n">
        <x:v>16.178805003562026</x:v>
      </x:c>
      <x:c r="I160" t="str">
        <x:v>No</x:v>
      </x:c>
      <x:c r="J160" t="str">
        <x:v>十分離れている</x:v>
      </x:c>
    </x:row>
    <x:row r="161">
      <x:c r="A161" t="str">
        <x:v>ヤミラミ</x:v>
      </x:c>
      <x:c r="B161" t="str">
        <x:v>共通</x:v>
      </x:c>
      <x:c r="C161" t="str">
        <x:v>サポート型</x:v>
      </x:c>
      <x:c r="D161" t="str">
        <x:v>Specialist</x:v>
      </x:c>
      <x:c r="E161" t="str">
        <x:v>ホウオウ</x:v>
      </x:c>
      <x:c r="F161" t="str">
        <x:v>ゴッドバード</x:v>
      </x:c>
      <x:c r="G161" t="str">
        <x:v>Vanguard</x:v>
      </x:c>
      <x:c r="H161" s="60" t="n">
        <x:v>17.60363768377129</x:v>
      </x:c>
      <x:c r="I161" t="str">
        <x:v>No</x:v>
      </x:c>
      <x:c r="J161" t="str">
        <x:v>十分離れている</x:v>
      </x:c>
    </x:row>
    <x:row r="162">
      <x:c r="A162" t="str">
        <x:v>フーパ</x:v>
      </x:c>
      <x:c r="B162" t="str">
        <x:v>いじげんホール</x:v>
      </x:c>
      <x:c r="C162" t="str">
        <x:v>サポート型</x:v>
      </x:c>
      <x:c r="D162" t="str">
        <x:v>Specialist</x:v>
      </x:c>
      <x:c r="E162" t="str">
        <x:v>ハピナス</x:v>
      </x:c>
      <x:c r="F162" t="str">
        <x:v>共通</x:v>
      </x:c>
      <x:c r="G162" t="str">
        <x:v>Enchanter</x:v>
      </x:c>
      <x:c r="H162" s="60" t="n">
        <x:v>19.77485211371764</x:v>
      </x:c>
      <x:c r="I162" t="str">
        <x:v>No</x:v>
      </x:c>
      <x:c r="J162" t="str">
        <x:v>十分離れている</x:v>
      </x:c>
    </x:row>
  </x:sheetData>
  <x:mergeCells>
    <x:mergeCell ref="A1:J2"/>
    <x:mergeCell ref="A3:J4"/>
    <x:mergeCell ref="A1:N2"/>
    <x:mergeCell ref="A3:N4"/>
  </x:mergeCells>
  <x:conditionalFormatting sqref="J33:J162">
    <x:cfRule type="expression" dxfId="7" priority="1">
      <x:formula>J33="要調整"</x:formula>
    </x:cfRule>
    <x:cfRule type="expression" dxfId="8" priority="2">
      <x:formula>J33="かなり近い"</x:formula>
    </x:cfRule>
    <x:cfRule type="expression" dxfId="9" priority="3">
      <x:formula>J33="近い"</x:formula>
    </x:cfRule>
  </x:conditionalFormatting>
  <x:pageMargins left="0.7" right="0.7" top="0.75" bottom="0.75" header="0.3" footer="0.3"/>
</x:worksheet>
</file>

<file path=xl/worksheets/sheet18.xml><?xml version="1.0" encoding="utf-8"?>
<x:worksheet xmlns:x="http://schemas.openxmlformats.org/spreadsheetml/2006/main">
  <x:sheetFormatPr defaultRowHeight="15"/>
  <x:cols>
    <x:col min="5" max="5" width="10"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 min="16" max="16" width="10" hidden="0" customWidth="1"/>
    <x:col min="17" max="17" width="10" hidden="0" customWidth="1"/>
    <x:col min="18" max="18" width="10" hidden="0" customWidth="1"/>
    <x:col min="19" max="19" width="10" hidden="0" customWidth="1"/>
    <x:col min="1" max="1" width="22" hidden="0" customWidth="1"/>
    <x:col min="2" max="2" width="18" hidden="0" customWidth="1"/>
    <x:col min="3" max="3" width="18" hidden="0" customWidth="1"/>
    <x:col min="4" max="4" width="18" hidden="0" customWidth="1"/>
    <x:col min="20" max="20" width="46" hidden="0" customWidth="1"/>
    <x:col min="21" max="21" width="72" hidden="0" customWidth="1"/>
    <x:col min="22" max="22" width="48" hidden="0" customWidth="1"/>
    <x:col min="23" max="23" width="48" hidden="0" customWidth="1"/>
    <x:col min="24" max="24" width="48" hidden="0" customWidth="1"/>
  </x:cols>
  <x:sheetData>
    <x:row r="1">
      <x:c r="A1" s="213" t="str">
        <x:v>ProfileID</x:v>
      </x:c>
      <x:c r="B1" s="213" t="str">
        <x:v>Pokemon</x:v>
      </x:c>
      <x:c r="C1" s="213" t="str">
        <x:v>ProfileName</x:v>
      </x:c>
      <x:c r="D1" s="213" t="str">
        <x:v>PrimaryArchetype</x:v>
      </x:c>
      <x:c r="E1" s="213" t="str">
        <x:v>Δ_Engage</x:v>
      </x:c>
      <x:c r="F1" s="213" t="str">
        <x:v>Δ_Dive</x:v>
      </x:c>
      <x:c r="G1" s="213" t="str">
        <x:v>Δ_Peel</x:v>
      </x:c>
      <x:c r="H1" s="213" t="str">
        <x:v>Δ_Frontline</x:v>
      </x:c>
      <x:c r="I1" s="213" t="str">
        <x:v>Δ_Poke</x:v>
      </x:c>
      <x:c r="J1" s="213" t="str">
        <x:v>Δ_FightTempo</x:v>
      </x:c>
      <x:c r="K1" s="213" t="str">
        <x:v>Δ_Control</x:v>
      </x:c>
      <x:c r="L1" s="213" t="str">
        <x:v>Δ_Support</x:v>
      </x:c>
      <x:c r="M1" s="213" t="str">
        <x:v>Δ_Mobility</x:v>
      </x:c>
      <x:c r="N1" s="213" t="str">
        <x:v>Δ_SelfSufficiency</x:v>
      </x:c>
      <x:c r="O1" s="213" t="str">
        <x:v>Δ_FarmScaling</x:v>
      </x:c>
      <x:c r="P1" s="213" t="str">
        <x:v>Δ_ObjectiveSecure</x:v>
      </x:c>
      <x:c r="Q1" s="213" t="str">
        <x:v>Δ_ScoringSide</x:v>
      </x:c>
      <x:c r="R1" s="213" t="str">
        <x:v>Δ_Execution</x:v>
      </x:c>
      <x:c r="S1" s="213" t="str">
        <x:v>Δ_Decision</x:v>
      </x:c>
      <x:c r="T1" s="213" t="str">
        <x:v>ManualSignature</x:v>
      </x:c>
      <x:c r="U1" s="213" t="str">
        <x:v>ResearchBasis</x:v>
      </x:c>
      <x:c r="V1" s="213" t="str">
        <x:v>PrimarySource</x:v>
      </x:c>
      <x:c r="W1" s="213" t="str">
        <x:v>GeneralWiki</x:v>
      </x:c>
      <x:c r="X1" s="213" t="str">
        <x:v>MetaCrossCheck</x:v>
      </x:c>
    </x:row>
    <x:row r="2">
      <x:c r="A2" s="12" t="str">
        <x:v>アローラキュウコン-1</x:v>
      </x:c>
      <x:c r="B2" s="12" t="str">
        <x:v>アローラキュウコン</x:v>
      </x:c>
      <x:c r="C2" s="12" t="str">
        <x:v>ふぶき</x:v>
      </x:c>
      <x:c r="D2" s="12" t="str">
        <x:v>BurstMage</x:v>
      </x:c>
      <x:c r="E2" s="12" t="n">
        <x:v>0</x:v>
      </x:c>
      <x:c r="F2" s="12" t="n">
        <x:v>0</x:v>
      </x:c>
      <x:c r="G2" s="12" t="n">
        <x:v>0</x:v>
      </x:c>
      <x:c r="H2" s="12" t="n">
        <x:v>-5</x:v>
      </x:c>
      <x:c r="I2" s="12" t="n">
        <x:v>5</x:v>
      </x:c>
      <x:c r="J2" s="12" t="n">
        <x:v>-5</x:v>
      </x:c>
      <x:c r="K2" s="12" t="n">
        <x:v>5</x:v>
      </x:c>
      <x:c r="L2" s="12" t="n">
        <x:v>-5</x:v>
      </x:c>
      <x:c r="M2" s="12" t="n">
        <x:v>5</x:v>
      </x:c>
      <x:c r="N2" s="12" t="n">
        <x:v>5</x:v>
      </x:c>
      <x:c r="O2" s="12" t="n">
        <x:v>0</x:v>
      </x:c>
      <x:c r="P2" s="12" t="n">
        <x:v>0</x:v>
      </x:c>
      <x:c r="Q2" s="12" t="n">
        <x:v>0</x:v>
      </x:c>
      <x:c r="R2" s="12" t="n">
        <x:v>0</x:v>
      </x:c>
      <x:c r="S2" s="12" t="n">
        <x:v>0</x:v>
      </x:c>
      <x:c r="T2" s="12" t="str">
        <x:v>なし（既存個体差の拡張のみ）</x:v>
      </x:c>
      <x:c r="U2" s="12" t="str">
        <x:v>Wikiのロール・長所短所と既存プロファイルの方向性を保ちながら、同アーキタイプ内の差を拡張。</x:v>
      </x:c>
      <x:c r="V2" s="12" t="str">
        <x:v>https://wikiwiki.jp/poke-unite/%E3%82%A2%E3%83%AD%E3%83%BC%E3%83%A9%E3%82%AD%E3%83%A5%E3%82%A6%E3%82%B3%E3%83%B3</x:v>
      </x:c>
      <x:c r="W2" s="12" t="str">
        <x:v>https://wikiwiki.jp/poke-unite/%E4%B8%80%E8%A6%A7</x:v>
      </x:c>
      <x:c r="X2" s="12" t="str">
        <x:v>https://uniteapi.dev/jp/meta</x:v>
      </x:c>
    </x:row>
    <x:row r="3">
      <x:c r="A3" s="12" t="str">
        <x:v>アローラキュウコン-2</x:v>
      </x:c>
      <x:c r="B3" s="12" t="str">
        <x:v>アローラキュウコン</x:v>
      </x:c>
      <x:c r="C3" s="12" t="str">
        <x:v>オーロラベール</x:v>
      </x:c>
      <x:c r="D3" s="12" t="str">
        <x:v>Marksman</x:v>
      </x:c>
      <x:c r="E3" s="12" t="n">
        <x:v>5</x:v>
      </x:c>
      <x:c r="F3" s="12" t="n">
        <x:v>-5</x:v>
      </x:c>
      <x:c r="G3" s="12" t="n">
        <x:v>10</x:v>
      </x:c>
      <x:c r="H3" s="12" t="n">
        <x:v>10</x:v>
      </x:c>
      <x:c r="I3" s="12" t="n">
        <x:v>-10</x:v>
      </x:c>
      <x:c r="J3" s="12" t="n">
        <x:v>0</x:v>
      </x:c>
      <x:c r="K3" s="12" t="n">
        <x:v>10</x:v>
      </x:c>
      <x:c r="L3" s="12" t="n">
        <x:v>10</x:v>
      </x:c>
      <x:c r="M3" s="12" t="n">
        <x:v>-10</x:v>
      </x:c>
      <x:c r="N3" s="12" t="n">
        <x:v>-5</x:v>
      </x:c>
      <x:c r="O3" s="12" t="n">
        <x:v>-10</x:v>
      </x:c>
      <x:c r="P3" s="12" t="n">
        <x:v>-10</x:v>
      </x:c>
      <x:c r="Q3" s="12" t="n">
        <x:v>-10</x:v>
      </x:c>
      <x:c r="R3" s="12" t="n">
        <x:v>-10</x:v>
      </x:c>
      <x:c r="S3" s="12" t="n">
        <x:v>5</x:v>
      </x:c>
      <x:c r="T3" s="12" t="str">
        <x:v>なし（既存個体差の拡張のみ）</x:v>
      </x:c>
      <x:c r="U3" s="12" t="str">
        <x:v>Wikiのロール・長所短所と既存プロファイルの方向性を保ちながら、同アーキタイプ内の差を拡張。</x:v>
      </x:c>
      <x:c r="V3" s="12" t="str">
        <x:v>https://wikiwiki.jp/poke-unite/%E3%82%A2%E3%83%AD%E3%83%BC%E3%83%A9%E3%82%AD%E3%83%A5%E3%82%A6%E3%82%B3%E3%83%B3</x:v>
      </x:c>
      <x:c r="W3" s="12" t="str">
        <x:v>https://wikiwiki.jp/poke-unite/%E4%B8%80%E8%A6%A7</x:v>
      </x:c>
      <x:c r="X3" s="12" t="str">
        <x:v>https://uniteapi.dev/jp/meta</x:v>
      </x:c>
    </x:row>
    <x:row r="4">
      <x:c r="A4" s="12" t="str">
        <x:v>アローラライチュウ-1</x:v>
      </x:c>
      <x:c r="B4" s="12" t="str">
        <x:v>アローラライチュウ</x:v>
      </x:c>
      <x:c r="C4" s="12" t="str">
        <x:v>共通</x:v>
      </x:c>
      <x:c r="D4" s="12" t="str">
        <x:v>BattleMage</x:v>
      </x:c>
      <x:c r="E4" s="12" t="n">
        <x:v>5</x:v>
      </x:c>
      <x:c r="F4" s="12" t="n">
        <x:v>0</x:v>
      </x:c>
      <x:c r="G4" s="12" t="n">
        <x:v>0</x:v>
      </x:c>
      <x:c r="H4" s="12" t="n">
        <x:v>0</x:v>
      </x:c>
      <x:c r="I4" s="12" t="n">
        <x:v>5</x:v>
      </x:c>
      <x:c r="J4" s="12" t="n">
        <x:v>0</x:v>
      </x:c>
      <x:c r="K4" s="12" t="n">
        <x:v>5</x:v>
      </x:c>
      <x:c r="L4" s="12" t="n">
        <x:v>0</x:v>
      </x:c>
      <x:c r="M4" s="12" t="n">
        <x:v>0</x:v>
      </x:c>
      <x:c r="N4" s="12" t="n">
        <x:v>0</x:v>
      </x:c>
      <x:c r="O4" s="12" t="n">
        <x:v>-5</x:v>
      </x:c>
      <x:c r="P4" s="12" t="n">
        <x:v>-5</x:v>
      </x:c>
      <x:c r="Q4" s="12" t="n">
        <x:v>0</x:v>
      </x:c>
      <x:c r="R4" s="12" t="n">
        <x:v>-5</x:v>
      </x:c>
      <x:c r="S4" s="12" t="n">
        <x:v>0</x:v>
      </x:c>
      <x:c r="T4" s="12" t="str">
        <x:v>なし（既存個体差の拡張のみ）</x:v>
      </x:c>
      <x:c r="U4" s="12" t="str">
        <x:v>Wikiのロール・長所短所と既存プロファイルの方向性を保ちながら、同アーキタイプ内の差を拡張。</x:v>
      </x:c>
      <x:c r="V4" s="12" t="str">
        <x:v>https://wikiwiki.jp/poke-unite/%E3%82%A2%E3%83%AD%E3%83%BC%E3%83%A9%E3%83%A9%E3%82%A4%E3%83%81%E3%83%A5%E3%82%A6</x:v>
      </x:c>
      <x:c r="W4" s="12" t="str">
        <x:v>https://wikiwiki.jp/poke-unite/%E4%B8%80%E8%A6%A7</x:v>
      </x:c>
      <x:c r="X4" s="12" t="str">
        <x:v>https://uniteapi.dev/jp/meta</x:v>
      </x:c>
    </x:row>
    <x:row r="5">
      <x:c r="A5" s="12" t="str">
        <x:v>イベルタル-1</x:v>
      </x:c>
      <x:c r="B5" s="12" t="str">
        <x:v>イベルタル</x:v>
      </x:c>
      <x:c r="C5" s="12" t="str">
        <x:v>共通</x:v>
      </x:c>
      <x:c r="D5" s="12" t="str">
        <x:v>BurstMage</x:v>
      </x:c>
      <x:c r="E5" s="12" t="n">
        <x:v>0</x:v>
      </x:c>
      <x:c r="F5" s="12" t="n">
        <x:v>0</x:v>
      </x:c>
      <x:c r="G5" s="12" t="n">
        <x:v>0</x:v>
      </x:c>
      <x:c r="H5" s="12" t="n">
        <x:v>5</x:v>
      </x:c>
      <x:c r="I5" s="12" t="n">
        <x:v>0</x:v>
      </x:c>
      <x:c r="J5" s="12" t="n">
        <x:v>-5</x:v>
      </x:c>
      <x:c r="K5" s="12" t="n">
        <x:v>-5</x:v>
      </x:c>
      <x:c r="L5" s="12" t="n">
        <x:v>0</x:v>
      </x:c>
      <x:c r="M5" s="12" t="n">
        <x:v>0</x:v>
      </x:c>
      <x:c r="N5" s="12" t="n">
        <x:v>5</x:v>
      </x:c>
      <x:c r="O5" s="12" t="n">
        <x:v>0</x:v>
      </x:c>
      <x:c r="P5" s="12" t="n">
        <x:v>10</x:v>
      </x:c>
      <x:c r="Q5" s="12" t="n">
        <x:v>0</x:v>
      </x:c>
      <x:c r="R5" s="12" t="n">
        <x:v>0</x:v>
      </x:c>
      <x:c r="S5" s="12" t="n">
        <x:v>0</x:v>
      </x:c>
      <x:c r="T5" s="12" t="str">
        <x:v>なし（既存個体差の拡張のみ）</x:v>
      </x:c>
      <x:c r="U5" s="12" t="str">
        <x:v>Wikiのロール・長所短所と既存プロファイルの方向性を保ちながら、同アーキタイプ内の差を拡張。</x:v>
      </x:c>
      <x:c r="V5" s="12" t="str">
        <x:v>https://wikiwiki.jp/poke-unite/%E3%82%A4%E3%83%99%E3%83%AB%E3%82%BF%E3%83%AB</x:v>
      </x:c>
      <x:c r="W5" s="12" t="str">
        <x:v>https://wikiwiki.jp/poke-unite/%E4%B8%80%E8%A6%A7</x:v>
      </x:c>
      <x:c r="X5" s="12" t="str">
        <x:v>https://uniteapi.dev/jp/meta</x:v>
      </x:c>
    </x:row>
    <x:row r="6">
      <x:c r="A6" s="12" t="str">
        <x:v>インテレオン-1</x:v>
      </x:c>
      <x:c r="B6" s="12" t="str">
        <x:v>インテレオン</x:v>
      </x:c>
      <x:c r="C6" s="12" t="str">
        <x:v>ねらいうち</x:v>
      </x:c>
      <x:c r="D6" s="12" t="str">
        <x:v>Artillery</x:v>
      </x:c>
      <x:c r="E6" s="12" t="n">
        <x:v>0</x:v>
      </x:c>
      <x:c r="F6" s="12" t="n">
        <x:v>0</x:v>
      </x:c>
      <x:c r="G6" s="12" t="n">
        <x:v>0</x:v>
      </x:c>
      <x:c r="H6" s="12" t="n">
        <x:v>0</x:v>
      </x:c>
      <x:c r="I6" s="12" t="n">
        <x:v>0</x:v>
      </x:c>
      <x:c r="J6" s="12" t="n">
        <x:v>-10</x:v>
      </x:c>
      <x:c r="K6" s="12" t="n">
        <x:v>-10</x:v>
      </x:c>
      <x:c r="L6" s="12" t="n">
        <x:v>0</x:v>
      </x:c>
      <x:c r="M6" s="12" t="n">
        <x:v>10</x:v>
      </x:c>
      <x:c r="N6" s="12" t="n">
        <x:v>0</x:v>
      </x:c>
      <x:c r="O6" s="12" t="n">
        <x:v>0</x:v>
      </x:c>
      <x:c r="P6" s="12" t="n">
        <x:v>0</x:v>
      </x:c>
      <x:c r="Q6" s="12" t="n">
        <x:v>0</x:v>
      </x:c>
      <x:c r="R6" s="12" t="n">
        <x:v>10</x:v>
      </x:c>
      <x:c r="S6" s="12" t="n">
        <x:v>0</x:v>
      </x:c>
      <x:c r="T6" s="12" t="str">
        <x:v>Poke+10 / FightTempo-10 / Mobility+10 / Control-10 / Execution+10</x:v>
      </x:c>
      <x:c r="U6" s="12" t="str">
        <x:v>極長射程・高単発火力と逃げ性能。Poke/Execution/Mobilityを強調。</x:v>
      </x:c>
      <x:c r="V6" s="12" t="str">
        <x:v>https://wikiwiki.jp/poke-unite/%E3%82%A4%E3%83%B3%E3%83%86%E3%83%AC%E3%82%AA%E3%83%B3</x:v>
      </x:c>
      <x:c r="W6" s="12" t="str">
        <x:v>https://wikiwiki.jp/poke-unite/%E4%B8%80%E8%A6%A7</x:v>
      </x:c>
      <x:c r="X6" s="12" t="str">
        <x:v>https://uniteapi.dev/jp/meta</x:v>
      </x:c>
    </x:row>
    <x:row r="7">
      <x:c r="A7" s="12" t="str">
        <x:v>インテレオン-2</x:v>
      </x:c>
      <x:c r="B7" s="12" t="str">
        <x:v>インテレオン</x:v>
      </x:c>
      <x:c r="C7" s="12" t="str">
        <x:v>アクアブレイク</x:v>
      </x:c>
      <x:c r="D7" s="12" t="str">
        <x:v>BattleMage</x:v>
      </x:c>
      <x:c r="E7" s="12" t="n">
        <x:v>-10</x:v>
      </x:c>
      <x:c r="F7" s="12" t="n">
        <x:v>-5</x:v>
      </x:c>
      <x:c r="G7" s="12" t="n">
        <x:v>-5</x:v>
      </x:c>
      <x:c r="H7" s="12" t="n">
        <x:v>-5</x:v>
      </x:c>
      <x:c r="I7" s="12" t="n">
        <x:v>-10</x:v>
      </x:c>
      <x:c r="J7" s="12" t="n">
        <x:v>5</x:v>
      </x:c>
      <x:c r="K7" s="12" t="n">
        <x:v>-10</x:v>
      </x:c>
      <x:c r="L7" s="12" t="n">
        <x:v>-5</x:v>
      </x:c>
      <x:c r="M7" s="12" t="n">
        <x:v>0</x:v>
      </x:c>
      <x:c r="N7" s="12" t="n">
        <x:v>0</x:v>
      </x:c>
      <x:c r="O7" s="12" t="n">
        <x:v>5</x:v>
      </x:c>
      <x:c r="P7" s="12" t="n">
        <x:v>5</x:v>
      </x:c>
      <x:c r="Q7" s="12" t="n">
        <x:v>0</x:v>
      </x:c>
      <x:c r="R7" s="12" t="n">
        <x:v>5</x:v>
      </x:c>
      <x:c r="S7" s="12" t="n">
        <x:v>0</x:v>
      </x:c>
      <x:c r="T7" s="12" t="str">
        <x:v>なし（既存個体差の拡張のみ）</x:v>
      </x:c>
      <x:c r="U7" s="12" t="str">
        <x:v>Wikiのロール・長所短所と既存プロファイルの方向性を保ちながら、同アーキタイプ内の差を拡張。</x:v>
      </x:c>
      <x:c r="V7" s="12" t="str">
        <x:v>https://wikiwiki.jp/poke-unite/%E3%82%A4%E3%83%B3%E3%83%86%E3%83%AC%E3%82%AA%E3%83%B3</x:v>
      </x:c>
      <x:c r="W7" s="12" t="str">
        <x:v>https://wikiwiki.jp/poke-unite/%E4%B8%80%E8%A6%A7</x:v>
      </x:c>
      <x:c r="X7" s="12" t="str">
        <x:v>https://uniteapi.dev/jp/meta</x:v>
      </x:c>
    </x:row>
    <x:row r="8">
      <x:c r="A8" s="12" t="str">
        <x:v>ウッウ-1</x:v>
      </x:c>
      <x:c r="B8" s="12" t="str">
        <x:v>ウッウ</x:v>
      </x:c>
      <x:c r="C8" s="12" t="str">
        <x:v>なみのり</x:v>
      </x:c>
      <x:c r="D8" s="12" t="str">
        <x:v>BurstMage</x:v>
      </x:c>
      <x:c r="E8" s="12" t="n">
        <x:v>0</x:v>
      </x:c>
      <x:c r="F8" s="12" t="n">
        <x:v>0</x:v>
      </x:c>
      <x:c r="G8" s="12" t="n">
        <x:v>0</x:v>
      </x:c>
      <x:c r="H8" s="12" t="n">
        <x:v>-5</x:v>
      </x:c>
      <x:c r="I8" s="12" t="n">
        <x:v>5</x:v>
      </x:c>
      <x:c r="J8" s="12" t="n">
        <x:v>-5</x:v>
      </x:c>
      <x:c r="K8" s="12" t="n">
        <x:v>15</x:v>
      </x:c>
      <x:c r="L8" s="12" t="n">
        <x:v>0</x:v>
      </x:c>
      <x:c r="M8" s="12" t="n">
        <x:v>-10</x:v>
      </x:c>
      <x:c r="N8" s="12" t="n">
        <x:v>-5</x:v>
      </x:c>
      <x:c r="O8" s="12" t="n">
        <x:v>-15</x:v>
      </x:c>
      <x:c r="P8" s="12" t="n">
        <x:v>0</x:v>
      </x:c>
      <x:c r="Q8" s="12" t="n">
        <x:v>0</x:v>
      </x:c>
      <x:c r="R8" s="12" t="n">
        <x:v>10</x:v>
      </x:c>
      <x:c r="S8" s="12" t="n">
        <x:v>0</x:v>
      </x:c>
      <x:c r="T8" s="12" t="str">
        <x:v>Control+10 / FarmScaling-15 / Execution+10</x:v>
      </x:c>
      <x:c r="U8" s="12" t="str">
        <x:v>Wikiのロール・長所短所と既存プロファイルの方向性を保ちながら、同アーキタイプ内の差を拡張。</x:v>
      </x:c>
      <x:c r="V8" s="12" t="str">
        <x:v>https://wikiwiki.jp/poke-unite/%E3%82%A6%E3%83%83%E3%82%A6</x:v>
      </x:c>
      <x:c r="W8" s="12" t="str">
        <x:v>https://wikiwiki.jp/poke-unite/%E4%B8%80%E8%A6%A7</x:v>
      </x:c>
      <x:c r="X8" s="12" t="str">
        <x:v>https://uniteapi.dev/jp/meta</x:v>
      </x:c>
    </x:row>
    <x:row r="9">
      <x:c r="A9" s="12" t="str">
        <x:v>ウッウ-2</x:v>
      </x:c>
      <x:c r="B9" s="12" t="str">
        <x:v>ウッウ</x:v>
      </x:c>
      <x:c r="C9" s="12" t="str">
        <x:v>ダイビング</x:v>
      </x:c>
      <x:c r="D9" s="12" t="str">
        <x:v>BattleMage</x:v>
      </x:c>
      <x:c r="E9" s="12" t="n">
        <x:v>5</x:v>
      </x:c>
      <x:c r="F9" s="12" t="n">
        <x:v>5</x:v>
      </x:c>
      <x:c r="G9" s="12" t="n">
        <x:v>0</x:v>
      </x:c>
      <x:c r="H9" s="12" t="n">
        <x:v>0</x:v>
      </x:c>
      <x:c r="I9" s="12" t="n">
        <x:v>-10</x:v>
      </x:c>
      <x:c r="J9" s="12" t="n">
        <x:v>0</x:v>
      </x:c>
      <x:c r="K9" s="12" t="n">
        <x:v>5</x:v>
      </x:c>
      <x:c r="L9" s="12" t="n">
        <x:v>0</x:v>
      </x:c>
      <x:c r="M9" s="12" t="n">
        <x:v>5</x:v>
      </x:c>
      <x:c r="N9" s="12" t="n">
        <x:v>0</x:v>
      </x:c>
      <x:c r="O9" s="12" t="n">
        <x:v>-5</x:v>
      </x:c>
      <x:c r="P9" s="12" t="n">
        <x:v>0</x:v>
      </x:c>
      <x:c r="Q9" s="12" t="n">
        <x:v>0</x:v>
      </x:c>
      <x:c r="R9" s="12" t="n">
        <x:v>5</x:v>
      </x:c>
      <x:c r="S9" s="12" t="n">
        <x:v>0</x:v>
      </x:c>
      <x:c r="T9" s="12" t="str">
        <x:v>なし（既存個体差の拡張のみ）</x:v>
      </x:c>
      <x:c r="U9" s="12" t="str">
        <x:v>Wikiのロール・長所短所と既存プロファイルの方向性を保ちながら、同アーキタイプ内の差を拡張。</x:v>
      </x:c>
      <x:c r="V9" s="12" t="str">
        <x:v>https://wikiwiki.jp/poke-unite/%E3%82%A6%E3%83%83%E3%82%A6</x:v>
      </x:c>
      <x:c r="W9" s="12" t="str">
        <x:v>https://wikiwiki.jp/poke-unite/%E4%B8%80%E8%A6%A7</x:v>
      </x:c>
      <x:c r="X9" s="12" t="str">
        <x:v>https://uniteapi.dev/jp/meta</x:v>
      </x:c>
    </x:row>
    <x:row r="10">
      <x:c r="A10" s="12" t="str">
        <x:v>エースバーン-1</x:v>
      </x:c>
      <x:c r="B10" s="12" t="str">
        <x:v>エースバーン</x:v>
      </x:c>
      <x:c r="C10" s="12" t="str">
        <x:v>共通</x:v>
      </x:c>
      <x:c r="D10" s="12" t="str">
        <x:v>Marksman</x:v>
      </x:c>
      <x:c r="E10" s="12" t="n">
        <x:v>-10</x:v>
      </x:c>
      <x:c r="F10" s="12" t="n">
        <x:v>-5</x:v>
      </x:c>
      <x:c r="G10" s="12" t="n">
        <x:v>-5</x:v>
      </x:c>
      <x:c r="H10" s="12" t="n">
        <x:v>-5</x:v>
      </x:c>
      <x:c r="I10" s="12" t="n">
        <x:v>5</x:v>
      </x:c>
      <x:c r="J10" s="12" t="n">
        <x:v>15</x:v>
      </x:c>
      <x:c r="K10" s="12" t="n">
        <x:v>-10</x:v>
      </x:c>
      <x:c r="L10" s="12" t="n">
        <x:v>0</x:v>
      </x:c>
      <x:c r="M10" s="12" t="n">
        <x:v>10</x:v>
      </x:c>
      <x:c r="N10" s="12" t="n">
        <x:v>-5</x:v>
      </x:c>
      <x:c r="O10" s="12" t="n">
        <x:v>5</x:v>
      </x:c>
      <x:c r="P10" s="12" t="n">
        <x:v>10</x:v>
      </x:c>
      <x:c r="Q10" s="12" t="n">
        <x:v>5</x:v>
      </x:c>
      <x:c r="R10" s="12" t="n">
        <x:v>0</x:v>
      </x:c>
      <x:c r="S10" s="12" t="n">
        <x:v>0</x:v>
      </x:c>
      <x:c r="T10" s="12" t="str">
        <x:v>FightTempo+15 / ObjectiveSecure+15 / Mobility+10 / SelfSufficiency-5</x:v>
      </x:c>
      <x:c r="U10" s="12" t="str">
        <x:v>通常攻撃DPS・オブジェクト削り・ムーブ自衛。継続戦/取り切り/機動を強調。</x:v>
      </x:c>
      <x:c r="V10" s="12" t="str">
        <x:v>https://wikiwiki.jp/poke-unite/%E3%82%A8%E3%83%BC%E3%82%B9%E3%83%90%E3%83%BC%E3%83%B3</x:v>
      </x:c>
      <x:c r="W10" s="12" t="str">
        <x:v>https://wikiwiki.jp/poke-unite/%E4%B8%80%E8%A6%A7</x:v>
      </x:c>
      <x:c r="X10" s="12" t="str">
        <x:v>https://uniteapi.dev/jp/meta</x:v>
      </x:c>
    </x:row>
    <x:row r="11">
      <x:c r="A11" s="12" t="str">
        <x:v>エーフィ-1</x:v>
      </x:c>
      <x:c r="B11" s="12" t="str">
        <x:v>エーフィ</x:v>
      </x:c>
      <x:c r="C11" s="12" t="str">
        <x:v>共通</x:v>
      </x:c>
      <x:c r="D11" s="12" t="str">
        <x:v>BurstMage</x:v>
      </x:c>
      <x:c r="E11" s="12" t="n">
        <x:v>5</x:v>
      </x:c>
      <x:c r="F11" s="12" t="n">
        <x:v>10</x:v>
      </x:c>
      <x:c r="G11" s="12" t="n">
        <x:v>-5</x:v>
      </x:c>
      <x:c r="H11" s="12" t="n">
        <x:v>10</x:v>
      </x:c>
      <x:c r="I11" s="12" t="n">
        <x:v>-10</x:v>
      </x:c>
      <x:c r="J11" s="12" t="n">
        <x:v>10</x:v>
      </x:c>
      <x:c r="K11" s="12" t="n">
        <x:v>-10</x:v>
      </x:c>
      <x:c r="L11" s="12" t="n">
        <x:v>0</x:v>
      </x:c>
      <x:c r="M11" s="12" t="n">
        <x:v>10</x:v>
      </x:c>
      <x:c r="N11" s="12" t="n">
        <x:v>10</x:v>
      </x:c>
      <x:c r="O11" s="12" t="n">
        <x:v>0</x:v>
      </x:c>
      <x:c r="P11" s="12" t="n">
        <x:v>0</x:v>
      </x:c>
      <x:c r="Q11" s="12" t="n">
        <x:v>5</x:v>
      </x:c>
      <x:c r="R11" s="12" t="n">
        <x:v>0</x:v>
      </x:c>
      <x:c r="S11" s="12" t="n">
        <x:v>0</x:v>
      </x:c>
      <x:c r="T11" s="12" t="str">
        <x:v>なし（既存個体差の拡張のみ）</x:v>
      </x:c>
      <x:c r="U11" s="12" t="str">
        <x:v>Wikiのロール・長所短所と既存プロファイルの方向性を保ちながら、同アーキタイプ内の差を拡張。</x:v>
      </x:c>
      <x:c r="V11" s="12" t="str">
        <x:v>https://wikiwiki.jp/poke-unite/%E3%82%A8%E3%83%BC%E3%83%95%E3%82%A3</x:v>
      </x:c>
      <x:c r="W11" s="12" t="str">
        <x:v>https://wikiwiki.jp/poke-unite/%E4%B8%80%E8%A6%A7</x:v>
      </x:c>
      <x:c r="X11" s="12" t="str">
        <x:v>https://uniteapi.dev/jp/meta</x:v>
      </x:c>
    </x:row>
    <x:row r="12">
      <x:c r="A12" s="12" t="str">
        <x:v>グレイシア-1</x:v>
      </x:c>
      <x:c r="B12" s="12" t="str">
        <x:v>グレイシア</x:v>
      </x:c>
      <x:c r="C12" s="12" t="str">
        <x:v>共通</x:v>
      </x:c>
      <x:c r="D12" s="12" t="str">
        <x:v>Marksman</x:v>
      </x:c>
      <x:c r="E12" s="12" t="n">
        <x:v>5</x:v>
      </x:c>
      <x:c r="F12" s="12" t="n">
        <x:v>5</x:v>
      </x:c>
      <x:c r="G12" s="12" t="n">
        <x:v>0</x:v>
      </x:c>
      <x:c r="H12" s="12" t="n">
        <x:v>5</x:v>
      </x:c>
      <x:c r="I12" s="12" t="n">
        <x:v>0</x:v>
      </x:c>
      <x:c r="J12" s="12" t="n">
        <x:v>-5</x:v>
      </x:c>
      <x:c r="K12" s="12" t="n">
        <x:v>5</x:v>
      </x:c>
      <x:c r="L12" s="12" t="n">
        <x:v>0</x:v>
      </x:c>
      <x:c r="M12" s="12" t="n">
        <x:v>5</x:v>
      </x:c>
      <x:c r="N12" s="12" t="n">
        <x:v>5</x:v>
      </x:c>
      <x:c r="O12" s="12" t="n">
        <x:v>0</x:v>
      </x:c>
      <x:c r="P12" s="12" t="n">
        <x:v>-5</x:v>
      </x:c>
      <x:c r="Q12" s="12" t="n">
        <x:v>-5</x:v>
      </x:c>
      <x:c r="R12" s="12" t="n">
        <x:v>5</x:v>
      </x:c>
      <x:c r="S12" s="12" t="n">
        <x:v>0</x:v>
      </x:c>
      <x:c r="T12" s="12" t="str">
        <x:v>なし（既存個体差の拡張のみ）</x:v>
      </x:c>
      <x:c r="U12" s="12" t="str">
        <x:v>Wikiのロール・長所短所と既存プロファイルの方向性を保ちながら、同アーキタイプ内の差を拡張。</x:v>
      </x:c>
      <x:c r="V12" s="12" t="str">
        <x:v>https://wikiwiki.jp/poke-unite/%E3%82%B0%E3%83%AC%E3%82%A4%E3%82%B7%E3%82%A2</x:v>
      </x:c>
      <x:c r="W12" s="12" t="str">
        <x:v>https://wikiwiki.jp/poke-unite/%E4%B8%80%E8%A6%A7</x:v>
      </x:c>
      <x:c r="X12" s="12" t="str">
        <x:v>https://uniteapi.dev/jp/meta</x:v>
      </x:c>
    </x:row>
    <x:row r="13">
      <x:c r="A13" s="12" t="str">
        <x:v>グレンアルマ-1</x:v>
      </x:c>
      <x:c r="B13" s="12" t="str">
        <x:v>グレンアルマ</x:v>
      </x:c>
      <x:c r="C13" s="12" t="str">
        <x:v>ほのおのうず</x:v>
      </x:c>
      <x:c r="D13" s="12" t="str">
        <x:v>Juggernaut</x:v>
      </x:c>
      <x:c r="E13" s="12" t="n">
        <x:v>-5</x:v>
      </x:c>
      <x:c r="F13" s="12" t="n">
        <x:v>-5</x:v>
      </x:c>
      <x:c r="G13" s="12" t="n">
        <x:v>-10</x:v>
      </x:c>
      <x:c r="H13" s="12" t="n">
        <x:v>-10</x:v>
      </x:c>
      <x:c r="I13" s="12" t="n">
        <x:v>0</x:v>
      </x:c>
      <x:c r="J13" s="12" t="n">
        <x:v>0</x:v>
      </x:c>
      <x:c r="K13" s="12" t="n">
        <x:v>-5</x:v>
      </x:c>
      <x:c r="L13" s="12" t="n">
        <x:v>-5</x:v>
      </x:c>
      <x:c r="M13" s="12" t="n">
        <x:v>10</x:v>
      </x:c>
      <x:c r="N13" s="12" t="n">
        <x:v>0</x:v>
      </x:c>
      <x:c r="O13" s="12" t="n">
        <x:v>5</x:v>
      </x:c>
      <x:c r="P13" s="12" t="n">
        <x:v>5</x:v>
      </x:c>
      <x:c r="Q13" s="12" t="n">
        <x:v>0</x:v>
      </x:c>
      <x:c r="R13" s="12" t="n">
        <x:v>5</x:v>
      </x:c>
      <x:c r="S13" s="12" t="n">
        <x:v>0</x:v>
      </x:c>
      <x:c r="T13" s="12" t="str">
        <x:v>なし（既存個体差の拡張のみ）</x:v>
      </x:c>
      <x:c r="U13" s="12" t="str">
        <x:v>Wikiのロール・長所短所と既存プロファイルの方向性を保ちながら、同アーキタイプ内の差を拡張。</x:v>
      </x:c>
      <x:c r="V13" s="12" t="str">
        <x:v>https://wikiwiki.jp/poke-unite/%E3%82%B0%E3%83%AC%E3%83%B3%E3%82%A2%E3%83%AB%E3%83%9E</x:v>
      </x:c>
      <x:c r="W13" s="12" t="str">
        <x:v>https://wikiwiki.jp/poke-unite/%E4%B8%80%E8%A6%A7</x:v>
      </x:c>
      <x:c r="X13" s="12" t="str">
        <x:v>https://uniteapi.dev/jp/meta</x:v>
      </x:c>
    </x:row>
    <x:row r="14">
      <x:c r="A14" s="12" t="str">
        <x:v>グレンアルマ-2</x:v>
      </x:c>
      <x:c r="B14" s="12" t="str">
        <x:v>グレンアルマ</x:v>
      </x:c>
      <x:c r="C14" s="12" t="str">
        <x:v>アーマーキャノン</x:v>
      </x:c>
      <x:c r="D14" s="12" t="str">
        <x:v>BurstMage</x:v>
      </x:c>
      <x:c r="E14" s="12" t="n">
        <x:v>0</x:v>
      </x:c>
      <x:c r="F14" s="12" t="n">
        <x:v>0</x:v>
      </x:c>
      <x:c r="G14" s="12" t="n">
        <x:v>0</x:v>
      </x:c>
      <x:c r="H14" s="12" t="n">
        <x:v>5</x:v>
      </x:c>
      <x:c r="I14" s="12" t="n">
        <x:v>5</x:v>
      </x:c>
      <x:c r="J14" s="12" t="n">
        <x:v>-5</x:v>
      </x:c>
      <x:c r="K14" s="12" t="n">
        <x:v>10</x:v>
      </x:c>
      <x:c r="L14" s="12" t="n">
        <x:v>0</x:v>
      </x:c>
      <x:c r="M14" s="12" t="n">
        <x:v>0</x:v>
      </x:c>
      <x:c r="N14" s="12" t="n">
        <x:v>5</x:v>
      </x:c>
      <x:c r="O14" s="12" t="n">
        <x:v>0</x:v>
      </x:c>
      <x:c r="P14" s="12" t="n">
        <x:v>0</x:v>
      </x:c>
      <x:c r="Q14" s="12" t="n">
        <x:v>0</x:v>
      </x:c>
      <x:c r="R14" s="12" t="n">
        <x:v>0</x:v>
      </x:c>
      <x:c r="S14" s="12" t="n">
        <x:v>0</x:v>
      </x:c>
      <x:c r="T14" s="12" t="str">
        <x:v>Frontline+10 / Control+5 / SelfSufficiency+10</x:v>
      </x:c>
      <x:c r="U14" s="12" t="str">
        <x:v>アタック型として耐久高め、妨害豊富。純後衛メイジより前線/自己完結を上げる。</x:v>
      </x:c>
      <x:c r="V14" s="12" t="str">
        <x:v>https://wikiwiki.jp/poke-unite/%E3%82%B0%E3%83%AC%E3%83%B3%E3%82%A2%E3%83%AB%E3%83%9E</x:v>
      </x:c>
      <x:c r="W14" s="12" t="str">
        <x:v>https://wikiwiki.jp/poke-unite/%E4%B8%80%E8%A6%A7</x:v>
      </x:c>
      <x:c r="X14" s="12" t="str">
        <x:v>https://uniteapi.dev/jp/meta</x:v>
      </x:c>
    </x:row>
    <x:row r="15">
      <x:c r="A15" s="12" t="str">
        <x:v>ゲッコウガ-1</x:v>
      </x:c>
      <x:c r="B15" s="12" t="str">
        <x:v>ゲッコウガ</x:v>
      </x:c>
      <x:c r="C15" s="12" t="str">
        <x:v>みずしゅりけん</x:v>
      </x:c>
      <x:c r="D15" s="12" t="str">
        <x:v>Marksman</x:v>
      </x:c>
      <x:c r="E15" s="12" t="n">
        <x:v>-10</x:v>
      </x:c>
      <x:c r="F15" s="12" t="n">
        <x:v>-5</x:v>
      </x:c>
      <x:c r="G15" s="12" t="n">
        <x:v>-5</x:v>
      </x:c>
      <x:c r="H15" s="12" t="n">
        <x:v>-5</x:v>
      </x:c>
      <x:c r="I15" s="12" t="n">
        <x:v>5</x:v>
      </x:c>
      <x:c r="J15" s="12" t="n">
        <x:v>15</x:v>
      </x:c>
      <x:c r="K15" s="12" t="n">
        <x:v>-10</x:v>
      </x:c>
      <x:c r="L15" s="12" t="n">
        <x:v>0</x:v>
      </x:c>
      <x:c r="M15" s="12" t="n">
        <x:v>10</x:v>
      </x:c>
      <x:c r="N15" s="12" t="n">
        <x:v>5</x:v>
      </x:c>
      <x:c r="O15" s="12" t="n">
        <x:v>5</x:v>
      </x:c>
      <x:c r="P15" s="12" t="n">
        <x:v>5</x:v>
      </x:c>
      <x:c r="Q15" s="12" t="n">
        <x:v>5</x:v>
      </x:c>
      <x:c r="R15" s="12" t="n">
        <x:v>10</x:v>
      </x:c>
      <x:c r="S15" s="12" t="n">
        <x:v>0</x:v>
      </x:c>
      <x:c r="T15" s="12" t="str">
        <x:v>FightTempo+10 / Mobility+10 / SelfSufficiency+10 / Execution+10</x:v>
      </x:c>
      <x:c r="U15" s="12" t="str">
        <x:v>遠近両用AAと戦闘距離の切替、高い操作難度。エースバーンより自己完結/操作を上げる。</x:v>
      </x:c>
      <x:c r="V15" s="12" t="str">
        <x:v>https://wikiwiki.jp/poke-unite/%E3%82%B2%E3%83%83%E3%82%B3%E3%82%A6%E3%82%AC</x:v>
      </x:c>
      <x:c r="W15" s="12" t="str">
        <x:v>https://wikiwiki.jp/poke-unite/%E4%B8%80%E8%A6%A7</x:v>
      </x:c>
      <x:c r="X15" s="12" t="str">
        <x:v>https://uniteapi.dev/jp/meta</x:v>
      </x:c>
    </x:row>
    <x:row r="16">
      <x:c r="A16" s="12" t="str">
        <x:v>ゲッコウガ-2</x:v>
      </x:c>
      <x:c r="B16" s="12" t="str">
        <x:v>ゲッコウガ</x:v>
      </x:c>
      <x:c r="C16" s="12" t="str">
        <x:v>なみのり</x:v>
      </x:c>
      <x:c r="D16" s="12" t="str">
        <x:v>Assassin</x:v>
      </x:c>
      <x:c r="E16" s="12" t="n">
        <x:v>0</x:v>
      </x:c>
      <x:c r="F16" s="12" t="n">
        <x:v>0</x:v>
      </x:c>
      <x:c r="G16" s="12" t="n">
        <x:v>-5</x:v>
      </x:c>
      <x:c r="H16" s="12" t="n">
        <x:v>0</x:v>
      </x:c>
      <x:c r="I16" s="12" t="n">
        <x:v>0</x:v>
      </x:c>
      <x:c r="J16" s="12" t="n">
        <x:v>-10</x:v>
      </x:c>
      <x:c r="K16" s="12" t="n">
        <x:v>0</x:v>
      </x:c>
      <x:c r="L16" s="12" t="n">
        <x:v>0</x:v>
      </x:c>
      <x:c r="M16" s="12" t="n">
        <x:v>0</x:v>
      </x:c>
      <x:c r="N16" s="12" t="n">
        <x:v>0</x:v>
      </x:c>
      <x:c r="O16" s="12" t="n">
        <x:v>0</x:v>
      </x:c>
      <x:c r="P16" s="12" t="n">
        <x:v>10</x:v>
      </x:c>
      <x:c r="Q16" s="12" t="n">
        <x:v>0</x:v>
      </x:c>
      <x:c r="R16" s="12" t="n">
        <x:v>10</x:v>
      </x:c>
      <x:c r="S16" s="12" t="n">
        <x:v>0</x:v>
      </x:c>
      <x:c r="T16" s="12" t="str">
        <x:v>Mobility+10 / FightTempo-15 / Execution+10</x:v>
      </x:c>
      <x:c r="U16" s="12" t="str">
        <x:v>Wikiのロール・長所短所と既存プロファイルの方向性を保ちながら、同アーキタイプ内の差を拡張。</x:v>
      </x:c>
      <x:c r="V16" s="12" t="str">
        <x:v>https://wikiwiki.jp/poke-unite/%E3%82%B2%E3%83%83%E3%82%B3%E3%82%A6%E3%82%AC</x:v>
      </x:c>
      <x:c r="W16" s="12" t="str">
        <x:v>https://wikiwiki.jp/poke-unite/%E4%B8%80%E8%A6%A7</x:v>
      </x:c>
      <x:c r="X16" s="12" t="str">
        <x:v>https://uniteapi.dev/jp/meta</x:v>
      </x:c>
    </x:row>
    <x:row r="17">
      <x:c r="A17" s="12" t="str">
        <x:v>サンダー-1</x:v>
      </x:c>
      <x:c r="B17" s="12" t="str">
        <x:v>サンダー</x:v>
      </x:c>
      <x:c r="C17" s="12" t="str">
        <x:v>共通</x:v>
      </x:c>
      <x:c r="D17" s="12" t="str">
        <x:v>BurstMage</x:v>
      </x:c>
      <x:c r="E17" s="12" t="n">
        <x:v>0</x:v>
      </x:c>
      <x:c r="F17" s="12" t="n">
        <x:v>0</x:v>
      </x:c>
      <x:c r="G17" s="12" t="n">
        <x:v>0</x:v>
      </x:c>
      <x:c r="H17" s="12" t="n">
        <x:v>-5</x:v>
      </x:c>
      <x:c r="I17" s="12" t="n">
        <x:v>5</x:v>
      </x:c>
      <x:c r="J17" s="12" t="n">
        <x:v>-5</x:v>
      </x:c>
      <x:c r="K17" s="12" t="n">
        <x:v>0</x:v>
      </x:c>
      <x:c r="L17" s="12" t="n">
        <x:v>0</x:v>
      </x:c>
      <x:c r="M17" s="12" t="n">
        <x:v>-10</x:v>
      </x:c>
      <x:c r="N17" s="12" t="n">
        <x:v>-5</x:v>
      </x:c>
      <x:c r="O17" s="12" t="n">
        <x:v>0</x:v>
      </x:c>
      <x:c r="P17" s="12" t="n">
        <x:v>0</x:v>
      </x:c>
      <x:c r="Q17" s="12" t="n">
        <x:v>0</x:v>
      </x:c>
      <x:c r="R17" s="12" t="n">
        <x:v>0</x:v>
      </x:c>
      <x:c r="S17" s="12" t="n">
        <x:v>0</x:v>
      </x:c>
      <x:c r="T17" s="12" t="str">
        <x:v>なし（既存個体差の拡張のみ）</x:v>
      </x:c>
      <x:c r="U17" s="12" t="str">
        <x:v>Wikiのロール・長所短所と既存プロファイルの方向性を保ちながら、同アーキタイプ内の差を拡張。</x:v>
      </x:c>
      <x:c r="V17" s="12" t="str">
        <x:v>https://wikiwiki.jp/poke-unite/%E3%82%B5%E3%83%B3%E3%83%80%E3%83%BC</x:v>
      </x:c>
      <x:c r="W17" s="12" t="str">
        <x:v>https://wikiwiki.jp/poke-unite/%E4%B8%80%E8%A6%A7</x:v>
      </x:c>
      <x:c r="X17" s="12" t="str">
        <x:v>https://uniteapi.dev/jp/meta</x:v>
      </x:c>
    </x:row>
    <x:row r="18">
      <x:c r="A18" s="12" t="str">
        <x:v>サーナイト-1</x:v>
      </x:c>
      <x:c r="B18" s="12" t="str">
        <x:v>サーナイト</x:v>
      </x:c>
      <x:c r="C18" s="12" t="str">
        <x:v>共通</x:v>
      </x:c>
      <x:c r="D18" s="12" t="str">
        <x:v>BurstMage</x:v>
      </x:c>
      <x:c r="E18" s="12" t="n">
        <x:v>0</x:v>
      </x:c>
      <x:c r="F18" s="12" t="n">
        <x:v>0</x:v>
      </x:c>
      <x:c r="G18" s="12" t="n">
        <x:v>0</x:v>
      </x:c>
      <x:c r="H18" s="12" t="n">
        <x:v>-5</x:v>
      </x:c>
      <x:c r="I18" s="12" t="n">
        <x:v>5</x:v>
      </x:c>
      <x:c r="J18" s="12" t="n">
        <x:v>-15</x:v>
      </x:c>
      <x:c r="K18" s="12" t="n">
        <x:v>5</x:v>
      </x:c>
      <x:c r="L18" s="12" t="n">
        <x:v>0</x:v>
      </x:c>
      <x:c r="M18" s="12" t="n">
        <x:v>0</x:v>
      </x:c>
      <x:c r="N18" s="12" t="n">
        <x:v>-15</x:v>
      </x:c>
      <x:c r="O18" s="12" t="n">
        <x:v>10</x:v>
      </x:c>
      <x:c r="P18" s="12" t="n">
        <x:v>0</x:v>
      </x:c>
      <x:c r="Q18" s="12" t="n">
        <x:v>0</x:v>
      </x:c>
      <x:c r="R18" s="12" t="n">
        <x:v>0</x:v>
      </x:c>
      <x:c r="S18" s="12" t="n">
        <x:v>0</x:v>
      </x:c>
      <x:c r="T18" s="12" t="str">
        <x:v>FightTempo-10 / Control+5 / SelfSufficiency-15 / FarmScaling+10</x:v>
      </x:c>
      <x:c r="U18" s="12" t="str">
        <x:v>広範囲高火力・爆発力が高い一方、単騎性能が低く味方依存。瞬間寄り・低自己完結へ。</x:v>
      </x:c>
      <x:c r="V18" s="12" t="str">
        <x:v>https://wikiwiki.jp/poke-unite/%E3%82%B5%E3%83%BC%E3%83%8A%E3%82%A4%E3%83%88</x:v>
      </x:c>
      <x:c r="W18" s="12" t="str">
        <x:v>https://wikiwiki.jp/poke-unite/%E4%B8%80%E8%A6%A7</x:v>
      </x:c>
      <x:c r="X18" s="12" t="str">
        <x:v>https://uniteapi.dev/jp/meta</x:v>
      </x:c>
    </x:row>
    <x:row r="19">
      <x:c r="A19" s="12" t="str">
        <x:v>シャンデラ-1</x:v>
      </x:c>
      <x:c r="B19" s="12" t="str">
        <x:v>シャンデラ</x:v>
      </x:c>
      <x:c r="C19" s="12" t="str">
        <x:v>共通</x:v>
      </x:c>
      <x:c r="D19" s="12" t="str">
        <x:v>BurstMage</x:v>
      </x:c>
      <x:c r="E19" s="12" t="n">
        <x:v>0</x:v>
      </x:c>
      <x:c r="F19" s="12" t="n">
        <x:v>0</x:v>
      </x:c>
      <x:c r="G19" s="12" t="n">
        <x:v>0</x:v>
      </x:c>
      <x:c r="H19" s="12" t="n">
        <x:v>-5</x:v>
      </x:c>
      <x:c r="I19" s="12" t="n">
        <x:v>5</x:v>
      </x:c>
      <x:c r="J19" s="12" t="n">
        <x:v>10</x:v>
      </x:c>
      <x:c r="K19" s="12" t="n">
        <x:v>15</x:v>
      </x:c>
      <x:c r="L19" s="12" t="n">
        <x:v>0</x:v>
      </x:c>
      <x:c r="M19" s="12" t="n">
        <x:v>0</x:v>
      </x:c>
      <x:c r="N19" s="12" t="n">
        <x:v>-15</x:v>
      </x:c>
      <x:c r="O19" s="12" t="n">
        <x:v>0</x:v>
      </x:c>
      <x:c r="P19" s="12" t="n">
        <x:v>0</x:v>
      </x:c>
      <x:c r="Q19" s="12" t="n">
        <x:v>0</x:v>
      </x:c>
      <x:c r="R19" s="12" t="n">
        <x:v>0</x:v>
      </x:c>
      <x:c r="S19" s="12" t="n">
        <x:v>5</x:v>
      </x:c>
      <x:c r="T19" s="12" t="str">
        <x:v>FightTempo+15 / Control+15 / SelfSufficiency-10 / Decision+5</x:v>
      </x:c>
      <x:c r="U19" s="12" t="str">
        <x:v>範囲火力の手数と広範囲妨害が特徴。サーナイトより継続寄り・制御寄りへ。</x:v>
      </x:c>
      <x:c r="V19" s="12" t="str">
        <x:v>https://wikiwiki.jp/poke-unite/%E3%82%B7%E3%83%A3%E3%83%B3%E3%83%87%E3%83%A9</x:v>
      </x:c>
      <x:c r="W19" s="12" t="str">
        <x:v>https://wikiwiki.jp/poke-unite/%E4%B8%80%E8%A6%A7</x:v>
      </x:c>
      <x:c r="X19" s="12" t="str">
        <x:v>https://uniteapi.dev/jp/meta</x:v>
      </x:c>
    </x:row>
    <x:row r="20">
      <x:c r="A20" s="12" t="str">
        <x:v>ジュナイパー-1</x:v>
      </x:c>
      <x:c r="B20" s="12" t="str">
        <x:v>ジュナイパー</x:v>
      </x:c>
      <x:c r="C20" s="12" t="str">
        <x:v>かげぬい</x:v>
      </x:c>
      <x:c r="D20" s="12" t="str">
        <x:v>Artillery</x:v>
      </x:c>
      <x:c r="E20" s="12" t="n">
        <x:v>0</x:v>
      </x:c>
      <x:c r="F20" s="12" t="n">
        <x:v>0</x:v>
      </x:c>
      <x:c r="G20" s="12" t="n">
        <x:v>0</x:v>
      </x:c>
      <x:c r="H20" s="12" t="n">
        <x:v>0</x:v>
      </x:c>
      <x:c r="I20" s="12" t="n">
        <x:v>0</x:v>
      </x:c>
      <x:c r="J20" s="12" t="n">
        <x:v>0</x:v>
      </x:c>
      <x:c r="K20" s="12" t="n">
        <x:v>0</x:v>
      </x:c>
      <x:c r="L20" s="12" t="n">
        <x:v>0</x:v>
      </x:c>
      <x:c r="M20" s="12" t="n">
        <x:v>-10</x:v>
      </x:c>
      <x:c r="N20" s="12" t="n">
        <x:v>-10</x:v>
      </x:c>
      <x:c r="O20" s="12" t="n">
        <x:v>10</x:v>
      </x:c>
      <x:c r="P20" s="12" t="n">
        <x:v>15</x:v>
      </x:c>
      <x:c r="Q20" s="12" t="n">
        <x:v>0</x:v>
      </x:c>
      <x:c r="R20" s="12" t="n">
        <x:v>5</x:v>
      </x:c>
      <x:c r="S20" s="12" t="n">
        <x:v>0</x:v>
      </x:c>
      <x:c r="T20" s="12" t="str">
        <x:v>Poke+10 / Mobility-10 / SelfSufficiency-10 / ObjectiveSecure+15 / FarmScaling+10</x:v>
      </x:c>
      <x:c r="U20" s="12" t="str">
        <x:v>長射程高火力＋高い対オブジェクト性能。一方で自衛性能が最低クラス。</x:v>
      </x:c>
      <x:c r="V20" s="12" t="str">
        <x:v>https://wikiwiki.jp/poke-unite/%E3%82%B8%E3%83%A5%E3%83%8A%E3%82%A4%E3%83%91%E3%83%BC</x:v>
      </x:c>
      <x:c r="W20" s="12" t="str">
        <x:v>https://wikiwiki.jp/poke-unite/%E4%B8%80%E8%A6%A7</x:v>
      </x:c>
      <x:c r="X20" s="12" t="str">
        <x:v>https://uniteapi.dev/jp/meta</x:v>
      </x:c>
    </x:row>
    <x:row r="21">
      <x:c r="A21" s="12" t="str">
        <x:v>ジュナイパー-2</x:v>
      </x:c>
      <x:c r="B21" s="12" t="str">
        <x:v>ジュナイパー</x:v>
      </x:c>
      <x:c r="C21" s="12" t="str">
        <x:v>はっぱカッター</x:v>
      </x:c>
      <x:c r="D21" s="12" t="str">
        <x:v>Marksman</x:v>
      </x:c>
      <x:c r="E21" s="12" t="n">
        <x:v>-10</x:v>
      </x:c>
      <x:c r="F21" s="12" t="n">
        <x:v>-5</x:v>
      </x:c>
      <x:c r="G21" s="12" t="n">
        <x:v>-5</x:v>
      </x:c>
      <x:c r="H21" s="12" t="n">
        <x:v>-5</x:v>
      </x:c>
      <x:c r="I21" s="12" t="n">
        <x:v>-5</x:v>
      </x:c>
      <x:c r="J21" s="12" t="n">
        <x:v>15</x:v>
      </x:c>
      <x:c r="K21" s="12" t="n">
        <x:v>-10</x:v>
      </x:c>
      <x:c r="L21" s="12" t="n">
        <x:v>0</x:v>
      </x:c>
      <x:c r="M21" s="12" t="n">
        <x:v>-15</x:v>
      </x:c>
      <x:c r="N21" s="12" t="n">
        <x:v>-10</x:v>
      </x:c>
      <x:c r="O21" s="12" t="n">
        <x:v>5</x:v>
      </x:c>
      <x:c r="P21" s="12" t="n">
        <x:v>10</x:v>
      </x:c>
      <x:c r="Q21" s="12" t="n">
        <x:v>5</x:v>
      </x:c>
      <x:c r="R21" s="12" t="n">
        <x:v>0</x:v>
      </x:c>
      <x:c r="S21" s="12" t="n">
        <x:v>0</x:v>
      </x:c>
      <x:c r="T21" s="12" t="str">
        <x:v>FightTempo+15 / ObjectiveSecure+15 / Mobility-15 / SelfSufficiency-10</x:v>
      </x:c>
      <x:c r="U21" s="12" t="str">
        <x:v>Wikiのロール・長所短所と既存プロファイルの方向性を保ちながら、同アーキタイプ内の差を拡張。</x:v>
      </x:c>
      <x:c r="V21" s="12" t="str">
        <x:v>https://wikiwiki.jp/poke-unite/%E3%82%B8%E3%83%A5%E3%83%8A%E3%82%A4%E3%83%91%E3%83%BC</x:v>
      </x:c>
      <x:c r="W21" s="12" t="str">
        <x:v>https://wikiwiki.jp/poke-unite/%E4%B8%80%E8%A6%A7</x:v>
      </x:c>
      <x:c r="X21" s="12" t="str">
        <x:v>https://uniteapi.dev/jp/meta</x:v>
      </x:c>
    </x:row>
    <x:row r="22">
      <x:c r="A22" s="12" t="str">
        <x:v>ジュラルドン-1</x:v>
      </x:c>
      <x:c r="B22" s="12" t="str">
        <x:v>ジュラルドン</x:v>
      </x:c>
      <x:c r="C22" s="12" t="str">
        <x:v>共通</x:v>
      </x:c>
      <x:c r="D22" s="12" t="str">
        <x:v>Marksman</x:v>
      </x:c>
      <x:c r="E22" s="12" t="n">
        <x:v>0</x:v>
      </x:c>
      <x:c r="F22" s="12" t="n">
        <x:v>-5</x:v>
      </x:c>
      <x:c r="G22" s="12" t="n">
        <x:v>0</x:v>
      </x:c>
      <x:c r="H22" s="12" t="n">
        <x:v>-5</x:v>
      </x:c>
      <x:c r="I22" s="12" t="n">
        <x:v>10</x:v>
      </x:c>
      <x:c r="J22" s="12" t="n">
        <x:v>-10</x:v>
      </x:c>
      <x:c r="K22" s="12" t="n">
        <x:v>10</x:v>
      </x:c>
      <x:c r="L22" s="12" t="n">
        <x:v>0</x:v>
      </x:c>
      <x:c r="M22" s="12" t="n">
        <x:v>-10</x:v>
      </x:c>
      <x:c r="N22" s="12" t="n">
        <x:v>-5</x:v>
      </x:c>
      <x:c r="O22" s="12" t="n">
        <x:v>0</x:v>
      </x:c>
      <x:c r="P22" s="12" t="n">
        <x:v>0</x:v>
      </x:c>
      <x:c r="Q22" s="12" t="n">
        <x:v>-10</x:v>
      </x:c>
      <x:c r="R22" s="12" t="n">
        <x:v>10</x:v>
      </x:c>
      <x:c r="S22" s="12" t="n">
        <x:v>5</x:v>
      </x:c>
      <x:c r="T22" s="12" t="str">
        <x:v>なし（既存個体差の拡張のみ）</x:v>
      </x:c>
      <x:c r="U22" s="12" t="str">
        <x:v>Wikiのロール・長所短所と既存プロファイルの方向性を保ちながら、同アーキタイプ内の差を拡張。</x:v>
      </x:c>
      <x:c r="V22" s="12" t="str">
        <x:v>https://wikiwiki.jp/poke-unite/%E3%82%B8%E3%83%A5%E3%83%A9%E3%83%AB%E3%83%89%E3%83%B3</x:v>
      </x:c>
      <x:c r="W22" s="12" t="str">
        <x:v>https://wikiwiki.jp/poke-unite/%E4%B8%80%E8%A6%A7</x:v>
      </x:c>
      <x:c r="X22" s="12" t="str">
        <x:v>https://uniteapi.dev/jp/meta</x:v>
      </x:c>
    </x:row>
    <x:row r="23">
      <x:c r="A23" s="12" t="str">
        <x:v>ドラパルト-1</x:v>
      </x:c>
      <x:c r="B23" s="12" t="str">
        <x:v>ドラパルト</x:v>
      </x:c>
      <x:c r="C23" s="12" t="str">
        <x:v>りゅうのまい</x:v>
      </x:c>
      <x:c r="D23" s="12" t="str">
        <x:v>Marksman</x:v>
      </x:c>
      <x:c r="E23" s="12" t="n">
        <x:v>10</x:v>
      </x:c>
      <x:c r="F23" s="12" t="n">
        <x:v>10</x:v>
      </x:c>
      <x:c r="G23" s="12" t="n">
        <x:v>-5</x:v>
      </x:c>
      <x:c r="H23" s="12" t="n">
        <x:v>10</x:v>
      </x:c>
      <x:c r="I23" s="12" t="n">
        <x:v>-10</x:v>
      </x:c>
      <x:c r="J23" s="12" t="n">
        <x:v>0</x:v>
      </x:c>
      <x:c r="K23" s="12" t="n">
        <x:v>0</x:v>
      </x:c>
      <x:c r="L23" s="12" t="n">
        <x:v>0</x:v>
      </x:c>
      <x:c r="M23" s="12" t="n">
        <x:v>10</x:v>
      </x:c>
      <x:c r="N23" s="12" t="n">
        <x:v>5</x:v>
      </x:c>
      <x:c r="O23" s="12" t="n">
        <x:v>0</x:v>
      </x:c>
      <x:c r="P23" s="12" t="n">
        <x:v>-5</x:v>
      </x:c>
      <x:c r="Q23" s="12" t="n">
        <x:v>5</x:v>
      </x:c>
      <x:c r="R23" s="12" t="n">
        <x:v>5</x:v>
      </x:c>
      <x:c r="S23" s="12" t="n">
        <x:v>0</x:v>
      </x:c>
      <x:c r="T23" s="12" t="str">
        <x:v>なし（既存個体差の拡張のみ）</x:v>
      </x:c>
      <x:c r="U23" s="12" t="str">
        <x:v>Wikiのロール・長所短所と既存プロファイルの方向性を保ちながら、同アーキタイプ内の差を拡張。</x:v>
      </x:c>
      <x:c r="V23" s="12" t="str">
        <x:v>https://wikiwiki.jp/poke-unite/%E3%83%89%E3%83%A9%E3%83%91%E3%83%AB%E3%83%88</x:v>
      </x:c>
      <x:c r="W23" s="12" t="str">
        <x:v>https://wikiwiki.jp/poke-unite/%E4%B8%80%E8%A6%A7</x:v>
      </x:c>
      <x:c r="X23" s="12" t="str">
        <x:v>https://uniteapi.dev/jp/meta</x:v>
      </x:c>
    </x:row>
    <x:row r="24">
      <x:c r="A24" s="12" t="str">
        <x:v>ドラパルト-2</x:v>
      </x:c>
      <x:c r="B24" s="12" t="str">
        <x:v>ドラパルト</x:v>
      </x:c>
      <x:c r="C24" s="12" t="str">
        <x:v>ゴーストダイブ</x:v>
      </x:c>
      <x:c r="D24" s="12" t="str">
        <x:v>Assassin</x:v>
      </x:c>
      <x:c r="E24" s="12" t="n">
        <x:v>-10</x:v>
      </x:c>
      <x:c r="F24" s="12" t="n">
        <x:v>-10</x:v>
      </x:c>
      <x:c r="G24" s="12" t="n">
        <x:v>5</x:v>
      </x:c>
      <x:c r="H24" s="12" t="n">
        <x:v>-5</x:v>
      </x:c>
      <x:c r="I24" s="12" t="n">
        <x:v>10</x:v>
      </x:c>
      <x:c r="J24" s="12" t="n">
        <x:v>10</x:v>
      </x:c>
      <x:c r="K24" s="12" t="n">
        <x:v>-10</x:v>
      </x:c>
      <x:c r="L24" s="12" t="n">
        <x:v>0</x:v>
      </x:c>
      <x:c r="M24" s="12" t="n">
        <x:v>-10</x:v>
      </x:c>
      <x:c r="N24" s="12" t="n">
        <x:v>0</x:v>
      </x:c>
      <x:c r="O24" s="12" t="n">
        <x:v>5</x:v>
      </x:c>
      <x:c r="P24" s="12" t="n">
        <x:v>10</x:v>
      </x:c>
      <x:c r="Q24" s="12" t="n">
        <x:v>-5</x:v>
      </x:c>
      <x:c r="R24" s="12" t="n">
        <x:v>-10</x:v>
      </x:c>
      <x:c r="S24" s="12" t="n">
        <x:v>0</x:v>
      </x:c>
      <x:c r="T24" s="12" t="str">
        <x:v>なし（既存個体差の拡張のみ）</x:v>
      </x:c>
      <x:c r="U24" s="12" t="str">
        <x:v>Wikiのロール・長所短所と既存プロファイルの方向性を保ちながら、同アーキタイプ内の差を拡張。</x:v>
      </x:c>
      <x:c r="V24" s="12" t="str">
        <x:v>https://wikiwiki.jp/poke-unite/%E3%83%89%E3%83%A9%E3%83%91%E3%83%AB%E3%83%88</x:v>
      </x:c>
      <x:c r="W24" s="12" t="str">
        <x:v>https://wikiwiki.jp/poke-unite/%E4%B8%80%E8%A6%A7</x:v>
      </x:c>
      <x:c r="X24" s="12" t="str">
        <x:v>https://uniteapi.dev/jp/meta</x:v>
      </x:c>
    </x:row>
    <x:row r="25">
      <x:c r="A25" s="12" t="str">
        <x:v>ニンフィア-1</x:v>
      </x:c>
      <x:c r="B25" s="12" t="str">
        <x:v>ニンフィア</x:v>
      </x:c>
      <x:c r="C25" s="12" t="str">
        <x:v>共通</x:v>
      </x:c>
      <x:c r="D25" s="12" t="str">
        <x:v>BattleMage</x:v>
      </x:c>
      <x:c r="E25" s="12" t="n">
        <x:v>5</x:v>
      </x:c>
      <x:c r="F25" s="12" t="n">
        <x:v>10</x:v>
      </x:c>
      <x:c r="G25" s="12" t="n">
        <x:v>0</x:v>
      </x:c>
      <x:c r="H25" s="12" t="n">
        <x:v>10</x:v>
      </x:c>
      <x:c r="I25" s="12" t="n">
        <x:v>-10</x:v>
      </x:c>
      <x:c r="J25" s="12" t="n">
        <x:v>-5</x:v>
      </x:c>
      <x:c r="K25" s="12" t="n">
        <x:v>5</x:v>
      </x:c>
      <x:c r="L25" s="12" t="n">
        <x:v>0</x:v>
      </x:c>
      <x:c r="M25" s="12" t="n">
        <x:v>5</x:v>
      </x:c>
      <x:c r="N25" s="12" t="n">
        <x:v>5</x:v>
      </x:c>
      <x:c r="O25" s="12" t="n">
        <x:v>-5</x:v>
      </x:c>
      <x:c r="P25" s="12" t="n">
        <x:v>0</x:v>
      </x:c>
      <x:c r="Q25" s="12" t="n">
        <x:v>5</x:v>
      </x:c>
      <x:c r="R25" s="12" t="n">
        <x:v>-5</x:v>
      </x:c>
      <x:c r="S25" s="12" t="n">
        <x:v>0</x:v>
      </x:c>
      <x:c r="T25" s="12" t="str">
        <x:v>なし（既存個体差の拡張のみ）</x:v>
      </x:c>
      <x:c r="U25" s="12" t="str">
        <x:v>Wikiのロール・長所短所と既存プロファイルの方向性を保ちながら、同アーキタイプ内の差を拡張。</x:v>
      </x:c>
      <x:c r="V25" s="12" t="str">
        <x:v>https://wikiwiki.jp/poke-unite/%E3%83%8B%E3%83%B3%E3%83%95%E3%82%A3%E3%82%A2</x:v>
      </x:c>
      <x:c r="W25" s="12" t="str">
        <x:v>https://wikiwiki.jp/poke-unite/%E4%B8%80%E8%A6%A7</x:v>
      </x:c>
      <x:c r="X25" s="12" t="str">
        <x:v>https://uniteapi.dev/jp/meta</x:v>
      </x:c>
    </x:row>
    <x:row r="26">
      <x:c r="A26" s="12" t="str">
        <x:v>バクフーン-1</x:v>
      </x:c>
      <x:c r="B26" s="12" t="str">
        <x:v>バクフーン</x:v>
      </x:c>
      <x:c r="C26" s="12" t="str">
        <x:v>共通</x:v>
      </x:c>
      <x:c r="D26" s="12" t="str">
        <x:v>Diver</x:v>
      </x:c>
      <x:c r="E26" s="12" t="n">
        <x:v>0</x:v>
      </x:c>
      <x:c r="F26" s="12" t="n">
        <x:v>0</x:v>
      </x:c>
      <x:c r="G26" s="12" t="n">
        <x:v>0</x:v>
      </x:c>
      <x:c r="H26" s="12" t="n">
        <x:v>-10</x:v>
      </x:c>
      <x:c r="I26" s="12" t="n">
        <x:v>5</x:v>
      </x:c>
      <x:c r="J26" s="12" t="n">
        <x:v>-5</x:v>
      </x:c>
      <x:c r="K26" s="12" t="n">
        <x:v>0</x:v>
      </x:c>
      <x:c r="L26" s="12" t="n">
        <x:v>0</x:v>
      </x:c>
      <x:c r="M26" s="12" t="n">
        <x:v>0</x:v>
      </x:c>
      <x:c r="N26" s="12" t="n">
        <x:v>0</x:v>
      </x:c>
      <x:c r="O26" s="12" t="n">
        <x:v>-5</x:v>
      </x:c>
      <x:c r="P26" s="12" t="n">
        <x:v>5</x:v>
      </x:c>
      <x:c r="Q26" s="12" t="n">
        <x:v>0</x:v>
      </x:c>
      <x:c r="R26" s="12" t="n">
        <x:v>0</x:v>
      </x:c>
      <x:c r="S26" s="12" t="n">
        <x:v>0</x:v>
      </x:c>
      <x:c r="T26" s="12" t="str">
        <x:v>なし（既存個体差の拡張のみ）</x:v>
      </x:c>
      <x:c r="U26" s="12" t="str">
        <x:v>Wikiのロール・長所短所と既存プロファイルの方向性を保ちながら、同アーキタイプ内の差を拡張。</x:v>
      </x:c>
      <x:c r="V26" s="12" t="str">
        <x:v>https://wikiwiki.jp/poke-unite/%E3%83%90%E3%82%AF%E3%83%95%E3%83%BC%E3%83%B3</x:v>
      </x:c>
      <x:c r="W26" s="12" t="str">
        <x:v>https://wikiwiki.jp/poke-unite/%E4%B8%80%E8%A6%A7</x:v>
      </x:c>
      <x:c r="X26" s="12" t="str">
        <x:v>https://uniteapi.dev/jp/meta</x:v>
      </x:c>
    </x:row>
    <x:row r="27">
      <x:c r="A27" s="12" t="str">
        <x:v>ピカチュウ-1</x:v>
      </x:c>
      <x:c r="B27" s="12" t="str">
        <x:v>ピカチュウ</x:v>
      </x:c>
      <x:c r="C27" s="12" t="str">
        <x:v>共通</x:v>
      </x:c>
      <x:c r="D27" s="12" t="str">
        <x:v>BurstMage</x:v>
      </x:c>
      <x:c r="E27" s="12" t="n">
        <x:v>5</x:v>
      </x:c>
      <x:c r="F27" s="12" t="n">
        <x:v>5</x:v>
      </x:c>
      <x:c r="G27" s="12" t="n">
        <x:v>0</x:v>
      </x:c>
      <x:c r="H27" s="12" t="n">
        <x:v>5</x:v>
      </x:c>
      <x:c r="I27" s="12" t="n">
        <x:v>-10</x:v>
      </x:c>
      <x:c r="J27" s="12" t="n">
        <x:v>10</x:v>
      </x:c>
      <x:c r="K27" s="12" t="n">
        <x:v>5</x:v>
      </x:c>
      <x:c r="L27" s="12" t="n">
        <x:v>0</x:v>
      </x:c>
      <x:c r="M27" s="12" t="n">
        <x:v>5</x:v>
      </x:c>
      <x:c r="N27" s="12" t="n">
        <x:v>5</x:v>
      </x:c>
      <x:c r="O27" s="12" t="n">
        <x:v>-5</x:v>
      </x:c>
      <x:c r="P27" s="12" t="n">
        <x:v>0</x:v>
      </x:c>
      <x:c r="Q27" s="12" t="n">
        <x:v>0</x:v>
      </x:c>
      <x:c r="R27" s="12" t="n">
        <x:v>5</x:v>
      </x:c>
      <x:c r="S27" s="12" t="n">
        <x:v>5</x:v>
      </x:c>
      <x:c r="T27" s="12" t="str">
        <x:v>なし（既存個体差の拡張のみ）</x:v>
      </x:c>
      <x:c r="U27" s="12" t="str">
        <x:v>Wikiのロール・長所短所と既存プロファイルの方向性を保ちながら、同アーキタイプ内の差を拡張。</x:v>
      </x:c>
      <x:c r="V27" s="12" t="str">
        <x:v>https://wikiwiki.jp/poke-unite/%E3%83%94%E3%82%AB%E3%83%81%E3%83%A5%E3%82%A6</x:v>
      </x:c>
      <x:c r="W27" s="12" t="str">
        <x:v>https://wikiwiki.jp/poke-unite/%E4%B8%80%E8%A6%A7</x:v>
      </x:c>
      <x:c r="X27" s="12" t="str">
        <x:v>https://uniteapi.dev/jp/meta</x:v>
      </x:c>
    </x:row>
    <x:row r="28">
      <x:c r="A28" s="12" t="str">
        <x:v>フシギバナ-1</x:v>
      </x:c>
      <x:c r="B28" s="12" t="str">
        <x:v>フシギバナ</x:v>
      </x:c>
      <x:c r="C28" s="12" t="str">
        <x:v>ソーラービーム</x:v>
      </x:c>
      <x:c r="D28" s="12" t="str">
        <x:v>Artillery</x:v>
      </x:c>
      <x:c r="E28" s="12" t="n">
        <x:v>0</x:v>
      </x:c>
      <x:c r="F28" s="12" t="n">
        <x:v>0</x:v>
      </x:c>
      <x:c r="G28" s="12" t="n">
        <x:v>0</x:v>
      </x:c>
      <x:c r="H28" s="12" t="n">
        <x:v>0</x:v>
      </x:c>
      <x:c r="I28" s="12" t="n">
        <x:v>0</x:v>
      </x:c>
      <x:c r="J28" s="12" t="n">
        <x:v>0</x:v>
      </x:c>
      <x:c r="K28" s="12" t="n">
        <x:v>5</x:v>
      </x:c>
      <x:c r="L28" s="12" t="n">
        <x:v>0</x:v>
      </x:c>
      <x:c r="M28" s="12" t="n">
        <x:v>10</x:v>
      </x:c>
      <x:c r="N28" s="12" t="n">
        <x:v>0</x:v>
      </x:c>
      <x:c r="O28" s="12" t="n">
        <x:v>0</x:v>
      </x:c>
      <x:c r="P28" s="12" t="n">
        <x:v>15</x:v>
      </x:c>
      <x:c r="Q28" s="12" t="n">
        <x:v>0</x:v>
      </x:c>
      <x:c r="R28" s="12" t="n">
        <x:v>-5</x:v>
      </x:c>
      <x:c r="S28" s="12" t="n">
        <x:v>0</x:v>
      </x:c>
      <x:c r="T28" s="12" t="str">
        <x:v>ObjectiveSecure+10 / Control+5 / Mobility+5</x:v>
      </x:c>
      <x:c r="U28" s="12" t="str">
        <x:v>Wikiのロール・長所短所と既存プロファイルの方向性を保ちながら、同アーキタイプ内の差を拡張。</x:v>
      </x:c>
      <x:c r="V28" s="12" t="str">
        <x:v>https://wikiwiki.jp/poke-unite/%E3%83%95%E3%82%B7%E3%82%AE%E3%83%90%E3%83%8A</x:v>
      </x:c>
      <x:c r="W28" s="12" t="str">
        <x:v>https://wikiwiki.jp/poke-unite/%E4%B8%80%E8%A6%A7</x:v>
      </x:c>
      <x:c r="X28" s="12" t="str">
        <x:v>https://uniteapi.dev/jp/meta</x:v>
      </x:c>
    </x:row>
    <x:row r="29">
      <x:c r="A29" s="12" t="str">
        <x:v>フシギバナ-2</x:v>
      </x:c>
      <x:c r="B29" s="12" t="str">
        <x:v>フシギバナ</x:v>
      </x:c>
      <x:c r="C29" s="12" t="str">
        <x:v>はなびらのまい</x:v>
      </x:c>
      <x:c r="D29" s="12" t="str">
        <x:v>Juggernaut</x:v>
      </x:c>
      <x:c r="E29" s="12" t="n">
        <x:v>-5</x:v>
      </x:c>
      <x:c r="F29" s="12" t="n">
        <x:v>-5</x:v>
      </x:c>
      <x:c r="G29" s="12" t="n">
        <x:v>-10</x:v>
      </x:c>
      <x:c r="H29" s="12" t="n">
        <x:v>-10</x:v>
      </x:c>
      <x:c r="I29" s="12" t="n">
        <x:v>-5</x:v>
      </x:c>
      <x:c r="J29" s="12" t="n">
        <x:v>0</x:v>
      </x:c>
      <x:c r="K29" s="12" t="n">
        <x:v>-5</x:v>
      </x:c>
      <x:c r="L29" s="12" t="n">
        <x:v>-5</x:v>
      </x:c>
      <x:c r="M29" s="12" t="n">
        <x:v>10</x:v>
      </x:c>
      <x:c r="N29" s="12" t="n">
        <x:v>0</x:v>
      </x:c>
      <x:c r="O29" s="12" t="n">
        <x:v>5</x:v>
      </x:c>
      <x:c r="P29" s="12" t="n">
        <x:v>5</x:v>
      </x:c>
      <x:c r="Q29" s="12" t="n">
        <x:v>0</x:v>
      </x:c>
      <x:c r="R29" s="12" t="n">
        <x:v>5</x:v>
      </x:c>
      <x:c r="S29" s="12" t="n">
        <x:v>0</x:v>
      </x:c>
      <x:c r="T29" s="12" t="str">
        <x:v>なし（既存個体差の拡張のみ）</x:v>
      </x:c>
      <x:c r="U29" s="12" t="str">
        <x:v>Wikiのロール・長所短所と既存プロファイルの方向性を保ちながら、同アーキタイプ内の差を拡張。</x:v>
      </x:c>
      <x:c r="V29" s="12" t="str">
        <x:v>https://wikiwiki.jp/poke-unite/%E3%83%95%E3%82%B7%E3%82%AE%E3%83%90%E3%83%8A</x:v>
      </x:c>
      <x:c r="W29" s="12" t="str">
        <x:v>https://wikiwiki.jp/poke-unite/%E4%B8%80%E8%A6%A7</x:v>
      </x:c>
      <x:c r="X29" s="12" t="str">
        <x:v>https://uniteapi.dev/jp/meta</x:v>
      </x:c>
    </x:row>
    <x:row r="30">
      <x:c r="A30" s="12" t="str">
        <x:v>マフォクシー-1</x:v>
      </x:c>
      <x:c r="B30" s="12" t="str">
        <x:v>マフォクシー</x:v>
      </x:c>
      <x:c r="C30" s="12" t="str">
        <x:v>ほのおのうず</x:v>
      </x:c>
      <x:c r="D30" s="12" t="str">
        <x:v>BurstMage</x:v>
      </x:c>
      <x:c r="E30" s="12" t="n">
        <x:v>0</x:v>
      </x:c>
      <x:c r="F30" s="12" t="n">
        <x:v>0</x:v>
      </x:c>
      <x:c r="G30" s="12" t="n">
        <x:v>0</x:v>
      </x:c>
      <x:c r="H30" s="12" t="n">
        <x:v>-5</x:v>
      </x:c>
      <x:c r="I30" s="12" t="n">
        <x:v>5</x:v>
      </x:c>
      <x:c r="J30" s="12" t="n">
        <x:v>-5</x:v>
      </x:c>
      <x:c r="K30" s="12" t="n">
        <x:v>15</x:v>
      </x:c>
      <x:c r="L30" s="12" t="n">
        <x:v>0</x:v>
      </x:c>
      <x:c r="M30" s="12" t="n">
        <x:v>0</x:v>
      </x:c>
      <x:c r="N30" s="12" t="n">
        <x:v>-5</x:v>
      </x:c>
      <x:c r="O30" s="12" t="n">
        <x:v>10</x:v>
      </x:c>
      <x:c r="P30" s="12" t="n">
        <x:v>0</x:v>
      </x:c>
      <x:c r="Q30" s="12" t="n">
        <x:v>0</x:v>
      </x:c>
      <x:c r="R30" s="12" t="n">
        <x:v>0</x:v>
      </x:c>
      <x:c r="S30" s="12" t="n">
        <x:v>10</x:v>
      </x:c>
      <x:c r="T30" s="12" t="str">
        <x:v>Control+15 / Decision+10 / FarmScaling+10 / Frontline-5</x:v>
      </x:c>
      <x:c r="U30" s="12" t="str">
        <x:v>遠距離攻撃と技回転を活かす制御メイジ。Control/Decisionを強調。</x:v>
      </x:c>
      <x:c r="V30" s="12" t="str">
        <x:v>https://wikiwiki.jp/poke-unite/%E3%83%9E%E3%83%95%E3%82%A9%E3%82%AF%E3%82%B7%E3%83%BC</x:v>
      </x:c>
      <x:c r="W30" s="12" t="str">
        <x:v>https://wikiwiki.jp/poke-unite/%E4%B8%80%E8%A6%A7</x:v>
      </x:c>
      <x:c r="X30" s="12" t="str">
        <x:v>https://uniteapi.dev/jp/meta</x:v>
      </x:c>
    </x:row>
    <x:row r="31">
      <x:c r="A31" s="12" t="str">
        <x:v>マフォクシー-2</x:v>
      </x:c>
      <x:c r="B31" s="12" t="str">
        <x:v>マフォクシー</x:v>
      </x:c>
      <x:c r="C31" s="12" t="str">
        <x:v>ニトロチャージ</x:v>
      </x:c>
      <x:c r="D31" s="12" t="str">
        <x:v>BattleMage</x:v>
      </x:c>
      <x:c r="E31" s="12" t="n">
        <x:v>5</x:v>
      </x:c>
      <x:c r="F31" s="12" t="n">
        <x:v>0</x:v>
      </x:c>
      <x:c r="G31" s="12" t="n">
        <x:v>0</x:v>
      </x:c>
      <x:c r="H31" s="12" t="n">
        <x:v>0</x:v>
      </x:c>
      <x:c r="I31" s="12" t="n">
        <x:v>5</x:v>
      </x:c>
      <x:c r="J31" s="12" t="n">
        <x:v>0</x:v>
      </x:c>
      <x:c r="K31" s="12" t="n">
        <x:v>0</x:v>
      </x:c>
      <x:c r="L31" s="12" t="n">
        <x:v>0</x:v>
      </x:c>
      <x:c r="M31" s="12" t="n">
        <x:v>5</x:v>
      </x:c>
      <x:c r="N31" s="12" t="n">
        <x:v>0</x:v>
      </x:c>
      <x:c r="O31" s="12" t="n">
        <x:v>-5</x:v>
      </x:c>
      <x:c r="P31" s="12" t="n">
        <x:v>0</x:v>
      </x:c>
      <x:c r="Q31" s="12" t="n">
        <x:v>0</x:v>
      </x:c>
      <x:c r="R31" s="12" t="n">
        <x:v>5</x:v>
      </x:c>
      <x:c r="S31" s="12" t="n">
        <x:v>0</x:v>
      </x:c>
      <x:c r="T31" s="12" t="str">
        <x:v>なし（既存個体差の拡張のみ）</x:v>
      </x:c>
      <x:c r="U31" s="12" t="str">
        <x:v>Wikiのロール・長所短所と既存プロファイルの方向性を保ちながら、同アーキタイプ内の差を拡張。</x:v>
      </x:c>
      <x:c r="V31" s="12" t="str">
        <x:v>https://wikiwiki.jp/poke-unite/%E3%83%9E%E3%83%95%E3%82%A9%E3%82%AF%E3%82%B7%E3%83%BC</x:v>
      </x:c>
      <x:c r="W31" s="12" t="str">
        <x:v>https://wikiwiki.jp/poke-unite/%E4%B8%80%E8%A6%A7</x:v>
      </x:c>
      <x:c r="X31" s="12" t="str">
        <x:v>https://uniteapi.dev/jp/meta</x:v>
      </x:c>
    </x:row>
    <x:row r="32">
      <x:c r="A32" s="12" t="str">
        <x:v>ミュウ-1</x:v>
      </x:c>
      <x:c r="B32" s="12" t="str">
        <x:v>ミュウ</x:v>
      </x:c>
      <x:c r="C32" s="12" t="str">
        <x:v>共通</x:v>
      </x:c>
      <x:c r="D32" s="12" t="str">
        <x:v>Specialist</x:v>
      </x:c>
      <x:c r="E32" s="12" t="n">
        <x:v>-5</x:v>
      </x:c>
      <x:c r="F32" s="12" t="n">
        <x:v>-5</x:v>
      </x:c>
      <x:c r="G32" s="12" t="n">
        <x:v>-10</x:v>
      </x:c>
      <x:c r="H32" s="12" t="n">
        <x:v>-10</x:v>
      </x:c>
      <x:c r="I32" s="12" t="n">
        <x:v>10</x:v>
      </x:c>
      <x:c r="J32" s="12" t="n">
        <x:v>-5</x:v>
      </x:c>
      <x:c r="K32" s="12" t="n">
        <x:v>0</x:v>
      </x:c>
      <x:c r="L32" s="12" t="n">
        <x:v>-10</x:v>
      </x:c>
      <x:c r="M32" s="12" t="n">
        <x:v>-10</x:v>
      </x:c>
      <x:c r="N32" s="12" t="n">
        <x:v>10</x:v>
      </x:c>
      <x:c r="O32" s="12" t="n">
        <x:v>10</x:v>
      </x:c>
      <x:c r="P32" s="12" t="n">
        <x:v>10</x:v>
      </x:c>
      <x:c r="Q32" s="12" t="n">
        <x:v>-10</x:v>
      </x:c>
      <x:c r="R32" s="12" t="n">
        <x:v>10</x:v>
      </x:c>
      <x:c r="S32" s="12" t="n">
        <x:v>0</x:v>
      </x:c>
      <x:c r="T32" s="12" t="str">
        <x:v>なし（既存個体差の拡張のみ）</x:v>
      </x:c>
      <x:c r="U32" s="12" t="str">
        <x:v>Wikiのロール・長所短所と既存プロファイルの方向性を保ちながら、同アーキタイプ内の差を拡張。</x:v>
      </x:c>
      <x:c r="V32" s="12" t="str">
        <x:v>https://wikiwiki.jp/poke-unite/%E3%83%9F%E3%83%A5%E3%82%A6</x:v>
      </x:c>
      <x:c r="W32" s="12" t="str">
        <x:v>https://wikiwiki.jp/poke-unite/%E4%B8%80%E8%A6%A7</x:v>
      </x:c>
      <x:c r="X32" s="12" t="str">
        <x:v>https://uniteapi.dev/jp/meta</x:v>
      </x:c>
    </x:row>
    <x:row r="33">
      <x:c r="A33" s="12" t="str">
        <x:v>ミュウツー(Y)-1</x:v>
      </x:c>
      <x:c r="B33" s="12" t="str">
        <x:v>ミュウツー(Y)</x:v>
      </x:c>
      <x:c r="C33" s="12" t="str">
        <x:v>共通</x:v>
      </x:c>
      <x:c r="D33" s="12" t="str">
        <x:v>Marksman</x:v>
      </x:c>
      <x:c r="E33" s="12" t="n">
        <x:v>5</x:v>
      </x:c>
      <x:c r="F33" s="12" t="n">
        <x:v>5</x:v>
      </x:c>
      <x:c r="G33" s="12" t="n">
        <x:v>-5</x:v>
      </x:c>
      <x:c r="H33" s="12" t="n">
        <x:v>0</x:v>
      </x:c>
      <x:c r="I33" s="12" t="n">
        <x:v>0</x:v>
      </x:c>
      <x:c r="J33" s="12" t="n">
        <x:v>15</x:v>
      </x:c>
      <x:c r="K33" s="12" t="n">
        <x:v>15</x:v>
      </x:c>
      <x:c r="L33" s="12" t="n">
        <x:v>0</x:v>
      </x:c>
      <x:c r="M33" s="12" t="n">
        <x:v>0</x:v>
      </x:c>
      <x:c r="N33" s="12" t="n">
        <x:v>5</x:v>
      </x:c>
      <x:c r="O33" s="12" t="n">
        <x:v>0</x:v>
      </x:c>
      <x:c r="P33" s="12" t="n">
        <x:v>0</x:v>
      </x:c>
      <x:c r="Q33" s="12" t="n">
        <x:v>5</x:v>
      </x:c>
      <x:c r="R33" s="12" t="n">
        <x:v>-15</x:v>
      </x:c>
      <x:c r="S33" s="12" t="n">
        <x:v>0</x:v>
      </x:c>
      <x:c r="T33" s="12" t="str">
        <x:v>FightTempo+15 / Control+10 / Execution-15 / SelfSufficiency+5</x:v>
      </x:c>
      <x:c r="U33" s="12" t="str">
        <x:v>Wikiのロール・長所短所と既存プロファイルの方向性を保ちながら、同アーキタイプ内の差を拡張。</x:v>
      </x:c>
      <x:c r="V33" s="12" t="str">
        <x:v>https://wikiwiki.jp/poke-unite/%E3%83%9F%E3%83%A5%E3%82%A6%E3%83%84%E3%83%BC(Y)</x:v>
      </x:c>
      <x:c r="W33" s="12" t="str">
        <x:v>https://wikiwiki.jp/poke-unite/%E4%B8%80%E8%A6%A7</x:v>
      </x:c>
      <x:c r="X33" s="12" t="str">
        <x:v>https://uniteapi.dev/jp/meta</x:v>
      </x:c>
    </x:row>
    <x:row r="34">
      <x:c r="A34" s="12" t="str">
        <x:v>ミライドン-1</x:v>
      </x:c>
      <x:c r="B34" s="12" t="str">
        <x:v>ミライドン</x:v>
      </x:c>
      <x:c r="C34" s="12" t="str">
        <x:v>チャージビーム</x:v>
      </x:c>
      <x:c r="D34" s="12" t="str">
        <x:v>Artillery</x:v>
      </x:c>
      <x:c r="E34" s="12" t="n">
        <x:v>0</x:v>
      </x:c>
      <x:c r="F34" s="12" t="n">
        <x:v>0</x:v>
      </x:c>
      <x:c r="G34" s="12" t="n">
        <x:v>0</x:v>
      </x:c>
      <x:c r="H34" s="12" t="n">
        <x:v>0</x:v>
      </x:c>
      <x:c r="I34" s="12" t="n">
        <x:v>0</x:v>
      </x:c>
      <x:c r="J34" s="12" t="n">
        <x:v>10</x:v>
      </x:c>
      <x:c r="K34" s="12" t="n">
        <x:v>5</x:v>
      </x:c>
      <x:c r="L34" s="12" t="n">
        <x:v>0</x:v>
      </x:c>
      <x:c r="M34" s="12" t="n">
        <x:v>0</x:v>
      </x:c>
      <x:c r="N34" s="12" t="n">
        <x:v>0</x:v>
      </x:c>
      <x:c r="O34" s="12" t="n">
        <x:v>0</x:v>
      </x:c>
      <x:c r="P34" s="12" t="n">
        <x:v>0</x:v>
      </x:c>
      <x:c r="Q34" s="12" t="n">
        <x:v>0</x:v>
      </x:c>
      <x:c r="R34" s="12" t="n">
        <x:v>-5</x:v>
      </x:c>
      <x:c r="S34" s="12" t="n">
        <x:v>0</x:v>
      </x:c>
      <x:c r="T34" s="12" t="str">
        <x:v>なし（既存個体差の拡張のみ）</x:v>
      </x:c>
      <x:c r="U34" s="12" t="str">
        <x:v>Wikiのロール・長所短所と既存プロファイルの方向性を保ちながら、同アーキタイプ内の差を拡張。</x:v>
      </x:c>
      <x:c r="V34" s="12" t="str">
        <x:v>https://wikiwiki.jp/poke-unite/%E3%83%9F%E3%83%A9%E3%82%A4%E3%83%89%E3%83%B3</x:v>
      </x:c>
      <x:c r="W34" s="12" t="str">
        <x:v>https://wikiwiki.jp/poke-unite/%E4%B8%80%E8%A6%A7</x:v>
      </x:c>
      <x:c r="X34" s="12" t="str">
        <x:v>https://uniteapi.dev/jp/meta</x:v>
      </x:c>
    </x:row>
    <x:row r="35">
      <x:c r="A35" s="12" t="str">
        <x:v>ミライドン-2</x:v>
      </x:c>
      <x:c r="B35" s="12" t="str">
        <x:v>ミライドン</x:v>
      </x:c>
      <x:c r="C35" s="12" t="str">
        <x:v>イナズマドライブ</x:v>
      </x:c>
      <x:c r="D35" s="12" t="str">
        <x:v>Skirmisher</x:v>
      </x:c>
      <x:c r="E35" s="12" t="n">
        <x:v>0</x:v>
      </x:c>
      <x:c r="F35" s="12" t="n">
        <x:v>10</x:v>
      </x:c>
      <x:c r="G35" s="12" t="n">
        <x:v>-5</x:v>
      </x:c>
      <x:c r="H35" s="12" t="n">
        <x:v>-10</x:v>
      </x:c>
      <x:c r="I35" s="12" t="n">
        <x:v>-5</x:v>
      </x:c>
      <x:c r="J35" s="12" t="n">
        <x:v>-10</x:v>
      </x:c>
      <x:c r="K35" s="12" t="n">
        <x:v>-5</x:v>
      </x:c>
      <x:c r="L35" s="12" t="n">
        <x:v>0</x:v>
      </x:c>
      <x:c r="M35" s="12" t="n">
        <x:v>10</x:v>
      </x:c>
      <x:c r="N35" s="12" t="n">
        <x:v>-5</x:v>
      </x:c>
      <x:c r="O35" s="12" t="n">
        <x:v>-5</x:v>
      </x:c>
      <x:c r="P35" s="12" t="n">
        <x:v>5</x:v>
      </x:c>
      <x:c r="Q35" s="12" t="n">
        <x:v>5</x:v>
      </x:c>
      <x:c r="R35" s="12" t="n">
        <x:v>5</x:v>
      </x:c>
      <x:c r="S35" s="12" t="n">
        <x:v>5</x:v>
      </x:c>
      <x:c r="T35" s="12" t="str">
        <x:v>なし（既存個体差の拡張のみ）</x:v>
      </x:c>
      <x:c r="U35" s="12" t="str">
        <x:v>Wikiのロール・長所短所と既存プロファイルの方向性を保ちながら、同アーキタイプ内の差を拡張。</x:v>
      </x:c>
      <x:c r="V35" s="12" t="str">
        <x:v>https://wikiwiki.jp/poke-unite/%E3%83%9F%E3%83%A9%E3%82%A4%E3%83%89%E3%83%B3</x:v>
      </x:c>
      <x:c r="W35" s="12" t="str">
        <x:v>https://wikiwiki.jp/poke-unite/%E4%B8%80%E8%A6%A7</x:v>
      </x:c>
      <x:c r="X35" s="12" t="str">
        <x:v>https://uniteapi.dev/jp/meta</x:v>
      </x:c>
    </x:row>
    <x:row r="36">
      <x:c r="A36" s="12" t="str">
        <x:v>ラウドボーン-1</x:v>
      </x:c>
      <x:c r="B36" s="12" t="str">
        <x:v>ラウドボーン</x:v>
      </x:c>
      <x:c r="C36" s="12" t="str">
        <x:v>共通</x:v>
      </x:c>
      <x:c r="D36" s="12" t="str">
        <x:v>Artillery</x:v>
      </x:c>
      <x:c r="E36" s="12" t="n">
        <x:v>0</x:v>
      </x:c>
      <x:c r="F36" s="12" t="n">
        <x:v>0</x:v>
      </x:c>
      <x:c r="G36" s="12" t="n">
        <x:v>0</x:v>
      </x:c>
      <x:c r="H36" s="12" t="n">
        <x:v>0</x:v>
      </x:c>
      <x:c r="I36" s="12" t="n">
        <x:v>0</x:v>
      </x:c>
      <x:c r="J36" s="12" t="n">
        <x:v>-15</x:v>
      </x:c>
      <x:c r="K36" s="12" t="n">
        <x:v>0</x:v>
      </x:c>
      <x:c r="L36" s="12" t="n">
        <x:v>0</x:v>
      </x:c>
      <x:c r="M36" s="12" t="n">
        <x:v>-10</x:v>
      </x:c>
      <x:c r="N36" s="12" t="n">
        <x:v>5</x:v>
      </x:c>
      <x:c r="O36" s="12" t="n">
        <x:v>-5</x:v>
      </x:c>
      <x:c r="P36" s="12" t="n">
        <x:v>0</x:v>
      </x:c>
      <x:c r="Q36" s="12" t="n">
        <x:v>0</x:v>
      </x:c>
      <x:c r="R36" s="12" t="n">
        <x:v>-5</x:v>
      </x:c>
      <x:c r="S36" s="12" t="n">
        <x:v>0</x:v>
      </x:c>
      <x:c r="T36" s="12" t="str">
        <x:v>FightTempo-15 / Mobility-10 / FarmScaling-5 / SelfSufficiency+5</x:v>
      </x:c>
      <x:c r="U36" s="12" t="str">
        <x:v>Wikiのロール・長所短所と既存プロファイルの方向性を保ちながら、同アーキタイプ内の差を拡張。</x:v>
      </x:c>
      <x:c r="V36" s="12" t="str">
        <x:v>https://wikiwiki.jp/poke-unite/%E3%83%A9%E3%82%A6%E3%83%89%E3%83%9C%E3%83%BC%E3%83%B3</x:v>
      </x:c>
      <x:c r="W36" s="12" t="str">
        <x:v>https://wikiwiki.jp/poke-unite/%E4%B8%80%E8%A6%A7</x:v>
      </x:c>
      <x:c r="X36" s="12" t="str">
        <x:v>https://uniteapi.dev/jp/meta</x:v>
      </x:c>
    </x:row>
    <x:row r="37">
      <x:c r="A37" s="12" t="str">
        <x:v>ラティオス-1</x:v>
      </x:c>
      <x:c r="B37" s="12" t="str">
        <x:v>ラティオス</x:v>
      </x:c>
      <x:c r="C37" s="12" t="str">
        <x:v>共通</x:v>
      </x:c>
      <x:c r="D37" s="12" t="str">
        <x:v>BurstMage</x:v>
      </x:c>
      <x:c r="E37" s="12" t="n">
        <x:v>0</x:v>
      </x:c>
      <x:c r="F37" s="12" t="n">
        <x:v>0</x:v>
      </x:c>
      <x:c r="G37" s="12" t="n">
        <x:v>0</x:v>
      </x:c>
      <x:c r="H37" s="12" t="n">
        <x:v>-5</x:v>
      </x:c>
      <x:c r="I37" s="12" t="n">
        <x:v>0</x:v>
      </x:c>
      <x:c r="J37" s="12" t="n">
        <x:v>-5</x:v>
      </x:c>
      <x:c r="K37" s="12" t="n">
        <x:v>-5</x:v>
      </x:c>
      <x:c r="L37" s="12" t="n">
        <x:v>0</x:v>
      </x:c>
      <x:c r="M37" s="12" t="n">
        <x:v>10</x:v>
      </x:c>
      <x:c r="N37" s="12" t="n">
        <x:v>5</x:v>
      </x:c>
      <x:c r="O37" s="12" t="n">
        <x:v>5</x:v>
      </x:c>
      <x:c r="P37" s="12" t="n">
        <x:v>0</x:v>
      </x:c>
      <x:c r="Q37" s="12" t="n">
        <x:v>0</x:v>
      </x:c>
      <x:c r="R37" s="12" t="n">
        <x:v>0</x:v>
      </x:c>
      <x:c r="S37" s="12" t="n">
        <x:v>0</x:v>
      </x:c>
      <x:c r="T37" s="12" t="str">
        <x:v>なし（既存個体差の拡張のみ）</x:v>
      </x:c>
      <x:c r="U37" s="12" t="str">
        <x:v>Wikiのロール・長所短所と既存プロファイルの方向性を保ちながら、同アーキタイプ内の差を拡張。</x:v>
      </x:c>
      <x:c r="V37" s="12" t="str">
        <x:v>https://wikiwiki.jp/poke-unite/%E3%83%A9%E3%83%86%E3%82%A3%E3%82%AA%E3%82%B9</x:v>
      </x:c>
      <x:c r="W37" s="12" t="str">
        <x:v>https://wikiwiki.jp/poke-unite/%E4%B8%80%E8%A6%A7</x:v>
      </x:c>
      <x:c r="X37" s="12" t="str">
        <x:v>https://uniteapi.dev/jp/meta</x:v>
      </x:c>
    </x:row>
    <x:row r="38">
      <x:c r="A38" s="12" t="str">
        <x:v>レシラム-1</x:v>
      </x:c>
      <x:c r="B38" s="12" t="str">
        <x:v>レシラム</x:v>
      </x:c>
      <x:c r="C38" s="12" t="str">
        <x:v>共通</x:v>
      </x:c>
      <x:c r="D38" s="12" t="str">
        <x:v>BattleMage</x:v>
      </x:c>
      <x:c r="E38" s="12" t="n">
        <x:v>5</x:v>
      </x:c>
      <x:c r="F38" s="12" t="n">
        <x:v>0</x:v>
      </x:c>
      <x:c r="G38" s="12" t="n">
        <x:v>0</x:v>
      </x:c>
      <x:c r="H38" s="12" t="n">
        <x:v>0</x:v>
      </x:c>
      <x:c r="I38" s="12" t="n">
        <x:v>5</x:v>
      </x:c>
      <x:c r="J38" s="12" t="n">
        <x:v>0</x:v>
      </x:c>
      <x:c r="K38" s="12" t="n">
        <x:v>5</x:v>
      </x:c>
      <x:c r="L38" s="12" t="n">
        <x:v>0</x:v>
      </x:c>
      <x:c r="M38" s="12" t="n">
        <x:v>-5</x:v>
      </x:c>
      <x:c r="N38" s="12" t="n">
        <x:v>0</x:v>
      </x:c>
      <x:c r="O38" s="12" t="n">
        <x:v>5</x:v>
      </x:c>
      <x:c r="P38" s="12" t="n">
        <x:v>0</x:v>
      </x:c>
      <x:c r="Q38" s="12" t="n">
        <x:v>0</x:v>
      </x:c>
      <x:c r="R38" s="12" t="n">
        <x:v>-5</x:v>
      </x:c>
      <x:c r="S38" s="12" t="n">
        <x:v>0</x:v>
      </x:c>
      <x:c r="T38" s="12" t="str">
        <x:v>なし（既存個体差の拡張のみ）</x:v>
      </x:c>
      <x:c r="U38" s="12" t="str">
        <x:v>Wikiのロール・長所短所と既存プロファイルの方向性を保ちながら、同アーキタイプ内の差を拡張。</x:v>
      </x:c>
      <x:c r="V38" s="12" t="str">
        <x:v>https://wikiwiki.jp/poke-unite/%E3%83%AC%E3%82%B7%E3%83%A9%E3%83%A0</x:v>
      </x:c>
      <x:c r="W38" s="12" t="str">
        <x:v>https://wikiwiki.jp/poke-unite/%E4%B8%80%E8%A6%A7</x:v>
      </x:c>
      <x:c r="X38" s="12" t="str">
        <x:v>https://uniteapi.dev/jp/meta</x:v>
      </x:c>
    </x:row>
    <x:row r="39">
      <x:c r="A39" s="12" t="str">
        <x:v>ストリンダー-1</x:v>
      </x:c>
      <x:c r="B39" s="12" t="str">
        <x:v>ストリンダー</x:v>
      </x:c>
      <x:c r="C39" s="12" t="str">
        <x:v>共通</x:v>
      </x:c>
      <x:c r="D39" s="12" t="str">
        <x:v>Marksman</x:v>
      </x:c>
      <x:c r="E39" s="12" t="n">
        <x:v>5</x:v>
      </x:c>
      <x:c r="F39" s="12" t="n">
        <x:v>5</x:v>
      </x:c>
      <x:c r="G39" s="12" t="n">
        <x:v>-5</x:v>
      </x:c>
      <x:c r="H39" s="12" t="n">
        <x:v>0</x:v>
      </x:c>
      <x:c r="I39" s="12" t="n">
        <x:v>5</x:v>
      </x:c>
      <x:c r="J39" s="12" t="n">
        <x:v>0</x:v>
      </x:c>
      <x:c r="K39" s="12" t="n">
        <x:v>5</x:v>
      </x:c>
      <x:c r="L39" s="12" t="n">
        <x:v>0</x:v>
      </x:c>
      <x:c r="M39" s="12" t="n">
        <x:v>0</x:v>
      </x:c>
      <x:c r="N39" s="12" t="n">
        <x:v>0</x:v>
      </x:c>
      <x:c r="O39" s="12" t="n">
        <x:v>0</x:v>
      </x:c>
      <x:c r="P39" s="12" t="n">
        <x:v>0</x:v>
      </x:c>
      <x:c r="Q39" s="12" t="n">
        <x:v>5</x:v>
      </x:c>
      <x:c r="R39" s="12" t="n">
        <x:v>0</x:v>
      </x:c>
      <x:c r="S39" s="12" t="n">
        <x:v>5</x:v>
      </x:c>
      <x:c r="T39" s="12" t="str">
        <x:v>なし（既存個体差の拡張のみ）</x:v>
      </x:c>
      <x:c r="U39" s="12" t="str">
        <x:v>Wikiのロール・長所短所と既存プロファイルの方向性を保ちながら、同アーキタイプ内の差を拡張。</x:v>
      </x:c>
      <x:c r="V39" s="12" t="str">
        <x:v>https://www.pokemonunite.jp/ja/topics/news/20260924/</x:v>
      </x:c>
      <x:c r="W39" s="12" t="str">
        <x:v>https://wikiwiki.jp/poke-unite/%E4%B8%80%E8%A6%A7</x:v>
      </x:c>
      <x:c r="X39" s="12" t="str">
        <x:v>https://uniteapi.dev/jp/meta</x:v>
      </x:c>
    </x:row>
    <x:row r="40">
      <x:c r="A40" s="12" t="str">
        <x:v>アマージョ-1</x:v>
      </x:c>
      <x:c r="B40" s="12" t="str">
        <x:v>アマージョ</x:v>
      </x:c>
      <x:c r="C40" s="12" t="str">
        <x:v>共通</x:v>
      </x:c>
      <x:c r="D40" s="12" t="str">
        <x:v>Skirmisher</x:v>
      </x:c>
      <x:c r="E40" s="12" t="n">
        <x:v>0</x:v>
      </x:c>
      <x:c r="F40" s="12" t="n">
        <x:v>0</x:v>
      </x:c>
      <x:c r="G40" s="12" t="n">
        <x:v>0</x:v>
      </x:c>
      <x:c r="H40" s="12" t="n">
        <x:v>5</x:v>
      </x:c>
      <x:c r="I40" s="12" t="n">
        <x:v>0</x:v>
      </x:c>
      <x:c r="J40" s="12" t="n">
        <x:v>0</x:v>
      </x:c>
      <x:c r="K40" s="12" t="n">
        <x:v>-5</x:v>
      </x:c>
      <x:c r="L40" s="12" t="n">
        <x:v>0</x:v>
      </x:c>
      <x:c r="M40" s="12" t="n">
        <x:v>10</x:v>
      </x:c>
      <x:c r="N40" s="12" t="n">
        <x:v>5</x:v>
      </x:c>
      <x:c r="O40" s="12" t="n">
        <x:v>5</x:v>
      </x:c>
      <x:c r="P40" s="12" t="n">
        <x:v>0</x:v>
      </x:c>
      <x:c r="Q40" s="12" t="n">
        <x:v>0</x:v>
      </x:c>
      <x:c r="R40" s="12" t="n">
        <x:v>15</x:v>
      </x:c>
      <x:c r="S40" s="12" t="n">
        <x:v>0</x:v>
      </x:c>
      <x:c r="T40" s="12" t="str">
        <x:v>Mobility+10 / Execution+15 / SelfSufficiency+5 / Control-5</x:v>
      </x:c>
      <x:c r="U40" s="12" t="str">
        <x:v>Wikiのロール・長所短所と既存プロファイルの方向性を保ちながら、同アーキタイプ内の差を拡張。</x:v>
      </x:c>
      <x:c r="V40" s="12" t="str">
        <x:v>https://wikiwiki.jp/poke-unite/%E3%82%A2%E3%83%9E%E3%83%BC%E3%82%B8%E3%83%A7</x:v>
      </x:c>
      <x:c r="W40" s="12" t="str">
        <x:v>https://wikiwiki.jp/poke-unite/%E4%B8%80%E8%A6%A7</x:v>
      </x:c>
      <x:c r="X40" s="12" t="str">
        <x:v>https://uniteapi.dev/jp/meta</x:v>
      </x:c>
    </x:row>
    <x:row r="41">
      <x:c r="A41" s="12" t="str">
        <x:v>ウェーニバル-1</x:v>
      </x:c>
      <x:c r="B41" s="12" t="str">
        <x:v>ウェーニバル</x:v>
      </x:c>
      <x:c r="C41" s="12" t="str">
        <x:v>共通</x:v>
      </x:c>
      <x:c r="D41" s="12" t="str">
        <x:v>Skirmisher</x:v>
      </x:c>
      <x:c r="E41" s="12" t="n">
        <x:v>0</x:v>
      </x:c>
      <x:c r="F41" s="12" t="n">
        <x:v>0</x:v>
      </x:c>
      <x:c r="G41" s="12" t="n">
        <x:v>0</x:v>
      </x:c>
      <x:c r="H41" s="12" t="n">
        <x:v>5</x:v>
      </x:c>
      <x:c r="I41" s="12" t="n">
        <x:v>0</x:v>
      </x:c>
      <x:c r="J41" s="12" t="n">
        <x:v>15</x:v>
      </x:c>
      <x:c r="K41" s="12" t="n">
        <x:v>5</x:v>
      </x:c>
      <x:c r="L41" s="12" t="n">
        <x:v>0</x:v>
      </x:c>
      <x:c r="M41" s="12" t="n">
        <x:v>15</x:v>
      </x:c>
      <x:c r="N41" s="12" t="n">
        <x:v>10</x:v>
      </x:c>
      <x:c r="O41" s="12" t="n">
        <x:v>5</x:v>
      </x:c>
      <x:c r="P41" s="12" t="n">
        <x:v>0</x:v>
      </x:c>
      <x:c r="Q41" s="12" t="n">
        <x:v>0</x:v>
      </x:c>
      <x:c r="R41" s="12" t="n">
        <x:v>0</x:v>
      </x:c>
      <x:c r="S41" s="12" t="n">
        <x:v>0</x:v>
      </x:c>
      <x:c r="T41" s="12" t="str">
        <x:v>Mobility+10 / FightTempo+15 / SelfSufficiency+10 / Control+5</x:v>
      </x:c>
      <x:c r="U41" s="12" t="str">
        <x:v>Wikiのロール・長所短所と既存プロファイルの方向性を保ちながら、同アーキタイプ内の差を拡張。</x:v>
      </x:c>
      <x:c r="V41" s="12" t="str">
        <x:v>https://wikiwiki.jp/poke-unite/%E3%82%A6%E3%82%A7%E3%83%BC%E3%83%8B%E3%83%90%E3%83%AB</x:v>
      </x:c>
      <x:c r="W41" s="12" t="str">
        <x:v>https://wikiwiki.jp/poke-unite/%E4%B8%80%E8%A6%A7</x:v>
      </x:c>
      <x:c r="X41" s="12" t="str">
        <x:v>https://uniteapi.dev/jp/meta</x:v>
      </x:c>
    </x:row>
    <x:row r="42">
      <x:c r="A42" s="12" t="str">
        <x:v>ウーラオス-1</x:v>
      </x:c>
      <x:c r="B42" s="12" t="str">
        <x:v>ウーラオス</x:v>
      </x:c>
      <x:c r="C42" s="12" t="str">
        <x:v>あんこくきょうだ</x:v>
      </x:c>
      <x:c r="D42" s="12" t="str">
        <x:v>Diver</x:v>
      </x:c>
      <x:c r="E42" s="12" t="n">
        <x:v>-5</x:v>
      </x:c>
      <x:c r="F42" s="12" t="n">
        <x:v>5</x:v>
      </x:c>
      <x:c r="G42" s="12" t="n">
        <x:v>-5</x:v>
      </x:c>
      <x:c r="H42" s="12" t="n">
        <x:v>-10</x:v>
      </x:c>
      <x:c r="I42" s="12" t="n">
        <x:v>0</x:v>
      </x:c>
      <x:c r="J42" s="12" t="n">
        <x:v>-10</x:v>
      </x:c>
      <x:c r="K42" s="12" t="n">
        <x:v>-5</x:v>
      </x:c>
      <x:c r="L42" s="12" t="n">
        <x:v>0</x:v>
      </x:c>
      <x:c r="M42" s="12" t="n">
        <x:v>5</x:v>
      </x:c>
      <x:c r="N42" s="12" t="n">
        <x:v>-5</x:v>
      </x:c>
      <x:c r="O42" s="12" t="n">
        <x:v>0</x:v>
      </x:c>
      <x:c r="P42" s="12" t="n">
        <x:v>5</x:v>
      </x:c>
      <x:c r="Q42" s="12" t="n">
        <x:v>5</x:v>
      </x:c>
      <x:c r="R42" s="12" t="n">
        <x:v>5</x:v>
      </x:c>
      <x:c r="S42" s="12" t="n">
        <x:v>0</x:v>
      </x:c>
      <x:c r="T42" s="12" t="str">
        <x:v>なし（既存個体差の拡張のみ）</x:v>
      </x:c>
      <x:c r="U42" s="12" t="str">
        <x:v>Wikiのロール・長所短所と既存プロファイルの方向性を保ちながら、同アーキタイプ内の差を拡張。</x:v>
      </x:c>
      <x:c r="V42" s="12" t="str">
        <x:v>https://wikiwiki.jp/poke-unite/%E3%82%A6%E3%83%BC%E3%83%A9%E3%82%AA%E3%82%B9</x:v>
      </x:c>
      <x:c r="W42" s="12" t="str">
        <x:v>https://wikiwiki.jp/poke-unite/%E4%B8%80%E8%A6%A7</x:v>
      </x:c>
      <x:c r="X42" s="12" t="str">
        <x:v>https://uniteapi.dev/jp/meta</x:v>
      </x:c>
    </x:row>
    <x:row r="43">
      <x:c r="A43" s="12" t="str">
        <x:v>ウーラオス-2</x:v>
      </x:c>
      <x:c r="B43" s="12" t="str">
        <x:v>ウーラオス</x:v>
      </x:c>
      <x:c r="C43" s="12" t="str">
        <x:v>すいりゅうれんだ</x:v>
      </x:c>
      <x:c r="D43" s="12" t="str">
        <x:v>Skirmisher</x:v>
      </x:c>
      <x:c r="E43" s="12" t="n">
        <x:v>5</x:v>
      </x:c>
      <x:c r="F43" s="12" t="n">
        <x:v>10</x:v>
      </x:c>
      <x:c r="G43" s="12" t="n">
        <x:v>0</x:v>
      </x:c>
      <x:c r="H43" s="12" t="n">
        <x:v>5</x:v>
      </x:c>
      <x:c r="I43" s="12" t="n">
        <x:v>-5</x:v>
      </x:c>
      <x:c r="J43" s="12" t="n">
        <x:v>15</x:v>
      </x:c>
      <x:c r="K43" s="12" t="n">
        <x:v>5</x:v>
      </x:c>
      <x:c r="L43" s="12" t="n">
        <x:v>0</x:v>
      </x:c>
      <x:c r="M43" s="12" t="n">
        <x:v>5</x:v>
      </x:c>
      <x:c r="N43" s="12" t="n">
        <x:v>10</x:v>
      </x:c>
      <x:c r="O43" s="12" t="n">
        <x:v>-5</x:v>
      </x:c>
      <x:c r="P43" s="12" t="n">
        <x:v>-10</x:v>
      </x:c>
      <x:c r="Q43" s="12" t="n">
        <x:v>-5</x:v>
      </x:c>
      <x:c r="R43" s="12" t="n">
        <x:v>0</x:v>
      </x:c>
      <x:c r="S43" s="12" t="n">
        <x:v>0</x:v>
      </x:c>
      <x:c r="T43" s="12" t="str">
        <x:v>Dive+10 / FightTempo+15 / SelfSufficiency+10 / ObjectiveSecure-10</x:v>
      </x:c>
      <x:c r="U43" s="12" t="str">
        <x:v>Wikiのロール・長所短所と既存プロファイルの方向性を保ちながら、同アーキタイプ内の差を拡張。</x:v>
      </x:c>
      <x:c r="V43" s="12" t="str">
        <x:v>https://wikiwiki.jp/poke-unite/%E3%82%A6%E3%83%BC%E3%83%A9%E3%82%AA%E3%82%B9</x:v>
      </x:c>
      <x:c r="W43" s="12" t="str">
        <x:v>https://wikiwiki.jp/poke-unite/%E4%B8%80%E8%A6%A7</x:v>
      </x:c>
      <x:c r="X43" s="12" t="str">
        <x:v>https://uniteapi.dev/jp/meta</x:v>
      </x:c>
    </x:row>
    <x:row r="44">
      <x:c r="A44" s="12" t="str">
        <x:v>エンペルト-1</x:v>
      </x:c>
      <x:c r="B44" s="12" t="str">
        <x:v>エンペルト</x:v>
      </x:c>
      <x:c r="C44" s="12" t="str">
        <x:v>共通</x:v>
      </x:c>
      <x:c r="D44" s="12" t="str">
        <x:v>Juggernaut</x:v>
      </x:c>
      <x:c r="E44" s="12" t="n">
        <x:v>0</x:v>
      </x:c>
      <x:c r="F44" s="12" t="n">
        <x:v>5</x:v>
      </x:c>
      <x:c r="G44" s="12" t="n">
        <x:v>0</x:v>
      </x:c>
      <x:c r="H44" s="12" t="n">
        <x:v>0</x:v>
      </x:c>
      <x:c r="I44" s="12" t="n">
        <x:v>-5</x:v>
      </x:c>
      <x:c r="J44" s="12" t="n">
        <x:v>10</x:v>
      </x:c>
      <x:c r="K44" s="12" t="n">
        <x:v>-5</x:v>
      </x:c>
      <x:c r="L44" s="12" t="n">
        <x:v>-5</x:v>
      </x:c>
      <x:c r="M44" s="12" t="n">
        <x:v>-5</x:v>
      </x:c>
      <x:c r="N44" s="12" t="n">
        <x:v>10</x:v>
      </x:c>
      <x:c r="O44" s="12" t="n">
        <x:v>10</x:v>
      </x:c>
      <x:c r="P44" s="12" t="n">
        <x:v>5</x:v>
      </x:c>
      <x:c r="Q44" s="12" t="n">
        <x:v>0</x:v>
      </x:c>
      <x:c r="R44" s="12" t="n">
        <x:v>0</x:v>
      </x:c>
      <x:c r="S44" s="12" t="n">
        <x:v>5</x:v>
      </x:c>
      <x:c r="T44" s="12" t="str">
        <x:v>FightTempo+10 / Mobility+5 / SelfSufficiency+10 / Decision+10</x:v>
      </x:c>
      <x:c r="U44" s="12" t="str">
        <x:v>高い回復能力で殴り合い、中距離対応、ゲージ管理が特徴。継続戦/自己完結/判断を強調。</x:v>
      </x:c>
      <x:c r="V44" s="12" t="str">
        <x:v>https://wikiwiki.jp/poke-unite/%E3%82%A8%E3%83%B3%E3%83%9A%E3%83%AB%E3%83%88</x:v>
      </x:c>
      <x:c r="W44" s="12" t="str">
        <x:v>https://wikiwiki.jp/poke-unite/%E4%B8%80%E8%A6%A7</x:v>
      </x:c>
      <x:c r="X44" s="12" t="str">
        <x:v>https://uniteapi.dev/jp/meta</x:v>
      </x:c>
    </x:row>
    <x:row r="45">
      <x:c r="A45" s="12" t="str">
        <x:v>オーダイル-1</x:v>
      </x:c>
      <x:c r="B45" s="12" t="str">
        <x:v>オーダイル</x:v>
      </x:c>
      <x:c r="C45" s="12" t="str">
        <x:v>共通</x:v>
      </x:c>
      <x:c r="D45" s="12" t="str">
        <x:v>Diver</x:v>
      </x:c>
      <x:c r="E45" s="12" t="n">
        <x:v>0</x:v>
      </x:c>
      <x:c r="F45" s="12" t="n">
        <x:v>5</x:v>
      </x:c>
      <x:c r="G45" s="12" t="n">
        <x:v>0</x:v>
      </x:c>
      <x:c r="H45" s="12" t="n">
        <x:v>-5</x:v>
      </x:c>
      <x:c r="I45" s="12" t="n">
        <x:v>0</x:v>
      </x:c>
      <x:c r="J45" s="12" t="n">
        <x:v>-15</x:v>
      </x:c>
      <x:c r="K45" s="12" t="n">
        <x:v>-5</x:v>
      </x:c>
      <x:c r="L45" s="12" t="n">
        <x:v>0</x:v>
      </x:c>
      <x:c r="M45" s="12" t="n">
        <x:v>15</x:v>
      </x:c>
      <x:c r="N45" s="12" t="n">
        <x:v>0</x:v>
      </x:c>
      <x:c r="O45" s="12" t="n">
        <x:v>0</x:v>
      </x:c>
      <x:c r="P45" s="12" t="n">
        <x:v>0</x:v>
      </x:c>
      <x:c r="Q45" s="12" t="n">
        <x:v>0</x:v>
      </x:c>
      <x:c r="R45" s="12" t="n">
        <x:v>0</x:v>
      </x:c>
      <x:c r="S45" s="12" t="n">
        <x:v>10</x:v>
      </x:c>
      <x:c r="T45" s="12" t="str">
        <x:v>FightTempo-10 / Mobility+10 / Decision+10</x:v>
      </x:c>
      <x:c r="U45" s="12" t="str">
        <x:v>Wikiのロール・長所短所と既存プロファイルの方向性を保ちながら、同アーキタイプ内の差を拡張。</x:v>
      </x:c>
      <x:c r="V45" s="12" t="str">
        <x:v>https://wikiwiki.jp/poke-unite/%E3%82%AA%E3%83%BC%E3%83%80%E3%82%A4%E3%83%AB</x:v>
      </x:c>
      <x:c r="W45" s="12" t="str">
        <x:v>https://wikiwiki.jp/poke-unite/%E4%B8%80%E8%A6%A7</x:v>
      </x:c>
      <x:c r="X45" s="12" t="str">
        <x:v>https://uniteapi.dev/jp/meta</x:v>
      </x:c>
    </x:row>
    <x:row r="46">
      <x:c r="A46" s="12" t="str">
        <x:v>カイリキー-1</x:v>
      </x:c>
      <x:c r="B46" s="12" t="str">
        <x:v>カイリキー</x:v>
      </x:c>
      <x:c r="C46" s="12" t="str">
        <x:v>共通</x:v>
      </x:c>
      <x:c r="D46" s="12" t="str">
        <x:v>Diver</x:v>
      </x:c>
      <x:c r="E46" s="12" t="n">
        <x:v>0</x:v>
      </x:c>
      <x:c r="F46" s="12" t="n">
        <x:v>5</x:v>
      </x:c>
      <x:c r="G46" s="12" t="n">
        <x:v>0</x:v>
      </x:c>
      <x:c r="H46" s="12" t="n">
        <x:v>-5</x:v>
      </x:c>
      <x:c r="I46" s="12" t="n">
        <x:v>0</x:v>
      </x:c>
      <x:c r="J46" s="12" t="n">
        <x:v>-15</x:v>
      </x:c>
      <x:c r="K46" s="12" t="n">
        <x:v>15</x:v>
      </x:c>
      <x:c r="L46" s="12" t="n">
        <x:v>0</x:v>
      </x:c>
      <x:c r="M46" s="12" t="n">
        <x:v>0</x:v>
      </x:c>
      <x:c r="N46" s="12" t="n">
        <x:v>5</x:v>
      </x:c>
      <x:c r="O46" s="12" t="n">
        <x:v>0</x:v>
      </x:c>
      <x:c r="P46" s="12" t="n">
        <x:v>0</x:v>
      </x:c>
      <x:c r="Q46" s="12" t="n">
        <x:v>0</x:v>
      </x:c>
      <x:c r="R46" s="12" t="n">
        <x:v>0</x:v>
      </x:c>
      <x:c r="S46" s="12" t="n">
        <x:v>0</x:v>
      </x:c>
      <x:c r="T46" s="12" t="str">
        <x:v>FightTempo-10 / Control+10 / SelfSufficiency+5</x:v>
      </x:c>
      <x:c r="U46" s="12" t="str">
        <x:v>Wikiのロール・長所短所と既存プロファイルの方向性を保ちながら、同アーキタイプ内の差を拡張。</x:v>
      </x:c>
      <x:c r="V46" s="12" t="str">
        <x:v>https://wikiwiki.jp/poke-unite/%E3%82%AB%E3%82%A4%E3%83%AA%E3%82%AD%E3%83%BC</x:v>
      </x:c>
      <x:c r="W46" s="12" t="str">
        <x:v>https://wikiwiki.jp/poke-unite/%E4%B8%80%E8%A6%A7</x:v>
      </x:c>
      <x:c r="X46" s="12" t="str">
        <x:v>https://uniteapi.dev/jp/meta</x:v>
      </x:c>
    </x:row>
    <x:row r="47">
      <x:c r="A47" s="12" t="str">
        <x:v>カイリュー-1</x:v>
      </x:c>
      <x:c r="B47" s="12" t="str">
        <x:v>カイリュー</x:v>
      </x:c>
      <x:c r="C47" s="12" t="str">
        <x:v>はかいこうせん</x:v>
      </x:c>
      <x:c r="D47" s="12" t="str">
        <x:v>Marksman</x:v>
      </x:c>
      <x:c r="E47" s="12" t="n">
        <x:v>-10</x:v>
      </x:c>
      <x:c r="F47" s="12" t="n">
        <x:v>-5</x:v>
      </x:c>
      <x:c r="G47" s="12" t="n">
        <x:v>-5</x:v>
      </x:c>
      <x:c r="H47" s="12" t="n">
        <x:v>0</x:v>
      </x:c>
      <x:c r="I47" s="12" t="n">
        <x:v>0</x:v>
      </x:c>
      <x:c r="J47" s="12" t="n">
        <x:v>0</x:v>
      </x:c>
      <x:c r="K47" s="12" t="n">
        <x:v>-10</x:v>
      </x:c>
      <x:c r="L47" s="12" t="n">
        <x:v>0</x:v>
      </x:c>
      <x:c r="M47" s="12" t="n">
        <x:v>0</x:v>
      </x:c>
      <x:c r="N47" s="12" t="n">
        <x:v>0</x:v>
      </x:c>
      <x:c r="O47" s="12" t="n">
        <x:v>15</x:v>
      </x:c>
      <x:c r="P47" s="12" t="n">
        <x:v>10</x:v>
      </x:c>
      <x:c r="Q47" s="12" t="n">
        <x:v>5</x:v>
      </x:c>
      <x:c r="R47" s="12" t="n">
        <x:v>0</x:v>
      </x:c>
      <x:c r="S47" s="12" t="n">
        <x:v>5</x:v>
      </x:c>
      <x:c r="T47" s="12" t="str">
        <x:v>ObjectiveSecure+15 / FarmScaling+10 / Decision+5</x:v>
      </x:c>
      <x:c r="U47" s="12" t="str">
        <x:v>Wikiのロール・長所短所と既存プロファイルの方向性を保ちながら、同アーキタイプ内の差を拡張。</x:v>
      </x:c>
      <x:c r="V47" s="12" t="str">
        <x:v>https://wikiwiki.jp/poke-unite/%E3%82%AB%E3%82%A4%E3%83%AA%E3%83%A5%E3%83%BC</x:v>
      </x:c>
      <x:c r="W47" s="12" t="str">
        <x:v>https://wikiwiki.jp/poke-unite/%E4%B8%80%E8%A6%A7</x:v>
      </x:c>
      <x:c r="X47" s="12" t="str">
        <x:v>https://uniteapi.dev/jp/meta</x:v>
      </x:c>
    </x:row>
    <x:row r="48">
      <x:c r="A48" s="12" t="str">
        <x:v>カイリュー-2</x:v>
      </x:c>
      <x:c r="B48" s="12" t="str">
        <x:v>カイリュー</x:v>
      </x:c>
      <x:c r="C48" s="12" t="str">
        <x:v>げきりん</x:v>
      </x:c>
      <x:c r="D48" s="12" t="str">
        <x:v>Juggernaut</x:v>
      </x:c>
      <x:c r="E48" s="12" t="n">
        <x:v>10</x:v>
      </x:c>
      <x:c r="F48" s="12" t="n">
        <x:v>10</x:v>
      </x:c>
      <x:c r="G48" s="12" t="n">
        <x:v>-10</x:v>
      </x:c>
      <x:c r="H48" s="12" t="n">
        <x:v>0</x:v>
      </x:c>
      <x:c r="I48" s="12" t="n">
        <x:v>-5</x:v>
      </x:c>
      <x:c r="J48" s="12" t="n">
        <x:v>-10</x:v>
      </x:c>
      <x:c r="K48" s="12" t="n">
        <x:v>5</x:v>
      </x:c>
      <x:c r="L48" s="12" t="n">
        <x:v>-5</x:v>
      </x:c>
      <x:c r="M48" s="12" t="n">
        <x:v>10</x:v>
      </x:c>
      <x:c r="N48" s="12" t="n">
        <x:v>10</x:v>
      </x:c>
      <x:c r="O48" s="12" t="n">
        <x:v>5</x:v>
      </x:c>
      <x:c r="P48" s="12" t="n">
        <x:v>0</x:v>
      </x:c>
      <x:c r="Q48" s="12" t="n">
        <x:v>10</x:v>
      </x:c>
      <x:c r="R48" s="12" t="n">
        <x:v>5</x:v>
      </x:c>
      <x:c r="S48" s="12" t="n">
        <x:v>0</x:v>
      </x:c>
      <x:c r="T48" s="12" t="str">
        <x:v>なし（既存個体差の拡張のみ）</x:v>
      </x:c>
      <x:c r="U48" s="12" t="str">
        <x:v>Wikiのロール・長所短所と既存プロファイルの方向性を保ちながら、同アーキタイプ内の差を拡張。</x:v>
      </x:c>
      <x:c r="V48" s="12" t="str">
        <x:v>https://wikiwiki.jp/poke-unite/%E3%82%AB%E3%82%A4%E3%83%AA%E3%83%A5%E3%83%BC</x:v>
      </x:c>
      <x:c r="W48" s="12" t="str">
        <x:v>https://wikiwiki.jp/poke-unite/%E4%B8%80%E8%A6%A7</x:v>
      </x:c>
      <x:c r="X48" s="12" t="str">
        <x:v>https://uniteapi.dev/jp/meta</x:v>
      </x:c>
    </x:row>
    <x:row r="49">
      <x:c r="A49" s="12" t="str">
        <x:v>ガブリアス-1</x:v>
      </x:c>
      <x:c r="B49" s="12" t="str">
        <x:v>ガブリアス</x:v>
      </x:c>
      <x:c r="C49" s="12" t="str">
        <x:v>共通</x:v>
      </x:c>
      <x:c r="D49" s="12" t="str">
        <x:v>Juggernaut</x:v>
      </x:c>
      <x:c r="E49" s="12" t="n">
        <x:v>0</x:v>
      </x:c>
      <x:c r="F49" s="12" t="n">
        <x:v>5</x:v>
      </x:c>
      <x:c r="G49" s="12" t="n">
        <x:v>0</x:v>
      </x:c>
      <x:c r="H49" s="12" t="n">
        <x:v>0</x:v>
      </x:c>
      <x:c r="I49" s="12" t="n">
        <x:v>-5</x:v>
      </x:c>
      <x:c r="J49" s="12" t="n">
        <x:v>15</x:v>
      </x:c>
      <x:c r="K49" s="12" t="n">
        <x:v>-10</x:v>
      </x:c>
      <x:c r="L49" s="12" t="n">
        <x:v>-5</x:v>
      </x:c>
      <x:c r="M49" s="12" t="n">
        <x:v>-10</x:v>
      </x:c>
      <x:c r="N49" s="12" t="n">
        <x:v>10</x:v>
      </x:c>
      <x:c r="O49" s="12" t="n">
        <x:v>10</x:v>
      </x:c>
      <x:c r="P49" s="12" t="n">
        <x:v>15</x:v>
      </x:c>
      <x:c r="Q49" s="12" t="n">
        <x:v>0</x:v>
      </x:c>
      <x:c r="R49" s="12" t="n">
        <x:v>0</x:v>
      </x:c>
      <x:c r="S49" s="12" t="n">
        <x:v>-5</x:v>
      </x:c>
      <x:c r="T49" s="12" t="str">
        <x:v>FightTempo+15 / ObjectiveSecure+15 / SelfSufficiency+10 / Control-5</x:v>
      </x:c>
      <x:c r="U49" s="12" t="str">
        <x:v>殴り合いとオブジェクト処理が非常に強い。継続戦/取り切り/自己完結を強調。</x:v>
      </x:c>
      <x:c r="V49" s="12" t="str">
        <x:v>https://wikiwiki.jp/poke-unite/%E3%82%AC%E3%83%96%E3%83%AA%E3%82%A2%E3%82%B9</x:v>
      </x:c>
      <x:c r="W49" s="12" t="str">
        <x:v>https://wikiwiki.jp/poke-unite/%E4%B8%80%E8%A6%A7</x:v>
      </x:c>
      <x:c r="X49" s="12" t="str">
        <x:v>https://uniteapi.dev/jp/meta</x:v>
      </x:c>
    </x:row>
    <x:row r="50">
      <x:c r="A50" s="12" t="str">
        <x:v>ギャラドス-1</x:v>
      </x:c>
      <x:c r="B50" s="12" t="str">
        <x:v>ギャラドス</x:v>
      </x:c>
      <x:c r="C50" s="12" t="str">
        <x:v>共通</x:v>
      </x:c>
      <x:c r="D50" s="12" t="str">
        <x:v>Diver</x:v>
      </x:c>
      <x:c r="E50" s="12" t="n">
        <x:v>10</x:v>
      </x:c>
      <x:c r="F50" s="12" t="n">
        <x:v>5</x:v>
      </x:c>
      <x:c r="G50" s="12" t="n">
        <x:v>0</x:v>
      </x:c>
      <x:c r="H50" s="12" t="n">
        <x:v>-5</x:v>
      </x:c>
      <x:c r="I50" s="12" t="n">
        <x:v>0</x:v>
      </x:c>
      <x:c r="J50" s="12" t="n">
        <x:v>-5</x:v>
      </x:c>
      <x:c r="K50" s="12" t="n">
        <x:v>0</x:v>
      </x:c>
      <x:c r="L50" s="12" t="n">
        <x:v>0</x:v>
      </x:c>
      <x:c r="M50" s="12" t="n">
        <x:v>0</x:v>
      </x:c>
      <x:c r="N50" s="12" t="n">
        <x:v>0</x:v>
      </x:c>
      <x:c r="O50" s="12" t="n">
        <x:v>0</x:v>
      </x:c>
      <x:c r="P50" s="12" t="n">
        <x:v>0</x:v>
      </x:c>
      <x:c r="Q50" s="12" t="n">
        <x:v>0</x:v>
      </x:c>
      <x:c r="R50" s="12" t="n">
        <x:v>0</x:v>
      </x:c>
      <x:c r="S50" s="12" t="n">
        <x:v>0</x:v>
      </x:c>
      <x:c r="T50" s="12" t="str">
        <x:v>なし（既存個体差の拡張のみ）</x:v>
      </x:c>
      <x:c r="U50" s="12" t="str">
        <x:v>Wikiのロール・長所短所と既存プロファイルの方向性を保ちながら、同アーキタイプ内の差を拡張。</x:v>
      </x:c>
      <x:c r="V50" s="12" t="str">
        <x:v>https://wikiwiki.jp/poke-unite/%E3%82%AE%E3%83%A3%E3%83%A9%E3%83%89%E3%82%B9</x:v>
      </x:c>
      <x:c r="W50" s="12" t="str">
        <x:v>https://wikiwiki.jp/poke-unite/%E4%B8%80%E8%A6%A7</x:v>
      </x:c>
      <x:c r="X50" s="12" t="str">
        <x:v>https://uniteapi.dev/jp/meta</x:v>
      </x:c>
    </x:row>
    <x:row r="51">
      <x:c r="A51" s="12" t="str">
        <x:v>メガギャラドス-1</x:v>
      </x:c>
      <x:c r="B51" s="12" t="str">
        <x:v>メガギャラドス</x:v>
      </x:c>
      <x:c r="C51" s="12" t="str">
        <x:v>共通</x:v>
      </x:c>
      <x:c r="D51" s="12" t="str">
        <x:v>Diver</x:v>
      </x:c>
      <x:c r="E51" s="12" t="n">
        <x:v>0</x:v>
      </x:c>
      <x:c r="F51" s="12" t="n">
        <x:v>5</x:v>
      </x:c>
      <x:c r="G51" s="12" t="n">
        <x:v>0</x:v>
      </x:c>
      <x:c r="H51" s="12" t="n">
        <x:v>10</x:v>
      </x:c>
      <x:c r="I51" s="12" t="n">
        <x:v>0</x:v>
      </x:c>
      <x:c r="J51" s="12" t="n">
        <x:v>5</x:v>
      </x:c>
      <x:c r="K51" s="12" t="n">
        <x:v>0</x:v>
      </x:c>
      <x:c r="L51" s="12" t="n">
        <x:v>0</x:v>
      </x:c>
      <x:c r="M51" s="12" t="n">
        <x:v>5</x:v>
      </x:c>
      <x:c r="N51" s="12" t="n">
        <x:v>5</x:v>
      </x:c>
      <x:c r="O51" s="12" t="n">
        <x:v>0</x:v>
      </x:c>
      <x:c r="P51" s="12" t="n">
        <x:v>0</x:v>
      </x:c>
      <x:c r="Q51" s="12" t="n">
        <x:v>0</x:v>
      </x:c>
      <x:c r="R51" s="12" t="n">
        <x:v>0</x:v>
      </x:c>
      <x:c r="S51" s="12" t="n">
        <x:v>0</x:v>
      </x:c>
      <x:c r="T51" s="12" t="str">
        <x:v>なし（既存個体差の拡張のみ）</x:v>
      </x:c>
      <x:c r="U51" s="12" t="str">
        <x:v>Wikiのロール・長所短所と既存プロファイルの方向性を保ちながら、同アーキタイプ内の差を拡張。</x:v>
      </x:c>
      <x:c r="V51" s="12" t="str">
        <x:v>https://wikiwiki.jp/poke-unite/%E3%83%A1%E3%82%AC%E3%82%AE%E3%83%A3%E3%83%A9%E3%83%89%E3%82%B9</x:v>
      </x:c>
      <x:c r="W51" s="12" t="str">
        <x:v>https://wikiwiki.jp/poke-unite/%E4%B8%80%E8%A6%A7</x:v>
      </x:c>
      <x:c r="X51" s="12" t="str">
        <x:v>https://uniteapi.dev/jp/meta</x:v>
      </x:c>
    </x:row>
    <x:row r="52">
      <x:c r="A52" s="12" t="str">
        <x:v>ギルガルド-1</x:v>
      </x:c>
      <x:c r="B52" s="12" t="str">
        <x:v>ギルガルド</x:v>
      </x:c>
      <x:c r="C52" s="12" t="str">
        <x:v>共通</x:v>
      </x:c>
      <x:c r="D52" s="12" t="str">
        <x:v>Skirmisher</x:v>
      </x:c>
      <x:c r="E52" s="12" t="n">
        <x:v>0</x:v>
      </x:c>
      <x:c r="F52" s="12" t="n">
        <x:v>0</x:v>
      </x:c>
      <x:c r="G52" s="12" t="n">
        <x:v>0</x:v>
      </x:c>
      <x:c r="H52" s="12" t="n">
        <x:v>10</x:v>
      </x:c>
      <x:c r="I52" s="12" t="n">
        <x:v>0</x:v>
      </x:c>
      <x:c r="J52" s="12" t="n">
        <x:v>0</x:v>
      </x:c>
      <x:c r="K52" s="12" t="n">
        <x:v>0</x:v>
      </x:c>
      <x:c r="L52" s="12" t="n">
        <x:v>0</x:v>
      </x:c>
      <x:c r="M52" s="12" t="n">
        <x:v>-5</x:v>
      </x:c>
      <x:c r="N52" s="12" t="n">
        <x:v>0</x:v>
      </x:c>
      <x:c r="O52" s="12" t="n">
        <x:v>5</x:v>
      </x:c>
      <x:c r="P52" s="12" t="n">
        <x:v>0</x:v>
      </x:c>
      <x:c r="Q52" s="12" t="n">
        <x:v>0</x:v>
      </x:c>
      <x:c r="R52" s="12" t="n">
        <x:v>10</x:v>
      </x:c>
      <x:c r="S52" s="12" t="n">
        <x:v>0</x:v>
      </x:c>
      <x:c r="T52" s="12" t="str">
        <x:v>なし（既存個体差の拡張のみ）</x:v>
      </x:c>
      <x:c r="U52" s="12" t="str">
        <x:v>Wikiのロール・長所短所と既存プロファイルの方向性を保ちながら、同アーキタイプ内の差を拡張。</x:v>
      </x:c>
      <x:c r="V52" s="12" t="str">
        <x:v>https://wikiwiki.jp/poke-unite/%E3%82%AE%E3%83%AB%E3%82%AC%E3%83%AB%E3%83%89</x:v>
      </x:c>
      <x:c r="W52" s="12" t="str">
        <x:v>https://wikiwiki.jp/poke-unite/%E4%B8%80%E8%A6%A7</x:v>
      </x:c>
      <x:c r="X52" s="12" t="str">
        <x:v>https://uniteapi.dev/jp/meta</x:v>
      </x:c>
    </x:row>
    <x:row r="53">
      <x:c r="A53" s="12" t="str">
        <x:v>ザシアン-1</x:v>
      </x:c>
      <x:c r="B53" s="12" t="str">
        <x:v>ザシアン</x:v>
      </x:c>
      <x:c r="C53" s="12" t="str">
        <x:v>共通</x:v>
      </x:c>
      <x:c r="D53" s="12" t="str">
        <x:v>Skirmisher</x:v>
      </x:c>
      <x:c r="E53" s="12" t="n">
        <x:v>5</x:v>
      </x:c>
      <x:c r="F53" s="12" t="n">
        <x:v>0</x:v>
      </x:c>
      <x:c r="G53" s="12" t="n">
        <x:v>0</x:v>
      </x:c>
      <x:c r="H53" s="12" t="n">
        <x:v>5</x:v>
      </x:c>
      <x:c r="I53" s="12" t="n">
        <x:v>0</x:v>
      </x:c>
      <x:c r="J53" s="12" t="n">
        <x:v>-5</x:v>
      </x:c>
      <x:c r="K53" s="12" t="n">
        <x:v>0</x:v>
      </x:c>
      <x:c r="L53" s="12" t="n">
        <x:v>0</x:v>
      </x:c>
      <x:c r="M53" s="12" t="n">
        <x:v>0</x:v>
      </x:c>
      <x:c r="N53" s="12" t="n">
        <x:v>10</x:v>
      </x:c>
      <x:c r="O53" s="12" t="n">
        <x:v>5</x:v>
      </x:c>
      <x:c r="P53" s="12" t="n">
        <x:v>10</x:v>
      </x:c>
      <x:c r="Q53" s="12" t="n">
        <x:v>-5</x:v>
      </x:c>
      <x:c r="R53" s="12" t="n">
        <x:v>0</x:v>
      </x:c>
      <x:c r="S53" s="12" t="n">
        <x:v>0</x:v>
      </x:c>
      <x:c r="T53" s="12" t="str">
        <x:v>Engage+5 / SelfSufficiency+10 / ObjectiveSecure+10 / FightTempo-5</x:v>
      </x:c>
      <x:c r="U53" s="12" t="str">
        <x:v>Wikiのロール・長所短所と既存プロファイルの方向性を保ちながら、同アーキタイプ内の差を拡張。</x:v>
      </x:c>
      <x:c r="V53" s="12" t="str">
        <x:v>https://wikiwiki.jp/poke-unite/%E3%82%B6%E3%82%B7%E3%82%A2%E3%83%B3</x:v>
      </x:c>
      <x:c r="W53" s="12" t="str">
        <x:v>https://wikiwiki.jp/poke-unite/%E4%B8%80%E8%A6%A7</x:v>
      </x:c>
      <x:c r="X53" s="12" t="str">
        <x:v>https://uniteapi.dev/jp/meta</x:v>
      </x:c>
    </x:row>
    <x:row r="54">
      <x:c r="A54" s="12" t="str">
        <x:v>スイクン-1</x:v>
      </x:c>
      <x:c r="B54" s="12" t="str">
        <x:v>スイクン</x:v>
      </x:c>
      <x:c r="C54" s="12" t="str">
        <x:v>共通</x:v>
      </x:c>
      <x:c r="D54" s="12" t="str">
        <x:v>BurstMage</x:v>
      </x:c>
      <x:c r="E54" s="12" t="n">
        <x:v>0</x:v>
      </x:c>
      <x:c r="F54" s="12" t="n">
        <x:v>5</x:v>
      </x:c>
      <x:c r="G54" s="12" t="n">
        <x:v>0</x:v>
      </x:c>
      <x:c r="H54" s="12" t="n">
        <x:v>10</x:v>
      </x:c>
      <x:c r="I54" s="12" t="n">
        <x:v>-10</x:v>
      </x:c>
      <x:c r="J54" s="12" t="n">
        <x:v>5</x:v>
      </x:c>
      <x:c r="K54" s="12" t="n">
        <x:v>5</x:v>
      </x:c>
      <x:c r="L54" s="12" t="n">
        <x:v>0</x:v>
      </x:c>
      <x:c r="M54" s="12" t="n">
        <x:v>-10</x:v>
      </x:c>
      <x:c r="N54" s="12" t="n">
        <x:v>-5</x:v>
      </x:c>
      <x:c r="O54" s="12" t="n">
        <x:v>5</x:v>
      </x:c>
      <x:c r="P54" s="12" t="n">
        <x:v>-5</x:v>
      </x:c>
      <x:c r="Q54" s="12" t="n">
        <x:v>0</x:v>
      </x:c>
      <x:c r="R54" s="12" t="n">
        <x:v>0</x:v>
      </x:c>
      <x:c r="S54" s="12" t="n">
        <x:v>0</x:v>
      </x:c>
      <x:c r="T54" s="12" t="str">
        <x:v>なし（既存個体差の拡張のみ）</x:v>
      </x:c>
      <x:c r="U54" s="12" t="str">
        <x:v>Wikiのロール・長所短所と既存プロファイルの方向性を保ちながら、同アーキタイプ内の差を拡張。</x:v>
      </x:c>
      <x:c r="V54" s="12" t="str">
        <x:v>https://wikiwiki.jp/poke-unite/%E3%82%B9%E3%82%A4%E3%82%AF%E3%83%B3</x:v>
      </x:c>
      <x:c r="W54" s="12" t="str">
        <x:v>https://wikiwiki.jp/poke-unite/%E4%B8%80%E8%A6%A7</x:v>
      </x:c>
      <x:c r="X54" s="12" t="str">
        <x:v>https://uniteapi.dev/jp/meta</x:v>
      </x:c>
    </x:row>
    <x:row r="55">
      <x:c r="A55" s="12" t="str">
        <x:v>ソウブレイズ-1</x:v>
      </x:c>
      <x:c r="B55" s="12" t="str">
        <x:v>ソウブレイズ</x:v>
      </x:c>
      <x:c r="C55" s="12" t="str">
        <x:v>共通</x:v>
      </x:c>
      <x:c r="D55" s="12" t="str">
        <x:v>Skirmisher</x:v>
      </x:c>
      <x:c r="E55" s="12" t="n">
        <x:v>0</x:v>
      </x:c>
      <x:c r="F55" s="12" t="n">
        <x:v>0</x:v>
      </x:c>
      <x:c r="G55" s="12" t="n">
        <x:v>0</x:v>
      </x:c>
      <x:c r="H55" s="12" t="n">
        <x:v>5</x:v>
      </x:c>
      <x:c r="I55" s="12" t="n">
        <x:v>0</x:v>
      </x:c>
      <x:c r="J55" s="12" t="n">
        <x:v>15</x:v>
      </x:c>
      <x:c r="K55" s="12" t="n">
        <x:v>-10</x:v>
      </x:c>
      <x:c r="L55" s="12" t="n">
        <x:v>0</x:v>
      </x:c>
      <x:c r="M55" s="12" t="n">
        <x:v>0</x:v>
      </x:c>
      <x:c r="N55" s="12" t="n">
        <x:v>15</x:v>
      </x:c>
      <x:c r="O55" s="12" t="n">
        <x:v>5</x:v>
      </x:c>
      <x:c r="P55" s="12" t="n">
        <x:v>10</x:v>
      </x:c>
      <x:c r="Q55" s="12" t="n">
        <x:v>0</x:v>
      </x:c>
      <x:c r="R55" s="12" t="n">
        <x:v>0</x:v>
      </x:c>
      <x:c r="S55" s="12" t="n">
        <x:v>0</x:v>
      </x:c>
      <x:c r="T55" s="12" t="str">
        <x:v>FightTempo+15 / SelfSufficiency+15 / ObjectiveSecure+10 / Control-5</x:v>
      </x:c>
      <x:c r="U55" s="12" t="str">
        <x:v>Wikiのロール・長所短所と既存プロファイルの方向性を保ちながら、同アーキタイプ内の差を拡張。</x:v>
      </x:c>
      <x:c r="V55" s="12" t="str">
        <x:v>https://wikiwiki.jp/poke-unite/%E3%82%BD%E3%82%A6%E3%83%96%E3%83%AC%E3%82%A4%E3%82%BA</x:v>
      </x:c>
      <x:c r="W55" s="12" t="str">
        <x:v>https://wikiwiki.jp/poke-unite/%E4%B8%80%E8%A6%A7</x:v>
      </x:c>
      <x:c r="X55" s="12" t="str">
        <x:v>https://uniteapi.dev/jp/meta</x:v>
      </x:c>
    </x:row>
    <x:row r="56">
      <x:c r="A56" s="12" t="str">
        <x:v>ソルガレオ-1</x:v>
      </x:c>
      <x:c r="B56" s="12" t="str">
        <x:v>ソルガレオ</x:v>
      </x:c>
      <x:c r="C56" s="12" t="str">
        <x:v>共通</x:v>
      </x:c>
      <x:c r="D56" s="12" t="str">
        <x:v>Juggernaut</x:v>
      </x:c>
      <x:c r="E56" s="12" t="n">
        <x:v>0</x:v>
      </x:c>
      <x:c r="F56" s="12" t="n">
        <x:v>5</x:v>
      </x:c>
      <x:c r="G56" s="12" t="n">
        <x:v>0</x:v>
      </x:c>
      <x:c r="H56" s="12" t="n">
        <x:v>-5</x:v>
      </x:c>
      <x:c r="I56" s="12" t="n">
        <x:v>-5</x:v>
      </x:c>
      <x:c r="J56" s="12" t="n">
        <x:v>0</x:v>
      </x:c>
      <x:c r="K56" s="12" t="n">
        <x:v>5</x:v>
      </x:c>
      <x:c r="L56" s="12" t="n">
        <x:v>-5</x:v>
      </x:c>
      <x:c r="M56" s="12" t="n">
        <x:v>0</x:v>
      </x:c>
      <x:c r="N56" s="12" t="n">
        <x:v>0</x:v>
      </x:c>
      <x:c r="O56" s="12" t="n">
        <x:v>0</x:v>
      </x:c>
      <x:c r="P56" s="12" t="n">
        <x:v>5</x:v>
      </x:c>
      <x:c r="Q56" s="12" t="n">
        <x:v>0</x:v>
      </x:c>
      <x:c r="R56" s="12" t="n">
        <x:v>0</x:v>
      </x:c>
      <x:c r="S56" s="12" t="n">
        <x:v>0</x:v>
      </x:c>
      <x:c r="T56" s="12" t="str">
        <x:v>Control+10 / Mobility+10 / Frontline-10 / FarmScaling-10 / Decision+5</x:v>
      </x:c>
      <x:c r="U56" s="12" t="str">
        <x:v>複数CC・回復・移動手段を持つが純粋な前張り/追撃性能は限定的。Control/Mobility寄り。</x:v>
      </x:c>
      <x:c r="V56" s="12" t="str">
        <x:v>https://wikiwiki.jp/poke-unite/%E3%82%BD%E3%83%AB%E3%82%AC%E3%83%AC%E3%82%AA</x:v>
      </x:c>
      <x:c r="W56" s="12" t="str">
        <x:v>https://wikiwiki.jp/poke-unite/%E4%B8%80%E8%A6%A7</x:v>
      </x:c>
      <x:c r="X56" s="12" t="str">
        <x:v>https://uniteapi.dev/jp/meta</x:v>
      </x:c>
    </x:row>
    <x:row r="57">
      <x:c r="A57" s="12" t="str">
        <x:v>タイレーツ-1</x:v>
      </x:c>
      <x:c r="B57" s="12" t="str">
        <x:v>タイレーツ</x:v>
      </x:c>
      <x:c r="C57" s="12" t="str">
        <x:v>はいすいのじん</x:v>
      </x:c>
      <x:c r="D57" s="12" t="str">
        <x:v>Juggernaut</x:v>
      </x:c>
      <x:c r="E57" s="12" t="n">
        <x:v>0</x:v>
      </x:c>
      <x:c r="F57" s="12" t="n">
        <x:v>5</x:v>
      </x:c>
      <x:c r="G57" s="12" t="n">
        <x:v>0</x:v>
      </x:c>
      <x:c r="H57" s="12" t="n">
        <x:v>0</x:v>
      </x:c>
      <x:c r="I57" s="12" t="n">
        <x:v>-5</x:v>
      </x:c>
      <x:c r="J57" s="12" t="n">
        <x:v>-5</x:v>
      </x:c>
      <x:c r="K57" s="12" t="n">
        <x:v>-5</x:v>
      </x:c>
      <x:c r="L57" s="12" t="n">
        <x:v>-5</x:v>
      </x:c>
      <x:c r="M57" s="12" t="n">
        <x:v>-15</x:v>
      </x:c>
      <x:c r="N57" s="12" t="n">
        <x:v>0</x:v>
      </x:c>
      <x:c r="O57" s="12" t="n">
        <x:v>10</x:v>
      </x:c>
      <x:c r="P57" s="12" t="n">
        <x:v>5</x:v>
      </x:c>
      <x:c r="Q57" s="12" t="n">
        <x:v>0</x:v>
      </x:c>
      <x:c r="R57" s="12" t="n">
        <x:v>15</x:v>
      </x:c>
      <x:c r="S57" s="12" t="n">
        <x:v>5</x:v>
      </x:c>
      <x:c r="T57" s="12" t="str">
        <x:v>Frontline+10 / Execution+15 / Decision+10 / Mobility-5</x:v>
      </x:c>
      <x:c r="U57" s="12" t="str">
        <x:v>Wikiのロール・長所短所と既存プロファイルの方向性を保ちながら、同アーキタイプ内の差を拡張。</x:v>
      </x:c>
      <x:c r="V57" s="12" t="str">
        <x:v>https://wikiwiki.jp/poke-unite/%E3%82%BF%E3%82%A4%E3%83%AC%E3%83%BC%E3%83%84</x:v>
      </x:c>
      <x:c r="W57" s="12" t="str">
        <x:v>https://wikiwiki.jp/poke-unite/%E4%B8%80%E8%A6%A7</x:v>
      </x:c>
      <x:c r="X57" s="12" t="str">
        <x:v>https://uniteapi.dev/jp/meta</x:v>
      </x:c>
    </x:row>
    <x:row r="58">
      <x:c r="A58" s="12" t="str">
        <x:v>タイレーツ-2</x:v>
      </x:c>
      <x:c r="B58" s="12" t="str">
        <x:v>タイレーツ</x:v>
      </x:c>
      <x:c r="C58" s="12" t="str">
        <x:v>ふくろだたき</x:v>
      </x:c>
      <x:c r="D58" s="12" t="str">
        <x:v>Diver</x:v>
      </x:c>
      <x:c r="E58" s="12" t="n">
        <x:v>-5</x:v>
      </x:c>
      <x:c r="F58" s="12" t="n">
        <x:v>5</x:v>
      </x:c>
      <x:c r="G58" s="12" t="n">
        <x:v>0</x:v>
      </x:c>
      <x:c r="H58" s="12" t="n">
        <x:v>-5</x:v>
      </x:c>
      <x:c r="I58" s="12" t="n">
        <x:v>0</x:v>
      </x:c>
      <x:c r="J58" s="12" t="n">
        <x:v>10</x:v>
      </x:c>
      <x:c r="K58" s="12" t="n">
        <x:v>-5</x:v>
      </x:c>
      <x:c r="L58" s="12" t="n">
        <x:v>0</x:v>
      </x:c>
      <x:c r="M58" s="12" t="n">
        <x:v>10</x:v>
      </x:c>
      <x:c r="N58" s="12" t="n">
        <x:v>0</x:v>
      </x:c>
      <x:c r="O58" s="12" t="n">
        <x:v>0</x:v>
      </x:c>
      <x:c r="P58" s="12" t="n">
        <x:v>0</x:v>
      </x:c>
      <x:c r="Q58" s="12" t="n">
        <x:v>5</x:v>
      </x:c>
      <x:c r="R58" s="12" t="n">
        <x:v>0</x:v>
      </x:c>
      <x:c r="S58" s="12" t="n">
        <x:v>0</x:v>
      </x:c>
      <x:c r="T58" s="12" t="str">
        <x:v>なし（既存個体差の拡張のみ）</x:v>
      </x:c>
      <x:c r="U58" s="12" t="str">
        <x:v>Wikiのロール・長所短所と既存プロファイルの方向性を保ちながら、同アーキタイプ内の差を拡張。</x:v>
      </x:c>
      <x:c r="V58" s="12" t="str">
        <x:v>https://wikiwiki.jp/poke-unite/%E3%82%BF%E3%82%A4%E3%83%AC%E3%83%BC%E3%83%84</x:v>
      </x:c>
      <x:c r="W58" s="12" t="str">
        <x:v>https://wikiwiki.jp/poke-unite/%E4%B8%80%E8%A6%A7</x:v>
      </x:c>
      <x:c r="X58" s="12" t="str">
        <x:v>https://uniteapi.dev/jp/meta</x:v>
      </x:c>
    </x:row>
    <x:row r="59">
      <x:c r="A59" s="12" t="str">
        <x:v>ダダリン-1</x:v>
      </x:c>
      <x:c r="B59" s="12" t="str">
        <x:v>ダダリン</x:v>
      </x:c>
      <x:c r="C59" s="12" t="str">
        <x:v>共通</x:v>
      </x:c>
      <x:c r="D59" s="12" t="str">
        <x:v>Catcher</x:v>
      </x:c>
      <x:c r="E59" s="12" t="n">
        <x:v>0</x:v>
      </x:c>
      <x:c r="F59" s="12" t="n">
        <x:v>0</x:v>
      </x:c>
      <x:c r="G59" s="12" t="n">
        <x:v>-5</x:v>
      </x:c>
      <x:c r="H59" s="12" t="n">
        <x:v>-5</x:v>
      </x:c>
      <x:c r="I59" s="12" t="n">
        <x:v>5</x:v>
      </x:c>
      <x:c r="J59" s="12" t="n">
        <x:v>-10</x:v>
      </x:c>
      <x:c r="K59" s="12" t="n">
        <x:v>0</x:v>
      </x:c>
      <x:c r="L59" s="12" t="n">
        <x:v>-5</x:v>
      </x:c>
      <x:c r="M59" s="12" t="n">
        <x:v>-15</x:v>
      </x:c>
      <x:c r="N59" s="12" t="n">
        <x:v>5</x:v>
      </x:c>
      <x:c r="O59" s="12" t="n">
        <x:v>5</x:v>
      </x:c>
      <x:c r="P59" s="12" t="n">
        <x:v>5</x:v>
      </x:c>
      <x:c r="Q59" s="12" t="n">
        <x:v>0</x:v>
      </x:c>
      <x:c r="R59" s="12" t="n">
        <x:v>0</x:v>
      </x:c>
      <x:c r="S59" s="12" t="n">
        <x:v>5</x:v>
      </x:c>
      <x:c r="T59" s="12" t="str">
        <x:v>FightTempo-10 / Control+10 / Mobility-15 / SelfSufficiency+5</x:v>
      </x:c>
      <x:c r="U59" s="12" t="str">
        <x:v>高火力だが機動が低い。捕まえた相手へ短く強く仕事をするCatcherとして分離。</x:v>
      </x:c>
      <x:c r="V59" s="12" t="str">
        <x:v>https://wikiwiki.jp/poke-unite/%E3%83%80%E3%83%80%E3%83%AA%E3%83%B3</x:v>
      </x:c>
      <x:c r="W59" s="12" t="str">
        <x:v>https://wikiwiki.jp/poke-unite/%E4%B8%80%E8%A6%A7</x:v>
      </x:c>
      <x:c r="X59" s="12" t="str">
        <x:v>https://uniteapi.dev/jp/meta</x:v>
      </x:c>
    </x:row>
    <x:row r="60">
      <x:c r="A60" s="12" t="str">
        <x:v>デカヌチャン-1</x:v>
      </x:c>
      <x:c r="B60" s="12" t="str">
        <x:v>デカヌチャン</x:v>
      </x:c>
      <x:c r="C60" s="12" t="str">
        <x:v>共通</x:v>
      </x:c>
      <x:c r="D60" s="12" t="str">
        <x:v>Juggernaut</x:v>
      </x:c>
      <x:c r="E60" s="12" t="n">
        <x:v>0</x:v>
      </x:c>
      <x:c r="F60" s="12" t="n">
        <x:v>5</x:v>
      </x:c>
      <x:c r="G60" s="12" t="n">
        <x:v>0</x:v>
      </x:c>
      <x:c r="H60" s="12" t="n">
        <x:v>0</x:v>
      </x:c>
      <x:c r="I60" s="12" t="n">
        <x:v>-5</x:v>
      </x:c>
      <x:c r="J60" s="12" t="n">
        <x:v>5</x:v>
      </x:c>
      <x:c r="K60" s="12" t="n">
        <x:v>-5</x:v>
      </x:c>
      <x:c r="L60" s="12" t="n">
        <x:v>-5</x:v>
      </x:c>
      <x:c r="M60" s="12" t="n">
        <x:v>-15</x:v>
      </x:c>
      <x:c r="N60" s="12" t="n">
        <x:v>0</x:v>
      </x:c>
      <x:c r="O60" s="12" t="n">
        <x:v>15</x:v>
      </x:c>
      <x:c r="P60" s="12" t="n">
        <x:v>5</x:v>
      </x:c>
      <x:c r="Q60" s="12" t="n">
        <x:v>0</x:v>
      </x:c>
      <x:c r="R60" s="12" t="n">
        <x:v>-10</x:v>
      </x:c>
      <x:c r="S60" s="12" t="n">
        <x:v>-5</x:v>
      </x:c>
      <x:c r="T60" s="12" t="str">
        <x:v>FightTempo+10 / FarmScaling+15 / Execution-10 / Mobility-5</x:v>
      </x:c>
      <x:c r="U60" s="12" t="str">
        <x:v>Wikiのロール・長所短所と既存プロファイルの方向性を保ちながら、同アーキタイプ内の差を拡張。</x:v>
      </x:c>
      <x:c r="V60" s="12" t="str">
        <x:v>https://wikiwiki.jp/poke-unite/%E3%83%87%E3%82%AB%E3%83%8C%E3%83%81%E3%83%A3%E3%83%B3</x:v>
      </x:c>
      <x:c r="W60" s="12" t="str">
        <x:v>https://wikiwiki.jp/poke-unite/%E4%B8%80%E8%A6%A7</x:v>
      </x:c>
      <x:c r="X60" s="12" t="str">
        <x:v>https://uniteapi.dev/jp/meta</x:v>
      </x:c>
    </x:row>
    <x:row r="61">
      <x:c r="A61" s="12" t="str">
        <x:v>ネギガナイト-1</x:v>
      </x:c>
      <x:c r="B61" s="12" t="str">
        <x:v>ネギガナイト</x:v>
      </x:c>
      <x:c r="C61" s="12" t="str">
        <x:v>共通</x:v>
      </x:c>
      <x:c r="D61" s="12" t="str">
        <x:v>Diver</x:v>
      </x:c>
      <x:c r="E61" s="12" t="n">
        <x:v>0</x:v>
      </x:c>
      <x:c r="F61" s="12" t="n">
        <x:v>5</x:v>
      </x:c>
      <x:c r="G61" s="12" t="n">
        <x:v>0</x:v>
      </x:c>
      <x:c r="H61" s="12" t="n">
        <x:v>0</x:v>
      </x:c>
      <x:c r="I61" s="12" t="n">
        <x:v>0</x:v>
      </x:c>
      <x:c r="J61" s="12" t="n">
        <x:v>-5</x:v>
      </x:c>
      <x:c r="K61" s="12" t="n">
        <x:v>0</x:v>
      </x:c>
      <x:c r="L61" s="12" t="n">
        <x:v>0</x:v>
      </x:c>
      <x:c r="M61" s="12" t="n">
        <x:v>-5</x:v>
      </x:c>
      <x:c r="N61" s="12" t="n">
        <x:v>10</x:v>
      </x:c>
      <x:c r="O61" s="12" t="n">
        <x:v>0</x:v>
      </x:c>
      <x:c r="P61" s="12" t="n">
        <x:v>0</x:v>
      </x:c>
      <x:c r="Q61" s="12" t="n">
        <x:v>0</x:v>
      </x:c>
      <x:c r="R61" s="12" t="n">
        <x:v>15</x:v>
      </x:c>
      <x:c r="S61" s="12" t="n">
        <x:v>0</x:v>
      </x:c>
      <x:c r="T61" s="12" t="str">
        <x:v>Execution+15 / SelfSufficiency+10 / Mobility-5</x:v>
      </x:c>
      <x:c r="U61" s="12" t="str">
        <x:v>Wikiのロール・長所短所と既存プロファイルの方向性を保ちながら、同アーキタイプ内の差を拡張。</x:v>
      </x:c>
      <x:c r="V61" s="12" t="str">
        <x:v>https://wikiwiki.jp/poke-unite/%E3%83%8D%E3%82%AE%E3%82%AC%E3%83%8A%E3%82%A4%E3%83%88</x:v>
      </x:c>
      <x:c r="W61" s="12" t="str">
        <x:v>https://wikiwiki.jp/poke-unite/%E4%B8%80%E8%A6%A7</x:v>
      </x:c>
      <x:c r="X61" s="12" t="str">
        <x:v>https://uniteapi.dev/jp/meta</x:v>
      </x:c>
    </x:row>
    <x:row r="62">
      <x:c r="A62" s="12" t="str">
        <x:v>ハッサム-1</x:v>
      </x:c>
      <x:c r="B62" s="12" t="str">
        <x:v>ハッサム</x:v>
      </x:c>
      <x:c r="C62" s="12" t="str">
        <x:v>ストライク</x:v>
      </x:c>
      <x:c r="D62" s="12" t="str">
        <x:v>Assassin</x:v>
      </x:c>
      <x:c r="E62" s="12" t="n">
        <x:v>0</x:v>
      </x:c>
      <x:c r="F62" s="12" t="n">
        <x:v>0</x:v>
      </x:c>
      <x:c r="G62" s="12" t="n">
        <x:v>-5</x:v>
      </x:c>
      <x:c r="H62" s="12" t="n">
        <x:v>-5</x:v>
      </x:c>
      <x:c r="I62" s="12" t="n">
        <x:v>0</x:v>
      </x:c>
      <x:c r="J62" s="12" t="n">
        <x:v>-15</x:v>
      </x:c>
      <x:c r="K62" s="12" t="n">
        <x:v>0</x:v>
      </x:c>
      <x:c r="L62" s="12" t="n">
        <x:v>0</x:v>
      </x:c>
      <x:c r="M62" s="12" t="n">
        <x:v>0</x:v>
      </x:c>
      <x:c r="N62" s="12" t="n">
        <x:v>5</x:v>
      </x:c>
      <x:c r="O62" s="12" t="n">
        <x:v>5</x:v>
      </x:c>
      <x:c r="P62" s="12" t="n">
        <x:v>0</x:v>
      </x:c>
      <x:c r="Q62" s="12" t="n">
        <x:v>0</x:v>
      </x:c>
      <x:c r="R62" s="12" t="n">
        <x:v>10</x:v>
      </x:c>
      <x:c r="S62" s="12" t="n">
        <x:v>0</x:v>
      </x:c>
      <x:c r="T62" s="12" t="str">
        <x:v>Mobility+10 / FightTempo-10 / Execution+10 / SelfSufficiency+5</x:v>
      </x:c>
      <x:c r="U62" s="12" t="str">
        <x:v>Wikiのロール・長所短所と既存プロファイルの方向性を保ちながら、同アーキタイプ内の差を拡張。</x:v>
      </x:c>
      <x:c r="V62" s="12" t="str">
        <x:v>https://wikiwiki.jp/poke-unite/%E3%83%8F%E3%83%83%E3%82%B5%E3%83%A0</x:v>
      </x:c>
      <x:c r="W62" s="12" t="str">
        <x:v>https://wikiwiki.jp/poke-unite/%E4%B8%80%E8%A6%A7</x:v>
      </x:c>
      <x:c r="X62" s="12" t="str">
        <x:v>https://uniteapi.dev/jp/meta</x:v>
      </x:c>
    </x:row>
    <x:row r="63">
      <x:c r="A63" s="12" t="str">
        <x:v>ハッサム-2</x:v>
      </x:c>
      <x:c r="B63" s="12" t="str">
        <x:v>ハッサム</x:v>
      </x:c>
      <x:c r="C63" s="12" t="str">
        <x:v>ハッサム</x:v>
      </x:c>
      <x:c r="D63" s="12" t="str">
        <x:v>Skirmisher</x:v>
      </x:c>
      <x:c r="E63" s="12" t="n">
        <x:v>0</x:v>
      </x:c>
      <x:c r="F63" s="12" t="n">
        <x:v>-10</x:v>
      </x:c>
      <x:c r="G63" s="12" t="n">
        <x:v>5</x:v>
      </x:c>
      <x:c r="H63" s="12" t="n">
        <x:v>10</x:v>
      </x:c>
      <x:c r="I63" s="12" t="n">
        <x:v>0</x:v>
      </x:c>
      <x:c r="J63" s="12" t="n">
        <x:v>10</x:v>
      </x:c>
      <x:c r="K63" s="12" t="n">
        <x:v>0</x:v>
      </x:c>
      <x:c r="L63" s="12" t="n">
        <x:v>5</x:v>
      </x:c>
      <x:c r="M63" s="12" t="n">
        <x:v>-10</x:v>
      </x:c>
      <x:c r="N63" s="12" t="n">
        <x:v>0</x:v>
      </x:c>
      <x:c r="O63" s="12" t="n">
        <x:v>5</x:v>
      </x:c>
      <x:c r="P63" s="12" t="n">
        <x:v>0</x:v>
      </x:c>
      <x:c r="Q63" s="12" t="n">
        <x:v>-5</x:v>
      </x:c>
      <x:c r="R63" s="12" t="n">
        <x:v>-10</x:v>
      </x:c>
      <x:c r="S63" s="12" t="n">
        <x:v>0</x:v>
      </x:c>
      <x:c r="T63" s="12" t="str">
        <x:v>なし（既存個体差の拡張のみ）</x:v>
      </x:c>
      <x:c r="U63" s="12" t="str">
        <x:v>Wikiのロール・長所短所と既存プロファイルの方向性を保ちながら、同アーキタイプ内の差を拡張。</x:v>
      </x:c>
      <x:c r="V63" s="12" t="str">
        <x:v>https://wikiwiki.jp/poke-unite/%E3%83%8F%E3%83%83%E3%82%B5%E3%83%A0</x:v>
      </x:c>
      <x:c r="W63" s="12" t="str">
        <x:v>https://wikiwiki.jp/poke-unite/%E4%B8%80%E8%A6%A7</x:v>
      </x:c>
      <x:c r="X63" s="12" t="str">
        <x:v>https://uniteapi.dev/jp/meta</x:v>
      </x:c>
    </x:row>
    <x:row r="64">
      <x:c r="A64" s="12" t="str">
        <x:v>バシャーモ-1</x:v>
      </x:c>
      <x:c r="B64" s="12" t="str">
        <x:v>バシャーモ</x:v>
      </x:c>
      <x:c r="C64" s="12" t="str">
        <x:v>共通</x:v>
      </x:c>
      <x:c r="D64" s="12" t="str">
        <x:v>Diver</x:v>
      </x:c>
      <x:c r="E64" s="12" t="n">
        <x:v>0</x:v>
      </x:c>
      <x:c r="F64" s="12" t="n">
        <x:v>5</x:v>
      </x:c>
      <x:c r="G64" s="12" t="n">
        <x:v>0</x:v>
      </x:c>
      <x:c r="H64" s="12" t="n">
        <x:v>-5</x:v>
      </x:c>
      <x:c r="I64" s="12" t="n">
        <x:v>0</x:v>
      </x:c>
      <x:c r="J64" s="12" t="n">
        <x:v>5</x:v>
      </x:c>
      <x:c r="K64" s="12" t="n">
        <x:v>0</x:v>
      </x:c>
      <x:c r="L64" s="12" t="n">
        <x:v>0</x:v>
      </x:c>
      <x:c r="M64" s="12" t="n">
        <x:v>0</x:v>
      </x:c>
      <x:c r="N64" s="12" t="n">
        <x:v>0</x:v>
      </x:c>
      <x:c r="O64" s="12" t="n">
        <x:v>0</x:v>
      </x:c>
      <x:c r="P64" s="12" t="n">
        <x:v>0</x:v>
      </x:c>
      <x:c r="Q64" s="12" t="n">
        <x:v>0</x:v>
      </x:c>
      <x:c r="R64" s="12" t="n">
        <x:v>10</x:v>
      </x:c>
      <x:c r="S64" s="12" t="n">
        <x:v>5</x:v>
      </x:c>
      <x:c r="T64" s="12" t="str">
        <x:v>なし（既存個体差の拡張のみ）</x:v>
      </x:c>
      <x:c r="U64" s="12" t="str">
        <x:v>Wikiのロール・長所短所と既存プロファイルの方向性を保ちながら、同アーキタイプ内の差を拡張。</x:v>
      </x:c>
      <x:c r="V64" s="12" t="str">
        <x:v>https://wikiwiki.jp/poke-unite/%E3%83%90%E3%82%B7%E3%83%A3%E3%83%BC%E3%83%A2</x:v>
      </x:c>
      <x:c r="W64" s="12" t="str">
        <x:v>https://wikiwiki.jp/poke-unite/%E4%B8%80%E8%A6%A7</x:v>
      </x:c>
      <x:c r="X64" s="12" t="str">
        <x:v>https://uniteapi.dev/jp/meta</x:v>
      </x:c>
    </x:row>
    <x:row r="65">
      <x:c r="A65" s="12" t="str">
        <x:v>バンギラス-1</x:v>
      </x:c>
      <x:c r="B65" s="12" t="str">
        <x:v>バンギラス</x:v>
      </x:c>
      <x:c r="C65" s="12" t="str">
        <x:v>共通</x:v>
      </x:c>
      <x:c r="D65" s="12" t="str">
        <x:v>Juggernaut</x:v>
      </x:c>
      <x:c r="E65" s="12" t="n">
        <x:v>0</x:v>
      </x:c>
      <x:c r="F65" s="12" t="n">
        <x:v>5</x:v>
      </x:c>
      <x:c r="G65" s="12" t="n">
        <x:v>0</x:v>
      </x:c>
      <x:c r="H65" s="12" t="n">
        <x:v>0</x:v>
      </x:c>
      <x:c r="I65" s="12" t="n">
        <x:v>-5</x:v>
      </x:c>
      <x:c r="J65" s="12" t="n">
        <x:v>0</x:v>
      </x:c>
      <x:c r="K65" s="12" t="n">
        <x:v>-5</x:v>
      </x:c>
      <x:c r="L65" s="12" t="n">
        <x:v>-5</x:v>
      </x:c>
      <x:c r="M65" s="12" t="n">
        <x:v>-15</x:v>
      </x:c>
      <x:c r="N65" s="12" t="n">
        <x:v>10</x:v>
      </x:c>
      <x:c r="O65" s="12" t="n">
        <x:v>15</x:v>
      </x:c>
      <x:c r="P65" s="12" t="n">
        <x:v>-10</x:v>
      </x:c>
      <x:c r="Q65" s="12" t="n">
        <x:v>0</x:v>
      </x:c>
      <x:c r="R65" s="12" t="n">
        <x:v>0</x:v>
      </x:c>
      <x:c r="S65" s="12" t="n">
        <x:v>-5</x:v>
      </x:c>
      <x:c r="T65" s="12" t="str">
        <x:v>Frontline+10 / Mobility-10 / FarmScaling+15 / SelfSufficiency+10 / ObjectiveSecure-10</x:v>
      </x:c>
      <x:c r="U65" s="12" t="str">
        <x:v>高耐久・防御/シールド無視・集団戦存在感。極端な晩成と低機動を強調。</x:v>
      </x:c>
      <x:c r="V65" s="12" t="str">
        <x:v>https://wikiwiki.jp/poke-unite/%E3%83%90%E3%83%B3%E3%82%AE%E3%83%A9%E3%82%B9</x:v>
      </x:c>
      <x:c r="W65" s="12" t="str">
        <x:v>https://wikiwiki.jp/poke-unite/%E4%B8%80%E8%A6%A7</x:v>
      </x:c>
      <x:c r="X65" s="12" t="str">
        <x:v>https://uniteapi.dev/jp/meta</x:v>
      </x:c>
    </x:row>
    <x:row r="66">
      <x:c r="A66" s="12" t="str">
        <x:v>パルキア-1</x:v>
      </x:c>
      <x:c r="B66" s="12" t="str">
        <x:v>パルキア</x:v>
      </x:c>
      <x:c r="C66" s="12" t="str">
        <x:v>共通</x:v>
      </x:c>
      <x:c r="D66" s="12" t="str">
        <x:v>Diver</x:v>
      </x:c>
      <x:c r="E66" s="12" t="n">
        <x:v>0</x:v>
      </x:c>
      <x:c r="F66" s="12" t="n">
        <x:v>5</x:v>
      </x:c>
      <x:c r="G66" s="12" t="n">
        <x:v>0</x:v>
      </x:c>
      <x:c r="H66" s="12" t="n">
        <x:v>10</x:v>
      </x:c>
      <x:c r="I66" s="12" t="n">
        <x:v>0</x:v>
      </x:c>
      <x:c r="J66" s="12" t="n">
        <x:v>0</x:v>
      </x:c>
      <x:c r="K66" s="12" t="n">
        <x:v>0</x:v>
      </x:c>
      <x:c r="L66" s="12" t="n">
        <x:v>0</x:v>
      </x:c>
      <x:c r="M66" s="12" t="n">
        <x:v>5</x:v>
      </x:c>
      <x:c r="N66" s="12" t="n">
        <x:v>0</x:v>
      </x:c>
      <x:c r="O66" s="12" t="n">
        <x:v>0</x:v>
      </x:c>
      <x:c r="P66" s="12" t="n">
        <x:v>0</x:v>
      </x:c>
      <x:c r="Q66" s="12" t="n">
        <x:v>0</x:v>
      </x:c>
      <x:c r="R66" s="12" t="n">
        <x:v>0</x:v>
      </x:c>
      <x:c r="S66" s="12" t="n">
        <x:v>0</x:v>
      </x:c>
      <x:c r="T66" s="12" t="str">
        <x:v>なし（既存個体差の拡張のみ）</x:v>
      </x:c>
      <x:c r="U66" s="12" t="str">
        <x:v>Wikiのロール・長所短所と既存プロファイルの方向性を保ちながら、同アーキタイプ内の差を拡張。</x:v>
      </x:c>
      <x:c r="V66" s="12" t="str">
        <x:v>https://wikiwiki.jp/poke-unite/%E3%83%91%E3%83%AB%E3%82%AD%E3%82%A2</x:v>
      </x:c>
      <x:c r="W66" s="12" t="str">
        <x:v>https://wikiwiki.jp/poke-unite/%E4%B8%80%E8%A6%A7</x:v>
      </x:c>
      <x:c r="X66" s="12" t="str">
        <x:v>https://uniteapi.dev/jp/meta</x:v>
      </x:c>
    </x:row>
    <x:row r="67">
      <x:c r="A67" s="12" t="str">
        <x:v>パーモット-1</x:v>
      </x:c>
      <x:c r="B67" s="12" t="str">
        <x:v>パーモット</x:v>
      </x:c>
      <x:c r="C67" s="12" t="str">
        <x:v>共通</x:v>
      </x:c>
      <x:c r="D67" s="12" t="str">
        <x:v>Diver</x:v>
      </x:c>
      <x:c r="E67" s="12" t="n">
        <x:v>0</x:v>
      </x:c>
      <x:c r="F67" s="12" t="n">
        <x:v>5</x:v>
      </x:c>
      <x:c r="G67" s="12" t="n">
        <x:v>0</x:v>
      </x:c>
      <x:c r="H67" s="12" t="n">
        <x:v>-5</x:v>
      </x:c>
      <x:c r="I67" s="12" t="n">
        <x:v>0</x:v>
      </x:c>
      <x:c r="J67" s="12" t="n">
        <x:v>-10</x:v>
      </x:c>
      <x:c r="K67" s="12" t="n">
        <x:v>0</x:v>
      </x:c>
      <x:c r="L67" s="12" t="n">
        <x:v>0</x:v>
      </x:c>
      <x:c r="M67" s="12" t="n">
        <x:v>10</x:v>
      </x:c>
      <x:c r="N67" s="12" t="n">
        <x:v>0</x:v>
      </x:c>
      <x:c r="O67" s="12" t="n">
        <x:v>15</x:v>
      </x:c>
      <x:c r="P67" s="12" t="n">
        <x:v>0</x:v>
      </x:c>
      <x:c r="Q67" s="12" t="n">
        <x:v>0</x:v>
      </x:c>
      <x:c r="R67" s="12" t="n">
        <x:v>5</x:v>
      </x:c>
      <x:c r="S67" s="12" t="n">
        <x:v>0</x:v>
      </x:c>
      <x:c r="T67" s="12" t="str">
        <x:v>Dive+10 / Mobility+10 / FightTempo-10 / FarmScaling+15 / Execution+5</x:v>
      </x:c>
      <x:c r="U67" s="12" t="str">
        <x:v>接近コンボの高火力・回復、ユナイト爆発力。晩成かつ機動的なダイバー。</x:v>
      </x:c>
      <x:c r="V67" s="12" t="str">
        <x:v>https://wikiwiki.jp/poke-unite/%E3%83%91%E3%83%BC%E3%83%A2%E3%83%83%E3%83%88</x:v>
      </x:c>
      <x:c r="W67" s="12" t="str">
        <x:v>https://wikiwiki.jp/poke-unite/%E4%B8%80%E8%A6%A7</x:v>
      </x:c>
      <x:c r="X67" s="12" t="str">
        <x:v>https://uniteapi.dev/jp/meta</x:v>
      </x:c>
    </x:row>
    <x:row r="68">
      <x:c r="A68" s="12" t="str">
        <x:v>ファイヤー-1</x:v>
      </x:c>
      <x:c r="B68" s="12" t="str">
        <x:v>ファイヤー</x:v>
      </x:c>
      <x:c r="C68" s="12" t="str">
        <x:v>共通</x:v>
      </x:c>
      <x:c r="D68" s="12" t="str">
        <x:v>Juggernaut</x:v>
      </x:c>
      <x:c r="E68" s="12" t="n">
        <x:v>0</x:v>
      </x:c>
      <x:c r="F68" s="12" t="n">
        <x:v>5</x:v>
      </x:c>
      <x:c r="G68" s="12" t="n">
        <x:v>0</x:v>
      </x:c>
      <x:c r="H68" s="12" t="n">
        <x:v>0</x:v>
      </x:c>
      <x:c r="I68" s="12" t="n">
        <x:v>-5</x:v>
      </x:c>
      <x:c r="J68" s="12" t="n">
        <x:v>10</x:v>
      </x:c>
      <x:c r="K68" s="12" t="n">
        <x:v>-10</x:v>
      </x:c>
      <x:c r="L68" s="12" t="n">
        <x:v>-5</x:v>
      </x:c>
      <x:c r="M68" s="12" t="n">
        <x:v>-5</x:v>
      </x:c>
      <x:c r="N68" s="12" t="n">
        <x:v>0</x:v>
      </x:c>
      <x:c r="O68" s="12" t="n">
        <x:v>10</x:v>
      </x:c>
      <x:c r="P68" s="12" t="n">
        <x:v>5</x:v>
      </x:c>
      <x:c r="Q68" s="12" t="n">
        <x:v>0</x:v>
      </x:c>
      <x:c r="R68" s="12" t="n">
        <x:v>0</x:v>
      </x:c>
      <x:c r="S68" s="12" t="n">
        <x:v>-5</x:v>
      </x:c>
      <x:c r="T68" s="12" t="str">
        <x:v>なし（既存個体差の拡張のみ）</x:v>
      </x:c>
      <x:c r="U68" s="12" t="str">
        <x:v>Wikiのロール・長所短所と既存プロファイルの方向性を保ちながら、同アーキタイプ内の差を拡張。</x:v>
      </x:c>
      <x:c r="V68" s="12" t="str">
        <x:v>https://wikiwiki.jp/poke-unite/%E3%83%95%E3%82%A1%E3%82%A4%E3%83%A4%E3%83%BC</x:v>
      </x:c>
      <x:c r="W68" s="12" t="str">
        <x:v>https://wikiwiki.jp/poke-unite/%E4%B8%80%E8%A6%A7</x:v>
      </x:c>
      <x:c r="X68" s="12" t="str">
        <x:v>https://uniteapi.dev/jp/meta</x:v>
      </x:c>
    </x:row>
    <x:row r="69">
      <x:c r="A69" s="12" t="str">
        <x:v>マッシブーン-1</x:v>
      </x:c>
      <x:c r="B69" s="12" t="str">
        <x:v>マッシブーン</x:v>
      </x:c>
      <x:c r="C69" s="12" t="str">
        <x:v>共通</x:v>
      </x:c>
      <x:c r="D69" s="12" t="str">
        <x:v>Catcher</x:v>
      </x:c>
      <x:c r="E69" s="12" t="n">
        <x:v>0</x:v>
      </x:c>
      <x:c r="F69" s="12" t="n">
        <x:v>0</x:v>
      </x:c>
      <x:c r="G69" s="12" t="n">
        <x:v>-5</x:v>
      </x:c>
      <x:c r="H69" s="12" t="n">
        <x:v>-5</x:v>
      </x:c>
      <x:c r="I69" s="12" t="n">
        <x:v>5</x:v>
      </x:c>
      <x:c r="J69" s="12" t="n">
        <x:v>0</x:v>
      </x:c>
      <x:c r="K69" s="12" t="n">
        <x:v>0</x:v>
      </x:c>
      <x:c r="L69" s="12" t="n">
        <x:v>0</x:v>
      </x:c>
      <x:c r="M69" s="12" t="n">
        <x:v>0</x:v>
      </x:c>
      <x:c r="N69" s="12" t="n">
        <x:v>10</x:v>
      </x:c>
      <x:c r="O69" s="12" t="n">
        <x:v>5</x:v>
      </x:c>
      <x:c r="P69" s="12" t="n">
        <x:v>5</x:v>
      </x:c>
      <x:c r="Q69" s="12" t="n">
        <x:v>0</x:v>
      </x:c>
      <x:c r="R69" s="12" t="n">
        <x:v>5</x:v>
      </x:c>
      <x:c r="S69" s="12" t="n">
        <x:v>5</x:v>
      </x:c>
      <x:c r="T69" s="12" t="str">
        <x:v>Control+15 / SelfSufficiency+10 / FightTempo+5 / Execution+5</x:v>
      </x:c>
      <x:c r="U69" s="12" t="str">
        <x:v>拘束・回復・ゲージ管理、近接相手への高いメタ性能。Control/SelfSufficiencyを強調。</x:v>
      </x:c>
      <x:c r="V69" s="12" t="str">
        <x:v>https://wikiwiki.jp/poke-unite/%E3%83%9E%E3%83%83%E3%82%B7%E3%83%96%E3%83%BC%E3%83%B3</x:v>
      </x:c>
      <x:c r="W69" s="12" t="str">
        <x:v>https://wikiwiki.jp/poke-unite/%E4%B8%80%E8%A6%A7</x:v>
      </x:c>
      <x:c r="X69" s="12" t="str">
        <x:v>https://uniteapi.dev/jp/meta</x:v>
      </x:c>
    </x:row>
    <x:row r="70">
      <x:c r="A70" s="12" t="str">
        <x:v>マリルリ-1</x:v>
      </x:c>
      <x:c r="B70" s="12" t="str">
        <x:v>マリルリ</x:v>
      </x:c>
      <x:c r="C70" s="12" t="str">
        <x:v>共通</x:v>
      </x:c>
      <x:c r="D70" s="12" t="str">
        <x:v>Diver</x:v>
      </x:c>
      <x:c r="E70" s="12" t="n">
        <x:v>0</x:v>
      </x:c>
      <x:c r="F70" s="12" t="n">
        <x:v>5</x:v>
      </x:c>
      <x:c r="G70" s="12" t="n">
        <x:v>0</x:v>
      </x:c>
      <x:c r="H70" s="12" t="n">
        <x:v>-5</x:v>
      </x:c>
      <x:c r="I70" s="12" t="n">
        <x:v>0</x:v>
      </x:c>
      <x:c r="J70" s="12" t="n">
        <x:v>5</x:v>
      </x:c>
      <x:c r="K70" s="12" t="n">
        <x:v>0</x:v>
      </x:c>
      <x:c r="L70" s="12" t="n">
        <x:v>0</x:v>
      </x:c>
      <x:c r="M70" s="12" t="n">
        <x:v>-15</x:v>
      </x:c>
      <x:c r="N70" s="12" t="n">
        <x:v>10</x:v>
      </x:c>
      <x:c r="O70" s="12" t="n">
        <x:v>-15</x:v>
      </x:c>
      <x:c r="P70" s="12" t="n">
        <x:v>0</x:v>
      </x:c>
      <x:c r="Q70" s="12" t="n">
        <x:v>0</x:v>
      </x:c>
      <x:c r="R70" s="12" t="n">
        <x:v>0</x:v>
      </x:c>
      <x:c r="S70" s="12" t="n">
        <x:v>0</x:v>
      </x:c>
      <x:c r="T70" s="12" t="str">
        <x:v>FarmScaling-15 / Mobility-10 / SelfSufficiency+10 / FightTempo+5</x:v>
      </x:c>
      <x:c r="U70" s="12" t="str">
        <x:v>高火力・回復に加え序盤から存在感。パーモットより早熟・低機動。</x:v>
      </x:c>
      <x:c r="V70" s="12" t="str">
        <x:v>https://wikiwiki.jp/poke-unite/%E3%83%9E%E3%83%AA%E3%83%AB%E3%83%AA</x:v>
      </x:c>
      <x:c r="W70" s="12" t="str">
        <x:v>https://wikiwiki.jp/poke-unite/%E4%B8%80%E8%A6%A7</x:v>
      </x:c>
      <x:c r="X70" s="12" t="str">
        <x:v>https://uniteapi.dev/jp/meta</x:v>
      </x:c>
    </x:row>
    <x:row r="71">
      <x:c r="A71" s="12" t="str">
        <x:v>ミミッキュ-1</x:v>
      </x:c>
      <x:c r="B71" s="12" t="str">
        <x:v>ミミッキュ</x:v>
      </x:c>
      <x:c r="C71" s="12" t="str">
        <x:v>じゃれつく</x:v>
      </x:c>
      <x:c r="D71" s="12" t="str">
        <x:v>Assassin</x:v>
      </x:c>
      <x:c r="E71" s="12" t="n">
        <x:v>0</x:v>
      </x:c>
      <x:c r="F71" s="12" t="n">
        <x:v>0</x:v>
      </x:c>
      <x:c r="G71" s="12" t="n">
        <x:v>-5</x:v>
      </x:c>
      <x:c r="H71" s="12" t="n">
        <x:v>5</x:v>
      </x:c>
      <x:c r="I71" s="12" t="n">
        <x:v>0</x:v>
      </x:c>
      <x:c r="J71" s="12" t="n">
        <x:v>-10</x:v>
      </x:c>
      <x:c r="K71" s="12" t="n">
        <x:v>0</x:v>
      </x:c>
      <x:c r="L71" s="12" t="n">
        <x:v>0</x:v>
      </x:c>
      <x:c r="M71" s="12" t="n">
        <x:v>0</x:v>
      </x:c>
      <x:c r="N71" s="12" t="n">
        <x:v>10</x:v>
      </x:c>
      <x:c r="O71" s="12" t="n">
        <x:v>5</x:v>
      </x:c>
      <x:c r="P71" s="12" t="n">
        <x:v>0</x:v>
      </x:c>
      <x:c r="Q71" s="12" t="n">
        <x:v>0</x:v>
      </x:c>
      <x:c r="R71" s="12" t="n">
        <x:v>0</x:v>
      </x:c>
      <x:c r="S71" s="12" t="n">
        <x:v>0</x:v>
      </x:c>
      <x:c r="T71" s="12" t="str">
        <x:v>Dive+10 / SelfSufficiency+10 / Mobility+5</x:v>
      </x:c>
      <x:c r="U71" s="12" t="str">
        <x:v>Wikiのロール・長所短所と既存プロファイルの方向性を保ちながら、同アーキタイプ内の差を拡張。</x:v>
      </x:c>
      <x:c r="V71" s="12" t="str">
        <x:v>https://wikiwiki.jp/poke-unite/%E3%83%9F%E3%83%9F%E3%83%83%E3%82%AD%E3%83%A5</x:v>
      </x:c>
      <x:c r="W71" s="12" t="str">
        <x:v>https://wikiwiki.jp/poke-unite/%E4%B8%80%E8%A6%A7</x:v>
      </x:c>
      <x:c r="X71" s="12" t="str">
        <x:v>https://uniteapi.dev/jp/meta</x:v>
      </x:c>
    </x:row>
    <x:row r="72">
      <x:c r="A72" s="12" t="str">
        <x:v>ミミッキュ-2</x:v>
      </x:c>
      <x:c r="B72" s="12" t="str">
        <x:v>ミミッキュ</x:v>
      </x:c>
      <x:c r="C72" s="12" t="str">
        <x:v>シャドークロー</x:v>
      </x:c>
      <x:c r="D72" s="12" t="str">
        <x:v>Skirmisher</x:v>
      </x:c>
      <x:c r="E72" s="12" t="n">
        <x:v>0</x:v>
      </x:c>
      <x:c r="F72" s="12" t="n">
        <x:v>0</x:v>
      </x:c>
      <x:c r="G72" s="12" t="n">
        <x:v>0</x:v>
      </x:c>
      <x:c r="H72" s="12" t="n">
        <x:v>10</x:v>
      </x:c>
      <x:c r="I72" s="12" t="n">
        <x:v>0</x:v>
      </x:c>
      <x:c r="J72" s="12" t="n">
        <x:v>10</x:v>
      </x:c>
      <x:c r="K72" s="12" t="n">
        <x:v>0</x:v>
      </x:c>
      <x:c r="L72" s="12" t="n">
        <x:v>0</x:v>
      </x:c>
      <x:c r="M72" s="12" t="n">
        <x:v>0</x:v>
      </x:c>
      <x:c r="N72" s="12" t="n">
        <x:v>0</x:v>
      </x:c>
      <x:c r="O72" s="12" t="n">
        <x:v>5</x:v>
      </x:c>
      <x:c r="P72" s="12" t="n">
        <x:v>0</x:v>
      </x:c>
      <x:c r="Q72" s="12" t="n">
        <x:v>0</x:v>
      </x:c>
      <x:c r="R72" s="12" t="n">
        <x:v>0</x:v>
      </x:c>
      <x:c r="S72" s="12" t="n">
        <x:v>0</x:v>
      </x:c>
      <x:c r="T72" s="12" t="str">
        <x:v>なし（既存個体差の拡張のみ）</x:v>
      </x:c>
      <x:c r="U72" s="12" t="str">
        <x:v>Wikiのロール・長所短所と既存プロファイルの方向性を保ちながら、同アーキタイプ内の差を拡張。</x:v>
      </x:c>
      <x:c r="V72" s="12" t="str">
        <x:v>https://wikiwiki.jp/poke-unite/%E3%83%9F%E3%83%9F%E3%83%83%E3%82%AD%E3%83%A5</x:v>
      </x:c>
      <x:c r="W72" s="12" t="str">
        <x:v>https://wikiwiki.jp/poke-unite/%E4%B8%80%E8%A6%A7</x:v>
      </x:c>
      <x:c r="X72" s="12" t="str">
        <x:v>https://uniteapi.dev/jp/meta</x:v>
      </x:c>
    </x:row>
    <x:row r="73">
      <x:c r="A73" s="12" t="str">
        <x:v>ミュウツー(X)-1</x:v>
      </x:c>
      <x:c r="B73" s="12" t="str">
        <x:v>ミュウツー(X)</x:v>
      </x:c>
      <x:c r="C73" s="12" t="str">
        <x:v>共通</x:v>
      </x:c>
      <x:c r="D73" s="12" t="str">
        <x:v>Juggernaut</x:v>
      </x:c>
      <x:c r="E73" s="12" t="n">
        <x:v>5</x:v>
      </x:c>
      <x:c r="F73" s="12" t="n">
        <x:v>0</x:v>
      </x:c>
      <x:c r="G73" s="12" t="n">
        <x:v>5</x:v>
      </x:c>
      <x:c r="H73" s="12" t="n">
        <x:v>5</x:v>
      </x:c>
      <x:c r="I73" s="12" t="n">
        <x:v>10</x:v>
      </x:c>
      <x:c r="J73" s="12" t="n">
        <x:v>-10</x:v>
      </x:c>
      <x:c r="K73" s="12" t="n">
        <x:v>15</x:v>
      </x:c>
      <x:c r="L73" s="12" t="n">
        <x:v>-5</x:v>
      </x:c>
      <x:c r="M73" s="12" t="n">
        <x:v>5</x:v>
      </x:c>
      <x:c r="N73" s="12" t="n">
        <x:v>-5</x:v>
      </x:c>
      <x:c r="O73" s="12" t="n">
        <x:v>-5</x:v>
      </x:c>
      <x:c r="P73" s="12" t="n">
        <x:v>-5</x:v>
      </x:c>
      <x:c r="Q73" s="12" t="n">
        <x:v>-5</x:v>
      </x:c>
      <x:c r="R73" s="12" t="n">
        <x:v>-15</x:v>
      </x:c>
      <x:c r="S73" s="12" t="n">
        <x:v>10</x:v>
      </x:c>
      <x:c r="T73" s="12" t="str">
        <x:v>Control+15 / Execution-15 / Engage-5 / Frontline+5</x:v>
      </x:c>
      <x:c r="U73" s="12" t="str">
        <x:v>Wikiのロール・長所短所と既存プロファイルの方向性を保ちながら、同アーキタイプ内の差を拡張。</x:v>
      </x:c>
      <x:c r="V73" s="12" t="str">
        <x:v>https://wikiwiki.jp/poke-unite/%E3%83%9F%E3%83%A5%E3%82%A6%E3%83%84%E3%83%BC(X)</x:v>
      </x:c>
      <x:c r="W73" s="12" t="str">
        <x:v>https://wikiwiki.jp/poke-unite/%E4%B8%80%E8%A6%A7</x:v>
      </x:c>
      <x:c r="X73" s="12" t="str">
        <x:v>https://uniteapi.dev/jp/meta</x:v>
      </x:c>
    </x:row>
    <x:row r="74">
      <x:c r="A74" s="12" t="str">
        <x:v>メタグロス-1</x:v>
      </x:c>
      <x:c r="B74" s="12" t="str">
        <x:v>メタグロス</x:v>
      </x:c>
      <x:c r="C74" s="12" t="str">
        <x:v>共通</x:v>
      </x:c>
      <x:c r="D74" s="12" t="str">
        <x:v>Diver</x:v>
      </x:c>
      <x:c r="E74" s="12" t="n">
        <x:v>-5</x:v>
      </x:c>
      <x:c r="F74" s="12" t="n">
        <x:v>-10</x:v>
      </x:c>
      <x:c r="G74" s="12" t="n">
        <x:v>5</x:v>
      </x:c>
      <x:c r="H74" s="12" t="n">
        <x:v>10</x:v>
      </x:c>
      <x:c r="I74" s="12" t="n">
        <x:v>0</x:v>
      </x:c>
      <x:c r="J74" s="12" t="n">
        <x:v>10</x:v>
      </x:c>
      <x:c r="K74" s="12" t="n">
        <x:v>0</x:v>
      </x:c>
      <x:c r="L74" s="12" t="n">
        <x:v>0</x:v>
      </x:c>
      <x:c r="M74" s="12" t="n">
        <x:v>-10</x:v>
      </x:c>
      <x:c r="N74" s="12" t="n">
        <x:v>0</x:v>
      </x:c>
      <x:c r="O74" s="12" t="n">
        <x:v>0</x:v>
      </x:c>
      <x:c r="P74" s="12" t="n">
        <x:v>5</x:v>
      </x:c>
      <x:c r="Q74" s="12" t="n">
        <x:v>-10</x:v>
      </x:c>
      <x:c r="R74" s="12" t="n">
        <x:v>-10</x:v>
      </x:c>
      <x:c r="S74" s="12" t="n">
        <x:v>-5</x:v>
      </x:c>
      <x:c r="T74" s="12" t="str">
        <x:v>なし（既存個体差の拡張のみ）</x:v>
      </x:c>
      <x:c r="U74" s="12" t="str">
        <x:v>Wikiのロール・長所短所と既存プロファイルの方向性を保ちながら、同アーキタイプ内の差を拡張。</x:v>
      </x:c>
      <x:c r="V74" s="12" t="str">
        <x:v>https://wikiwiki.jp/poke-unite/%E3%83%A1%E3%82%BF%E3%82%B0%E3%83%AD%E3%82%B9</x:v>
      </x:c>
      <x:c r="W74" s="12" t="str">
        <x:v>https://wikiwiki.jp/poke-unite/%E4%B8%80%E8%A6%A7</x:v>
      </x:c>
      <x:c r="X74" s="12" t="str">
        <x:v>https://uniteapi.dev/jp/meta</x:v>
      </x:c>
    </x:row>
    <x:row r="75">
      <x:c r="A75" s="12" t="str">
        <x:v>リザードン-1</x:v>
      </x:c>
      <x:c r="B75" s="12" t="str">
        <x:v>リザードン</x:v>
      </x:c>
      <x:c r="C75" s="12" t="str">
        <x:v>だいもんじ</x:v>
      </x:c>
      <x:c r="D75" s="12" t="str">
        <x:v>BattleMage</x:v>
      </x:c>
      <x:c r="E75" s="12" t="n">
        <x:v>-10</x:v>
      </x:c>
      <x:c r="F75" s="12" t="n">
        <x:v>-10</x:v>
      </x:c>
      <x:c r="G75" s="12" t="n">
        <x:v>-5</x:v>
      </x:c>
      <x:c r="H75" s="12" t="n">
        <x:v>-5</x:v>
      </x:c>
      <x:c r="I75" s="12" t="n">
        <x:v>10</x:v>
      </x:c>
      <x:c r="J75" s="12" t="n">
        <x:v>0</x:v>
      </x:c>
      <x:c r="K75" s="12" t="n">
        <x:v>-10</x:v>
      </x:c>
      <x:c r="L75" s="12" t="n">
        <x:v>-5</x:v>
      </x:c>
      <x:c r="M75" s="12" t="n">
        <x:v>-5</x:v>
      </x:c>
      <x:c r="N75" s="12" t="n">
        <x:v>0</x:v>
      </x:c>
      <x:c r="O75" s="12" t="n">
        <x:v>5</x:v>
      </x:c>
      <x:c r="P75" s="12" t="n">
        <x:v>5</x:v>
      </x:c>
      <x:c r="Q75" s="12" t="n">
        <x:v>0</x:v>
      </x:c>
      <x:c r="R75" s="12" t="n">
        <x:v>-5</x:v>
      </x:c>
      <x:c r="S75" s="12" t="n">
        <x:v>0</x:v>
      </x:c>
      <x:c r="T75" s="12" t="str">
        <x:v>なし（既存個体差の拡張のみ）</x:v>
      </x:c>
      <x:c r="U75" s="12" t="str">
        <x:v>Wikiのロール・長所短所と既存プロファイルの方向性を保ちながら、同アーキタイプ内の差を拡張。</x:v>
      </x:c>
      <x:c r="V75" s="12" t="str">
        <x:v>https://wikiwiki.jp/poke-unite/%E3%83%AA%E3%82%B6%E3%83%BC%E3%83%89%E3%83%B3</x:v>
      </x:c>
      <x:c r="W75" s="12" t="str">
        <x:v>https://wikiwiki.jp/poke-unite/%E4%B8%80%E8%A6%A7</x:v>
      </x:c>
      <x:c r="X75" s="12" t="str">
        <x:v>https://uniteapi.dev/jp/meta</x:v>
      </x:c>
    </x:row>
    <x:row r="76">
      <x:c r="A76" s="12" t="str">
        <x:v>リザードン-2</x:v>
      </x:c>
      <x:c r="B76" s="12" t="str">
        <x:v>リザードン</x:v>
      </x:c>
      <x:c r="C76" s="12" t="str">
        <x:v>フレアドライブ</x:v>
      </x:c>
      <x:c r="D76" s="12" t="str">
        <x:v>Diver</x:v>
      </x:c>
      <x:c r="E76" s="12" t="n">
        <x:v>0</x:v>
      </x:c>
      <x:c r="F76" s="12" t="n">
        <x:v>5</x:v>
      </x:c>
      <x:c r="G76" s="12" t="n">
        <x:v>0</x:v>
      </x:c>
      <x:c r="H76" s="12" t="n">
        <x:v>10</x:v>
      </x:c>
      <x:c r="I76" s="12" t="n">
        <x:v>-5</x:v>
      </x:c>
      <x:c r="J76" s="12" t="n">
        <x:v>10</x:v>
      </x:c>
      <x:c r="K76" s="12" t="n">
        <x:v>0</x:v>
      </x:c>
      <x:c r="L76" s="12" t="n">
        <x:v>0</x:v>
      </x:c>
      <x:c r="M76" s="12" t="n">
        <x:v>0</x:v>
      </x:c>
      <x:c r="N76" s="12" t="n">
        <x:v>0</x:v>
      </x:c>
      <x:c r="O76" s="12" t="n">
        <x:v>0</x:v>
      </x:c>
      <x:c r="P76" s="12" t="n">
        <x:v>0</x:v>
      </x:c>
      <x:c r="Q76" s="12" t="n">
        <x:v>0</x:v>
      </x:c>
      <x:c r="R76" s="12" t="n">
        <x:v>0</x:v>
      </x:c>
      <x:c r="S76" s="12" t="n">
        <x:v>0</x:v>
      </x:c>
      <x:c r="T76" s="12" t="str">
        <x:v>なし（既存個体差の拡張のみ）</x:v>
      </x:c>
      <x:c r="U76" s="12" t="str">
        <x:v>Wikiのロール・長所短所と既存プロファイルの方向性を保ちながら、同アーキタイプ内の差を拡張。</x:v>
      </x:c>
      <x:c r="V76" s="12" t="str">
        <x:v>https://wikiwiki.jp/poke-unite/%E3%83%AA%E3%82%B6%E3%83%BC%E3%83%89%E3%83%B3</x:v>
      </x:c>
      <x:c r="W76" s="12" t="str">
        <x:v>https://wikiwiki.jp/poke-unite/%E4%B8%80%E8%A6%A7</x:v>
      </x:c>
      <x:c r="X76" s="12" t="str">
        <x:v>https://uniteapi.dev/jp/meta</x:v>
      </x:c>
    </x:row>
    <x:row r="77">
      <x:c r="A77" s="12" t="str">
        <x:v>メガリザードンX-1</x:v>
      </x:c>
      <x:c r="B77" s="12" t="str">
        <x:v>メガリザードンX</x:v>
      </x:c>
      <x:c r="C77" s="12" t="str">
        <x:v>共通</x:v>
      </x:c>
      <x:c r="D77" s="12" t="str">
        <x:v>Diver</x:v>
      </x:c>
      <x:c r="E77" s="12" t="n">
        <x:v>0</x:v>
      </x:c>
      <x:c r="F77" s="12" t="n">
        <x:v>0</x:v>
      </x:c>
      <x:c r="G77" s="12" t="n">
        <x:v>0</x:v>
      </x:c>
      <x:c r="H77" s="12" t="n">
        <x:v>15</x:v>
      </x:c>
      <x:c r="I77" s="12" t="n">
        <x:v>0</x:v>
      </x:c>
      <x:c r="J77" s="12" t="n">
        <x:v>5</x:v>
      </x:c>
      <x:c r="K77" s="12" t="n">
        <x:v>0</x:v>
      </x:c>
      <x:c r="L77" s="12" t="n">
        <x:v>0</x:v>
      </x:c>
      <x:c r="M77" s="12" t="n">
        <x:v>0</x:v>
      </x:c>
      <x:c r="N77" s="12" t="n">
        <x:v>10</x:v>
      </x:c>
      <x:c r="O77" s="12" t="n">
        <x:v>0</x:v>
      </x:c>
      <x:c r="P77" s="12" t="n">
        <x:v>0</x:v>
      </x:c>
      <x:c r="Q77" s="12" t="n">
        <x:v>0</x:v>
      </x:c>
      <x:c r="R77" s="12" t="n">
        <x:v>0</x:v>
      </x:c>
      <x:c r="S77" s="12" t="n">
        <x:v>0</x:v>
      </x:c>
      <x:c r="T77" s="12" t="str">
        <x:v>Frontline+10 / SelfSufficiency+10 / FightTempo+10</x:v>
      </x:c>
      <x:c r="U77" s="12" t="str">
        <x:v>Wikiのロール・長所短所と既存プロファイルの方向性を保ちながら、同アーキタイプ内の差を拡張。</x:v>
      </x:c>
      <x:c r="V77" s="12" t="str">
        <x:v>https://wikiwiki.jp/poke-unite/%E3%83%A1%E3%82%AC%E3%83%AA%E3%82%B6%E3%83%BC%E3%83%89%E3%83%B3X</x:v>
      </x:c>
      <x:c r="W77" s="12" t="str">
        <x:v>https://wikiwiki.jp/poke-unite/%E4%B8%80%E8%A6%A7</x:v>
      </x:c>
      <x:c r="X77" s="12" t="str">
        <x:v>https://uniteapi.dev/jp/meta</x:v>
      </x:c>
    </x:row>
    <x:row r="78">
      <x:c r="A78" s="12" t="str">
        <x:v>メガリザードンY-1</x:v>
      </x:c>
      <x:c r="B78" s="12" t="str">
        <x:v>メガリザードンY</x:v>
      </x:c>
      <x:c r="C78" s="12" t="str">
        <x:v>共通</x:v>
      </x:c>
      <x:c r="D78" s="12" t="str">
        <x:v>Diver</x:v>
      </x:c>
      <x:c r="E78" s="12" t="n">
        <x:v>-10</x:v>
      </x:c>
      <x:c r="F78" s="12" t="n">
        <x:v>-10</x:v>
      </x:c>
      <x:c r="G78" s="12" t="n">
        <x:v>0</x:v>
      </x:c>
      <x:c r="H78" s="12" t="n">
        <x:v>-10</x:v>
      </x:c>
      <x:c r="I78" s="12" t="n">
        <x:v>10</x:v>
      </x:c>
      <x:c r="J78" s="12" t="n">
        <x:v>10</x:v>
      </x:c>
      <x:c r="K78" s="12" t="n">
        <x:v>0</x:v>
      </x:c>
      <x:c r="L78" s="12" t="n">
        <x:v>0</x:v>
      </x:c>
      <x:c r="M78" s="12" t="n">
        <x:v>0</x:v>
      </x:c>
      <x:c r="N78" s="12" t="n">
        <x:v>0</x:v>
      </x:c>
      <x:c r="O78" s="12" t="n">
        <x:v>0</x:v>
      </x:c>
      <x:c r="P78" s="12" t="n">
        <x:v>0</x:v>
      </x:c>
      <x:c r="Q78" s="12" t="n">
        <x:v>-10</x:v>
      </x:c>
      <x:c r="R78" s="12" t="n">
        <x:v>0</x:v>
      </x:c>
      <x:c r="S78" s="12" t="n">
        <x:v>0</x:v>
      </x:c>
      <x:c r="T78" s="12" t="str">
        <x:v>なし（既存個体差の拡張のみ）</x:v>
      </x:c>
      <x:c r="U78" s="12" t="str">
        <x:v>Wikiのロール・長所短所と既存プロファイルの方向性を保ちながら、同アーキタイプ内の差を拡張。</x:v>
      </x:c>
      <x:c r="V78" s="12" t="str">
        <x:v>https://wikiwiki.jp/poke-unite/%E3%83%A1%E3%82%AC%E3%83%AA%E3%82%B6%E3%83%BC%E3%83%89%E3%83%B3Y</x:v>
      </x:c>
      <x:c r="W78" s="12" t="str">
        <x:v>https://wikiwiki.jp/poke-unite/%E4%B8%80%E8%A6%A7</x:v>
      </x:c>
      <x:c r="X78" s="12" t="str">
        <x:v>https://uniteapi.dev/jp/meta</x:v>
      </x:c>
    </x:row>
    <x:row r="79">
      <x:c r="A79" s="12" t="str">
        <x:v>ルカリオ-1</x:v>
      </x:c>
      <x:c r="B79" s="12" t="str">
        <x:v>ルカリオ</x:v>
      </x:c>
      <x:c r="C79" s="12" t="str">
        <x:v>しんそく</x:v>
      </x:c>
      <x:c r="D79" s="12" t="str">
        <x:v>Assassin</x:v>
      </x:c>
      <x:c r="E79" s="12" t="n">
        <x:v>0</x:v>
      </x:c>
      <x:c r="F79" s="12" t="n">
        <x:v>0</x:v>
      </x:c>
      <x:c r="G79" s="12" t="n">
        <x:v>5</x:v>
      </x:c>
      <x:c r="H79" s="12" t="n">
        <x:v>10</x:v>
      </x:c>
      <x:c r="I79" s="12" t="n">
        <x:v>0</x:v>
      </x:c>
      <x:c r="J79" s="12" t="n">
        <x:v>10</x:v>
      </x:c>
      <x:c r="K79" s="12" t="n">
        <x:v>0</x:v>
      </x:c>
      <x:c r="L79" s="12" t="n">
        <x:v>0</x:v>
      </x:c>
      <x:c r="M79" s="12" t="n">
        <x:v>0</x:v>
      </x:c>
      <x:c r="N79" s="12" t="n">
        <x:v>5</x:v>
      </x:c>
      <x:c r="O79" s="12" t="n">
        <x:v>5</x:v>
      </x:c>
      <x:c r="P79" s="12" t="n">
        <x:v>0</x:v>
      </x:c>
      <x:c r="Q79" s="12" t="n">
        <x:v>-5</x:v>
      </x:c>
      <x:c r="R79" s="12" t="n">
        <x:v>10</x:v>
      </x:c>
      <x:c r="S79" s="12" t="n">
        <x:v>-10</x:v>
      </x:c>
      <x:c r="T79" s="12" t="str">
        <x:v>なし（既存個体差の拡張のみ）</x:v>
      </x:c>
      <x:c r="U79" s="12" t="str">
        <x:v>Wikiのロール・長所短所と既存プロファイルの方向性を保ちながら、同アーキタイプ内の差を拡張。</x:v>
      </x:c>
      <x:c r="V79" s="12" t="str">
        <x:v>https://wikiwiki.jp/poke-unite/%E3%83%AB%E3%82%AB%E3%83%AA%E3%82%AA</x:v>
      </x:c>
      <x:c r="W79" s="12" t="str">
        <x:v>https://wikiwiki.jp/poke-unite/%E4%B8%80%E8%A6%A7</x:v>
      </x:c>
      <x:c r="X79" s="12" t="str">
        <x:v>https://uniteapi.dev/jp/meta</x:v>
      </x:c>
    </x:row>
    <x:row r="80">
      <x:c r="A80" s="12" t="str">
        <x:v>ルカリオ-2</x:v>
      </x:c>
      <x:c r="B80" s="12" t="str">
        <x:v>ルカリオ</x:v>
      </x:c>
      <x:c r="C80" s="12" t="str">
        <x:v>グロウパンチ</x:v>
      </x:c>
      <x:c r="D80" s="12" t="str">
        <x:v>Diver</x:v>
      </x:c>
      <x:c r="E80" s="12" t="n">
        <x:v>-5</x:v>
      </x:c>
      <x:c r="F80" s="12" t="n">
        <x:v>0</x:v>
      </x:c>
      <x:c r="G80" s="12" t="n">
        <x:v>0</x:v>
      </x:c>
      <x:c r="H80" s="12" t="n">
        <x:v>0</x:v>
      </x:c>
      <x:c r="I80" s="12" t="n">
        <x:v>0</x:v>
      </x:c>
      <x:c r="J80" s="12" t="n">
        <x:v>5</x:v>
      </x:c>
      <x:c r="K80" s="12" t="n">
        <x:v>-5</x:v>
      </x:c>
      <x:c r="L80" s="12" t="n">
        <x:v>0</x:v>
      </x:c>
      <x:c r="M80" s="12" t="n">
        <x:v>0</x:v>
      </x:c>
      <x:c r="N80" s="12" t="n">
        <x:v>5</x:v>
      </x:c>
      <x:c r="O80" s="12" t="n">
        <x:v>0</x:v>
      </x:c>
      <x:c r="P80" s="12" t="n">
        <x:v>10</x:v>
      </x:c>
      <x:c r="Q80" s="12" t="n">
        <x:v>0</x:v>
      </x:c>
      <x:c r="R80" s="12" t="n">
        <x:v>0</x:v>
      </x:c>
      <x:c r="S80" s="12" t="n">
        <x:v>0</x:v>
      </x:c>
      <x:c r="T80" s="12" t="str">
        <x:v>なし（既存個体差の拡張のみ）</x:v>
      </x:c>
      <x:c r="U80" s="12" t="str">
        <x:v>Wikiのロール・長所短所と既存プロファイルの方向性を保ちながら、同アーキタイプ内の差を拡張。</x:v>
      </x:c>
      <x:c r="V80" s="12" t="str">
        <x:v>https://wikiwiki.jp/poke-unite/%E3%83%AB%E3%82%AB%E3%83%AA%E3%82%AA</x:v>
      </x:c>
      <x:c r="W80" s="12" t="str">
        <x:v>https://wikiwiki.jp/poke-unite/%E4%B8%80%E8%A6%A7</x:v>
      </x:c>
      <x:c r="X80" s="12" t="str">
        <x:v>https://uniteapi.dev/jp/meta</x:v>
      </x:c>
    </x:row>
    <x:row r="81">
      <x:c r="A81" s="12" t="str">
        <x:v>メガルカリオ-1</x:v>
      </x:c>
      <x:c r="B81" s="12" t="str">
        <x:v>メガルカリオ</x:v>
      </x:c>
      <x:c r="C81" s="12" t="str">
        <x:v>共通</x:v>
      </x:c>
      <x:c r="D81" s="12" t="str">
        <x:v>Diver</x:v>
      </x:c>
      <x:c r="E81" s="12" t="n">
        <x:v>0</x:v>
      </x:c>
      <x:c r="F81" s="12" t="n">
        <x:v>5</x:v>
      </x:c>
      <x:c r="G81" s="12" t="n">
        <x:v>0</x:v>
      </x:c>
      <x:c r="H81" s="12" t="n">
        <x:v>10</x:v>
      </x:c>
      <x:c r="I81" s="12" t="n">
        <x:v>0</x:v>
      </x:c>
      <x:c r="J81" s="12" t="n">
        <x:v>-5</x:v>
      </x:c>
      <x:c r="K81" s="12" t="n">
        <x:v>0</x:v>
      </x:c>
      <x:c r="L81" s="12" t="n">
        <x:v>0</x:v>
      </x:c>
      <x:c r="M81" s="12" t="n">
        <x:v>10</x:v>
      </x:c>
      <x:c r="N81" s="12" t="n">
        <x:v>0</x:v>
      </x:c>
      <x:c r="O81" s="12" t="n">
        <x:v>0</x:v>
      </x:c>
      <x:c r="P81" s="12" t="n">
        <x:v>0</x:v>
      </x:c>
      <x:c r="Q81" s="12" t="n">
        <x:v>0</x:v>
      </x:c>
      <x:c r="R81" s="12" t="n">
        <x:v>15</x:v>
      </x:c>
      <x:c r="S81" s="12" t="n">
        <x:v>5</x:v>
      </x:c>
      <x:c r="T81" s="12" t="str">
        <x:v>Mobility+10 / Execution+10 / Decision+5</x:v>
      </x:c>
      <x:c r="U81" s="12" t="str">
        <x:v>Wikiのロール・長所短所と既存プロファイルの方向性を保ちながら、同アーキタイプ内の差を拡張。</x:v>
      </x:c>
      <x:c r="V81" s="12" t="str">
        <x:v>https://wikiwiki.jp/poke-unite/%E3%83%A1%E3%82%AC%E3%83%AB%E3%82%AB%E3%83%AA%E3%82%AA</x:v>
      </x:c>
      <x:c r="W81" s="12" t="str">
        <x:v>https://wikiwiki.jp/poke-unite/%E4%B8%80%E8%A6%A7</x:v>
      </x:c>
      <x:c r="X81" s="12" t="str">
        <x:v>https://uniteapi.dev/jp/meta</x:v>
      </x:c>
    </x:row>
    <x:row r="82">
      <x:c r="A82" s="12" t="str">
        <x:v>アブソル-1</x:v>
      </x:c>
      <x:c r="B82" s="12" t="str">
        <x:v>アブソル</x:v>
      </x:c>
      <x:c r="C82" s="12" t="str">
        <x:v>共通</x:v>
      </x:c>
      <x:c r="D82" s="12" t="str">
        <x:v>Assassin</x:v>
      </x:c>
      <x:c r="E82" s="12" t="n">
        <x:v>0</x:v>
      </x:c>
      <x:c r="F82" s="12" t="n">
        <x:v>0</x:v>
      </x:c>
      <x:c r="G82" s="12" t="n">
        <x:v>-5</x:v>
      </x:c>
      <x:c r="H82" s="12" t="n">
        <x:v>-5</x:v>
      </x:c>
      <x:c r="I82" s="12" t="n">
        <x:v>0</x:v>
      </x:c>
      <x:c r="J82" s="12" t="n">
        <x:v>-15</x:v>
      </x:c>
      <x:c r="K82" s="12" t="n">
        <x:v>0</x:v>
      </x:c>
      <x:c r="L82" s="12" t="n">
        <x:v>0</x:v>
      </x:c>
      <x:c r="M82" s="12" t="n">
        <x:v>0</x:v>
      </x:c>
      <x:c r="N82" s="12" t="n">
        <x:v>0</x:v>
      </x:c>
      <x:c r="O82" s="12" t="n">
        <x:v>-15</x:v>
      </x:c>
      <x:c r="P82" s="12" t="n">
        <x:v>5</x:v>
      </x:c>
      <x:c r="Q82" s="12" t="n">
        <x:v>0</x:v>
      </x:c>
      <x:c r="R82" s="12" t="n">
        <x:v>10</x:v>
      </x:c>
      <x:c r="S82" s="12" t="n">
        <x:v>5</x:v>
      </x:c>
      <x:c r="T82" s="12" t="str">
        <x:v>FightTempo-15 / FarmScaling-15 / Execution+10 / Mobility+5</x:v>
      </x:c>
      <x:c r="U82" s="12" t="str">
        <x:v>奇襲・追撃・急所上振れ・序盤リード。早熟かつ瞬間決着寄り。</x:v>
      </x:c>
      <x:c r="V82" s="12" t="str">
        <x:v>https://wikiwiki.jp/poke-unite/%E3%82%A2%E3%83%96%E3%82%BD%E3%83%AB</x:v>
      </x:c>
      <x:c r="W82" s="12" t="str">
        <x:v>https://wikiwiki.jp/poke-unite/%E4%B8%80%E8%A6%A7</x:v>
      </x:c>
      <x:c r="X82" s="12" t="str">
        <x:v>https://uniteapi.dev/jp/meta</x:v>
      </x:c>
    </x:row>
    <x:row r="83">
      <x:c r="A83" s="12" t="str">
        <x:v>ガラルギャロップ-1</x:v>
      </x:c>
      <x:c r="B83" s="12" t="str">
        <x:v>ガラルギャロップ</x:v>
      </x:c>
      <x:c r="C83" s="12" t="str">
        <x:v>共通</x:v>
      </x:c>
      <x:c r="D83" s="12" t="str">
        <x:v>Diver</x:v>
      </x:c>
      <x:c r="E83" s="12" t="n">
        <x:v>0</x:v>
      </x:c>
      <x:c r="F83" s="12" t="n">
        <x:v>5</x:v>
      </x:c>
      <x:c r="G83" s="12" t="n">
        <x:v>0</x:v>
      </x:c>
      <x:c r="H83" s="12" t="n">
        <x:v>-10</x:v>
      </x:c>
      <x:c r="I83" s="12" t="n">
        <x:v>0</x:v>
      </x:c>
      <x:c r="J83" s="12" t="n">
        <x:v>0</x:v>
      </x:c>
      <x:c r="K83" s="12" t="n">
        <x:v>5</x:v>
      </x:c>
      <x:c r="L83" s="12" t="n">
        <x:v>0</x:v>
      </x:c>
      <x:c r="M83" s="12" t="n">
        <x:v>10</x:v>
      </x:c>
      <x:c r="N83" s="12" t="n">
        <x:v>0</x:v>
      </x:c>
      <x:c r="O83" s="12" t="n">
        <x:v>-5</x:v>
      </x:c>
      <x:c r="P83" s="12" t="n">
        <x:v>0</x:v>
      </x:c>
      <x:c r="Q83" s="12" t="n">
        <x:v>5</x:v>
      </x:c>
      <x:c r="R83" s="12" t="n">
        <x:v>0</x:v>
      </x:c>
      <x:c r="S83" s="12" t="n">
        <x:v>0</x:v>
      </x:c>
      <x:c r="T83" s="12" t="str">
        <x:v>なし（既存個体差の拡張のみ）</x:v>
      </x:c>
      <x:c r="U83" s="12" t="str">
        <x:v>Wikiのロール・長所短所と既存プロファイルの方向性を保ちながら、同アーキタイプ内の差を拡張。</x:v>
      </x:c>
      <x:c r="V83" s="12" t="str">
        <x:v>https://wikiwiki.jp/poke-unite/%E3%82%AC%E3%83%A9%E3%83%AB%E3%82%AE%E3%83%A3%E3%83%AD%E3%83%83%E3%83%97</x:v>
      </x:c>
      <x:c r="W83" s="12" t="str">
        <x:v>https://wikiwiki.jp/poke-unite/%E4%B8%80%E8%A6%A7</x:v>
      </x:c>
      <x:c r="X83" s="12" t="str">
        <x:v>https://uniteapi.dev/jp/meta</x:v>
      </x:c>
    </x:row>
    <x:row r="84">
      <x:c r="A84" s="12" t="str">
        <x:v>ゲンガー-1</x:v>
      </x:c>
      <x:c r="B84" s="12" t="str">
        <x:v>ゲンガー</x:v>
      </x:c>
      <x:c r="C84" s="12" t="str">
        <x:v>共通</x:v>
      </x:c>
      <x:c r="D84" s="12" t="str">
        <x:v>Assassin</x:v>
      </x:c>
      <x:c r="E84" s="12" t="n">
        <x:v>0</x:v>
      </x:c>
      <x:c r="F84" s="12" t="n">
        <x:v>0</x:v>
      </x:c>
      <x:c r="G84" s="12" t="n">
        <x:v>5</x:v>
      </x:c>
      <x:c r="H84" s="12" t="n">
        <x:v>10</x:v>
      </x:c>
      <x:c r="I84" s="12" t="n">
        <x:v>0</x:v>
      </x:c>
      <x:c r="J84" s="12" t="n">
        <x:v>10</x:v>
      </x:c>
      <x:c r="K84" s="12" t="n">
        <x:v>0</x:v>
      </x:c>
      <x:c r="L84" s="12" t="n">
        <x:v>0</x:v>
      </x:c>
      <x:c r="M84" s="12" t="n">
        <x:v>0</x:v>
      </x:c>
      <x:c r="N84" s="12" t="n">
        <x:v>5</x:v>
      </x:c>
      <x:c r="O84" s="12" t="n">
        <x:v>0</x:v>
      </x:c>
      <x:c r="P84" s="12" t="n">
        <x:v>0</x:v>
      </x:c>
      <x:c r="Q84" s="12" t="n">
        <x:v>-5</x:v>
      </x:c>
      <x:c r="R84" s="12" t="n">
        <x:v>5</x:v>
      </x:c>
      <x:c r="S84" s="12" t="n">
        <x:v>0</x:v>
      </x:c>
      <x:c r="T84" s="12" t="str">
        <x:v>なし（既存個体差の拡張のみ）</x:v>
      </x:c>
      <x:c r="U84" s="12" t="str">
        <x:v>Wikiのロール・長所短所と既存プロファイルの方向性を保ちながら、同アーキタイプ内の差を拡張。</x:v>
      </x:c>
      <x:c r="V84" s="12" t="str">
        <x:v>https://wikiwiki.jp/poke-unite/%E3%82%B2%E3%83%B3%E3%82%AC%E3%83%BC</x:v>
      </x:c>
      <x:c r="W84" s="12" t="str">
        <x:v>https://wikiwiki.jp/poke-unite/%E4%B8%80%E8%A6%A7</x:v>
      </x:c>
      <x:c r="X84" s="12" t="str">
        <x:v>https://uniteapi.dev/jp/meta</x:v>
      </x:c>
    </x:row>
    <x:row r="85">
      <x:c r="A85" s="12" t="str">
        <x:v>ゼラオラ-1</x:v>
      </x:c>
      <x:c r="B85" s="12" t="str">
        <x:v>ゼラオラ</x:v>
      </x:c>
      <x:c r="C85" s="12" t="str">
        <x:v>ほうでん</x:v>
      </x:c>
      <x:c r="D85" s="12" t="str">
        <x:v>Skirmisher</x:v>
      </x:c>
      <x:c r="E85" s="12" t="n">
        <x:v>0</x:v>
      </x:c>
      <x:c r="F85" s="12" t="n">
        <x:v>0</x:v>
      </x:c>
      <x:c r="G85" s="12" t="n">
        <x:v>0</x:v>
      </x:c>
      <x:c r="H85" s="12" t="n">
        <x:v>-5</x:v>
      </x:c>
      <x:c r="I85" s="12" t="n">
        <x:v>0</x:v>
      </x:c>
      <x:c r="J85" s="12" t="n">
        <x:v>0</x:v>
      </x:c>
      <x:c r="K85" s="12" t="n">
        <x:v>5</x:v>
      </x:c>
      <x:c r="L85" s="12" t="n">
        <x:v>0</x:v>
      </x:c>
      <x:c r="M85" s="12" t="n">
        <x:v>0</x:v>
      </x:c>
      <x:c r="N85" s="12" t="n">
        <x:v>0</x:v>
      </x:c>
      <x:c r="O85" s="12" t="n">
        <x:v>-5</x:v>
      </x:c>
      <x:c r="P85" s="12" t="n">
        <x:v>0</x:v>
      </x:c>
      <x:c r="Q85" s="12" t="n">
        <x:v>5</x:v>
      </x:c>
      <x:c r="R85" s="12" t="n">
        <x:v>0</x:v>
      </x:c>
      <x:c r="S85" s="12" t="n">
        <x:v>0</x:v>
      </x:c>
      <x:c r="T85" s="12" t="str">
        <x:v>なし（既存個体差の拡張のみ）</x:v>
      </x:c>
      <x:c r="U85" s="12" t="str">
        <x:v>Wikiのロール・長所短所と既存プロファイルの方向性を保ちながら、同アーキタイプ内の差を拡張。</x:v>
      </x:c>
      <x:c r="V85" s="12" t="str">
        <x:v>https://wikiwiki.jp/poke-unite/%E3%82%BC%E3%83%A9%E3%82%AA%E3%83%A9</x:v>
      </x:c>
      <x:c r="W85" s="12" t="str">
        <x:v>https://wikiwiki.jp/poke-unite/%E4%B8%80%E8%A6%A7</x:v>
      </x:c>
      <x:c r="X85" s="12" t="str">
        <x:v>https://uniteapi.dev/jp/meta</x:v>
      </x:c>
    </x:row>
    <x:row r="86">
      <x:c r="A86" s="12" t="str">
        <x:v>ゼラオラ-2</x:v>
      </x:c>
      <x:c r="B86" s="12" t="str">
        <x:v>ゼラオラ</x:v>
      </x:c>
      <x:c r="C86" s="12" t="str">
        <x:v>ワイルドボルト</x:v>
      </x:c>
      <x:c r="D86" s="12" t="str">
        <x:v>Assassin</x:v>
      </x:c>
      <x:c r="E86" s="12" t="n">
        <x:v>5</x:v>
      </x:c>
      <x:c r="F86" s="12" t="n">
        <x:v>0</x:v>
      </x:c>
      <x:c r="G86" s="12" t="n">
        <x:v>5</x:v>
      </x:c>
      <x:c r="H86" s="12" t="n">
        <x:v>10</x:v>
      </x:c>
      <x:c r="I86" s="12" t="n">
        <x:v>0</x:v>
      </x:c>
      <x:c r="J86" s="12" t="n">
        <x:v>-5</x:v>
      </x:c>
      <x:c r="K86" s="12" t="n">
        <x:v>5</x:v>
      </x:c>
      <x:c r="L86" s="12" t="n">
        <x:v>0</x:v>
      </x:c>
      <x:c r="M86" s="12" t="n">
        <x:v>0</x:v>
      </x:c>
      <x:c r="N86" s="12" t="n">
        <x:v>5</x:v>
      </x:c>
      <x:c r="O86" s="12" t="n">
        <x:v>0</x:v>
      </x:c>
      <x:c r="P86" s="12" t="n">
        <x:v>0</x:v>
      </x:c>
      <x:c r="Q86" s="12" t="n">
        <x:v>-5</x:v>
      </x:c>
      <x:c r="R86" s="12" t="n">
        <x:v>-10</x:v>
      </x:c>
      <x:c r="S86" s="12" t="n">
        <x:v>0</x:v>
      </x:c>
      <x:c r="T86" s="12" t="str">
        <x:v>なし（既存個体差の拡張のみ）</x:v>
      </x:c>
      <x:c r="U86" s="12" t="str">
        <x:v>Wikiのロール・長所短所と既存プロファイルの方向性を保ちながら、同アーキタイプ内の差を拡張。</x:v>
      </x:c>
      <x:c r="V86" s="12" t="str">
        <x:v>https://wikiwiki.jp/poke-unite/%E3%82%BC%E3%83%A9%E3%82%AA%E3%83%A9</x:v>
      </x:c>
      <x:c r="W86" s="12" t="str">
        <x:v>https://wikiwiki.jp/poke-unite/%E4%B8%80%E8%A6%A7</x:v>
      </x:c>
      <x:c r="X86" s="12" t="str">
        <x:v>https://uniteapi.dev/jp/meta</x:v>
      </x:c>
    </x:row>
    <x:row r="87">
      <x:c r="A87" s="12" t="str">
        <x:v>ゾロアーク-1</x:v>
      </x:c>
      <x:c r="B87" s="12" t="str">
        <x:v>ゾロアーク</x:v>
      </x:c>
      <x:c r="C87" s="12" t="str">
        <x:v>共通</x:v>
      </x:c>
      <x:c r="D87" s="12" t="str">
        <x:v>Assassin</x:v>
      </x:c>
      <x:c r="E87" s="12" t="n">
        <x:v>0</x:v>
      </x:c>
      <x:c r="F87" s="12" t="n">
        <x:v>0</x:v>
      </x:c>
      <x:c r="G87" s="12" t="n">
        <x:v>-5</x:v>
      </x:c>
      <x:c r="H87" s="12" t="n">
        <x:v>-5</x:v>
      </x:c>
      <x:c r="I87" s="12" t="n">
        <x:v>0</x:v>
      </x:c>
      <x:c r="J87" s="12" t="n">
        <x:v>-5</x:v>
      </x:c>
      <x:c r="K87" s="12" t="n">
        <x:v>0</x:v>
      </x:c>
      <x:c r="L87" s="12" t="n">
        <x:v>0</x:v>
      </x:c>
      <x:c r="M87" s="12" t="n">
        <x:v>0</x:v>
      </x:c>
      <x:c r="N87" s="12" t="n">
        <x:v>5</x:v>
      </x:c>
      <x:c r="O87" s="12" t="n">
        <x:v>0</x:v>
      </x:c>
      <x:c r="P87" s="12" t="n">
        <x:v>0</x:v>
      </x:c>
      <x:c r="Q87" s="12" t="n">
        <x:v>0</x:v>
      </x:c>
      <x:c r="R87" s="12" t="n">
        <x:v>10</x:v>
      </x:c>
      <x:c r="S87" s="12" t="n">
        <x:v>15</x:v>
      </x:c>
      <x:c r="T87" s="12" t="str">
        <x:v>Mobility+10 / Execution+15 / Decision+10 / SelfSufficiency+5</x:v>
      </x:c>
      <x:c r="U87" s="12" t="str">
        <x:v>豊富なムーブと複雑なコンボ。Mobility/Execution/Decisionを強調。</x:v>
      </x:c>
      <x:c r="V87" s="12" t="str">
        <x:v>https://wikiwiki.jp/poke-unite/%E3%82%BE%E3%83%AD%E3%82%A2%E3%83%BC%E3%82%AF</x:v>
      </x:c>
      <x:c r="W87" s="12" t="str">
        <x:v>https://wikiwiki.jp/poke-unite/%E4%B8%80%E8%A6%A7</x:v>
      </x:c>
      <x:c r="X87" s="12" t="str">
        <x:v>https://uniteapi.dev/jp/meta</x:v>
      </x:c>
    </x:row>
    <x:row r="88">
      <x:c r="A88" s="12" t="str">
        <x:v>ダークライ-1</x:v>
      </x:c>
      <x:c r="B88" s="12" t="str">
        <x:v>ダークライ</x:v>
      </x:c>
      <x:c r="C88" s="12" t="str">
        <x:v>共通</x:v>
      </x:c>
      <x:c r="D88" s="12" t="str">
        <x:v>Assassin</x:v>
      </x:c>
      <x:c r="E88" s="12" t="n">
        <x:v>0</x:v>
      </x:c>
      <x:c r="F88" s="12" t="n">
        <x:v>0</x:v>
      </x:c>
      <x:c r="G88" s="12" t="n">
        <x:v>-5</x:v>
      </x:c>
      <x:c r="H88" s="12" t="n">
        <x:v>-5</x:v>
      </x:c>
      <x:c r="I88" s="12" t="n">
        <x:v>0</x:v>
      </x:c>
      <x:c r="J88" s="12" t="n">
        <x:v>-5</x:v>
      </x:c>
      <x:c r="K88" s="12" t="n">
        <x:v>15</x:v>
      </x:c>
      <x:c r="L88" s="12" t="n">
        <x:v>0</x:v>
      </x:c>
      <x:c r="M88" s="12" t="n">
        <x:v>0</x:v>
      </x:c>
      <x:c r="N88" s="12" t="n">
        <x:v>-15</x:v>
      </x:c>
      <x:c r="O88" s="12" t="n">
        <x:v>0</x:v>
      </x:c>
      <x:c r="P88" s="12" t="n">
        <x:v>-10</x:v>
      </x:c>
      <x:c r="Q88" s="12" t="n">
        <x:v>0</x:v>
      </x:c>
      <x:c r="R88" s="12" t="n">
        <x:v>5</x:v>
      </x:c>
      <x:c r="S88" s="12" t="n">
        <x:v>10</x:v>
      </x:c>
      <x:c r="T88" s="12" t="str">
        <x:v>Control+15 / Decision+10 / SelfSufficiency-5</x:v>
      </x:c>
      <x:c r="U88" s="12" t="str">
        <x:v>Wikiのロール・長所短所と既存プロファイルの方向性を保ちながら、同アーキタイプ内の差を拡張。</x:v>
      </x:c>
      <x:c r="V88" s="12" t="str">
        <x:v>https://wikiwiki.jp/poke-unite/%E3%83%80%E3%83%BC%E3%82%AF%E3%83%A9%E3%82%A4</x:v>
      </x:c>
      <x:c r="W88" s="12" t="str">
        <x:v>https://wikiwiki.jp/poke-unite/%E4%B8%80%E8%A6%A7</x:v>
      </x:c>
      <x:c r="X88" s="12" t="str">
        <x:v>https://uniteapi.dev/jp/meta</x:v>
      </x:c>
    </x:row>
    <x:row r="89">
      <x:c r="A89" s="12" t="str">
        <x:v>ドードリオ-1</x:v>
      </x:c>
      <x:c r="B89" s="12" t="str">
        <x:v>ドードリオ</x:v>
      </x:c>
      <x:c r="C89" s="12" t="str">
        <x:v>共通</x:v>
      </x:c>
      <x:c r="D89" s="12" t="str">
        <x:v>Diver</x:v>
      </x:c>
      <x:c r="E89" s="12" t="n">
        <x:v>0</x:v>
      </x:c>
      <x:c r="F89" s="12" t="n">
        <x:v>5</x:v>
      </x:c>
      <x:c r="G89" s="12" t="n">
        <x:v>0</x:v>
      </x:c>
      <x:c r="H89" s="12" t="n">
        <x:v>-10</x:v>
      </x:c>
      <x:c r="I89" s="12" t="n">
        <x:v>0</x:v>
      </x:c>
      <x:c r="J89" s="12" t="n">
        <x:v>-5</x:v>
      </x:c>
      <x:c r="K89" s="12" t="n">
        <x:v>0</x:v>
      </x:c>
      <x:c r="L89" s="12" t="n">
        <x:v>0</x:v>
      </x:c>
      <x:c r="M89" s="12" t="n">
        <x:v>10</x:v>
      </x:c>
      <x:c r="N89" s="12" t="n">
        <x:v>0</x:v>
      </x:c>
      <x:c r="O89" s="12" t="n">
        <x:v>-5</x:v>
      </x:c>
      <x:c r="P89" s="12" t="n">
        <x:v>0</x:v>
      </x:c>
      <x:c r="Q89" s="12" t="n">
        <x:v>10</x:v>
      </x:c>
      <x:c r="R89" s="12" t="n">
        <x:v>10</x:v>
      </x:c>
      <x:c r="S89" s="12" t="n">
        <x:v>5</x:v>
      </x:c>
      <x:c r="T89" s="12" t="str">
        <x:v>なし（既存個体差の拡張のみ）</x:v>
      </x:c>
      <x:c r="U89" s="12" t="str">
        <x:v>Wikiのロール・長所短所と既存プロファイルの方向性を保ちながら、同アーキタイプ内の差を拡張。</x:v>
      </x:c>
      <x:c r="V89" s="12" t="str">
        <x:v>https://wikiwiki.jp/poke-unite/%E3%83%89%E3%83%BC%E3%83%89%E3%83%AA%E3%82%AA</x:v>
      </x:c>
      <x:c r="W89" s="12" t="str">
        <x:v>https://wikiwiki.jp/poke-unite/%E4%B8%80%E8%A6%A7</x:v>
      </x:c>
      <x:c r="X89" s="12" t="str">
        <x:v>https://uniteapi.dev/jp/meta</x:v>
      </x:c>
    </x:row>
    <x:row r="90">
      <x:c r="A90" s="12" t="str">
        <x:v>ニャース-1</x:v>
      </x:c>
      <x:c r="B90" s="12" t="str">
        <x:v>ニャース</x:v>
      </x:c>
      <x:c r="C90" s="12" t="str">
        <x:v>共通</x:v>
      </x:c>
      <x:c r="D90" s="12" t="str">
        <x:v>Skirmisher</x:v>
      </x:c>
      <x:c r="E90" s="12" t="n">
        <x:v>0</x:v>
      </x:c>
      <x:c r="F90" s="12" t="n">
        <x:v>0</x:v>
      </x:c>
      <x:c r="G90" s="12" t="n">
        <x:v>0</x:v>
      </x:c>
      <x:c r="H90" s="12" t="n">
        <x:v>-10</x:v>
      </x:c>
      <x:c r="I90" s="12" t="n">
        <x:v>10</x:v>
      </x:c>
      <x:c r="J90" s="12" t="n">
        <x:v>-5</x:v>
      </x:c>
      <x:c r="K90" s="12" t="n">
        <x:v>0</x:v>
      </x:c>
      <x:c r="L90" s="12" t="n">
        <x:v>0</x:v>
      </x:c>
      <x:c r="M90" s="12" t="n">
        <x:v>5</x:v>
      </x:c>
      <x:c r="N90" s="12" t="n">
        <x:v>0</x:v>
      </x:c>
      <x:c r="O90" s="12" t="n">
        <x:v>-5</x:v>
      </x:c>
      <x:c r="P90" s="12" t="n">
        <x:v>0</x:v>
      </x:c>
      <x:c r="Q90" s="12" t="n">
        <x:v>5</x:v>
      </x:c>
      <x:c r="R90" s="12" t="n">
        <x:v>0</x:v>
      </x:c>
      <x:c r="S90" s="12" t="n">
        <x:v>5</x:v>
      </x:c>
      <x:c r="T90" s="12" t="str">
        <x:v>なし（既存個体差の拡張のみ）</x:v>
      </x:c>
      <x:c r="U90" s="12" t="str">
        <x:v>Wikiのロール・長所短所と既存プロファイルの方向性を保ちながら、同アーキタイプ内の差を拡張。</x:v>
      </x:c>
      <x:c r="V90" s="12" t="str">
        <x:v>https://wikiwiki.jp/poke-unite/%E3%83%8B%E3%83%A3%E3%83%BC%E3%82%B9</x:v>
      </x:c>
      <x:c r="W90" s="12" t="str">
        <x:v>https://wikiwiki.jp/poke-unite/%E4%B8%80%E8%A6%A7</x:v>
      </x:c>
      <x:c r="X90" s="12" t="str">
        <x:v>https://uniteapi.dev/jp/meta</x:v>
      </x:c>
    </x:row>
    <x:row r="91">
      <x:c r="A91" s="12" t="str">
        <x:v>ファイアロー-1</x:v>
      </x:c>
      <x:c r="B91" s="12" t="str">
        <x:v>ファイアロー</x:v>
      </x:c>
      <x:c r="C91" s="12" t="str">
        <x:v>共通</x:v>
      </x:c>
      <x:c r="D91" s="12" t="str">
        <x:v>Assassin</x:v>
      </x:c>
      <x:c r="E91" s="12" t="n">
        <x:v>5</x:v>
      </x:c>
      <x:c r="F91" s="12" t="n">
        <x:v>0</x:v>
      </x:c>
      <x:c r="G91" s="12" t="n">
        <x:v>5</x:v>
      </x:c>
      <x:c r="H91" s="12" t="n">
        <x:v>10</x:v>
      </x:c>
      <x:c r="I91" s="12" t="n">
        <x:v>0</x:v>
      </x:c>
      <x:c r="J91" s="12" t="n">
        <x:v>-15</x:v>
      </x:c>
      <x:c r="K91" s="12" t="n">
        <x:v>5</x:v>
      </x:c>
      <x:c r="L91" s="12" t="n">
        <x:v>0</x:v>
      </x:c>
      <x:c r="M91" s="12" t="n">
        <x:v>0</x:v>
      </x:c>
      <x:c r="N91" s="12" t="n">
        <x:v>5</x:v>
      </x:c>
      <x:c r="O91" s="12" t="n">
        <x:v>0</x:v>
      </x:c>
      <x:c r="P91" s="12" t="n">
        <x:v>15</x:v>
      </x:c>
      <x:c r="Q91" s="12" t="n">
        <x:v>10</x:v>
      </x:c>
      <x:c r="R91" s="12" t="n">
        <x:v>0</x:v>
      </x:c>
      <x:c r="S91" s="12" t="n">
        <x:v>5</x:v>
      </x:c>
      <x:c r="T91" s="12" t="str">
        <x:v>Mobility+15 / ObjectiveSecure+15 / ScoringSide+10 / FightTempo-10</x:v>
      </x:c>
      <x:c r="U91" s="12" t="str">
        <x:v>Wikiのロール・長所短所と既存プロファイルの方向性を保ちながら、同アーキタイプ内の差を拡張。</x:v>
      </x:c>
      <x:c r="V91" s="12" t="str">
        <x:v>https://wikiwiki.jp/poke-unite/%E3%83%95%E3%82%A1%E3%82%A4%E3%82%A2%E3%83%AD%...</x:v>
      </x:c>
      <x:c r="W91" s="12" t="str">
        <x:v>https://wikiwiki.jp/poke-unite/%E4%B8%80%E8%A6%A7</x:v>
      </x:c>
      <x:c r="X91" s="12" t="str">
        <x:v>https://uniteapi.dev/jp/meta</x:v>
      </x:c>
    </x:row>
    <x:row r="92">
      <x:c r="A92" s="12" t="str">
        <x:v>マスカーニャ-1</x:v>
      </x:c>
      <x:c r="B92" s="12" t="str">
        <x:v>マスカーニャ</x:v>
      </x:c>
      <x:c r="C92" s="12" t="str">
        <x:v>トリックフラワー</x:v>
      </x:c>
      <x:c r="D92" s="12" t="str">
        <x:v>Assassin</x:v>
      </x:c>
      <x:c r="E92" s="12" t="n">
        <x:v>0</x:v>
      </x:c>
      <x:c r="F92" s="12" t="n">
        <x:v>-10</x:v>
      </x:c>
      <x:c r="G92" s="12" t="n">
        <x:v>10</x:v>
      </x:c>
      <x:c r="H92" s="12" t="n">
        <x:v>5</x:v>
      </x:c>
      <x:c r="I92" s="12" t="n">
        <x:v>5</x:v>
      </x:c>
      <x:c r="J92" s="12" t="n">
        <x:v>5</x:v>
      </x:c>
      <x:c r="K92" s="12" t="n">
        <x:v>10</x:v>
      </x:c>
      <x:c r="L92" s="12" t="n">
        <x:v>10</x:v>
      </x:c>
      <x:c r="M92" s="12" t="n">
        <x:v>-5</x:v>
      </x:c>
      <x:c r="N92" s="12" t="n">
        <x:v>0</x:v>
      </x:c>
      <x:c r="O92" s="12" t="n">
        <x:v>-5</x:v>
      </x:c>
      <x:c r="P92" s="12" t="n">
        <x:v>-5</x:v>
      </x:c>
      <x:c r="Q92" s="12" t="n">
        <x:v>0</x:v>
      </x:c>
      <x:c r="R92" s="12" t="n">
        <x:v>0</x:v>
      </x:c>
      <x:c r="S92" s="12" t="n">
        <x:v>10</x:v>
      </x:c>
      <x:c r="T92" s="12" t="str">
        <x:v>なし（既存個体差の拡張のみ）</x:v>
      </x:c>
      <x:c r="U92" s="12" t="str">
        <x:v>Wikiのロール・長所短所と既存プロファイルの方向性を保ちながら、同アーキタイプ内の差を拡張。</x:v>
      </x:c>
      <x:c r="V92" s="12" t="str">
        <x:v>https://wikiwiki.jp/poke-unite/%E3%83%9E%E3%82%B9%E3%82%AB%E3%83%BC%E3%83%8B%...</x:v>
      </x:c>
      <x:c r="W92" s="12" t="str">
        <x:v>https://wikiwiki.jp/poke-unite/%E4%B8%80%E8%A6%A7</x:v>
      </x:c>
      <x:c r="X92" s="12" t="str">
        <x:v>https://uniteapi.dev/jp/meta</x:v>
      </x:c>
    </x:row>
    <x:row r="93">
      <x:c r="A93" s="12" t="str">
        <x:v>マスカーニャ-2</x:v>
      </x:c>
      <x:c r="B93" s="12" t="str">
        <x:v>マスカーニャ</x:v>
      </x:c>
      <x:c r="C93" s="12" t="str">
        <x:v>つじぎり</x:v>
      </x:c>
      <x:c r="D93" s="12" t="str">
        <x:v>Skirmisher</x:v>
      </x:c>
      <x:c r="E93" s="12" t="n">
        <x:v>0</x:v>
      </x:c>
      <x:c r="F93" s="12" t="n">
        <x:v>5</x:v>
      </x:c>
      <x:c r="G93" s="12" t="n">
        <x:v>-5</x:v>
      </x:c>
      <x:c r="H93" s="12" t="n">
        <x:v>-10</x:v>
      </x:c>
      <x:c r="I93" s="12" t="n">
        <x:v>-5</x:v>
      </x:c>
      <x:c r="J93" s="12" t="n">
        <x:v>-10</x:v>
      </x:c>
      <x:c r="K93" s="12" t="n">
        <x:v>-5</x:v>
      </x:c>
      <x:c r="L93" s="12" t="n">
        <x:v>0</x:v>
      </x:c>
      <x:c r="M93" s="12" t="n">
        <x:v>10</x:v>
      </x:c>
      <x:c r="N93" s="12" t="n">
        <x:v>-5</x:v>
      </x:c>
      <x:c r="O93" s="12" t="n">
        <x:v>-5</x:v>
      </x:c>
      <x:c r="P93" s="12" t="n">
        <x:v>5</x:v>
      </x:c>
      <x:c r="Q93" s="12" t="n">
        <x:v>10</x:v>
      </x:c>
      <x:c r="R93" s="12" t="n">
        <x:v>5</x:v>
      </x:c>
      <x:c r="S93" s="12" t="n">
        <x:v>5</x:v>
      </x:c>
      <x:c r="T93" s="12" t="str">
        <x:v>なし（既存個体差の拡張のみ）</x:v>
      </x:c>
      <x:c r="U93" s="12" t="str">
        <x:v>Wikiのロール・長所短所と既存プロファイルの方向性を保ちながら、同アーキタイプ内の差を拡張。</x:v>
      </x:c>
      <x:c r="V93" s="12" t="str">
        <x:v>https://wikiwiki.jp/poke-unite/%E3%83%9E%E3%82%B9%E3%82%AB%E3%83%BC%E3%83%8B%...</x:v>
      </x:c>
      <x:c r="W93" s="12" t="str">
        <x:v>https://wikiwiki.jp/poke-unite/%E4%B8%80%E8%A6%A7</x:v>
      </x:c>
      <x:c r="X93" s="12" t="str">
        <x:v>https://uniteapi.dev/jp/meta</x:v>
      </x:c>
    </x:row>
    <x:row r="94">
      <x:c r="A94" s="12" t="str">
        <x:v>モルペコ-1</x:v>
      </x:c>
      <x:c r="B94" s="12" t="str">
        <x:v>モルペコ</x:v>
      </x:c>
      <x:c r="C94" s="12" t="str">
        <x:v>共通</x:v>
      </x:c>
      <x:c r="D94" s="12" t="str">
        <x:v>Assassin</x:v>
      </x:c>
      <x:c r="E94" s="12" t="n">
        <x:v>0</x:v>
      </x:c>
      <x:c r="F94" s="12" t="n">
        <x:v>0</x:v>
      </x:c>
      <x:c r="G94" s="12" t="n">
        <x:v>-5</x:v>
      </x:c>
      <x:c r="H94" s="12" t="n">
        <x:v>-5</x:v>
      </x:c>
      <x:c r="I94" s="12" t="n">
        <x:v>0</x:v>
      </x:c>
      <x:c r="J94" s="12" t="n">
        <x:v>-5</x:v>
      </x:c>
      <x:c r="K94" s="12" t="n">
        <x:v>0</x:v>
      </x:c>
      <x:c r="L94" s="12" t="n">
        <x:v>0</x:v>
      </x:c>
      <x:c r="M94" s="12" t="n">
        <x:v>0</x:v>
      </x:c>
      <x:c r="N94" s="12" t="n">
        <x:v>0</x:v>
      </x:c>
      <x:c r="O94" s="12" t="n">
        <x:v>0</x:v>
      </x:c>
      <x:c r="P94" s="12" t="n">
        <x:v>0</x:v>
      </x:c>
      <x:c r="Q94" s="12" t="n">
        <x:v>0</x:v>
      </x:c>
      <x:c r="R94" s="12" t="n">
        <x:v>5</x:v>
      </x:c>
      <x:c r="S94" s="12" t="n">
        <x:v>0</x:v>
      </x:c>
      <x:c r="T94" s="12" t="str">
        <x:v>なし（既存個体差の拡張のみ）</x:v>
      </x:c>
      <x:c r="U94" s="12" t="str">
        <x:v>Wikiのロール・長所短所と既存プロファイルの方向性を保ちながら、同アーキタイプ内の差を拡張。</x:v>
      </x:c>
      <x:c r="V94" s="12" t="str">
        <x:v>https://wikiwiki.jp/poke-unite/%E3%83%A2%E3%83%AB%E3%83%9A%E3%82%B3</x:v>
      </x:c>
      <x:c r="W94" s="12" t="str">
        <x:v>https://wikiwiki.jp/poke-unite/%E4%B8%80%E8%A6%A7</x:v>
      </x:c>
      <x:c r="X94" s="12" t="str">
        <x:v>https://uniteapi.dev/jp/meta</x:v>
      </x:c>
    </x:row>
    <x:row r="95">
      <x:c r="A95" s="12" t="str">
        <x:v>リーフィア-1</x:v>
      </x:c>
      <x:c r="B95" s="12" t="str">
        <x:v>リーフィア</x:v>
      </x:c>
      <x:c r="C95" s="12" t="str">
        <x:v>共通</x:v>
      </x:c>
      <x:c r="D95" s="12" t="str">
        <x:v>Assassin</x:v>
      </x:c>
      <x:c r="E95" s="12" t="n">
        <x:v>0</x:v>
      </x:c>
      <x:c r="F95" s="12" t="n">
        <x:v>0</x:v>
      </x:c>
      <x:c r="G95" s="12" t="n">
        <x:v>-5</x:v>
      </x:c>
      <x:c r="H95" s="12" t="n">
        <x:v>-5</x:v>
      </x:c>
      <x:c r="I95" s="12" t="n">
        <x:v>0</x:v>
      </x:c>
      <x:c r="J95" s="12" t="n">
        <x:v>-15</x:v>
      </x:c>
      <x:c r="K95" s="12" t="n">
        <x:v>0</x:v>
      </x:c>
      <x:c r="L95" s="12" t="n">
        <x:v>0</x:v>
      </x:c>
      <x:c r="M95" s="12" t="n">
        <x:v>0</x:v>
      </x:c>
      <x:c r="N95" s="12" t="n">
        <x:v>0</x:v>
      </x:c>
      <x:c r="O95" s="12" t="n">
        <x:v>-15</x:v>
      </x:c>
      <x:c r="P95" s="12" t="n">
        <x:v>0</x:v>
      </x:c>
      <x:c r="Q95" s="12" t="n">
        <x:v>0</x:v>
      </x:c>
      <x:c r="R95" s="12" t="n">
        <x:v>5</x:v>
      </x:c>
      <x:c r="S95" s="12" t="n">
        <x:v>0</x:v>
      </x:c>
      <x:c r="T95" s="12" t="str">
        <x:v>FarmScaling-15 / Mobility+15 / FightTempo-10 / Execution+5</x:v>
      </x:c>
      <x:c r="U95" s="12" t="str">
        <x:v>序盤性能と機動性が非常に高く終盤失速。早熟・高機動。</x:v>
      </x:c>
      <x:c r="V95" s="12" t="str">
        <x:v>https://wikiwiki.jp/poke-unite/%E3%83%AA%E3%83%BC%E3%83%95%E3%82%A3%E3%82%A2</x:v>
      </x:c>
      <x:c r="W95" s="12" t="str">
        <x:v>https://wikiwiki.jp/poke-unite/%E4%B8%80%E8%A6%A7</x:v>
      </x:c>
      <x:c r="X95" s="12" t="str">
        <x:v>https://uniteapi.dev/jp/meta</x:v>
      </x:c>
    </x:row>
    <x:row r="96">
      <x:c r="A96" s="12" t="str">
        <x:v>イワパレス-1</x:v>
      </x:c>
      <x:c r="B96" s="12" t="str">
        <x:v>イワパレス</x:v>
      </x:c>
      <x:c r="C96" s="12" t="str">
        <x:v>がんせきふうじ</x:v>
      </x:c>
      <x:c r="D96" s="12" t="str">
        <x:v>Vanguard</x:v>
      </x:c>
      <x:c r="E96" s="12" t="n">
        <x:v>0</x:v>
      </x:c>
      <x:c r="F96" s="12" t="n">
        <x:v>10</x:v>
      </x:c>
      <x:c r="G96" s="12" t="n">
        <x:v>-5</x:v>
      </x:c>
      <x:c r="H96" s="12" t="n">
        <x:v>0</x:v>
      </x:c>
      <x:c r="I96" s="12" t="n">
        <x:v>5</x:v>
      </x:c>
      <x:c r="J96" s="12" t="n">
        <x:v>0</x:v>
      </x:c>
      <x:c r="K96" s="12" t="n">
        <x:v>0</x:v>
      </x:c>
      <x:c r="L96" s="12" t="n">
        <x:v>-10</x:v>
      </x:c>
      <x:c r="M96" s="12" t="n">
        <x:v>-10</x:v>
      </x:c>
      <x:c r="N96" s="12" t="n">
        <x:v>0</x:v>
      </x:c>
      <x:c r="O96" s="12" t="n">
        <x:v>0</x:v>
      </x:c>
      <x:c r="P96" s="12" t="n">
        <x:v>5</x:v>
      </x:c>
      <x:c r="Q96" s="12" t="n">
        <x:v>-10</x:v>
      </x:c>
      <x:c r="R96" s="12" t="n">
        <x:v>0</x:v>
      </x:c>
      <x:c r="S96" s="12" t="n">
        <x:v>-5</x:v>
      </x:c>
      <x:c r="T96" s="12" t="str">
        <x:v>なし（既存個体差の拡張のみ）</x:v>
      </x:c>
      <x:c r="U96" s="12" t="str">
        <x:v>Wikiのロール・長所短所と既存プロファイルの方向性を保ちながら、同アーキタイプ内の差を拡張。</x:v>
      </x:c>
      <x:c r="V96" s="12" t="str">
        <x:v>https://wikiwiki.jp/poke-unite/%E3%82%A4%E3%83%AF%E3%83%91%E3%83%AC%E3%82%B9</x:v>
      </x:c>
      <x:c r="W96" s="12" t="str">
        <x:v>https://wikiwiki.jp/poke-unite/%E4%B8%80%E8%A6%A7</x:v>
      </x:c>
      <x:c r="X96" s="12" t="str">
        <x:v>https://uniteapi.dev/jp/meta</x:v>
      </x:c>
    </x:row>
    <x:row r="97">
      <x:c r="A97" s="12" t="str">
        <x:v>イワパレス-2</x:v>
      </x:c>
      <x:c r="B97" s="12" t="str">
        <x:v>イワパレス</x:v>
      </x:c>
      <x:c r="C97" s="12" t="str">
        <x:v>からをやぶる</x:v>
      </x:c>
      <x:c r="D97" s="12" t="str">
        <x:v>Diver</x:v>
      </x:c>
      <x:c r="E97" s="12" t="n">
        <x:v>-5</x:v>
      </x:c>
      <x:c r="F97" s="12" t="n">
        <x:v>-10</x:v>
      </x:c>
      <x:c r="G97" s="12" t="n">
        <x:v>0</x:v>
      </x:c>
      <x:c r="H97" s="12" t="n">
        <x:v>10</x:v>
      </x:c>
      <x:c r="I97" s="12" t="n">
        <x:v>0</x:v>
      </x:c>
      <x:c r="J97" s="12" t="n">
        <x:v>0</x:v>
      </x:c>
      <x:c r="K97" s="12" t="n">
        <x:v>0</x:v>
      </x:c>
      <x:c r="L97" s="12" t="n">
        <x:v>0</x:v>
      </x:c>
      <x:c r="M97" s="12" t="n">
        <x:v>-10</x:v>
      </x:c>
      <x:c r="N97" s="12" t="n">
        <x:v>5</x:v>
      </x:c>
      <x:c r="O97" s="12" t="n">
        <x:v>-5</x:v>
      </x:c>
      <x:c r="P97" s="12" t="n">
        <x:v>5</x:v>
      </x:c>
      <x:c r="Q97" s="12" t="n">
        <x:v>5</x:v>
      </x:c>
      <x:c r="R97" s="12" t="n">
        <x:v>-10</x:v>
      </x:c>
      <x:c r="S97" s="12" t="n">
        <x:v>-5</x:v>
      </x:c>
      <x:c r="T97" s="12" t="str">
        <x:v>なし（既存個体差の拡張のみ）</x:v>
      </x:c>
      <x:c r="U97" s="12" t="str">
        <x:v>Wikiのロール・長所短所と既存プロファイルの方向性を保ちながら、同アーキタイプ内の差を拡張。</x:v>
      </x:c>
      <x:c r="V97" s="12" t="str">
        <x:v>https://wikiwiki.jp/poke-unite/%E3%82%A4%E3%83%AF%E3%83%91%E3%83%AC%E3%82%B9</x:v>
      </x:c>
      <x:c r="W97" s="12" t="str">
        <x:v>https://wikiwiki.jp/poke-unite/%E4%B8%80%E8%A6%A7</x:v>
      </x:c>
      <x:c r="X97" s="12" t="str">
        <x:v>https://uniteapi.dev/jp/meta</x:v>
      </x:c>
    </x:row>
    <x:row r="98">
      <x:c r="A98" s="12" t="str">
        <x:v>オーロット-1</x:v>
      </x:c>
      <x:c r="B98" s="12" t="str">
        <x:v>オーロット</x:v>
      </x:c>
      <x:c r="C98" s="12" t="str">
        <x:v>ウッドハンマー</x:v>
      </x:c>
      <x:c r="D98" s="12" t="str">
        <x:v>Vanguard</x:v>
      </x:c>
      <x:c r="E98" s="12" t="n">
        <x:v>0</x:v>
      </x:c>
      <x:c r="F98" s="12" t="n">
        <x:v>-10</x:v>
      </x:c>
      <x:c r="G98" s="12" t="n">
        <x:v>10</x:v>
      </x:c>
      <x:c r="H98" s="12" t="n">
        <x:v>0</x:v>
      </x:c>
      <x:c r="I98" s="12" t="n">
        <x:v>-5</x:v>
      </x:c>
      <x:c r="J98" s="12" t="n">
        <x:v>10</x:v>
      </x:c>
      <x:c r="K98" s="12" t="n">
        <x:v>0</x:v>
      </x:c>
      <x:c r="L98" s="12" t="n">
        <x:v>0</x:v>
      </x:c>
      <x:c r="M98" s="12" t="n">
        <x:v>-15</x:v>
      </x:c>
      <x:c r="N98" s="12" t="n">
        <x:v>0</x:v>
      </x:c>
      <x:c r="O98" s="12" t="n">
        <x:v>0</x:v>
      </x:c>
      <x:c r="P98" s="12" t="n">
        <x:v>0</x:v>
      </x:c>
      <x:c r="Q98" s="12" t="n">
        <x:v>-10</x:v>
      </x:c>
      <x:c r="R98" s="12" t="n">
        <x:v>0</x:v>
      </x:c>
      <x:c r="S98" s="12" t="n">
        <x:v>0</x:v>
      </x:c>
      <x:c r="T98" s="12" t="str">
        <x:v>Frontline+10 / FightTempo+10 / Control+10 / Mobility-10</x:v>
      </x:c>
      <x:c r="U98" s="12" t="str">
        <x:v>Wikiのロール・長所短所と既存プロファイルの方向性を保ちながら、同アーキタイプ内の差を拡張。</x:v>
      </x:c>
      <x:c r="V98" s="12" t="str">
        <x:v>https://wikiwiki.jp/poke-unite/%E3%82%AA%E3%83%BC%E3%83%AD%E3%83%83%E3%83%88</x:v>
      </x:c>
      <x:c r="W98" s="12" t="str">
        <x:v>https://wikiwiki.jp/poke-unite/%E4%B8%80%E8%A6%A7</x:v>
      </x:c>
      <x:c r="X98" s="12" t="str">
        <x:v>https://uniteapi.dev/jp/meta</x:v>
      </x:c>
    </x:row>
    <x:row r="99">
      <x:c r="A99" s="12" t="str">
        <x:v>オーロット-2</x:v>
      </x:c>
      <x:c r="B99" s="12" t="str">
        <x:v>オーロット</x:v>
      </x:c>
      <x:c r="C99" s="12" t="str">
        <x:v>のろい</x:v>
      </x:c>
      <x:c r="D99" s="12" t="str">
        <x:v>Juggernaut</x:v>
      </x:c>
      <x:c r="E99" s="12" t="n">
        <x:v>0</x:v>
      </x:c>
      <x:c r="F99" s="12" t="n">
        <x:v>0</x:v>
      </x:c>
      <x:c r="G99" s="12" t="n">
        <x:v>5</x:v>
      </x:c>
      <x:c r="H99" s="12" t="n">
        <x:v>0</x:v>
      </x:c>
      <x:c r="I99" s="12" t="n">
        <x:v>-5</x:v>
      </x:c>
      <x:c r="J99" s="12" t="n">
        <x:v>15</x:v>
      </x:c>
      <x:c r="K99" s="12" t="n">
        <x:v>5</x:v>
      </x:c>
      <x:c r="L99" s="12" t="n">
        <x:v>-5</x:v>
      </x:c>
      <x:c r="M99" s="12" t="n">
        <x:v>-15</x:v>
      </x:c>
      <x:c r="N99" s="12" t="n">
        <x:v>-5</x:v>
      </x:c>
      <x:c r="O99" s="12" t="n">
        <x:v>5</x:v>
      </x:c>
      <x:c r="P99" s="12" t="n">
        <x:v>5</x:v>
      </x:c>
      <x:c r="Q99" s="12" t="n">
        <x:v>-5</x:v>
      </x:c>
      <x:c r="R99" s="12" t="n">
        <x:v>0</x:v>
      </x:c>
      <x:c r="S99" s="12" t="n">
        <x:v>-5</x:v>
      </x:c>
      <x:c r="T99" s="12" t="str">
        <x:v>Frontline+10 / FightTempo+15 / Mobility-10 / Control+15 / SelfSufficiency-5</x:v>
      </x:c>
      <x:c r="U99" s="12" t="str">
        <x:v>Wikiのロール・長所短所と既存プロファイルの方向性を保ちながら、同アーキタイプ内の差を拡張。</x:v>
      </x:c>
      <x:c r="V99" s="12" t="str">
        <x:v>https://wikiwiki.jp/poke-unite/%E3%82%AA%E3%83%BC%E3%83%AD%E3%83%83%E3%83%88</x:v>
      </x:c>
      <x:c r="W99" s="12" t="str">
        <x:v>https://wikiwiki.jp/poke-unite/%E4%B8%80%E8%A6%A7</x:v>
      </x:c>
      <x:c r="X99" s="12" t="str">
        <x:v>https://uniteapi.dev/jp/meta</x:v>
      </x:c>
    </x:row>
    <x:row r="100">
      <x:c r="A100" s="12" t="str">
        <x:v>カビゴン-1</x:v>
      </x:c>
      <x:c r="B100" s="12" t="str">
        <x:v>カビゴン</x:v>
      </x:c>
      <x:c r="C100" s="12" t="str">
        <x:v>ヘビーボンバー</x:v>
      </x:c>
      <x:c r="D100" s="12" t="str">
        <x:v>Vanguard</x:v>
      </x:c>
      <x:c r="E100" s="12" t="n">
        <x:v>5</x:v>
      </x:c>
      <x:c r="F100" s="12" t="n">
        <x:v>-10</x:v>
      </x:c>
      <x:c r="G100" s="12" t="n">
        <x:v>10</x:v>
      </x:c>
      <x:c r="H100" s="12" t="n">
        <x:v>0</x:v>
      </x:c>
      <x:c r="I100" s="12" t="n">
        <x:v>-5</x:v>
      </x:c>
      <x:c r="J100" s="12" t="n">
        <x:v>0</x:v>
      </x:c>
      <x:c r="K100" s="12" t="n">
        <x:v>0</x:v>
      </x:c>
      <x:c r="L100" s="12" t="n">
        <x:v>0</x:v>
      </x:c>
      <x:c r="M100" s="12" t="n">
        <x:v>-10</x:v>
      </x:c>
      <x:c r="N100" s="12" t="n">
        <x:v>-10</x:v>
      </x:c>
      <x:c r="O100" s="12" t="n">
        <x:v>-10</x:v>
      </x:c>
      <x:c r="P100" s="12" t="n">
        <x:v>0</x:v>
      </x:c>
      <x:c r="Q100" s="12" t="n">
        <x:v>-10</x:v>
      </x:c>
      <x:c r="R100" s="12" t="n">
        <x:v>-10</x:v>
      </x:c>
      <x:c r="S100" s="12" t="n">
        <x:v>0</x:v>
      </x:c>
      <x:c r="T100" s="12" t="str">
        <x:v>Control+15 / FarmScaling-10 / Execution-10 / SelfSufficiency-10</x:v>
      </x:c>
      <x:c r="U100" s="12" t="str">
        <x:v>Wikiのロール・長所短所と既存プロファイルの方向性を保ちながら、同アーキタイプ内の差を拡張。</x:v>
      </x:c>
      <x:c r="V100" s="12" t="str">
        <x:v>https://wikiwiki.jp/poke-unite/%E3%82%AB%E3%83%93%E3%82%B4%E3%83%B3</x:v>
      </x:c>
      <x:c r="W100" s="12" t="str">
        <x:v>https://wikiwiki.jp/poke-unite/%E4%B8%80%E8%A6%A7</x:v>
      </x:c>
      <x:c r="X100" s="12" t="str">
        <x:v>https://uniteapi.dev/jp/meta</x:v>
      </x:c>
    </x:row>
    <x:row r="101">
      <x:c r="A101" s="12" t="str">
        <x:v>カビゴン-2</x:v>
      </x:c>
      <x:c r="B101" s="12" t="str">
        <x:v>カビゴン</x:v>
      </x:c>
      <x:c r="C101" s="12" t="str">
        <x:v>じたばた</x:v>
      </x:c>
      <x:c r="D101" s="12" t="str">
        <x:v>Juggernaut</x:v>
      </x:c>
      <x:c r="E101" s="12" t="n">
        <x:v>10</x:v>
      </x:c>
      <x:c r="F101" s="12" t="n">
        <x:v>0</x:v>
      </x:c>
      <x:c r="G101" s="12" t="n">
        <x:v>0</x:v>
      </x:c>
      <x:c r="H101" s="12" t="n">
        <x:v>5</x:v>
      </x:c>
      <x:c r="I101" s="12" t="n">
        <x:v>10</x:v>
      </x:c>
      <x:c r="J101" s="12" t="n">
        <x:v>5</x:v>
      </x:c>
      <x:c r="K101" s="12" t="n">
        <x:v>0</x:v>
      </x:c>
      <x:c r="L101" s="12" t="n">
        <x:v>-5</x:v>
      </x:c>
      <x:c r="M101" s="12" t="n">
        <x:v>5</x:v>
      </x:c>
      <x:c r="N101" s="12" t="n">
        <x:v>5</x:v>
      </x:c>
      <x:c r="O101" s="12" t="n">
        <x:v>-5</x:v>
      </x:c>
      <x:c r="P101" s="12" t="n">
        <x:v>-5</x:v>
      </x:c>
      <x:c r="Q101" s="12" t="n">
        <x:v>-5</x:v>
      </x:c>
      <x:c r="R101" s="12" t="n">
        <x:v>5</x:v>
      </x:c>
      <x:c r="S101" s="12" t="n">
        <x:v>10</x:v>
      </x:c>
      <x:c r="T101" s="12" t="str">
        <x:v>FightTempo+15 / SelfSufficiency+10 / Control-10 / Frontline+10</x:v>
      </x:c>
      <x:c r="U101" s="12" t="str">
        <x:v>Wikiのロール・長所短所と既存プロファイルの方向性を保ちながら、同アーキタイプ内の差を拡張。</x:v>
      </x:c>
      <x:c r="V101" s="12" t="str">
        <x:v>https://wikiwiki.jp/poke-unite/%E3%82%AB%E3%83%93%E3%82%B4%E3%83%B3</x:v>
      </x:c>
      <x:c r="W101" s="12" t="str">
        <x:v>https://wikiwiki.jp/poke-unite/%E4%B8%80%E8%A6%A7</x:v>
      </x:c>
      <x:c r="X101" s="12" t="str">
        <x:v>https://uniteapi.dev/jp/meta</x:v>
      </x:c>
    </x:row>
    <x:row r="102">
      <x:c r="A102" s="12" t="str">
        <x:v>カメックス-1</x:v>
      </x:c>
      <x:c r="B102" s="12" t="str">
        <x:v>カメックス</x:v>
      </x:c>
      <x:c r="C102" s="12" t="str">
        <x:v>なみのり</x:v>
      </x:c>
      <x:c r="D102" s="12" t="str">
        <x:v>Warden</x:v>
      </x:c>
      <x:c r="E102" s="12" t="n">
        <x:v>10</x:v>
      </x:c>
      <x:c r="F102" s="12" t="n">
        <x:v>10</x:v>
      </x:c>
      <x:c r="G102" s="12" t="n">
        <x:v>0</x:v>
      </x:c>
      <x:c r="H102" s="12" t="n">
        <x:v>0</x:v>
      </x:c>
      <x:c r="I102" s="12" t="n">
        <x:v>-5</x:v>
      </x:c>
      <x:c r="J102" s="12" t="n">
        <x:v>-5</x:v>
      </x:c>
      <x:c r="K102" s="12" t="n">
        <x:v>0</x:v>
      </x:c>
      <x:c r="L102" s="12" t="n">
        <x:v>0</x:v>
      </x:c>
      <x:c r="M102" s="12" t="n">
        <x:v>0</x:v>
      </x:c>
      <x:c r="N102" s="12" t="n">
        <x:v>0</x:v>
      </x:c>
      <x:c r="O102" s="12" t="n">
        <x:v>0</x:v>
      </x:c>
      <x:c r="P102" s="12" t="n">
        <x:v>0</x:v>
      </x:c>
      <x:c r="Q102" s="12" t="n">
        <x:v>0</x:v>
      </x:c>
      <x:c r="R102" s="12" t="n">
        <x:v>0</x:v>
      </x:c>
      <x:c r="S102" s="12" t="n">
        <x:v>0</x:v>
      </x:c>
      <x:c r="T102" s="12" t="str">
        <x:v>なし（既存個体差の拡張のみ）</x:v>
      </x:c>
      <x:c r="U102" s="12" t="str">
        <x:v>Wikiのロール・長所短所と既存プロファイルの方向性を保ちながら、同アーキタイプ内の差を拡張。</x:v>
      </x:c>
      <x:c r="V102" s="12" t="str">
        <x:v>https://wikiwiki.jp/poke-unite/%E3%82%AB%E3%83%A1%E3%83%83%E3%82%AF%E3%82%B9</x:v>
      </x:c>
      <x:c r="W102" s="12" t="str">
        <x:v>https://wikiwiki.jp/poke-unite/%E4%B8%80%E8%A6%A7</x:v>
      </x:c>
      <x:c r="X102" s="12" t="str">
        <x:v>https://uniteapi.dev/jp/meta</x:v>
      </x:c>
    </x:row>
    <x:row r="103">
      <x:c r="A103" s="12" t="str">
        <x:v>カメックス-2</x:v>
      </x:c>
      <x:c r="B103" s="12" t="str">
        <x:v>カメックス</x:v>
      </x:c>
      <x:c r="C103" s="12" t="str">
        <x:v>こうそくスピン</x:v>
      </x:c>
      <x:c r="D103" s="12" t="str">
        <x:v>Diver</x:v>
      </x:c>
      <x:c r="E103" s="12" t="n">
        <x:v>-5</x:v>
      </x:c>
      <x:c r="F103" s="12" t="n">
        <x:v>-10</x:v>
      </x:c>
      <x:c r="G103" s="12" t="n">
        <x:v>-5</x:v>
      </x:c>
      <x:c r="H103" s="12" t="n">
        <x:v>10</x:v>
      </x:c>
      <x:c r="I103" s="12" t="n">
        <x:v>-5</x:v>
      </x:c>
      <x:c r="J103" s="12" t="n">
        <x:v>10</x:v>
      </x:c>
      <x:c r="K103" s="12" t="n">
        <x:v>0</x:v>
      </x:c>
      <x:c r="L103" s="12" t="n">
        <x:v>0</x:v>
      </x:c>
      <x:c r="M103" s="12" t="n">
        <x:v>-10</x:v>
      </x:c>
      <x:c r="N103" s="12" t="n">
        <x:v>5</x:v>
      </x:c>
      <x:c r="O103" s="12" t="n">
        <x:v>-5</x:v>
      </x:c>
      <x:c r="P103" s="12" t="n">
        <x:v>5</x:v>
      </x:c>
      <x:c r="Q103" s="12" t="n">
        <x:v>-10</x:v>
      </x:c>
      <x:c r="R103" s="12" t="n">
        <x:v>-10</x:v>
      </x:c>
      <x:c r="S103" s="12" t="n">
        <x:v>-5</x:v>
      </x:c>
      <x:c r="T103" s="12" t="str">
        <x:v>なし（既存個体差の拡張のみ）</x:v>
      </x:c>
      <x:c r="U103" s="12" t="str">
        <x:v>Wikiのロール・長所短所と既存プロファイルの方向性を保ちながら、同アーキタイプ内の差を拡張。</x:v>
      </x:c>
      <x:c r="V103" s="12" t="str">
        <x:v>https://wikiwiki.jp/poke-unite/%E3%82%AB%E3%83%A1%E3%83%83%E3%82%AF%E3%82%B9</x:v>
      </x:c>
      <x:c r="W103" s="12" t="str">
        <x:v>https://wikiwiki.jp/poke-unite/%E4%B8%80%E8%A6%A7</x:v>
      </x:c>
      <x:c r="X103" s="12" t="str">
        <x:v>https://uniteapi.dev/jp/meta</x:v>
      </x:c>
    </x:row>
    <x:row r="104">
      <x:c r="A104" s="12" t="str">
        <x:v>シャワーズ-1</x:v>
      </x:c>
      <x:c r="B104" s="12" t="str">
        <x:v>シャワーズ</x:v>
      </x:c>
      <x:c r="C104" s="12" t="str">
        <x:v>アクアリング</x:v>
      </x:c>
      <x:c r="D104" s="12" t="str">
        <x:v>Enchanter</x:v>
      </x:c>
      <x:c r="E104" s="12" t="n">
        <x:v>5</x:v>
      </x:c>
      <x:c r="F104" s="12" t="n">
        <x:v>-5</x:v>
      </x:c>
      <x:c r="G104" s="12" t="n">
        <x:v>0</x:v>
      </x:c>
      <x:c r="H104" s="12" t="n">
        <x:v>15</x:v>
      </x:c>
      <x:c r="I104" s="12" t="n">
        <x:v>-5</x:v>
      </x:c>
      <x:c r="J104" s="12" t="n">
        <x:v>0</x:v>
      </x:c>
      <x:c r="K104" s="12" t="n">
        <x:v>10</x:v>
      </x:c>
      <x:c r="L104" s="12" t="n">
        <x:v>5</x:v>
      </x:c>
      <x:c r="M104" s="12" t="n">
        <x:v>-15</x:v>
      </x:c>
      <x:c r="N104" s="12" t="n">
        <x:v>10</x:v>
      </x:c>
      <x:c r="O104" s="12" t="n">
        <x:v>0</x:v>
      </x:c>
      <x:c r="P104" s="12" t="n">
        <x:v>0</x:v>
      </x:c>
      <x:c r="Q104" s="12" t="n">
        <x:v>-5</x:v>
      </x:c>
      <x:c r="R104" s="12" t="n">
        <x:v>0</x:v>
      </x:c>
      <x:c r="S104" s="12" t="n">
        <x:v>5</x:v>
      </x:c>
      <x:c r="T104" s="12" t="str">
        <x:v>Frontline+10 / Support+5 / SelfSufficiency+5 / Mobility-10</x:v>
      </x:c>
      <x:c r="U104" s="12" t="str">
        <x:v>Wikiのロール・長所短所と既存プロファイルの方向性を保ちながら、同アーキタイプ内の差を拡張。</x:v>
      </x:c>
      <x:c r="V104" s="12" t="str">
        <x:v>https://wikiwiki.jp/poke-unite/%E3%82%B7%E3%83%A3%E3%83%AF%E3%83%BC%E3%82%BA</x:v>
      </x:c>
      <x:c r="W104" s="12" t="str">
        <x:v>https://wikiwiki.jp/poke-unite/%E4%B8%80%E8%A6%A7</x:v>
      </x:c>
      <x:c r="X104" s="12" t="str">
        <x:v>https://uniteapi.dev/jp/meta</x:v>
      </x:c>
    </x:row>
    <x:row r="105">
      <x:c r="A105" s="12" t="str">
        <x:v>シャワーズ-2</x:v>
      </x:c>
      <x:c r="B105" s="12" t="str">
        <x:v>シャワーズ</x:v>
      </x:c>
      <x:c r="C105" s="12" t="str">
        <x:v>クイックターン</x:v>
      </x:c>
      <x:c r="D105" s="12" t="str">
        <x:v>Warden</x:v>
      </x:c>
      <x:c r="E105" s="12" t="n">
        <x:v>5</x:v>
      </x:c>
      <x:c r="F105" s="12" t="n">
        <x:v>10</x:v>
      </x:c>
      <x:c r="G105" s="12" t="n">
        <x:v>-10</x:v>
      </x:c>
      <x:c r="H105" s="12" t="n">
        <x:v>-5</x:v>
      </x:c>
      <x:c r="I105" s="12" t="n">
        <x:v>-5</x:v>
      </x:c>
      <x:c r="J105" s="12" t="n">
        <x:v>-5</x:v>
      </x:c>
      <x:c r="K105" s="12" t="n">
        <x:v>-5</x:v>
      </x:c>
      <x:c r="L105" s="12" t="n">
        <x:v>-10</x:v>
      </x:c>
      <x:c r="M105" s="12" t="n">
        <x:v>10</x:v>
      </x:c>
      <x:c r="N105" s="12" t="n">
        <x:v>10</x:v>
      </x:c>
      <x:c r="O105" s="12" t="n">
        <x:v>10</x:v>
      </x:c>
      <x:c r="P105" s="12" t="n">
        <x:v>5</x:v>
      </x:c>
      <x:c r="Q105" s="12" t="n">
        <x:v>5</x:v>
      </x:c>
      <x:c r="R105" s="12" t="n">
        <x:v>5</x:v>
      </x:c>
      <x:c r="S105" s="12" t="n">
        <x:v>-5</x:v>
      </x:c>
      <x:c r="T105" s="12" t="str">
        <x:v>なし（既存個体差の拡張のみ）</x:v>
      </x:c>
      <x:c r="U105" s="12" t="str">
        <x:v>Wikiのロール・長所短所と既存プロファイルの方向性を保ちながら、同アーキタイプ内の差を拡張。</x:v>
      </x:c>
      <x:c r="V105" s="12" t="str">
        <x:v>https://wikiwiki.jp/poke-unite/%E3%82%B7%E3%83%A3%E3%83%AF%E3%83%BC%E3%82%BA</x:v>
      </x:c>
      <x:c r="W105" s="12" t="str">
        <x:v>https://wikiwiki.jp/poke-unite/%E4%B8%80%E8%A6%A7</x:v>
      </x:c>
      <x:c r="X105" s="12" t="str">
        <x:v>https://uniteapi.dev/jp/meta</x:v>
      </x:c>
    </x:row>
    <x:row r="106">
      <x:c r="A106" s="12" t="str">
        <x:v>ヌメルゴン-1</x:v>
      </x:c>
      <x:c r="B106" s="12" t="str">
        <x:v>ヌメルゴン</x:v>
      </x:c>
      <x:c r="C106" s="12" t="str">
        <x:v>共通</x:v>
      </x:c>
      <x:c r="D106" s="12" t="str">
        <x:v>Juggernaut</x:v>
      </x:c>
      <x:c r="E106" s="12" t="n">
        <x:v>0</x:v>
      </x:c>
      <x:c r="F106" s="12" t="n">
        <x:v>0</x:v>
      </x:c>
      <x:c r="G106" s="12" t="n">
        <x:v>5</x:v>
      </x:c>
      <x:c r="H106" s="12" t="n">
        <x:v>0</x:v>
      </x:c>
      <x:c r="I106" s="12" t="n">
        <x:v>-5</x:v>
      </x:c>
      <x:c r="J106" s="12" t="n">
        <x:v>15</x:v>
      </x:c>
      <x:c r="K106" s="12" t="n">
        <x:v>-15</x:v>
      </x:c>
      <x:c r="L106" s="12" t="n">
        <x:v>-5</x:v>
      </x:c>
      <x:c r="M106" s="12" t="n">
        <x:v>-10</x:v>
      </x:c>
      <x:c r="N106" s="12" t="n">
        <x:v>15</x:v>
      </x:c>
      <x:c r="O106" s="12" t="n">
        <x:v>5</x:v>
      </x:c>
      <x:c r="P106" s="12" t="n">
        <x:v>5</x:v>
      </x:c>
      <x:c r="Q106" s="12" t="n">
        <x:v>-5</x:v>
      </x:c>
      <x:c r="R106" s="12" t="n">
        <x:v>0</x:v>
      </x:c>
      <x:c r="S106" s="12" t="n">
        <x:v>-5</x:v>
      </x:c>
      <x:c r="T106" s="12" t="str">
        <x:v>Frontline+15 / FightTempo+15 / Control-15 / Mobility-5 / SelfSufficiency+15</x:v>
      </x:c>
      <x:c r="U106" s="12" t="str">
        <x:v>Wikiのロール・長所短所と既存プロファイルの方向性を保ちながら、同アーキタイプ内の差を拡張。</x:v>
      </x:c>
      <x:c r="V106" s="12" t="str">
        <x:v>https://wikiwiki.jp/poke-unite/%E3%83%8C%E3%83%A1%E3%83%AB%E3%82%B4%E3%83%B3</x:v>
      </x:c>
      <x:c r="W106" s="12" t="str">
        <x:v>https://wikiwiki.jp/poke-unite/%E4%B8%80%E8%A6%A7</x:v>
      </x:c>
      <x:c r="X106" s="12" t="str">
        <x:v>https://uniteapi.dev/jp/meta</x:v>
      </x:c>
    </x:row>
    <x:row r="107">
      <x:c r="A107" s="12" t="str">
        <x:v>フリーザー-1</x:v>
      </x:c>
      <x:c r="B107" s="12" t="str">
        <x:v>フリーザー</x:v>
      </x:c>
      <x:c r="C107" s="12" t="str">
        <x:v>共通</x:v>
      </x:c>
      <x:c r="D107" s="12" t="str">
        <x:v>Warden</x:v>
      </x:c>
      <x:c r="E107" s="12" t="n">
        <x:v>-10</x:v>
      </x:c>
      <x:c r="F107" s="12" t="n">
        <x:v>-10</x:v>
      </x:c>
      <x:c r="G107" s="12" t="n">
        <x:v>0</x:v>
      </x:c>
      <x:c r="H107" s="12" t="n">
        <x:v>0</x:v>
      </x:c>
      <x:c r="I107" s="12" t="n">
        <x:v>5</x:v>
      </x:c>
      <x:c r="J107" s="12" t="n">
        <x:v>5</x:v>
      </x:c>
      <x:c r="K107" s="12" t="n">
        <x:v>0</x:v>
      </x:c>
      <x:c r="L107" s="12" t="n">
        <x:v>5</x:v>
      </x:c>
      <x:c r="M107" s="12" t="n">
        <x:v>-10</x:v>
      </x:c>
      <x:c r="N107" s="12" t="n">
        <x:v>0</x:v>
      </x:c>
      <x:c r="O107" s="12" t="n">
        <x:v>0</x:v>
      </x:c>
      <x:c r="P107" s="12" t="n">
        <x:v>0</x:v>
      </x:c>
      <x:c r="Q107" s="12" t="n">
        <x:v>-5</x:v>
      </x:c>
      <x:c r="R107" s="12" t="n">
        <x:v>0</x:v>
      </x:c>
      <x:c r="S107" s="12" t="n">
        <x:v>0</x:v>
      </x:c>
      <x:c r="T107" s="12" t="str">
        <x:v>なし（既存個体差の拡張のみ）</x:v>
      </x:c>
      <x:c r="U107" s="12" t="str">
        <x:v>Wikiのロール・長所短所と既存プロファイルの方向性を保ちながら、同アーキタイプ内の差を拡張。</x:v>
      </x:c>
      <x:c r="V107" s="12" t="str">
        <x:v>https://wikiwiki.jp/poke-unite/%E3%83%95%E3%83%AA%E3%83%BC%E3%82%B6%E3%83%BC</x:v>
      </x:c>
      <x:c r="W107" s="12" t="str">
        <x:v>https://wikiwiki.jp/poke-unite/%E4%B8%80%E8%A6%A7</x:v>
      </x:c>
      <x:c r="X107" s="12" t="str">
        <x:v>https://uniteapi.dev/jp/meta</x:v>
      </x:c>
    </x:row>
    <x:row r="108">
      <x:c r="A108" s="12" t="str">
        <x:v>ブラッキー-1</x:v>
      </x:c>
      <x:c r="B108" s="12" t="str">
        <x:v>ブラッキー</x:v>
      </x:c>
      <x:c r="C108" s="12" t="str">
        <x:v>ねがいごと</x:v>
      </x:c>
      <x:c r="D108" s="12" t="str">
        <x:v>Enchanter</x:v>
      </x:c>
      <x:c r="E108" s="12" t="n">
        <x:v>0</x:v>
      </x:c>
      <x:c r="F108" s="12" t="n">
        <x:v>-5</x:v>
      </x:c>
      <x:c r="G108" s="12" t="n">
        <x:v>0</x:v>
      </x:c>
      <x:c r="H108" s="12" t="n">
        <x:v>15</x:v>
      </x:c>
      <x:c r="I108" s="12" t="n">
        <x:v>-5</x:v>
      </x:c>
      <x:c r="J108" s="12" t="n">
        <x:v>0</x:v>
      </x:c>
      <x:c r="K108" s="12" t="n">
        <x:v>10</x:v>
      </x:c>
      <x:c r="L108" s="12" t="n">
        <x:v>0</x:v>
      </x:c>
      <x:c r="M108" s="12" t="n">
        <x:v>-15</x:v>
      </x:c>
      <x:c r="N108" s="12" t="n">
        <x:v>10</x:v>
      </x:c>
      <x:c r="O108" s="12" t="n">
        <x:v>0</x:v>
      </x:c>
      <x:c r="P108" s="12" t="n">
        <x:v>0</x:v>
      </x:c>
      <x:c r="Q108" s="12" t="n">
        <x:v>-5</x:v>
      </x:c>
      <x:c r="R108" s="12" t="n">
        <x:v>0</x:v>
      </x:c>
      <x:c r="S108" s="12" t="n">
        <x:v>5</x:v>
      </x:c>
      <x:c r="T108" s="12" t="str">
        <x:v>Peel+10 / Frontline+10 / SelfSufficiency+5 / Mobility-5</x:v>
      </x:c>
      <x:c r="U108" s="12" t="str">
        <x:v>Wikiのロール・長所短所と既存プロファイルの方向性を保ちながら、同アーキタイプ内の差を拡張。</x:v>
      </x:c>
      <x:c r="V108" s="12" t="str">
        <x:v>https://wikiwiki.jp/poke-unite/%E3%83%96%E3%83%A9%E3%83%83%E3%82%AD%E3%83%BC</x:v>
      </x:c>
      <x:c r="W108" s="12" t="str">
        <x:v>https://wikiwiki.jp/poke-unite/%E4%B8%80%E8%A6%A7</x:v>
      </x:c>
      <x:c r="X108" s="12" t="str">
        <x:v>https://uniteapi.dev/jp/meta</x:v>
      </x:c>
    </x:row>
    <x:row r="109">
      <x:c r="A109" s="12" t="str">
        <x:v>ブラッキー-2</x:v>
      </x:c>
      <x:c r="B109" s="12" t="str">
        <x:v>ブラッキー</x:v>
      </x:c>
      <x:c r="C109" s="12" t="str">
        <x:v>イカサマ</x:v>
      </x:c>
      <x:c r="D109" s="12" t="str">
        <x:v>Vanguard</x:v>
      </x:c>
      <x:c r="E109" s="12" t="n">
        <x:v>5</x:v>
      </x:c>
      <x:c r="F109" s="12" t="n">
        <x:v>-10</x:v>
      </x:c>
      <x:c r="G109" s="12" t="n">
        <x:v>5</x:v>
      </x:c>
      <x:c r="H109" s="12" t="n">
        <x:v>0</x:v>
      </x:c>
      <x:c r="I109" s="12" t="n">
        <x:v>-5</x:v>
      </x:c>
      <x:c r="J109" s="12" t="n">
        <x:v>0</x:v>
      </x:c>
      <x:c r="K109" s="12" t="n">
        <x:v>0</x:v>
      </x:c>
      <x:c r="L109" s="12" t="n">
        <x:v>-10</x:v>
      </x:c>
      <x:c r="M109" s="12" t="n">
        <x:v>-10</x:v>
      </x:c>
      <x:c r="N109" s="12" t="n">
        <x:v>0</x:v>
      </x:c>
      <x:c r="O109" s="12" t="n">
        <x:v>0</x:v>
      </x:c>
      <x:c r="P109" s="12" t="n">
        <x:v>0</x:v>
      </x:c>
      <x:c r="Q109" s="12" t="n">
        <x:v>-10</x:v>
      </x:c>
      <x:c r="R109" s="12" t="n">
        <x:v>0</x:v>
      </x:c>
      <x:c r="S109" s="12" t="n">
        <x:v>0</x:v>
      </x:c>
      <x:c r="T109" s="12" t="str">
        <x:v>なし（既存個体差の拡張のみ）</x:v>
      </x:c>
      <x:c r="U109" s="12" t="str">
        <x:v>Wikiのロール・長所短所と既存プロファイルの方向性を保ちながら、同アーキタイプ内の差を拡張。</x:v>
      </x:c>
      <x:c r="V109" s="12" t="str">
        <x:v>https://wikiwiki.jp/poke-unite/%E3%83%96%E3%83%A9%E3%83%83%E3%82%AD%E3%83%BC</x:v>
      </x:c>
      <x:c r="W109" s="12" t="str">
        <x:v>https://wikiwiki.jp/poke-unite/%E4%B8%80%E8%A6%A7</x:v>
      </x:c>
      <x:c r="X109" s="12" t="str">
        <x:v>https://uniteapi.dev/jp/meta</x:v>
      </x:c>
    </x:row>
    <x:row r="110">
      <x:c r="A110" s="12" t="str">
        <x:v>ホウオウ-1</x:v>
      </x:c>
      <x:c r="B110" s="12" t="str">
        <x:v>ホウオウ</x:v>
      </x:c>
      <x:c r="C110" s="12" t="str">
        <x:v>かえんほうしゃ</x:v>
      </x:c>
      <x:c r="D110" s="12" t="str">
        <x:v>Juggernaut</x:v>
      </x:c>
      <x:c r="E110" s="12" t="n">
        <x:v>-10</x:v>
      </x:c>
      <x:c r="F110" s="12" t="n">
        <x:v>-10</x:v>
      </x:c>
      <x:c r="G110" s="12" t="n">
        <x:v>10</x:v>
      </x:c>
      <x:c r="H110" s="12" t="n">
        <x:v>0</x:v>
      </x:c>
      <x:c r="I110" s="12" t="n">
        <x:v>10</x:v>
      </x:c>
      <x:c r="J110" s="12" t="n">
        <x:v>10</x:v>
      </x:c>
      <x:c r="K110" s="12" t="n">
        <x:v>5</x:v>
      </x:c>
      <x:c r="L110" s="12" t="n">
        <x:v>10</x:v>
      </x:c>
      <x:c r="M110" s="12" t="n">
        <x:v>-10</x:v>
      </x:c>
      <x:c r="N110" s="12" t="n">
        <x:v>-10</x:v>
      </x:c>
      <x:c r="O110" s="12" t="n">
        <x:v>-10</x:v>
      </x:c>
      <x:c r="P110" s="12" t="n">
        <x:v>-10</x:v>
      </x:c>
      <x:c r="Q110" s="12" t="n">
        <x:v>-10</x:v>
      </x:c>
      <x:c r="R110" s="12" t="n">
        <x:v>-10</x:v>
      </x:c>
      <x:c r="S110" s="12" t="n">
        <x:v>10</x:v>
      </x:c>
      <x:c r="T110" s="12" t="str">
        <x:v>なし（既存個体差の拡張のみ）</x:v>
      </x:c>
      <x:c r="U110" s="12" t="str">
        <x:v>Wikiのロール・長所短所と既存プロファイルの方向性を保ちながら、同アーキタイプ内の差を拡張。</x:v>
      </x:c>
      <x:c r="V110" s="12" t="str">
        <x:v>https://wikiwiki.jp/poke-unite/%E3%83%9B%E3%82%A6%E3%82%AA%E3%82%A6</x:v>
      </x:c>
      <x:c r="W110" s="12" t="str">
        <x:v>https://wikiwiki.jp/poke-unite/%E4%B8%80%E8%A6%A7</x:v>
      </x:c>
      <x:c r="X110" s="12" t="str">
        <x:v>https://uniteapi.dev/jp/meta</x:v>
      </x:c>
    </x:row>
    <x:row r="111">
      <x:c r="A111" s="12" t="str">
        <x:v>ホウオウ-2</x:v>
      </x:c>
      <x:c r="B111" s="12" t="str">
        <x:v>ホウオウ</x:v>
      </x:c>
      <x:c r="C111" s="12" t="str">
        <x:v>ゴッドバード</x:v>
      </x:c>
      <x:c r="D111" s="12" t="str">
        <x:v>Vanguard</x:v>
      </x:c>
      <x:c r="E111" s="12" t="n">
        <x:v>-10</x:v>
      </x:c>
      <x:c r="F111" s="12" t="n">
        <x:v>5</x:v>
      </x:c>
      <x:c r="G111" s="12" t="n">
        <x:v>-10</x:v>
      </x:c>
      <x:c r="H111" s="12" t="n">
        <x:v>-10</x:v>
      </x:c>
      <x:c r="I111" s="12" t="n">
        <x:v>10</x:v>
      </x:c>
      <x:c r="J111" s="12" t="n">
        <x:v>0</x:v>
      </x:c>
      <x:c r="K111" s="12" t="n">
        <x:v>-10</x:v>
      </x:c>
      <x:c r="L111" s="12" t="n">
        <x:v>10</x:v>
      </x:c>
      <x:c r="M111" s="12" t="n">
        <x:v>0</x:v>
      </x:c>
      <x:c r="N111" s="12" t="n">
        <x:v>0</x:v>
      </x:c>
      <x:c r="O111" s="12" t="n">
        <x:v>0</x:v>
      </x:c>
      <x:c r="P111" s="12" t="n">
        <x:v>-5</x:v>
      </x:c>
      <x:c r="Q111" s="12" t="n">
        <x:v>10</x:v>
      </x:c>
      <x:c r="R111" s="12" t="n">
        <x:v>0</x:v>
      </x:c>
      <x:c r="S111" s="12" t="n">
        <x:v>0</x:v>
      </x:c>
      <x:c r="T111" s="12" t="str">
        <x:v>なし（既存個体差の拡張のみ）</x:v>
      </x:c>
      <x:c r="U111" s="12" t="str">
        <x:v>Wikiのロール・長所短所と既存プロファイルの方向性を保ちながら、同アーキタイプ内の差を拡張。</x:v>
      </x:c>
      <x:c r="V111" s="12" t="str">
        <x:v>https://wikiwiki.jp/poke-unite/%E3%83%9B%E3%82%A6%E3%82%AA%E3%82%A6</x:v>
      </x:c>
      <x:c r="W111" s="12" t="str">
        <x:v>https://wikiwiki.jp/poke-unite/%E4%B8%80%E8%A6%A7</x:v>
      </x:c>
      <x:c r="X111" s="12" t="str">
        <x:v>https://uniteapi.dev/jp/meta</x:v>
      </x:c>
    </x:row>
    <x:row r="112">
      <x:c r="A112" s="12" t="str">
        <x:v>マンムー-1</x:v>
      </x:c>
      <x:c r="B112" s="12" t="str">
        <x:v>マンムー</x:v>
      </x:c>
      <x:c r="C112" s="12" t="str">
        <x:v>共通</x:v>
      </x:c>
      <x:c r="D112" s="12" t="str">
        <x:v>Vanguard</x:v>
      </x:c>
      <x:c r="E112" s="12" t="n">
        <x:v>0</x:v>
      </x:c>
      <x:c r="F112" s="12" t="n">
        <x:v>10</x:v>
      </x:c>
      <x:c r="G112" s="12" t="n">
        <x:v>-5</x:v>
      </x:c>
      <x:c r="H112" s="12" t="n">
        <x:v>0</x:v>
      </x:c>
      <x:c r="I112" s="12" t="n">
        <x:v>-5</x:v>
      </x:c>
      <x:c r="J112" s="12" t="n">
        <x:v>-10</x:v>
      </x:c>
      <x:c r="K112" s="12" t="n">
        <x:v>0</x:v>
      </x:c>
      <x:c r="L112" s="12" t="n">
        <x:v>-10</x:v>
      </x:c>
      <x:c r="M112" s="12" t="n">
        <x:v>-5</x:v>
      </x:c>
      <x:c r="N112" s="12" t="n">
        <x:v>5</x:v>
      </x:c>
      <x:c r="O112" s="12" t="n">
        <x:v>0</x:v>
      </x:c>
      <x:c r="P112" s="12" t="n">
        <x:v>5</x:v>
      </x:c>
      <x:c r="Q112" s="12" t="n">
        <x:v>-10</x:v>
      </x:c>
      <x:c r="R112" s="12" t="n">
        <x:v>0</x:v>
      </x:c>
      <x:c r="S112" s="12" t="n">
        <x:v>-5</x:v>
      </x:c>
      <x:c r="T112" s="12" t="str">
        <x:v>なし（既存個体差の拡張のみ）</x:v>
      </x:c>
      <x:c r="U112" s="12" t="str">
        <x:v>Wikiのロール・長所短所と既存プロファイルの方向性を保ちながら、同アーキタイプ内の差を拡張。</x:v>
      </x:c>
      <x:c r="V112" s="12" t="str">
        <x:v>https://wikiwiki.jp/poke-unite/%E3%83%9E%E3%83%B3%E3%83%A0%E3%83%BC</x:v>
      </x:c>
      <x:c r="W112" s="12" t="str">
        <x:v>https://wikiwiki.jp/poke-unite/%E4%B8%80%E8%A6%A7</x:v>
      </x:c>
      <x:c r="X112" s="12" t="str">
        <x:v>https://uniteapi.dev/jp/meta</x:v>
      </x:c>
    </x:row>
    <x:row r="113">
      <x:c r="A113" s="12" t="str">
        <x:v>ヤドラン-1</x:v>
      </x:c>
      <x:c r="B113" s="12" t="str">
        <x:v>ヤドラン</x:v>
      </x:c>
      <x:c r="C113" s="12" t="str">
        <x:v>ドわすれ</x:v>
      </x:c>
      <x:c r="D113" s="12" t="str">
        <x:v>Juggernaut</x:v>
      </x:c>
      <x:c r="E113" s="12" t="n">
        <x:v>-5</x:v>
      </x:c>
      <x:c r="F113" s="12" t="n">
        <x:v>-5</x:v>
      </x:c>
      <x:c r="G113" s="12" t="n">
        <x:v>-10</x:v>
      </x:c>
      <x:c r="H113" s="12" t="n">
        <x:v>-5</x:v>
      </x:c>
      <x:c r="I113" s="12" t="n">
        <x:v>10</x:v>
      </x:c>
      <x:c r="J113" s="12" t="n">
        <x:v>-5</x:v>
      </x:c>
      <x:c r="K113" s="12" t="n">
        <x:v>-10</x:v>
      </x:c>
      <x:c r="L113" s="12" t="n">
        <x:v>-5</x:v>
      </x:c>
      <x:c r="M113" s="12" t="n">
        <x:v>5</x:v>
      </x:c>
      <x:c r="N113" s="12" t="n">
        <x:v>0</x:v>
      </x:c>
      <x:c r="O113" s="12" t="n">
        <x:v>0</x:v>
      </x:c>
      <x:c r="P113" s="12" t="n">
        <x:v>5</x:v>
      </x:c>
      <x:c r="Q113" s="12" t="n">
        <x:v>0</x:v>
      </x:c>
      <x:c r="R113" s="12" t="n">
        <x:v>5</x:v>
      </x:c>
      <x:c r="S113" s="12" t="n">
        <x:v>0</x:v>
      </x:c>
      <x:c r="T113" s="12" t="str">
        <x:v>なし（既存個体差の拡張のみ）</x:v>
      </x:c>
      <x:c r="U113" s="12" t="str">
        <x:v>Wikiのロール・長所短所と既存プロファイルの方向性を保ちながら、同アーキタイプ内の差を拡張。</x:v>
      </x:c>
      <x:c r="V113" s="12" t="str">
        <x:v>https://wikiwiki.jp/poke-unite/%E3%83%A4%E3%83%89%E3%83%A9%E3%83%B3</x:v>
      </x:c>
      <x:c r="W113" s="12" t="str">
        <x:v>https://wikiwiki.jp/poke-unite/%E4%B8%80%E8%A6%A7</x:v>
      </x:c>
      <x:c r="X113" s="12" t="str">
        <x:v>https://uniteapi.dev/jp/meta</x:v>
      </x:c>
    </x:row>
    <x:row r="114">
      <x:c r="A114" s="12" t="str">
        <x:v>ヤドラン-2</x:v>
      </x:c>
      <x:c r="B114" s="12" t="str">
        <x:v>ヤドラン</x:v>
      </x:c>
      <x:c r="C114" s="12" t="str">
        <x:v>テレキネシス</x:v>
      </x:c>
      <x:c r="D114" s="12" t="str">
        <x:v>Warden</x:v>
      </x:c>
      <x:c r="E114" s="12" t="n">
        <x:v>0</x:v>
      </x:c>
      <x:c r="F114" s="12" t="n">
        <x:v>0</x:v>
      </x:c>
      <x:c r="G114" s="12" t="n">
        <x:v>0</x:v>
      </x:c>
      <x:c r="H114" s="12" t="n">
        <x:v>-5</x:v>
      </x:c>
      <x:c r="I114" s="12" t="n">
        <x:v>5</x:v>
      </x:c>
      <x:c r="J114" s="12" t="n">
        <x:v>5</x:v>
      </x:c>
      <x:c r="K114" s="12" t="n">
        <x:v>0</x:v>
      </x:c>
      <x:c r="L114" s="12" t="n">
        <x:v>0</x:v>
      </x:c>
      <x:c r="M114" s="12" t="n">
        <x:v>0</x:v>
      </x:c>
      <x:c r="N114" s="12" t="n">
        <x:v>-5</x:v>
      </x:c>
      <x:c r="O114" s="12" t="n">
        <x:v>5</x:v>
      </x:c>
      <x:c r="P114" s="12" t="n">
        <x:v>0</x:v>
      </x:c>
      <x:c r="Q114" s="12" t="n">
        <x:v>0</x:v>
      </x:c>
      <x:c r="R114" s="12" t="n">
        <x:v>5</x:v>
      </x:c>
      <x:c r="S114" s="12" t="n">
        <x:v>0</x:v>
      </x:c>
      <x:c r="T114" s="12" t="str">
        <x:v>なし（既存個体差の拡張のみ）</x:v>
      </x:c>
      <x:c r="U114" s="12" t="str">
        <x:v>Wikiのロール・長所短所と既存プロファイルの方向性を保ちながら、同アーキタイプ内の差を拡張。</x:v>
      </x:c>
      <x:c r="V114" s="12" t="str">
        <x:v>https://wikiwiki.jp/poke-unite/%E3%83%A4%E3%83%89%E3%83%A9%E3%83%B3</x:v>
      </x:c>
      <x:c r="W114" s="12" t="str">
        <x:v>https://wikiwiki.jp/poke-unite/%E4%B8%80%E8%A6%A7</x:v>
      </x:c>
      <x:c r="X114" s="12" t="str">
        <x:v>https://uniteapi.dev/jp/meta</x:v>
      </x:c>
    </x:row>
    <x:row r="115">
      <x:c r="A115" s="12" t="str">
        <x:v>ヨクバリス-1</x:v>
      </x:c>
      <x:c r="B115" s="12" t="str">
        <x:v>ヨクバリス</x:v>
      </x:c>
      <x:c r="C115" s="12" t="str">
        <x:v>ほおばる</x:v>
      </x:c>
      <x:c r="D115" s="12" t="str">
        <x:v>Juggernaut</x:v>
      </x:c>
      <x:c r="E115" s="12" t="n">
        <x:v>0</x:v>
      </x:c>
      <x:c r="F115" s="12" t="n">
        <x:v>10</x:v>
      </x:c>
      <x:c r="G115" s="12" t="n">
        <x:v>0</x:v>
      </x:c>
      <x:c r="H115" s="12" t="n">
        <x:v>0</x:v>
      </x:c>
      <x:c r="I115" s="12" t="n">
        <x:v>-5</x:v>
      </x:c>
      <x:c r="J115" s="12" t="n">
        <x:v>0</x:v>
      </x:c>
      <x:c r="K115" s="12" t="n">
        <x:v>-10</x:v>
      </x:c>
      <x:c r="L115" s="12" t="n">
        <x:v>-5</x:v>
      </x:c>
      <x:c r="M115" s="12" t="n">
        <x:v>10</x:v>
      </x:c>
      <x:c r="N115" s="12" t="n">
        <x:v>10</x:v>
      </x:c>
      <x:c r="O115" s="12" t="n">
        <x:v>0</x:v>
      </x:c>
      <x:c r="P115" s="12" t="n">
        <x:v>5</x:v>
      </x:c>
      <x:c r="Q115" s="12" t="n">
        <x:v>10</x:v>
      </x:c>
      <x:c r="R115" s="12" t="n">
        <x:v>5</x:v>
      </x:c>
      <x:c r="S115" s="12" t="n">
        <x:v>-5</x:v>
      </x:c>
      <x:c r="T115" s="12" t="str">
        <x:v>なし（既存個体差の拡張のみ）</x:v>
      </x:c>
      <x:c r="U115" s="12" t="str">
        <x:v>Wikiのロール・長所短所と既存プロファイルの方向性を保ちながら、同アーキタイプ内の差を拡張。</x:v>
      </x:c>
      <x:c r="V115" s="12" t="str">
        <x:v>https://wikiwiki.jp/poke-unite/%E3%83%A8%E3%82%AF%E3%83%90%E3%83%AA%E3%82%B9</x:v>
      </x:c>
      <x:c r="W115" s="12" t="str">
        <x:v>https://wikiwiki.jp/poke-unite/%E4%B8%80%E8%A6%A7</x:v>
      </x:c>
      <x:c r="X115" s="12" t="str">
        <x:v>https://uniteapi.dev/jp/meta</x:v>
      </x:c>
    </x:row>
    <x:row r="116">
      <x:c r="A116" s="12" t="str">
        <x:v>ヨクバリス-2</x:v>
      </x:c>
      <x:c r="B116" s="12" t="str">
        <x:v>ヨクバリス</x:v>
      </x:c>
      <x:c r="C116" s="12" t="str">
        <x:v>ほしがる</x:v>
      </x:c>
      <x:c r="D116" s="12" t="str">
        <x:v>Diver</x:v>
      </x:c>
      <x:c r="E116" s="12" t="n">
        <x:v>-5</x:v>
      </x:c>
      <x:c r="F116" s="12" t="n">
        <x:v>-10</x:v>
      </x:c>
      <x:c r="G116" s="12" t="n">
        <x:v>10</x:v>
      </x:c>
      <x:c r="H116" s="12" t="n">
        <x:v>-10</x:v>
      </x:c>
      <x:c r="I116" s="12" t="n">
        <x:v>10</x:v>
      </x:c>
      <x:c r="J116" s="12" t="n">
        <x:v>-5</x:v>
      </x:c>
      <x:c r="K116" s="12" t="n">
        <x:v>10</x:v>
      </x:c>
      <x:c r="L116" s="12" t="n">
        <x:v>10</x:v>
      </x:c>
      <x:c r="M116" s="12" t="n">
        <x:v>10</x:v>
      </x:c>
      <x:c r="N116" s="12" t="n">
        <x:v>-5</x:v>
      </x:c>
      <x:c r="O116" s="12" t="n">
        <x:v>-10</x:v>
      </x:c>
      <x:c r="P116" s="12" t="n">
        <x:v>-10</x:v>
      </x:c>
      <x:c r="Q116" s="12" t="n">
        <x:v>10</x:v>
      </x:c>
      <x:c r="R116" s="12" t="n">
        <x:v>5</x:v>
      </x:c>
      <x:c r="S116" s="12" t="n">
        <x:v>10</x:v>
      </x:c>
      <x:c r="T116" s="12" t="str">
        <x:v>なし（既存個体差の拡張のみ）</x:v>
      </x:c>
      <x:c r="U116" s="12" t="str">
        <x:v>Wikiのロール・長所短所と既存プロファイルの方向性を保ちながら、同アーキタイプ内の差を拡張。</x:v>
      </x:c>
      <x:c r="V116" s="12" t="str">
        <x:v>https://wikiwiki.jp/poke-unite/%E3%83%A8%E3%82%AF%E3%83%90%E3%83%AA%E3%82%B9</x:v>
      </x:c>
      <x:c r="W116" s="12" t="str">
        <x:v>https://wikiwiki.jp/poke-unite/%E4%B8%80%E8%A6%A7</x:v>
      </x:c>
      <x:c r="X116" s="12" t="str">
        <x:v>https://uniteapi.dev/jp/meta</x:v>
      </x:c>
    </x:row>
    <x:row r="117">
      <x:c r="A117" s="12" t="str">
        <x:v>ラプラス-1</x:v>
      </x:c>
      <x:c r="B117" s="12" t="str">
        <x:v>ラプラス</x:v>
      </x:c>
      <x:c r="C117" s="12" t="str">
        <x:v>共通</x:v>
      </x:c>
      <x:c r="D117" s="12" t="str">
        <x:v>Juggernaut</x:v>
      </x:c>
      <x:c r="E117" s="12" t="n">
        <x:v>-10</x:v>
      </x:c>
      <x:c r="F117" s="12" t="n">
        <x:v>-10</x:v>
      </x:c>
      <x:c r="G117" s="12" t="n">
        <x:v>10</x:v>
      </x:c>
      <x:c r="H117" s="12" t="n">
        <x:v>-5</x:v>
      </x:c>
      <x:c r="I117" s="12" t="n">
        <x:v>10</x:v>
      </x:c>
      <x:c r="J117" s="12" t="n">
        <x:v>0</x:v>
      </x:c>
      <x:c r="K117" s="12" t="n">
        <x:v>10</x:v>
      </x:c>
      <x:c r="L117" s="12" t="n">
        <x:v>10</x:v>
      </x:c>
      <x:c r="M117" s="12" t="n">
        <x:v>10</x:v>
      </x:c>
      <x:c r="N117" s="12" t="n">
        <x:v>-10</x:v>
      </x:c>
      <x:c r="O117" s="12" t="n">
        <x:v>-10</x:v>
      </x:c>
      <x:c r="P117" s="12" t="n">
        <x:v>-10</x:v>
      </x:c>
      <x:c r="Q117" s="12" t="n">
        <x:v>0</x:v>
      </x:c>
      <x:c r="R117" s="12" t="n">
        <x:v>-10</x:v>
      </x:c>
      <x:c r="S117" s="12" t="n">
        <x:v>10</x:v>
      </x:c>
      <x:c r="T117" s="12" t="str">
        <x:v>なし（既存個体差の拡張のみ）</x:v>
      </x:c>
      <x:c r="U117" s="12" t="str">
        <x:v>Wikiのロール・長所短所と既存プロファイルの方向性を保ちながら、同アーキタイプ内の差を拡張。</x:v>
      </x:c>
      <x:c r="V117" s="12" t="str">
        <x:v>https://wikiwiki.jp/poke-unite/%E3%83%A9%E3%83%97%E3%83%A9%E3%82%B9</x:v>
      </x:c>
      <x:c r="W117" s="12" t="str">
        <x:v>https://wikiwiki.jp/poke-unite/%E4%B8%80%E8%A6%A7</x:v>
      </x:c>
      <x:c r="X117" s="12" t="str">
        <x:v>https://uniteapi.dev/jp/meta</x:v>
      </x:c>
    </x:row>
    <x:row r="118">
      <x:c r="A118" s="12" t="str">
        <x:v>キュワワー-1</x:v>
      </x:c>
      <x:c r="B118" s="12" t="str">
        <x:v>キュワワー</x:v>
      </x:c>
      <x:c r="C118" s="12" t="str">
        <x:v>共通</x:v>
      </x:c>
      <x:c r="D118" s="12" t="str">
        <x:v>Enchanter</x:v>
      </x:c>
      <x:c r="E118" s="12" t="n">
        <x:v>-10</x:v>
      </x:c>
      <x:c r="F118" s="12" t="n">
        <x:v>-5</x:v>
      </x:c>
      <x:c r="G118" s="12" t="n">
        <x:v>-10</x:v>
      </x:c>
      <x:c r="H118" s="12" t="n">
        <x:v>-5</x:v>
      </x:c>
      <x:c r="I118" s="12" t="n">
        <x:v>-10</x:v>
      </x:c>
      <x:c r="J118" s="12" t="n">
        <x:v>-5</x:v>
      </x:c>
      <x:c r="K118" s="12" t="n">
        <x:v>-10</x:v>
      </x:c>
      <x:c r="L118" s="12" t="n">
        <x:v>0</x:v>
      </x:c>
      <x:c r="M118" s="12" t="n">
        <x:v>10</x:v>
      </x:c>
      <x:c r="N118" s="12" t="n">
        <x:v>-5</x:v>
      </x:c>
      <x:c r="O118" s="12" t="n">
        <x:v>-5</x:v>
      </x:c>
      <x:c r="P118" s="12" t="n">
        <x:v>-10</x:v>
      </x:c>
      <x:c r="Q118" s="12" t="n">
        <x:v>-10</x:v>
      </x:c>
      <x:c r="R118" s="12" t="n">
        <x:v>-10</x:v>
      </x:c>
      <x:c r="S118" s="12" t="n">
        <x:v>5</x:v>
      </x:c>
      <x:c r="T118" s="12" t="str">
        <x:v>なし（既存個体差の拡張のみ）</x:v>
      </x:c>
      <x:c r="U118" s="12" t="str">
        <x:v>Wikiのロール・長所短所と既存プロファイルの方向性を保ちながら、同アーキタイプ内の差を拡張。</x:v>
      </x:c>
      <x:c r="V118" s="12" t="str">
        <x:v>https://wikiwiki.jp/poke-unite/%E3%82%AD%E3%83%A5%E3%83%AF%E3%83%AF%E3%83%BC</x:v>
      </x:c>
      <x:c r="W118" s="12" t="str">
        <x:v>https://wikiwiki.jp/poke-unite/%E4%B8%80%E8%A6%A7</x:v>
      </x:c>
      <x:c r="X118" s="12" t="str">
        <x:v>https://uniteapi.dev/jp/meta</x:v>
      </x:c>
    </x:row>
    <x:row r="119">
      <x:c r="A119" s="12" t="str">
        <x:v>コダック-1</x:v>
      </x:c>
      <x:c r="B119" s="12" t="str">
        <x:v>コダック</x:v>
      </x:c>
      <x:c r="C119" s="12" t="str">
        <x:v>共通</x:v>
      </x:c>
      <x:c r="D119" s="12" t="str">
        <x:v>Catcher</x:v>
      </x:c>
      <x:c r="E119" s="12" t="n">
        <x:v>-5</x:v>
      </x:c>
      <x:c r="F119" s="12" t="n">
        <x:v>-10</x:v>
      </x:c>
      <x:c r="G119" s="12" t="n">
        <x:v>10</x:v>
      </x:c>
      <x:c r="H119" s="12" t="n">
        <x:v>5</x:v>
      </x:c>
      <x:c r="I119" s="12" t="n">
        <x:v>0</x:v>
      </x:c>
      <x:c r="J119" s="12" t="n">
        <x:v>0</x:v>
      </x:c>
      <x:c r="K119" s="12" t="n">
        <x:v>0</x:v>
      </x:c>
      <x:c r="L119" s="12" t="n">
        <x:v>5</x:v>
      </x:c>
      <x:c r="M119" s="12" t="n">
        <x:v>5</x:v>
      </x:c>
      <x:c r="N119" s="12" t="n">
        <x:v>0</x:v>
      </x:c>
      <x:c r="O119" s="12" t="n">
        <x:v>-10</x:v>
      </x:c>
      <x:c r="P119" s="12" t="n">
        <x:v>-5</x:v>
      </x:c>
      <x:c r="Q119" s="12" t="n">
        <x:v>0</x:v>
      </x:c>
      <x:c r="R119" s="12" t="n">
        <x:v>-5</x:v>
      </x:c>
      <x:c r="S119" s="12" t="n">
        <x:v>-5</x:v>
      </x:c>
      <x:c r="T119" s="12" t="str">
        <x:v>なし（既存個体差の拡張のみ）</x:v>
      </x:c>
      <x:c r="U119" s="12" t="str">
        <x:v>Wikiのロール・長所短所と既存プロファイルの方向性を保ちながら、同アーキタイプ内の差を拡張。</x:v>
      </x:c>
      <x:c r="V119" s="12" t="str">
        <x:v>https://wikiwiki.jp/poke-unite/%E3%82%B3%E3%83%80%E3%83%83%E3%82%AF</x:v>
      </x:c>
      <x:c r="W119" s="12" t="str">
        <x:v>https://wikiwiki.jp/poke-unite/%E4%B8%80%E8%A6%A7</x:v>
      </x:c>
      <x:c r="X119" s="12" t="str">
        <x:v>https://uniteapi.dev/jp/meta</x:v>
      </x:c>
    </x:row>
    <x:row r="120">
      <x:c r="A120" s="12" t="str">
        <x:v>ハピナス-1</x:v>
      </x:c>
      <x:c r="B120" s="12" t="str">
        <x:v>ハピナス</x:v>
      </x:c>
      <x:c r="C120" s="12" t="str">
        <x:v>共通</x:v>
      </x:c>
      <x:c r="D120" s="12" t="str">
        <x:v>Enchanter</x:v>
      </x:c>
      <x:c r="E120" s="12" t="n">
        <x:v>5</x:v>
      </x:c>
      <x:c r="F120" s="12" t="n">
        <x:v>-5</x:v>
      </x:c>
      <x:c r="G120" s="12" t="n">
        <x:v>5</x:v>
      </x:c>
      <x:c r="H120" s="12" t="n">
        <x:v>-5</x:v>
      </x:c>
      <x:c r="I120" s="12" t="n">
        <x:v>0</x:v>
      </x:c>
      <x:c r="J120" s="12" t="n">
        <x:v>0</x:v>
      </x:c>
      <x:c r="K120" s="12" t="n">
        <x:v>0</x:v>
      </x:c>
      <x:c r="L120" s="12" t="n">
        <x:v>0</x:v>
      </x:c>
      <x:c r="M120" s="12" t="n">
        <x:v>5</x:v>
      </x:c>
      <x:c r="N120" s="12" t="n">
        <x:v>0</x:v>
      </x:c>
      <x:c r="O120" s="12" t="n">
        <x:v>0</x:v>
      </x:c>
      <x:c r="P120" s="12" t="n">
        <x:v>0</x:v>
      </x:c>
      <x:c r="Q120" s="12" t="n">
        <x:v>10</x:v>
      </x:c>
      <x:c r="R120" s="12" t="n">
        <x:v>5</x:v>
      </x:c>
      <x:c r="S120" s="12" t="n">
        <x:v>5</x:v>
      </x:c>
      <x:c r="T120" s="12" t="str">
        <x:v>なし（既存個体差の拡張のみ）</x:v>
      </x:c>
      <x:c r="U120" s="12" t="str">
        <x:v>Wikiのロール・長所短所と既存プロファイルの方向性を保ちながら、同アーキタイプ内の差を拡張。</x:v>
      </x:c>
      <x:c r="V120" s="12" t="str">
        <x:v>https://wikiwiki.jp/poke-unite/%E3%83%8F%E3%83%94%E3%83%8A%E3%82%B9</x:v>
      </x:c>
      <x:c r="W120" s="12" t="str">
        <x:v>https://wikiwiki.jp/poke-unite/%E4%B8%80%E8%A6%A7</x:v>
      </x:c>
      <x:c r="X120" s="12" t="str">
        <x:v>https://uniteapi.dev/jp/meta</x:v>
      </x:c>
    </x:row>
    <x:row r="121">
      <x:c r="A121" s="12" t="str">
        <x:v>バリヤード-1</x:v>
      </x:c>
      <x:c r="B121" s="12" t="str">
        <x:v>バリヤード</x:v>
      </x:c>
      <x:c r="C121" s="12" t="str">
        <x:v>バリアー</x:v>
      </x:c>
      <x:c r="D121" s="12" t="str">
        <x:v>Catcher</x:v>
      </x:c>
      <x:c r="E121" s="12" t="n">
        <x:v>5</x:v>
      </x:c>
      <x:c r="F121" s="12" t="n">
        <x:v>10</x:v>
      </x:c>
      <x:c r="G121" s="12" t="n">
        <x:v>0</x:v>
      </x:c>
      <x:c r="H121" s="12" t="n">
        <x:v>5</x:v>
      </x:c>
      <x:c r="I121" s="12" t="n">
        <x:v>-10</x:v>
      </x:c>
      <x:c r="J121" s="12" t="n">
        <x:v>0</x:v>
      </x:c>
      <x:c r="K121" s="12" t="n">
        <x:v>0</x:v>
      </x:c>
      <x:c r="L121" s="12" t="n">
        <x:v>0</x:v>
      </x:c>
      <x:c r="M121" s="12" t="n">
        <x:v>5</x:v>
      </x:c>
      <x:c r="N121" s="12" t="n">
        <x:v>0</x:v>
      </x:c>
      <x:c r="O121" s="12" t="n">
        <x:v>0</x:v>
      </x:c>
      <x:c r="P121" s="12" t="n">
        <x:v>-5</x:v>
      </x:c>
      <x:c r="Q121" s="12" t="n">
        <x:v>0</x:v>
      </x:c>
      <x:c r="R121" s="12" t="n">
        <x:v>0</x:v>
      </x:c>
      <x:c r="S121" s="12" t="n">
        <x:v>-5</x:v>
      </x:c>
      <x:c r="T121" s="12" t="str">
        <x:v>なし（既存個体差の拡張のみ）</x:v>
      </x:c>
      <x:c r="U121" s="12" t="str">
        <x:v>Wikiのロール・長所短所と既存プロファイルの方向性を保ちながら、同アーキタイプ内の差を拡張。</x:v>
      </x:c>
      <x:c r="V121" s="12" t="str">
        <x:v>https://wikiwiki.jp/poke-unite/%E3%83%90%E3%83%AA%E3%83%A4%E3%83%BC%E3%83%89</x:v>
      </x:c>
      <x:c r="W121" s="12" t="str">
        <x:v>https://wikiwiki.jp/poke-unite/%E4%B8%80%E8%A6%A7</x:v>
      </x:c>
      <x:c r="X121" s="12" t="str">
        <x:v>https://uniteapi.dev/jp/meta</x:v>
      </x:c>
    </x:row>
    <x:row r="122">
      <x:c r="A122" s="12" t="str">
        <x:v>バリヤード-2</x:v>
      </x:c>
      <x:c r="B122" s="12" t="str">
        <x:v>バリヤード</x:v>
      </x:c>
      <x:c r="C122" s="12" t="str">
        <x:v>パワースワップ</x:v>
      </x:c>
      <x:c r="D122" s="12" t="str">
        <x:v>Enchanter</x:v>
      </x:c>
      <x:c r="E122" s="12" t="n">
        <x:v>5</x:v>
      </x:c>
      <x:c r="F122" s="12" t="n">
        <x:v>5</x:v>
      </x:c>
      <x:c r="G122" s="12" t="n">
        <x:v>-10</x:v>
      </x:c>
      <x:c r="H122" s="12" t="n">
        <x:v>0</x:v>
      </x:c>
      <x:c r="I122" s="12" t="n">
        <x:v>0</x:v>
      </x:c>
      <x:c r="J122" s="12" t="n">
        <x:v>5</x:v>
      </x:c>
      <x:c r="K122" s="12" t="n">
        <x:v>15</x:v>
      </x:c>
      <x:c r="L122" s="12" t="n">
        <x:v>0</x:v>
      </x:c>
      <x:c r="M122" s="12" t="n">
        <x:v>-5</x:v>
      </x:c>
      <x:c r="N122" s="12" t="n">
        <x:v>5</x:v>
      </x:c>
      <x:c r="O122" s="12" t="n">
        <x:v>10</x:v>
      </x:c>
      <x:c r="P122" s="12" t="n">
        <x:v>10</x:v>
      </x:c>
      <x:c r="Q122" s="12" t="n">
        <x:v>5</x:v>
      </x:c>
      <x:c r="R122" s="12" t="n">
        <x:v>15</x:v>
      </x:c>
      <x:c r="S122" s="12" t="n">
        <x:v>-10</x:v>
      </x:c>
      <x:c r="T122" s="12" t="str">
        <x:v>Control+15 / Execution+10 / Support+5 / Mobility-10</x:v>
      </x:c>
      <x:c r="U122" s="12" t="str">
        <x:v>妨害能力が非常に高く直接支援も可能。Control/Executionを強調。</x:v>
      </x:c>
      <x:c r="V122" s="12" t="str">
        <x:v>https://wikiwiki.jp/poke-unite/%E3%83%90%E3%83%AA%E3%83%A4%E3%83%BC%E3%83%89</x:v>
      </x:c>
      <x:c r="W122" s="12" t="str">
        <x:v>https://wikiwiki.jp/poke-unite/%E4%B8%80%E8%A6%A7</x:v>
      </x:c>
      <x:c r="X122" s="12" t="str">
        <x:v>https://uniteapi.dev/jp/meta</x:v>
      </x:c>
    </x:row>
    <x:row r="123">
      <x:c r="A123" s="12" t="str">
        <x:v>ピクシー-1</x:v>
      </x:c>
      <x:c r="B123" s="12" t="str">
        <x:v>ピクシー</x:v>
      </x:c>
      <x:c r="C123" s="12" t="str">
        <x:v>共通</x:v>
      </x:c>
      <x:c r="D123" s="12" t="str">
        <x:v>Enchanter</x:v>
      </x:c>
      <x:c r="E123" s="12" t="n">
        <x:v>0</x:v>
      </x:c>
      <x:c r="F123" s="12" t="n">
        <x:v>-5</x:v>
      </x:c>
      <x:c r="G123" s="12" t="n">
        <x:v>5</x:v>
      </x:c>
      <x:c r="H123" s="12" t="n">
        <x:v>-5</x:v>
      </x:c>
      <x:c r="I123" s="12" t="n">
        <x:v>0</x:v>
      </x:c>
      <x:c r="J123" s="12" t="n">
        <x:v>0</x:v>
      </x:c>
      <x:c r="K123" s="12" t="n">
        <x:v>5</x:v>
      </x:c>
      <x:c r="L123" s="12" t="n">
        <x:v>0</x:v>
      </x:c>
      <x:c r="M123" s="12" t="n">
        <x:v>-10</x:v>
      </x:c>
      <x:c r="N123" s="12" t="n">
        <x:v>-15</x:v>
      </x:c>
      <x:c r="O123" s="12" t="n">
        <x:v>-5</x:v>
      </x:c>
      <x:c r="P123" s="12" t="n">
        <x:v>-5</x:v>
      </x:c>
      <x:c r="Q123" s="12" t="n">
        <x:v>0</x:v>
      </x:c>
      <x:c r="R123" s="12" t="n">
        <x:v>0</x:v>
      </x:c>
      <x:c r="S123" s="12" t="n">
        <x:v>5</x:v>
      </x:c>
      <x:c r="T123" s="12" t="str">
        <x:v>Support+10 / Peel+10 / Control+5 / SelfSufficiency-15 / Mobility-5</x:v>
      </x:c>
      <x:c r="U123" s="12" t="str">
        <x:v>集団回復とユニークな妨害。低自己完結・高支援/保護。</x:v>
      </x:c>
      <x:c r="V123" s="12" t="str">
        <x:v>https://wikiwiki.jp/poke-unite/%E3%83%94%E3%82%AF%E3%82%B7%E3%83%BC</x:v>
      </x:c>
      <x:c r="W123" s="12" t="str">
        <x:v>https://wikiwiki.jp/poke-unite/%E4%B8%80%E8%A6%A7</x:v>
      </x:c>
      <x:c r="X123" s="12" t="str">
        <x:v>https://uniteapi.dev/jp/meta</x:v>
      </x:c>
    </x:row>
    <x:row r="124">
      <x:c r="A124" s="12" t="str">
        <x:v>フーパ-1</x:v>
      </x:c>
      <x:c r="B124" s="12" t="str">
        <x:v>フーパ</x:v>
      </x:c>
      <x:c r="C124" s="12" t="str">
        <x:v>いじげんホール</x:v>
      </x:c>
      <x:c r="D124" s="12" t="str">
        <x:v>Specialist</x:v>
      </x:c>
      <x:c r="E124" s="12" t="n">
        <x:v>-10</x:v>
      </x:c>
      <x:c r="F124" s="12" t="n">
        <x:v>-10</x:v>
      </x:c>
      <x:c r="G124" s="12" t="n">
        <x:v>10</x:v>
      </x:c>
      <x:c r="H124" s="12" t="n">
        <x:v>0</x:v>
      </x:c>
      <x:c r="I124" s="12" t="n">
        <x:v>-10</x:v>
      </x:c>
      <x:c r="J124" s="12" t="n">
        <x:v>0</x:v>
      </x:c>
      <x:c r="K124" s="12" t="n">
        <x:v>-10</x:v>
      </x:c>
      <x:c r="L124" s="12" t="n">
        <x:v>0</x:v>
      </x:c>
      <x:c r="M124" s="12" t="n">
        <x:v>0</x:v>
      </x:c>
      <x:c r="N124" s="12" t="n">
        <x:v>-10</x:v>
      </x:c>
      <x:c r="O124" s="12" t="n">
        <x:v>-10</x:v>
      </x:c>
      <x:c r="P124" s="12" t="n">
        <x:v>-10</x:v>
      </x:c>
      <x:c r="Q124" s="12" t="n">
        <x:v>10</x:v>
      </x:c>
      <x:c r="R124" s="12" t="n">
        <x:v>-10</x:v>
      </x:c>
      <x:c r="S124" s="12" t="n">
        <x:v>0</x:v>
      </x:c>
      <x:c r="T124" s="12" t="str">
        <x:v>なし（既存個体差の拡張のみ）</x:v>
      </x:c>
      <x:c r="U124" s="12" t="str">
        <x:v>Wikiのロール・長所短所と既存プロファイルの方向性を保ちながら、同アーキタイプ内の差を拡張。</x:v>
      </x:c>
      <x:c r="V124" s="12" t="str">
        <x:v>https://wikiwiki.jp/poke-unite/%E3%83%95%E3%83%BC%E3%83%91</x:v>
      </x:c>
      <x:c r="W124" s="12" t="str">
        <x:v>https://wikiwiki.jp/poke-unite/%E4%B8%80%E8%A6%A7</x:v>
      </x:c>
      <x:c r="X124" s="12" t="str">
        <x:v>https://uniteapi.dev/jp/meta</x:v>
      </x:c>
    </x:row>
    <x:row r="125">
      <x:c r="A125" s="12" t="str">
        <x:v>フーパ-2</x:v>
      </x:c>
      <x:c r="B125" s="12" t="str">
        <x:v>フーパ</x:v>
      </x:c>
      <x:c r="C125" s="12" t="str">
        <x:v>トリック</x:v>
      </x:c>
      <x:c r="D125" s="12" t="str">
        <x:v>Enchanter</x:v>
      </x:c>
      <x:c r="E125" s="12" t="n">
        <x:v>5</x:v>
      </x:c>
      <x:c r="F125" s="12" t="n">
        <x:v>10</x:v>
      </x:c>
      <x:c r="G125" s="12" t="n">
        <x:v>-5</x:v>
      </x:c>
      <x:c r="H125" s="12" t="n">
        <x:v>-5</x:v>
      </x:c>
      <x:c r="I125" s="12" t="n">
        <x:v>10</x:v>
      </x:c>
      <x:c r="J125" s="12" t="n">
        <x:v>-5</x:v>
      </x:c>
      <x:c r="K125" s="12" t="n">
        <x:v>0</x:v>
      </x:c>
      <x:c r="L125" s="12" t="n">
        <x:v>0</x:v>
      </x:c>
      <x:c r="M125" s="12" t="n">
        <x:v>10</x:v>
      </x:c>
      <x:c r="N125" s="12" t="n">
        <x:v>5</x:v>
      </x:c>
      <x:c r="O125" s="12" t="n">
        <x:v>0</x:v>
      </x:c>
      <x:c r="P125" s="12" t="n">
        <x:v>0</x:v>
      </x:c>
      <x:c r="Q125" s="12" t="n">
        <x:v>10</x:v>
      </x:c>
      <x:c r="R125" s="12" t="n">
        <x:v>5</x:v>
      </x:c>
      <x:c r="S125" s="12" t="n">
        <x:v>0</x:v>
      </x:c>
      <x:c r="T125" s="12" t="str">
        <x:v>なし（既存個体差の拡張のみ）</x:v>
      </x:c>
      <x:c r="U125" s="12" t="str">
        <x:v>Wikiのロール・長所短所と既存プロファイルの方向性を保ちながら、同アーキタイプ内の差を拡張。</x:v>
      </x:c>
      <x:c r="V125" s="12" t="str">
        <x:v>https://wikiwiki.jp/poke-unite/%E3%83%95%E3%83%BC%E3%83%91</x:v>
      </x:c>
      <x:c r="W125" s="12" t="str">
        <x:v>https://wikiwiki.jp/poke-unite/%E4%B8%80%E8%A6%A7</x:v>
      </x:c>
      <x:c r="X125" s="12" t="str">
        <x:v>https://uniteapi.dev/jp/meta</x:v>
      </x:c>
    </x:row>
    <x:row r="126">
      <x:c r="A126" s="12" t="str">
        <x:v>プクリン-1</x:v>
      </x:c>
      <x:c r="B126" s="12" t="str">
        <x:v>プクリン</x:v>
      </x:c>
      <x:c r="C126" s="12" t="str">
        <x:v>共通</x:v>
      </x:c>
      <x:c r="D126" s="12" t="str">
        <x:v>Warden</x:v>
      </x:c>
      <x:c r="E126" s="12" t="n">
        <x:v>-5</x:v>
      </x:c>
      <x:c r="F126" s="12" t="n">
        <x:v>-10</x:v>
      </x:c>
      <x:c r="G126" s="12" t="n">
        <x:v>0</x:v>
      </x:c>
      <x:c r="H126" s="12" t="n">
        <x:v>0</x:v>
      </x:c>
      <x:c r="I126" s="12" t="n">
        <x:v>0</x:v>
      </x:c>
      <x:c r="J126" s="12" t="n">
        <x:v>5</x:v>
      </x:c>
      <x:c r="K126" s="12" t="n">
        <x:v>0</x:v>
      </x:c>
      <x:c r="L126" s="12" t="n">
        <x:v>5</x:v>
      </x:c>
      <x:c r="M126" s="12" t="n">
        <x:v>-5</x:v>
      </x:c>
      <x:c r="N126" s="12" t="n">
        <x:v>-5</x:v>
      </x:c>
      <x:c r="O126" s="12" t="n">
        <x:v>-5</x:v>
      </x:c>
      <x:c r="P126" s="12" t="n">
        <x:v>-5</x:v>
      </x:c>
      <x:c r="Q126" s="12" t="n">
        <x:v>0</x:v>
      </x:c>
      <x:c r="R126" s="12" t="n">
        <x:v>0</x:v>
      </x:c>
      <x:c r="S126" s="12" t="n">
        <x:v>0</x:v>
      </x:c>
      <x:c r="T126" s="12" t="str">
        <x:v>なし（既存個体差の拡張のみ）</x:v>
      </x:c>
      <x:c r="U126" s="12" t="str">
        <x:v>Wikiのロール・長所短所と既存プロファイルの方向性を保ちながら、同アーキタイプ内の差を拡張。</x:v>
      </x:c>
      <x:c r="V126" s="12" t="str">
        <x:v>https://wikiwiki.jp/poke-unite/%E3%83%97%E3%82%AF%E3%83%AA%E3%83%B3</x:v>
      </x:c>
      <x:c r="W126" s="12" t="str">
        <x:v>https://wikiwiki.jp/poke-unite/%E4%B8%80%E8%A6%A7</x:v>
      </x:c>
      <x:c r="X126" s="12" t="str">
        <x:v>https://uniteapi.dev/jp/meta</x:v>
      </x:c>
    </x:row>
    <x:row r="127">
      <x:c r="A127" s="12" t="str">
        <x:v>マホイップ-1</x:v>
      </x:c>
      <x:c r="B127" s="12" t="str">
        <x:v>マホイップ</x:v>
      </x:c>
      <x:c r="C127" s="12" t="str">
        <x:v>共通</x:v>
      </x:c>
      <x:c r="D127" s="12" t="str">
        <x:v>Enchanter</x:v>
      </x:c>
      <x:c r="E127" s="12" t="n">
        <x:v>-10</x:v>
      </x:c>
      <x:c r="F127" s="12" t="n">
        <x:v>-5</x:v>
      </x:c>
      <x:c r="G127" s="12" t="n">
        <x:v>5</x:v>
      </x:c>
      <x:c r="H127" s="12" t="n">
        <x:v>-10</x:v>
      </x:c>
      <x:c r="I127" s="12" t="n">
        <x:v>-5</x:v>
      </x:c>
      <x:c r="J127" s="12" t="n">
        <x:v>0</x:v>
      </x:c>
      <x:c r="K127" s="12" t="n">
        <x:v>-10</x:v>
      </x:c>
      <x:c r="L127" s="12" t="n">
        <x:v>0</x:v>
      </x:c>
      <x:c r="M127" s="12" t="n">
        <x:v>-10</x:v>
      </x:c>
      <x:c r="N127" s="12" t="n">
        <x:v>-10</x:v>
      </x:c>
      <x:c r="O127" s="12" t="n">
        <x:v>0</x:v>
      </x:c>
      <x:c r="P127" s="12" t="n">
        <x:v>-10</x:v>
      </x:c>
      <x:c r="Q127" s="12" t="n">
        <x:v>-10</x:v>
      </x:c>
      <x:c r="R127" s="12" t="n">
        <x:v>-5</x:v>
      </x:c>
      <x:c r="S127" s="12" t="n">
        <x:v>0</x:v>
      </x:c>
      <x:c r="T127" s="12" t="str">
        <x:v>なし（既存個体差の拡張のみ）</x:v>
      </x:c>
      <x:c r="U127" s="12" t="str">
        <x:v>Wikiのロール・長所短所と既存プロファイルの方向性を保ちながら、同アーキタイプ内の差を拡張。</x:v>
      </x:c>
      <x:c r="V127" s="12" t="str">
        <x:v>https://wikiwiki.jp/poke-unite/%E3%83%9E%E3%83%9B%E3%82%A4%E3%83%83%E3%83%97</x:v>
      </x:c>
      <x:c r="W127" s="12" t="str">
        <x:v>https://wikiwiki.jp/poke-unite/%E4%B8%80%E8%A6%A7</x:v>
      </x:c>
      <x:c r="X127" s="12" t="str">
        <x:v>https://uniteapi.dev/jp/meta</x:v>
      </x:c>
    </x:row>
    <x:row r="128">
      <x:c r="A128" s="12" t="str">
        <x:v>メガニウム-1</x:v>
      </x:c>
      <x:c r="B128" s="12" t="str">
        <x:v>メガニウム</x:v>
      </x:c>
      <x:c r="C128" s="12" t="str">
        <x:v>共通</x:v>
      </x:c>
      <x:c r="D128" s="12" t="str">
        <x:v>Enchanter</x:v>
      </x:c>
      <x:c r="E128" s="12" t="n">
        <x:v>0</x:v>
      </x:c>
      <x:c r="F128" s="12" t="n">
        <x:v>-5</x:v>
      </x:c>
      <x:c r="G128" s="12" t="n">
        <x:v>5</x:v>
      </x:c>
      <x:c r="H128" s="12" t="n">
        <x:v>-5</x:v>
      </x:c>
      <x:c r="I128" s="12" t="n">
        <x:v>0</x:v>
      </x:c>
      <x:c r="J128" s="12" t="n">
        <x:v>15</x:v>
      </x:c>
      <x:c r="K128" s="12" t="n">
        <x:v>10</x:v>
      </x:c>
      <x:c r="L128" s="12" t="n">
        <x:v>0</x:v>
      </x:c>
      <x:c r="M128" s="12" t="n">
        <x:v>-5</x:v>
      </x:c>
      <x:c r="N128" s="12" t="n">
        <x:v>-5</x:v>
      </x:c>
      <x:c r="O128" s="12" t="n">
        <x:v>5</x:v>
      </x:c>
      <x:c r="P128" s="12" t="n">
        <x:v>-5</x:v>
      </x:c>
      <x:c r="Q128" s="12" t="n">
        <x:v>0</x:v>
      </x:c>
      <x:c r="R128" s="12" t="n">
        <x:v>-5</x:v>
      </x:c>
      <x:c r="S128" s="12" t="n">
        <x:v>0</x:v>
      </x:c>
      <x:c r="T128" s="12" t="str">
        <x:v>Support+10 / FightTempo+15 / Control+10 / FarmScaling+10 / Execution-5</x:v>
      </x:c>
      <x:c r="U128" s="12" t="str">
        <x:v>高回転ユナイト、回復/妨害、持久戦。ピクシーより継続戦/成長寄り。</x:v>
      </x:c>
      <x:c r="V128" s="12" t="str">
        <x:v>https://wikiwiki.jp/poke-unite/%E3%83%A1%E3%82%AC%E3%83%8B%E3%82%A6%E3%83%A0</x:v>
      </x:c>
      <x:c r="W128" s="12" t="str">
        <x:v>https://wikiwiki.jp/poke-unite/%E4%B8%80%E8%A6%A7</x:v>
      </x:c>
      <x:c r="X128" s="12" t="str">
        <x:v>https://uniteapi.dev/jp/meta</x:v>
      </x:c>
    </x:row>
    <x:row r="129">
      <x:c r="A129" s="12" t="str">
        <x:v>ヤミラミ-1</x:v>
      </x:c>
      <x:c r="B129" s="12" t="str">
        <x:v>ヤミラミ</x:v>
      </x:c>
      <x:c r="C129" s="12" t="str">
        <x:v>共通</x:v>
      </x:c>
      <x:c r="D129" s="12" t="str">
        <x:v>Specialist</x:v>
      </x:c>
      <x:c r="E129" s="12" t="n">
        <x:v>10</x:v>
      </x:c>
      <x:c r="F129" s="12" t="n">
        <x:v>10</x:v>
      </x:c>
      <x:c r="G129" s="12" t="n">
        <x:v>-10</x:v>
      </x:c>
      <x:c r="H129" s="12" t="n">
        <x:v>10</x:v>
      </x:c>
      <x:c r="I129" s="12" t="n">
        <x:v>-10</x:v>
      </x:c>
      <x:c r="J129" s="12" t="n">
        <x:v>0</x:v>
      </x:c>
      <x:c r="K129" s="12" t="n">
        <x:v>10</x:v>
      </x:c>
      <x:c r="L129" s="12" t="n">
        <x:v>-10</x:v>
      </x:c>
      <x:c r="M129" s="12" t="n">
        <x:v>5</x:v>
      </x:c>
      <x:c r="N129" s="12" t="n">
        <x:v>0</x:v>
      </x:c>
      <x:c r="O129" s="12" t="n">
        <x:v>-10</x:v>
      </x:c>
      <x:c r="P129" s="12" t="n">
        <x:v>-5</x:v>
      </x:c>
      <x:c r="Q129" s="12" t="n">
        <x:v>0</x:v>
      </x:c>
      <x:c r="R129" s="12" t="n">
        <x:v>-10</x:v>
      </x:c>
      <x:c r="S129" s="12" t="n">
        <x:v>-5</x:v>
      </x:c>
      <x:c r="T129" s="12" t="str">
        <x:v>なし（既存個体差の拡張のみ）</x:v>
      </x:c>
      <x:c r="U129" s="12" t="str">
        <x:v>Wikiのロール・長所短所と既存プロファイルの方向性を保ちながら、同アーキタイプ内の差を拡張。</x:v>
      </x:c>
      <x:c r="V129" s="12" t="str">
        <x:v>https://wikiwiki.jp/poke-unite/%E3%83%A4%E3%83%9F%E3%83%A9%E3%83%9F</x:v>
      </x:c>
      <x:c r="W129" s="12" t="str">
        <x:v>https://wikiwiki.jp/poke-unite/%E4%B8%80%E8%A6%A7</x:v>
      </x:c>
      <x:c r="X129" s="12" t="str">
        <x:v>https://uniteapi.dev/jp/meta</x:v>
      </x:c>
    </x:row>
    <x:row r="130">
      <x:c r="A130" s="12" t="str">
        <x:v>ラティアス-1</x:v>
      </x:c>
      <x:c r="B130" s="12" t="str">
        <x:v>ラティアス</x:v>
      </x:c>
      <x:c r="C130" s="12" t="str">
        <x:v>共通</x:v>
      </x:c>
      <x:c r="D130" s="12" t="str">
        <x:v>Enchanter</x:v>
      </x:c>
      <x:c r="E130" s="12" t="n">
        <x:v>5</x:v>
      </x:c>
      <x:c r="F130" s="12" t="n">
        <x:v>5</x:v>
      </x:c>
      <x:c r="G130" s="12" t="n">
        <x:v>-10</x:v>
      </x:c>
      <x:c r="H130" s="12" t="n">
        <x:v>0</x:v>
      </x:c>
      <x:c r="I130" s="12" t="n">
        <x:v>10</x:v>
      </x:c>
      <x:c r="J130" s="12" t="n">
        <x:v>5</x:v>
      </x:c>
      <x:c r="K130" s="12" t="n">
        <x:v>-10</x:v>
      </x:c>
      <x:c r="L130" s="12" t="n">
        <x:v>0</x:v>
      </x:c>
      <x:c r="M130" s="12" t="n">
        <x:v>15</x:v>
      </x:c>
      <x:c r="N130" s="12" t="n">
        <x:v>15</x:v>
      </x:c>
      <x:c r="O130" s="12" t="n">
        <x:v>10</x:v>
      </x:c>
      <x:c r="P130" s="12" t="n">
        <x:v>10</x:v>
      </x:c>
      <x:c r="Q130" s="12" t="n">
        <x:v>5</x:v>
      </x:c>
      <x:c r="R130" s="12" t="n">
        <x:v>5</x:v>
      </x:c>
      <x:c r="S130" s="12" t="n">
        <x:v>-10</x:v>
      </x:c>
      <x:c r="T130" s="12" t="str">
        <x:v>Mobility+15 / Support+5 / SelfSufficiency+5 / Control-5</x:v>
      </x:c>
      <x:c r="U130" s="12" t="str">
        <x:v>火力と支援を両立し移動速度に優れる。純ヒーラーよりMobility/SelfSufficiencyを上げる。</x:v>
      </x:c>
      <x:c r="V130" s="12" t="str">
        <x:v>https://wikiwiki.jp/poke-unite/%E3%83%A9%E3%83%86%E3%82%A3%E3%82%A2%E3%82%B9</x:v>
      </x:c>
      <x:c r="W130" s="12" t="str">
        <x:v>https://wikiwiki.jp/poke-unite/%E4%B8%80%E8%A6%A7</x:v>
      </x:c>
      <x:c r="X130" s="12" t="str">
        <x:v>https://uniteapi.dev/jp/meta</x:v>
      </x:c>
    </x:row>
    <x:row r="131">
      <x:c r="A131" s="12" t="str">
        <x:v>ワタシラガ-1</x:v>
      </x:c>
      <x:c r="B131" s="12" t="str">
        <x:v>ワタシラガ</x:v>
      </x:c>
      <x:c r="C131" s="12" t="str">
        <x:v>共通</x:v>
      </x:c>
      <x:c r="D131" s="12" t="str">
        <x:v>Enchanter</x:v>
      </x:c>
      <x:c r="E131" s="12" t="n">
        <x:v>5</x:v>
      </x:c>
      <x:c r="F131" s="12" t="n">
        <x:v>5</x:v>
      </x:c>
      <x:c r="G131" s="12" t="n">
        <x:v>-10</x:v>
      </x:c>
      <x:c r="H131" s="12" t="n">
        <x:v>-5</x:v>
      </x:c>
      <x:c r="I131" s="12" t="n">
        <x:v>10</x:v>
      </x:c>
      <x:c r="J131" s="12" t="n">
        <x:v>5</x:v>
      </x:c>
      <x:c r="K131" s="12" t="n">
        <x:v>0</x:v>
      </x:c>
      <x:c r="L131" s="12" t="n">
        <x:v>-10</x:v>
      </x:c>
      <x:c r="M131" s="12" t="n">
        <x:v>5</x:v>
      </x:c>
      <x:c r="N131" s="12" t="n">
        <x:v>5</x:v>
      </x:c>
      <x:c r="O131" s="12" t="n">
        <x:v>5</x:v>
      </x:c>
      <x:c r="P131" s="12" t="n">
        <x:v>10</x:v>
      </x:c>
      <x:c r="Q131" s="12" t="n">
        <x:v>5</x:v>
      </x:c>
      <x:c r="R131" s="12" t="n">
        <x:v>5</x:v>
      </x:c>
      <x:c r="S131" s="12" t="n">
        <x:v>0</x:v>
      </x:c>
      <x:c r="T131" s="12" t="str">
        <x:v>なし（既存個体差の拡張のみ）</x:v>
      </x:c>
      <x:c r="U131" s="12" t="str">
        <x:v>Wikiのロール・長所短所と既存プロファイルの方向性を保ちながら、同アーキタイプ内の差を拡張。</x:v>
      </x:c>
      <x:c r="V131" s="12" t="str">
        <x:v>https://wikiwiki.jp/poke-unite/%E3%83%AF%E3%82%BF%E3%82%B7%E3%83%A9%E3%82%AC</x:v>
      </x:c>
      <x:c r="W131" s="12" t="str">
        <x:v>https://wikiwiki.jp/poke-unite/%E4%B8%80%E8%A6%A7</x:v>
      </x:c>
      <x:c r="X131" s="12" t="str">
        <x:v>https://uniteapi.dev/jp/meta</x:v>
      </x:c>
    </x:row>
  </x:sheetData>
  <x:conditionalFormatting sqref="E2:E131">
    <x:cfRule type="colorScale" priority="1">
      <x:colorScale>
        <x:cfvo type="min"/>
        <x:cfvo type="percentile" val="50"/>
        <x:cfvo type="max"/>
        <x:color rgb="FFFECACA"/>
        <x:color rgb="FFFFFFFF"/>
        <x:color rgb="FFBFDBFE"/>
      </x:colorScale>
    </x:cfRule>
  </x:conditionalFormatting>
  <x:conditionalFormatting sqref="F2:F131">
    <x:cfRule type="colorScale" priority="2">
      <x:colorScale>
        <x:cfvo type="min"/>
        <x:cfvo type="percentile" val="50"/>
        <x:cfvo type="max"/>
        <x:color rgb="FFFECACA"/>
        <x:color rgb="FFFFFFFF"/>
        <x:color rgb="FFBFDBFE"/>
      </x:colorScale>
    </x:cfRule>
  </x:conditionalFormatting>
  <x:conditionalFormatting sqref="G2:G131">
    <x:cfRule type="colorScale" priority="3">
      <x:colorScale>
        <x:cfvo type="min"/>
        <x:cfvo type="percentile" val="50"/>
        <x:cfvo type="max"/>
        <x:color rgb="FFFECACA"/>
        <x:color rgb="FFFFFFFF"/>
        <x:color rgb="FFBFDBFE"/>
      </x:colorScale>
    </x:cfRule>
  </x:conditionalFormatting>
  <x:conditionalFormatting sqref="H2:H131">
    <x:cfRule type="colorScale" priority="4">
      <x:colorScale>
        <x:cfvo type="min"/>
        <x:cfvo type="percentile" val="50"/>
        <x:cfvo type="max"/>
        <x:color rgb="FFFECACA"/>
        <x:color rgb="FFFFFFFF"/>
        <x:color rgb="FFBFDBFE"/>
      </x:colorScale>
    </x:cfRule>
  </x:conditionalFormatting>
  <x:conditionalFormatting sqref="I2:I131">
    <x:cfRule type="colorScale" priority="5">
      <x:colorScale>
        <x:cfvo type="min"/>
        <x:cfvo type="percentile" val="50"/>
        <x:cfvo type="max"/>
        <x:color rgb="FFFECACA"/>
        <x:color rgb="FFFFFFFF"/>
        <x:color rgb="FFBFDBFE"/>
      </x:colorScale>
    </x:cfRule>
  </x:conditionalFormatting>
  <x:conditionalFormatting sqref="J2:J131">
    <x:cfRule type="colorScale" priority="6">
      <x:colorScale>
        <x:cfvo type="min"/>
        <x:cfvo type="percentile" val="50"/>
        <x:cfvo type="max"/>
        <x:color rgb="FFFECACA"/>
        <x:color rgb="FFFFFFFF"/>
        <x:color rgb="FFBFDBFE"/>
      </x:colorScale>
    </x:cfRule>
  </x:conditionalFormatting>
  <x:conditionalFormatting sqref="K2:K131">
    <x:cfRule type="colorScale" priority="7">
      <x:colorScale>
        <x:cfvo type="min"/>
        <x:cfvo type="percentile" val="50"/>
        <x:cfvo type="max"/>
        <x:color rgb="FFFECACA"/>
        <x:color rgb="FFFFFFFF"/>
        <x:color rgb="FFBFDBFE"/>
      </x:colorScale>
    </x:cfRule>
  </x:conditionalFormatting>
  <x:conditionalFormatting sqref="L2:L131">
    <x:cfRule type="colorScale" priority="8">
      <x:colorScale>
        <x:cfvo type="min"/>
        <x:cfvo type="percentile" val="50"/>
        <x:cfvo type="max"/>
        <x:color rgb="FFFECACA"/>
        <x:color rgb="FFFFFFFF"/>
        <x:color rgb="FFBFDBFE"/>
      </x:colorScale>
    </x:cfRule>
  </x:conditionalFormatting>
  <x:conditionalFormatting sqref="M2:M131">
    <x:cfRule type="colorScale" priority="9">
      <x:colorScale>
        <x:cfvo type="min"/>
        <x:cfvo type="percentile" val="50"/>
        <x:cfvo type="max"/>
        <x:color rgb="FFFECACA"/>
        <x:color rgb="FFFFFFFF"/>
        <x:color rgb="FFBFDBFE"/>
      </x:colorScale>
    </x:cfRule>
  </x:conditionalFormatting>
  <x:conditionalFormatting sqref="N2:N131">
    <x:cfRule type="colorScale" priority="10">
      <x:colorScale>
        <x:cfvo type="min"/>
        <x:cfvo type="percentile" val="50"/>
        <x:cfvo type="max"/>
        <x:color rgb="FFFECACA"/>
        <x:color rgb="FFFFFFFF"/>
        <x:color rgb="FFBFDBFE"/>
      </x:colorScale>
    </x:cfRule>
  </x:conditionalFormatting>
  <x:conditionalFormatting sqref="O2:O131">
    <x:cfRule type="colorScale" priority="11">
      <x:colorScale>
        <x:cfvo type="min"/>
        <x:cfvo type="percentile" val="50"/>
        <x:cfvo type="max"/>
        <x:color rgb="FFFECACA"/>
        <x:color rgb="FFFFFFFF"/>
        <x:color rgb="FFBFDBFE"/>
      </x:colorScale>
    </x:cfRule>
  </x:conditionalFormatting>
  <x:conditionalFormatting sqref="P2:P131">
    <x:cfRule type="colorScale" priority="12">
      <x:colorScale>
        <x:cfvo type="min"/>
        <x:cfvo type="percentile" val="50"/>
        <x:cfvo type="max"/>
        <x:color rgb="FFFECACA"/>
        <x:color rgb="FFFFFFFF"/>
        <x:color rgb="FFBFDBFE"/>
      </x:colorScale>
    </x:cfRule>
  </x:conditionalFormatting>
  <x:conditionalFormatting sqref="Q2:Q131">
    <x:cfRule type="colorScale" priority="13">
      <x:colorScale>
        <x:cfvo type="min"/>
        <x:cfvo type="percentile" val="50"/>
        <x:cfvo type="max"/>
        <x:color rgb="FFFECACA"/>
        <x:color rgb="FFFFFFFF"/>
        <x:color rgb="FFBFDBFE"/>
      </x:colorScale>
    </x:cfRule>
  </x:conditionalFormatting>
  <x:conditionalFormatting sqref="R2:R131">
    <x:cfRule type="colorScale" priority="14">
      <x:colorScale>
        <x:cfvo type="min"/>
        <x:cfvo type="percentile" val="50"/>
        <x:cfvo type="max"/>
        <x:color rgb="FFFECACA"/>
        <x:color rgb="FFFFFFFF"/>
        <x:color rgb="FFBFDBFE"/>
      </x:colorScale>
    </x:cfRule>
  </x:conditionalFormatting>
  <x:conditionalFormatting sqref="S2:S131">
    <x:cfRule type="colorScale" priority="15">
      <x:colorScale>
        <x:cfvo type="min"/>
        <x:cfvo type="percentile" val="50"/>
        <x:cfvo type="max"/>
        <x:color rgb="FFFECACA"/>
        <x:color rgb="FFFFFFFF"/>
        <x:color rgb="FFBFDBFE"/>
      </x:colorScale>
    </x:cfRule>
  </x:conditionalFormatting>
  <x:pageMargins left="0.7" right="0.7" top="0.75" bottom="0.75" header="0.3" footer="0.3"/>
</x:worksheet>
</file>