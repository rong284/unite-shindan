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b50d5b073b40a3" /></Relationships>
</file>

<file path=xl/workbook.xml><?xml version="1.0" encoding="utf-8"?>
<x:workbook xmlns:x="http://schemas.openxmlformats.org/spreadsheetml/2006/main">
  <x:sheets>
    <x:sheet xmlns:r="http://schemas.openxmlformats.org/officeDocument/2006/relationships" name="README" sheetId="1" r:id="R5412f89c5d4f4693"/>
    <x:sheet xmlns:r="http://schemas.openxmlformats.org/officeDocument/2006/relationships" name="Roster_100" sheetId="2" r:id="Rdf82c1a8cbf14e48"/>
    <x:sheet xmlns:r="http://schemas.openxmlformats.org/officeDocument/2006/relationships" name="Profiles_140" sheetId="3" r:id="R7baea5c4aa304c51"/>
    <x:sheet xmlns:r="http://schemas.openxmlformats.org/officeDocument/2006/relationships" name="Axes" sheetId="4" r:id="Re15069a1c49c4f77"/>
    <x:sheet xmlns:r="http://schemas.openxmlformats.org/officeDocument/2006/relationships" name="Archetypes" sheetId="5" r:id="Ra1d6ef4e9baa45bd"/>
    <x:sheet xmlns:r="http://schemas.openxmlformats.org/officeDocument/2006/relationships" name="Split_Builds_40" sheetId="6" r:id="Rb6ed5199fa234b88"/>
    <x:sheet xmlns:r="http://schemas.openxmlformats.org/officeDocument/2006/relationships" name="Sources" sheetId="7" r:id="R978d20291f7243a7"/>
    <x:sheet xmlns:r="http://schemas.openxmlformats.org/officeDocument/2006/relationships" name="Questions_30" sheetId="8" r:id="R826c0bf5a83a4273"/>
    <x:sheet xmlns:r="http://schemas.openxmlformats.org/officeDocument/2006/relationships" name="Model_Formula" sheetId="9" r:id="Rdca36211047b4530"/>
    <x:sheet xmlns:r="http://schemas.openxmlformats.org/officeDocument/2006/relationships" name="Simulator" sheetId="10" r:id="R05346d1dcc1d476d"/>
    <x:sheet xmlns:r="http://schemas.openxmlformats.org/officeDocument/2006/relationships" name="Match_140" sheetId="11" r:id="R419383f0615a4f4d"/>
    <x:sheet xmlns:r="http://schemas.openxmlformats.org/officeDocument/2006/relationships" name="Calibration_Audit" sheetId="12" r:id="Rbeb74788bc874a6a"/>
    <x:sheet xmlns:r="http://schemas.openxmlformats.org/officeDocument/2006/relationships" name="Question_Design" sheetId="13" r:id="R1af32dd731534cc4"/>
    <x:sheet xmlns:r="http://schemas.openxmlformats.org/officeDocument/2006/relationships" name="Personality_Axes" sheetId="14" r:id="R3b0519e7dcab48c2"/>
    <x:sheet xmlns:r="http://schemas.openxmlformats.org/officeDocument/2006/relationships" name="Interaction_Model" sheetId="15" r:id="Rf714a610cc0745a8"/>
    <x:sheet xmlns:r="http://schemas.openxmlformats.org/officeDocument/2006/relationships" name="Percentile_Calibration" sheetId="16" r:id="R2b0db37cc1e74632"/>
    <x:sheet xmlns:r="http://schemas.openxmlformats.org/officeDocument/2006/relationships" name="Distinctiveness_Audit" sheetId="17" r:id="Rd8458787b8d84f19"/>
    <x:sheet xmlns:r="http://schemas.openxmlformats.org/officeDocument/2006/relationships" name="Signature_Modifiers" sheetId="18" r:id="R1d60333a23ca4271"/>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
    <x:numFmt numFmtId="202" formatCode="0.0"/>
    <x:numFmt numFmtId="203" formatCode="@"/>
    <x:numFmt numFmtId="204" formatCode="0.00%"/>
    <x:numFmt numFmtId="205" formatCode="0%"/>
    <x:numFmt numFmtId="206" formatCode="0.0%"/>
  </x:numFmts>
  <x:fonts count="11">
    <x:font>
      <x:sz val="11"/>
      <x:name val="Carlito"/>
    </x:font>
    <x:font>
      <x:b/>
      <x:sz val="20"/>
      <x:color rgb="FFFFFFFF"/>
      <x:name val="Carlito"/>
    </x:font>
    <x:font>
      <x:b/>
      <x:sz val="11"/>
      <x:name val="Carlito"/>
    </x:font>
    <x:font>
      <x:b/>
      <x:sz val="11"/>
      <x:color rgb="FFFFFFFF"/>
      <x:name val="Carlito"/>
    </x:font>
    <x:font>
      <x:b/>
      <x:sz val="10"/>
      <x:color rgb="FFFFFFFF"/>
      <x:name val="Aptos"/>
    </x:font>
    <x:font>
      <x:sz val="10"/>
      <x:name val="Aptos"/>
    </x:font>
    <x:font>
      <x:b/>
      <x:sz val="10"/>
      <x:name val="Aptos"/>
    </x:font>
    <x:font>
      <x:b/>
      <x:sz val="19"/>
      <x:color rgb="FFFFFFFF"/>
      <x:name val="Carlito"/>
    </x:font>
    <x:font>
      <x:b/>
      <x:sz val="18"/>
      <x:color rgb="FFFFFFFF"/>
      <x:name val="Carlito"/>
    </x:font>
    <x:font>
      <x:i/>
      <x:sz val="11"/>
      <x:name val="Carlito"/>
    </x:font>
    <x:font>
      <x:b/>
      <x:sz val="20"/>
      <x:color rgb="FFFFFFFF"/>
      <x:name val="Aptos"/>
    </x:font>
  </x:fonts>
  <x:fills count="42">
    <x:fill>
      <x:patternFill patternType="none"/>
    </x:fill>
    <x:fill>
      <x:patternFill patternType="gray125"/>
    </x:fill>
    <x:fill>
      <x:patternFill patternType="solid">
        <x:fgColor rgb="FF172554"/>
      </x:patternFill>
    </x:fill>
    <x:fill>
      <x:patternFill patternType="solid">
        <x:fgColor rgb="FFDBEAFE"/>
      </x:patternFill>
    </x:fill>
    <x:fill>
      <x:patternFill patternType="solid">
        <x:fgColor rgb="FF1E3A8A"/>
      </x:patternFill>
    </x:fill>
    <x:fill>
      <x:patternFill patternType="solid">
        <x:fgColor rgb="FFEFF6FF"/>
      </x:patternFill>
    </x:fill>
    <x:fill>
      <x:patternFill patternType="solid">
        <x:fgColor rgb="FF172554"/>
      </x:patternFill>
    </x:fill>
    <x:fill>
      <x:patternFill patternType="solid">
        <x:fgColor rgb="FFFEF3C7"/>
      </x:patternFill>
    </x:fill>
    <x:fill>
      <x:patternFill patternType="solid">
        <x:fgColor rgb="FF1E3A8A"/>
      </x:patternFill>
    </x:fill>
    <x:fill>
      <x:patternFill patternType="solid">
        <x:fgColor rgb="FF0F766E"/>
      </x:patternFill>
    </x:fill>
    <x:fill>
      <x:patternFill patternType="solid">
        <x:fgColor rgb="FF7C3AED"/>
      </x:patternFill>
    </x:fill>
    <x:fill>
      <x:patternFill patternType="solid">
        <x:fgColor rgb="FFEFF6FF"/>
      </x:patternFill>
    </x:fill>
    <x:fill>
      <x:patternFill patternType="solid">
        <x:fgColor rgb="FFDBEAFE"/>
      </x:patternFill>
    </x:fill>
    <x:fill>
      <x:patternFill patternType="solid">
        <x:fgColor rgb="FF1E3A8A"/>
      </x:patternFill>
    </x:fill>
    <x:fill>
      <x:patternFill patternType="solid">
        <x:fgColor rgb="FF0F766E"/>
      </x:patternFill>
    </x:fill>
    <x:fill>
      <x:patternFill patternType="solid">
        <x:fgColor rgb="FF7C3AED"/>
      </x:patternFill>
    </x:fill>
    <x:fill>
      <x:patternFill patternType="solid">
        <x:fgColor rgb="FFFEF3C7"/>
      </x:patternFill>
    </x:fill>
    <x:fill>
      <x:patternFill patternType="solid">
        <x:fgColor rgb="FFEFF6FF"/>
      </x:patternFill>
    </x:fill>
    <x:fill>
      <x:patternFill patternType="solid">
        <x:fgColor rgb="FF172554"/>
      </x:patternFill>
    </x:fill>
    <x:fill>
      <x:patternFill patternType="solid">
        <x:fgColor rgb="FFDBEAFE"/>
      </x:patternFill>
    </x:fill>
    <x:fill>
      <x:patternFill patternType="solid">
        <x:fgColor rgb="FF1E3A8A"/>
      </x:patternFill>
    </x:fill>
    <x:fill>
      <x:patternFill patternType="solid">
        <x:fgColor rgb="FF0F766E"/>
      </x:patternFill>
    </x:fill>
    <x:fill>
      <x:patternFill patternType="solid">
        <x:fgColor rgb="FF7C3AED"/>
      </x:patternFill>
    </x:fill>
    <x:fill>
      <x:patternFill patternType="solid">
        <x:fgColor rgb="FF475569"/>
      </x:patternFill>
    </x:fill>
    <x:fill>
      <x:patternFill patternType="solid">
        <x:fgColor rgb="FF172554"/>
      </x:patternFill>
    </x:fill>
    <x:fill>
      <x:patternFill patternType="solid">
        <x:fgColor rgb="FFFEF3C7"/>
      </x:patternFill>
    </x:fill>
    <x:fill>
      <x:patternFill patternType="solid">
        <x:fgColor rgb="FF1E3A8A"/>
      </x:patternFill>
    </x:fill>
    <x:fill>
      <x:patternFill patternType="solid">
        <x:fgColor rgb="FF172554"/>
      </x:patternFill>
    </x:fill>
    <x:fill>
      <x:patternFill patternType="solid">
        <x:fgColor rgb="FFFEF3C7"/>
      </x:patternFill>
    </x:fill>
    <x:fill>
      <x:patternFill patternType="solid">
        <x:fgColor rgb="FF0F766E"/>
      </x:patternFill>
    </x:fill>
    <x:fill>
      <x:patternFill patternType="solid">
        <x:fgColor rgb="FF7C3AED"/>
      </x:patternFill>
    </x:fill>
    <x:fill>
      <x:patternFill patternType="solid">
        <x:fgColor rgb="FF475569"/>
      </x:patternFill>
    </x:fill>
    <x:fill>
      <x:patternFill patternType="solid">
        <x:fgColor rgb="FFEFF6FF"/>
      </x:patternFill>
    </x:fill>
    <x:fill>
      <x:patternFill patternType="solid">
        <x:fgColor rgb="FFDBEAFE"/>
      </x:patternFill>
    </x:fill>
    <x:fill>
      <x:patternFill patternType="solid">
        <x:fgColor rgb="FF172554"/>
      </x:patternFill>
    </x:fill>
    <x:fill>
      <x:patternFill patternType="solid">
        <x:fgColor rgb="FFFEF3C7"/>
      </x:patternFill>
    </x:fill>
    <x:fill>
      <x:patternFill patternType="solid">
        <x:fgColor rgb="FF1E3A8A"/>
      </x:patternFill>
    </x:fill>
    <x:fill>
      <x:patternFill patternType="solid">
        <x:fgColor rgb="FFDBEAFE"/>
      </x:patternFill>
    </x:fill>
    <x:fill>
      <x:patternFill patternType="solid">
        <x:fgColor rgb="FF1E3A8A"/>
      </x:patternFill>
    </x:fill>
    <x:fill>
      <x:patternFill patternType="solid">
        <x:fgColor rgb="FF172554"/>
      </x:patternFill>
    </x:fill>
    <x:fill>
      <x:patternFill patternType="solid">
        <x:fgColor rgb="FFFEF3C7"/>
      </x:patternFill>
    </x:fill>
    <x:fill>
      <x:patternFill patternType="solid">
        <x:fgColor rgb="FFDBEAFE"/>
      </x:patternFill>
    </x:fill>
  </x:fills>
  <x:borders count="2">
    <x:border/>
    <x:border/>
  </x:borders>
  <x:cellStyleXfs count="1">
    <x:xf numFmtId="0" fontId="0" fillId="0" borderId="0"/>
  </x:cellStyleXfs>
  <x:cellXfs count="2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x:xf numFmtId="0" fontId="5" fillId="0" borderId="0" xfId="0" applyNumberFormat="1" applyFont="1" applyFill="1" applyBorder="1" applyAlignment="1">
      <x:alignment wrapText="1"/>
    </x:xf>
    <x:xf numFmtId="0" fontId="4" fillId="4" borderId="0" xfId="0" applyNumberFormat="1" applyFont="1" applyFill="1" applyBorder="1" applyAlignment="1">
      <x:alignment horizontal="center" vertical="center" wrapText="1"/>
    </x:xf>
    <x:xf numFmtId="0" fontId="6" fillId="5" borderId="0" xfId="0" applyNumberFormat="1" applyFont="1" applyFill="1" applyBorder="1" applyAlignment="1">
      <x:alignment horizontal="center"/>
    </x:xf>
    <x:xf numFmtId="0" fontId="4" fillId="2" borderId="1" xfId="0" applyNumberFormat="1" applyFont="1" applyFill="1" applyBorder="1" applyAlignment="1">
      <x:alignment vertical="center"/>
    </x:xf>
    <x:xf numFmtId="0" fontId="5" fillId="0" borderId="1" xfId="0" applyNumberFormat="1" applyFont="1" applyFill="1" applyBorder="1"/>
    <x:xf numFmtId="0" fontId="6" fillId="3" borderId="1" xfId="0" applyNumberFormat="1" applyFont="1" applyFill="1" applyBorder="1"/>
    <x:xf numFmtId="0" fontId="5" fillId="0" borderId="1" xfId="0" applyNumberFormat="1" applyFont="1" applyFill="1" applyBorder="1" applyAlignment="1">
      <x:alignment wrapText="1"/>
    </x:xf>
    <x:xf numFmtId="0" fontId="4" fillId="4" borderId="1" xfId="0" applyNumberFormat="1" applyFont="1" applyFill="1" applyBorder="1" applyAlignment="1">
      <x:alignment horizontal="center" vertical="center" wrapText="1"/>
    </x:xf>
    <x:xf numFmtId="0" fontId="6" fillId="5" borderId="1"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xfId="0" applyNumberFormat="1" applyFont="1" applyFill="1" applyBorder="0"/>
    <x:xf numFmtId="0" fontId="3" fillId="8" xfId="0" applyNumberFormat="1" applyFont="1" applyFill="1" applyBorder="0" applyAlignment="1">
      <x:alignment wrapText="1"/>
    </x:xf>
    <x:xf numFmtId="0" fontId="3" fillId="8" xfId="0" applyNumberFormat="1" applyFont="1" applyFill="1" applyBorder="0" applyAlignment="1">
      <x:alignment horizontal="center" wrapText="1"/>
    </x:xf>
    <x:xf numFmtId="0" fontId="3" fillId="8" xfId="0" applyNumberFormat="1" applyFont="1" applyFill="1" applyBorder="0" applyAlignment="1">
      <x:alignment horizontal="center" vertical="center" wrapText="1"/>
    </x:xf>
    <x:xf numFmtId="0" fontId="3" fillId="9" xfId="0" applyNumberFormat="1" applyFont="1" applyFill="1" applyBorder="0" applyAlignment="1">
      <x:alignment horizontal="center" vertical="center" wrapText="1"/>
    </x:xf>
    <x:xf numFmtId="0" fontId="3" fillId="10" xfId="0" applyNumberFormat="1" applyFont="1" applyFill="1" applyBorder="0" applyAlignment="1">
      <x:alignment horizontal="center" vertical="center" wrapText="1"/>
    </x:xf>
    <x:xf numFmtId="200" fontId="0" fillId="0" borderId="0" xfId="0" applyNumberFormat="1" applyFont="1" applyFill="1" applyBorder="1" applyAlignment="1">
      <x:alignment wrapText="1"/>
    </x:xf>
    <x:xf numFmtId="0" fontId="8" fillId="6" borderId="0" xfId="0" applyNumberFormat="1" applyFont="1" applyFill="1" applyBorder="1"/>
    <x:xf numFmtId="0" fontId="8" fillId="6" borderId="0" xfId="0" applyNumberFormat="1" applyFont="1" applyFill="1" applyBorder="1" applyAlignment="1">
      <x:alignment vertical="center"/>
    </x:xf>
    <x:xf numFmtId="200" fontId="0" fillId="0" borderId="0" xfId="0" applyNumberFormat="1" applyFont="1" applyFill="1" applyBorder="1"/>
    <x:xf numFmtId="0" fontId="0" fillId="7" borderId="0" xfId="0" applyNumberFormat="1" applyFont="1" applyFill="1" applyBorder="1" applyAlignment="1">
      <x:alignment wrapText="1"/>
    </x:xf>
    <x:xf numFmtId="201" fontId="0" fillId="0" borderId="0" xfId="0" applyNumberFormat="1" applyFont="1" applyFill="1" applyBorder="1"/>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center"/>
    </x:xf>
    <x:xf numFmtId="202" fontId="0" fillId="0" borderId="0" xfId="0" applyNumberFormat="1" applyFont="1" applyFill="1" applyBorder="1"/>
    <x:xf numFmtId="202" fontId="0" fillId="0" borderId="0" xfId="0" applyNumberFormat="1" applyFont="1" applyFill="1" applyBorder="1" applyAlignment="1">
      <x:alignment wrapText="1"/>
    </x:xf>
    <x:xf numFmtId="0" fontId="5" fillId="8" borderId="0" xfId="0" applyNumberFormat="1" applyFont="1" applyFill="1" applyBorder="1"/>
    <x:xf numFmtId="0" fontId="4" fillId="8" borderId="0" xfId="0" applyNumberFormat="1" applyFont="1" applyFill="1" applyBorder="1"/>
    <x:xf numFmtId="0" fontId="4" fillId="8" xfId="0" applyNumberFormat="1" applyFont="1" applyFill="1" applyBorder="0"/>
    <x:xf numFmtId="0" fontId="4" fillId="8" xfId="0" applyNumberFormat="1" applyFont="1" applyFill="1" applyBorder="0" applyAlignment="1">
      <x:alignment wrapText="1"/>
    </x:xf>
    <x:xf numFmtId="0" fontId="4" fillId="8" xfId="0" applyNumberFormat="1" applyFont="1" applyFill="1" applyBorder="0" applyAlignment="1">
      <x:alignment horizontal="center" wrapText="1"/>
    </x:xf>
    <x:xf numFmtId="0" fontId="4" fillId="8" xfId="0" applyNumberFormat="1" applyFont="1" applyFill="1" applyBorder="0" applyAlignment="1">
      <x:alignment horizontal="center" vertical="center"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3" fillId="4" xfId="0" applyNumberFormat="1" applyFont="1" applyFill="1" applyBorder="0"/>
    <x:xf numFmtId="0" fontId="3" fillId="4" xfId="0" applyNumberFormat="1" applyFont="1" applyFill="1" applyBorder="0" applyAlignment="1">
      <x:alignment wrapText="1"/>
    </x:xf>
    <x:xf numFmtId="0" fontId="3" fillId="4" xfId="0" applyNumberFormat="1" applyFont="1" applyFill="1" applyBorder="0" applyAlignment="1">
      <x:alignment horizontal="center" wrapText="1"/>
    </x:xf>
    <x:xf numFmtId="0" fontId="3" fillId="4" xfId="0" applyNumberFormat="1" applyFont="1" applyFill="1" applyBorder="0" applyAlignment="1">
      <x:alignment horizontal="center" vertical="center"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9" fillId="5" borderId="0" xfId="0" applyNumberFormat="1" applyFont="1" applyFill="1" applyBorder="1"/>
    <x:xf numFmtId="0" fontId="9" fillId="5" borderId="0" xfId="0" applyNumberFormat="1" applyFont="1" applyFill="1" applyBorder="1" applyAlignment="1">
      <x:alignment horizontal="center"/>
    </x:xf>
    <x:xf numFmtId="0" fontId="5" fillId="4" borderId="0" xfId="0" applyNumberFormat="1" applyFont="1" applyFill="1" applyBorder="1"/>
    <x:xf numFmtId="0" fontId="4" fillId="4" borderId="0" xfId="0" applyNumberFormat="1" applyFont="1" applyFill="1" applyBorder="1"/>
    <x:xf numFmtId="0" fontId="4" fillId="4" xfId="0" applyNumberFormat="1" applyFont="1" applyFill="1" applyBorder="0"/>
    <x:xf numFmtId="0" fontId="4" fillId="4" xfId="0" applyNumberFormat="1" applyFont="1" applyFill="1" applyBorder="0" applyAlignment="1">
      <x:alignment wrapText="1"/>
    </x:xf>
    <x:xf numFmtId="0" fontId="4" fillId="4" xfId="0" applyNumberFormat="1" applyFont="1" applyFill="1" applyBorder="0" applyAlignment="1">
      <x:alignment horizontal="center" wrapText="1"/>
    </x:xf>
    <x:xf numFmtId="0" fontId="4" fillId="4" xfId="0" applyNumberFormat="1" applyFont="1" applyFill="1" applyBorder="0" applyAlignment="1">
      <x:alignment horizontal="center" vertical="center" wrapText="1"/>
    </x:xf>
    <x:xf numFmtId="0" fontId="2" fillId="3"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3" fillId="13" xfId="0" applyNumberFormat="1" applyFont="1" applyFill="1" applyBorder="0" applyAlignment="1">
      <x:alignment horizontal="center" vertical="center" wrapText="1"/>
    </x:xf>
    <x:xf numFmtId="203" fontId="0" fillId="0"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xfId="0" applyNumberFormat="1" applyFont="1" applyFill="1" applyBorder="0"/>
    <x:xf numFmtId="0" fontId="3" fillId="13" xfId="0" applyNumberFormat="1" applyFont="1" applyFill="1" applyBorder="0" applyAlignment="1">
      <x:alignment wrapText="1"/>
    </x:xf>
    <x:xf numFmtId="0" fontId="3" fillId="13" xfId="0" applyNumberFormat="1" applyFont="1" applyFill="1" applyBorder="0" applyAlignment="1">
      <x:alignment horizontal="center" wrapText="1"/>
    </x:xf>
    <x:xf numFmtId="0" fontId="3" fillId="14" xfId="0" applyNumberFormat="1" applyFont="1" applyFill="1" applyBorder="0" applyAlignment="1">
      <x:alignment horizontal="center" vertical="center" wrapText="1"/>
    </x:xf>
    <x:xf numFmtId="0" fontId="3" fillId="15" xfId="0" applyNumberFormat="1" applyFont="1" applyFill="1" applyBorder="0" applyAlignment="1">
      <x:alignment horizontal="center" vertical="center" wrapText="1"/>
    </x:xf>
    <x:xf numFmtId="0" fontId="8" fillId="2" borderId="0" xfId="0" applyNumberFormat="1" applyFont="1" applyFill="1" applyBorder="1" applyAlignment="1">
      <x:alignment vertical="center" wrapText="1"/>
    </x:xf>
    <x:xf numFmtId="201" fontId="0" fillId="0" borderId="0" xfId="0" applyNumberFormat="1" applyFont="1" applyFill="1" applyBorder="1" applyAlignment="1">
      <x:alignment wrapText="1"/>
    </x:xf>
    <x:xf numFmtId="0" fontId="9" fillId="5" borderId="0" xfId="0" applyNumberFormat="1" applyFont="1" applyFill="1" applyBorder="1" applyAlignment="1">
      <x:alignment horizontal="center" wrapText="1"/>
    </x:xf>
    <x:xf numFmtId="0" fontId="0" fillId="16"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8" fillId="18" borderId="0" xfId="0" applyNumberFormat="1" applyFont="1" applyFill="1" applyBorder="1" applyAlignment="1">
      <x:alignment vertical="center"/>
    </x:xf>
    <x:xf numFmtId="0" fontId="0" fillId="18" borderId="0" xfId="0" applyNumberFormat="1" applyFont="1" applyFill="1" applyBorder="1"/>
    <x:xf numFmtId="0" fontId="8" fillId="18" borderId="0" xfId="0" applyNumberFormat="1" applyFont="1" applyFill="1" applyBorder="1"/>
    <x:xf numFmtId="0" fontId="8" fillId="13" borderId="0" xfId="0" applyNumberFormat="1" applyFont="1" applyFill="1" applyBorder="1" applyAlignment="1">
      <x:alignment vertical="center"/>
    </x:xf>
    <x:xf numFmtId="0" fontId="8" fillId="13" xfId="0" applyNumberFormat="1" applyFont="1" applyFill="1" applyBorder="0" applyAlignment="1">
      <x:alignment vertical="center"/>
    </x:xf>
    <x:xf numFmtId="0" fontId="8" fillId="13" xfId="0" applyNumberFormat="1" applyFont="1" applyFill="1" applyBorder="0" applyAlignment="1">
      <x:alignment vertical="center" wrapText="1"/>
    </x:xf>
    <x:xf numFmtId="0" fontId="8" fillId="13" xfId="0" applyNumberFormat="1" applyFont="1" applyFill="1" applyBorder="0"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204" fontId="0" fillId="0" borderId="0" xfId="0" applyNumberFormat="1" applyFont="1" applyFill="1" applyBorder="1"/>
    <x:xf numFmtId="0" fontId="4" fillId="18" borderId="0" xfId="0" applyNumberFormat="1" applyFont="1" applyFill="1" applyBorder="1" applyAlignment="1">
      <x:alignment vertical="center"/>
    </x:xf>
    <x:xf numFmtId="0" fontId="10" fillId="18" borderId="0" xfId="0" applyNumberFormat="1" applyFont="1" applyFill="1" applyBorder="1" applyAlignment="1">
      <x:alignment vertical="center"/>
    </x:xf>
    <x:xf numFmtId="0" fontId="6" fillId="17" borderId="0" xfId="0" applyNumberFormat="1" applyFont="1" applyFill="1" applyBorder="1" applyAlignment="1">
      <x:alignment horizontal="center"/>
    </x:xf>
    <x:xf numFmtId="0" fontId="5" fillId="17" borderId="0" xfId="0" applyNumberFormat="1" applyFont="1" applyFill="1" applyBorder="1"/>
    <x:xf numFmtId="0" fontId="6" fillId="17" borderId="0" xfId="0" applyNumberFormat="1" applyFont="1" applyFill="1" applyBorder="1"/>
    <x:xf numFmtId="0" fontId="4" fillId="13" xfId="0" applyNumberFormat="1" applyFont="1" applyFill="1" applyBorder="0" applyAlignment="1">
      <x:alignment horizontal="center" vertical="center" wrapText="1"/>
    </x:xf>
    <x:xf numFmtId="0" fontId="2" fillId="19" borderId="0" xfId="0" applyNumberFormat="1" applyFont="1" applyFill="1" applyBorder="1" applyAlignment="1">
      <x:alignment wrapText="1"/>
    </x:xf>
    <x:xf numFmtId="0" fontId="0" fillId="19" borderId="0" xfId="0" applyNumberFormat="1" applyFont="1" applyFill="1" applyBorder="1"/>
    <x:xf numFmtId="0" fontId="2" fillId="19" borderId="0" xfId="0" applyNumberFormat="1" applyFont="1" applyFill="1" applyBorder="1"/>
    <x:xf numFmtId="0" fontId="8" fillId="4" borderId="0" xfId="0" applyNumberFormat="1" applyFont="1" applyFill="1" applyBorder="1" applyAlignment="1">
      <x:alignment vertical="center"/>
    </x:xf>
    <x:xf numFmtId="0" fontId="8" fillId="4" xfId="0" applyNumberFormat="1" applyFont="1" applyFill="1" applyBorder="0" applyAlignment="1">
      <x:alignment vertical="center"/>
    </x:xf>
    <x:xf numFmtId="0" fontId="8" fillId="4" xfId="0" applyNumberFormat="1" applyFont="1" applyFill="1" applyBorder="0" applyAlignment="1">
      <x:alignment vertical="center" wrapText="1"/>
    </x:xf>
    <x:xf numFmtId="0" fontId="8" fillId="4" xfId="0" applyNumberFormat="1" applyFont="1" applyFill="1" applyBorder="0" applyAlignment="1">
      <x:alignment horizontal="center" vertical="center" wrapText="1"/>
    </x:xf>
    <x:xf numFmtId="0" fontId="10" fillId="2" borderId="0" xfId="0" applyNumberFormat="1" applyFont="1" applyFill="1" applyBorder="1" applyAlignment="1">
      <x:alignment vertical="center"/>
    </x:xf>
    <x:xf numFmtId="0" fontId="5" fillId="5" borderId="0" xfId="0" applyNumberFormat="1" applyFont="1" applyFill="1" applyBorder="1"/>
    <x:xf numFmtId="0" fontId="6" fillId="5" borderId="0" xfId="0" applyNumberFormat="1" applyFont="1" applyFill="1" applyBorder="1"/>
    <x:xf numFmtId="0" fontId="3" fillId="20" xfId="0" applyNumberFormat="1" applyFont="1" applyFill="1" applyBorder="0" applyAlignment="1">
      <x:alignment horizontal="center" vertic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0" borderId="0" xfId="0" applyNumberFormat="1" applyFont="1" applyFill="1" applyBorder="1" applyAlignment="1">
      <x:alignment horizontal="center" vertical="center" wrapText="1"/>
    </x:xf>
    <x:xf numFmtId="0" fontId="3" fillId="21" xfId="0" applyNumberFormat="1" applyFont="1" applyFill="1" applyBorder="0" applyAlignment="1">
      <x:alignment horizontal="center" vertical="center" wrapText="1"/>
    </x:xf>
    <x:xf numFmtId="0" fontId="3" fillId="22" xfId="0" applyNumberFormat="1" applyFont="1" applyFill="1" applyBorder="0" applyAlignment="1">
      <x:alignment horizontal="center" vertical="center" wrapText="1"/>
    </x:xf>
    <x:xf numFmtId="0" fontId="3" fillId="23" xfId="0" applyNumberFormat="1" applyFont="1" applyFill="1" applyBorder="0" applyAlignment="1">
      <x:alignment horizontal="center" vertical="center" wrapText="1"/>
    </x:xf>
    <x:xf numFmtId="0" fontId="3" fillId="23" borderId="0" xfId="0" applyNumberFormat="1" applyFont="1" applyFill="1" applyBorder="1" applyAlignment="1">
      <x:alignment horizontal="center" vertical="center" wrapText="1"/>
    </x:xf>
    <x:xf numFmtId="0" fontId="0" fillId="24" borderId="0" xfId="0" applyNumberFormat="1" applyFont="1" applyFill="1" applyBorder="1"/>
    <x:xf numFmtId="0" fontId="8" fillId="24" borderId="0" xfId="0" applyNumberFormat="1" applyFont="1" applyFill="1" applyBorder="1"/>
    <x:xf numFmtId="0" fontId="8" fillId="24" borderId="0" xfId="0" applyNumberFormat="1" applyFont="1" applyFill="1" applyBorder="1" applyAlignment="1">
      <x:alignment vertical="center"/>
    </x:xf>
    <x:xf numFmtId="0" fontId="0" fillId="25" borderId="0" xfId="0" applyNumberFormat="1" applyFont="1" applyFill="1" applyBorder="1"/>
    <x:xf numFmtId="0" fontId="2" fillId="25" borderId="0" xfId="0" applyNumberFormat="1" applyFont="1" applyFill="1" applyBorder="1"/>
    <x:xf numFmtId="0" fontId="2" fillId="2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3" fillId="26" xfId="0" applyNumberFormat="1" applyFont="1" applyFill="1" applyBorder="0"/>
    <x:xf numFmtId="0" fontId="3" fillId="26" xfId="0" applyNumberFormat="1" applyFont="1" applyFill="1" applyBorder="0" applyAlignment="1">
      <x:alignment wrapText="1"/>
    </x:xf>
    <x:xf numFmtId="0" fontId="3" fillId="26" xfId="0" applyNumberFormat="1" applyFont="1" applyFill="1" applyBorder="0" applyAlignment="1">
      <x:alignment horizontal="center" wrapText="1"/>
    </x:xf>
    <x:xf numFmtId="0" fontId="3" fillId="26" xfId="0" applyNumberFormat="1" applyFont="1" applyFill="1" applyBorder="0" applyAlignment="1">
      <x:alignment horizontal="center" vertical="center" wrapText="1"/>
    </x:xf>
    <x:xf numFmtId="0" fontId="7" fillId="27" borderId="0" xfId="0" applyNumberFormat="1" applyFont="1" applyFill="1" applyBorder="1" applyAlignment="1">
      <x:alignment vertical="center"/>
    </x:xf>
    <x:xf numFmtId="0" fontId="0" fillId="27" borderId="0" xfId="0" applyNumberFormat="1" applyFont="1" applyFill="1" applyBorder="1"/>
    <x:xf numFmtId="0" fontId="8" fillId="27" borderId="0" xfId="0" applyNumberFormat="1" applyFont="1" applyFill="1" applyBorder="1" applyAlignment="1">
      <x:alignment vertical="center"/>
    </x:xf>
    <x:xf numFmtId="0" fontId="8" fillId="27" borderId="0" xfId="0" applyNumberFormat="1" applyFont="1" applyFill="1" applyBorder="1"/>
    <x:xf numFmtId="0" fontId="2" fillId="28" borderId="0" xfId="0" applyNumberFormat="1" applyFont="1" applyFill="1" applyBorder="1" applyAlignment="1">
      <x:alignment wrapText="1"/>
    </x:xf>
    <x:xf numFmtId="0" fontId="0" fillId="28" borderId="0" xfId="0" applyNumberFormat="1" applyFont="1" applyFill="1" applyBorder="1"/>
    <x:xf numFmtId="0" fontId="2" fillId="28" borderId="0" xfId="0" applyNumberFormat="1" applyFont="1" applyFill="1" applyBorder="1"/>
    <x:xf numFmtId="0" fontId="3" fillId="26" borderId="0" xfId="0" applyNumberFormat="1" applyFont="1" applyFill="1" applyBorder="1" applyAlignment="1">
      <x:alignment horizontal="center" vertical="center" wrapText="1"/>
    </x:xf>
    <x:xf numFmtId="0" fontId="3" fillId="29" xfId="0" applyNumberFormat="1" applyFont="1" applyFill="1" applyBorder="0" applyAlignment="1">
      <x:alignment horizontal="center" vertical="center" wrapText="1"/>
    </x:xf>
    <x:xf numFmtId="0" fontId="3" fillId="30" xfId="0" applyNumberFormat="1" applyFont="1" applyFill="1" applyBorder="0" applyAlignment="1">
      <x:alignment horizontal="center" vertical="center" wrapText="1"/>
    </x:xf>
    <x:xf numFmtId="0" fontId="3" fillId="31" xfId="0" applyNumberFormat="1" applyFont="1" applyFill="1" applyBorder="0" applyAlignment="1">
      <x:alignment horizontal="center" vertical="center" wrapText="1"/>
    </x:xf>
    <x:xf numFmtId="0" fontId="8" fillId="27" borderId="0" xfId="0" applyNumberFormat="1" applyFont="1" applyFill="1" applyBorder="1" applyAlignment="1">
      <x:alignment vertical="center" wrapText="1"/>
    </x:xf>
    <x:xf numFmtId="0" fontId="0" fillId="28" borderId="0" xfId="0" applyNumberFormat="1" applyFont="1" applyFill="1" applyBorder="1" applyAlignment="1">
      <x:alignment wrapText="1"/>
    </x:xf>
    <x:xf numFmtId="0" fontId="2" fillId="32" borderId="0" xfId="0" applyNumberFormat="1" applyFont="1" applyFill="1" applyBorder="1" applyAlignment="1">
      <x:alignment horizontal="center" wrapText="1"/>
    </x:xf>
    <x:xf numFmtId="0" fontId="0" fillId="32" borderId="0" xfId="0" applyNumberFormat="1" applyFont="1" applyFill="1" applyBorder="1" applyAlignment="1">
      <x:alignment wrapText="1"/>
    </x:xf>
    <x:xf numFmtId="0" fontId="2" fillId="32" borderId="0" xfId="0" applyNumberFormat="1" applyFont="1" applyFill="1" applyBorder="1" applyAlignment="1">
      <x:alignment wrapText="1"/>
    </x:xf>
    <x:xf numFmtId="0" fontId="8" fillId="27" xfId="0" applyNumberFormat="1" applyFont="1" applyFill="1" applyBorder="0" applyAlignment="1">
      <x:alignment horizontal="center" vertical="center" wrapText="1"/>
    </x:xf>
    <x:xf numFmtId="0" fontId="8" fillId="26" xfId="0" applyNumberFormat="1" applyFont="1" applyFill="1" applyBorder="0" applyAlignment="1">
      <x:alignment horizontal="center" vertical="center" wrapText="1"/>
    </x:xf>
    <x:xf numFmtId="205" fontId="0" fillId="0" borderId="0" xfId="0" applyNumberFormat="1" applyFont="1" applyFill="1" applyBorder="1" applyAlignment="1">
      <x:alignment wrapText="1"/>
    </x:xf>
    <x:xf numFmtId="0" fontId="3" fillId="26" borderId="0" xfId="0" applyNumberFormat="1" applyFont="1" applyFill="1" applyBorder="1" applyAlignment="1">
      <x:alignment horizontal="center" wrapText="1"/>
    </x:xf>
    <x:xf numFmtId="0" fontId="10" fillId="27" borderId="0" xfId="0" applyNumberFormat="1" applyFont="1" applyFill="1" applyBorder="1" applyAlignment="1">
      <x:alignment vertical="center"/>
    </x:xf>
    <x:xf numFmtId="0" fontId="6" fillId="32" borderId="0" xfId="0" applyNumberFormat="1" applyFont="1" applyFill="1" applyBorder="1" applyAlignment="1">
      <x:alignment horizontal="center"/>
    </x:xf>
    <x:xf numFmtId="0" fontId="4" fillId="32" borderId="0" xfId="0" applyNumberFormat="1" applyFont="1" applyFill="1" applyBorder="1" applyAlignment="1">
      <x:alignment horizontal="center" vertical="center" wrapText="1"/>
    </x:xf>
    <x:xf numFmtId="0" fontId="4" fillId="26" xfId="0" applyNumberFormat="1" applyFont="1" applyFill="1" applyBorder="0" applyAlignment="1">
      <x:alignment horizontal="center" vertical="center" wrapText="1"/>
    </x:xf>
    <x:xf numFmtId="0" fontId="2" fillId="33" borderId="0" xfId="0" applyNumberFormat="1" applyFont="1" applyFill="1" applyBorder="1" applyAlignment="1">
      <x:alignment wrapText="1"/>
    </x:xf>
    <x:xf numFmtId="0" fontId="0" fillId="33" borderId="0" xfId="0" applyNumberFormat="1" applyFont="1" applyFill="1" applyBorder="1"/>
    <x:xf numFmtId="0" fontId="2" fillId="33" borderId="0" xfId="0" applyNumberFormat="1" applyFont="1" applyFill="1" applyBorder="1"/>
    <x:xf numFmtId="0" fontId="0" fillId="5" borderId="0" xfId="0" applyNumberFormat="1" applyFont="1" applyFill="1" applyBorder="1" applyAlignment="1">
      <x:alignment wrapText="1"/>
    </x:xf>
    <x:xf numFmtId="0" fontId="8" fillId="2" xfId="0" applyNumberFormat="1" applyFont="1" applyFill="1" applyBorder="0" applyAlignment="1">
      <x:alignment horizontal="center" vertical="center" wrapText="1"/>
    </x:xf>
    <x:xf numFmtId="0" fontId="4" fillId="5" borderId="0" xfId="0" applyNumberFormat="1" applyFont="1" applyFill="1" applyBorder="1" applyAlignment="1">
      <x:alignment horizontal="center" vertical="center" wrapText="1"/>
    </x:xf>
    <x:xf numFmtId="0" fontId="0" fillId="34" borderId="0" xfId="0" applyNumberFormat="1" applyFont="1" applyFill="1" applyBorder="1"/>
    <x:xf numFmtId="0" fontId="8" fillId="34" borderId="0" xfId="0" applyNumberFormat="1" applyFont="1" applyFill="1" applyBorder="1"/>
    <x:xf numFmtId="0" fontId="8" fillId="34" borderId="0" xfId="0" applyNumberFormat="1" applyFont="1" applyFill="1" applyBorder="1" applyAlignment="1">
      <x:alignment vertical="center"/>
    </x:xf>
    <x:xf numFmtId="0" fontId="0" fillId="35" borderId="0" xfId="0" applyNumberFormat="1" applyFont="1" applyFill="1" applyBorder="1"/>
    <x:xf numFmtId="0" fontId="2" fillId="35" borderId="0" xfId="0" applyNumberFormat="1" applyFont="1" applyFill="1" applyBorder="1"/>
    <x:xf numFmtId="0" fontId="2" fillId="35" borderId="0" xfId="0" applyNumberFormat="1" applyFont="1" applyFill="1" applyBorder="1" applyAlignment="1">
      <x:alignment wrapText="1"/>
    </x:xf>
    <x:xf numFmtId="0" fontId="0"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xf numFmtId="0" fontId="3" fillId="36" borderId="0" xfId="0" applyNumberFormat="1" applyFont="1" applyFill="1" applyBorder="1" applyAlignment="1">
      <x:alignment horizontal="center" wrapText="1"/>
    </x:xf>
    <x:xf numFmtId="0" fontId="3" fillId="36" borderId="0" xfId="0" applyNumberFormat="1" applyFont="1" applyFill="1" applyBorder="1" applyAlignment="1">
      <x:alignment horizontal="center" vertical="center" wrapText="1"/>
    </x:xf>
    <x:xf numFmtId="206" fontId="0" fillId="0" borderId="0" xfId="0" applyNumberFormat="1" applyFont="1" applyFill="1" applyBorder="1"/>
    <x:xf numFmtId="206" fontId="0" fillId="0" borderId="0" xfId="0" applyNumberFormat="1" applyFont="1" applyFill="1" applyBorder="1" applyAlignment="1">
      <x:alignment wrapText="1"/>
    </x:xf>
    <x:xf numFmtId="0" fontId="0" fillId="37" borderId="0" xfId="0" applyNumberFormat="1" applyFont="1" applyFill="1" applyBorder="1"/>
    <x:xf numFmtId="0" fontId="2" fillId="37" borderId="0" xfId="0" applyNumberFormat="1" applyFont="1" applyFill="1" applyBorder="1"/>
    <x:xf numFmtId="0" fontId="2" fillId="37" borderId="0" xfId="0" applyNumberFormat="1" applyFont="1" applyFill="1" applyBorder="1" applyAlignment="1">
      <x:alignment wrapText="1"/>
    </x:xf>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wrapText="1"/>
    </x:xf>
    <x:xf numFmtId="0" fontId="3" fillId="38" borderId="0" xfId="0" applyNumberFormat="1" applyFont="1" applyFill="1" applyBorder="1" applyAlignment="1">
      <x:alignment horizontal="center" wrapText="1"/>
    </x:xf>
    <x:xf numFmtId="0" fontId="3" fillId="38" borderId="0" xfId="0" applyNumberFormat="1" applyFont="1" applyFill="1" applyBorder="1" applyAlignment="1">
      <x:alignment horizontal="center" vertical="center" wrapText="1"/>
    </x:xf>
    <x:xf numFmtId="0" fontId="3" fillId="38" xfId="0" applyNumberFormat="1" applyFont="1" applyFill="1" applyBorder="0" applyAlignment="1">
      <x:alignment horizontal="center" vertical="center" wrapText="1"/>
    </x:xf>
    <x:xf numFmtId="0" fontId="8" fillId="39" borderId="0" xfId="0" applyNumberFormat="1" applyFont="1" applyFill="1" applyBorder="1" applyAlignment="1">
      <x:alignment vertical="center"/>
    </x:xf>
    <x:xf numFmtId="0" fontId="2" fillId="40" borderId="0" xfId="0" applyNumberFormat="1" applyFont="1" applyFill="1" applyBorder="1" applyAlignment="1">
      <x:alignment wrapText="1"/>
    </x:xf>
    <x:xf numFmtId="0" fontId="0" fillId="39" borderId="0" xfId="0" applyNumberFormat="1" applyFont="1" applyFill="1" applyBorder="1"/>
    <x:xf numFmtId="0" fontId="8" fillId="39" borderId="0" xfId="0" applyNumberFormat="1" applyFont="1" applyFill="1" applyBorder="1"/>
    <x:xf numFmtId="0" fontId="0" fillId="40" borderId="0" xfId="0" applyNumberFormat="1" applyFont="1" applyFill="1" applyBorder="1"/>
    <x:xf numFmtId="0" fontId="2" fillId="40" borderId="0" xfId="0" applyNumberFormat="1" applyFont="1" applyFill="1" applyBorder="1"/>
    <x:xf numFmtId="200" fontId="3" fillId="4" borderId="0" xfId="0" applyNumberFormat="1" applyFont="1" applyFill="1" applyBorder="1" applyAlignment="1">
      <x:alignment horizontal="center" vertical="center" wrapText="1"/>
    </x:xf>
    <x:xf numFmtId="200" fontId="0" fillId="38" borderId="0" xfId="0" applyNumberFormat="1" applyFont="1" applyFill="1" applyBorder="1"/>
    <x:xf numFmtId="200" fontId="3" fillId="38" borderId="0" xfId="0" applyNumberFormat="1" applyFont="1" applyFill="1" applyBorder="1"/>
    <x:xf numFmtId="0" fontId="0" fillId="41" borderId="0" xfId="0" applyNumberFormat="1" applyFont="1" applyFill="1" applyBorder="1"/>
    <x:xf numFmtId="0" fontId="2" fillId="41" borderId="0" xfId="0" applyNumberFormat="1" applyFont="1" applyFill="1" applyBorder="1"/>
    <x:xf numFmtId="0" fontId="2" fillId="41" borderId="0" xfId="0" applyNumberFormat="1" applyFont="1" applyFill="1" applyBorder="1" applyAlignment="1">
      <x:alignment wrapText="1"/>
    </x:xf>
  </x:cellXfs>
  <x:cellStyles count="1">
    <x:cellStyle name="Normal" xfId="0"/>
  </x:cellStyles>
  <x:dxfs count="10">
    <x:dxf>
      <x:fill>
        <x:patternFill>
          <x:bgColor rgb="FFFEE2E2"/>
        </x:patternFill>
      </x:fill>
    </x:dxf>
    <x:dxf>
      <x:fill>
        <x:patternFill>
          <x:bgColor rgb="FFFEF3C7"/>
        </x:patternFill>
      </x:fill>
    </x:dxf>
    <x:dxf>
      <x:font>
        <x:b/>
      </x:font>
      <x:fill>
        <x:patternFill>
          <x:bgColor rgb="FFDBEAFE"/>
        </x:patternFill>
      </x:fill>
    </x:dxf>
    <x:dxf>
      <x:fill>
        <x:patternFill>
          <x:bgColor rgb="FFFEE2E2"/>
        </x:patternFill>
      </x:fill>
    </x:dxf>
    <x:dxf>
      <x:fill>
        <x:patternFill>
          <x:bgColor rgb="FFFEF3C7"/>
        </x:patternFill>
      </x:fill>
    </x:dxf>
    <x:dxf>
      <x:font>
        <x:b/>
      </x:font>
      <x:fill>
        <x:patternFill>
          <x:bgColor rgb="FFDBEAFE"/>
        </x:patternFill>
      </x:fill>
    </x:dxf>
    <x:dxf>
      <x:font>
        <x:b/>
      </x:font>
      <x:fill>
        <x:patternFill>
          <x:bgColor rgb="FFDBEAFE"/>
        </x:patternFill>
      </x:fill>
    </x:dxf>
    <x:dxf>
      <x:font>
        <x:b/>
      </x:font>
      <x:fill>
        <x:patternFill>
          <x:bgColor rgb="FFFECACA"/>
        </x:patternFill>
      </x:fill>
    </x:dxf>
    <x:dxf>
      <x:fill>
        <x:patternFill>
          <x:bgColor rgb="FFFED7AA"/>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be51744fe24bfc" /><Relationship Type="http://schemas.openxmlformats.org/officeDocument/2006/relationships/theme" Target="/xl/theme/theme1.xml" Id="Rdc870ee27fb2457e" /><Relationship Type="http://schemas.openxmlformats.org/officeDocument/2006/relationships/sharedStrings" Target="/xl/sharedStrings.xml" Id="R59649e2f657f48a2" /><Relationship Type="http://schemas.openxmlformats.org/officeDocument/2006/relationships/worksheet" Target="/xl/worksheets/sheet1.xml" Id="R5412f89c5d4f4693" /><Relationship Type="http://schemas.openxmlformats.org/officeDocument/2006/relationships/worksheet" Target="/xl/worksheets/sheet2.xml" Id="Rdf82c1a8cbf14e48" /><Relationship Type="http://schemas.openxmlformats.org/officeDocument/2006/relationships/worksheet" Target="/xl/worksheets/sheet3.xml" Id="R7baea5c4aa304c51" /><Relationship Type="http://schemas.openxmlformats.org/officeDocument/2006/relationships/worksheet" Target="/xl/worksheets/sheet4.xml" Id="Re15069a1c49c4f77" /><Relationship Type="http://schemas.openxmlformats.org/officeDocument/2006/relationships/worksheet" Target="/xl/worksheets/sheet5.xml" Id="Ra1d6ef4e9baa45bd" /><Relationship Type="http://schemas.openxmlformats.org/officeDocument/2006/relationships/worksheet" Target="/xl/worksheets/sheet6.xml" Id="Rb6ed5199fa234b88" /><Relationship Type="http://schemas.openxmlformats.org/officeDocument/2006/relationships/worksheet" Target="/xl/worksheets/sheet7.xml" Id="R978d20291f7243a7" /><Relationship Type="http://schemas.openxmlformats.org/officeDocument/2006/relationships/worksheet" Target="/xl/worksheets/sheet8.xml" Id="R826c0bf5a83a4273" /><Relationship Type="http://schemas.openxmlformats.org/officeDocument/2006/relationships/worksheet" Target="/xl/worksheets/sheet9.xml" Id="Rdca36211047b4530" /><Relationship Type="http://schemas.openxmlformats.org/officeDocument/2006/relationships/worksheet" Target="/xl/worksheets/sheet10.xml" Id="R05346d1dcc1d476d" /><Relationship Type="http://schemas.openxmlformats.org/officeDocument/2006/relationships/worksheet" Target="/xl/worksheets/sheet11.xml" Id="R419383f0615a4f4d" /><Relationship Type="http://schemas.openxmlformats.org/officeDocument/2006/relationships/worksheet" Target="/xl/worksheets/sheet12.xml" Id="Rbeb74788bc874a6a" /><Relationship Type="http://schemas.openxmlformats.org/officeDocument/2006/relationships/worksheet" Target="/xl/worksheets/sheet13.xml" Id="R1af32dd731534cc4" /><Relationship Type="http://schemas.openxmlformats.org/officeDocument/2006/relationships/worksheet" Target="/xl/worksheets/sheet14.xml" Id="R3b0519e7dcab48c2" /><Relationship Type="http://schemas.openxmlformats.org/officeDocument/2006/relationships/worksheet" Target="/xl/worksheets/sheet15.xml" Id="Rf714a610cc0745a8" /><Relationship Type="http://schemas.openxmlformats.org/officeDocument/2006/relationships/worksheet" Target="/xl/worksheets/sheet16.xml" Id="R2b0db37cc1e74632" /><Relationship Type="http://schemas.openxmlformats.org/officeDocument/2006/relationships/worksheet" Target="/xl/worksheets/sheet17.xml" Id="Rd8458787b8d84f19" /><Relationship Type="http://schemas.openxmlformats.org/officeDocument/2006/relationships/worksheet" Target="/xl/worksheets/sheet18.xml" Id="R1d60333a23ca4271" /></Relationships>
</file>

<file path=xl/drawings/_rels/drawing1.xml.rels>&#65279;<?xml version="1.0" encoding="utf-8"?><Relationships xmlns="http://schemas.openxmlformats.org/package/2006/relationships"><Relationship Type="http://schemas.openxmlformats.org/officeDocument/2006/relationships/chart" Target="/xl/drawings/charts/chart1.xml" Id="R845c82e4d973411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公式ロール別ライセンス数</a:t>
            </a:r>
          </a:p>
        </c:rich>
      </c:tx>
    </c:title>
    <c:plotArea>
      <c:barChart>
        <c:barDir val="col"/>
        <c:varyColors val="0"/>
        <c:ser>
          <c:idx val="0"/>
          <c:order val="0"/>
          <c:tx>
            <c:v>体数</c:v>
          </c:tx>
          <c:cat>
            <c:strRef>
              <c:f>'README'!$D$5:$D$9</c:f>
              <c:strCache>
                <c:ptCount val="0"/>
              </c:strCache>
            </c:strRef>
          </c:cat>
          <c:val>
            <c:numRef>
              <c:f>'README'!$E$5:$E$9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5c82e4d9734117"/>
        </a:graphicData>
      </a:graphic>
    </xdr:graphicFrame>
    <xdr:clientData/>
  </xdr:twoCellAnchor>
</xdr:wsDr>
</file>

<file path=xl/tables/table1.xml><?xml version="1.0" encoding="utf-8"?>
<x:table xmlns:x="http://schemas.openxmlformats.org/spreadsheetml/2006/main" id="1" name="RosterTable" displayName="RosterTable" ref="A1:M101" headerRowCount="1" totalsRowCount="0" totalsRowShown="0">
  <x:tableColumns count="13">
    <x:tableColumn id="1" name="No"/>
    <x:tableColumn id="2" name="Pokemon"/>
    <x:tableColumn id="3" name="OfficialRole"/>
    <x:tableColumn id="4" name="WikiPrimaryArchetype"/>
    <x:tableColumn id="5" name="WikiSecondaryArchetype"/>
    <x:tableColumn id="6" name="SplitProfile"/>
    <x:tableColumn id="7" name="ProfileCount"/>
    <x:tableColumn id="8" name="Confidence"/>
    <x:tableColumn id="9" name="AsOf"/>
    <x:tableColumn id="10" name="Notes"/>
    <x:tableColumn id="11" name="Wiki_or_Primary_Source"/>
    <x:tableColumn id="12" name="OfficialRoster_Source"/>
    <x:tableColumn id="13" name="Meta_Source"/>
  </x:tableColumns>
  <x:tableStyleInfo name="TableStyleMedium2" showFirstColumn="0" showLastColumn="0" showRowStripes="1" showColumnStripes="0"/>
</x:table>
</file>

<file path=xl/tables/table2.xml><?xml version="1.0" encoding="utf-8"?>
<x:table xmlns:x="http://schemas.openxmlformats.org/spreadsheetml/2006/main" id="2" name="ProfilesTable" displayName="ProfilesTable" ref="A1:AG141" headerRowCount="1" totalsRowCount="0" totalsRowShown="0">
  <x:tableColumns count="33">
    <x:tableColumn id="1" name="Pokemon"/>
    <x:tableColumn id="2" name="OfficialRole"/>
    <x:tableColumn id="3" name="ProfileID"/>
    <x:tableColumn id="4" name="ProfileName"/>
    <x:tableColumn id="5" name="ProfileLabel"/>
    <x:tableColumn id="6" name="PrimaryArchetype"/>
    <x:tableColumn id="7" name="SecondaryArchetype"/>
    <x:tableColumn id="8" name="SplitReason"/>
    <x:tableColumn id="9" name="Confidence"/>
    <x:tableColumn id="10" name="AsOf"/>
    <x:tableColumn id="11" name="Engage"/>
    <x:tableColumn id="12" name="Dive"/>
    <x:tableColumn id="13" name="Peel"/>
    <x:tableColumn id="14" name="Frontline"/>
    <x:tableColumn id="15" name="Poke"/>
    <x:tableColumn id="16" name="Burst"/>
    <x:tableColumn id="17" name="SustainDPS"/>
    <x:tableColumn id="18" name="Control"/>
    <x:tableColumn id="19" name="Support"/>
    <x:tableColumn id="20" name="Mobility"/>
    <x:tableColumn id="21" name="FarmScaling"/>
    <x:tableColumn id="22" name="ObjectiveSecure"/>
    <x:tableColumn id="23" name="ScoringSide"/>
    <x:tableColumn id="24" name="Execution"/>
    <x:tableColumn id="25" name="Decision"/>
    <x:tableColumn id="26" name="P_Initiative"/>
    <x:tableColumn id="27" name="P_RiskTolerance"/>
    <x:tableColumn id="28" name="P_Cooperation"/>
    <x:tableColumn id="29" name="P_SelfReliance"/>
    <x:tableColumn id="30" name="P_Planning"/>
    <x:tableColumn id="31" name="P_Adaptability"/>
    <x:tableColumn id="32" name="P_Mastery"/>
    <x:tableColumn id="33" name="SourceURL"/>
  </x:tableColumns>
  <x:tableStyleInfo name="TableStyleMedium2" showFirstColumn="0" showLastColumn="0" showRowStripes="1" showColumnStripes="0"/>
</x:table>
</file>

<file path=xl/tables/table3.xml><?xml version="1.0" encoding="utf-8"?>
<x:table xmlns:x="http://schemas.openxmlformats.org/spreadsheetml/2006/main" id="3" name="AxesTable" displayName="AxesTable" ref="A1:C16" headerRowCount="1" totalsRowCount="0" totalsRowShown="0">
  <x:tableColumns count="3">
    <x:tableColumn id="1" name="Code"/>
    <x:tableColumn id="2" name="日本語名"/>
    <x:tableColumn id="3" name="定義"/>
  </x:tableColumns>
  <x:tableStyleInfo name="TableStyleMedium2" showFirstColumn="0" showLastColumn="0" showRowStripes="1" showColumnStripes="0"/>
</x:table>
</file>

<file path=xl/tables/table4.xml><?xml version="1.0" encoding="utf-8"?>
<x:table xmlns:x="http://schemas.openxmlformats.org/spreadsheetml/2006/main" id="4" name="ArchetypesTable" displayName="ArchetypesTable" ref="A1:P14" headerRowCount="1" totalsRowCount="0" totalsRowShown="0">
  <x:tableColumns count="16">
    <x:tableColumn id="1" name="Archetype"/>
    <x:tableColumn id="2" name="Engage"/>
    <x:tableColumn id="3" name="Dive"/>
    <x:tableColumn id="4" name="Peel"/>
    <x:tableColumn id="5" name="Frontline"/>
    <x:tableColumn id="6" name="Poke"/>
    <x:tableColumn id="7" name="Burst"/>
    <x:tableColumn id="8" name="SustainDPS"/>
    <x:tableColumn id="9" name="Control"/>
    <x:tableColumn id="10" name="Support"/>
    <x:tableColumn id="11" name="Mobility"/>
    <x:tableColumn id="12" name="FarmScaling"/>
    <x:tableColumn id="13" name="ObjectiveSecure"/>
    <x:tableColumn id="14" name="ScoringSide"/>
    <x:tableColumn id="15" name="Execution"/>
    <x:tableColumn id="16" name="Decision"/>
  </x:tableColumns>
  <x:tableStyleInfo name="TableStyleMedium2" showFirstColumn="0" showLastColumn="0" showRowStripes="1" showColumnStripes="0"/>
</x:table>
</file>

<file path=xl/tables/table5.xml><?xml version="1.0" encoding="utf-8"?>
<x:table xmlns:x="http://schemas.openxmlformats.org/spreadsheetml/2006/main" id="5" name="SplitBuildsTable" displayName="SplitBuildsTable" ref="A1:I81" headerRowCount="1" totalsRowCount="0" totalsRowShown="0">
  <x:tableColumns count="9">
    <x:tableColumn id="1" name="Pokemon"/>
    <x:tableColumn id="2" name="OfficialRole"/>
    <x:tableColumn id="3" name="ProfileName"/>
    <x:tableColumn id="4" name="ProfileLabel"/>
    <x:tableColumn id="5" name="PrimaryArchetype"/>
    <x:tableColumn id="6" name="SecondaryArchetype"/>
    <x:tableColumn id="7" name="SplitReason"/>
    <x:tableColumn id="8" name="Confidence"/>
    <x:tableColumn id="9" name="SourceURL"/>
  </x:tableColumns>
  <x:tableStyleInfo name="TableStyleMedium2" showFirstColumn="0" showLastColumn="0" showRowStripes="1" showColumnStripes="0"/>
</x:table>
</file>

<file path=xl/tables/table6.xml><?xml version="1.0" encoding="utf-8"?>
<x:table xmlns:x="http://schemas.openxmlformats.org/spreadsheetml/2006/main" id="6" name="SourcesTable" displayName="SourcesTable" ref="A1:C7" headerRowCount="1" totalsRowCount="0" totalsRowShown="0">
  <x:tableColumns count="3">
    <x:tableColumn id="1" name="Source"/>
    <x:tableColumn id="2" name="URL"/>
    <x:tableColumn id="3" name="How used"/>
  </x:tableColumns>
  <x:tableStyleInfo name="TableStyleMedium2" showFirstColumn="0" showLastColumn="0" showRowStripes="1" showColumnStripes="0"/>
</x:table>
</file>

<file path=xl/tables/table7.xml><?xml version="1.0" encoding="utf-8"?>
<x:table xmlns:x="http://schemas.openxmlformats.org/spreadsheetml/2006/main" id="7" name="QuestionsTable" displayName="QuestionsTable" ref="A5:AB35" headerRowCount="1" totalsRowCount="0" totalsRowShown="0">
  <x:tableColumns count="28">
    <x:tableColumn id="1" name="QID"/>
    <x:tableColumn id="2" name="区分"/>
    <x:tableColumn id="3" name="質問文"/>
    <x:tableColumn id="4" name="主な測定対象"/>
    <x:tableColumn id="5" name="備考"/>
    <x:tableColumn id="6" name="Initiative"/>
    <x:tableColumn id="7" name="RiskTolerance"/>
    <x:tableColumn id="8" name="Cooperation"/>
    <x:tableColumn id="9" name="SelfReliance"/>
    <x:tableColumn id="10" name="Planning"/>
    <x:tableColumn id="11" name="Adaptability"/>
    <x:tableColumn id="12" name="Mastery"/>
    <x:tableColumn id="13" name="Engage"/>
    <x:tableColumn id="14" name="Dive"/>
    <x:tableColumn id="15" name="Peel"/>
    <x:tableColumn id="16" name="Frontline"/>
    <x:tableColumn id="17" name="Poke"/>
    <x:tableColumn id="18" name="Burst"/>
    <x:tableColumn id="19" name="SustainDPS"/>
    <x:tableColumn id="20" name="Control"/>
    <x:tableColumn id="21" name="Support"/>
    <x:tableColumn id="22" name="Mobility"/>
    <x:tableColumn id="23" name="FarmScaling"/>
    <x:tableColumn id="24" name="ObjectiveSecure"/>
    <x:tableColumn id="25" name="ScoringSide"/>
    <x:tableColumn id="26" name="Execution"/>
    <x:tableColumn id="27" name="Decision"/>
    <x:tableColumn id="28" name="設計意図"/>
  </x:tableColumns>
  <x:tableStyleInfo name="TableStyleMedium2" showFirstColumn="0" showLastColumn="0" showRowStripes="1" showColumnStripes="0"/>
</x:table>
</file>

<file path=xl/tables/table8.xml><?xml version="1.0" encoding="utf-8"?>
<x:table xmlns:x="http://schemas.openxmlformats.org/spreadsheetml/2006/main" id="8" name="Match140Table" displayName="Match140Table" ref="A5:X145" headerRowCount="1" totalsRowCount="0" totalsRowShown="0">
  <x:tableColumns count="24">
    <x:tableColumn id="1" name="Pokemon"/>
    <x:tableColumn id="2" name="ProfileID"/>
    <x:tableColumn id="3" name="ProfileName"/>
    <x:tableColumn id="4" name="OfficialRole"/>
    <x:tableColumn id="5" name="Confidence"/>
    <x:tableColumn id="6" name="Err_Engage"/>
    <x:tableColumn id="7" name="Err_Dive"/>
    <x:tableColumn id="8" name="Err_Peel"/>
    <x:tableColumn id="9" name="Err_Frontline"/>
    <x:tableColumn id="10" name="Err_Poke"/>
    <x:tableColumn id="11" name="Err_Burst"/>
    <x:tableColumn id="12" name="Err_SustainDPS"/>
    <x:tableColumn id="13" name="Err_Control"/>
    <x:tableColumn id="14" name="Err_Support"/>
    <x:tableColumn id="15" name="Err_Mobility"/>
    <x:tableColumn id="16" name="Err_FarmScaling"/>
    <x:tableColumn id="17" name="Err_ObjectiveSecure"/>
    <x:tableColumn id="18" name="Err_ScoringSide"/>
    <x:tableColumn id="19" name="Err_Execution"/>
    <x:tableColumn id="20" name="Err_Decision"/>
    <x:tableColumn id="21" name="WeightedMSE"/>
    <x:tableColumn id="22" name="RMSE"/>
    <x:tableColumn id="23" name="MatchScore"/>
    <x:tableColumn id="24" name="Ra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52a2968494b4458" /></Relationships>
</file>

<file path=xl/worksheets/_rels/sheet2.xml.rels>&#65279;<?xml version="1.0" encoding="utf-8"?><Relationships xmlns="http://schemas.openxmlformats.org/package/2006/relationships"><Relationship Type="http://schemas.openxmlformats.org/officeDocument/2006/relationships/table" Target="/xl/tables/table1.xml" Id="Rbbea6191a6b845d9" /></Relationships>
</file>

<file path=xl/worksheets/_rels/sheet3.xml.rels>&#65279;<?xml version="1.0" encoding="utf-8"?><Relationships xmlns="http://schemas.openxmlformats.org/package/2006/relationships"><Relationship Type="http://schemas.openxmlformats.org/officeDocument/2006/relationships/table" Target="/xl/tables/table2.xml" Id="R63eb27a192f54c49" /></Relationships>
</file>

<file path=xl/worksheets/_rels/sheet4.xml.rels>&#65279;<?xml version="1.0" encoding="utf-8"?><Relationships xmlns="http://schemas.openxmlformats.org/package/2006/relationships"><Relationship Type="http://schemas.openxmlformats.org/officeDocument/2006/relationships/table" Target="/xl/tables/table3.xml" Id="R2be7176b008b41ed" /></Relationships>
</file>

<file path=xl/worksheets/_rels/sheet5.xml.rels>&#65279;<?xml version="1.0" encoding="utf-8"?><Relationships xmlns="http://schemas.openxmlformats.org/package/2006/relationships"><Relationship Type="http://schemas.openxmlformats.org/officeDocument/2006/relationships/table" Target="/xl/tables/table4.xml" Id="R7776b53cc64e4fd0" /></Relationships>
</file>

<file path=xl/worksheets/_rels/sheet6.xml.rels>&#65279;<?xml version="1.0" encoding="utf-8"?><Relationships xmlns="http://schemas.openxmlformats.org/package/2006/relationships"><Relationship Type="http://schemas.openxmlformats.org/officeDocument/2006/relationships/table" Target="/xl/tables/table5.xml" Id="R157e393895804846" /></Relationships>
</file>

<file path=xl/worksheets/_rels/sheet7.xml.rels>&#65279;<?xml version="1.0" encoding="utf-8"?><Relationships xmlns="http://schemas.openxmlformats.org/package/2006/relationships"><Relationship Type="http://schemas.openxmlformats.org/officeDocument/2006/relationships/table" Target="/xl/tables/table6.xml" Id="R39800c00e20f453c" /></Relationships>
</file>

<file path=xl/worksheets/_rels/sheet8.xml.rels>&#65279;<?xml version="1.0" encoding="utf-8"?><Relationships xmlns="http://schemas.openxmlformats.org/package/2006/relationships"><Relationship Type="http://schemas.openxmlformats.org/officeDocument/2006/relationships/table" Target="/xl/tables/table7.xml" Id="Re268f6f2989a4156" /></Relationships>
</file>

<file path=xl/worksheets/_rels/sheet11.xml.rels>&#65279;<?xml version="1.0" encoding="utf-8"?><Relationships xmlns="http://schemas.openxmlformats.org/package/2006/relationships"><Relationship Type="http://schemas.openxmlformats.org/officeDocument/2006/relationships/table" Target="/xl/tables/table8.xml" Id="Rb65b1b914a0442b8" /></Relationships>
</file>

<file path=xl/worksheets/sheet1.xml><?xml version="1.0" encoding="utf-8"?>
<x:worksheet xmlns:x="http://schemas.openxmlformats.org/spreadsheetml/2006/main">
  <x:sheetFormatPr defaultRowHeight="15"/>
  <x:cols>
    <x:col min="1" max="1" width="25" hidden="0" customWidth="1"/>
    <x:col min="2" max="2" width="82" hidden="0" customWidth="1"/>
    <x:col min="3" max="3" width="4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0" customHeight="1">
      <x:c r="A1" s="183" t="str">
        <x:v>Pokémon UNITE OTP診断用 パラメータDB（Percentile Matching版）</x:v>
      </x:c>
      <x:c r="B1" s="183"/>
      <x:c r="C1" s="183"/>
      <x:c r="D1" s="183"/>
      <x:c r="E1" s="183"/>
      <x:c r="F1" s="31"/>
      <x:c r="G1" s="31"/>
      <x:c r="H1" s="31"/>
      <x:c r="I1" s="32"/>
      <x:c r="J1" s="32"/>
      <x:c r="K1" s="32"/>
      <x:c r="L1" s="32"/>
      <x:c r="M1" s="32"/>
      <x:c r="N1" s="32"/>
    </x:row>
    <x:row r="2" ht="30" customHeight="1">
      <x:c r="A2" s="183"/>
      <x:c r="B2" s="183"/>
      <x:c r="C2" s="183"/>
      <x:c r="D2" s="183"/>
      <x:c r="E2" s="183"/>
      <x:c r="F2" s="31"/>
      <x:c r="G2" s="31"/>
      <x:c r="H2" s="31"/>
      <x:c r="I2" s="32"/>
      <x:c r="J2" s="32"/>
      <x:c r="K2" s="32"/>
      <x:c r="L2" s="32"/>
      <x:c r="M2" s="32"/>
      <x:c r="N2" s="32"/>
    </x:row>
    <x:row r="3">
      <x:c r="A3" s="32"/>
      <x:c r="B3" s="32"/>
      <x:c r="C3" s="32"/>
      <x:c r="D3" s="32"/>
      <x:c r="E3" s="32"/>
      <x:c r="F3" s="32"/>
      <x:c r="G3" s="32"/>
      <x:c r="H3" s="32"/>
      <x:c r="I3" s="32"/>
      <x:c r="J3" s="32"/>
      <x:c r="K3" s="32"/>
      <x:c r="L3" s="32"/>
      <x:c r="M3" s="32"/>
      <x:c r="N3" s="32"/>
    </x:row>
    <x:row r="4">
      <x:c r="A4" s="33" t="str">
        <x:v>基準日</x:v>
      </x:c>
      <x:c r="B4" s="34" t="str">
        <x:v>2026-09-30</x:v>
      </x:c>
      <x:c r="C4" s="32"/>
      <x:c r="D4" s="35" t="str">
        <x:v>公式ロール</x:v>
      </x:c>
      <x:c r="E4" s="35" t="str">
        <x:v>体数</x:v>
      </x:c>
      <x:c r="F4" s="32"/>
      <x:c r="G4" s="32"/>
      <x:c r="H4" s="32"/>
      <x:c r="I4" s="32"/>
      <x:c r="J4" s="32"/>
      <x:c r="K4" s="32"/>
      <x:c r="L4" s="32"/>
      <x:c r="M4" s="32"/>
      <x:c r="N4" s="32"/>
    </x:row>
    <x:row r="5">
      <x:c r="A5" s="33" t="str">
        <x:v>現行ライセンス</x:v>
      </x:c>
      <x:c r="B5" s="34" t="n">
        <x:v>100</x:v>
      </x:c>
      <x:c r="C5" s="32"/>
      <x:c r="D5" s="32" t="str">
        <x:v>アタック型</x:v>
      </x:c>
      <x:c r="E5" s="32" t="n">
        <x:v>28</x:v>
      </x:c>
      <x:c r="F5" s="32"/>
      <x:c r="G5" s="32"/>
      <x:c r="H5" s="32"/>
      <x:c r="I5" s="32"/>
      <x:c r="J5" s="32"/>
      <x:c r="K5" s="32"/>
      <x:c r="L5" s="32"/>
      <x:c r="M5" s="32"/>
      <x:c r="N5" s="32"/>
    </x:row>
    <x:row r="6">
      <x:c r="A6" s="33" t="str">
        <x:v>診断プロファイル</x:v>
      </x:c>
      <x:c r="B6" s="34" t="n">
        <x:v>130</x:v>
      </x:c>
      <x:c r="C6" s="32"/>
      <x:c r="D6" s="32" t="str">
        <x:v>バランス型</x:v>
      </x:c>
      <x:c r="E6" s="32" t="n">
        <x:v>35</x:v>
      </x:c>
      <x:c r="F6" s="32"/>
      <x:c r="G6" s="32"/>
      <x:c r="H6" s="32"/>
      <x:c r="I6" s="32"/>
      <x:c r="J6" s="32"/>
      <x:c r="K6" s="32"/>
      <x:c r="L6" s="32"/>
      <x:c r="M6" s="32"/>
      <x:c r="N6" s="32"/>
    </x:row>
    <x:row r="7">
      <x:c r="A7" s="33" t="str">
        <x:v>型分け対象</x:v>
      </x:c>
      <x:c r="B7" s="34" t="n">
        <x:v>30</x:v>
      </x:c>
      <x:c r="C7" s="32"/>
      <x:c r="D7" s="32" t="str">
        <x:v>スピード型</x:v>
      </x:c>
      <x:c r="E7" s="32" t="n">
        <x:v>12</x:v>
      </x:c>
      <x:c r="F7" s="32"/>
      <x:c r="G7" s="32"/>
      <x:c r="H7" s="32"/>
      <x:c r="I7" s="32"/>
      <x:c r="J7" s="32"/>
      <x:c r="K7" s="32"/>
      <x:c r="L7" s="32"/>
      <x:c r="M7" s="32"/>
      <x:c r="N7" s="32"/>
    </x:row>
    <x:row r="8">
      <x:c r="A8" s="33" t="str">
        <x:v>質問数</x:v>
      </x:c>
      <x:c r="B8" s="34" t="n">
        <x:v>30</x:v>
      </x:c>
      <x:c r="C8" s="32"/>
      <x:c r="D8" s="32" t="str">
        <x:v>ディフェンス型</x:v>
      </x:c>
      <x:c r="E8" s="32" t="n">
        <x:v>13</x:v>
      </x:c>
      <x:c r="F8" s="32"/>
      <x:c r="G8" s="32"/>
      <x:c r="H8" s="32"/>
      <x:c r="I8" s="32"/>
      <x:c r="J8" s="32"/>
      <x:c r="K8" s="32"/>
      <x:c r="L8" s="32"/>
      <x:c r="M8" s="32"/>
      <x:c r="N8" s="32"/>
    </x:row>
    <x:row r="9">
      <x:c r="A9" s="33" t="str">
        <x:v>性格気質</x:v>
      </x:c>
      <x:c r="B9" s="34" t="n">
        <x:v>7</x:v>
      </x:c>
      <x:c r="C9" s="32"/>
      <x:c r="D9" s="32" t="str">
        <x:v>サポート型</x:v>
      </x:c>
      <x:c r="E9" s="32" t="n">
        <x:v>12</x:v>
      </x:c>
      <x:c r="F9" s="32"/>
      <x:c r="G9" s="32"/>
      <x:c r="H9" s="32"/>
      <x:c r="I9" s="32"/>
      <x:c r="J9" s="32"/>
      <x:c r="K9" s="32"/>
      <x:c r="L9" s="32"/>
      <x:c r="M9" s="32"/>
      <x:c r="N9" s="32"/>
    </x:row>
    <x:row r="10">
      <x:c r="A10" s="32" t="str">
        <x:v>プレイ軸</x:v>
      </x:c>
      <x:c r="B10" s="32" t="str">
        <x:v>15（コア12＋補助3）</x:v>
      </x:c>
      <x:c r="C10" s="32"/>
      <x:c r="D10" s="32"/>
      <x:c r="E10" s="32"/>
      <x:c r="F10" s="32"/>
      <x:c r="G10" s="32"/>
      <x:c r="H10" s="32"/>
      <x:c r="I10" s="32"/>
      <x:c r="J10" s="32"/>
      <x:c r="K10" s="32"/>
      <x:c r="L10" s="32"/>
      <x:c r="M10" s="32"/>
      <x:c r="N10" s="32"/>
    </x:row>
    <x:row r="11">
      <x:c r="A11" s="32"/>
      <x:c r="B11" s="32"/>
      <x:c r="C11" s="32"/>
      <x:c r="D11" s="32"/>
      <x:c r="E11" s="32"/>
      <x:c r="F11" s="32"/>
      <x:c r="G11" s="32"/>
      <x:c r="H11" s="32"/>
      <x:c r="I11" s="32"/>
      <x:c r="J11" s="32"/>
      <x:c r="K11" s="32"/>
      <x:c r="L11" s="32"/>
      <x:c r="M11" s="32"/>
      <x:c r="N11" s="32"/>
    </x:row>
    <x:row r="12">
      <x:c r="A12" s="35" t="str">
        <x:v>このDBの読み方</x:v>
      </x:c>
      <x:c r="B12" s="35"/>
      <x:c r="C12" s="35"/>
      <x:c r="D12" s="35"/>
      <x:c r="E12" s="35"/>
      <x:c r="F12" s="35"/>
      <x:c r="G12" s="35"/>
      <x:c r="H12" s="35"/>
      <x:c r="I12" s="32"/>
      <x:c r="J12" s="32"/>
      <x:c r="K12" s="32"/>
      <x:c r="L12" s="32"/>
      <x:c r="M12" s="32"/>
      <x:c r="N12" s="32"/>
    </x:row>
    <x:row r="13">
      <x:c r="A13" s="184" t="str">
        <x:v>1</x:v>
      </x:c>
      <x:c r="B13" s="34" t="str">
        <x:v>性格7軸は内部コードを維持しつつ、表側では『様子を見る←→自分から動く』のような双極ラベルで表示。</x:v>
      </x:c>
      <x:c r="C13" s="32"/>
      <x:c r="D13" s="32"/>
      <x:c r="E13" s="32"/>
      <x:c r="F13" s="32"/>
      <x:c r="G13" s="32"/>
      <x:c r="H13" s="32"/>
      <x:c r="I13" s="32"/>
      <x:c r="J13" s="32"/>
      <x:c r="K13" s="32"/>
      <x:c r="L13" s="32"/>
      <x:c r="M13" s="32"/>
      <x:c r="N13" s="32"/>
    </x:row>
    <x:row r="14">
      <x:c r="A14" s="184" t="str">
        <x:v>2</x:v>
      </x:c>
      <x:c r="B14" s="34" t="str">
        <x:v>質問文を短くし、スマホ/X経由でテンポよく答えられる文量へ変更。30問すべてが7軸に寄与。</x:v>
      </x:c>
      <x:c r="C14" s="32"/>
      <x:c r="D14" s="32"/>
      <x:c r="E14" s="32"/>
      <x:c r="F14" s="32"/>
      <x:c r="G14" s="32"/>
      <x:c r="H14" s="32"/>
      <x:c r="I14" s="32"/>
      <x:c r="J14" s="32"/>
      <x:c r="K14" s="32"/>
      <x:c r="L14" s="32"/>
      <x:c r="M14" s="32"/>
      <x:c r="N14" s="32"/>
    </x:row>
    <x:row r="15">
      <x:c r="A15" s="184" t="str">
        <x:v>3</x:v>
      </x:c>
      <x:c r="B15" s="34" t="str">
        <x:v>15軸はBurstとSustainDPSをFightTempo（瞬間決着←→継続戦）へ統合し、新たにSelfSufficiency（自己完結性）を追加。</x:v>
      </x:c>
      <x:c r="C15" s="32"/>
      <x:c r="D15" s="32"/>
      <x:c r="E15" s="32"/>
      <x:c r="F15" s="32"/>
      <x:c r="G15" s="32"/>
      <x:c r="H15" s="32"/>
      <x:c r="I15" s="32"/>
      <x:c r="J15" s="32"/>
      <x:c r="K15" s="32"/>
      <x:c r="L15" s="32"/>
      <x:c r="M15" s="32"/>
      <x:c r="N15" s="32"/>
    </x:row>
    <x:row r="16">
      <x:c r="A16" s="184" t="str">
        <x:v>4</x:v>
      </x:c>
      <x:c r="B16" s="34" t="str">
        <x:v>FarmScaling / ObjectiveSecure / ScoringSideはパッチ影響を受けやすいため補助3軸としてWeightを低く設定。</x:v>
      </x:c>
      <x:c r="C16" s="32"/>
      <x:c r="D16" s="32"/>
      <x:c r="E16" s="32"/>
      <x:c r="F16" s="32"/>
      <x:c r="G16" s="32"/>
      <x:c r="H16" s="32"/>
      <x:c r="I16" s="32"/>
      <x:c r="J16" s="32"/>
      <x:c r="K16" s="32"/>
      <x:c r="L16" s="32"/>
      <x:c r="M16" s="32"/>
      <x:c r="N16" s="32"/>
    </x:row>
    <x:row r="17">
      <x:c r="A17" s="184" t="str">
        <x:v>5</x:v>
      </x:c>
      <x:c r="B17" s="34" t="str">
        <x:v>7→15変換へ6種類のInteraction Bonusを追加。主導性×リスク等の組み合わせで、プレイヤー軸が平均化されすぎないようにした。</x:v>
      </x:c>
      <x:c r="C17" s="32"/>
      <x:c r="D17" s="32"/>
      <x:c r="E17" s="32"/>
      <x:c r="F17" s="32"/>
      <x:c r="G17" s="32"/>
      <x:c r="H17" s="32"/>
      <x:c r="I17" s="32"/>
      <x:c r="J17" s="32"/>
      <x:c r="K17" s="32"/>
      <x:c r="L17" s="32"/>
      <x:c r="M17" s="32"/>
      <x:c r="N17" s="32"/>
    </x:row>
    <x:row r="18">
      <x:c r="A18" s="184" t="str">
        <x:v>6</x:v>
      </x:c>
      <x:c r="B18" s="34" t="str">
        <x:v>各プロファイルについて20,000件の疑似回答からRawMatch分布を作り、Percentile_Calibrationへ保存。</x:v>
      </x:c>
      <x:c r="C18" s="32"/>
      <x:c r="D18" s="32"/>
      <x:c r="E18" s="32"/>
      <x:c r="F18" s="32"/>
      <x:c r="G18" s="32"/>
      <x:c r="H18" s="32"/>
      <x:c r="I18" s="32"/>
      <x:c r="J18" s="32"/>
      <x:c r="K18" s="32"/>
      <x:c r="L18" s="32"/>
      <x:c r="M18" s="32"/>
      <x:c r="N18" s="32"/>
    </x:row>
    <x:row r="19">
      <x:c r="A19" s="184" t="str">
        <x:v>7</x:v>
      </x:c>
      <x:c r="B19" s="34" t="str">
        <x:v>順位はPercentile 80%＋RawMatch 20%＋小さなRankBias。『誰にでも近い中間型』が常に有利になる問題を軽減。</x:v>
      </x:c>
      <x:c r="C19" s="32"/>
      <x:c r="D19" s="32"/>
      <x:c r="E19" s="32"/>
      <x:c r="F19" s="32"/>
      <x:c r="G19" s="32"/>
      <x:c r="H19" s="32"/>
      <x:c r="I19" s="32"/>
      <x:c r="J19" s="32"/>
      <x:c r="K19" s="32"/>
      <x:c r="L19" s="32"/>
      <x:c r="M19" s="32"/>
      <x:c r="N19" s="32"/>
    </x:row>
    <x:row r="20">
      <x:c r="A20" s="185" t="str">
        <x:v>8</x:v>
      </x:c>
      <x:c r="B20" s="35" t="str">
        <x:v>表示相性はPercentileを非線形変換。監査7,000件では1位相性のp10≈73、中央値≈91、p90≈95となり、旧版の75前後集中を解消。</x:v>
      </x:c>
      <x:c r="C20" s="35"/>
      <x:c r="D20" s="35"/>
      <x:c r="E20" s="35"/>
      <x:c r="F20" s="35"/>
      <x:c r="G20" s="35"/>
      <x:c r="H20" s="35"/>
      <x:c r="I20" s="32"/>
      <x:c r="J20" s="32"/>
      <x:c r="K20" s="32"/>
      <x:c r="L20" s="32"/>
      <x:c r="M20" s="32"/>
      <x:c r="N20" s="32"/>
    </x:row>
    <x:row r="21">
      <x:c r="A21" s="185" t="str">
        <x:v>9</x:v>
      </x:c>
      <x:c r="B21" s="35" t="str">
        <x:v>DisplayScoreは勝率や確率ではないため、サイトでは『相性 91 / 100』のように表示する。</x:v>
      </x:c>
      <x:c r="C21" s="35" t="str">
        <x:v>用途</x:v>
      </x:c>
      <x:c r="D21" s="32"/>
      <x:c r="E21" s="32"/>
      <x:c r="F21" s="32"/>
      <x:c r="G21" s="32"/>
      <x:c r="H21" s="32"/>
      <x:c r="I21" s="32"/>
      <x:c r="J21" s="32"/>
      <x:c r="K21" s="32"/>
      <x:c r="L21" s="32"/>
      <x:c r="M21" s="32"/>
      <x:c r="N21" s="32"/>
    </x:row>
    <x:row r="22">
      <x:c r="A22" s="34" t="str">
        <x:v>Pokemon Unite Wiki ポケモン一覧</x:v>
      </x:c>
      <x:c r="B22" s="34" t="str">
        <x:v>https://wikiwiki.jp/poke-unite/%E4%B8%80%E8%A6%A7</x:v>
      </x:c>
      <x:c r="C22" s="34" t="str">
        <x:v>99体（モルペコまで）のロスター、非公式LoL系ロール、長所短所。2026-09-19更新。</x:v>
      </x:c>
      <x:c r="D22" s="32"/>
      <x:c r="E22" s="32"/>
      <x:c r="F22" s="32"/>
      <x:c r="G22" s="32"/>
      <x:c r="H22" s="32"/>
      <x:c r="I22" s="32"/>
      <x:c r="J22" s="32"/>
      <x:c r="K22" s="32"/>
      <x:c r="L22" s="32"/>
      <x:c r="M22" s="32"/>
      <x:c r="N22" s="32"/>
    </x:row>
    <x:row r="23">
      <x:c r="A23" s="34" t="str">
        <x:v>Pokémon UNITE公式 ストリンダー参戦</x:v>
      </x:c>
      <x:c r="B23" s="34" t="str">
        <x:v>https://www.pokemonunite.jp/ja/topics/news/20260924/</x:v>
      </x:c>
      <x:c r="C23" s="34" t="str">
        <x:v>2026-09-24参戦を確認。現行100体目。</x:v>
      </x:c>
      <x:c r="D23" s="32"/>
      <x:c r="E23" s="32"/>
      <x:c r="F23" s="32"/>
      <x:c r="G23" s="32"/>
      <x:c r="H23" s="32"/>
      <x:c r="I23" s="32"/>
      <x:c r="J23" s="32"/>
      <x:c r="K23" s="32"/>
      <x:c r="L23" s="32"/>
      <x:c r="M23" s="32"/>
      <x:c r="N23" s="32"/>
    </x:row>
    <x:row r="24">
      <x:c r="A24" s="34" t="str">
        <x:v>Pokémon UNITE公式 ポケモン一覧</x:v>
      </x:c>
      <x:c r="B24" s="34" t="str">
        <x:v>https://www.pokemonunite.jp/pokemon/</x:v>
      </x:c>
      <x:c r="C24" s="34" t="str">
        <x:v>公式のプレイスタイル案内・参戦ポケモン確認。</x:v>
      </x:c>
      <x:c r="D24" s="32"/>
      <x:c r="E24" s="32"/>
      <x:c r="F24" s="32"/>
      <x:c r="G24" s="32"/>
      <x:c r="H24" s="32"/>
      <x:c r="I24" s="32"/>
      <x:c r="J24" s="32"/>
      <x:c r="K24" s="32"/>
      <x:c r="L24" s="32"/>
      <x:c r="M24" s="32"/>
      <x:c r="N24" s="32"/>
    </x:row>
    <x:row r="25">
      <x:c r="A25" s="34" t="str">
        <x:v>UniteAPI Meta</x:v>
      </x:c>
      <x:c r="B25" s="34" t="str">
        <x:v>https://uniteapi.dev/jp/meta</x:v>
      </x:c>
      <x:c r="C25" s="34" t="str">
        <x:v>2026-09-14〜21、128,033試合。実戦で使われている代表ビルド・現行環境の照合。強さは診断点数に混ぜない。</x:v>
      </x:c>
      <x:c r="D25" s="32"/>
      <x:c r="E25" s="32"/>
      <x:c r="F25" s="32"/>
      <x:c r="G25" s="32"/>
      <x:c r="H25" s="32"/>
      <x:c r="I25" s="32"/>
      <x:c r="J25" s="32"/>
      <x:c r="K25" s="32"/>
      <x:c r="L25" s="32"/>
      <x:c r="M25" s="32"/>
      <x:c r="N25" s="32"/>
    </x:row>
    <x:row r="26">
      <x:c r="A26" s="34" t="str">
        <x:v>Wiki 用語集</x:v>
      </x:c>
      <x:c r="B26" s="34" t="str">
        <x:v>https://wikiwiki.jp/poke-unite/%E7%94%A8%E8%AA%9E%E9%9B%86</x:v>
      </x:c>
      <x:c r="C26" s="34" t="str">
        <x:v>わざセット1/2は左右の代表組合せ。手動で混成可能であることを確認。</x:v>
      </x:c>
      <x:c r="D26" s="32"/>
      <x:c r="E26" s="32"/>
      <x:c r="F26" s="32"/>
      <x:c r="G26" s="32"/>
      <x:c r="H26" s="32"/>
      <x:c r="I26" s="32"/>
      <x:c r="J26" s="32"/>
      <x:c r="K26" s="32"/>
      <x:c r="L26" s="32"/>
      <x:c r="M26" s="32"/>
      <x:c r="N26" s="32"/>
    </x:row>
    <x:row r="27">
      <x:c r="A27" s="34" t="str">
        <x:v>Reddit r/PokemonUnite</x:v>
      </x:c>
      <x:c r="B27" s="34" t="str">
        <x:v>https://www.reddit.com/r/PokemonUnite/</x:v>
      </x:c>
      <x:c r="C27" s="34" t="str">
        <x:v>直近の使用感・新実装の定性的チェックのみ。一次情報ではないため補助扱い。</x:v>
      </x:c>
      <x:c r="D27" s="32"/>
      <x:c r="E27" s="32"/>
      <x:c r="F27" s="32"/>
      <x:c r="G27" s="32"/>
      <x:c r="H27" s="32"/>
      <x:c r="I27" s="32"/>
      <x:c r="J27" s="32"/>
      <x:c r="K27" s="32"/>
      <x:c r="L27" s="32"/>
      <x:c r="M27" s="32"/>
      <x:c r="N27" s="32"/>
    </x:row>
    <x:row r="28">
      <x:c r="A28" s="32"/>
      <x:c r="B28" s="32"/>
      <x:c r="C28" s="32"/>
      <x:c r="D28" s="32"/>
      <x:c r="E28" s="32"/>
      <x:c r="F28" s="32"/>
      <x:c r="G28" s="32"/>
      <x:c r="H28" s="32"/>
      <x:c r="I28" s="32"/>
      <x:c r="J28" s="32"/>
      <x:c r="K28" s="32"/>
      <x:c r="L28" s="32"/>
      <x:c r="M28" s="32"/>
      <x:c r="N28" s="32"/>
    </x:row>
    <x:row r="29">
      <x:c r="A29" s="32"/>
      <x:c r="B29" s="32"/>
      <x:c r="C29" s="32"/>
      <x:c r="D29" s="32"/>
      <x:c r="E29" s="32"/>
      <x:c r="F29" s="32"/>
      <x:c r="G29" s="32"/>
      <x:c r="H29" s="32"/>
      <x:c r="I29" s="32"/>
      <x:c r="J29" s="32"/>
      <x:c r="K29" s="32"/>
      <x:c r="L29" s="32"/>
      <x:c r="M29" s="32"/>
      <x:c r="N29" s="32"/>
    </x:row>
    <x:row r="30">
      <x:c r="A30" s="186" t="str">
        <x:v>主要シート</x:v>
      </x:c>
      <x:c r="B30" s="186" t="str">
        <x:v>用途</x:v>
      </x:c>
      <x:c r="C30" s="73"/>
      <x:c r="D30" s="73"/>
      <x:c r="E30" s="73"/>
      <x:c r="F30" s="32"/>
      <x:c r="G30" s="32"/>
      <x:c r="H30" s="32"/>
      <x:c r="I30" s="32"/>
      <x:c r="J30" s="32"/>
      <x:c r="K30" s="32"/>
      <x:c r="L30" s="32"/>
      <x:c r="M30" s="32"/>
      <x:c r="N30" s="32"/>
    </x:row>
    <x:row r="31">
      <x:c r="A31" s="187" t="str">
        <x:v>Personality_Axes</x:v>
      </x:c>
      <x:c r="B31" s="12" t="str">
        <x:v>7気質の左右ラベルと意味。サイト表示はこちらを使用。</x:v>
      </x:c>
    </x:row>
    <x:row r="32">
      <x:c r="A32" s="187" t="str">
        <x:v>Questions_30</x:v>
      </x:c>
      <x:c r="B32" s="12" t="str">
        <x:v>30問と7軸/補助15軸Loading。</x:v>
      </x:c>
    </x:row>
    <x:row r="33">
      <x:c r="A33" s="187" t="str">
        <x:v>Model_Formula</x:v>
      </x:c>
      <x:c r="B33" s="12" t="str">
        <x:v>翻訳係数・Weight・Blend・表示スコア設定。</x:v>
      </x:c>
    </x:row>
    <x:row r="34">
      <x:c r="A34" s="187" t="str">
        <x:v>Interaction_Model</x:v>
      </x:c>
      <x:c r="B34" s="12" t="str">
        <x:v>性格同士の組み合わせ効果。</x:v>
      </x:c>
    </x:row>
    <x:row r="35">
      <x:c r="A35" s="187" t="str">
        <x:v>Profiles_140</x:v>
      </x:c>
      <x:c r="B35" s="12" t="str">
        <x:v>130プロファイルの新15軸。旧シート名は互換性のため維持。</x:v>
      </x:c>
    </x:row>
    <x:row r="36">
      <x:c r="A36" s="187" t="str">
        <x:v>Percentile_Calibration</x:v>
      </x:c>
      <x:c r="B36" s="12" t="str">
        <x:v>20,000疑似回答から作ったプロファイル別RawMatchの0〜100 percentile。</x:v>
      </x:c>
    </x:row>
    <x:row r="37">
      <x:c r="A37" s="187" t="str">
        <x:v>Match_140</x:v>
      </x:c>
      <x:c r="B37" s="12" t="str">
        <x:v>RawMatch→Percentile→DisplayScore→RankScoreの全計算。</x:v>
      </x:c>
    </x:row>
    <x:row r="38">
      <x:c r="A38" s="187" t="str">
        <x:v>Calibration_Audit</x:v>
      </x:c>
      <x:c r="B38" s="12" t="str">
        <x:v>別7,000回答による出現率・表示スコア監査。</x:v>
      </x:c>
    </x:row>
    <x:row r="39">
      <x:c r="A39" s="208" t="str">
        <x:v>Distinctiveness_Audit</x:v>
      </x:c>
      <x:c r="B39" s="12" t="str">
        <x:v>同アーキタイプ内でポケモン固有差をどれだけ識別できるかを監査。完全一致・近似ペア・RankScore相関を確認。</x:v>
      </x:c>
    </x:row>
    <x:row r="40">
      <x:c r="A40" s="208" t="str">
        <x:v>次の調整優先度</x:v>
      </x:c>
      <x:c r="B40" s="12" t="str">
        <x:v>質問数や軸数を増やすより、まず同アーキタイプ内のProfiles_140個別値を広げるのが効果大。</x:v>
      </x:c>
    </x:row>
    <x:row r="41">
      <x:c r="A41" s="226" t="str">
        <x:v>個性補正 2026-09-30</x:v>
      </x:c>
      <x:c r="B41" s="12" t="str">
        <x:v>Wikiの長所/短所・個別ページとUniteAPIの代表ビルドを参照し、アーキタイプ内の固有差を再調整。</x:v>
      </x:c>
    </x:row>
    <x:row r="42">
      <x:c r="A42" s="226" t="str">
        <x:v>調整方法</x:v>
      </x:c>
      <x:c r="B42" s="12" t="str">
        <x:v>既存のアーキタイプ内差を最大±10まで拡張し、根拠のある個体差だけ追加。最終変更は1軸±15以内。</x:v>
      </x:c>
    </x:row>
    <x:row r="43">
      <x:c r="A43" s="226" t="str">
        <x:v>透明性</x:v>
      </x:c>
      <x:c r="B43" s="12" t="str">
        <x:v>Signature_Modifiersで全130プロファイルの差分、手動補正、理由、参照URLを確認可能。</x:v>
      </x:c>
    </x:row>
    <x:row r="44">
      <x:c r="A44" s="226" t="str">
        <x:v>識別力</x:v>
      </x:c>
      <x:c r="B44" s="12" t="str">
        <x:v>最寄り別ポケモン距離中央値 2.7→約7.1、距離3未満 55%→0%、完全一致3組→0組。</x:v>
      </x:c>
    </x:row>
    <x:row r="45">
      <x:c r="A45" s="226" t="str">
        <x:v>候補の固まり</x:v>
      </x:c>
      <x:c r="B45" s="12" t="str">
        <x:v>Top1/Top2が同じPrimaryArchetypeになる率を約70%→約50%まで低下。</x:v>
      </x:c>
    </x:row>
    <x:row r="46">
      <x:c r="A46" s="226" t="str">
        <x:v>再校正</x:v>
      </x:c>
      <x:c r="B46" s="12" t="str">
        <x:v>Percentile_Calibrationを20,000件で再生成し、RankBiasも7,000件監査で再調整。</x:v>
      </x:c>
    </x:row>
    <x:row r="47">
      <x:c r="A47" s="226" t="str">
        <x:v>注意</x:v>
      </x:c>
      <x:c r="B47" s="12" t="str">
        <x:v>似たプレイ感のポケモンは意図的に近く残しています。距離を離すためだけの架空差は付けていません。</x:v>
      </x:c>
    </x:row>
  </x:sheetData>
  <x:mergeCells>
    <x:mergeCell ref="A1:H2"/>
    <x:mergeCell ref="A12:H12"/>
    <x:mergeCell ref="A20:H20"/>
    <x:mergeCell ref="A30:E30"/>
  </x:mergeCells>
  <x:pageMargins left="0.7" right="0.7" top="0.75" bottom="0.75" header="0.3" footer="0.3"/>
  <x:drawing xmlns:r="http://schemas.openxmlformats.org/officeDocument/2006/relationships" r:id="Rf52a2968494b4458"/>
</x:worksheet>
</file>

<file path=xl/worksheets/sheet2.xml><?xml version="1.0" encoding="utf-8"?>
<x:worksheet xmlns:x="http://schemas.openxmlformats.org/spreadsheetml/2006/main">
  <x:sheetFormatPr defaultRowHeight="15"/>
  <x:cols>
    <x:col min="1" max="1" width="7" hidden="0" customWidth="1"/>
    <x:col min="2" max="2" width="18" hidden="0" customWidth="1"/>
    <x:col min="3" max="3" width="13" hidden="0" customWidth="1"/>
    <x:col min="4" max="4" width="18" hidden="0" customWidth="1"/>
    <x:col min="5" max="5" width="18" hidden="0" customWidth="1"/>
    <x:col min="6" max="6" width="12" hidden="0" customWidth="1"/>
    <x:col min="7" max="7" width="12" hidden="0" customWidth="1"/>
    <x:col min="8" max="8" width="12" hidden="0" customWidth="1"/>
    <x:col min="9" max="9" width="12" hidden="0" customWidth="1"/>
    <x:col min="10" max="10" width="30" hidden="0" customWidth="1"/>
    <x:col min="11" max="11" width="38" hidden="0" customWidth="1"/>
    <x:col min="12" max="12" width="38" hidden="0" customWidth="1"/>
    <x:col min="13" max="13" width="38" hidden="0" customWidth="1"/>
  </x:cols>
  <x:sheetData>
    <x:row r="1">
      <x:c r="A1" s="100" t="str">
        <x:v>No</x:v>
      </x:c>
      <x:c r="B1" s="100" t="str">
        <x:v>Pokemon</x:v>
      </x:c>
      <x:c r="C1" s="100" t="str">
        <x:v>OfficialRole</x:v>
      </x:c>
      <x:c r="D1" s="100" t="str">
        <x:v>WikiPrimaryArchetype</x:v>
      </x:c>
      <x:c r="E1" s="100" t="str">
        <x:v>WikiSecondaryArchetype</x:v>
      </x:c>
      <x:c r="F1" s="100" t="str">
        <x:v>SplitProfile</x:v>
      </x:c>
      <x:c r="G1" s="100" t="str">
        <x:v>ProfileCount</x:v>
      </x:c>
      <x:c r="H1" s="100" t="str">
        <x:v>Confidence</x:v>
      </x:c>
      <x:c r="I1" s="100" t="str">
        <x:v>AsOf</x:v>
      </x:c>
      <x:c r="J1" s="100" t="str">
        <x:v>Notes</x:v>
      </x:c>
      <x:c r="K1" s="100" t="str">
        <x:v>Wiki_or_Primary_Source</x:v>
      </x:c>
      <x:c r="L1" s="100" t="str">
        <x:v>OfficialRoster_Source</x:v>
      </x:c>
      <x:c r="M1" s="100" t="str">
        <x:v>Meta_Source</x:v>
      </x:c>
    </x:row>
    <x:row r="2">
      <x:c r="A2" s="12" t="n">
        <x:v>1</x:v>
      </x:c>
      <x:c r="B2" s="12" t="str">
        <x:v>アローラキュウコン</x:v>
      </x:c>
      <x:c r="C2" s="12" t="str">
        <x:v>アタック型</x:v>
      </x:c>
      <x:c r="D2" s="12" t="str">
        <x:v>BurstMage</x:v>
      </x:c>
      <x:c r="E2" s="12" t="str">
        <x:v>Marksman</x:v>
      </x:c>
      <x:c r="F2" s="12" t="str">
        <x:v>Yes</x:v>
      </x:c>
      <x:c r="G2" s="12" t="n">
        <x:v>2</x:v>
      </x:c>
      <x:c r="H2" s="12" t="str">
        <x:v>高</x:v>
      </x:c>
      <x:c r="I2" s="101" t="str">
        <x:v>2026-09-29</x:v>
      </x:c>
      <x:c r="J2" s="12" t="str">
        <x:v>型分けは診断上のプレイ人格が大きく変わる場合のみ</x:v>
      </x:c>
      <x:c r="K2" s="12" t="str">
        <x:v>https://wikiwiki.jp/poke-unite/%E3%82%A2%E3%83%AD%E3%83%BC%E3%83%A9%E3%82%AD%E3%83%A5%E3%82%A6%E3%82%B3%E3%83%B3</x:v>
      </x:c>
      <x:c r="L2" s="12" t="str">
        <x:v>https://www.pokemonunite.jp/pokemon/</x:v>
      </x:c>
      <x:c r="M2" s="12" t="str">
        <x:v>https://uniteapi.dev/jp/meta</x:v>
      </x:c>
    </x:row>
    <x:row r="3">
      <x:c r="A3" s="12" t="n">
        <x:v>2</x:v>
      </x:c>
      <x:c r="B3" s="12" t="str">
        <x:v>アローラライチュウ</x:v>
      </x:c>
      <x:c r="C3" s="12" t="str">
        <x:v>アタック型</x:v>
      </x:c>
      <x:c r="D3" s="12" t="str">
        <x:v>BattleMage</x:v>
      </x:c>
      <x:c r="E3" s="12"/>
      <x:c r="F3" s="12" t="str">
        <x:v>No</x:v>
      </x:c>
      <x:c r="G3" s="12" t="n">
        <x:v>1</x:v>
      </x:c>
      <x:c r="H3" s="12" t="str">
        <x:v>高</x:v>
      </x:c>
      <x:c r="I3" s="101" t="str">
        <x:v>2026-09-29</x:v>
      </x:c>
      <x:c r="J3" s="12" t="str">
        <x:v>型分けは診断上のプレイ人格が大きく変わる場合のみ</x:v>
      </x:c>
      <x:c r="K3" s="12" t="str">
        <x:v>https://wikiwiki.jp/poke-unite/%E3%82%A2%E3%83%AD%E3%83%BC%E3%83%A9%E3%83%A9%E3%82%A4%E3%83%81%E3%83%A5%E3%82%A6</x:v>
      </x:c>
      <x:c r="L3" s="12" t="str">
        <x:v>https://www.pokemonunite.jp/pokemon/</x:v>
      </x:c>
      <x:c r="M3" s="12" t="str">
        <x:v>https://uniteapi.dev/jp/meta</x:v>
      </x:c>
    </x:row>
    <x:row r="4">
      <x:c r="A4" s="12" t="n">
        <x:v>3</x:v>
      </x:c>
      <x:c r="B4" s="12" t="str">
        <x:v>イベルタル</x:v>
      </x:c>
      <x:c r="C4" s="12" t="str">
        <x:v>アタック型</x:v>
      </x:c>
      <x:c r="D4" s="12" t="str">
        <x:v>BurstMage</x:v>
      </x:c>
      <x:c r="E4" s="12"/>
      <x:c r="F4" s="12" t="str">
        <x:v>No</x:v>
      </x:c>
      <x:c r="G4" s="12" t="n">
        <x:v>1</x:v>
      </x:c>
      <x:c r="H4" s="12" t="str">
        <x:v>高</x:v>
      </x:c>
      <x:c r="I4" s="101" t="str">
        <x:v>2026-09-29</x:v>
      </x:c>
      <x:c r="J4" s="12" t="str">
        <x:v>型分けは診断上のプレイ人格が大きく変わる場合のみ</x:v>
      </x:c>
      <x:c r="K4" s="12" t="str">
        <x:v>https://wikiwiki.jp/poke-unite/%E3%82%A4%E3%83%99%E3%83%AB%E3%82%BF%E3%83%AB</x:v>
      </x:c>
      <x:c r="L4" s="12" t="str">
        <x:v>https://www.pokemonunite.jp/pokemon/</x:v>
      </x:c>
      <x:c r="M4" s="12" t="str">
        <x:v>https://uniteapi.dev/jp/meta</x:v>
      </x:c>
    </x:row>
    <x:row r="5">
      <x:c r="A5" s="12" t="n">
        <x:v>4</x:v>
      </x:c>
      <x:c r="B5" s="12" t="str">
        <x:v>インテレオン</x:v>
      </x:c>
      <x:c r="C5" s="12" t="str">
        <x:v>アタック型</x:v>
      </x:c>
      <x:c r="D5" s="12" t="str">
        <x:v>Artillery</x:v>
      </x:c>
      <x:c r="E5" s="12" t="str">
        <x:v>BattleMage</x:v>
      </x:c>
      <x:c r="F5" s="12" t="str">
        <x:v>Yes</x:v>
      </x:c>
      <x:c r="G5" s="12" t="n">
        <x:v>2</x:v>
      </x:c>
      <x:c r="H5" s="12" t="str">
        <x:v>高</x:v>
      </x:c>
      <x:c r="I5" s="101" t="str">
        <x:v>2026-09-29</x:v>
      </x:c>
      <x:c r="J5" s="12" t="str">
        <x:v>型分けは診断上のプレイ人格が大きく変わる場合のみ</x:v>
      </x:c>
      <x:c r="K5" s="12" t="str">
        <x:v>https://wikiwiki.jp/poke-unite/%E3%82%A4%E3%83%B3%E3%83%86%E3%83%AC%E3%82%AA%E3%83%B3</x:v>
      </x:c>
      <x:c r="L5" s="12" t="str">
        <x:v>https://www.pokemonunite.jp/pokemon/</x:v>
      </x:c>
      <x:c r="M5" s="12" t="str">
        <x:v>https://uniteapi.dev/jp/meta</x:v>
      </x:c>
    </x:row>
    <x:row r="6">
      <x:c r="A6" s="12" t="n">
        <x:v>5</x:v>
      </x:c>
      <x:c r="B6" s="12" t="str">
        <x:v>ウッウ</x:v>
      </x:c>
      <x:c r="C6" s="12" t="str">
        <x:v>アタック型</x:v>
      </x:c>
      <x:c r="D6" s="12" t="str">
        <x:v>BurstMage</x:v>
      </x:c>
      <x:c r="E6" s="12" t="str">
        <x:v>BattleMage</x:v>
      </x:c>
      <x:c r="F6" s="12" t="str">
        <x:v>Yes</x:v>
      </x:c>
      <x:c r="G6" s="12" t="n">
        <x:v>2</x:v>
      </x:c>
      <x:c r="H6" s="12" t="str">
        <x:v>高</x:v>
      </x:c>
      <x:c r="I6" s="101" t="str">
        <x:v>2026-09-29</x:v>
      </x:c>
      <x:c r="J6" s="12" t="str">
        <x:v>型分けは診断上のプレイ人格が大きく変わる場合のみ</x:v>
      </x:c>
      <x:c r="K6" s="12" t="str">
        <x:v>https://wikiwiki.jp/poke-unite/%E3%82%A6%E3%83%83%E3%82%A6</x:v>
      </x:c>
      <x:c r="L6" s="12" t="str">
        <x:v>https://www.pokemonunite.jp/pokemon/</x:v>
      </x:c>
      <x:c r="M6" s="12" t="str">
        <x:v>https://uniteapi.dev/jp/meta</x:v>
      </x:c>
    </x:row>
    <x:row r="7">
      <x:c r="A7" s="12" t="n">
        <x:v>6</x:v>
      </x:c>
      <x:c r="B7" s="12" t="str">
        <x:v>エースバーン</x:v>
      </x:c>
      <x:c r="C7" s="12" t="str">
        <x:v>アタック型</x:v>
      </x:c>
      <x:c r="D7" s="12" t="str">
        <x:v>Marksman</x:v>
      </x:c>
      <x:c r="E7" s="12"/>
      <x:c r="F7" s="12" t="str">
        <x:v>No</x:v>
      </x:c>
      <x:c r="G7" s="12" t="n">
        <x:v>1</x:v>
      </x:c>
      <x:c r="H7" s="12" t="str">
        <x:v>高</x:v>
      </x:c>
      <x:c r="I7" s="101" t="str">
        <x:v>2026-09-29</x:v>
      </x:c>
      <x:c r="J7" s="12" t="str">
        <x:v>型分けは診断上のプレイ人格が大きく変わる場合のみ</x:v>
      </x:c>
      <x:c r="K7" s="12" t="str">
        <x:v>https://wikiwiki.jp/poke-unite/%E3%82%A8%E3%83%BC%E3%82%B9%E3%83%90%E3%83%BC%E3%83%B3</x:v>
      </x:c>
      <x:c r="L7" s="12" t="str">
        <x:v>https://www.pokemonunite.jp/pokemon/</x:v>
      </x:c>
      <x:c r="M7" s="12" t="str">
        <x:v>https://uniteapi.dev/jp/meta</x:v>
      </x:c>
    </x:row>
    <x:row r="8">
      <x:c r="A8" s="12" t="n">
        <x:v>7</x:v>
      </x:c>
      <x:c r="B8" s="12" t="str">
        <x:v>エーフィ</x:v>
      </x:c>
      <x:c r="C8" s="12" t="str">
        <x:v>アタック型</x:v>
      </x:c>
      <x:c r="D8" s="12" t="str">
        <x:v>BurstMage</x:v>
      </x:c>
      <x:c r="E8" s="12" t="str">
        <x:v>BattleMage</x:v>
      </x:c>
      <x:c r="F8" s="12" t="str">
        <x:v>No</x:v>
      </x:c>
      <x:c r="G8" s="12" t="n">
        <x:v>1</x:v>
      </x:c>
      <x:c r="H8" s="12" t="str">
        <x:v>高</x:v>
      </x:c>
      <x:c r="I8" s="101" t="str">
        <x:v>2026-09-29</x:v>
      </x:c>
      <x:c r="J8" s="12" t="str">
        <x:v>型分けは診断上のプレイ人格が大きく変わる場合のみ</x:v>
      </x:c>
      <x:c r="K8" s="12" t="str">
        <x:v>https://wikiwiki.jp/poke-unite/%E3%82%A8%E3%83%BC%E3%83%95%E3%82%A3</x:v>
      </x:c>
      <x:c r="L8" s="12" t="str">
        <x:v>https://www.pokemonunite.jp/pokemon/</x:v>
      </x:c>
      <x:c r="M8" s="12" t="str">
        <x:v>https://uniteapi.dev/jp/meta</x:v>
      </x:c>
    </x:row>
    <x:row r="9">
      <x:c r="A9" s="12" t="n">
        <x:v>8</x:v>
      </x:c>
      <x:c r="B9" s="12" t="str">
        <x:v>グレイシア</x:v>
      </x:c>
      <x:c r="C9" s="12" t="str">
        <x:v>アタック型</x:v>
      </x:c>
      <x:c r="D9" s="12" t="str">
        <x:v>Marksman</x:v>
      </x:c>
      <x:c r="E9" s="12" t="str">
        <x:v>BattleMage</x:v>
      </x:c>
      <x:c r="F9" s="12" t="str">
        <x:v>No</x:v>
      </x:c>
      <x:c r="G9" s="12" t="n">
        <x:v>1</x:v>
      </x:c>
      <x:c r="H9" s="12" t="str">
        <x:v>高</x:v>
      </x:c>
      <x:c r="I9" s="101" t="str">
        <x:v>2026-09-29</x:v>
      </x:c>
      <x:c r="J9" s="12" t="str">
        <x:v>型分けは診断上のプレイ人格が大きく変わる場合のみ</x:v>
      </x:c>
      <x:c r="K9" s="12" t="str">
        <x:v>https://wikiwiki.jp/poke-unite/%E3%82%B0%E3%83%AC%E3%82%A4%E3%82%B7%E3%82%A2</x:v>
      </x:c>
      <x:c r="L9" s="12" t="str">
        <x:v>https://www.pokemonunite.jp/pokemon/</x:v>
      </x:c>
      <x:c r="M9" s="12" t="str">
        <x:v>https://uniteapi.dev/jp/meta</x:v>
      </x:c>
    </x:row>
    <x:row r="10">
      <x:c r="A10" s="12" t="n">
        <x:v>9</x:v>
      </x:c>
      <x:c r="B10" s="12" t="str">
        <x:v>グレンアルマ</x:v>
      </x:c>
      <x:c r="C10" s="12" t="str">
        <x:v>アタック型</x:v>
      </x:c>
      <x:c r="D10" s="12" t="str">
        <x:v>Juggernaut</x:v>
      </x:c>
      <x:c r="E10" s="12" t="str">
        <x:v>BurstMage</x:v>
      </x:c>
      <x:c r="F10" s="12" t="str">
        <x:v>Yes</x:v>
      </x:c>
      <x:c r="G10" s="12" t="n">
        <x:v>2</x:v>
      </x:c>
      <x:c r="H10" s="12" t="str">
        <x:v>高</x:v>
      </x:c>
      <x:c r="I10" s="101" t="str">
        <x:v>2026-09-29</x:v>
      </x:c>
      <x:c r="J10" s="12" t="str">
        <x:v>型分けは診断上のプレイ人格が大きく変わる場合のみ</x:v>
      </x:c>
      <x:c r="K10" s="12" t="str">
        <x:v>https://wikiwiki.jp/poke-unite/%E3%82%B0%E3%83%AC%E3%83%B3%E3%82%A2%E3%83%AB%E3%83%9E</x:v>
      </x:c>
      <x:c r="L10" s="12" t="str">
        <x:v>https://www.pokemonunite.jp/pokemon/</x:v>
      </x:c>
      <x:c r="M10" s="12" t="str">
        <x:v>https://uniteapi.dev/jp/meta</x:v>
      </x:c>
    </x:row>
    <x:row r="11">
      <x:c r="A11" s="12" t="n">
        <x:v>10</x:v>
      </x:c>
      <x:c r="B11" s="12" t="str">
        <x:v>ゲッコウガ</x:v>
      </x:c>
      <x:c r="C11" s="12" t="str">
        <x:v>アタック型</x:v>
      </x:c>
      <x:c r="D11" s="12" t="str">
        <x:v>Marksman</x:v>
      </x:c>
      <x:c r="E11" s="12" t="str">
        <x:v>Assassin</x:v>
      </x:c>
      <x:c r="F11" s="12" t="str">
        <x:v>Yes</x:v>
      </x:c>
      <x:c r="G11" s="12" t="n">
        <x:v>2</x:v>
      </x:c>
      <x:c r="H11" s="12" t="str">
        <x:v>高</x:v>
      </x:c>
      <x:c r="I11" s="101" t="str">
        <x:v>2026-09-29</x:v>
      </x:c>
      <x:c r="J11" s="12" t="str">
        <x:v>型分けは診断上のプレイ人格が大きく変わる場合のみ</x:v>
      </x:c>
      <x:c r="K11" s="12" t="str">
        <x:v>https://wikiwiki.jp/poke-unite/%E3%82%B2%E3%83%83%E3%82%B3%E3%82%A6%E3%82%AC</x:v>
      </x:c>
      <x:c r="L11" s="12" t="str">
        <x:v>https://www.pokemonunite.jp/pokemon/</x:v>
      </x:c>
      <x:c r="M11" s="12" t="str">
        <x:v>https://uniteapi.dev/jp/meta</x:v>
      </x:c>
    </x:row>
    <x:row r="12">
      <x:c r="A12" s="12" t="n">
        <x:v>11</x:v>
      </x:c>
      <x:c r="B12" s="12" t="str">
        <x:v>サンダー</x:v>
      </x:c>
      <x:c r="C12" s="12" t="str">
        <x:v>アタック型</x:v>
      </x:c>
      <x:c r="D12" s="12" t="str">
        <x:v>BurstMage</x:v>
      </x:c>
      <x:c r="E12" s="12"/>
      <x:c r="F12" s="12" t="str">
        <x:v>No</x:v>
      </x:c>
      <x:c r="G12" s="12" t="n">
        <x:v>1</x:v>
      </x:c>
      <x:c r="H12" s="12" t="str">
        <x:v>中</x:v>
      </x:c>
      <x:c r="I12" s="101" t="str">
        <x:v>2026-09-29</x:v>
      </x:c>
      <x:c r="J12" s="12" t="str">
        <x:v>型分けは診断上のプレイ人格が大きく変わる場合のみ</x:v>
      </x:c>
      <x:c r="K12" s="12" t="str">
        <x:v>https://wikiwiki.jp/poke-unite/%E3%82%B5%E3%83%B3%E3%83%80%E3%83%BC</x:v>
      </x:c>
      <x:c r="L12" s="12" t="str">
        <x:v>https://www.pokemonunite.jp/pokemon/</x:v>
      </x:c>
      <x:c r="M12" s="12" t="str">
        <x:v>https://uniteapi.dev/jp/meta</x:v>
      </x:c>
    </x:row>
    <x:row r="13">
      <x:c r="A13" s="12" t="n">
        <x:v>12</x:v>
      </x:c>
      <x:c r="B13" s="12" t="str">
        <x:v>サーナイト</x:v>
      </x:c>
      <x:c r="C13" s="12" t="str">
        <x:v>アタック型</x:v>
      </x:c>
      <x:c r="D13" s="12" t="str">
        <x:v>BurstMage</x:v>
      </x:c>
      <x:c r="E13" s="12"/>
      <x:c r="F13" s="12" t="str">
        <x:v>No</x:v>
      </x:c>
      <x:c r="G13" s="12" t="n">
        <x:v>1</x:v>
      </x:c>
      <x:c r="H13" s="12" t="str">
        <x:v>高</x:v>
      </x:c>
      <x:c r="I13" s="101" t="str">
        <x:v>2026-09-29</x:v>
      </x:c>
      <x:c r="J13" s="12" t="str">
        <x:v>型分けは診断上のプレイ人格が大きく変わる場合のみ</x:v>
      </x:c>
      <x:c r="K13" s="12" t="str">
        <x:v>https://wikiwiki.jp/poke-unite/%E3%82%B5%E3%83%BC%E3%83%8A%E3%82%A4%E3%83%88</x:v>
      </x:c>
      <x:c r="L13" s="12" t="str">
        <x:v>https://www.pokemonunite.jp/pokemon/</x:v>
      </x:c>
      <x:c r="M13" s="12" t="str">
        <x:v>https://uniteapi.dev/jp/meta</x:v>
      </x:c>
    </x:row>
    <x:row r="14">
      <x:c r="A14" s="12" t="n">
        <x:v>13</x:v>
      </x:c>
      <x:c r="B14" s="12" t="str">
        <x:v>シャンデラ</x:v>
      </x:c>
      <x:c r="C14" s="12" t="str">
        <x:v>アタック型</x:v>
      </x:c>
      <x:c r="D14" s="12" t="str">
        <x:v>BurstMage</x:v>
      </x:c>
      <x:c r="E14" s="12"/>
      <x:c r="F14" s="12" t="str">
        <x:v>No</x:v>
      </x:c>
      <x:c r="G14" s="12" t="n">
        <x:v>1</x:v>
      </x:c>
      <x:c r="H14" s="12" t="str">
        <x:v>高</x:v>
      </x:c>
      <x:c r="I14" s="101" t="str">
        <x:v>2026-09-29</x:v>
      </x:c>
      <x:c r="J14" s="12" t="str">
        <x:v>型分けは診断上のプレイ人格が大きく変わる場合のみ</x:v>
      </x:c>
      <x:c r="K14" s="12" t="str">
        <x:v>https://wikiwiki.jp/poke-unite/%E3%82%B7%E3%83%A3%E3%83%B3%E3%83%87%E3%83%A9</x:v>
      </x:c>
      <x:c r="L14" s="12" t="str">
        <x:v>https://www.pokemonunite.jp/pokemon/</x:v>
      </x:c>
      <x:c r="M14" s="12" t="str">
        <x:v>https://uniteapi.dev/jp/meta</x:v>
      </x:c>
    </x:row>
    <x:row r="15">
      <x:c r="A15" s="12" t="n">
        <x:v>14</x:v>
      </x:c>
      <x:c r="B15" s="12" t="str">
        <x:v>ジュナイパー</x:v>
      </x:c>
      <x:c r="C15" s="12" t="str">
        <x:v>アタック型</x:v>
      </x:c>
      <x:c r="D15" s="12" t="str">
        <x:v>Artillery</x:v>
      </x:c>
      <x:c r="E15" s="12" t="str">
        <x:v>Marksman</x:v>
      </x:c>
      <x:c r="F15" s="12" t="str">
        <x:v>Yes</x:v>
      </x:c>
      <x:c r="G15" s="12" t="n">
        <x:v>2</x:v>
      </x:c>
      <x:c r="H15" s="12" t="str">
        <x:v>高</x:v>
      </x:c>
      <x:c r="I15" s="101" t="str">
        <x:v>2026-09-29</x:v>
      </x:c>
      <x:c r="J15" s="12" t="str">
        <x:v>型分けは診断上のプレイ人格が大きく変わる場合のみ</x:v>
      </x:c>
      <x:c r="K15" s="12" t="str">
        <x:v>https://wikiwiki.jp/poke-unite/%E3%82%B8%E3%83%A5%E3%83%8A%E3%82%A4%E3%83%91%E3%83%BC</x:v>
      </x:c>
      <x:c r="L15" s="12" t="str">
        <x:v>https://www.pokemonunite.jp/pokemon/</x:v>
      </x:c>
      <x:c r="M15" s="12" t="str">
        <x:v>https://uniteapi.dev/jp/meta</x:v>
      </x:c>
    </x:row>
    <x:row r="16">
      <x:c r="A16" s="12" t="n">
        <x:v>15</x:v>
      </x:c>
      <x:c r="B16" s="12" t="str">
        <x:v>ジュラルドン</x:v>
      </x:c>
      <x:c r="C16" s="12" t="str">
        <x:v>アタック型</x:v>
      </x:c>
      <x:c r="D16" s="12" t="str">
        <x:v>Marksman</x:v>
      </x:c>
      <x:c r="E16" s="12" t="str">
        <x:v>Artillery</x:v>
      </x:c>
      <x:c r="F16" s="12" t="str">
        <x:v>No</x:v>
      </x:c>
      <x:c r="G16" s="12" t="n">
        <x:v>1</x:v>
      </x:c>
      <x:c r="H16" s="12" t="str">
        <x:v>高</x:v>
      </x:c>
      <x:c r="I16" s="101" t="str">
        <x:v>2026-09-29</x:v>
      </x:c>
      <x:c r="J16" s="12" t="str">
        <x:v>型分けは診断上のプレイ人格が大きく変わる場合のみ</x:v>
      </x:c>
      <x:c r="K16" s="12" t="str">
        <x:v>https://wikiwiki.jp/poke-unite/%E3%82%B8%E3%83%A5%E3%83%A9%E3%83%AB%E3%83%89%E3%83%B3</x:v>
      </x:c>
      <x:c r="L16" s="12" t="str">
        <x:v>https://www.pokemonunite.jp/pokemon/</x:v>
      </x:c>
      <x:c r="M16" s="12" t="str">
        <x:v>https://uniteapi.dev/jp/meta</x:v>
      </x:c>
    </x:row>
    <x:row r="17">
      <x:c r="A17" s="12" t="n">
        <x:v>16</x:v>
      </x:c>
      <x:c r="B17" s="12" t="str">
        <x:v>ドラパルト</x:v>
      </x:c>
      <x:c r="C17" s="12" t="str">
        <x:v>アタック型</x:v>
      </x:c>
      <x:c r="D17" s="12" t="str">
        <x:v>Marksman</x:v>
      </x:c>
      <x:c r="E17" s="12" t="str">
        <x:v>Assassin</x:v>
      </x:c>
      <x:c r="F17" s="12" t="str">
        <x:v>Yes</x:v>
      </x:c>
      <x:c r="G17" s="12" t="n">
        <x:v>2</x:v>
      </x:c>
      <x:c r="H17" s="12" t="str">
        <x:v>高</x:v>
      </x:c>
      <x:c r="I17" s="101" t="str">
        <x:v>2026-09-29</x:v>
      </x:c>
      <x:c r="J17" s="12" t="str">
        <x:v>型分けは診断上のプレイ人格が大きく変わる場合のみ</x:v>
      </x:c>
      <x:c r="K17" s="12" t="str">
        <x:v>https://wikiwiki.jp/poke-unite/%E3%83%89%E3%83%A9%E3%83%91%E3%83%AB%E3%83%88</x:v>
      </x:c>
      <x:c r="L17" s="12" t="str">
        <x:v>https://www.pokemonunite.jp/pokemon/</x:v>
      </x:c>
      <x:c r="M17" s="12" t="str">
        <x:v>https://uniteapi.dev/jp/meta</x:v>
      </x:c>
    </x:row>
    <x:row r="18">
      <x:c r="A18" s="12" t="n">
        <x:v>17</x:v>
      </x:c>
      <x:c r="B18" s="12" t="str">
        <x:v>ニンフィア</x:v>
      </x:c>
      <x:c r="C18" s="12" t="str">
        <x:v>アタック型</x:v>
      </x:c>
      <x:c r="D18" s="12" t="str">
        <x:v>BattleMage</x:v>
      </x:c>
      <x:c r="E18" s="12" t="str">
        <x:v>Skirmisher</x:v>
      </x:c>
      <x:c r="F18" s="12" t="str">
        <x:v>No</x:v>
      </x:c>
      <x:c r="G18" s="12" t="n">
        <x:v>1</x:v>
      </x:c>
      <x:c r="H18" s="12" t="str">
        <x:v>高</x:v>
      </x:c>
      <x:c r="I18" s="101" t="str">
        <x:v>2026-09-29</x:v>
      </x:c>
      <x:c r="J18" s="12" t="str">
        <x:v>型分けは診断上のプレイ人格が大きく変わる場合のみ</x:v>
      </x:c>
      <x:c r="K18" s="12" t="str">
        <x:v>https://wikiwiki.jp/poke-unite/%E3%83%8B%E3%83%B3%E3%83%95%E3%82%A3%E3%82%A2</x:v>
      </x:c>
      <x:c r="L18" s="12" t="str">
        <x:v>https://www.pokemonunite.jp/pokemon/</x:v>
      </x:c>
      <x:c r="M18" s="12" t="str">
        <x:v>https://uniteapi.dev/jp/meta</x:v>
      </x:c>
    </x:row>
    <x:row r="19">
      <x:c r="A19" s="12" t="n">
        <x:v>18</x:v>
      </x:c>
      <x:c r="B19" s="12" t="str">
        <x:v>バクフーン</x:v>
      </x:c>
      <x:c r="C19" s="12" t="str">
        <x:v>アタック型</x:v>
      </x:c>
      <x:c r="D19" s="12" t="str">
        <x:v>Diver</x:v>
      </x:c>
      <x:c r="E19" s="12"/>
      <x:c r="F19" s="12" t="str">
        <x:v>No</x:v>
      </x:c>
      <x:c r="G19" s="12" t="n">
        <x:v>1</x:v>
      </x:c>
      <x:c r="H19" s="12" t="str">
        <x:v>中</x:v>
      </x:c>
      <x:c r="I19" s="101" t="str">
        <x:v>2026-09-29</x:v>
      </x:c>
      <x:c r="J19" s="12" t="str">
        <x:v>型分けは診断上のプレイ人格が大きく変わる場合のみ</x:v>
      </x:c>
      <x:c r="K19" s="12" t="str">
        <x:v>https://wikiwiki.jp/poke-unite/%E3%83%90%E3%82%AF%E3%83%95%E3%83%BC%E3%83%B3</x:v>
      </x:c>
      <x:c r="L19" s="12" t="str">
        <x:v>https://www.pokemonunite.jp/pokemon/</x:v>
      </x:c>
      <x:c r="M19" s="12" t="str">
        <x:v>https://uniteapi.dev/jp/meta</x:v>
      </x:c>
    </x:row>
    <x:row r="20">
      <x:c r="A20" s="12" t="n">
        <x:v>19</x:v>
      </x:c>
      <x:c r="B20" s="12" t="str">
        <x:v>ピカチュウ</x:v>
      </x:c>
      <x:c r="C20" s="12" t="str">
        <x:v>アタック型</x:v>
      </x:c>
      <x:c r="D20" s="12" t="str">
        <x:v>BurstMage</x:v>
      </x:c>
      <x:c r="E20" s="12" t="str">
        <x:v>Catcher</x:v>
      </x:c>
      <x:c r="F20" s="12" t="str">
        <x:v>No</x:v>
      </x:c>
      <x:c r="G20" s="12" t="n">
        <x:v>1</x:v>
      </x:c>
      <x:c r="H20" s="12" t="str">
        <x:v>高</x:v>
      </x:c>
      <x:c r="I20" s="101" t="str">
        <x:v>2026-09-29</x:v>
      </x:c>
      <x:c r="J20" s="12" t="str">
        <x:v>型分けは診断上のプレイ人格が大きく変わる場合のみ</x:v>
      </x:c>
      <x:c r="K20" s="12" t="str">
        <x:v>https://wikiwiki.jp/poke-unite/%E3%83%94%E3%82%AB%E3%83%81%E3%83%A5%E3%82%A6</x:v>
      </x:c>
      <x:c r="L20" s="12" t="str">
        <x:v>https://www.pokemonunite.jp/pokemon/</x:v>
      </x:c>
      <x:c r="M20" s="12" t="str">
        <x:v>https://uniteapi.dev/jp/meta</x:v>
      </x:c>
    </x:row>
    <x:row r="21">
      <x:c r="A21" s="12" t="n">
        <x:v>20</x:v>
      </x:c>
      <x:c r="B21" s="12" t="str">
        <x:v>フシギバナ</x:v>
      </x:c>
      <x:c r="C21" s="12" t="str">
        <x:v>アタック型</x:v>
      </x:c>
      <x:c r="D21" s="12" t="str">
        <x:v>Artillery</x:v>
      </x:c>
      <x:c r="E21" s="12" t="str">
        <x:v>Juggernaut</x:v>
      </x:c>
      <x:c r="F21" s="12" t="str">
        <x:v>Yes</x:v>
      </x:c>
      <x:c r="G21" s="12" t="n">
        <x:v>2</x:v>
      </x:c>
      <x:c r="H21" s="12" t="str">
        <x:v>高</x:v>
      </x:c>
      <x:c r="I21" s="101" t="str">
        <x:v>2026-09-29</x:v>
      </x:c>
      <x:c r="J21" s="12" t="str">
        <x:v>型分けは診断上のプレイ人格が大きく変わる場合のみ</x:v>
      </x:c>
      <x:c r="K21" s="12" t="str">
        <x:v>https://wikiwiki.jp/poke-unite/%E3%83%95%E3%82%B7%E3%82%AE%E3%83%90%E3%83%8A</x:v>
      </x:c>
      <x:c r="L21" s="12" t="str">
        <x:v>https://www.pokemonunite.jp/pokemon/</x:v>
      </x:c>
      <x:c r="M21" s="12" t="str">
        <x:v>https://uniteapi.dev/jp/meta</x:v>
      </x:c>
    </x:row>
    <x:row r="22">
      <x:c r="A22" s="12" t="n">
        <x:v>21</x:v>
      </x:c>
      <x:c r="B22" s="12" t="str">
        <x:v>マフォクシー</x:v>
      </x:c>
      <x:c r="C22" s="12" t="str">
        <x:v>アタック型</x:v>
      </x:c>
      <x:c r="D22" s="12" t="str">
        <x:v>BurstMage</x:v>
      </x:c>
      <x:c r="E22" s="12" t="str">
        <x:v>BattleMage</x:v>
      </x:c>
      <x:c r="F22" s="12" t="str">
        <x:v>Yes</x:v>
      </x:c>
      <x:c r="G22" s="12" t="n">
        <x:v>2</x:v>
      </x:c>
      <x:c r="H22" s="12" t="str">
        <x:v>高</x:v>
      </x:c>
      <x:c r="I22" s="101" t="str">
        <x:v>2026-09-29</x:v>
      </x:c>
      <x:c r="J22" s="12" t="str">
        <x:v>型分けは診断上のプレイ人格が大きく変わる場合のみ</x:v>
      </x:c>
      <x:c r="K22" s="12" t="str">
        <x:v>https://wikiwiki.jp/poke-unite/%E3%83%9E%E3%83%95%E3%82%A9%E3%82%AF%E3%82%B7%E3%83%BC</x:v>
      </x:c>
      <x:c r="L22" s="12" t="str">
        <x:v>https://www.pokemonunite.jp/pokemon/</x:v>
      </x:c>
      <x:c r="M22" s="12" t="str">
        <x:v>https://uniteapi.dev/jp/meta</x:v>
      </x:c>
    </x:row>
    <x:row r="23">
      <x:c r="A23" s="12" t="n">
        <x:v>22</x:v>
      </x:c>
      <x:c r="B23" s="12" t="str">
        <x:v>ミュウ</x:v>
      </x:c>
      <x:c r="C23" s="12" t="str">
        <x:v>アタック型</x:v>
      </x:c>
      <x:c r="D23" s="12" t="str">
        <x:v>Specialist</x:v>
      </x:c>
      <x:c r="E23" s="12" t="str">
        <x:v>Artillery</x:v>
      </x:c>
      <x:c r="F23" s="12" t="str">
        <x:v>No</x:v>
      </x:c>
      <x:c r="G23" s="12" t="n">
        <x:v>1</x:v>
      </x:c>
      <x:c r="H23" s="12" t="str">
        <x:v>高</x:v>
      </x:c>
      <x:c r="I23" s="101" t="str">
        <x:v>2026-09-29</x:v>
      </x:c>
      <x:c r="J23" s="12" t="str">
        <x:v>型分けは診断上のプレイ人格が大きく変わる場合のみ</x:v>
      </x:c>
      <x:c r="K23" s="12" t="str">
        <x:v>https://wikiwiki.jp/poke-unite/%E3%83%9F%E3%83%A5%E3%82%A6</x:v>
      </x:c>
      <x:c r="L23" s="12" t="str">
        <x:v>https://www.pokemonunite.jp/pokemon/</x:v>
      </x:c>
      <x:c r="M23" s="12" t="str">
        <x:v>https://uniteapi.dev/jp/meta</x:v>
      </x:c>
    </x:row>
    <x:row r="24">
      <x:c r="A24" s="12" t="n">
        <x:v>23</x:v>
      </x:c>
      <x:c r="B24" s="12" t="str">
        <x:v>ミュウツー(Y)</x:v>
      </x:c>
      <x:c r="C24" s="12" t="str">
        <x:v>アタック型</x:v>
      </x:c>
      <x:c r="D24" s="12" t="str">
        <x:v>Marksman</x:v>
      </x:c>
      <x:c r="E24" s="12" t="str">
        <x:v>BattleMage</x:v>
      </x:c>
      <x:c r="F24" s="12" t="str">
        <x:v>No</x:v>
      </x:c>
      <x:c r="G24" s="12" t="n">
        <x:v>1</x:v>
      </x:c>
      <x:c r="H24" s="12" t="str">
        <x:v>高</x:v>
      </x:c>
      <x:c r="I24" s="101" t="str">
        <x:v>2026-09-29</x:v>
      </x:c>
      <x:c r="J24" s="12" t="str">
        <x:v>型分けは診断上のプレイ人格が大きく変わる場合のみ</x:v>
      </x:c>
      <x:c r="K24" s="12" t="str">
        <x:v>https://wikiwiki.jp/poke-unite/%E3%83%9F%E3%83%A5%E3%82%A6%E3%83%84%E3%83%BC(Y)</x:v>
      </x:c>
      <x:c r="L24" s="12" t="str">
        <x:v>https://www.pokemonunite.jp/pokemon/</x:v>
      </x:c>
      <x:c r="M24" s="12" t="str">
        <x:v>https://uniteapi.dev/jp/meta</x:v>
      </x:c>
    </x:row>
    <x:row r="25">
      <x:c r="A25" s="12" t="n">
        <x:v>24</x:v>
      </x:c>
      <x:c r="B25" s="12" t="str">
        <x:v>ミライドン</x:v>
      </x:c>
      <x:c r="C25" s="12" t="str">
        <x:v>アタック型</x:v>
      </x:c>
      <x:c r="D25" s="12" t="str">
        <x:v>Artillery</x:v>
      </x:c>
      <x:c r="E25" s="12" t="str">
        <x:v>Skirmisher</x:v>
      </x:c>
      <x:c r="F25" s="12" t="str">
        <x:v>Yes</x:v>
      </x:c>
      <x:c r="G25" s="12" t="n">
        <x:v>2</x:v>
      </x:c>
      <x:c r="H25" s="12" t="str">
        <x:v>高</x:v>
      </x:c>
      <x:c r="I25" s="101" t="str">
        <x:v>2026-09-29</x:v>
      </x:c>
      <x:c r="J25" s="12" t="str">
        <x:v>型分けは診断上のプレイ人格が大きく変わる場合のみ</x:v>
      </x:c>
      <x:c r="K25" s="12" t="str">
        <x:v>https://wikiwiki.jp/poke-unite/%E3%83%9F%E3%83%A9%E3%82%A4%E3%83%89%E3%83%B3</x:v>
      </x:c>
      <x:c r="L25" s="12" t="str">
        <x:v>https://www.pokemonunite.jp/pokemon/</x:v>
      </x:c>
      <x:c r="M25" s="12" t="str">
        <x:v>https://uniteapi.dev/jp/meta</x:v>
      </x:c>
    </x:row>
    <x:row r="26">
      <x:c r="A26" s="12" t="n">
        <x:v>25</x:v>
      </x:c>
      <x:c r="B26" s="12" t="str">
        <x:v>ラウドボーン</x:v>
      </x:c>
      <x:c r="C26" s="12" t="str">
        <x:v>アタック型</x:v>
      </x:c>
      <x:c r="D26" s="12" t="str">
        <x:v>Artillery</x:v>
      </x:c>
      <x:c r="E26" s="12"/>
      <x:c r="F26" s="12" t="str">
        <x:v>No</x:v>
      </x:c>
      <x:c r="G26" s="12" t="n">
        <x:v>1</x:v>
      </x:c>
      <x:c r="H26" s="12" t="str">
        <x:v>中</x:v>
      </x:c>
      <x:c r="I26" s="101" t="str">
        <x:v>2026-09-29</x:v>
      </x:c>
      <x:c r="J26" s="12" t="str">
        <x:v>型分けは診断上のプレイ人格が大きく変わる場合のみ</x:v>
      </x:c>
      <x:c r="K26" s="12" t="str">
        <x:v>https://wikiwiki.jp/poke-unite/%E3%83%A9%E3%82%A6%E3%83%89%E3%83%9C%E3%83%BC%E3%83%B3</x:v>
      </x:c>
      <x:c r="L26" s="12" t="str">
        <x:v>https://www.pokemonunite.jp/pokemon/</x:v>
      </x:c>
      <x:c r="M26" s="12" t="str">
        <x:v>https://uniteapi.dev/jp/meta</x:v>
      </x:c>
    </x:row>
    <x:row r="27">
      <x:c r="A27" s="12" t="n">
        <x:v>26</x:v>
      </x:c>
      <x:c r="B27" s="12" t="str">
        <x:v>ラティオス</x:v>
      </x:c>
      <x:c r="C27" s="12" t="str">
        <x:v>アタック型</x:v>
      </x:c>
      <x:c r="D27" s="12" t="str">
        <x:v>BurstMage</x:v>
      </x:c>
      <x:c r="E27" s="12"/>
      <x:c r="F27" s="12" t="str">
        <x:v>No</x:v>
      </x:c>
      <x:c r="G27" s="12" t="n">
        <x:v>1</x:v>
      </x:c>
      <x:c r="H27" s="12" t="str">
        <x:v>高</x:v>
      </x:c>
      <x:c r="I27" s="101" t="str">
        <x:v>2026-09-29</x:v>
      </x:c>
      <x:c r="J27" s="12" t="str">
        <x:v>型分けは診断上のプレイ人格が大きく変わる場合のみ</x:v>
      </x:c>
      <x:c r="K27" s="12" t="str">
        <x:v>https://wikiwiki.jp/poke-unite/%E3%83%A9%E3%83%86%E3%82%A3%E3%82%AA%E3%82%B9</x:v>
      </x:c>
      <x:c r="L27" s="12" t="str">
        <x:v>https://www.pokemonunite.jp/pokemon/</x:v>
      </x:c>
      <x:c r="M27" s="12" t="str">
        <x:v>https://uniteapi.dev/jp/meta</x:v>
      </x:c>
    </x:row>
    <x:row r="28">
      <x:c r="A28" s="12" t="n">
        <x:v>27</x:v>
      </x:c>
      <x:c r="B28" s="12" t="str">
        <x:v>レシラム</x:v>
      </x:c>
      <x:c r="C28" s="12" t="str">
        <x:v>アタック型</x:v>
      </x:c>
      <x:c r="D28" s="12" t="str">
        <x:v>BattleMage</x:v>
      </x:c>
      <x:c r="E28" s="12"/>
      <x:c r="F28" s="12" t="str">
        <x:v>No</x:v>
      </x:c>
      <x:c r="G28" s="12" t="n">
        <x:v>1</x:v>
      </x:c>
      <x:c r="H28" s="12" t="str">
        <x:v>低</x:v>
      </x:c>
      <x:c r="I28" s="101" t="str">
        <x:v>2026-09-29</x:v>
      </x:c>
      <x:c r="J28" s="12" t="str">
        <x:v>型分けは診断上のプレイ人格が大きく変わる場合のみ</x:v>
      </x:c>
      <x:c r="K28" s="12" t="str">
        <x:v>https://wikiwiki.jp/poke-unite/%E3%83%AC%E3%82%B7%E3%83%A9%E3%83%A0</x:v>
      </x:c>
      <x:c r="L28" s="12" t="str">
        <x:v>https://www.pokemonunite.jp/pokemon/</x:v>
      </x:c>
      <x:c r="M28" s="12" t="str">
        <x:v>https://uniteapi.dev/jp/meta</x:v>
      </x:c>
    </x:row>
    <x:row r="29">
      <x:c r="A29" s="12" t="n">
        <x:v>28</x:v>
      </x:c>
      <x:c r="B29" s="12" t="str">
        <x:v>ストリンダー</x:v>
      </x:c>
      <x:c r="C29" s="12" t="str">
        <x:v>アタック型</x:v>
      </x:c>
      <x:c r="D29" s="12" t="str">
        <x:v>Marksman</x:v>
      </x:c>
      <x:c r="E29" s="12" t="str">
        <x:v>BattleMage</x:v>
      </x:c>
      <x:c r="F29" s="12" t="str">
        <x:v>No</x:v>
      </x:c>
      <x:c r="G29" s="12" t="n">
        <x:v>1</x:v>
      </x:c>
      <x:c r="H29" s="12" t="str">
        <x:v>低</x:v>
      </x:c>
      <x:c r="I29" s="101" t="str">
        <x:v>2026-09-29</x:v>
      </x:c>
      <x:c r="J29" s="12" t="str">
        <x:v>型分けは診断上のプレイ人格が大きく変わる場合のみ</x:v>
      </x:c>
      <x:c r="K29" s="12" t="str">
        <x:v>https://www.pokemonunite.jp/ja/topics/news/20260924/</x:v>
      </x:c>
      <x:c r="L29" s="12" t="str">
        <x:v>https://www.pokemonunite.jp/pokemon/</x:v>
      </x:c>
      <x:c r="M29" s="12" t="str">
        <x:v>https://uniteapi.dev/jp/meta</x:v>
      </x:c>
    </x:row>
    <x:row r="30">
      <x:c r="A30" s="12" t="n">
        <x:v>29</x:v>
      </x:c>
      <x:c r="B30" s="12" t="str">
        <x:v>アマージョ</x:v>
      </x:c>
      <x:c r="C30" s="12" t="str">
        <x:v>バランス型</x:v>
      </x:c>
      <x:c r="D30" s="12" t="str">
        <x:v>Skirmisher</x:v>
      </x:c>
      <x:c r="E30" s="12"/>
      <x:c r="F30" s="12" t="str">
        <x:v>No</x:v>
      </x:c>
      <x:c r="G30" s="12" t="n">
        <x:v>1</x:v>
      </x:c>
      <x:c r="H30" s="12" t="str">
        <x:v>高</x:v>
      </x:c>
      <x:c r="I30" s="101" t="str">
        <x:v>2026-09-29</x:v>
      </x:c>
      <x:c r="J30" s="12" t="str">
        <x:v>型分けは診断上のプレイ人格が大きく変わる場合のみ</x:v>
      </x:c>
      <x:c r="K30" s="12" t="str">
        <x:v>https://wikiwiki.jp/poke-unite/%E3%82%A2%E3%83%9E%E3%83%BC%E3%82%B8%E3%83%A7</x:v>
      </x:c>
      <x:c r="L30" s="12" t="str">
        <x:v>https://www.pokemonunite.jp/pokemon/</x:v>
      </x:c>
      <x:c r="M30" s="12" t="str">
        <x:v>https://uniteapi.dev/jp/meta</x:v>
      </x:c>
    </x:row>
    <x:row r="31">
      <x:c r="A31" s="12" t="n">
        <x:v>30</x:v>
      </x:c>
      <x:c r="B31" s="12" t="str">
        <x:v>ウェーニバル</x:v>
      </x:c>
      <x:c r="C31" s="12" t="str">
        <x:v>バランス型</x:v>
      </x:c>
      <x:c r="D31" s="12" t="str">
        <x:v>Skirmisher</x:v>
      </x:c>
      <x:c r="E31" s="12"/>
      <x:c r="F31" s="12" t="str">
        <x:v>No</x:v>
      </x:c>
      <x:c r="G31" s="12" t="n">
        <x:v>1</x:v>
      </x:c>
      <x:c r="H31" s="12" t="str">
        <x:v>中</x:v>
      </x:c>
      <x:c r="I31" s="101" t="str">
        <x:v>2026-09-29</x:v>
      </x:c>
      <x:c r="J31" s="12" t="str">
        <x:v>型分けは診断上のプレイ人格が大きく変わる場合のみ</x:v>
      </x:c>
      <x:c r="K31" s="12" t="str">
        <x:v>https://wikiwiki.jp/poke-unite/%E3%82%A6%E3%82%A7%E3%83%BC%E3%83%8B%E3%83%90%E3%83%AB</x:v>
      </x:c>
      <x:c r="L31" s="12" t="str">
        <x:v>https://www.pokemonunite.jp/pokemon/</x:v>
      </x:c>
      <x:c r="M31" s="12" t="str">
        <x:v>https://uniteapi.dev/jp/meta</x:v>
      </x:c>
    </x:row>
    <x:row r="32">
      <x:c r="A32" s="12" t="n">
        <x:v>31</x:v>
      </x:c>
      <x:c r="B32" s="12" t="str">
        <x:v>ウーラオス</x:v>
      </x:c>
      <x:c r="C32" s="12" t="str">
        <x:v>バランス型</x:v>
      </x:c>
      <x:c r="D32" s="12" t="str">
        <x:v>Diver</x:v>
      </x:c>
      <x:c r="E32" s="12" t="str">
        <x:v>Skirmisher</x:v>
      </x:c>
      <x:c r="F32" s="12" t="str">
        <x:v>Yes</x:v>
      </x:c>
      <x:c r="G32" s="12" t="n">
        <x:v>2</x:v>
      </x:c>
      <x:c r="H32" s="12" t="str">
        <x:v>高</x:v>
      </x:c>
      <x:c r="I32" s="101" t="str">
        <x:v>2026-09-29</x:v>
      </x:c>
      <x:c r="J32" s="12" t="str">
        <x:v>型分けは診断上のプレイ人格が大きく変わる場合のみ</x:v>
      </x:c>
      <x:c r="K32" s="12" t="str">
        <x:v>https://wikiwiki.jp/poke-unite/%E3%82%A6%E3%83%BC%E3%83%A9%E3%82%AA%E3%82%B9</x:v>
      </x:c>
      <x:c r="L32" s="12" t="str">
        <x:v>https://www.pokemonunite.jp/pokemon/</x:v>
      </x:c>
      <x:c r="M32" s="12" t="str">
        <x:v>https://uniteapi.dev/jp/meta</x:v>
      </x:c>
    </x:row>
    <x:row r="33">
      <x:c r="A33" s="12" t="n">
        <x:v>32</x:v>
      </x:c>
      <x:c r="B33" s="12" t="str">
        <x:v>エンペルト</x:v>
      </x:c>
      <x:c r="C33" s="12" t="str">
        <x:v>バランス型</x:v>
      </x:c>
      <x:c r="D33" s="12" t="str">
        <x:v>Juggernaut</x:v>
      </x:c>
      <x:c r="E33" s="12"/>
      <x:c r="F33" s="12" t="str">
        <x:v>No</x:v>
      </x:c>
      <x:c r="G33" s="12" t="n">
        <x:v>1</x:v>
      </x:c>
      <x:c r="H33" s="12" t="str">
        <x:v>高</x:v>
      </x:c>
      <x:c r="I33" s="101" t="str">
        <x:v>2026-09-29</x:v>
      </x:c>
      <x:c r="J33" s="12" t="str">
        <x:v>型分けは診断上のプレイ人格が大きく変わる場合のみ</x:v>
      </x:c>
      <x:c r="K33" s="12" t="str">
        <x:v>https://wikiwiki.jp/poke-unite/%E3%82%A8%E3%83%B3%E3%83%9A%E3%83%AB%E3%83%88</x:v>
      </x:c>
      <x:c r="L33" s="12" t="str">
        <x:v>https://www.pokemonunite.jp/pokemon/</x:v>
      </x:c>
      <x:c r="M33" s="12" t="str">
        <x:v>https://uniteapi.dev/jp/meta</x:v>
      </x:c>
    </x:row>
    <x:row r="34">
      <x:c r="A34" s="12" t="n">
        <x:v>33</x:v>
      </x:c>
      <x:c r="B34" s="12" t="str">
        <x:v>オーダイル</x:v>
      </x:c>
      <x:c r="C34" s="12" t="str">
        <x:v>バランス型</x:v>
      </x:c>
      <x:c r="D34" s="12" t="str">
        <x:v>Diver</x:v>
      </x:c>
      <x:c r="E34" s="12"/>
      <x:c r="F34" s="12" t="str">
        <x:v>No</x:v>
      </x:c>
      <x:c r="G34" s="12" t="n">
        <x:v>1</x:v>
      </x:c>
      <x:c r="H34" s="12" t="str">
        <x:v>中</x:v>
      </x:c>
      <x:c r="I34" s="101" t="str">
        <x:v>2026-09-29</x:v>
      </x:c>
      <x:c r="J34" s="12" t="str">
        <x:v>型分けは診断上のプレイ人格が大きく変わる場合のみ</x:v>
      </x:c>
      <x:c r="K34" s="12" t="str">
        <x:v>https://wikiwiki.jp/poke-unite/%E3%82%AA%E3%83%BC%E3%83%80%E3%82%A4%E3%83%AB</x:v>
      </x:c>
      <x:c r="L34" s="12" t="str">
        <x:v>https://www.pokemonunite.jp/pokemon/</x:v>
      </x:c>
      <x:c r="M34" s="12" t="str">
        <x:v>https://uniteapi.dev/jp/meta</x:v>
      </x:c>
    </x:row>
    <x:row r="35">
      <x:c r="A35" s="12" t="n">
        <x:v>34</x:v>
      </x:c>
      <x:c r="B35" s="12" t="str">
        <x:v>カイリキー</x:v>
      </x:c>
      <x:c r="C35" s="12" t="str">
        <x:v>バランス型</x:v>
      </x:c>
      <x:c r="D35" s="12" t="str">
        <x:v>Diver</x:v>
      </x:c>
      <x:c r="E35" s="12"/>
      <x:c r="F35" s="12" t="str">
        <x:v>No</x:v>
      </x:c>
      <x:c r="G35" s="12" t="n">
        <x:v>1</x:v>
      </x:c>
      <x:c r="H35" s="12" t="str">
        <x:v>高</x:v>
      </x:c>
      <x:c r="I35" s="101" t="str">
        <x:v>2026-09-29</x:v>
      </x:c>
      <x:c r="J35" s="12" t="str">
        <x:v>型分けは診断上のプレイ人格が大きく変わる場合のみ</x:v>
      </x:c>
      <x:c r="K35" s="12" t="str">
        <x:v>https://wikiwiki.jp/poke-unite/%E3%82%AB%E3%82%A4%E3%83%AA%E3%82%AD%E3%83%BC</x:v>
      </x:c>
      <x:c r="L35" s="12" t="str">
        <x:v>https://www.pokemonunite.jp/pokemon/</x:v>
      </x:c>
      <x:c r="M35" s="12" t="str">
        <x:v>https://uniteapi.dev/jp/meta</x:v>
      </x:c>
    </x:row>
    <x:row r="36">
      <x:c r="A36" s="12" t="n">
        <x:v>35</x:v>
      </x:c>
      <x:c r="B36" s="12" t="str">
        <x:v>カイリュー</x:v>
      </x:c>
      <x:c r="C36" s="12" t="str">
        <x:v>バランス型</x:v>
      </x:c>
      <x:c r="D36" s="12" t="str">
        <x:v>Marksman</x:v>
      </x:c>
      <x:c r="E36" s="12" t="str">
        <x:v>Juggernaut</x:v>
      </x:c>
      <x:c r="F36" s="12" t="str">
        <x:v>Yes</x:v>
      </x:c>
      <x:c r="G36" s="12" t="n">
        <x:v>2</x:v>
      </x:c>
      <x:c r="H36" s="12" t="str">
        <x:v>高</x:v>
      </x:c>
      <x:c r="I36" s="101" t="str">
        <x:v>2026-09-29</x:v>
      </x:c>
      <x:c r="J36" s="12" t="str">
        <x:v>型分けは診断上のプレイ人格が大きく変わる場合のみ</x:v>
      </x:c>
      <x:c r="K36" s="12" t="str">
        <x:v>https://wikiwiki.jp/poke-unite/%E3%82%AB%E3%82%A4%E3%83%AA%E3%83%A5%E3%83%BC</x:v>
      </x:c>
      <x:c r="L36" s="12" t="str">
        <x:v>https://www.pokemonunite.jp/pokemon/</x:v>
      </x:c>
      <x:c r="M36" s="12" t="str">
        <x:v>https://uniteapi.dev/jp/meta</x:v>
      </x:c>
    </x:row>
    <x:row r="37">
      <x:c r="A37" s="12" t="n">
        <x:v>36</x:v>
      </x:c>
      <x:c r="B37" s="12" t="str">
        <x:v>ガブリアス</x:v>
      </x:c>
      <x:c r="C37" s="12" t="str">
        <x:v>バランス型</x:v>
      </x:c>
      <x:c r="D37" s="12" t="str">
        <x:v>Juggernaut</x:v>
      </x:c>
      <x:c r="E37" s="12"/>
      <x:c r="F37" s="12" t="str">
        <x:v>No</x:v>
      </x:c>
      <x:c r="G37" s="12" t="n">
        <x:v>1</x:v>
      </x:c>
      <x:c r="H37" s="12" t="str">
        <x:v>高</x:v>
      </x:c>
      <x:c r="I37" s="101" t="str">
        <x:v>2026-09-29</x:v>
      </x:c>
      <x:c r="J37" s="12" t="str">
        <x:v>型分けは診断上のプレイ人格が大きく変わる場合のみ</x:v>
      </x:c>
      <x:c r="K37" s="12" t="str">
        <x:v>https://wikiwiki.jp/poke-unite/%E3%82%AC%E3%83%96%E3%83%AA%E3%82%A2%E3%82%B9</x:v>
      </x:c>
      <x:c r="L37" s="12" t="str">
        <x:v>https://www.pokemonunite.jp/pokemon/</x:v>
      </x:c>
      <x:c r="M37" s="12" t="str">
        <x:v>https://uniteapi.dev/jp/meta</x:v>
      </x:c>
    </x:row>
    <x:row r="38">
      <x:c r="A38" s="12" t="n">
        <x:v>37</x:v>
      </x:c>
      <x:c r="B38" s="12" t="str">
        <x:v>ギャラドス</x:v>
      </x:c>
      <x:c r="C38" s="12" t="str">
        <x:v>バランス型</x:v>
      </x:c>
      <x:c r="D38" s="12" t="str">
        <x:v>Diver</x:v>
      </x:c>
      <x:c r="E38" s="12"/>
      <x:c r="F38" s="12" t="str">
        <x:v>No</x:v>
      </x:c>
      <x:c r="G38" s="12" t="n">
        <x:v>1</x:v>
      </x:c>
      <x:c r="H38" s="12" t="str">
        <x:v>高</x:v>
      </x:c>
      <x:c r="I38" s="101" t="str">
        <x:v>2026-09-29</x:v>
      </x:c>
      <x:c r="J38" s="12" t="str">
        <x:v>型分けは診断上のプレイ人格が大きく変わる場合のみ</x:v>
      </x:c>
      <x:c r="K38" s="12" t="str">
        <x:v>https://wikiwiki.jp/poke-unite/%E3%82%AE%E3%83%A3%E3%83%A9%E3%83%89%E3%82%B9</x:v>
      </x:c>
      <x:c r="L38" s="12" t="str">
        <x:v>https://www.pokemonunite.jp/pokemon/</x:v>
      </x:c>
      <x:c r="M38" s="12" t="str">
        <x:v>https://uniteapi.dev/jp/meta</x:v>
      </x:c>
    </x:row>
    <x:row r="39">
      <x:c r="A39" s="12" t="n">
        <x:v>38</x:v>
      </x:c>
      <x:c r="B39" s="12" t="str">
        <x:v>メガギャラドス</x:v>
      </x:c>
      <x:c r="C39" s="12" t="str">
        <x:v>バランス型</x:v>
      </x:c>
      <x:c r="D39" s="12" t="str">
        <x:v>Diver</x:v>
      </x:c>
      <x:c r="E39" s="12"/>
      <x:c r="F39" s="12" t="str">
        <x:v>No</x:v>
      </x:c>
      <x:c r="G39" s="12" t="n">
        <x:v>1</x:v>
      </x:c>
      <x:c r="H39" s="12" t="str">
        <x:v>中</x:v>
      </x:c>
      <x:c r="I39" s="101" t="str">
        <x:v>2026-09-29</x:v>
      </x:c>
      <x:c r="J39" s="12" t="str">
        <x:v>型分けは診断上のプレイ人格が大きく変わる場合のみ</x:v>
      </x:c>
      <x:c r="K39" s="12" t="str">
        <x:v>https://wikiwiki.jp/poke-unite/%E3%83%A1%E3%82%AC%E3%82%AE%E3%83%A3%E3%83%A9%E3%83%89%E3%82%B9</x:v>
      </x:c>
      <x:c r="L39" s="12" t="str">
        <x:v>https://www.pokemonunite.jp/pokemon/</x:v>
      </x:c>
      <x:c r="M39" s="12" t="str">
        <x:v>https://uniteapi.dev/jp/meta</x:v>
      </x:c>
    </x:row>
    <x:row r="40">
      <x:c r="A40" s="12" t="n">
        <x:v>39</x:v>
      </x:c>
      <x:c r="B40" s="12" t="str">
        <x:v>ギルガルド</x:v>
      </x:c>
      <x:c r="C40" s="12" t="str">
        <x:v>バランス型</x:v>
      </x:c>
      <x:c r="D40" s="12" t="str">
        <x:v>Skirmisher</x:v>
      </x:c>
      <x:c r="E40" s="12"/>
      <x:c r="F40" s="12" t="str">
        <x:v>No</x:v>
      </x:c>
      <x:c r="G40" s="12" t="n">
        <x:v>1</x:v>
      </x:c>
      <x:c r="H40" s="12" t="str">
        <x:v>高</x:v>
      </x:c>
      <x:c r="I40" s="101" t="str">
        <x:v>2026-09-29</x:v>
      </x:c>
      <x:c r="J40" s="12" t="str">
        <x:v>型分けは診断上のプレイ人格が大きく変わる場合のみ</x:v>
      </x:c>
      <x:c r="K40" s="12" t="str">
        <x:v>https://wikiwiki.jp/poke-unite/%E3%82%AE%E3%83%AB%E3%82%AC%E3%83%AB%E3%83%89</x:v>
      </x:c>
      <x:c r="L40" s="12" t="str">
        <x:v>https://www.pokemonunite.jp/pokemon/</x:v>
      </x:c>
      <x:c r="M40" s="12" t="str">
        <x:v>https://uniteapi.dev/jp/meta</x:v>
      </x:c>
    </x:row>
    <x:row r="41">
      <x:c r="A41" s="12" t="n">
        <x:v>40</x:v>
      </x:c>
      <x:c r="B41" s="12" t="str">
        <x:v>ザシアン</x:v>
      </x:c>
      <x:c r="C41" s="12" t="str">
        <x:v>バランス型</x:v>
      </x:c>
      <x:c r="D41" s="12" t="str">
        <x:v>Skirmisher</x:v>
      </x:c>
      <x:c r="E41" s="12"/>
      <x:c r="F41" s="12" t="str">
        <x:v>No</x:v>
      </x:c>
      <x:c r="G41" s="12" t="n">
        <x:v>1</x:v>
      </x:c>
      <x:c r="H41" s="12" t="str">
        <x:v>高</x:v>
      </x:c>
      <x:c r="I41" s="101" t="str">
        <x:v>2026-09-29</x:v>
      </x:c>
      <x:c r="J41" s="12" t="str">
        <x:v>型分けは診断上のプレイ人格が大きく変わる場合のみ</x:v>
      </x:c>
      <x:c r="K41" s="12" t="str">
        <x:v>https://wikiwiki.jp/poke-unite/%E3%82%B6%E3%82%B7%E3%82%A2%E3%83%B3</x:v>
      </x:c>
      <x:c r="L41" s="12" t="str">
        <x:v>https://www.pokemonunite.jp/pokemon/</x:v>
      </x:c>
      <x:c r="M41" s="12" t="str">
        <x:v>https://uniteapi.dev/jp/meta</x:v>
      </x:c>
    </x:row>
    <x:row r="42">
      <x:c r="A42" s="12" t="n">
        <x:v>41</x:v>
      </x:c>
      <x:c r="B42" s="12" t="str">
        <x:v>スイクン</x:v>
      </x:c>
      <x:c r="C42" s="12" t="str">
        <x:v>バランス型</x:v>
      </x:c>
      <x:c r="D42" s="12" t="str">
        <x:v>BurstMage</x:v>
      </x:c>
      <x:c r="E42" s="12"/>
      <x:c r="F42" s="12" t="str">
        <x:v>No</x:v>
      </x:c>
      <x:c r="G42" s="12" t="n">
        <x:v>1</x:v>
      </x:c>
      <x:c r="H42" s="12" t="str">
        <x:v>高</x:v>
      </x:c>
      <x:c r="I42" s="101" t="str">
        <x:v>2026-09-29</x:v>
      </x:c>
      <x:c r="J42" s="12" t="str">
        <x:v>型分けは診断上のプレイ人格が大きく変わる場合のみ</x:v>
      </x:c>
      <x:c r="K42" s="12" t="str">
        <x:v>https://wikiwiki.jp/poke-unite/%E3%82%B9%E3%82%A4%E3%82%AF%E3%83%B3</x:v>
      </x:c>
      <x:c r="L42" s="12" t="str">
        <x:v>https://www.pokemonunite.jp/pokemon/</x:v>
      </x:c>
      <x:c r="M42" s="12" t="str">
        <x:v>https://uniteapi.dev/jp/meta</x:v>
      </x:c>
    </x:row>
    <x:row r="43">
      <x:c r="A43" s="12" t="n">
        <x:v>42</x:v>
      </x:c>
      <x:c r="B43" s="12" t="str">
        <x:v>ソウブレイズ</x:v>
      </x:c>
      <x:c r="C43" s="12" t="str">
        <x:v>バランス型</x:v>
      </x:c>
      <x:c r="D43" s="12" t="str">
        <x:v>Skirmisher</x:v>
      </x:c>
      <x:c r="E43" s="12"/>
      <x:c r="F43" s="12" t="str">
        <x:v>No</x:v>
      </x:c>
      <x:c r="G43" s="12" t="n">
        <x:v>1</x:v>
      </x:c>
      <x:c r="H43" s="12" t="str">
        <x:v>高</x:v>
      </x:c>
      <x:c r="I43" s="101" t="str">
        <x:v>2026-09-29</x:v>
      </x:c>
      <x:c r="J43" s="12" t="str">
        <x:v>型分けは診断上のプレイ人格が大きく変わる場合のみ</x:v>
      </x:c>
      <x:c r="K43" s="12" t="str">
        <x:v>https://wikiwiki.jp/poke-unite/%E3%82%BD%E3%82%A6%E3%83%96%E3%83%AC%E3%82%A4%E3%82%BA</x:v>
      </x:c>
      <x:c r="L43" s="12" t="str">
        <x:v>https://www.pokemonunite.jp/pokemon/</x:v>
      </x:c>
      <x:c r="M43" s="12" t="str">
        <x:v>https://uniteapi.dev/jp/meta</x:v>
      </x:c>
    </x:row>
    <x:row r="44">
      <x:c r="A44" s="12" t="n">
        <x:v>43</x:v>
      </x:c>
      <x:c r="B44" s="12" t="str">
        <x:v>ソルガレオ</x:v>
      </x:c>
      <x:c r="C44" s="12" t="str">
        <x:v>バランス型</x:v>
      </x:c>
      <x:c r="D44" s="12" t="str">
        <x:v>Juggernaut</x:v>
      </x:c>
      <x:c r="E44" s="12"/>
      <x:c r="F44" s="12" t="str">
        <x:v>No</x:v>
      </x:c>
      <x:c r="G44" s="12" t="n">
        <x:v>1</x:v>
      </x:c>
      <x:c r="H44" s="12" t="str">
        <x:v>低</x:v>
      </x:c>
      <x:c r="I44" s="101" t="str">
        <x:v>2026-09-29</x:v>
      </x:c>
      <x:c r="J44" s="12" t="str">
        <x:v>型分けは診断上のプレイ人格が大きく変わる場合のみ</x:v>
      </x:c>
      <x:c r="K44" s="12" t="str">
        <x:v>https://wikiwiki.jp/poke-unite/%E3%82%BD%E3%83%AB%E3%82%AC%E3%83%AC%E3%82%AA</x:v>
      </x:c>
      <x:c r="L44" s="12" t="str">
        <x:v>https://www.pokemonunite.jp/pokemon/</x:v>
      </x:c>
      <x:c r="M44" s="12" t="str">
        <x:v>https://uniteapi.dev/jp/meta</x:v>
      </x:c>
    </x:row>
    <x:row r="45">
      <x:c r="A45" s="12" t="n">
        <x:v>44</x:v>
      </x:c>
      <x:c r="B45" s="12" t="str">
        <x:v>タイレーツ</x:v>
      </x:c>
      <x:c r="C45" s="12" t="str">
        <x:v>バランス型</x:v>
      </x:c>
      <x:c r="D45" s="12" t="str">
        <x:v>Juggernaut</x:v>
      </x:c>
      <x:c r="E45" s="12" t="str">
        <x:v>Diver</x:v>
      </x:c>
      <x:c r="F45" s="12" t="str">
        <x:v>Yes</x:v>
      </x:c>
      <x:c r="G45" s="12" t="n">
        <x:v>2</x:v>
      </x:c>
      <x:c r="H45" s="12" t="str">
        <x:v>高</x:v>
      </x:c>
      <x:c r="I45" s="101" t="str">
        <x:v>2026-09-29</x:v>
      </x:c>
      <x:c r="J45" s="12" t="str">
        <x:v>型分けは診断上のプレイ人格が大きく変わる場合のみ</x:v>
      </x:c>
      <x:c r="K45" s="12" t="str">
        <x:v>https://wikiwiki.jp/poke-unite/%E3%82%BF%E3%82%A4%E3%83%AC%E3%83%BC%E3%83%84</x:v>
      </x:c>
      <x:c r="L45" s="12" t="str">
        <x:v>https://www.pokemonunite.jp/pokemon/</x:v>
      </x:c>
      <x:c r="M45" s="12" t="str">
        <x:v>https://uniteapi.dev/jp/meta</x:v>
      </x:c>
    </x:row>
    <x:row r="46">
      <x:c r="A46" s="12" t="n">
        <x:v>45</x:v>
      </x:c>
      <x:c r="B46" s="12" t="str">
        <x:v>ダダリン</x:v>
      </x:c>
      <x:c r="C46" s="12" t="str">
        <x:v>バランス型</x:v>
      </x:c>
      <x:c r="D46" s="12" t="str">
        <x:v>Catcher</x:v>
      </x:c>
      <x:c r="E46" s="12"/>
      <x:c r="F46" s="12" t="str">
        <x:v>No</x:v>
      </x:c>
      <x:c r="G46" s="12" t="n">
        <x:v>1</x:v>
      </x:c>
      <x:c r="H46" s="12" t="str">
        <x:v>高</x:v>
      </x:c>
      <x:c r="I46" s="101" t="str">
        <x:v>2026-09-29</x:v>
      </x:c>
      <x:c r="J46" s="12" t="str">
        <x:v>型分けは診断上のプレイ人格が大きく変わる場合のみ</x:v>
      </x:c>
      <x:c r="K46" s="12" t="str">
        <x:v>https://wikiwiki.jp/poke-unite/%E3%83%80%E3%83%80%E3%83%AA%E3%83%B3</x:v>
      </x:c>
      <x:c r="L46" s="12" t="str">
        <x:v>https://www.pokemonunite.jp/pokemon/</x:v>
      </x:c>
      <x:c r="M46" s="12" t="str">
        <x:v>https://uniteapi.dev/jp/meta</x:v>
      </x:c>
    </x:row>
    <x:row r="47">
      <x:c r="A47" s="12" t="n">
        <x:v>46</x:v>
      </x:c>
      <x:c r="B47" s="12" t="str">
        <x:v>デカヌチャン</x:v>
      </x:c>
      <x:c r="C47" s="12" t="str">
        <x:v>バランス型</x:v>
      </x:c>
      <x:c r="D47" s="12" t="str">
        <x:v>Juggernaut</x:v>
      </x:c>
      <x:c r="E47" s="12"/>
      <x:c r="F47" s="12" t="str">
        <x:v>No</x:v>
      </x:c>
      <x:c r="G47" s="12" t="n">
        <x:v>1</x:v>
      </x:c>
      <x:c r="H47" s="12" t="str">
        <x:v>高</x:v>
      </x:c>
      <x:c r="I47" s="101" t="str">
        <x:v>2026-09-29</x:v>
      </x:c>
      <x:c r="J47" s="12" t="str">
        <x:v>型分けは診断上のプレイ人格が大きく変わる場合のみ</x:v>
      </x:c>
      <x:c r="K47" s="12" t="str">
        <x:v>https://wikiwiki.jp/poke-unite/%E3%83%87%E3%82%AB%E3%83%8C%E3%83%81%E3%83%A3%E3%83%B3</x:v>
      </x:c>
      <x:c r="L47" s="12" t="str">
        <x:v>https://www.pokemonunite.jp/pokemon/</x:v>
      </x:c>
      <x:c r="M47" s="12" t="str">
        <x:v>https://uniteapi.dev/jp/meta</x:v>
      </x:c>
    </x:row>
    <x:row r="48">
      <x:c r="A48" s="12" t="n">
        <x:v>47</x:v>
      </x:c>
      <x:c r="B48" s="12" t="str">
        <x:v>ネギガナイト</x:v>
      </x:c>
      <x:c r="C48" s="12" t="str">
        <x:v>バランス型</x:v>
      </x:c>
      <x:c r="D48" s="12" t="str">
        <x:v>Diver</x:v>
      </x:c>
      <x:c r="E48" s="12"/>
      <x:c r="F48" s="12" t="str">
        <x:v>No</x:v>
      </x:c>
      <x:c r="G48" s="12" t="n">
        <x:v>1</x:v>
      </x:c>
      <x:c r="H48" s="12" t="str">
        <x:v>高</x:v>
      </x:c>
      <x:c r="I48" s="101" t="str">
        <x:v>2026-09-29</x:v>
      </x:c>
      <x:c r="J48" s="12" t="str">
        <x:v>型分けは診断上のプレイ人格が大きく変わる場合のみ</x:v>
      </x:c>
      <x:c r="K48" s="12" t="str">
        <x:v>https://wikiwiki.jp/poke-unite/%E3%83%8D%E3%82%AE%E3%82%AC%E3%83%8A%E3%82%A4%E3%83%88</x:v>
      </x:c>
      <x:c r="L48" s="12" t="str">
        <x:v>https://www.pokemonunite.jp/pokemon/</x:v>
      </x:c>
      <x:c r="M48" s="12" t="str">
        <x:v>https://uniteapi.dev/jp/meta</x:v>
      </x:c>
    </x:row>
    <x:row r="49">
      <x:c r="A49" s="12" t="n">
        <x:v>48</x:v>
      </x:c>
      <x:c r="B49" s="12" t="str">
        <x:v>ハッサム</x:v>
      </x:c>
      <x:c r="C49" s="12" t="str">
        <x:v>バランス型</x:v>
      </x:c>
      <x:c r="D49" s="12" t="str">
        <x:v>Assassin</x:v>
      </x:c>
      <x:c r="E49" s="12" t="str">
        <x:v>Skirmisher</x:v>
      </x:c>
      <x:c r="F49" s="12" t="str">
        <x:v>Yes</x:v>
      </x:c>
      <x:c r="G49" s="12" t="n">
        <x:v>2</x:v>
      </x:c>
      <x:c r="H49" s="12" t="str">
        <x:v>高</x:v>
      </x:c>
      <x:c r="I49" s="101" t="str">
        <x:v>2026-09-29</x:v>
      </x:c>
      <x:c r="J49" s="12" t="str">
        <x:v>型分けは診断上のプレイ人格が大きく変わる場合のみ</x:v>
      </x:c>
      <x:c r="K49" s="12" t="str">
        <x:v>https://wikiwiki.jp/poke-unite/%E3%83%8F%E3%83%83%E3%82%B5%E3%83%A0</x:v>
      </x:c>
      <x:c r="L49" s="12" t="str">
        <x:v>https://www.pokemonunite.jp/pokemon/</x:v>
      </x:c>
      <x:c r="M49" s="12" t="str">
        <x:v>https://uniteapi.dev/jp/meta</x:v>
      </x:c>
    </x:row>
    <x:row r="50">
      <x:c r="A50" s="12" t="n">
        <x:v>49</x:v>
      </x:c>
      <x:c r="B50" s="12" t="str">
        <x:v>バシャーモ</x:v>
      </x:c>
      <x:c r="C50" s="12" t="str">
        <x:v>バランス型</x:v>
      </x:c>
      <x:c r="D50" s="12" t="str">
        <x:v>Diver</x:v>
      </x:c>
      <x:c r="E50" s="12"/>
      <x:c r="F50" s="12" t="str">
        <x:v>No</x:v>
      </x:c>
      <x:c r="G50" s="12" t="n">
        <x:v>1</x:v>
      </x:c>
      <x:c r="H50" s="12" t="str">
        <x:v>高</x:v>
      </x:c>
      <x:c r="I50" s="101" t="str">
        <x:v>2026-09-29</x:v>
      </x:c>
      <x:c r="J50" s="12" t="str">
        <x:v>型分けは診断上のプレイ人格が大きく変わる場合のみ</x:v>
      </x:c>
      <x:c r="K50" s="12" t="str">
        <x:v>https://wikiwiki.jp/poke-unite/%E3%83%90%E3%82%B7%E3%83%A3%E3%83%BC%E3%83%A2</x:v>
      </x:c>
      <x:c r="L50" s="12" t="str">
        <x:v>https://www.pokemonunite.jp/pokemon/</x:v>
      </x:c>
      <x:c r="M50" s="12" t="str">
        <x:v>https://uniteapi.dev/jp/meta</x:v>
      </x:c>
    </x:row>
    <x:row r="51">
      <x:c r="A51" s="12" t="n">
        <x:v>50</x:v>
      </x:c>
      <x:c r="B51" s="12" t="str">
        <x:v>バンギラス</x:v>
      </x:c>
      <x:c r="C51" s="12" t="str">
        <x:v>バランス型</x:v>
      </x:c>
      <x:c r="D51" s="12" t="str">
        <x:v>Juggernaut</x:v>
      </x:c>
      <x:c r="E51" s="12"/>
      <x:c r="F51" s="12" t="str">
        <x:v>No</x:v>
      </x:c>
      <x:c r="G51" s="12" t="n">
        <x:v>1</x:v>
      </x:c>
      <x:c r="H51" s="12" t="str">
        <x:v>高</x:v>
      </x:c>
      <x:c r="I51" s="101" t="str">
        <x:v>2026-09-29</x:v>
      </x:c>
      <x:c r="J51" s="12" t="str">
        <x:v>型分けは診断上のプレイ人格が大きく変わる場合のみ</x:v>
      </x:c>
      <x:c r="K51" s="12" t="str">
        <x:v>https://wikiwiki.jp/poke-unite/%E3%83%90%E3%83%B3%E3%82%AE%E3%83%A9%E3%82%B9</x:v>
      </x:c>
      <x:c r="L51" s="12" t="str">
        <x:v>https://www.pokemonunite.jp/pokemon/</x:v>
      </x:c>
      <x:c r="M51" s="12" t="str">
        <x:v>https://uniteapi.dev/jp/meta</x:v>
      </x:c>
    </x:row>
    <x:row r="52">
      <x:c r="A52" s="12" t="n">
        <x:v>51</x:v>
      </x:c>
      <x:c r="B52" s="12" t="str">
        <x:v>パルキア</x:v>
      </x:c>
      <x:c r="C52" s="12" t="str">
        <x:v>バランス型</x:v>
      </x:c>
      <x:c r="D52" s="12" t="str">
        <x:v>Diver</x:v>
      </x:c>
      <x:c r="E52" s="12"/>
      <x:c r="F52" s="12" t="str">
        <x:v>No</x:v>
      </x:c>
      <x:c r="G52" s="12" t="n">
        <x:v>1</x:v>
      </x:c>
      <x:c r="H52" s="12" t="str">
        <x:v>中</x:v>
      </x:c>
      <x:c r="I52" s="101" t="str">
        <x:v>2026-09-29</x:v>
      </x:c>
      <x:c r="J52" s="12" t="str">
        <x:v>型分けは診断上のプレイ人格が大きく変わる場合のみ</x:v>
      </x:c>
      <x:c r="K52" s="12" t="str">
        <x:v>https://wikiwiki.jp/poke-unite/%E3%83%91%E3%83%AB%E3%82%AD%E3%82%A2</x:v>
      </x:c>
      <x:c r="L52" s="12" t="str">
        <x:v>https://www.pokemonunite.jp/pokemon/</x:v>
      </x:c>
      <x:c r="M52" s="12" t="str">
        <x:v>https://uniteapi.dev/jp/meta</x:v>
      </x:c>
    </x:row>
    <x:row r="53">
      <x:c r="A53" s="12" t="n">
        <x:v>52</x:v>
      </x:c>
      <x:c r="B53" s="12" t="str">
        <x:v>パーモット</x:v>
      </x:c>
      <x:c r="C53" s="12" t="str">
        <x:v>バランス型</x:v>
      </x:c>
      <x:c r="D53" s="12" t="str">
        <x:v>Diver</x:v>
      </x:c>
      <x:c r="E53" s="12"/>
      <x:c r="F53" s="12" t="str">
        <x:v>No</x:v>
      </x:c>
      <x:c r="G53" s="12" t="n">
        <x:v>1</x:v>
      </x:c>
      <x:c r="H53" s="12" t="str">
        <x:v>高</x:v>
      </x:c>
      <x:c r="I53" s="101" t="str">
        <x:v>2026-09-29</x:v>
      </x:c>
      <x:c r="J53" s="12" t="str">
        <x:v>型分けは診断上のプレイ人格が大きく変わる場合のみ</x:v>
      </x:c>
      <x:c r="K53" s="12" t="str">
        <x:v>https://wikiwiki.jp/poke-unite/%E3%83%91%E3%83%BC%E3%83%A2%E3%83%83%E3%83%88</x:v>
      </x:c>
      <x:c r="L53" s="12" t="str">
        <x:v>https://www.pokemonunite.jp/pokemon/</x:v>
      </x:c>
      <x:c r="M53" s="12" t="str">
        <x:v>https://uniteapi.dev/jp/meta</x:v>
      </x:c>
    </x:row>
    <x:row r="54">
      <x:c r="A54" s="12" t="n">
        <x:v>53</x:v>
      </x:c>
      <x:c r="B54" s="12" t="str">
        <x:v>ファイヤー</x:v>
      </x:c>
      <x:c r="C54" s="12" t="str">
        <x:v>バランス型</x:v>
      </x:c>
      <x:c r="D54" s="12" t="str">
        <x:v>Juggernaut</x:v>
      </x:c>
      <x:c r="E54" s="12"/>
      <x:c r="F54" s="12" t="str">
        <x:v>No</x:v>
      </x:c>
      <x:c r="G54" s="12" t="n">
        <x:v>1</x:v>
      </x:c>
      <x:c r="H54" s="12" t="str">
        <x:v>中</x:v>
      </x:c>
      <x:c r="I54" s="101" t="str">
        <x:v>2026-09-29</x:v>
      </x:c>
      <x:c r="J54" s="12" t="str">
        <x:v>型分けは診断上のプレイ人格が大きく変わる場合のみ</x:v>
      </x:c>
      <x:c r="K54" s="12" t="str">
        <x:v>https://wikiwiki.jp/poke-unite/%E3%83%95%E3%82%A1%E3%82%A4%E3%83%A4%E3%83%BC</x:v>
      </x:c>
      <x:c r="L54" s="12" t="str">
        <x:v>https://www.pokemonunite.jp/pokemon/</x:v>
      </x:c>
      <x:c r="M54" s="12" t="str">
        <x:v>https://uniteapi.dev/jp/meta</x:v>
      </x:c>
    </x:row>
    <x:row r="55">
      <x:c r="A55" s="12" t="n">
        <x:v>54</x:v>
      </x:c>
      <x:c r="B55" s="12" t="str">
        <x:v>マッシブーン</x:v>
      </x:c>
      <x:c r="C55" s="12" t="str">
        <x:v>バランス型</x:v>
      </x:c>
      <x:c r="D55" s="12" t="str">
        <x:v>Catcher</x:v>
      </x:c>
      <x:c r="E55" s="12"/>
      <x:c r="F55" s="12" t="str">
        <x:v>No</x:v>
      </x:c>
      <x:c r="G55" s="12" t="n">
        <x:v>1</x:v>
      </x:c>
      <x:c r="H55" s="12" t="str">
        <x:v>高</x:v>
      </x:c>
      <x:c r="I55" s="101" t="str">
        <x:v>2026-09-29</x:v>
      </x:c>
      <x:c r="J55" s="12" t="str">
        <x:v>型分けは診断上のプレイ人格が大きく変わる場合のみ</x:v>
      </x:c>
      <x:c r="K55" s="12" t="str">
        <x:v>https://wikiwiki.jp/poke-unite/%E3%83%9E%E3%83%83%E3%82%B7%E3%83%96%E3%83%BC%E3%83%B3</x:v>
      </x:c>
      <x:c r="L55" s="12" t="str">
        <x:v>https://www.pokemonunite.jp/pokemon/</x:v>
      </x:c>
      <x:c r="M55" s="12" t="str">
        <x:v>https://uniteapi.dev/jp/meta</x:v>
      </x:c>
    </x:row>
    <x:row r="56">
      <x:c r="A56" s="12" t="n">
        <x:v>55</x:v>
      </x:c>
      <x:c r="B56" s="12" t="str">
        <x:v>マリルリ</x:v>
      </x:c>
      <x:c r="C56" s="12" t="str">
        <x:v>バランス型</x:v>
      </x:c>
      <x:c r="D56" s="12" t="str">
        <x:v>Diver</x:v>
      </x:c>
      <x:c r="E56" s="12"/>
      <x:c r="F56" s="12" t="str">
        <x:v>No</x:v>
      </x:c>
      <x:c r="G56" s="12" t="n">
        <x:v>1</x:v>
      </x:c>
      <x:c r="H56" s="12" t="str">
        <x:v>高</x:v>
      </x:c>
      <x:c r="I56" s="101" t="str">
        <x:v>2026-09-29</x:v>
      </x:c>
      <x:c r="J56" s="12" t="str">
        <x:v>型分けは診断上のプレイ人格が大きく変わる場合のみ</x:v>
      </x:c>
      <x:c r="K56" s="12" t="str">
        <x:v>https://wikiwiki.jp/poke-unite/%E3%83%9E%E3%83%AA%E3%83%AB%E3%83%AA</x:v>
      </x:c>
      <x:c r="L56" s="12" t="str">
        <x:v>https://www.pokemonunite.jp/pokemon/</x:v>
      </x:c>
      <x:c r="M56" s="12" t="str">
        <x:v>https://uniteapi.dev/jp/meta</x:v>
      </x:c>
    </x:row>
    <x:row r="57">
      <x:c r="A57" s="12" t="n">
        <x:v>56</x:v>
      </x:c>
      <x:c r="B57" s="12" t="str">
        <x:v>ミミッキュ</x:v>
      </x:c>
      <x:c r="C57" s="12" t="str">
        <x:v>バランス型</x:v>
      </x:c>
      <x:c r="D57" s="12" t="str">
        <x:v>Assassin</x:v>
      </x:c>
      <x:c r="E57" s="12" t="str">
        <x:v>Skirmisher</x:v>
      </x:c>
      <x:c r="F57" s="12" t="str">
        <x:v>Yes</x:v>
      </x:c>
      <x:c r="G57" s="12" t="n">
        <x:v>2</x:v>
      </x:c>
      <x:c r="H57" s="12" t="str">
        <x:v>高</x:v>
      </x:c>
      <x:c r="I57" s="101" t="str">
        <x:v>2026-09-29</x:v>
      </x:c>
      <x:c r="J57" s="12" t="str">
        <x:v>型分けは診断上のプレイ人格が大きく変わる場合のみ</x:v>
      </x:c>
      <x:c r="K57" s="12" t="str">
        <x:v>https://wikiwiki.jp/poke-unite/%E3%83%9F%E3%83%9F%E3%83%83%E3%82%AD%E3%83%A5</x:v>
      </x:c>
      <x:c r="L57" s="12" t="str">
        <x:v>https://www.pokemonunite.jp/pokemon/</x:v>
      </x:c>
      <x:c r="M57" s="12" t="str">
        <x:v>https://uniteapi.dev/jp/meta</x:v>
      </x:c>
    </x:row>
    <x:row r="58">
      <x:c r="A58" s="12" t="n">
        <x:v>57</x:v>
      </x:c>
      <x:c r="B58" s="12" t="str">
        <x:v>ミュウツー(X)</x:v>
      </x:c>
      <x:c r="C58" s="12" t="str">
        <x:v>バランス型</x:v>
      </x:c>
      <x:c r="D58" s="12" t="str">
        <x:v>Juggernaut</x:v>
      </x:c>
      <x:c r="E58" s="12" t="str">
        <x:v>Catcher</x:v>
      </x:c>
      <x:c r="F58" s="12" t="str">
        <x:v>No</x:v>
      </x:c>
      <x:c r="G58" s="12" t="n">
        <x:v>1</x:v>
      </x:c>
      <x:c r="H58" s="12" t="str">
        <x:v>高</x:v>
      </x:c>
      <x:c r="I58" s="101" t="str">
        <x:v>2026-09-29</x:v>
      </x:c>
      <x:c r="J58" s="12" t="str">
        <x:v>型分けは診断上のプレイ人格が大きく変わる場合のみ</x:v>
      </x:c>
      <x:c r="K58" s="12" t="str">
        <x:v>https://wikiwiki.jp/poke-unite/%E3%83%9F%E3%83%A5%E3%82%A6%E3%83%84%E3%83%BC(X)</x:v>
      </x:c>
      <x:c r="L58" s="12" t="str">
        <x:v>https://www.pokemonunite.jp/pokemon/</x:v>
      </x:c>
      <x:c r="M58" s="12" t="str">
        <x:v>https://uniteapi.dev/jp/meta</x:v>
      </x:c>
    </x:row>
    <x:row r="59">
      <x:c r="A59" s="12" t="n">
        <x:v>58</x:v>
      </x:c>
      <x:c r="B59" s="12" t="str">
        <x:v>メタグロス</x:v>
      </x:c>
      <x:c r="C59" s="12" t="str">
        <x:v>バランス型</x:v>
      </x:c>
      <x:c r="D59" s="12" t="str">
        <x:v>Diver</x:v>
      </x:c>
      <x:c r="E59" s="12" t="str">
        <x:v>Juggernaut</x:v>
      </x:c>
      <x:c r="F59" s="12" t="str">
        <x:v>No</x:v>
      </x:c>
      <x:c r="G59" s="12" t="n">
        <x:v>1</x:v>
      </x:c>
      <x:c r="H59" s="12" t="str">
        <x:v>高</x:v>
      </x:c>
      <x:c r="I59" s="101" t="str">
        <x:v>2026-09-29</x:v>
      </x:c>
      <x:c r="J59" s="12" t="str">
        <x:v>型分けは診断上のプレイ人格が大きく変わる場合のみ</x:v>
      </x:c>
      <x:c r="K59" s="12" t="str">
        <x:v>https://wikiwiki.jp/poke-unite/%E3%83%A1%E3%82%BF%E3%82%B0%E3%83%AD%E3%82%B9</x:v>
      </x:c>
      <x:c r="L59" s="12" t="str">
        <x:v>https://www.pokemonunite.jp/pokemon/</x:v>
      </x:c>
      <x:c r="M59" s="12" t="str">
        <x:v>https://uniteapi.dev/jp/meta</x:v>
      </x:c>
    </x:row>
    <x:row r="60">
      <x:c r="A60" s="12" t="n">
        <x:v>59</x:v>
      </x:c>
      <x:c r="B60" s="12" t="str">
        <x:v>リザードン</x:v>
      </x:c>
      <x:c r="C60" s="12" t="str">
        <x:v>バランス型</x:v>
      </x:c>
      <x:c r="D60" s="12" t="str">
        <x:v>BattleMage</x:v>
      </x:c>
      <x:c r="E60" s="12" t="str">
        <x:v>Diver</x:v>
      </x:c>
      <x:c r="F60" s="12" t="str">
        <x:v>Yes</x:v>
      </x:c>
      <x:c r="G60" s="12" t="n">
        <x:v>2</x:v>
      </x:c>
      <x:c r="H60" s="12" t="str">
        <x:v>高</x:v>
      </x:c>
      <x:c r="I60" s="101" t="str">
        <x:v>2026-09-29</x:v>
      </x:c>
      <x:c r="J60" s="12" t="str">
        <x:v>型分けは診断上のプレイ人格が大きく変わる場合のみ</x:v>
      </x:c>
      <x:c r="K60" s="12" t="str">
        <x:v>https://wikiwiki.jp/poke-unite/%E3%83%AA%E3%82%B6%E3%83%BC%E3%83%89%E3%83%B3</x:v>
      </x:c>
      <x:c r="L60" s="12" t="str">
        <x:v>https://www.pokemonunite.jp/pokemon/</x:v>
      </x:c>
      <x:c r="M60" s="12" t="str">
        <x:v>https://uniteapi.dev/jp/meta</x:v>
      </x:c>
    </x:row>
    <x:row r="61">
      <x:c r="A61" s="12" t="n">
        <x:v>60</x:v>
      </x:c>
      <x:c r="B61" s="12" t="str">
        <x:v>メガリザードンX</x:v>
      </x:c>
      <x:c r="C61" s="12" t="str">
        <x:v>バランス型</x:v>
      </x:c>
      <x:c r="D61" s="12" t="str">
        <x:v>Diver</x:v>
      </x:c>
      <x:c r="E61" s="12"/>
      <x:c r="F61" s="12" t="str">
        <x:v>No</x:v>
      </x:c>
      <x:c r="G61" s="12" t="n">
        <x:v>1</x:v>
      </x:c>
      <x:c r="H61" s="12" t="str">
        <x:v>中</x:v>
      </x:c>
      <x:c r="I61" s="101" t="str">
        <x:v>2026-09-29</x:v>
      </x:c>
      <x:c r="J61" s="12" t="str">
        <x:v>型分けは診断上のプレイ人格が大きく変わる場合のみ</x:v>
      </x:c>
      <x:c r="K61" s="12" t="str">
        <x:v>https://wikiwiki.jp/poke-unite/%E3%83%A1%E3%82%AC%E3%83%AA%E3%82%B6%E3%83%BC%E3%83%89%E3%83%B3X</x:v>
      </x:c>
      <x:c r="L61" s="12" t="str">
        <x:v>https://www.pokemonunite.jp/pokemon/</x:v>
      </x:c>
      <x:c r="M61" s="12" t="str">
        <x:v>https://uniteapi.dev/jp/meta</x:v>
      </x:c>
    </x:row>
    <x:row r="62">
      <x:c r="A62" s="12" t="n">
        <x:v>61</x:v>
      </x:c>
      <x:c r="B62" s="12" t="str">
        <x:v>メガリザードンY</x:v>
      </x:c>
      <x:c r="C62" s="12" t="str">
        <x:v>バランス型</x:v>
      </x:c>
      <x:c r="D62" s="12" t="str">
        <x:v>Diver</x:v>
      </x:c>
      <x:c r="E62" s="12" t="str">
        <x:v>BattleMage</x:v>
      </x:c>
      <x:c r="F62" s="12" t="str">
        <x:v>No</x:v>
      </x:c>
      <x:c r="G62" s="12" t="n">
        <x:v>1</x:v>
      </x:c>
      <x:c r="H62" s="12" t="str">
        <x:v>中</x:v>
      </x:c>
      <x:c r="I62" s="101" t="str">
        <x:v>2026-09-29</x:v>
      </x:c>
      <x:c r="J62" s="12" t="str">
        <x:v>型分けは診断上のプレイ人格が大きく変わる場合のみ</x:v>
      </x:c>
      <x:c r="K62" s="12" t="str">
        <x:v>https://wikiwiki.jp/poke-unite/%E3%83%A1%E3%82%AC%E3%83%AA%E3%82%B6%E3%83%BC%E3%83%89%E3%83%B3Y</x:v>
      </x:c>
      <x:c r="L62" s="12" t="str">
        <x:v>https://www.pokemonunite.jp/pokemon/</x:v>
      </x:c>
      <x:c r="M62" s="12" t="str">
        <x:v>https://uniteapi.dev/jp/meta</x:v>
      </x:c>
    </x:row>
    <x:row r="63">
      <x:c r="A63" s="12" t="n">
        <x:v>62</x:v>
      </x:c>
      <x:c r="B63" s="12" t="str">
        <x:v>ルカリオ</x:v>
      </x:c>
      <x:c r="C63" s="12" t="str">
        <x:v>バランス型</x:v>
      </x:c>
      <x:c r="D63" s="12" t="str">
        <x:v>Assassin</x:v>
      </x:c>
      <x:c r="E63" s="12" t="str">
        <x:v>Diver</x:v>
      </x:c>
      <x:c r="F63" s="12" t="str">
        <x:v>Yes</x:v>
      </x:c>
      <x:c r="G63" s="12" t="n">
        <x:v>2</x:v>
      </x:c>
      <x:c r="H63" s="12" t="str">
        <x:v>高</x:v>
      </x:c>
      <x:c r="I63" s="101" t="str">
        <x:v>2026-09-29</x:v>
      </x:c>
      <x:c r="J63" s="12" t="str">
        <x:v>型分けは診断上のプレイ人格が大きく変わる場合のみ</x:v>
      </x:c>
      <x:c r="K63" s="12" t="str">
        <x:v>https://wikiwiki.jp/poke-unite/%E3%83%AB%E3%82%AB%E3%83%AA%E3%82%AA</x:v>
      </x:c>
      <x:c r="L63" s="12" t="str">
        <x:v>https://www.pokemonunite.jp/pokemon/</x:v>
      </x:c>
      <x:c r="M63" s="12" t="str">
        <x:v>https://uniteapi.dev/jp/meta</x:v>
      </x:c>
    </x:row>
    <x:row r="64">
      <x:c r="A64" s="12" t="n">
        <x:v>63</x:v>
      </x:c>
      <x:c r="B64" s="12" t="str">
        <x:v>メガルカリオ</x:v>
      </x:c>
      <x:c r="C64" s="12" t="str">
        <x:v>バランス型</x:v>
      </x:c>
      <x:c r="D64" s="12" t="str">
        <x:v>Diver</x:v>
      </x:c>
      <x:c r="E64" s="12"/>
      <x:c r="F64" s="12" t="str">
        <x:v>No</x:v>
      </x:c>
      <x:c r="G64" s="12" t="n">
        <x:v>1</x:v>
      </x:c>
      <x:c r="H64" s="12" t="str">
        <x:v>中</x:v>
      </x:c>
      <x:c r="I64" s="101" t="str">
        <x:v>2026-09-29</x:v>
      </x:c>
      <x:c r="J64" s="12" t="str">
        <x:v>型分けは診断上のプレイ人格が大きく変わる場合のみ</x:v>
      </x:c>
      <x:c r="K64" s="12" t="str">
        <x:v>https://wikiwiki.jp/poke-unite/%E3%83%A1%E3%82%AC%E3%83%AB%E3%82%AB%E3%83%AA%E3%82%AA</x:v>
      </x:c>
      <x:c r="L64" s="12" t="str">
        <x:v>https://www.pokemonunite.jp/pokemon/</x:v>
      </x:c>
      <x:c r="M64" s="12" t="str">
        <x:v>https://uniteapi.dev/jp/meta</x:v>
      </x:c>
    </x:row>
    <x:row r="65">
      <x:c r="A65" s="12" t="n">
        <x:v>64</x:v>
      </x:c>
      <x:c r="B65" s="12" t="str">
        <x:v>アブソル</x:v>
      </x:c>
      <x:c r="C65" s="12" t="str">
        <x:v>スピード型</x:v>
      </x:c>
      <x:c r="D65" s="12" t="str">
        <x:v>Assassin</x:v>
      </x:c>
      <x:c r="E65" s="12"/>
      <x:c r="F65" s="12" t="str">
        <x:v>No</x:v>
      </x:c>
      <x:c r="G65" s="12" t="n">
        <x:v>1</x:v>
      </x:c>
      <x:c r="H65" s="12" t="str">
        <x:v>高</x:v>
      </x:c>
      <x:c r="I65" s="101" t="str">
        <x:v>2026-09-29</x:v>
      </x:c>
      <x:c r="J65" s="12" t="str">
        <x:v>型分けは診断上のプレイ人格が大きく変わる場合のみ</x:v>
      </x:c>
      <x:c r="K65" s="12" t="str">
        <x:v>https://wikiwiki.jp/poke-unite/%E3%82%A2%E3%83%96%E3%82%BD%E3%83%AB</x:v>
      </x:c>
      <x:c r="L65" s="12" t="str">
        <x:v>https://www.pokemonunite.jp/pokemon/</x:v>
      </x:c>
      <x:c r="M65" s="12" t="str">
        <x:v>https://uniteapi.dev/jp/meta</x:v>
      </x:c>
    </x:row>
    <x:row r="66">
      <x:c r="A66" s="12" t="n">
        <x:v>65</x:v>
      </x:c>
      <x:c r="B66" s="12" t="str">
        <x:v>ガラルギャロップ</x:v>
      </x:c>
      <x:c r="C66" s="12" t="str">
        <x:v>スピード型</x:v>
      </x:c>
      <x:c r="D66" s="12" t="str">
        <x:v>Diver</x:v>
      </x:c>
      <x:c r="E66" s="12"/>
      <x:c r="F66" s="12" t="str">
        <x:v>No</x:v>
      </x:c>
      <x:c r="G66" s="12" t="n">
        <x:v>1</x:v>
      </x:c>
      <x:c r="H66" s="12" t="str">
        <x:v>高</x:v>
      </x:c>
      <x:c r="I66" s="101" t="str">
        <x:v>2026-09-29</x:v>
      </x:c>
      <x:c r="J66" s="12" t="str">
        <x:v>型分けは診断上のプレイ人格が大きく変わる場合のみ</x:v>
      </x:c>
      <x:c r="K66" s="12" t="str">
        <x:v>https://wikiwiki.jp/poke-unite/%E3%82%AC%E3%83%A9%E3%83%AB%E3%82%AE%E3%83%A3%E3%83%AD%E3%83%83%E3%83%97</x:v>
      </x:c>
      <x:c r="L66" s="12" t="str">
        <x:v>https://www.pokemonunite.jp/pokemon/</x:v>
      </x:c>
      <x:c r="M66" s="12" t="str">
        <x:v>https://uniteapi.dev/jp/meta</x:v>
      </x:c>
    </x:row>
    <x:row r="67">
      <x:c r="A67" s="12" t="n">
        <x:v>66</x:v>
      </x:c>
      <x:c r="B67" s="12" t="str">
        <x:v>ゲンガー</x:v>
      </x:c>
      <x:c r="C67" s="12" t="str">
        <x:v>スピード型</x:v>
      </x:c>
      <x:c r="D67" s="12" t="str">
        <x:v>Assassin</x:v>
      </x:c>
      <x:c r="E67" s="12" t="str">
        <x:v>Skirmisher</x:v>
      </x:c>
      <x:c r="F67" s="12" t="str">
        <x:v>No</x:v>
      </x:c>
      <x:c r="G67" s="12" t="n">
        <x:v>1</x:v>
      </x:c>
      <x:c r="H67" s="12" t="str">
        <x:v>高</x:v>
      </x:c>
      <x:c r="I67" s="101" t="str">
        <x:v>2026-09-29</x:v>
      </x:c>
      <x:c r="J67" s="12" t="str">
        <x:v>型分けは診断上のプレイ人格が大きく変わる場合のみ</x:v>
      </x:c>
      <x:c r="K67" s="12" t="str">
        <x:v>https://wikiwiki.jp/poke-unite/%E3%82%B2%E3%83%B3%E3%82%AC%E3%83%BC</x:v>
      </x:c>
      <x:c r="L67" s="12" t="str">
        <x:v>https://www.pokemonunite.jp/pokemon/</x:v>
      </x:c>
      <x:c r="M67" s="12" t="str">
        <x:v>https://uniteapi.dev/jp/meta</x:v>
      </x:c>
    </x:row>
    <x:row r="68">
      <x:c r="A68" s="12" t="n">
        <x:v>67</x:v>
      </x:c>
      <x:c r="B68" s="12" t="str">
        <x:v>ゼラオラ</x:v>
      </x:c>
      <x:c r="C68" s="12" t="str">
        <x:v>スピード型</x:v>
      </x:c>
      <x:c r="D68" s="12" t="str">
        <x:v>Skirmisher</x:v>
      </x:c>
      <x:c r="E68" s="12" t="str">
        <x:v>Assassin</x:v>
      </x:c>
      <x:c r="F68" s="12" t="str">
        <x:v>Yes</x:v>
      </x:c>
      <x:c r="G68" s="12" t="n">
        <x:v>2</x:v>
      </x:c>
      <x:c r="H68" s="12" t="str">
        <x:v>高</x:v>
      </x:c>
      <x:c r="I68" s="101" t="str">
        <x:v>2026-09-29</x:v>
      </x:c>
      <x:c r="J68" s="12" t="str">
        <x:v>型分けは診断上のプレイ人格が大きく変わる場合のみ</x:v>
      </x:c>
      <x:c r="K68" s="12" t="str">
        <x:v>https://wikiwiki.jp/poke-unite/%E3%82%BC%E3%83%A9%E3%82%AA%E3%83%A9</x:v>
      </x:c>
      <x:c r="L68" s="12" t="str">
        <x:v>https://www.pokemonunite.jp/pokemon/</x:v>
      </x:c>
      <x:c r="M68" s="12" t="str">
        <x:v>https://uniteapi.dev/jp/meta</x:v>
      </x:c>
    </x:row>
    <x:row r="69">
      <x:c r="A69" s="12" t="n">
        <x:v>68</x:v>
      </x:c>
      <x:c r="B69" s="12" t="str">
        <x:v>ゾロアーク</x:v>
      </x:c>
      <x:c r="C69" s="12" t="str">
        <x:v>スピード型</x:v>
      </x:c>
      <x:c r="D69" s="12" t="str">
        <x:v>Assassin</x:v>
      </x:c>
      <x:c r="E69" s="12"/>
      <x:c r="F69" s="12" t="str">
        <x:v>No</x:v>
      </x:c>
      <x:c r="G69" s="12" t="n">
        <x:v>1</x:v>
      </x:c>
      <x:c r="H69" s="12" t="str">
        <x:v>高</x:v>
      </x:c>
      <x:c r="I69" s="101" t="str">
        <x:v>2026-09-29</x:v>
      </x:c>
      <x:c r="J69" s="12" t="str">
        <x:v>型分けは診断上のプレイ人格が大きく変わる場合のみ</x:v>
      </x:c>
      <x:c r="K69" s="12" t="str">
        <x:v>https://wikiwiki.jp/poke-unite/%E3%82%BE%E3%83%AD%E3%82%A2%E3%83%BC%E3%82%AF</x:v>
      </x:c>
      <x:c r="L69" s="12" t="str">
        <x:v>https://www.pokemonunite.jp/pokemon/</x:v>
      </x:c>
      <x:c r="M69" s="12" t="str">
        <x:v>https://uniteapi.dev/jp/meta</x:v>
      </x:c>
    </x:row>
    <x:row r="70">
      <x:c r="A70" s="12" t="n">
        <x:v>69</x:v>
      </x:c>
      <x:c r="B70" s="12" t="str">
        <x:v>ダークライ</x:v>
      </x:c>
      <x:c r="C70" s="12" t="str">
        <x:v>スピード型</x:v>
      </x:c>
      <x:c r="D70" s="12" t="str">
        <x:v>Assassin</x:v>
      </x:c>
      <x:c r="E70" s="12"/>
      <x:c r="F70" s="12" t="str">
        <x:v>No</x:v>
      </x:c>
      <x:c r="G70" s="12" t="n">
        <x:v>1</x:v>
      </x:c>
      <x:c r="H70" s="12" t="str">
        <x:v>高</x:v>
      </x:c>
      <x:c r="I70" s="101" t="str">
        <x:v>2026-09-29</x:v>
      </x:c>
      <x:c r="J70" s="12" t="str">
        <x:v>型分けは診断上のプレイ人格が大きく変わる場合のみ</x:v>
      </x:c>
      <x:c r="K70" s="12" t="str">
        <x:v>https://wikiwiki.jp/poke-unite/%E3%83%80%E3%83%BC%E3%82%AF%E3%83%A9%E3%82%A4</x:v>
      </x:c>
      <x:c r="L70" s="12" t="str">
        <x:v>https://www.pokemonunite.jp/pokemon/</x:v>
      </x:c>
      <x:c r="M70" s="12" t="str">
        <x:v>https://uniteapi.dev/jp/meta</x:v>
      </x:c>
    </x:row>
    <x:row r="71">
      <x:c r="A71" s="12" t="n">
        <x:v>70</x:v>
      </x:c>
      <x:c r="B71" s="12" t="str">
        <x:v>ドードリオ</x:v>
      </x:c>
      <x:c r="C71" s="12" t="str">
        <x:v>スピード型</x:v>
      </x:c>
      <x:c r="D71" s="12" t="str">
        <x:v>Diver</x:v>
      </x:c>
      <x:c r="E71" s="12"/>
      <x:c r="F71" s="12" t="str">
        <x:v>No</x:v>
      </x:c>
      <x:c r="G71" s="12" t="n">
        <x:v>1</x:v>
      </x:c>
      <x:c r="H71" s="12" t="str">
        <x:v>高</x:v>
      </x:c>
      <x:c r="I71" s="101" t="str">
        <x:v>2026-09-29</x:v>
      </x:c>
      <x:c r="J71" s="12" t="str">
        <x:v>型分けは診断上のプレイ人格が大きく変わる場合のみ</x:v>
      </x:c>
      <x:c r="K71" s="12" t="str">
        <x:v>https://wikiwiki.jp/poke-unite/%E3%83%89%E3%83%BC%E3%83%89%E3%83%AA%E3%82%AA</x:v>
      </x:c>
      <x:c r="L71" s="12" t="str">
        <x:v>https://www.pokemonunite.jp/pokemon/</x:v>
      </x:c>
      <x:c r="M71" s="12" t="str">
        <x:v>https://uniteapi.dev/jp/meta</x:v>
      </x:c>
    </x:row>
    <x:row r="72">
      <x:c r="A72" s="12" t="n">
        <x:v>71</x:v>
      </x:c>
      <x:c r="B72" s="12" t="str">
        <x:v>ニャース</x:v>
      </x:c>
      <x:c r="C72" s="12" t="str">
        <x:v>スピード型</x:v>
      </x:c>
      <x:c r="D72" s="12" t="str">
        <x:v>Skirmisher</x:v>
      </x:c>
      <x:c r="E72" s="12"/>
      <x:c r="F72" s="12" t="str">
        <x:v>No</x:v>
      </x:c>
      <x:c r="G72" s="12" t="n">
        <x:v>1</x:v>
      </x:c>
      <x:c r="H72" s="12" t="str">
        <x:v>高</x:v>
      </x:c>
      <x:c r="I72" s="101" t="str">
        <x:v>2026-09-29</x:v>
      </x:c>
      <x:c r="J72" s="12" t="str">
        <x:v>型分けは診断上のプレイ人格が大きく変わる場合のみ</x:v>
      </x:c>
      <x:c r="K72" s="12" t="str">
        <x:v>https://wikiwiki.jp/poke-unite/%E3%83%8B%E3%83%A3%E3%83%BC%E3%82%B9</x:v>
      </x:c>
      <x:c r="L72" s="12" t="str">
        <x:v>https://www.pokemonunite.jp/pokemon/</x:v>
      </x:c>
      <x:c r="M72" s="12" t="str">
        <x:v>https://uniteapi.dev/jp/meta</x:v>
      </x:c>
    </x:row>
    <x:row r="73">
      <x:c r="A73" s="12" t="n">
        <x:v>72</x:v>
      </x:c>
      <x:c r="B73" s="12" t="str">
        <x:v>ファイアロー</x:v>
      </x:c>
      <x:c r="C73" s="12" t="str">
        <x:v>スピード型</x:v>
      </x:c>
      <x:c r="D73" s="12" t="str">
        <x:v>Assassin</x:v>
      </x:c>
      <x:c r="E73" s="12" t="str">
        <x:v>Diver</x:v>
      </x:c>
      <x:c r="F73" s="12" t="str">
        <x:v>No</x:v>
      </x:c>
      <x:c r="G73" s="12" t="n">
        <x:v>1</x:v>
      </x:c>
      <x:c r="H73" s="12" t="str">
        <x:v>高</x:v>
      </x:c>
      <x:c r="I73" s="101" t="str">
        <x:v>2026-09-29</x:v>
      </x:c>
      <x:c r="J73" s="12" t="str">
        <x:v>型分けは診断上のプレイ人格が大きく変わる場合のみ</x:v>
      </x:c>
      <x:c r="K73" s="12" t="str">
        <x:v>https://wikiwiki.jp/poke-unite/%E3%83%95%E3%82%A1%E3%82%A4%E3%82%A2%E3%83%AD%...</x:v>
      </x:c>
      <x:c r="L73" s="12" t="str">
        <x:v>https://www.pokemonunite.jp/pokemon/</x:v>
      </x:c>
      <x:c r="M73" s="12" t="str">
        <x:v>https://uniteapi.dev/jp/meta</x:v>
      </x:c>
    </x:row>
    <x:row r="74">
      <x:c r="A74" s="12" t="n">
        <x:v>73</x:v>
      </x:c>
      <x:c r="B74" s="12" t="str">
        <x:v>マスカーニャ</x:v>
      </x:c>
      <x:c r="C74" s="12" t="str">
        <x:v>スピード型</x:v>
      </x:c>
      <x:c r="D74" s="12" t="str">
        <x:v>Assassin</x:v>
      </x:c>
      <x:c r="E74" s="12" t="str">
        <x:v>Skirmisher</x:v>
      </x:c>
      <x:c r="F74" s="12" t="str">
        <x:v>Yes</x:v>
      </x:c>
      <x:c r="G74" s="12" t="n">
        <x:v>2</x:v>
      </x:c>
      <x:c r="H74" s="12" t="str">
        <x:v>高</x:v>
      </x:c>
      <x:c r="I74" s="101" t="str">
        <x:v>2026-09-29</x:v>
      </x:c>
      <x:c r="J74" s="12" t="str">
        <x:v>型分けは診断上のプレイ人格が大きく変わる場合のみ</x:v>
      </x:c>
      <x:c r="K74" s="12" t="str">
        <x:v>https://wikiwiki.jp/poke-unite/%E3%83%9E%E3%82%B9%E3%82%AB%E3%83%BC%E3%83%8B%...</x:v>
      </x:c>
      <x:c r="L74" s="12" t="str">
        <x:v>https://www.pokemonunite.jp/pokemon/</x:v>
      </x:c>
      <x:c r="M74" s="12" t="str">
        <x:v>https://uniteapi.dev/jp/meta</x:v>
      </x:c>
    </x:row>
    <x:row r="75">
      <x:c r="A75" s="12" t="n">
        <x:v>74</x:v>
      </x:c>
      <x:c r="B75" s="12" t="str">
        <x:v>モルペコ</x:v>
      </x:c>
      <x:c r="C75" s="12" t="str">
        <x:v>スピード型</x:v>
      </x:c>
      <x:c r="D75" s="12" t="str">
        <x:v>Assassin</x:v>
      </x:c>
      <x:c r="E75" s="12"/>
      <x:c r="F75" s="12" t="str">
        <x:v>No</x:v>
      </x:c>
      <x:c r="G75" s="12" t="n">
        <x:v>1</x:v>
      </x:c>
      <x:c r="H75" s="12" t="str">
        <x:v>低</x:v>
      </x:c>
      <x:c r="I75" s="101" t="str">
        <x:v>2026-09-29</x:v>
      </x:c>
      <x:c r="J75" s="12" t="str">
        <x:v>型分けは診断上のプレイ人格が大きく変わる場合のみ</x:v>
      </x:c>
      <x:c r="K75" s="12" t="str">
        <x:v>https://wikiwiki.jp/poke-unite/%E3%83%A2%E3%83%AB%E3%83%9A%E3%82%B3</x:v>
      </x:c>
      <x:c r="L75" s="12" t="str">
        <x:v>https://www.pokemonunite.jp/pokemon/</x:v>
      </x:c>
      <x:c r="M75" s="12" t="str">
        <x:v>https://uniteapi.dev/jp/meta</x:v>
      </x:c>
    </x:row>
    <x:row r="76">
      <x:c r="A76" s="12" t="n">
        <x:v>75</x:v>
      </x:c>
      <x:c r="B76" s="12" t="str">
        <x:v>リーフィア</x:v>
      </x:c>
      <x:c r="C76" s="12" t="str">
        <x:v>スピード型</x:v>
      </x:c>
      <x:c r="D76" s="12" t="str">
        <x:v>Assassin</x:v>
      </x:c>
      <x:c r="E76" s="12"/>
      <x:c r="F76" s="12" t="str">
        <x:v>No</x:v>
      </x:c>
      <x:c r="G76" s="12" t="n">
        <x:v>1</x:v>
      </x:c>
      <x:c r="H76" s="12" t="str">
        <x:v>高</x:v>
      </x:c>
      <x:c r="I76" s="101" t="str">
        <x:v>2026-09-29</x:v>
      </x:c>
      <x:c r="J76" s="12" t="str">
        <x:v>型分けは診断上のプレイ人格が大きく変わる場合のみ</x:v>
      </x:c>
      <x:c r="K76" s="12" t="str">
        <x:v>https://wikiwiki.jp/poke-unite/%E3%83%AA%E3%83%BC%E3%83%95%E3%82%A3%E3%82%A2</x:v>
      </x:c>
      <x:c r="L76" s="12" t="str">
        <x:v>https://www.pokemonunite.jp/pokemon/</x:v>
      </x:c>
      <x:c r="M76" s="12" t="str">
        <x:v>https://uniteapi.dev/jp/meta</x:v>
      </x:c>
    </x:row>
    <x:row r="77">
      <x:c r="A77" s="12" t="n">
        <x:v>76</x:v>
      </x:c>
      <x:c r="B77" s="12" t="str">
        <x:v>イワパレス</x:v>
      </x:c>
      <x:c r="C77" s="12" t="str">
        <x:v>ディフェンス型</x:v>
      </x:c>
      <x:c r="D77" s="12" t="str">
        <x:v>Vanguard</x:v>
      </x:c>
      <x:c r="E77" s="12" t="str">
        <x:v>Diver</x:v>
      </x:c>
      <x:c r="F77" s="12" t="str">
        <x:v>Yes</x:v>
      </x:c>
      <x:c r="G77" s="12" t="n">
        <x:v>2</x:v>
      </x:c>
      <x:c r="H77" s="12" t="str">
        <x:v>高</x:v>
      </x:c>
      <x:c r="I77" s="101" t="str">
        <x:v>2026-09-29</x:v>
      </x:c>
      <x:c r="J77" s="12" t="str">
        <x:v>型分けは診断上のプレイ人格が大きく変わる場合のみ</x:v>
      </x:c>
      <x:c r="K77" s="12" t="str">
        <x:v>https://wikiwiki.jp/poke-unite/%E3%82%A4%E3%83%AF%E3%83%91%E3%83%AC%E3%82%B9</x:v>
      </x:c>
      <x:c r="L77" s="12" t="str">
        <x:v>https://www.pokemonunite.jp/pokemon/</x:v>
      </x:c>
      <x:c r="M77" s="12" t="str">
        <x:v>https://uniteapi.dev/jp/meta</x:v>
      </x:c>
    </x:row>
    <x:row r="78">
      <x:c r="A78" s="12" t="n">
        <x:v>77</x:v>
      </x:c>
      <x:c r="B78" s="12" t="str">
        <x:v>オーロット</x:v>
      </x:c>
      <x:c r="C78" s="12" t="str">
        <x:v>ディフェンス型</x:v>
      </x:c>
      <x:c r="D78" s="12" t="str">
        <x:v>Vanguard</x:v>
      </x:c>
      <x:c r="E78" s="12" t="str">
        <x:v>Juggernaut</x:v>
      </x:c>
      <x:c r="F78" s="12" t="str">
        <x:v>Yes</x:v>
      </x:c>
      <x:c r="G78" s="12" t="n">
        <x:v>2</x:v>
      </x:c>
      <x:c r="H78" s="12" t="str">
        <x:v>高</x:v>
      </x:c>
      <x:c r="I78" s="101" t="str">
        <x:v>2026-09-29</x:v>
      </x:c>
      <x:c r="J78" s="12" t="str">
        <x:v>型分けは診断上のプレイ人格が大きく変わる場合のみ</x:v>
      </x:c>
      <x:c r="K78" s="12" t="str">
        <x:v>https://wikiwiki.jp/poke-unite/%E3%82%AA%E3%83%BC%E3%83%AD%E3%83%83%E3%83%88</x:v>
      </x:c>
      <x:c r="L78" s="12" t="str">
        <x:v>https://www.pokemonunite.jp/pokemon/</x:v>
      </x:c>
      <x:c r="M78" s="12" t="str">
        <x:v>https://uniteapi.dev/jp/meta</x:v>
      </x:c>
    </x:row>
    <x:row r="79">
      <x:c r="A79" s="12" t="n">
        <x:v>78</x:v>
      </x:c>
      <x:c r="B79" s="12" t="str">
        <x:v>カビゴン</x:v>
      </x:c>
      <x:c r="C79" s="12" t="str">
        <x:v>ディフェンス型</x:v>
      </x:c>
      <x:c r="D79" s="12" t="str">
        <x:v>Vanguard</x:v>
      </x:c>
      <x:c r="E79" s="12" t="str">
        <x:v>Juggernaut</x:v>
      </x:c>
      <x:c r="F79" s="12" t="str">
        <x:v>Yes</x:v>
      </x:c>
      <x:c r="G79" s="12" t="n">
        <x:v>2</x:v>
      </x:c>
      <x:c r="H79" s="12" t="str">
        <x:v>高</x:v>
      </x:c>
      <x:c r="I79" s="101" t="str">
        <x:v>2026-09-29</x:v>
      </x:c>
      <x:c r="J79" s="12" t="str">
        <x:v>型分けは診断上のプレイ人格が大きく変わる場合のみ</x:v>
      </x:c>
      <x:c r="K79" s="12" t="str">
        <x:v>https://wikiwiki.jp/poke-unite/%E3%82%AB%E3%83%93%E3%82%B4%E3%83%B3</x:v>
      </x:c>
      <x:c r="L79" s="12" t="str">
        <x:v>https://www.pokemonunite.jp/pokemon/</x:v>
      </x:c>
      <x:c r="M79" s="12" t="str">
        <x:v>https://uniteapi.dev/jp/meta</x:v>
      </x:c>
    </x:row>
    <x:row r="80">
      <x:c r="A80" s="12" t="n">
        <x:v>79</x:v>
      </x:c>
      <x:c r="B80" s="12" t="str">
        <x:v>カメックス</x:v>
      </x:c>
      <x:c r="C80" s="12" t="str">
        <x:v>ディフェンス型</x:v>
      </x:c>
      <x:c r="D80" s="12" t="str">
        <x:v>Warden</x:v>
      </x:c>
      <x:c r="E80" s="12" t="str">
        <x:v>Diver</x:v>
      </x:c>
      <x:c r="F80" s="12" t="str">
        <x:v>Yes</x:v>
      </x:c>
      <x:c r="G80" s="12" t="n">
        <x:v>2</x:v>
      </x:c>
      <x:c r="H80" s="12" t="str">
        <x:v>高</x:v>
      </x:c>
      <x:c r="I80" s="101" t="str">
        <x:v>2026-09-29</x:v>
      </x:c>
      <x:c r="J80" s="12" t="str">
        <x:v>型分けは診断上のプレイ人格が大きく変わる場合のみ</x:v>
      </x:c>
      <x:c r="K80" s="12" t="str">
        <x:v>https://wikiwiki.jp/poke-unite/%E3%82%AB%E3%83%A1%E3%83%83%E3%82%AF%E3%82%B9</x:v>
      </x:c>
      <x:c r="L80" s="12" t="str">
        <x:v>https://www.pokemonunite.jp/pokemon/</x:v>
      </x:c>
      <x:c r="M80" s="12" t="str">
        <x:v>https://uniteapi.dev/jp/meta</x:v>
      </x:c>
    </x:row>
    <x:row r="81">
      <x:c r="A81" s="12" t="n">
        <x:v>80</x:v>
      </x:c>
      <x:c r="B81" s="12" t="str">
        <x:v>シャワーズ</x:v>
      </x:c>
      <x:c r="C81" s="12" t="str">
        <x:v>ディフェンス型</x:v>
      </x:c>
      <x:c r="D81" s="12" t="str">
        <x:v>Enchanter</x:v>
      </x:c>
      <x:c r="E81" s="12" t="str">
        <x:v>Warden</x:v>
      </x:c>
      <x:c r="F81" s="12" t="str">
        <x:v>Yes</x:v>
      </x:c>
      <x:c r="G81" s="12" t="n">
        <x:v>2</x:v>
      </x:c>
      <x:c r="H81" s="12" t="str">
        <x:v>高</x:v>
      </x:c>
      <x:c r="I81" s="101" t="str">
        <x:v>2026-09-29</x:v>
      </x:c>
      <x:c r="J81" s="12" t="str">
        <x:v>型分けは診断上のプレイ人格が大きく変わる場合のみ</x:v>
      </x:c>
      <x:c r="K81" s="12" t="str">
        <x:v>https://wikiwiki.jp/poke-unite/%E3%82%B7%E3%83%A3%E3%83%AF%E3%83%BC%E3%82%BA</x:v>
      </x:c>
      <x:c r="L81" s="12" t="str">
        <x:v>https://www.pokemonunite.jp/pokemon/</x:v>
      </x:c>
      <x:c r="M81" s="12" t="str">
        <x:v>https://uniteapi.dev/jp/meta</x:v>
      </x:c>
    </x:row>
    <x:row r="82">
      <x:c r="A82" s="12" t="n">
        <x:v>81</x:v>
      </x:c>
      <x:c r="B82" s="12" t="str">
        <x:v>ヌメルゴン</x:v>
      </x:c>
      <x:c r="C82" s="12" t="str">
        <x:v>ディフェンス型</x:v>
      </x:c>
      <x:c r="D82" s="12" t="str">
        <x:v>Juggernaut</x:v>
      </x:c>
      <x:c r="E82" s="12"/>
      <x:c r="F82" s="12" t="str">
        <x:v>No</x:v>
      </x:c>
      <x:c r="G82" s="12" t="n">
        <x:v>1</x:v>
      </x:c>
      <x:c r="H82" s="12" t="str">
        <x:v>高</x:v>
      </x:c>
      <x:c r="I82" s="101" t="str">
        <x:v>2026-09-29</x:v>
      </x:c>
      <x:c r="J82" s="12" t="str">
        <x:v>型分けは診断上のプレイ人格が大きく変わる場合のみ</x:v>
      </x:c>
      <x:c r="K82" s="12" t="str">
        <x:v>https://wikiwiki.jp/poke-unite/%E3%83%8C%E3%83%A1%E3%83%AB%E3%82%B4%E3%83%B3</x:v>
      </x:c>
      <x:c r="L82" s="12" t="str">
        <x:v>https://www.pokemonunite.jp/pokemon/</x:v>
      </x:c>
      <x:c r="M82" s="12" t="str">
        <x:v>https://uniteapi.dev/jp/meta</x:v>
      </x:c>
    </x:row>
    <x:row r="83">
      <x:c r="A83" s="12" t="n">
        <x:v>82</x:v>
      </x:c>
      <x:c r="B83" s="12" t="str">
        <x:v>フリーザー</x:v>
      </x:c>
      <x:c r="C83" s="12" t="str">
        <x:v>ディフェンス型</x:v>
      </x:c>
      <x:c r="D83" s="12" t="str">
        <x:v>Warden</x:v>
      </x:c>
      <x:c r="E83" s="12"/>
      <x:c r="F83" s="12" t="str">
        <x:v>No</x:v>
      </x:c>
      <x:c r="G83" s="12" t="n">
        <x:v>1</x:v>
      </x:c>
      <x:c r="H83" s="12" t="str">
        <x:v>中</x:v>
      </x:c>
      <x:c r="I83" s="101" t="str">
        <x:v>2026-09-29</x:v>
      </x:c>
      <x:c r="J83" s="12" t="str">
        <x:v>型分けは診断上のプレイ人格が大きく変わる場合のみ</x:v>
      </x:c>
      <x:c r="K83" s="12" t="str">
        <x:v>https://wikiwiki.jp/poke-unite/%E3%83%95%E3%83%AA%E3%83%BC%E3%82%B6%E3%83%BC</x:v>
      </x:c>
      <x:c r="L83" s="12" t="str">
        <x:v>https://www.pokemonunite.jp/pokemon/</x:v>
      </x:c>
      <x:c r="M83" s="12" t="str">
        <x:v>https://uniteapi.dev/jp/meta</x:v>
      </x:c>
    </x:row>
    <x:row r="84">
      <x:c r="A84" s="12" t="n">
        <x:v>83</x:v>
      </x:c>
      <x:c r="B84" s="12" t="str">
        <x:v>ブラッキー</x:v>
      </x:c>
      <x:c r="C84" s="12" t="str">
        <x:v>ディフェンス型</x:v>
      </x:c>
      <x:c r="D84" s="12" t="str">
        <x:v>Enchanter</x:v>
      </x:c>
      <x:c r="E84" s="12" t="str">
        <x:v>Vanguard</x:v>
      </x:c>
      <x:c r="F84" s="12" t="str">
        <x:v>Yes</x:v>
      </x:c>
      <x:c r="G84" s="12" t="n">
        <x:v>2</x:v>
      </x:c>
      <x:c r="H84" s="12" t="str">
        <x:v>高</x:v>
      </x:c>
      <x:c r="I84" s="101" t="str">
        <x:v>2026-09-29</x:v>
      </x:c>
      <x:c r="J84" s="12" t="str">
        <x:v>型分けは診断上のプレイ人格が大きく変わる場合のみ</x:v>
      </x:c>
      <x:c r="K84" s="12" t="str">
        <x:v>https://wikiwiki.jp/poke-unite/%E3%83%96%E3%83%A9%E3%83%83%E3%82%AD%E3%83%BC</x:v>
      </x:c>
      <x:c r="L84" s="12" t="str">
        <x:v>https://www.pokemonunite.jp/pokemon/</x:v>
      </x:c>
      <x:c r="M84" s="12" t="str">
        <x:v>https://uniteapi.dev/jp/meta</x:v>
      </x:c>
    </x:row>
    <x:row r="85">
      <x:c r="A85" s="12" t="n">
        <x:v>84</x:v>
      </x:c>
      <x:c r="B85" s="12" t="str">
        <x:v>ホウオウ</x:v>
      </x:c>
      <x:c r="C85" s="12" t="str">
        <x:v>ディフェンス型</x:v>
      </x:c>
      <x:c r="D85" s="12" t="str">
        <x:v>Juggernaut</x:v>
      </x:c>
      <x:c r="E85" s="12" t="str">
        <x:v>Vanguard</x:v>
      </x:c>
      <x:c r="F85" s="12" t="str">
        <x:v>Yes</x:v>
      </x:c>
      <x:c r="G85" s="12" t="n">
        <x:v>2</x:v>
      </x:c>
      <x:c r="H85" s="12" t="str">
        <x:v>高</x:v>
      </x:c>
      <x:c r="I85" s="101" t="str">
        <x:v>2026-09-29</x:v>
      </x:c>
      <x:c r="J85" s="12" t="str">
        <x:v>型分けは診断上のプレイ人格が大きく変わる場合のみ</x:v>
      </x:c>
      <x:c r="K85" s="12" t="str">
        <x:v>https://wikiwiki.jp/poke-unite/%E3%83%9B%E3%82%A6%E3%82%AA%E3%82%A6</x:v>
      </x:c>
      <x:c r="L85" s="12" t="str">
        <x:v>https://www.pokemonunite.jp/pokemon/</x:v>
      </x:c>
      <x:c r="M85" s="12" t="str">
        <x:v>https://uniteapi.dev/jp/meta</x:v>
      </x:c>
    </x:row>
    <x:row r="86">
      <x:c r="A86" s="12" t="n">
        <x:v>85</x:v>
      </x:c>
      <x:c r="B86" s="12" t="str">
        <x:v>マンムー</x:v>
      </x:c>
      <x:c r="C86" s="12" t="str">
        <x:v>ディフェンス型</x:v>
      </x:c>
      <x:c r="D86" s="12" t="str">
        <x:v>Vanguard</x:v>
      </x:c>
      <x:c r="E86" s="12"/>
      <x:c r="F86" s="12" t="str">
        <x:v>No</x:v>
      </x:c>
      <x:c r="G86" s="12" t="n">
        <x:v>1</x:v>
      </x:c>
      <x:c r="H86" s="12" t="str">
        <x:v>高</x:v>
      </x:c>
      <x:c r="I86" s="101" t="str">
        <x:v>2026-09-29</x:v>
      </x:c>
      <x:c r="J86" s="12" t="str">
        <x:v>型分けは診断上のプレイ人格が大きく変わる場合のみ</x:v>
      </x:c>
      <x:c r="K86" s="12" t="str">
        <x:v>https://wikiwiki.jp/poke-unite/%E3%83%9E%E3%83%B3%E3%83%A0%E3%83%BC</x:v>
      </x:c>
      <x:c r="L86" s="12" t="str">
        <x:v>https://www.pokemonunite.jp/pokemon/</x:v>
      </x:c>
      <x:c r="M86" s="12" t="str">
        <x:v>https://uniteapi.dev/jp/meta</x:v>
      </x:c>
    </x:row>
    <x:row r="87">
      <x:c r="A87" s="12" t="n">
        <x:v>86</x:v>
      </x:c>
      <x:c r="B87" s="12" t="str">
        <x:v>ヤドラン</x:v>
      </x:c>
      <x:c r="C87" s="12" t="str">
        <x:v>ディフェンス型</x:v>
      </x:c>
      <x:c r="D87" s="12" t="str">
        <x:v>Juggernaut</x:v>
      </x:c>
      <x:c r="E87" s="12" t="str">
        <x:v>Warden</x:v>
      </x:c>
      <x:c r="F87" s="12" t="str">
        <x:v>Yes</x:v>
      </x:c>
      <x:c r="G87" s="12" t="n">
        <x:v>2</x:v>
      </x:c>
      <x:c r="H87" s="12" t="str">
        <x:v>高</x:v>
      </x:c>
      <x:c r="I87" s="101" t="str">
        <x:v>2026-09-29</x:v>
      </x:c>
      <x:c r="J87" s="12" t="str">
        <x:v>型分けは診断上のプレイ人格が大きく変わる場合のみ</x:v>
      </x:c>
      <x:c r="K87" s="12" t="str">
        <x:v>https://wikiwiki.jp/poke-unite/%E3%83%A4%E3%83%89%E3%83%A9%E3%83%B3</x:v>
      </x:c>
      <x:c r="L87" s="12" t="str">
        <x:v>https://www.pokemonunite.jp/pokemon/</x:v>
      </x:c>
      <x:c r="M87" s="12" t="str">
        <x:v>https://uniteapi.dev/jp/meta</x:v>
      </x:c>
    </x:row>
    <x:row r="88">
      <x:c r="A88" s="12" t="n">
        <x:v>87</x:v>
      </x:c>
      <x:c r="B88" s="12" t="str">
        <x:v>ヨクバリス</x:v>
      </x:c>
      <x:c r="C88" s="12" t="str">
        <x:v>ディフェンス型</x:v>
      </x:c>
      <x:c r="D88" s="12" t="str">
        <x:v>Juggernaut</x:v>
      </x:c>
      <x:c r="E88" s="12" t="str">
        <x:v>Diver</x:v>
      </x:c>
      <x:c r="F88" s="12" t="str">
        <x:v>Yes</x:v>
      </x:c>
      <x:c r="G88" s="12" t="n">
        <x:v>2</x:v>
      </x:c>
      <x:c r="H88" s="12" t="str">
        <x:v>高</x:v>
      </x:c>
      <x:c r="I88" s="101" t="str">
        <x:v>2026-09-29</x:v>
      </x:c>
      <x:c r="J88" s="12" t="str">
        <x:v>型分けは診断上のプレイ人格が大きく変わる場合のみ</x:v>
      </x:c>
      <x:c r="K88" s="12" t="str">
        <x:v>https://wikiwiki.jp/poke-unite/%E3%83%A8%E3%82%AF%E3%83%90%E3%83%AA%E3%82%B9</x:v>
      </x:c>
      <x:c r="L88" s="12" t="str">
        <x:v>https://www.pokemonunite.jp/pokemon/</x:v>
      </x:c>
      <x:c r="M88" s="12" t="str">
        <x:v>https://uniteapi.dev/jp/meta</x:v>
      </x:c>
    </x:row>
    <x:row r="89">
      <x:c r="A89" s="12" t="n">
        <x:v>88</x:v>
      </x:c>
      <x:c r="B89" s="12" t="str">
        <x:v>ラプラス</x:v>
      </x:c>
      <x:c r="C89" s="12" t="str">
        <x:v>ディフェンス型</x:v>
      </x:c>
      <x:c r="D89" s="12" t="str">
        <x:v>Juggernaut</x:v>
      </x:c>
      <x:c r="E89" s="12" t="str">
        <x:v>Warden</x:v>
      </x:c>
      <x:c r="F89" s="12" t="str">
        <x:v>No</x:v>
      </x:c>
      <x:c r="G89" s="12" t="n">
        <x:v>1</x:v>
      </x:c>
      <x:c r="H89" s="12" t="str">
        <x:v>高</x:v>
      </x:c>
      <x:c r="I89" s="101" t="str">
        <x:v>2026-09-29</x:v>
      </x:c>
      <x:c r="J89" s="12" t="str">
        <x:v>型分けは診断上のプレイ人格が大きく変わる場合のみ</x:v>
      </x:c>
      <x:c r="K89" s="12" t="str">
        <x:v>https://wikiwiki.jp/poke-unite/%E3%83%A9%E3%83%97%E3%83%A9%E3%82%B9</x:v>
      </x:c>
      <x:c r="L89" s="12" t="str">
        <x:v>https://www.pokemonunite.jp/pokemon/</x:v>
      </x:c>
      <x:c r="M89" s="12" t="str">
        <x:v>https://uniteapi.dev/jp/meta</x:v>
      </x:c>
    </x:row>
    <x:row r="90">
      <x:c r="A90" s="12" t="n">
        <x:v>89</x:v>
      </x:c>
      <x:c r="B90" s="12" t="str">
        <x:v>キュワワー</x:v>
      </x:c>
      <x:c r="C90" s="12" t="str">
        <x:v>サポート型</x:v>
      </x:c>
      <x:c r="D90" s="12" t="str">
        <x:v>Enchanter</x:v>
      </x:c>
      <x:c r="E90" s="12"/>
      <x:c r="F90" s="12" t="str">
        <x:v>No</x:v>
      </x:c>
      <x:c r="G90" s="12" t="n">
        <x:v>1</x:v>
      </x:c>
      <x:c r="H90" s="12" t="str">
        <x:v>高</x:v>
      </x:c>
      <x:c r="I90" s="101" t="str">
        <x:v>2026-09-29</x:v>
      </x:c>
      <x:c r="J90" s="12" t="str">
        <x:v>型分けは診断上のプレイ人格が大きく変わる場合のみ</x:v>
      </x:c>
      <x:c r="K90" s="12" t="str">
        <x:v>https://wikiwiki.jp/poke-unite/%E3%82%AD%E3%83%A5%E3%83%AF%E3%83%AF%E3%83%BC</x:v>
      </x:c>
      <x:c r="L90" s="12" t="str">
        <x:v>https://www.pokemonunite.jp/pokemon/</x:v>
      </x:c>
      <x:c r="M90" s="12" t="str">
        <x:v>https://uniteapi.dev/jp/meta</x:v>
      </x:c>
    </x:row>
    <x:row r="91">
      <x:c r="A91" s="12" t="n">
        <x:v>90</x:v>
      </x:c>
      <x:c r="B91" s="12" t="str">
        <x:v>コダック</x:v>
      </x:c>
      <x:c r="C91" s="12" t="str">
        <x:v>サポート型</x:v>
      </x:c>
      <x:c r="D91" s="12" t="str">
        <x:v>Catcher</x:v>
      </x:c>
      <x:c r="E91" s="12" t="str">
        <x:v>Warden</x:v>
      </x:c>
      <x:c r="F91" s="12" t="str">
        <x:v>No</x:v>
      </x:c>
      <x:c r="G91" s="12" t="n">
        <x:v>1</x:v>
      </x:c>
      <x:c r="H91" s="12" t="str">
        <x:v>高</x:v>
      </x:c>
      <x:c r="I91" s="101" t="str">
        <x:v>2026-09-29</x:v>
      </x:c>
      <x:c r="J91" s="12" t="str">
        <x:v>型分けは診断上のプレイ人格が大きく変わる場合のみ</x:v>
      </x:c>
      <x:c r="K91" s="12" t="str">
        <x:v>https://wikiwiki.jp/poke-unite/%E3%82%B3%E3%83%80%E3%83%83%E3%82%AF</x:v>
      </x:c>
      <x:c r="L91" s="12" t="str">
        <x:v>https://www.pokemonunite.jp/pokemon/</x:v>
      </x:c>
      <x:c r="M91" s="12" t="str">
        <x:v>https://uniteapi.dev/jp/meta</x:v>
      </x:c>
    </x:row>
    <x:row r="92">
      <x:c r="A92" s="12" t="n">
        <x:v>91</x:v>
      </x:c>
      <x:c r="B92" s="12" t="str">
        <x:v>ハピナス</x:v>
      </x:c>
      <x:c r="C92" s="12" t="str">
        <x:v>サポート型</x:v>
      </x:c>
      <x:c r="D92" s="12" t="str">
        <x:v>Enchanter</x:v>
      </x:c>
      <x:c r="E92" s="12" t="str">
        <x:v>Specialist</x:v>
      </x:c>
      <x:c r="F92" s="12" t="str">
        <x:v>No</x:v>
      </x:c>
      <x:c r="G92" s="12" t="n">
        <x:v>1</x:v>
      </x:c>
      <x:c r="H92" s="12" t="str">
        <x:v>高</x:v>
      </x:c>
      <x:c r="I92" s="101" t="str">
        <x:v>2026-09-29</x:v>
      </x:c>
      <x:c r="J92" s="12" t="str">
        <x:v>型分けは診断上のプレイ人格が大きく変わる場合のみ</x:v>
      </x:c>
      <x:c r="K92" s="12" t="str">
        <x:v>https://wikiwiki.jp/poke-unite/%E3%83%8F%E3%83%94%E3%83%8A%E3%82%B9</x:v>
      </x:c>
      <x:c r="L92" s="12" t="str">
        <x:v>https://www.pokemonunite.jp/pokemon/</x:v>
      </x:c>
      <x:c r="M92" s="12" t="str">
        <x:v>https://uniteapi.dev/jp/meta</x:v>
      </x:c>
    </x:row>
    <x:row r="93">
      <x:c r="A93" s="12" t="n">
        <x:v>92</x:v>
      </x:c>
      <x:c r="B93" s="12" t="str">
        <x:v>バリヤード</x:v>
      </x:c>
      <x:c r="C93" s="12" t="str">
        <x:v>サポート型</x:v>
      </x:c>
      <x:c r="D93" s="12" t="str">
        <x:v>Catcher</x:v>
      </x:c>
      <x:c r="E93" s="12" t="str">
        <x:v>Enchanter</x:v>
      </x:c>
      <x:c r="F93" s="12" t="str">
        <x:v>Yes</x:v>
      </x:c>
      <x:c r="G93" s="12" t="n">
        <x:v>2</x:v>
      </x:c>
      <x:c r="H93" s="12" t="str">
        <x:v>高</x:v>
      </x:c>
      <x:c r="I93" s="101" t="str">
        <x:v>2026-09-29</x:v>
      </x:c>
      <x:c r="J93" s="12" t="str">
        <x:v>型分けは診断上のプレイ人格が大きく変わる場合のみ</x:v>
      </x:c>
      <x:c r="K93" s="12" t="str">
        <x:v>https://wikiwiki.jp/poke-unite/%E3%83%90%E3%83%AA%E3%83%A4%E3%83%BC%E3%83%89</x:v>
      </x:c>
      <x:c r="L93" s="12" t="str">
        <x:v>https://www.pokemonunite.jp/pokemon/</x:v>
      </x:c>
      <x:c r="M93" s="12" t="str">
        <x:v>https://uniteapi.dev/jp/meta</x:v>
      </x:c>
    </x:row>
    <x:row r="94">
      <x:c r="A94" s="12" t="n">
        <x:v>93</x:v>
      </x:c>
      <x:c r="B94" s="12" t="str">
        <x:v>ピクシー</x:v>
      </x:c>
      <x:c r="C94" s="12" t="str">
        <x:v>サポート型</x:v>
      </x:c>
      <x:c r="D94" s="12" t="str">
        <x:v>Enchanter</x:v>
      </x:c>
      <x:c r="E94" s="12"/>
      <x:c r="F94" s="12" t="str">
        <x:v>No</x:v>
      </x:c>
      <x:c r="G94" s="12" t="n">
        <x:v>1</x:v>
      </x:c>
      <x:c r="H94" s="12" t="str">
        <x:v>高</x:v>
      </x:c>
      <x:c r="I94" s="101" t="str">
        <x:v>2026-09-29</x:v>
      </x:c>
      <x:c r="J94" s="12" t="str">
        <x:v>型分けは診断上のプレイ人格が大きく変わる場合のみ</x:v>
      </x:c>
      <x:c r="K94" s="12" t="str">
        <x:v>https://wikiwiki.jp/poke-unite/%E3%83%94%E3%82%AF%E3%82%B7%E3%83%BC</x:v>
      </x:c>
      <x:c r="L94" s="12" t="str">
        <x:v>https://www.pokemonunite.jp/pokemon/</x:v>
      </x:c>
      <x:c r="M94" s="12" t="str">
        <x:v>https://uniteapi.dev/jp/meta</x:v>
      </x:c>
    </x:row>
    <x:row r="95">
      <x:c r="A95" s="12" t="n">
        <x:v>94</x:v>
      </x:c>
      <x:c r="B95" s="12" t="str">
        <x:v>フーパ</x:v>
      </x:c>
      <x:c r="C95" s="12" t="str">
        <x:v>サポート型</x:v>
      </x:c>
      <x:c r="D95" s="12" t="str">
        <x:v>Specialist</x:v>
      </x:c>
      <x:c r="E95" s="12" t="str">
        <x:v>Enchanter</x:v>
      </x:c>
      <x:c r="F95" s="12" t="str">
        <x:v>Yes</x:v>
      </x:c>
      <x:c r="G95" s="12" t="n">
        <x:v>2</x:v>
      </x:c>
      <x:c r="H95" s="12" t="str">
        <x:v>高</x:v>
      </x:c>
      <x:c r="I95" s="101" t="str">
        <x:v>2026-09-29</x:v>
      </x:c>
      <x:c r="J95" s="12" t="str">
        <x:v>型分けは診断上のプレイ人格が大きく変わる場合のみ</x:v>
      </x:c>
      <x:c r="K95" s="12" t="str">
        <x:v>https://wikiwiki.jp/poke-unite/%E3%83%95%E3%83%BC%E3%83%91</x:v>
      </x:c>
      <x:c r="L95" s="12" t="str">
        <x:v>https://www.pokemonunite.jp/pokemon/</x:v>
      </x:c>
      <x:c r="M95" s="12" t="str">
        <x:v>https://uniteapi.dev/jp/meta</x:v>
      </x:c>
    </x:row>
    <x:row r="96">
      <x:c r="A96" s="12" t="n">
        <x:v>95</x:v>
      </x:c>
      <x:c r="B96" s="12" t="str">
        <x:v>プクリン</x:v>
      </x:c>
      <x:c r="C96" s="12" t="str">
        <x:v>サポート型</x:v>
      </x:c>
      <x:c r="D96" s="12" t="str">
        <x:v>Warden</x:v>
      </x:c>
      <x:c r="E96" s="12"/>
      <x:c r="F96" s="12" t="str">
        <x:v>No</x:v>
      </x:c>
      <x:c r="G96" s="12" t="n">
        <x:v>1</x:v>
      </x:c>
      <x:c r="H96" s="12" t="str">
        <x:v>高</x:v>
      </x:c>
      <x:c r="I96" s="101" t="str">
        <x:v>2026-09-29</x:v>
      </x:c>
      <x:c r="J96" s="12" t="str">
        <x:v>型分けは診断上のプレイ人格が大きく変わる場合のみ</x:v>
      </x:c>
      <x:c r="K96" s="12" t="str">
        <x:v>https://wikiwiki.jp/poke-unite/%E3%83%97%E3%82%AF%E3%83%AA%E3%83%B3</x:v>
      </x:c>
      <x:c r="L96" s="12" t="str">
        <x:v>https://www.pokemonunite.jp/pokemon/</x:v>
      </x:c>
      <x:c r="M96" s="12" t="str">
        <x:v>https://uniteapi.dev/jp/meta</x:v>
      </x:c>
    </x:row>
    <x:row r="97">
      <x:c r="A97" s="12" t="n">
        <x:v>96</x:v>
      </x:c>
      <x:c r="B97" s="12" t="str">
        <x:v>マホイップ</x:v>
      </x:c>
      <x:c r="C97" s="12" t="str">
        <x:v>サポート型</x:v>
      </x:c>
      <x:c r="D97" s="12" t="str">
        <x:v>Enchanter</x:v>
      </x:c>
      <x:c r="E97" s="12"/>
      <x:c r="F97" s="12" t="str">
        <x:v>No</x:v>
      </x:c>
      <x:c r="G97" s="12" t="n">
        <x:v>1</x:v>
      </x:c>
      <x:c r="H97" s="12" t="str">
        <x:v>高</x:v>
      </x:c>
      <x:c r="I97" s="101" t="str">
        <x:v>2026-09-29</x:v>
      </x:c>
      <x:c r="J97" s="12" t="str">
        <x:v>型分けは診断上のプレイ人格が大きく変わる場合のみ</x:v>
      </x:c>
      <x:c r="K97" s="12" t="str">
        <x:v>https://wikiwiki.jp/poke-unite/%E3%83%9E%E3%83%9B%E3%82%A4%E3%83%83%E3%83%97</x:v>
      </x:c>
      <x:c r="L97" s="12" t="str">
        <x:v>https://www.pokemonunite.jp/pokemon/</x:v>
      </x:c>
      <x:c r="M97" s="12" t="str">
        <x:v>https://uniteapi.dev/jp/meta</x:v>
      </x:c>
    </x:row>
    <x:row r="98">
      <x:c r="A98" s="12" t="n">
        <x:v>97</x:v>
      </x:c>
      <x:c r="B98" s="12" t="str">
        <x:v>メガニウム</x:v>
      </x:c>
      <x:c r="C98" s="12" t="str">
        <x:v>サポート型</x:v>
      </x:c>
      <x:c r="D98" s="12" t="str">
        <x:v>Enchanter</x:v>
      </x:c>
      <x:c r="E98" s="12"/>
      <x:c r="F98" s="12" t="str">
        <x:v>No</x:v>
      </x:c>
      <x:c r="G98" s="12" t="n">
        <x:v>1</x:v>
      </x:c>
      <x:c r="H98" s="12" t="str">
        <x:v>中</x:v>
      </x:c>
      <x:c r="I98" s="101" t="str">
        <x:v>2026-09-29</x:v>
      </x:c>
      <x:c r="J98" s="12" t="str">
        <x:v>型分けは診断上のプレイ人格が大きく変わる場合のみ</x:v>
      </x:c>
      <x:c r="K98" s="12" t="str">
        <x:v>https://wikiwiki.jp/poke-unite/%E3%83%A1%E3%82%AC%E3%83%8B%E3%82%A6%E3%83%A0</x:v>
      </x:c>
      <x:c r="L98" s="12" t="str">
        <x:v>https://www.pokemonunite.jp/pokemon/</x:v>
      </x:c>
      <x:c r="M98" s="12" t="str">
        <x:v>https://uniteapi.dev/jp/meta</x:v>
      </x:c>
    </x:row>
    <x:row r="99">
      <x:c r="A99" s="12" t="n">
        <x:v>98</x:v>
      </x:c>
      <x:c r="B99" s="12" t="str">
        <x:v>ヤミラミ</x:v>
      </x:c>
      <x:c r="C99" s="12" t="str">
        <x:v>サポート型</x:v>
      </x:c>
      <x:c r="D99" s="12" t="str">
        <x:v>Specialist</x:v>
      </x:c>
      <x:c r="E99" s="12"/>
      <x:c r="F99" s="12" t="str">
        <x:v>No</x:v>
      </x:c>
      <x:c r="G99" s="12" t="n">
        <x:v>1</x:v>
      </x:c>
      <x:c r="H99" s="12" t="str">
        <x:v>高</x:v>
      </x:c>
      <x:c r="I99" s="101" t="str">
        <x:v>2026-09-29</x:v>
      </x:c>
      <x:c r="J99" s="12" t="str">
        <x:v>型分けは診断上のプレイ人格が大きく変わる場合のみ</x:v>
      </x:c>
      <x:c r="K99" s="12" t="str">
        <x:v>https://wikiwiki.jp/poke-unite/%E3%83%A4%E3%83%9F%E3%83%A9%E3%83%9F</x:v>
      </x:c>
      <x:c r="L99" s="12" t="str">
        <x:v>https://www.pokemonunite.jp/pokemon/</x:v>
      </x:c>
      <x:c r="M99" s="12" t="str">
        <x:v>https://uniteapi.dev/jp/meta</x:v>
      </x:c>
    </x:row>
    <x:row r="100">
      <x:c r="A100" s="12" t="n">
        <x:v>99</x:v>
      </x:c>
      <x:c r="B100" s="12" t="str">
        <x:v>ラティアス</x:v>
      </x:c>
      <x:c r="C100" s="12" t="str">
        <x:v>サポート型</x:v>
      </x:c>
      <x:c r="D100" s="12" t="str">
        <x:v>Enchanter</x:v>
      </x:c>
      <x:c r="E100" s="12" t="str">
        <x:v>BattleMage</x:v>
      </x:c>
      <x:c r="F100" s="12" t="str">
        <x:v>No</x:v>
      </x:c>
      <x:c r="G100" s="12" t="n">
        <x:v>1</x:v>
      </x:c>
      <x:c r="H100" s="12" t="str">
        <x:v>高</x:v>
      </x:c>
      <x:c r="I100" s="101" t="str">
        <x:v>2026-09-29</x:v>
      </x:c>
      <x:c r="J100" s="12" t="str">
        <x:v>型分けは診断上のプレイ人格が大きく変わる場合のみ</x:v>
      </x:c>
      <x:c r="K100" s="12" t="str">
        <x:v>https://wikiwiki.jp/poke-unite/%E3%83%A9%E3%83%86%E3%82%A3%E3%82%A2%E3%82%B9</x:v>
      </x:c>
      <x:c r="L100" s="12" t="str">
        <x:v>https://www.pokemonunite.jp/pokemon/</x:v>
      </x:c>
      <x:c r="M100" s="12" t="str">
        <x:v>https://uniteapi.dev/jp/meta</x:v>
      </x:c>
    </x:row>
    <x:row r="101">
      <x:c r="A101" s="12" t="n">
        <x:v>100</x:v>
      </x:c>
      <x:c r="B101" s="12" t="str">
        <x:v>ワタシラガ</x:v>
      </x:c>
      <x:c r="C101" s="12" t="str">
        <x:v>サポート型</x:v>
      </x:c>
      <x:c r="D101" s="12" t="str">
        <x:v>Enchanter</x:v>
      </x:c>
      <x:c r="E101" s="12" t="str">
        <x:v>BattleMage</x:v>
      </x:c>
      <x:c r="F101" s="12" t="str">
        <x:v>No</x:v>
      </x:c>
      <x:c r="G101" s="12" t="n">
        <x:v>1</x:v>
      </x:c>
      <x:c r="H101" s="12" t="str">
        <x:v>高</x:v>
      </x:c>
      <x:c r="I101" s="101" t="str">
        <x:v>2026-09-29</x:v>
      </x:c>
      <x:c r="J101" s="12" t="str">
        <x:v>型分けは診断上のプレイ人格が大きく変わる場合のみ</x:v>
      </x:c>
      <x:c r="K101" s="12" t="str">
        <x:v>https://wikiwiki.jp/poke-unite/%E3%83%AF%E3%82%BF%E3%82%B7%E3%83%A9%E3%82%AC</x:v>
      </x:c>
      <x:c r="L101" s="12" t="str">
        <x:v>https://www.pokemonunite.jp/pokemon/</x:v>
      </x:c>
      <x:c r="M101" s="12" t="str">
        <x:v>https://uniteapi.dev/jp/meta</x:v>
      </x:c>
    </x:row>
  </x:sheetData>
  <x:conditionalFormatting sqref="H2:H101">
    <x:cfRule type="expression" dxfId="0" priority="1">
      <x:formula>H2="低"</x:formula>
    </x:cfRule>
    <x:cfRule type="expression" dxfId="1" priority="2">
      <x:formula>H2="中"</x:formula>
    </x:cfRule>
  </x:conditionalFormatting>
  <x:conditionalFormatting sqref="F2:F101">
    <x:cfRule type="expression" dxfId="6" priority="3">
      <x:formula>F2="Yes"</x:formula>
    </x:cfRule>
  </x:conditionalFormatting>
  <x:pageMargins left="0.7" right="0.7" top="0.75" bottom="0.75" header="0.3" footer="0.3"/>
  <x:tableParts count="1">
    <x:tablePart xmlns:r="http://schemas.openxmlformats.org/officeDocument/2006/relationships" r:id="Rbbea6191a6b845d9"/>
  </x:tableParts>
</x:worksheet>
</file>

<file path=xl/worksheets/sheet3.xml><?xml version="1.0" encoding="utf-8"?>
<x:worksheet xmlns:x="http://schemas.openxmlformats.org/spreadsheetml/2006/main">
  <x:sheetFormatPr defaultRowHeight="15"/>
  <x:cols>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1" max="1" width="18" hidden="0" customWidth="1"/>
    <x:col min="2" max="2" width="13" hidden="0" customWidth="1"/>
    <x:col min="3" max="3" width="22" hidden="0" customWidth="1"/>
    <x:col min="4" max="4" width="18" hidden="0" customWidth="1"/>
    <x:col min="5" max="5" width="24" hidden="0" customWidth="1"/>
    <x:col min="6" max="6" width="18" hidden="0" customWidth="1"/>
    <x:col min="7" max="7" width="18" hidden="0" customWidth="1"/>
    <x:col min="8" max="8" width="38" hidden="0" customWidth="1"/>
    <x:col min="9" max="9" width="12" hidden="0" customWidth="1"/>
    <x:col min="10" max="10" width="12" hidden="0" customWidth="1"/>
    <x:col min="33" max="33" width="42" hidden="0" customWidth="1"/>
    <x:col min="34" max="34" width="60" hidden="0" customWidth="1"/>
    <x:col min="35" max="35" width="30" hidden="0" customWidth="1"/>
    <x:col min="36" max="36" width="11" hidden="0" customWidth="1"/>
  </x:cols>
  <x:sheetData>
    <x:row r="1">
      <x:c r="A1" s="162" t="str">
        <x:v>Pokemon</x:v>
      </x:c>
      <x:c r="B1" s="162" t="str">
        <x:v>OfficialRole</x:v>
      </x:c>
      <x:c r="C1" s="162" t="str">
        <x:v>ProfileID</x:v>
      </x:c>
      <x:c r="D1" s="162" t="str">
        <x:v>ProfileName</x:v>
      </x:c>
      <x:c r="E1" s="162" t="str">
        <x:v>ProfileLabel</x:v>
      </x:c>
      <x:c r="F1" s="162" t="str">
        <x:v>PrimaryArchetype</x:v>
      </x:c>
      <x:c r="G1" s="162" t="str">
        <x:v>SecondaryArchetype</x:v>
      </x:c>
      <x:c r="H1" s="162" t="str">
        <x:v>SplitReason</x:v>
      </x:c>
      <x:c r="I1" s="162" t="str">
        <x:v>Confidence</x:v>
      </x:c>
      <x:c r="J1" s="162" t="str">
        <x:v>AsOf</x:v>
      </x:c>
      <x:c r="K1" s="162" t="str">
        <x:v>Engage</x:v>
      </x:c>
      <x:c r="L1" s="162" t="str">
        <x:v>Dive</x:v>
      </x:c>
      <x:c r="M1" s="162" t="str">
        <x:v>Peel</x:v>
      </x:c>
      <x:c r="N1" s="162" t="str">
        <x:v>Frontline</x:v>
      </x:c>
      <x:c r="O1" s="162" t="str">
        <x:v>Poke</x:v>
      </x:c>
      <x:c r="P1" s="162" t="str">
        <x:v>FightTempo</x:v>
      </x:c>
      <x:c r="Q1" s="162" t="str">
        <x:v>Control</x:v>
      </x:c>
      <x:c r="R1" s="162" t="str">
        <x:v>Support</x:v>
      </x:c>
      <x:c r="S1" s="162" t="str">
        <x:v>Mobility</x:v>
      </x:c>
      <x:c r="T1" s="162" t="str">
        <x:v>SelfSufficiency</x:v>
      </x:c>
      <x:c r="U1" s="162" t="str">
        <x:v>FarmScaling</x:v>
      </x:c>
      <x:c r="V1" s="162" t="str">
        <x:v>ObjectiveSecure</x:v>
      </x:c>
      <x:c r="W1" s="162" t="str">
        <x:v>ScoringSide</x:v>
      </x:c>
      <x:c r="X1" s="162" t="str">
        <x:v>Execution</x:v>
      </x:c>
      <x:c r="Y1" s="162" t="str">
        <x:v>Decision</x:v>
      </x:c>
      <x:c r="Z1" s="162" t="str">
        <x:v>P_Initiative</x:v>
      </x:c>
      <x:c r="AA1" s="162" t="str">
        <x:v>P_RiskTolerance</x:v>
      </x:c>
      <x:c r="AB1" s="162" t="str">
        <x:v>P_Cooperation</x:v>
      </x:c>
      <x:c r="AC1" s="162" t="str">
        <x:v>P_SelfReliance</x:v>
      </x:c>
      <x:c r="AD1" s="162" t="str">
        <x:v>P_Planning</x:v>
      </x:c>
      <x:c r="AE1" s="162" t="str">
        <x:v>P_Adaptability</x:v>
      </x:c>
      <x:c r="AF1" s="162" t="str">
        <x:v>P_Mastery</x:v>
      </x:c>
      <x:c r="AG1" s="162" t="str">
        <x:v>SourceURL</x:v>
      </x:c>
      <x:c r="AH1" s="162" t="str">
        <x:v>ResultComment</x:v>
      </x:c>
      <x:c r="AI1" s="162" t="str">
        <x:v>StyleKeywords</x:v>
      </x:c>
      <x:c r="AJ1" s="162" t="str">
        <x:v>RankBias</x:v>
      </x:c>
    </x:row>
    <x:row r="2">
      <x:c r="A2" s="12" t="str">
        <x:v>アローラキュウコン</x:v>
      </x:c>
      <x:c r="B2" s="12" t="str">
        <x:v>アタック型</x:v>
      </x:c>
      <x:c r="C2" s="12" t="str">
        <x:v>アローラキュウコン-1</x:v>
      </x:c>
      <x:c r="D2" s="12" t="str">
        <x:v>ふぶき</x:v>
      </x:c>
      <x:c r="E2" s="12" t="str">
        <x:v>BurstMage</x:v>
      </x:c>
      <x:c r="F2" s="12" t="str">
        <x:v>BurstMage</x:v>
      </x:c>
      <x:c r="G2" s="12"/>
      <x:c r="H2" s="12" t="str">
        <x:v>立ち位置・戦闘距離・役割が大きく変わるため別プロファイル</x:v>
      </x:c>
      <x:c r="I2" s="12" t="str">
        <x:v>高</x:v>
      </x:c>
      <x:c r="J2" s="12" t="str">
        <x:v>2026-09-30</x:v>
      </x:c>
      <x:c r="K2" s="12" t="n">
        <x:v>30</x:v>
      </x:c>
      <x:c r="L2" s="12" t="n">
        <x:v>5</x:v>
      </x:c>
      <x:c r="M2" s="12" t="n">
        <x:v>35</x:v>
      </x:c>
      <x:c r="N2" s="12" t="n">
        <x:v>0</x:v>
      </x:c>
      <x:c r="O2" s="12" t="n">
        <x:v>100</x:v>
      </x:c>
      <x:c r="P2" s="12" t="n">
        <x:v>10</x:v>
      </x:c>
      <x:c r="Q2" s="12" t="n">
        <x:v>85</x:v>
      </x:c>
      <x:c r="R2" s="12" t="n">
        <x:v>0</x:v>
      </x:c>
      <x:c r="S2" s="12" t="n">
        <x:v>30</x:v>
      </x:c>
      <x:c r="T2" s="12" t="n">
        <x:v>50</x:v>
      </x:c>
      <x:c r="U2" s="12" t="n">
        <x:v>55</x:v>
      </x:c>
      <x:c r="V2" s="12" t="n">
        <x:v>60</x:v>
      </x:c>
      <x:c r="W2" s="12" t="n">
        <x:v>25</x:v>
      </x:c>
      <x:c r="X2" s="12" t="n">
        <x:v>60</x:v>
      </x:c>
      <x:c r="Y2" s="12" t="n">
        <x:v>70</x:v>
      </x:c>
      <x:c r="Z2" s="12" t="n">
        <x:f>ROUND(MAX(0,MIN(100,0.40*K2+0.20*L2+0.10*S2+0.15*V2+0.15*Y2)),0)</x:f>
        <x:v>36</x:v>
      </x:c>
      <x:c r="AA2" s="12" t="n">
        <x:f>ROUND(MAX(0,MIN(100,0.30*L2+0.20*K2+0.15*V2+0.15*W2+0.10*S2+0.10*(100-M2))),0)</x:f>
        <x:v>30</x:v>
      </x:c>
      <x:c r="AB2" s="12" t="n">
        <x:f>ROUND(MAX(0,MIN(100,0.30*M2+0.25*R2+0.20*Q2+0.15*K2+0.10*(100-T2))),0)</x:f>
        <x:v>37</x:v>
      </x:c>
      <x:c r="AC2" s="12" t="n">
        <x:f>ROUND(MAX(0,MIN(100,0.55*T2+0.15*S2+0.10*N2+0.10*V2+0.10*W2)),0)</x:f>
        <x:v>41</x:v>
      </x:c>
      <x:c r="AD2" s="12" t="n">
        <x:f>ROUND(MAX(0,MIN(100,0.25*O2+0.25*Q2+0.20*Y2+0.15*U2+0.15*(100-L2))),0)</x:f>
        <x:v>83</x:v>
      </x:c>
      <x:c r="AE2" s="12" t="n">
        <x:f>ROUND(MAX(0,MIN(100,0.30*Y2+0.25*S2+0.15*Q2+0.15*T2+0.15*X2)),0)</x:f>
        <x:v>58</x:v>
      </x:c>
      <x:c r="AF2" s="12" t="n">
        <x:f>ROUND(MAX(0,MIN(100,0.65*X2+0.35*Y2)),0)</x:f>
        <x:v>64</x:v>
      </x:c>
      <x:c r="AG2" s="12" t="str">
        <x:v>https://wikiwiki.jp/poke-unite/%E3%82%A2%E3%83%AD%E3%83%BC%E3%83%A9%E3%82%AD%E3%83%A5%E3%82%A6%E3%82%B3%E3%83%B3</x:v>
      </x:c>
      <x:c r="AH2" s="12" t="str">
        <x:v>氷の壁と「ふぶき」で相手を押し返し、遠くから大きなダメージを重ねる戦い方です。相手の進路を読んで技を置き、近づかせないまま削り切りたい人に向いています。</x:v>
      </x:c>
      <x:c r="AI2" s="12" t="str">
        <x:v>遠くから削る・動きを止める・一瞬で倒し切る</x:v>
      </x:c>
      <x:c r="AJ2" s="12" t="n">
        <x:v>0</x:v>
      </x:c>
    </x:row>
    <x:row r="3">
      <x:c r="A3" s="12" t="str">
        <x:v>アローラキュウコン</x:v>
      </x:c>
      <x:c r="B3" s="12" t="str">
        <x:v>アタック型</x:v>
      </x:c>
      <x:c r="C3" s="12" t="str">
        <x:v>アローラキュウコン-2</x:v>
      </x:c>
      <x:c r="D3" s="12" t="str">
        <x:v>オーロラベール</x:v>
      </x:c>
      <x:c r="E3" s="12" t="str">
        <x:v>Marksman / Warden</x:v>
      </x:c>
      <x:c r="F3" s="12" t="str">
        <x:v>Marksman</x:v>
      </x:c>
      <x:c r="G3" s="12" t="str">
        <x:v>Warden</x:v>
      </x:c>
      <x:c r="H3" s="12" t="str">
        <x:v>立ち位置・戦闘距離・役割が大きく変わるため別プロファイル</x:v>
      </x:c>
      <x:c r="I3" s="12" t="str">
        <x:v>高</x:v>
      </x:c>
      <x:c r="J3" s="12" t="str">
        <x:v>2026-09-30</x:v>
      </x:c>
      <x:c r="K3" s="12" t="n">
        <x:v>30</x:v>
      </x:c>
      <x:c r="L3" s="12" t="n">
        <x:v>5</x:v>
      </x:c>
      <x:c r="M3" s="12" t="n">
        <x:v>55</x:v>
      </x:c>
      <x:c r="N3" s="12" t="n">
        <x:v>40</x:v>
      </x:c>
      <x:c r="O3" s="12" t="n">
        <x:v>45</x:v>
      </x:c>
      <x:c r="P3" s="12" t="n">
        <x:v>80</x:v>
      </x:c>
      <x:c r="Q3" s="12" t="n">
        <x:v>45</x:v>
      </x:c>
      <x:c r="R3" s="12" t="n">
        <x:v>40</x:v>
      </x:c>
      <x:c r="S3" s="12" t="n">
        <x:v>30</x:v>
      </x:c>
      <x:c r="T3" s="12" t="n">
        <x:v>45</x:v>
      </x:c>
      <x:c r="U3" s="12" t="n">
        <x:v>55</x:v>
      </x:c>
      <x:c r="V3" s="12" t="n">
        <x:v>65</x:v>
      </x:c>
      <x:c r="W3" s="12" t="n">
        <x:v>30</x:v>
      </x:c>
      <x:c r="X3" s="12" t="n">
        <x:v>50</x:v>
      </x:c>
      <x:c r="Y3" s="12" t="n">
        <x:v>75</x:v>
      </x:c>
      <x:c r="Z3" s="12" t="n">
        <x:f>ROUND(MAX(0,MIN(100,0.40*K3+0.20*L3+0.10*S3+0.15*V3+0.15*Y3)),0)</x:f>
        <x:v>37</x:v>
      </x:c>
      <x:c r="AA3" s="12" t="n">
        <x:f>ROUND(MAX(0,MIN(100,0.30*L3+0.20*K3+0.15*V3+0.15*W3+0.10*S3+0.10*(100-M3))),0)</x:f>
        <x:v>29</x:v>
      </x:c>
      <x:c r="AB3" s="12" t="n">
        <x:f>ROUND(MAX(0,MIN(100,0.30*M3+0.25*R3+0.20*Q3+0.15*K3+0.10*(100-T3))),0)</x:f>
        <x:v>46</x:v>
      </x:c>
      <x:c r="AC3" s="12" t="n">
        <x:f>ROUND(MAX(0,MIN(100,0.55*T3+0.15*S3+0.10*N3+0.10*V3+0.10*W3)),0)</x:f>
        <x:v>43</x:v>
      </x:c>
      <x:c r="AD3" s="12" t="n">
        <x:f>ROUND(MAX(0,MIN(100,0.25*O3+0.25*Q3+0.20*Y3+0.15*U3+0.15*(100-L3))),0)</x:f>
        <x:v>60</x:v>
      </x:c>
      <x:c r="AE3" s="12" t="n">
        <x:f>ROUND(MAX(0,MIN(100,0.30*Y3+0.25*S3+0.15*Q3+0.15*T3+0.15*X3)),0)</x:f>
        <x:v>51</x:v>
      </x:c>
      <x:c r="AF3" s="12" t="n">
        <x:f>ROUND(MAX(0,MIN(100,0.65*X3+0.35*Y3)),0)</x:f>
        <x:v>59</x:v>
      </x:c>
      <x:c r="AG3" s="12" t="str">
        <x:v>https://wikiwiki.jp/poke-unite/%E3%82%A2%E3%83%AD%E3%83%BC%E3%83%A9%E3%82%AD%E3%83%A5%E3%82%A6%E3%82%B3%E3%83%B3</x:v>
      </x:c>
      <x:c r="AH3" s="12" t="str">
        <x:v>「オーロラベール」で自分と周りの味方が受けるダメージを減らし、粘り強く撃ち合える戦い方です。前線を味方に任せ、安全な位置から長く攻撃を続けたい人と相性がいいです。</x:v>
      </x:c>
      <x:c r="AI3" s="12" t="str">
        <x:v>長く戦う・後ろから狙う・先を読んで動く</x:v>
      </x:c>
      <x:c r="AJ3" s="12" t="n">
        <x:v>0</x:v>
      </x:c>
    </x:row>
    <x:row r="4">
      <x:c r="A4" s="12" t="str">
        <x:v>アローラライチュウ</x:v>
      </x:c>
      <x:c r="B4" s="12" t="str">
        <x:v>アタック型</x:v>
      </x:c>
      <x:c r="C4" s="12" t="str">
        <x:v>アローラライチュウ-1</x:v>
      </x:c>
      <x:c r="D4" s="12" t="str">
        <x:v>共通</x:v>
      </x:c>
      <x:c r="E4" s="12" t="str">
        <x:v>BattleMage</x:v>
      </x:c>
      <x:c r="F4" s="12" t="str">
        <x:v>BattleMage</x:v>
      </x:c>
      <x:c r="G4" s="12"/>
      <x:c r="H4" s="12" t="str">
        <x:v>技で細部は変わるが、診断上のプレイ人格は大きく変わらないため統合</x:v>
      </x:c>
      <x:c r="I4" s="12" t="str">
        <x:v>高</x:v>
      </x:c>
      <x:c r="J4" s="12" t="str">
        <x:v>2026-09-30</x:v>
      </x:c>
      <x:c r="K4" s="12" t="n">
        <x:v>50</x:v>
      </x:c>
      <x:c r="L4" s="12" t="n">
        <x:v>35</x:v>
      </x:c>
      <x:c r="M4" s="12" t="n">
        <x:v>30</x:v>
      </x:c>
      <x:c r="N4" s="12" t="n">
        <x:v>30</x:v>
      </x:c>
      <x:c r="O4" s="12" t="n">
        <x:v>65</x:v>
      </x:c>
      <x:c r="P4" s="12" t="n">
        <x:v>70</x:v>
      </x:c>
      <x:c r="Q4" s="12" t="n">
        <x:v>50</x:v>
      </x:c>
      <x:c r="R4" s="12" t="n">
        <x:v>10</x:v>
      </x:c>
      <x:c r="S4" s="12" t="n">
        <x:v>60</x:v>
      </x:c>
      <x:c r="T4" s="12" t="n">
        <x:v>60</x:v>
      </x:c>
      <x:c r="U4" s="12" t="n">
        <x:v>55</x:v>
      </x:c>
      <x:c r="V4" s="12" t="n">
        <x:v>55</x:v>
      </x:c>
      <x:c r="W4" s="12" t="n">
        <x:v>45</x:v>
      </x:c>
      <x:c r="X4" s="12" t="n">
        <x:v>60</x:v>
      </x:c>
      <x:c r="Y4" s="12" t="n">
        <x:v>65</x:v>
      </x:c>
      <x:c r="Z4" s="12" t="n">
        <x:f>ROUND(MAX(0,MIN(100,0.40*K4+0.20*L4+0.10*S4+0.15*V4+0.15*Y4)),0)</x:f>
        <x:v>51</x:v>
      </x:c>
      <x:c r="AA4" s="12" t="n">
        <x:f>ROUND(MAX(0,MIN(100,0.30*L4+0.20*K4+0.15*V4+0.15*W4+0.10*S4+0.10*(100-M4))),0)</x:f>
        <x:v>49</x:v>
      </x:c>
      <x:c r="AB4" s="12" t="n">
        <x:f>ROUND(MAX(0,MIN(100,0.30*M4+0.25*R4+0.20*Q4+0.15*K4+0.10*(100-T4))),0)</x:f>
        <x:v>33</x:v>
      </x:c>
      <x:c r="AC4" s="12" t="n">
        <x:f>ROUND(MAX(0,MIN(100,0.55*T4+0.15*S4+0.10*N4+0.10*V4+0.10*W4)),0)</x:f>
        <x:v>55</x:v>
      </x:c>
      <x:c r="AD4" s="12" t="n">
        <x:f>ROUND(MAX(0,MIN(100,0.25*O4+0.25*Q4+0.20*Y4+0.15*U4+0.15*(100-L4))),0)</x:f>
        <x:v>60</x:v>
      </x:c>
      <x:c r="AE4" s="12" t="n">
        <x:f>ROUND(MAX(0,MIN(100,0.30*Y4+0.25*S4+0.15*Q4+0.15*T4+0.15*X4)),0)</x:f>
        <x:v>60</x:v>
      </x:c>
      <x:c r="AF4" s="12" t="n">
        <x:f>ROUND(MAX(0,MIN(100,0.65*X4+0.35*Y4)),0)</x:f>
        <x:v>62</x:v>
      </x:c>
      <x:c r="AG4" s="12" t="str">
        <x:v>https://wikiwiki.jp/poke-unite/%E3%82%A2%E3%83%AD%E3%83%BC%E3%83%A9%E3%83%A9%E3%82%A4%E3%83%81%E3%83%A5%E3%82%A6</x:v>
      </x:c>
      <x:c r="AH4" s="12" t="str">
        <x:v>足を止めずに通常攻撃を撃てる、「陸サーファー」のアタッカーです。動き回りながら間合いを保ち、相手を寄せつけずに削り続けたい人に向いています。</x:v>
      </x:c>
      <x:c r="AI4" s="12" t="str">
        <x:v>遠くから削る・長く戦う・後ろから狙う</x:v>
      </x:c>
      <x:c r="AJ4" s="12" t="n">
        <x:v>0</x:v>
      </x:c>
    </x:row>
    <x:row r="5">
      <x:c r="A5" s="12" t="str">
        <x:v>イベルタル</x:v>
      </x:c>
      <x:c r="B5" s="12" t="str">
        <x:v>アタック型</x:v>
      </x:c>
      <x:c r="C5" s="12" t="str">
        <x:v>イベルタル-1</x:v>
      </x:c>
      <x:c r="D5" s="12" t="str">
        <x:v>共通</x:v>
      </x:c>
      <x:c r="E5" s="12" t="str">
        <x:v>BurstMage</x:v>
      </x:c>
      <x:c r="F5" s="12" t="str">
        <x:v>BurstMage</x:v>
      </x:c>
      <x:c r="G5" s="12"/>
      <x:c r="H5" s="12" t="str">
        <x:v>技で細部は変わるが、診断上のプレイ人格は大きく変わらないため統合</x:v>
      </x:c>
      <x:c r="I5" s="12" t="str">
        <x:v>高</x:v>
      </x:c>
      <x:c r="J5" s="12" t="str">
        <x:v>2026-09-30</x:v>
      </x:c>
      <x:c r="K5" s="12" t="n">
        <x:v>30</x:v>
      </x:c>
      <x:c r="L5" s="12" t="n">
        <x:v>5</x:v>
      </x:c>
      <x:c r="M5" s="12" t="n">
        <x:v>35</x:v>
      </x:c>
      <x:c r="N5" s="12" t="n">
        <x:v>15</x:v>
      </x:c>
      <x:c r="O5" s="12" t="n">
        <x:v>90</x:v>
      </x:c>
      <x:c r="P5" s="12" t="n">
        <x:v>10</x:v>
      </x:c>
      <x:c r="Q5" s="12" t="n">
        <x:v>65</x:v>
      </x:c>
      <x:c r="R5" s="12" t="n">
        <x:v>10</x:v>
      </x:c>
      <x:c r="S5" s="12" t="n">
        <x:v>20</x:v>
      </x:c>
      <x:c r="T5" s="12" t="n">
        <x:v>50</x:v>
      </x:c>
      <x:c r="U5" s="12" t="n">
        <x:v>55</x:v>
      </x:c>
      <x:c r="V5" s="12" t="n">
        <x:v>80</x:v>
      </x:c>
      <x:c r="W5" s="12" t="n">
        <x:v>25</x:v>
      </x:c>
      <x:c r="X5" s="12" t="n">
        <x:v>60</x:v>
      </x:c>
      <x:c r="Y5" s="12" t="n">
        <x:v>70</x:v>
      </x:c>
      <x:c r="Z5" s="12" t="n">
        <x:f>ROUND(MAX(0,MIN(100,0.40*K5+0.20*L5+0.10*S5+0.15*V5+0.15*Y5)),0)</x:f>
        <x:v>38</x:v>
      </x:c>
      <x:c r="AA5" s="12" t="n">
        <x:f>ROUND(MAX(0,MIN(100,0.30*L5+0.20*K5+0.15*V5+0.15*W5+0.10*S5+0.10*(100-M5))),0)</x:f>
        <x:v>32</x:v>
      </x:c>
      <x:c r="AB5" s="12" t="n">
        <x:f>ROUND(MAX(0,MIN(100,0.30*M5+0.25*R5+0.20*Q5+0.15*K5+0.10*(100-T5))),0)</x:f>
        <x:v>36</x:v>
      </x:c>
      <x:c r="AC5" s="12" t="n">
        <x:f>ROUND(MAX(0,MIN(100,0.55*T5+0.15*S5+0.10*N5+0.10*V5+0.10*W5)),0)</x:f>
        <x:v>43</x:v>
      </x:c>
      <x:c r="AD5" s="12" t="n">
        <x:f>ROUND(MAX(0,MIN(100,0.25*O5+0.25*Q5+0.20*Y5+0.15*U5+0.15*(100-L5))),0)</x:f>
        <x:v>75</x:v>
      </x:c>
      <x:c r="AE5" s="12" t="n">
        <x:f>ROUND(MAX(0,MIN(100,0.30*Y5+0.25*S5+0.15*Q5+0.15*T5+0.15*X5)),0)</x:f>
        <x:v>52</x:v>
      </x:c>
      <x:c r="AF5" s="12" t="n">
        <x:f>ROUND(MAX(0,MIN(100,0.65*X5+0.35*Y5)),0)</x:f>
        <x:v>64</x:v>
      </x:c>
      <x:c r="AG5" s="12" t="str">
        <x:v>https://wikiwiki.jp/poke-unite/%E3%82%A4%E3%83%99%E3%83%AB%E3%82%BF%E3%83%AB</x:v>
      </x:c>
      <x:c r="AH5" s="12" t="str">
        <x:v>「デスウイング」などの高い単発火力と、弱った相手をそのまま仕留める特性が持ち味のアタッカーです。射程はやや短めなので、位置を選んで確実に倒し切りたい人に向いています。</x:v>
      </x:c>
      <x:c r="AI5" s="12" t="str">
        <x:v>一瞬で倒し切る・取り切りが得意・遠くから削る</x:v>
      </x:c>
      <x:c r="AJ5" s="12" t="n">
        <x:v>0</x:v>
      </x:c>
    </x:row>
    <x:row r="6">
      <x:c r="A6" s="12" t="str">
        <x:v>インテレオン</x:v>
      </x:c>
      <x:c r="B6" s="12" t="str">
        <x:v>アタック型</x:v>
      </x:c>
      <x:c r="C6" s="12" t="str">
        <x:v>インテレオン-1</x:v>
      </x:c>
      <x:c r="D6" s="12" t="str">
        <x:v>ねらいうち</x:v>
      </x:c>
      <x:c r="E6" s="12" t="str">
        <x:v>Artillery</x:v>
      </x:c>
      <x:c r="F6" s="12" t="str">
        <x:v>Artillery</x:v>
      </x:c>
      <x:c r="G6" s="12"/>
      <x:c r="H6" s="12" t="str">
        <x:v>立ち位置・戦闘距離・役割が大きく変わるため別プロファイル</x:v>
      </x:c>
      <x:c r="I6" s="12" t="str">
        <x:v>高</x:v>
      </x:c>
      <x:c r="J6" s="12" t="str">
        <x:v>2026-09-30</x:v>
      </x:c>
      <x:c r="K6" s="12" t="n">
        <x:v>15</x:v>
      </x:c>
      <x:c r="L6" s="12" t="n">
        <x:v>5</x:v>
      </x:c>
      <x:c r="M6" s="12" t="n">
        <x:v>15</x:v>
      </x:c>
      <x:c r="N6" s="12" t="n">
        <x:v>5</x:v>
      </x:c>
      <x:c r="O6" s="12" t="n">
        <x:v>100</x:v>
      </x:c>
      <x:c r="P6" s="12" t="n">
        <x:v>10</x:v>
      </x:c>
      <x:c r="Q6" s="12" t="n">
        <x:v>35</x:v>
      </x:c>
      <x:c r="R6" s="12" t="n">
        <x:v>5</x:v>
      </x:c>
      <x:c r="S6" s="12" t="n">
        <x:v>25</x:v>
      </x:c>
      <x:c r="T6" s="12" t="n">
        <x:v>45</x:v>
      </x:c>
      <x:c r="U6" s="12" t="n">
        <x:v>65</x:v>
      </x:c>
      <x:c r="V6" s="12" t="n">
        <x:v>80</x:v>
      </x:c>
      <x:c r="W6" s="12" t="n">
        <x:v>20</x:v>
      </x:c>
      <x:c r="X6" s="12" t="n">
        <x:v>100</x:v>
      </x:c>
      <x:c r="Y6" s="12" t="n">
        <x:v>80</x:v>
      </x:c>
      <x:c r="Z6" s="12" t="n">
        <x:f>ROUND(MAX(0,MIN(100,0.40*K6+0.20*L6+0.10*S6+0.15*V6+0.15*Y6)),0)</x:f>
        <x:v>34</x:v>
      </x:c>
      <x:c r="AA6" s="12" t="n">
        <x:f>ROUND(MAX(0,MIN(100,0.30*L6+0.20*K6+0.15*V6+0.15*W6+0.10*S6+0.10*(100-M6))),0)</x:f>
        <x:v>31</x:v>
      </x:c>
      <x:c r="AB6" s="12" t="n">
        <x:f>ROUND(MAX(0,MIN(100,0.30*M6+0.25*R6+0.20*Q6+0.15*K6+0.10*(100-T6))),0)</x:f>
        <x:v>21</x:v>
      </x:c>
      <x:c r="AC6" s="12" t="n">
        <x:f>ROUND(MAX(0,MIN(100,0.55*T6+0.15*S6+0.10*N6+0.10*V6+0.10*W6)),0)</x:f>
        <x:v>39</x:v>
      </x:c>
      <x:c r="AD6" s="12" t="n">
        <x:f>ROUND(MAX(0,MIN(100,0.25*O6+0.25*Q6+0.20*Y6+0.15*U6+0.15*(100-L6))),0)</x:f>
        <x:v>74</x:v>
      </x:c>
      <x:c r="AE6" s="12" t="n">
        <x:f>ROUND(MAX(0,MIN(100,0.30*Y6+0.25*S6+0.15*Q6+0.15*T6+0.15*X6)),0)</x:f>
        <x:v>57</x:v>
      </x:c>
      <x:c r="AF6" s="12" t="n">
        <x:f>ROUND(MAX(0,MIN(100,0.65*X6+0.35*Y6)),0)</x:f>
        <x:v>93</x:v>
      </x:c>
      <x:c r="AG6" s="12" t="str">
        <x:v>https://wikiwiki.jp/poke-unite/%E3%82%A4%E3%83%B3%E3%83%86%E3%83%AC%E3%82%AA%E3%83%B3</x:v>
      </x:c>
      <x:c r="AH6" s="12" t="str">
        <x:v>長い射程から「ねらいうち」を当てて、大きな一発で相手を落とす戦い方です。照準の精度と立ち位置の工夫がそのまま結果に出るので、狙撃を極めたい人に向いています。</x:v>
      </x:c>
      <x:c r="AI6" s="12" t="str">
        <x:v>遠くから削る・操作を極める・取り切りが得意</x:v>
      </x:c>
      <x:c r="AJ6" s="12" t="n">
        <x:v>0</x:v>
      </x:c>
    </x:row>
    <x:row r="7">
      <x:c r="A7" s="12" t="str">
        <x:v>インテレオン</x:v>
      </x:c>
      <x:c r="B7" s="12" t="str">
        <x:v>アタック型</x:v>
      </x:c>
      <x:c r="C7" s="12" t="str">
        <x:v>インテレオン-2</x:v>
      </x:c>
      <x:c r="D7" s="12" t="str">
        <x:v>アクアブレイク</x:v>
      </x:c>
      <x:c r="E7" s="12" t="str">
        <x:v>BattleMage / Marksman</x:v>
      </x:c>
      <x:c r="F7" s="12" t="str">
        <x:v>BattleMage</x:v>
      </x:c>
      <x:c r="G7" s="12" t="str">
        <x:v>Marksman</x:v>
      </x:c>
      <x:c r="H7" s="12" t="str">
        <x:v>立ち位置・戦闘距離・役割が大きく変わるため別プロファイル</x:v>
      </x:c>
      <x:c r="I7" s="12" t="str">
        <x:v>高</x:v>
      </x:c>
      <x:c r="J7" s="12" t="str">
        <x:v>2026-09-30</x:v>
      </x:c>
      <x:c r="K7" s="12" t="n">
        <x:v>25</x:v>
      </x:c>
      <x:c r="L7" s="12" t="n">
        <x:v>25</x:v>
      </x:c>
      <x:c r="M7" s="12" t="n">
        <x:v>20</x:v>
      </x:c>
      <x:c r="N7" s="12" t="n">
        <x:v>20</x:v>
      </x:c>
      <x:c r="O7" s="12" t="n">
        <x:v>40</x:v>
      </x:c>
      <x:c r="P7" s="12" t="n">
        <x:v>80</x:v>
      </x:c>
      <x:c r="Q7" s="12" t="n">
        <x:v>25</x:v>
      </x:c>
      <x:c r="R7" s="12" t="n">
        <x:v>0</x:v>
      </x:c>
      <x:c r="S7" s="12" t="n">
        <x:v>60</x:v>
      </x:c>
      <x:c r="T7" s="12" t="n">
        <x:v>60</x:v>
      </x:c>
      <x:c r="U7" s="12" t="n">
        <x:v>70</x:v>
      </x:c>
      <x:c r="V7" s="12" t="n">
        <x:v>75</x:v>
      </x:c>
      <x:c r="W7" s="12" t="n">
        <x:v>45</x:v>
      </x:c>
      <x:c r="X7" s="12" t="n">
        <x:v>75</x:v>
      </x:c>
      <x:c r="Y7" s="12" t="n">
        <x:v>65</x:v>
      </x:c>
      <x:c r="Z7" s="12" t="n">
        <x:f>ROUND(MAX(0,MIN(100,0.40*K7+0.20*L7+0.10*S7+0.15*V7+0.15*Y7)),0)</x:f>
        <x:v>42</x:v>
      </x:c>
      <x:c r="AA7" s="12" t="n">
        <x:f>ROUND(MAX(0,MIN(100,0.30*L7+0.20*K7+0.15*V7+0.15*W7+0.10*S7+0.10*(100-M7))),0)</x:f>
        <x:v>45</x:v>
      </x:c>
      <x:c r="AB7" s="12" t="n">
        <x:f>ROUND(MAX(0,MIN(100,0.30*M7+0.25*R7+0.20*Q7+0.15*K7+0.10*(100-T7))),0)</x:f>
        <x:v>19</x:v>
      </x:c>
      <x:c r="AC7" s="12" t="n">
        <x:f>ROUND(MAX(0,MIN(100,0.55*T7+0.15*S7+0.10*N7+0.10*V7+0.10*W7)),0)</x:f>
        <x:v>56</x:v>
      </x:c>
      <x:c r="AD7" s="12" t="n">
        <x:f>ROUND(MAX(0,MIN(100,0.25*O7+0.25*Q7+0.20*Y7+0.15*U7+0.15*(100-L7))),0)</x:f>
        <x:v>51</x:v>
      </x:c>
      <x:c r="AE7" s="12" t="n">
        <x:f>ROUND(MAX(0,MIN(100,0.30*Y7+0.25*S7+0.15*Q7+0.15*T7+0.15*X7)),0)</x:f>
        <x:v>59</x:v>
      </x:c>
      <x:c r="AF7" s="12" t="n">
        <x:f>ROUND(MAX(0,MIN(100,0.65*X7+0.35*Y7)),0)</x:f>
        <x:v>72</x:v>
      </x:c>
      <x:c r="AG7" s="12" t="str">
        <x:v>https://wikiwiki.jp/poke-unite/%E3%82%A4%E3%83%B3%E3%83%86%E3%83%AC%E3%82%AA%E3%83%B3</x:v>
      </x:c>
      <x:c r="AH7" s="12" t="str">
        <x:v>「アクアブレイク」で攻撃をかわしつつ、通常攻撃と技を回して長く撃ち合う戦い方です。一発に賭けるより、撃ち合いの中で手数を積み上げたい人に向いています。</x:v>
      </x:c>
      <x:c r="AI7" s="12" t="str">
        <x:v>長く戦う・待って返す・操作を極める</x:v>
      </x:c>
      <x:c r="AJ7" s="12" t="n">
        <x:v>0</x:v>
      </x:c>
    </x:row>
    <x:row r="8">
      <x:c r="A8" s="12" t="str">
        <x:v>ウッウ</x:v>
      </x:c>
      <x:c r="B8" s="12" t="str">
        <x:v>アタック型</x:v>
      </x:c>
      <x:c r="C8" s="12" t="str">
        <x:v>ウッウ-1</x:v>
      </x:c>
      <x:c r="D8" s="12" t="str">
        <x:v>なみのり</x:v>
      </x:c>
      <x:c r="E8" s="12" t="str">
        <x:v>BurstMage</x:v>
      </x:c>
      <x:c r="F8" s="12" t="str">
        <x:v>BurstMage</x:v>
      </x:c>
      <x:c r="G8" s="12"/>
      <x:c r="H8" s="12" t="str">
        <x:v>立ち位置・戦闘距離・役割が大きく変わるため別プロファイル</x:v>
      </x:c>
      <x:c r="I8" s="12" t="str">
        <x:v>高</x:v>
      </x:c>
      <x:c r="J8" s="12" t="str">
        <x:v>2026-09-30</x:v>
      </x:c>
      <x:c r="K8" s="12" t="n">
        <x:v>30</x:v>
      </x:c>
      <x:c r="L8" s="12" t="n">
        <x:v>5</x:v>
      </x:c>
      <x:c r="M8" s="12" t="n">
        <x:v>35</x:v>
      </x:c>
      <x:c r="N8" s="12" t="n">
        <x:v>0</x:v>
      </x:c>
      <x:c r="O8" s="12" t="n">
        <x:v>100</x:v>
      </x:c>
      <x:c r="P8" s="12" t="n">
        <x:v>10</x:v>
      </x:c>
      <x:c r="Q8" s="12" t="n">
        <x:v>95</x:v>
      </x:c>
      <x:c r="R8" s="12" t="n">
        <x:v>10</x:v>
      </x:c>
      <x:c r="S8" s="12" t="n">
        <x:v>5</x:v>
      </x:c>
      <x:c r="T8" s="12" t="n">
        <x:v>35</x:v>
      </x:c>
      <x:c r="U8" s="12" t="n">
        <x:v>40</x:v>
      </x:c>
      <x:c r="V8" s="12" t="n">
        <x:v>60</x:v>
      </x:c>
      <x:c r="W8" s="12" t="n">
        <x:v>25</x:v>
      </x:c>
      <x:c r="X8" s="12" t="n">
        <x:v>70</x:v>
      </x:c>
      <x:c r="Y8" s="12" t="n">
        <x:v>70</x:v>
      </x:c>
      <x:c r="Z8" s="12" t="n">
        <x:f>ROUND(MAX(0,MIN(100,0.40*K8+0.20*L8+0.10*S8+0.15*V8+0.15*Y8)),0)</x:f>
        <x:v>33</x:v>
      </x:c>
      <x:c r="AA8" s="12" t="n">
        <x:f>ROUND(MAX(0,MIN(100,0.30*L8+0.20*K8+0.15*V8+0.15*W8+0.10*S8+0.10*(100-M8))),0)</x:f>
        <x:v>27</x:v>
      </x:c>
      <x:c r="AB8" s="12" t="n">
        <x:f>ROUND(MAX(0,MIN(100,0.30*M8+0.25*R8+0.20*Q8+0.15*K8+0.10*(100-T8))),0)</x:f>
        <x:v>43</x:v>
      </x:c>
      <x:c r="AC8" s="12" t="n">
        <x:f>ROUND(MAX(0,MIN(100,0.55*T8+0.15*S8+0.10*N8+0.10*V8+0.10*W8)),0)</x:f>
        <x:v>29</x:v>
      </x:c>
      <x:c r="AD8" s="12" t="n">
        <x:f>ROUND(MAX(0,MIN(100,0.25*O8+0.25*Q8+0.20*Y8+0.15*U8+0.15*(100-L8))),0)</x:f>
        <x:v>83</x:v>
      </x:c>
      <x:c r="AE8" s="12" t="n">
        <x:f>ROUND(MAX(0,MIN(100,0.30*Y8+0.25*S8+0.15*Q8+0.15*T8+0.15*X8)),0)</x:f>
        <x:v>52</x:v>
      </x:c>
      <x:c r="AF8" s="12" t="n">
        <x:f>ROUND(MAX(0,MIN(100,0.65*X8+0.35*Y8)),0)</x:f>
        <x:v>70</x:v>
      </x:c>
      <x:c r="AG8" s="12" t="str">
        <x:v>https://wikiwiki.jp/poke-unite/%E3%82%A6%E3%83%83%E3%82%A6</x:v>
      </x:c>
      <x:c r="AH8" s="12" t="str">
        <x:v>「なみのり」で相手を押し流し、うのミサイルを絡めて遠くから大技を当てる戦い方です。陣形を崩す一撃を狙って、技を当てる位置とタイミングを考えるのが好きな人に向いています。</x:v>
      </x:c>
      <x:c r="AI8" s="12" t="str">
        <x:v>遠くから削る・動きを止める・先を読んで動く</x:v>
      </x:c>
      <x:c r="AJ8" s="12" t="n">
        <x:v>0</x:v>
      </x:c>
    </x:row>
    <x:row r="9">
      <x:c r="A9" s="12" t="str">
        <x:v>ウッウ</x:v>
      </x:c>
      <x:c r="B9" s="12" t="str">
        <x:v>アタック型</x:v>
      </x:c>
      <x:c r="C9" s="12" t="str">
        <x:v>ウッウ-2</x:v>
      </x:c>
      <x:c r="D9" s="12" t="str">
        <x:v>ダイビング</x:v>
      </x:c>
      <x:c r="E9" s="12" t="str">
        <x:v>BattleMage</x:v>
      </x:c>
      <x:c r="F9" s="12" t="str">
        <x:v>BattleMage</x:v>
      </x:c>
      <x:c r="G9" s="12"/>
      <x:c r="H9" s="12" t="str">
        <x:v>立ち位置・戦闘距離・役割が大きく変わるため別プロファイル</x:v>
      </x:c>
      <x:c r="I9" s="12" t="str">
        <x:v>高</x:v>
      </x:c>
      <x:c r="J9" s="12" t="str">
        <x:v>2026-09-30</x:v>
      </x:c>
      <x:c r="K9" s="12" t="n">
        <x:v>50</x:v>
      </x:c>
      <x:c r="L9" s="12" t="n">
        <x:v>45</x:v>
      </x:c>
      <x:c r="M9" s="12" t="n">
        <x:v>30</x:v>
      </x:c>
      <x:c r="N9" s="12" t="n">
        <x:v>30</x:v>
      </x:c>
      <x:c r="O9" s="12" t="n">
        <x:v>40</x:v>
      </x:c>
      <x:c r="P9" s="12" t="n">
        <x:v>70</x:v>
      </x:c>
      <x:c r="Q9" s="12" t="n">
        <x:v>50</x:v>
      </x:c>
      <x:c r="R9" s="12" t="n">
        <x:v>10</x:v>
      </x:c>
      <x:c r="S9" s="12" t="n">
        <x:v>70</x:v>
      </x:c>
      <x:c r="T9" s="12" t="n">
        <x:v>60</x:v>
      </x:c>
      <x:c r="U9" s="12" t="n">
        <x:v>55</x:v>
      </x:c>
      <x:c r="V9" s="12" t="n">
        <x:v>65</x:v>
      </x:c>
      <x:c r="W9" s="12" t="n">
        <x:v>45</x:v>
      </x:c>
      <x:c r="X9" s="12" t="n">
        <x:v>75</x:v>
      </x:c>
      <x:c r="Y9" s="12" t="n">
        <x:v>65</x:v>
      </x:c>
      <x:c r="Z9" s="12" t="n">
        <x:f>ROUND(MAX(0,MIN(100,0.40*K9+0.20*L9+0.10*S9+0.15*V9+0.15*Y9)),0)</x:f>
        <x:v>56</x:v>
      </x:c>
      <x:c r="AA9" s="12" t="n">
        <x:f>ROUND(MAX(0,MIN(100,0.30*L9+0.20*K9+0.15*V9+0.15*W9+0.10*S9+0.10*(100-M9))),0)</x:f>
        <x:v>54</x:v>
      </x:c>
      <x:c r="AB9" s="12" t="n">
        <x:f>ROUND(MAX(0,MIN(100,0.30*M9+0.25*R9+0.20*Q9+0.15*K9+0.10*(100-T9))),0)</x:f>
        <x:v>33</x:v>
      </x:c>
      <x:c r="AC9" s="12" t="n">
        <x:f>ROUND(MAX(0,MIN(100,0.55*T9+0.15*S9+0.10*N9+0.10*V9+0.10*W9)),0)</x:f>
        <x:v>58</x:v>
      </x:c>
      <x:c r="AD9" s="12" t="n">
        <x:f>ROUND(MAX(0,MIN(100,0.25*O9+0.25*Q9+0.20*Y9+0.15*U9+0.15*(100-L9))),0)</x:f>
        <x:v>52</x:v>
      </x:c>
      <x:c r="AE9" s="12" t="n">
        <x:f>ROUND(MAX(0,MIN(100,0.30*Y9+0.25*S9+0.15*Q9+0.15*T9+0.15*X9)),0)</x:f>
        <x:v>65</x:v>
      </x:c>
      <x:c r="AF9" s="12" t="n">
        <x:f>ROUND(MAX(0,MIN(100,0.65*X9+0.35*Y9)),0)</x:f>
        <x:v>72</x:v>
      </x:c>
      <x:c r="AG9" s="12" t="str">
        <x:v>https://wikiwiki.jp/poke-unite/%E3%82%A6%E3%83%83%E3%82%A6</x:v>
      </x:c>
      <x:c r="AH9" s="12" t="str">
        <x:v>「ダイビング」で飛び込んでは離脱し、うのミサイルを当てながら位置を変えて戦う戦い方です。逃げ技を攻めにも使い、細かく出入りを繰り返す操作が楽しい人に向いています。</x:v>
      </x:c>
      <x:c r="AI9" s="12" t="str">
        <x:v>マップを駆け回る・長く戦う・操作を極める</x:v>
      </x:c>
      <x:c r="AJ9" s="12" t="n">
        <x:v>0</x:v>
      </x:c>
    </x:row>
    <x:row r="10">
      <x:c r="A10" s="12" t="str">
        <x:v>エースバーン</x:v>
      </x:c>
      <x:c r="B10" s="12" t="str">
        <x:v>アタック型</x:v>
      </x:c>
      <x:c r="C10" s="12" t="str">
        <x:v>エースバーン-1</x:v>
      </x:c>
      <x:c r="D10" s="12" t="str">
        <x:v>共通</x:v>
      </x:c>
      <x:c r="E10" s="12" t="str">
        <x:v>Marksman</x:v>
      </x:c>
      <x:c r="F10" s="12" t="str">
        <x:v>Marksman</x:v>
      </x:c>
      <x:c r="G10" s="12"/>
      <x:c r="H10" s="12" t="str">
        <x:v>技で細部は変わるが、診断上のプレイ人格は大きく変わらないため統合</x:v>
      </x:c>
      <x:c r="I10" s="12" t="str">
        <x:v>高</x:v>
      </x:c>
      <x:c r="J10" s="12" t="str">
        <x:v>2026-09-30</x:v>
      </x:c>
      <x:c r="K10" s="12" t="n">
        <x:v>5</x:v>
      </x:c>
      <x:c r="L10" s="12" t="n">
        <x:v>0</x:v>
      </x:c>
      <x:c r="M10" s="12" t="n">
        <x:v>10</x:v>
      </x:c>
      <x:c r="N10" s="12" t="n">
        <x:v>0</x:v>
      </x:c>
      <x:c r="O10" s="12" t="n">
        <x:v>75</x:v>
      </x:c>
      <x:c r="P10" s="12" t="n">
        <x:v>95</x:v>
      </x:c>
      <x:c r="Q10" s="12" t="n">
        <x:v>5</x:v>
      </x:c>
      <x:c r="R10" s="12" t="n">
        <x:v>5</x:v>
      </x:c>
      <x:c r="S10" s="12" t="n">
        <x:v>60</x:v>
      </x:c>
      <x:c r="T10" s="12" t="n">
        <x:v>50</x:v>
      </x:c>
      <x:c r="U10" s="12" t="n">
        <x:v>85</x:v>
      </x:c>
      <x:c r="V10" s="12" t="n">
        <x:v>100</x:v>
      </x:c>
      <x:c r="W10" s="12" t="n">
        <x:v>55</x:v>
      </x:c>
      <x:c r="X10" s="12" t="n">
        <x:v>65</x:v>
      </x:c>
      <x:c r="Y10" s="12" t="n">
        <x:v>65</x:v>
      </x:c>
      <x:c r="Z10" s="12" t="n">
        <x:f>ROUND(MAX(0,MIN(100,0.40*K10+0.20*L10+0.10*S10+0.15*V10+0.15*Y10)),0)</x:f>
        <x:v>33</x:v>
      </x:c>
      <x:c r="AA10" s="12" t="n">
        <x:f>ROUND(MAX(0,MIN(100,0.30*L10+0.20*K10+0.15*V10+0.15*W10+0.10*S10+0.10*(100-M10))),0)</x:f>
        <x:v>39</x:v>
      </x:c>
      <x:c r="AB10" s="12" t="n">
        <x:f>ROUND(MAX(0,MIN(100,0.30*M10+0.25*R10+0.20*Q10+0.15*K10+0.10*(100-T10))),0)</x:f>
        <x:v>11</x:v>
      </x:c>
      <x:c r="AC10" s="12" t="n">
        <x:f>ROUND(MAX(0,MIN(100,0.55*T10+0.15*S10+0.10*N10+0.10*V10+0.10*W10)),0)</x:f>
        <x:v>52</x:v>
      </x:c>
      <x:c r="AD10" s="12" t="n">
        <x:f>ROUND(MAX(0,MIN(100,0.25*O10+0.25*Q10+0.20*Y10+0.15*U10+0.15*(100-L10))),0)</x:f>
        <x:v>61</x:v>
      </x:c>
      <x:c r="AE10" s="12" t="n">
        <x:f>ROUND(MAX(0,MIN(100,0.30*Y10+0.25*S10+0.15*Q10+0.15*T10+0.15*X10)),0)</x:f>
        <x:v>53</x:v>
      </x:c>
      <x:c r="AF10" s="12" t="n">
        <x:f>ROUND(MAX(0,MIN(100,0.65*X10+0.35*Y10)),0)</x:f>
        <x:v>65</x:v>
      </x:c>
      <x:c r="AG10" s="12" t="str">
        <x:v>https://wikiwiki.jp/poke-unite/%E3%82%A8%E3%83%BC%E3%82%B9%E3%83%90%E3%83%BC%E3%83%B3</x:v>
      </x:c>
      <x:c r="AH10" s="12" t="str">
        <x:v>通常攻撃の連射で削り続け、レックウザなど大事な野生ポケモンの取り切りも任せられるアタッカーです。育つほど頼りになるので、序盤は丁寧にレベルを上げて終盤に勝負したい人に向いています。</x:v>
      </x:c>
      <x:c r="AI10" s="12" t="str">
        <x:v>長く戦う・取り切りが得意・育つと化ける</x:v>
      </x:c>
      <x:c r="AJ10" s="12" t="n">
        <x:v>0</x:v>
      </x:c>
    </x:row>
    <x:row r="11">
      <x:c r="A11" s="12" t="str">
        <x:v>エーフィ</x:v>
      </x:c>
      <x:c r="B11" s="12" t="str">
        <x:v>アタック型</x:v>
      </x:c>
      <x:c r="C11" s="12" t="str">
        <x:v>エーフィ-1</x:v>
      </x:c>
      <x:c r="D11" s="12" t="str">
        <x:v>共通</x:v>
      </x:c>
      <x:c r="E11" s="12" t="str">
        <x:v>BurstMage / BattleMage</x:v>
      </x:c>
      <x:c r="F11" s="12" t="str">
        <x:v>BurstMage</x:v>
      </x:c>
      <x:c r="G11" s="12" t="str">
        <x:v>BattleMage</x:v>
      </x:c>
      <x:c r="H11" s="12" t="str">
        <x:v>技で細部は変わるが、診断上のプレイ人格は大きく変わらないため統合</x:v>
      </x:c>
      <x:c r="I11" s="12" t="str">
        <x:v>高</x:v>
      </x:c>
      <x:c r="J11" s="12" t="str">
        <x:v>2026-09-30</x:v>
      </x:c>
      <x:c r="K11" s="12" t="n">
        <x:v>40</x:v>
      </x:c>
      <x:c r="L11" s="12" t="n">
        <x:v>25</x:v>
      </x:c>
      <x:c r="M11" s="12" t="n">
        <x:v>25</x:v>
      </x:c>
      <x:c r="N11" s="12" t="n">
        <x:v>25</x:v>
      </x:c>
      <x:c r="O11" s="12" t="n">
        <x:v>70</x:v>
      </x:c>
      <x:c r="P11" s="12" t="n">
        <x:v>45</x:v>
      </x:c>
      <x:c r="Q11" s="12" t="n">
        <x:v>55</x:v>
      </x:c>
      <x:c r="R11" s="12" t="n">
        <x:v>10</x:v>
      </x:c>
      <x:c r="S11" s="12" t="n">
        <x:v>45</x:v>
      </x:c>
      <x:c r="T11" s="12" t="n">
        <x:v>60</x:v>
      </x:c>
      <x:c r="U11" s="12" t="n">
        <x:v>55</x:v>
      </x:c>
      <x:c r="V11" s="12" t="n">
        <x:v>60</x:v>
      </x:c>
      <x:c r="W11" s="12" t="n">
        <x:v>35</x:v>
      </x:c>
      <x:c r="X11" s="12" t="n">
        <x:v>60</x:v>
      </x:c>
      <x:c r="Y11" s="12" t="n">
        <x:v>70</x:v>
      </x:c>
      <x:c r="Z11" s="12" t="n">
        <x:f>ROUND(MAX(0,MIN(100,0.40*K11+0.20*L11+0.10*S11+0.15*V11+0.15*Y11)),0)</x:f>
        <x:v>45</x:v>
      </x:c>
      <x:c r="AA11" s="12" t="n">
        <x:f>ROUND(MAX(0,MIN(100,0.30*L11+0.20*K11+0.15*V11+0.15*W11+0.10*S11+0.10*(100-M11))),0)</x:f>
        <x:v>42</x:v>
      </x:c>
      <x:c r="AB11" s="12" t="n">
        <x:f>ROUND(MAX(0,MIN(100,0.30*M11+0.25*R11+0.20*Q11+0.15*K11+0.10*(100-T11))),0)</x:f>
        <x:v>31</x:v>
      </x:c>
      <x:c r="AC11" s="12" t="n">
        <x:f>ROUND(MAX(0,MIN(100,0.55*T11+0.15*S11+0.10*N11+0.10*V11+0.10*W11)),0)</x:f>
        <x:v>52</x:v>
      </x:c>
      <x:c r="AD11" s="12" t="n">
        <x:f>ROUND(MAX(0,MIN(100,0.25*O11+0.25*Q11+0.20*Y11+0.15*U11+0.15*(100-L11))),0)</x:f>
        <x:v>65</x:v>
      </x:c>
      <x:c r="AE11" s="12" t="n">
        <x:f>ROUND(MAX(0,MIN(100,0.30*Y11+0.25*S11+0.15*Q11+0.15*T11+0.15*X11)),0)</x:f>
        <x:v>59</x:v>
      </x:c>
      <x:c r="AF11" s="12" t="n">
        <x:f>ROUND(MAX(0,MIN(100,0.65*X11+0.35*Y11)),0)</x:f>
        <x:v>64</x:v>
      </x:c>
      <x:c r="AG11" s="12" t="str">
        <x:v>https://wikiwiki.jp/poke-unite/%E3%82%A8%E3%83%BC%E3%83%95%E3%82%A3</x:v>
      </x:c>
      <x:c r="AH11" s="12" t="str">
        <x:v>遠くから技を当てて相手をはじき、一気にまとまったダメージを出すアタッカーです。前に出ずに後ろから技を通し、集団戦で大きな一撃を狙いたい人に向いています。</x:v>
      </x:c>
      <x:c r="AI11" s="12" t="str">
        <x:v>遠くから削る・後ろから狙う・集団戦で輝く</x:v>
      </x:c>
      <x:c r="AJ11" s="12" t="n">
        <x:v>0</x:v>
      </x:c>
    </x:row>
    <x:row r="12">
      <x:c r="A12" s="12" t="str">
        <x:v>グレイシア</x:v>
      </x:c>
      <x:c r="B12" s="12" t="str">
        <x:v>アタック型</x:v>
      </x:c>
      <x:c r="C12" s="12" t="str">
        <x:v>グレイシア-1</x:v>
      </x:c>
      <x:c r="D12" s="12" t="str">
        <x:v>共通</x:v>
      </x:c>
      <x:c r="E12" s="12" t="str">
        <x:v>Marksman / BattleMage</x:v>
      </x:c>
      <x:c r="F12" s="12" t="str">
        <x:v>Marksman</x:v>
      </x:c>
      <x:c r="G12" s="12" t="str">
        <x:v>BattleMage</x:v>
      </x:c>
      <x:c r="H12" s="12" t="str">
        <x:v>技で細部は変わるが、診断上のプレイ人格は大きく変わらないため統合</x:v>
      </x:c>
      <x:c r="I12" s="12" t="str">
        <x:v>高</x:v>
      </x:c>
      <x:c r="J12" s="12" t="str">
        <x:v>2026-09-30</x:v>
      </x:c>
      <x:c r="K12" s="12" t="n">
        <x:v>30</x:v>
      </x:c>
      <x:c r="L12" s="12" t="n">
        <x:v>20</x:v>
      </x:c>
      <x:c r="M12" s="12" t="n">
        <x:v>20</x:v>
      </x:c>
      <x:c r="N12" s="12" t="n">
        <x:v>20</x:v>
      </x:c>
      <x:c r="O12" s="12" t="n">
        <x:v>65</x:v>
      </x:c>
      <x:c r="P12" s="12" t="n">
        <x:v>70</x:v>
      </x:c>
      <x:c r="Q12" s="12" t="n">
        <x:v>30</x:v>
      </x:c>
      <x:c r="R12" s="12" t="n">
        <x:v>5</x:v>
      </x:c>
      <x:c r="S12" s="12" t="n">
        <x:v>60</x:v>
      </x:c>
      <x:c r="T12" s="12" t="n">
        <x:v>65</x:v>
      </x:c>
      <x:c r="U12" s="12" t="n">
        <x:v>75</x:v>
      </x:c>
      <x:c r="V12" s="12" t="n">
        <x:v>75</x:v>
      </x:c>
      <x:c r="W12" s="12" t="n">
        <x:v>40</x:v>
      </x:c>
      <x:c r="X12" s="12" t="n">
        <x:v>75</x:v>
      </x:c>
      <x:c r="Y12" s="12" t="n">
        <x:v>65</x:v>
      </x:c>
      <x:c r="Z12" s="12" t="n">
        <x:f>ROUND(MAX(0,MIN(100,0.40*K12+0.20*L12+0.10*S12+0.15*V12+0.15*Y12)),0)</x:f>
        <x:v>43</x:v>
      </x:c>
      <x:c r="AA12" s="12" t="n">
        <x:f>ROUND(MAX(0,MIN(100,0.30*L12+0.20*K12+0.15*V12+0.15*W12+0.10*S12+0.10*(100-M12))),0)</x:f>
        <x:v>43</x:v>
      </x:c>
      <x:c r="AB12" s="12" t="n">
        <x:f>ROUND(MAX(0,MIN(100,0.30*M12+0.25*R12+0.20*Q12+0.15*K12+0.10*(100-T12))),0)</x:f>
        <x:v>21</x:v>
      </x:c>
      <x:c r="AC12" s="12" t="n">
        <x:f>ROUND(MAX(0,MIN(100,0.55*T12+0.15*S12+0.10*N12+0.10*V12+0.10*W12)),0)</x:f>
        <x:v>58</x:v>
      </x:c>
      <x:c r="AD12" s="12" t="n">
        <x:f>ROUND(MAX(0,MIN(100,0.25*O12+0.25*Q12+0.20*Y12+0.15*U12+0.15*(100-L12))),0)</x:f>
        <x:v>60</x:v>
      </x:c>
      <x:c r="AE12" s="12" t="n">
        <x:f>ROUND(MAX(0,MIN(100,0.30*Y12+0.25*S12+0.15*Q12+0.15*T12+0.15*X12)),0)</x:f>
        <x:v>60</x:v>
      </x:c>
      <x:c r="AF12" s="12" t="n">
        <x:f>ROUND(MAX(0,MIN(100,0.65*X12+0.35*Y12)),0)</x:f>
        <x:v>72</x:v>
      </x:c>
      <x:c r="AG12" s="12" t="str">
        <x:v>https://wikiwiki.jp/poke-unite/%E3%82%B0%E3%83%AC%E3%82%A4%E3%82%B7%E3%82%A2</x:v>
      </x:c>
      <x:c r="AH12" s="12" t="str">
        <x:v>氷のつららを溜めて通常攻撃で一気に撃ち出す、育つほど強くなるアタッカーです。後ろから粘り強く撃ち続け、終盤の集団戦で火力を出し切りたい人に向いています。</x:v>
      </x:c>
      <x:c r="AI12" s="12" t="str">
        <x:v>育つと化ける・遠くから削る・取り切りが得意</x:v>
      </x:c>
      <x:c r="AJ12" s="12" t="n">
        <x:v>0</x:v>
      </x:c>
    </x:row>
    <x:row r="13">
      <x:c r="A13" s="12" t="str">
        <x:v>グレンアルマ</x:v>
      </x:c>
      <x:c r="B13" s="12" t="str">
        <x:v>アタック型</x:v>
      </x:c>
      <x:c r="C13" s="12" t="str">
        <x:v>グレンアルマ-1</x:v>
      </x:c>
      <x:c r="D13" s="12" t="str">
        <x:v>ほのおのうず</x:v>
      </x:c>
      <x:c r="E13" s="12" t="str">
        <x:v>Juggernaut / BattleMage</x:v>
      </x:c>
      <x:c r="F13" s="12" t="str">
        <x:v>Juggernaut</x:v>
      </x:c>
      <x:c r="G13" s="12" t="str">
        <x:v>BattleMage</x:v>
      </x:c>
      <x:c r="H13" s="12" t="str">
        <x:v>立ち位置・戦闘距離・役割が大きく変わるため別プロファイル</x:v>
      </x:c>
      <x:c r="I13" s="12" t="str">
        <x:v>高</x:v>
      </x:c>
      <x:c r="J13" s="12" t="str">
        <x:v>2026-09-30</x:v>
      </x:c>
      <x:c r="K13" s="12" t="n">
        <x:v>45</x:v>
      </x:c>
      <x:c r="L13" s="12" t="n">
        <x:v>35</x:v>
      </x:c>
      <x:c r="M13" s="12" t="n">
        <x:v>20</x:v>
      </x:c>
      <x:c r="N13" s="12" t="n">
        <x:v>75</x:v>
      </x:c>
      <x:c r="O13" s="12" t="n">
        <x:v>20</x:v>
      </x:c>
      <x:c r="P13" s="12" t="n">
        <x:v>75</x:v>
      </x:c>
      <x:c r="Q13" s="12" t="n">
        <x:v>35</x:v>
      </x:c>
      <x:c r="R13" s="12" t="n">
        <x:v>5</x:v>
      </x:c>
      <x:c r="S13" s="12" t="n">
        <x:v>50</x:v>
      </x:c>
      <x:c r="T13" s="12" t="n">
        <x:v>70</x:v>
      </x:c>
      <x:c r="U13" s="12" t="n">
        <x:v>70</x:v>
      </x:c>
      <x:c r="V13" s="12" t="n">
        <x:v>75</x:v>
      </x:c>
      <x:c r="W13" s="12" t="n">
        <x:v>40</x:v>
      </x:c>
      <x:c r="X13" s="12" t="n">
        <x:v>60</x:v>
      </x:c>
      <x:c r="Y13" s="12" t="n">
        <x:v>60</x:v>
      </x:c>
      <x:c r="Z13" s="12" t="n">
        <x:f>ROUND(MAX(0,MIN(100,0.40*K13+0.20*L13+0.10*S13+0.15*V13+0.15*Y13)),0)</x:f>
        <x:v>50</x:v>
      </x:c>
      <x:c r="AA13" s="12" t="n">
        <x:f>ROUND(MAX(0,MIN(100,0.30*L13+0.20*K13+0.15*V13+0.15*W13+0.10*S13+0.10*(100-M13))),0)</x:f>
        <x:v>50</x:v>
      </x:c>
      <x:c r="AB13" s="12" t="n">
        <x:f>ROUND(MAX(0,MIN(100,0.30*M13+0.25*R13+0.20*Q13+0.15*K13+0.10*(100-T13))),0)</x:f>
        <x:v>24</x:v>
      </x:c>
      <x:c r="AC13" s="12" t="n">
        <x:f>ROUND(MAX(0,MIN(100,0.55*T13+0.15*S13+0.10*N13+0.10*V13+0.10*W13)),0)</x:f>
        <x:v>65</x:v>
      </x:c>
      <x:c r="AD13" s="12" t="n">
        <x:f>ROUND(MAX(0,MIN(100,0.25*O13+0.25*Q13+0.20*Y13+0.15*U13+0.15*(100-L13))),0)</x:f>
        <x:v>46</x:v>
      </x:c>
      <x:c r="AE13" s="12" t="n">
        <x:f>ROUND(MAX(0,MIN(100,0.30*Y13+0.25*S13+0.15*Q13+0.15*T13+0.15*X13)),0)</x:f>
        <x:v>55</x:v>
      </x:c>
      <x:c r="AF13" s="12" t="n">
        <x:f>ROUND(MAX(0,MIN(100,0.65*X13+0.35*Y13)),0)</x:f>
        <x:v>60</x:v>
      </x:c>
      <x:c r="AG13" s="12" t="str">
        <x:v>https://wikiwiki.jp/poke-unite/%E3%82%B0%E3%83%AC%E3%83%B3%E3%82%A2%E3%83%AB%E3%83%9E</x:v>
      </x:c>
      <x:c r="AH13" s="12" t="str">
        <x:v>「ほのおのうず」で周りを焼き続け、ダメージを与えるたびにシールドを重ねながら前に出て戦う戦い方です。後ろに下がるより、耐久を活かして近い距離で燃やし続けたい人に向いています。</x:v>
      </x:c>
      <x:c r="AI13" s="12" t="str">
        <x:v>前線を支える・長く戦う・近距離で戦う</x:v>
      </x:c>
      <x:c r="AJ13" s="12" t="n">
        <x:v>0</x:v>
      </x:c>
    </x:row>
    <x:row r="14">
      <x:c r="A14" s="12" t="str">
        <x:v>グレンアルマ</x:v>
      </x:c>
      <x:c r="B14" s="12" t="str">
        <x:v>アタック型</x:v>
      </x:c>
      <x:c r="C14" s="12" t="str">
        <x:v>グレンアルマ-2</x:v>
      </x:c>
      <x:c r="D14" s="12" t="str">
        <x:v>アーマーキャノン</x:v>
      </x:c>
      <x:c r="E14" s="12" t="str">
        <x:v>BurstMage</x:v>
      </x:c>
      <x:c r="F14" s="12" t="str">
        <x:v>BurstMage</x:v>
      </x:c>
      <x:c r="G14" s="12"/>
      <x:c r="H14" s="12" t="str">
        <x:v>立ち位置・戦闘距離・役割が大きく変わるため別プロファイル</x:v>
      </x:c>
      <x:c r="I14" s="12" t="str">
        <x:v>高</x:v>
      </x:c>
      <x:c r="J14" s="12" t="str">
        <x:v>2026-09-30</x:v>
      </x:c>
      <x:c r="K14" s="12" t="n">
        <x:v>30</x:v>
      </x:c>
      <x:c r="L14" s="12" t="n">
        <x:v>5</x:v>
      </x:c>
      <x:c r="M14" s="12" t="n">
        <x:v>35</x:v>
      </x:c>
      <x:c r="N14" s="12" t="n">
        <x:v>10</x:v>
      </x:c>
      <x:c r="O14" s="12" t="n">
        <x:v>100</x:v>
      </x:c>
      <x:c r="P14" s="12" t="n">
        <x:v>10</x:v>
      </x:c>
      <x:c r="Q14" s="12" t="n">
        <x:v>90</x:v>
      </x:c>
      <x:c r="R14" s="12" t="n">
        <x:v>10</x:v>
      </x:c>
      <x:c r="S14" s="12" t="n">
        <x:v>20</x:v>
      </x:c>
      <x:c r="T14" s="12" t="n">
        <x:v>45</x:v>
      </x:c>
      <x:c r="U14" s="12" t="n">
        <x:v>55</x:v>
      </x:c>
      <x:c r="V14" s="12" t="n">
        <x:v>60</x:v>
      </x:c>
      <x:c r="W14" s="12" t="n">
        <x:v>25</x:v>
      </x:c>
      <x:c r="X14" s="12" t="n">
        <x:v>60</x:v>
      </x:c>
      <x:c r="Y14" s="12" t="n">
        <x:v>70</x:v>
      </x:c>
      <x:c r="Z14" s="12" t="n">
        <x:f>ROUND(MAX(0,MIN(100,0.40*K14+0.20*L14+0.10*S14+0.15*V14+0.15*Y14)),0)</x:f>
        <x:v>35</x:v>
      </x:c>
      <x:c r="AA14" s="12" t="n">
        <x:f>ROUND(MAX(0,MIN(100,0.30*L14+0.20*K14+0.15*V14+0.15*W14+0.10*S14+0.10*(100-M14))),0)</x:f>
        <x:v>29</x:v>
      </x:c>
      <x:c r="AB14" s="12" t="n">
        <x:f>ROUND(MAX(0,MIN(100,0.30*M14+0.25*R14+0.20*Q14+0.15*K14+0.10*(100-T14))),0)</x:f>
        <x:v>41</x:v>
      </x:c>
      <x:c r="AC14" s="12" t="n">
        <x:f>ROUND(MAX(0,MIN(100,0.55*T14+0.15*S14+0.10*N14+0.10*V14+0.10*W14)),0)</x:f>
        <x:v>37</x:v>
      </x:c>
      <x:c r="AD14" s="12" t="n">
        <x:f>ROUND(MAX(0,MIN(100,0.25*O14+0.25*Q14+0.20*Y14+0.15*U14+0.15*(100-L14))),0)</x:f>
        <x:v>84</x:v>
      </x:c>
      <x:c r="AE14" s="12" t="n">
        <x:f>ROUND(MAX(0,MIN(100,0.30*Y14+0.25*S14+0.15*Q14+0.15*T14+0.15*X14)),0)</x:f>
        <x:v>55</x:v>
      </x:c>
      <x:c r="AF14" s="12" t="n">
        <x:f>ROUND(MAX(0,MIN(100,0.65*X14+0.35*Y14)),0)</x:f>
        <x:v>64</x:v>
      </x:c>
      <x:c r="AG14" s="12" t="str">
        <x:v>https://wikiwiki.jp/poke-unite/%E3%82%B0%E3%83%AC%E3%83%B3%E3%82%A2%E3%83%AB%E3%83%9E</x:v>
      </x:c>
      <x:c r="AH14" s="12" t="str">
        <x:v>「アーマーキャノン」の大技を遠くから撃ち込み、妨害を絡めて大ダメージを通す戦い方です。アタック型としては打たれ強いので、少し前の位置から火力を押しつけたい人に向いています。</x:v>
      </x:c>
      <x:c r="AI14" s="12" t="str">
        <x:v>遠くから削る・動きを止める・一瞬で倒し切る</x:v>
      </x:c>
      <x:c r="AJ14" s="12" t="n">
        <x:v>0</x:v>
      </x:c>
    </x:row>
    <x:row r="15">
      <x:c r="A15" s="12" t="str">
        <x:v>ゲッコウガ</x:v>
      </x:c>
      <x:c r="B15" s="12" t="str">
        <x:v>アタック型</x:v>
      </x:c>
      <x:c r="C15" s="12" t="str">
        <x:v>ゲッコウガ-1</x:v>
      </x:c>
      <x:c r="D15" s="12" t="str">
        <x:v>みずしゅりけん</x:v>
      </x:c>
      <x:c r="E15" s="12" t="str">
        <x:v>Marksman</x:v>
      </x:c>
      <x:c r="F15" s="12" t="str">
        <x:v>Marksman</x:v>
      </x:c>
      <x:c r="G15" s="12"/>
      <x:c r="H15" s="12" t="str">
        <x:v>立ち位置・戦闘距離・役割が大きく変わるため別プロファイル</x:v>
      </x:c>
      <x:c r="I15" s="12" t="str">
        <x:v>高</x:v>
      </x:c>
      <x:c r="J15" s="12" t="str">
        <x:v>2026-09-30</x:v>
      </x:c>
      <x:c r="K15" s="12" t="n">
        <x:v>5</x:v>
      </x:c>
      <x:c r="L15" s="12" t="n">
        <x:v>0</x:v>
      </x:c>
      <x:c r="M15" s="12" t="n">
        <x:v>10</x:v>
      </x:c>
      <x:c r="N15" s="12" t="n">
        <x:v>0</x:v>
      </x:c>
      <x:c r="O15" s="12" t="n">
        <x:v>75</x:v>
      </x:c>
      <x:c r="P15" s="12" t="n">
        <x:v>100</x:v>
      </x:c>
      <x:c r="Q15" s="12" t="n">
        <x:v>5</x:v>
      </x:c>
      <x:c r="R15" s="12" t="n">
        <x:v>5</x:v>
      </x:c>
      <x:c r="S15" s="12" t="n">
        <x:v>60</x:v>
      </x:c>
      <x:c r="T15" s="12" t="n">
        <x:v>55</x:v>
      </x:c>
      <x:c r="U15" s="12" t="n">
        <x:v>85</x:v>
      </x:c>
      <x:c r="V15" s="12" t="n">
        <x:v>95</x:v>
      </x:c>
      <x:c r="W15" s="12" t="n">
        <x:v>55</x:v>
      </x:c>
      <x:c r="X15" s="12" t="n">
        <x:v>75</x:v>
      </x:c>
      <x:c r="Y15" s="12" t="n">
        <x:v>65</x:v>
      </x:c>
      <x:c r="Z15" s="12" t="n">
        <x:f>ROUND(MAX(0,MIN(100,0.40*K15+0.20*L15+0.10*S15+0.15*V15+0.15*Y15)),0)</x:f>
        <x:v>32</x:v>
      </x:c>
      <x:c r="AA15" s="12" t="n">
        <x:f>ROUND(MAX(0,MIN(100,0.30*L15+0.20*K15+0.15*V15+0.15*W15+0.10*S15+0.10*(100-M15))),0)</x:f>
        <x:v>39</x:v>
      </x:c>
      <x:c r="AB15" s="12" t="n">
        <x:f>ROUND(MAX(0,MIN(100,0.30*M15+0.25*R15+0.20*Q15+0.15*K15+0.10*(100-T15))),0)</x:f>
        <x:v>11</x:v>
      </x:c>
      <x:c r="AC15" s="12" t="n">
        <x:f>ROUND(MAX(0,MIN(100,0.55*T15+0.15*S15+0.10*N15+0.10*V15+0.10*W15)),0)</x:f>
        <x:v>54</x:v>
      </x:c>
      <x:c r="AD15" s="12" t="n">
        <x:f>ROUND(MAX(0,MIN(100,0.25*O15+0.25*Q15+0.20*Y15+0.15*U15+0.15*(100-L15))),0)</x:f>
        <x:v>61</x:v>
      </x:c>
      <x:c r="AE15" s="12" t="n">
        <x:f>ROUND(MAX(0,MIN(100,0.30*Y15+0.25*S15+0.15*Q15+0.15*T15+0.15*X15)),0)</x:f>
        <x:v>55</x:v>
      </x:c>
      <x:c r="AF15" s="12" t="n">
        <x:f>ROUND(MAX(0,MIN(100,0.65*X15+0.35*Y15)),0)</x:f>
        <x:v>72</x:v>
      </x:c>
      <x:c r="AG15" s="12" t="str">
        <x:v>https://wikiwiki.jp/poke-unite/%E3%82%B2%E3%83%83%E3%82%B3%E3%82%A6%E3%82%AC</x:v>
      </x:c>
      <x:c r="AH15" s="12" t="str">
        <x:v>「みずしゅりけん」で遠くから手数を重ね、近距離と遠距離を切り替えながら戦う戦い方です。操作は忙しいものの、育つほど一人で戦況を動かせるので、腕を磨きたい人に向いています。</x:v>
      </x:c>
      <x:c r="AI15" s="12" t="str">
        <x:v>長く戦う・操作を極める・育つと化ける</x:v>
      </x:c>
      <x:c r="AJ15" s="12" t="n">
        <x:v>0</x:v>
      </x:c>
    </x:row>
    <x:row r="16">
      <x:c r="A16" s="12" t="str">
        <x:v>ゲッコウガ</x:v>
      </x:c>
      <x:c r="B16" s="12" t="str">
        <x:v>アタック型</x:v>
      </x:c>
      <x:c r="C16" s="12" t="str">
        <x:v>ゲッコウガ-2</x:v>
      </x:c>
      <x:c r="D16" s="12" t="str">
        <x:v>なみのり</x:v>
      </x:c>
      <x:c r="E16" s="12" t="str">
        <x:v>Assassin</x:v>
      </x:c>
      <x:c r="F16" s="12" t="str">
        <x:v>Assassin</x:v>
      </x:c>
      <x:c r="G16" s="12"/>
      <x:c r="H16" s="12" t="str">
        <x:v>立ち位置・戦闘距離・役割が大きく変わるため別プロファイル</x:v>
      </x:c>
      <x:c r="I16" s="12" t="str">
        <x:v>高</x:v>
      </x:c>
      <x:c r="J16" s="12" t="str">
        <x:v>2026-09-30</x:v>
      </x:c>
      <x:c r="K16" s="12" t="n">
        <x:v>55</x:v>
      </x:c>
      <x:c r="L16" s="12" t="n">
        <x:v>95</x:v>
      </x:c>
      <x:c r="M16" s="12" t="n">
        <x:v>0</x:v>
      </x:c>
      <x:c r="N16" s="12" t="n">
        <x:v>10</x:v>
      </x:c>
      <x:c r="O16" s="12" t="n">
        <x:v>15</x:v>
      </x:c>
      <x:c r="P16" s="12" t="n">
        <x:v>0</x:v>
      </x:c>
      <x:c r="Q16" s="12" t="n">
        <x:v>25</x:v>
      </x:c>
      <x:c r="R16" s="12" t="n">
        <x:v>5</x:v>
      </x:c>
      <x:c r="S16" s="12" t="n">
        <x:v>100</x:v>
      </x:c>
      <x:c r="T16" s="12" t="n">
        <x:v>60</x:v>
      </x:c>
      <x:c r="U16" s="12" t="n">
        <x:v>55</x:v>
      </x:c>
      <x:c r="V16" s="12" t="n">
        <x:v>90</x:v>
      </x:c>
      <x:c r="W16" s="12" t="n">
        <x:v>85</x:v>
      </x:c>
      <x:c r="X16" s="12" t="n">
        <x:v>90</x:v>
      </x:c>
      <x:c r="Y16" s="12" t="n">
        <x:v>75</x:v>
      </x:c>
      <x:c r="Z16" s="12" t="n">
        <x:f>ROUND(MAX(0,MIN(100,0.40*K16+0.20*L16+0.10*S16+0.15*V16+0.15*Y16)),0)</x:f>
        <x:v>76</x:v>
      </x:c>
      <x:c r="AA16" s="12" t="n">
        <x:f>ROUND(MAX(0,MIN(100,0.30*L16+0.20*K16+0.15*V16+0.15*W16+0.10*S16+0.10*(100-M16))),0)</x:f>
        <x:v>86</x:v>
      </x:c>
      <x:c r="AB16" s="12" t="n">
        <x:f>ROUND(MAX(0,MIN(100,0.30*M16+0.25*R16+0.20*Q16+0.15*K16+0.10*(100-T16))),0)</x:f>
        <x:v>19</x:v>
      </x:c>
      <x:c r="AC16" s="12" t="n">
        <x:f>ROUND(MAX(0,MIN(100,0.55*T16+0.15*S16+0.10*N16+0.10*V16+0.10*W16)),0)</x:f>
        <x:v>67</x:v>
      </x:c>
      <x:c r="AD16" s="12" t="n">
        <x:f>ROUND(MAX(0,MIN(100,0.25*O16+0.25*Q16+0.20*Y16+0.15*U16+0.15*(100-L16))),0)</x:f>
        <x:v>34</x:v>
      </x:c>
      <x:c r="AE16" s="12" t="n">
        <x:f>ROUND(MAX(0,MIN(100,0.30*Y16+0.25*S16+0.15*Q16+0.15*T16+0.15*X16)),0)</x:f>
        <x:v>74</x:v>
      </x:c>
      <x:c r="AF16" s="12" t="n">
        <x:f>ROUND(MAX(0,MIN(100,0.65*X16+0.35*Y16)),0)</x:f>
        <x:v>85</x:v>
      </x:c>
      <x:c r="AG16" s="12" t="str">
        <x:v>https://wikiwiki.jp/poke-unite/%E3%82%B2%E3%83%83%E3%82%B3%E3%82%A6%E3%82%AC</x:v>
      </x:c>
      <x:c r="AH16" s="12" t="str">
        <x:v>「なみのり」で一気に間合いを詰め、孤立した相手を仕留めては離脱する戦い方です。相手の隙を見つけて飛び込み、一瞬で決める動きが好きな人に向いています。</x:v>
      </x:c>
      <x:c r="AI16" s="12" t="str">
        <x:v>後衛まで踏み込む・一瞬で倒し切る・操作を極める</x:v>
      </x:c>
      <x:c r="AJ16" s="12" t="n">
        <x:v>0</x:v>
      </x:c>
    </x:row>
    <x:row r="17">
      <x:c r="A17" s="12" t="str">
        <x:v>サンダー</x:v>
      </x:c>
      <x:c r="B17" s="12" t="str">
        <x:v>アタック型</x:v>
      </x:c>
      <x:c r="C17" s="12" t="str">
        <x:v>サンダー-1</x:v>
      </x:c>
      <x:c r="D17" s="12" t="str">
        <x:v>共通</x:v>
      </x:c>
      <x:c r="E17" s="12" t="str">
        <x:v>BurstMage</x:v>
      </x:c>
      <x:c r="F17" s="12" t="str">
        <x:v>BurstMage</x:v>
      </x:c>
      <x:c r="G17" s="12"/>
      <x:c r="H17" s="12" t="str">
        <x:v>技で細部は変わるが、診断上のプレイ人格は大きく変わらないため統合</x:v>
      </x:c>
      <x:c r="I17" s="12" t="str">
        <x:v>中</x:v>
      </x:c>
      <x:c r="J17" s="12" t="str">
        <x:v>2026-09-30</x:v>
      </x:c>
      <x:c r="K17" s="12" t="n">
        <x:v>30</x:v>
      </x:c>
      <x:c r="L17" s="12" t="n">
        <x:v>5</x:v>
      </x:c>
      <x:c r="M17" s="12" t="n">
        <x:v>35</x:v>
      </x:c>
      <x:c r="N17" s="12" t="n">
        <x:v>0</x:v>
      </x:c>
      <x:c r="O17" s="12" t="n">
        <x:v>100</x:v>
      </x:c>
      <x:c r="P17" s="12" t="n">
        <x:v>10</x:v>
      </x:c>
      <x:c r="Q17" s="12" t="n">
        <x:v>75</x:v>
      </x:c>
      <x:c r="R17" s="12" t="n">
        <x:v>10</x:v>
      </x:c>
      <x:c r="S17" s="12" t="n">
        <x:v>5</x:v>
      </x:c>
      <x:c r="T17" s="12" t="n">
        <x:v>35</x:v>
      </x:c>
      <x:c r="U17" s="12" t="n">
        <x:v>55</x:v>
      </x:c>
      <x:c r="V17" s="12" t="n">
        <x:v>60</x:v>
      </x:c>
      <x:c r="W17" s="12" t="n">
        <x:v>25</x:v>
      </x:c>
      <x:c r="X17" s="12" t="n">
        <x:v>60</x:v>
      </x:c>
      <x:c r="Y17" s="12" t="n">
        <x:v>70</x:v>
      </x:c>
      <x:c r="Z17" s="12" t="n">
        <x:f>ROUND(MAX(0,MIN(100,0.40*K17+0.20*L17+0.10*S17+0.15*V17+0.15*Y17)),0)</x:f>
        <x:v>33</x:v>
      </x:c>
      <x:c r="AA17" s="12" t="n">
        <x:f>ROUND(MAX(0,MIN(100,0.30*L17+0.20*K17+0.15*V17+0.15*W17+0.10*S17+0.10*(100-M17))),0)</x:f>
        <x:v>27</x:v>
      </x:c>
      <x:c r="AB17" s="12" t="n">
        <x:f>ROUND(MAX(0,MIN(100,0.30*M17+0.25*R17+0.20*Q17+0.15*K17+0.10*(100-T17))),0)</x:f>
        <x:v>39</x:v>
      </x:c>
      <x:c r="AC17" s="12" t="n">
        <x:f>ROUND(MAX(0,MIN(100,0.55*T17+0.15*S17+0.10*N17+0.10*V17+0.10*W17)),0)</x:f>
        <x:v>29</x:v>
      </x:c>
      <x:c r="AD17" s="12" t="n">
        <x:f>ROUND(MAX(0,MIN(100,0.25*O17+0.25*Q17+0.20*Y17+0.15*U17+0.15*(100-L17))),0)</x:f>
        <x:v>80</x:v>
      </x:c>
      <x:c r="AE17" s="12" t="n">
        <x:f>ROUND(MAX(0,MIN(100,0.30*Y17+0.25*S17+0.15*Q17+0.15*T17+0.15*X17)),0)</x:f>
        <x:v>48</x:v>
      </x:c>
      <x:c r="AF17" s="12" t="n">
        <x:f>ROUND(MAX(0,MIN(100,0.65*X17+0.35*Y17)),0)</x:f>
        <x:v>64</x:v>
      </x:c>
      <x:c r="AG17" s="12" t="str">
        <x:v>https://wikiwiki.jp/poke-unite/%E3%82%B5%E3%83%B3%E3%83%80%E3%83%BC</x:v>
      </x:c>
      <x:c r="AH17" s="12" t="str">
        <x:v>電流ゾーンで相手を減速させ、序盤から高い火力で押す伝説のアタッカーです。移動技がないぶん、射程の長さを活かして位置取りで勝ちたい人に向いています。</x:v>
      </x:c>
      <x:c r="AI17" s="12" t="str">
        <x:v>遠くから削る・動きを止める・陣取って戦う</x:v>
      </x:c>
      <x:c r="AJ17" s="12" t="n">
        <x:v>0</x:v>
      </x:c>
    </x:row>
    <x:row r="18">
      <x:c r="A18" s="12" t="str">
        <x:v>サーナイト</x:v>
      </x:c>
      <x:c r="B18" s="12" t="str">
        <x:v>アタック型</x:v>
      </x:c>
      <x:c r="C18" s="12" t="str">
        <x:v>サーナイト-1</x:v>
      </x:c>
      <x:c r="D18" s="12" t="str">
        <x:v>共通</x:v>
      </x:c>
      <x:c r="E18" s="12" t="str">
        <x:v>BurstMage</x:v>
      </x:c>
      <x:c r="F18" s="12" t="str">
        <x:v>BurstMage</x:v>
      </x:c>
      <x:c r="G18" s="12"/>
      <x:c r="H18" s="12" t="str">
        <x:v>技で細部は変わるが、診断上のプレイ人格は大きく変わらないため統合</x:v>
      </x:c>
      <x:c r="I18" s="12" t="str">
        <x:v>高</x:v>
      </x:c>
      <x:c r="J18" s="12" t="str">
        <x:v>2026-09-30</x:v>
      </x:c>
      <x:c r="K18" s="12" t="n">
        <x:v>30</x:v>
      </x:c>
      <x:c r="L18" s="12" t="n">
        <x:v>5</x:v>
      </x:c>
      <x:c r="M18" s="12" t="n">
        <x:v>35</x:v>
      </x:c>
      <x:c r="N18" s="12" t="n">
        <x:v>0</x:v>
      </x:c>
      <x:c r="O18" s="12" t="n">
        <x:v>100</x:v>
      </x:c>
      <x:c r="P18" s="12" t="n">
        <x:v>0</x:v>
      </x:c>
      <x:c r="Q18" s="12" t="n">
        <x:v>80</x:v>
      </x:c>
      <x:c r="R18" s="12" t="n">
        <x:v>10</x:v>
      </x:c>
      <x:c r="S18" s="12" t="n">
        <x:v>20</x:v>
      </x:c>
      <x:c r="T18" s="12" t="n">
        <x:v>25</x:v>
      </x:c>
      <x:c r="U18" s="12" t="n">
        <x:v>65</x:v>
      </x:c>
      <x:c r="V18" s="12" t="n">
        <x:v>60</x:v>
      </x:c>
      <x:c r="W18" s="12" t="n">
        <x:v>25</x:v>
      </x:c>
      <x:c r="X18" s="12" t="n">
        <x:v>60</x:v>
      </x:c>
      <x:c r="Y18" s="12" t="n">
        <x:v>70</x:v>
      </x:c>
      <x:c r="Z18" s="12" t="n">
        <x:f>ROUND(MAX(0,MIN(100,0.40*K18+0.20*L18+0.10*S18+0.15*V18+0.15*Y18)),0)</x:f>
        <x:v>35</x:v>
      </x:c>
      <x:c r="AA18" s="12" t="n">
        <x:f>ROUND(MAX(0,MIN(100,0.30*L18+0.20*K18+0.15*V18+0.15*W18+0.10*S18+0.10*(100-M18))),0)</x:f>
        <x:v>29</x:v>
      </x:c>
      <x:c r="AB18" s="12" t="n">
        <x:f>ROUND(MAX(0,MIN(100,0.30*M18+0.25*R18+0.20*Q18+0.15*K18+0.10*(100-T18))),0)</x:f>
        <x:v>41</x:v>
      </x:c>
      <x:c r="AC18" s="12" t="n">
        <x:f>ROUND(MAX(0,MIN(100,0.55*T18+0.15*S18+0.10*N18+0.10*V18+0.10*W18)),0)</x:f>
        <x:v>25</x:v>
      </x:c>
      <x:c r="AD18" s="12" t="n">
        <x:f>ROUND(MAX(0,MIN(100,0.25*O18+0.25*Q18+0.20*Y18+0.15*U18+0.15*(100-L18))),0)</x:f>
        <x:v>83</x:v>
      </x:c>
      <x:c r="AE18" s="12" t="n">
        <x:f>ROUND(MAX(0,MIN(100,0.30*Y18+0.25*S18+0.15*Q18+0.15*T18+0.15*X18)),0)</x:f>
        <x:v>51</x:v>
      </x:c>
      <x:c r="AF18" s="12" t="n">
        <x:f>ROUND(MAX(0,MIN(100,0.65*X18+0.35*Y18)),0)</x:f>
        <x:v>64</x:v>
      </x:c>
      <x:c r="AG18" s="12" t="str">
        <x:v>https://wikiwiki.jp/poke-unite/%E3%82%B5%E3%83%BC%E3%83%8A%E3%82%A4%E3%83%88</x:v>
      </x:c>
      <x:c r="AH18" s="12" t="str">
        <x:v>遠距離から大きな一発を通し、集団戦ではユナイトわざで一気に流れを変えるアタッカーです。安全な位置を保ちながら、ここぞというタイミングを見極めたい人と相性がいいです。</x:v>
      </x:c>
      <x:c r="AI18" s="12" t="str">
        <x:v>遠くから削る・一瞬で倒し切る・味方と合わせて輝く</x:v>
      </x:c>
      <x:c r="AJ18" s="12" t="n">
        <x:v>0</x:v>
      </x:c>
    </x:row>
    <x:row r="19">
      <x:c r="A19" s="12" t="str">
        <x:v>シャンデラ</x:v>
      </x:c>
      <x:c r="B19" s="12" t="str">
        <x:v>アタック型</x:v>
      </x:c>
      <x:c r="C19" s="12" t="str">
        <x:v>シャンデラ-1</x:v>
      </x:c>
      <x:c r="D19" s="12" t="str">
        <x:v>共通</x:v>
      </x:c>
      <x:c r="E19" s="12" t="str">
        <x:v>BurstMage</x:v>
      </x:c>
      <x:c r="F19" s="12" t="str">
        <x:v>BurstMage</x:v>
      </x:c>
      <x:c r="G19" s="12"/>
      <x:c r="H19" s="12" t="str">
        <x:v>技で細部は変わるが、診断上のプレイ人格は大きく変わらないため統合</x:v>
      </x:c>
      <x:c r="I19" s="12" t="str">
        <x:v>高</x:v>
      </x:c>
      <x:c r="J19" s="12" t="str">
        <x:v>2026-09-30</x:v>
      </x:c>
      <x:c r="K19" s="12" t="n">
        <x:v>30</x:v>
      </x:c>
      <x:c r="L19" s="12" t="n">
        <x:v>5</x:v>
      </x:c>
      <x:c r="M19" s="12" t="n">
        <x:v>35</x:v>
      </x:c>
      <x:c r="N19" s="12" t="n">
        <x:v>0</x:v>
      </x:c>
      <x:c r="O19" s="12" t="n">
        <x:v>100</x:v>
      </x:c>
      <x:c r="P19" s="12" t="n">
        <x:v>25</x:v>
      </x:c>
      <x:c r="Q19" s="12" t="n">
        <x:v>90</x:v>
      </x:c>
      <x:c r="R19" s="12" t="n">
        <x:v>10</x:v>
      </x:c>
      <x:c r="S19" s="12" t="n">
        <x:v>20</x:v>
      </x:c>
      <x:c r="T19" s="12" t="n">
        <x:v>25</x:v>
      </x:c>
      <x:c r="U19" s="12" t="n">
        <x:v>55</x:v>
      </x:c>
      <x:c r="V19" s="12" t="n">
        <x:v>60</x:v>
      </x:c>
      <x:c r="W19" s="12" t="n">
        <x:v>25</x:v>
      </x:c>
      <x:c r="X19" s="12" t="n">
        <x:v>60</x:v>
      </x:c>
      <x:c r="Y19" s="12" t="n">
        <x:v>75</x:v>
      </x:c>
      <x:c r="Z19" s="12" t="n">
        <x:f>ROUND(MAX(0,MIN(100,0.40*K19+0.20*L19+0.10*S19+0.15*V19+0.15*Y19)),0)</x:f>
        <x:v>35</x:v>
      </x:c>
      <x:c r="AA19" s="12" t="n">
        <x:f>ROUND(MAX(0,MIN(100,0.30*L19+0.20*K19+0.15*V19+0.15*W19+0.10*S19+0.10*(100-M19))),0)</x:f>
        <x:v>29</x:v>
      </x:c>
      <x:c r="AB19" s="12" t="n">
        <x:f>ROUND(MAX(0,MIN(100,0.30*M19+0.25*R19+0.20*Q19+0.15*K19+0.10*(100-T19))),0)</x:f>
        <x:v>43</x:v>
      </x:c>
      <x:c r="AC19" s="12" t="n">
        <x:f>ROUND(MAX(0,MIN(100,0.55*T19+0.15*S19+0.10*N19+0.10*V19+0.10*W19)),0)</x:f>
        <x:v>25</x:v>
      </x:c>
      <x:c r="AD19" s="12" t="n">
        <x:f>ROUND(MAX(0,MIN(100,0.25*O19+0.25*Q19+0.20*Y19+0.15*U19+0.15*(100-L19))),0)</x:f>
        <x:v>85</x:v>
      </x:c>
      <x:c r="AE19" s="12" t="n">
        <x:f>ROUND(MAX(0,MIN(100,0.30*Y19+0.25*S19+0.15*Q19+0.15*T19+0.15*X19)),0)</x:f>
        <x:v>54</x:v>
      </x:c>
      <x:c r="AF19" s="12" t="n">
        <x:f>ROUND(MAX(0,MIN(100,0.65*X19+0.35*Y19)),0)</x:f>
        <x:v>65</x:v>
      </x:c>
      <x:c r="AG19" s="12" t="str">
        <x:v>https://wikiwiki.jp/poke-unite/%E3%82%B7%E3%83%A3%E3%83%B3%E3%83%87%E3%83%A9</x:v>
      </x:c>
      <x:c r="AH19" s="12" t="str">
        <x:v>遠距離から攻撃を重ねながら、相手が動きにくい場所を作って戦うアタッカーです。正面から飛び込むより、位置取りと妨害でじわじわ有利を広げたい人に向いています。</x:v>
      </x:c>
      <x:c r="AI19" s="12" t="str">
        <x:v>遠くから削る・動きを止める・先を読んで動く</x:v>
      </x:c>
      <x:c r="AJ19" s="12" t="n">
        <x:v>0</x:v>
      </x:c>
    </x:row>
    <x:row r="20">
      <x:c r="A20" s="12" t="str">
        <x:v>ジュナイパー</x:v>
      </x:c>
      <x:c r="B20" s="12" t="str">
        <x:v>アタック型</x:v>
      </x:c>
      <x:c r="C20" s="12" t="str">
        <x:v>ジュナイパー-1</x:v>
      </x:c>
      <x:c r="D20" s="12" t="str">
        <x:v>かげぬい</x:v>
      </x:c>
      <x:c r="E20" s="12" t="str">
        <x:v>Artillery</x:v>
      </x:c>
      <x:c r="F20" s="12" t="str">
        <x:v>Artillery</x:v>
      </x:c>
      <x:c r="G20" s="12"/>
      <x:c r="H20" s="12" t="str">
        <x:v>立ち位置・戦闘距離・役割が大きく変わるため別プロファイル</x:v>
      </x:c>
      <x:c r="I20" s="12" t="str">
        <x:v>高</x:v>
      </x:c>
      <x:c r="J20" s="12" t="str">
        <x:v>2026-09-30</x:v>
      </x:c>
      <x:c r="K20" s="12" t="n">
        <x:v>15</x:v>
      </x:c>
      <x:c r="L20" s="12" t="n">
        <x:v>5</x:v>
      </x:c>
      <x:c r="M20" s="12" t="n">
        <x:v>15</x:v>
      </x:c>
      <x:c r="N20" s="12" t="n">
        <x:v>5</x:v>
      </x:c>
      <x:c r="O20" s="12" t="n">
        <x:v>100</x:v>
      </x:c>
      <x:c r="P20" s="12" t="n">
        <x:v>20</x:v>
      </x:c>
      <x:c r="Q20" s="12" t="n">
        <x:v>45</x:v>
      </x:c>
      <x:c r="R20" s="12" t="n">
        <x:v>5</x:v>
      </x:c>
      <x:c r="S20" s="12" t="n">
        <x:v>5</x:v>
      </x:c>
      <x:c r="T20" s="12" t="n">
        <x:v>35</x:v>
      </x:c>
      <x:c r="U20" s="12" t="n">
        <x:v>75</x:v>
      </x:c>
      <x:c r="V20" s="12" t="n">
        <x:v>95</x:v>
      </x:c>
      <x:c r="W20" s="12" t="n">
        <x:v>20</x:v>
      </x:c>
      <x:c r="X20" s="12" t="n">
        <x:v>100</x:v>
      </x:c>
      <x:c r="Y20" s="12" t="n">
        <x:v>80</x:v>
      </x:c>
      <x:c r="Z20" s="12" t="n">
        <x:f>ROUND(MAX(0,MIN(100,0.40*K20+0.20*L20+0.10*S20+0.15*V20+0.15*Y20)),0)</x:f>
        <x:v>34</x:v>
      </x:c>
      <x:c r="AA20" s="12" t="n">
        <x:f>ROUND(MAX(0,MIN(100,0.30*L20+0.20*K20+0.15*V20+0.15*W20+0.10*S20+0.10*(100-M20))),0)</x:f>
        <x:v>31</x:v>
      </x:c>
      <x:c r="AB20" s="12" t="n">
        <x:f>ROUND(MAX(0,MIN(100,0.30*M20+0.25*R20+0.20*Q20+0.15*K20+0.10*(100-T20))),0)</x:f>
        <x:v>24</x:v>
      </x:c>
      <x:c r="AC20" s="12" t="n">
        <x:f>ROUND(MAX(0,MIN(100,0.55*T20+0.15*S20+0.10*N20+0.10*V20+0.10*W20)),0)</x:f>
        <x:v>32</x:v>
      </x:c>
      <x:c r="AD20" s="12" t="n">
        <x:f>ROUND(MAX(0,MIN(100,0.25*O20+0.25*Q20+0.20*Y20+0.15*U20+0.15*(100-L20))),0)</x:f>
        <x:v>78</x:v>
      </x:c>
      <x:c r="AE20" s="12" t="n">
        <x:f>ROUND(MAX(0,MIN(100,0.30*Y20+0.25*S20+0.15*Q20+0.15*T20+0.15*X20)),0)</x:f>
        <x:v>52</x:v>
      </x:c>
      <x:c r="AF20" s="12" t="n">
        <x:f>ROUND(MAX(0,MIN(100,0.65*X20+0.35*Y20)),0)</x:f>
        <x:v>93</x:v>
      </x:c>
      <x:c r="AG20" s="12" t="str">
        <x:v>https://wikiwiki.jp/poke-unite/%E3%82%B8%E3%83%A5%E3%83%8A%E3%82%A4%E3%83%91%E3%83%BC</x:v>
      </x:c>
      <x:c r="AH20" s="12" t="str">
        <x:v>「かげぬい」の長い射程から相手を縫い止め、大事な野生ポケモンも遠くから削り取る戦い方です。自衛は苦手なので、味方の後ろで狙い澄ました一撃を通したい人に向いています。</x:v>
      </x:c>
      <x:c r="AI20" s="12" t="str">
        <x:v>遠くから削る・取り切りが得意・操作を極める</x:v>
      </x:c>
      <x:c r="AJ20" s="12" t="n">
        <x:v>0</x:v>
      </x:c>
    </x:row>
    <x:row r="21">
      <x:c r="A21" s="12" t="str">
        <x:v>ジュナイパー</x:v>
      </x:c>
      <x:c r="B21" s="12" t="str">
        <x:v>アタック型</x:v>
      </x:c>
      <x:c r="C21" s="12" t="str">
        <x:v>ジュナイパー-2</x:v>
      </x:c>
      <x:c r="D21" s="12" t="str">
        <x:v>はっぱカッター</x:v>
      </x:c>
      <x:c r="E21" s="12" t="str">
        <x:v>Marksman</x:v>
      </x:c>
      <x:c r="F21" s="12" t="str">
        <x:v>Marksman</x:v>
      </x:c>
      <x:c r="G21" s="12"/>
      <x:c r="H21" s="12" t="str">
        <x:v>立ち位置・戦闘距離・役割が大きく変わるため別プロファイル</x:v>
      </x:c>
      <x:c r="I21" s="12" t="str">
        <x:v>高</x:v>
      </x:c>
      <x:c r="J21" s="12" t="str">
        <x:v>2026-09-30</x:v>
      </x:c>
      <x:c r="K21" s="12" t="n">
        <x:v>5</x:v>
      </x:c>
      <x:c r="L21" s="12" t="n">
        <x:v>0</x:v>
      </x:c>
      <x:c r="M21" s="12" t="n">
        <x:v>10</x:v>
      </x:c>
      <x:c r="N21" s="12" t="n">
        <x:v>0</x:v>
      </x:c>
      <x:c r="O21" s="12" t="n">
        <x:v>55</x:v>
      </x:c>
      <x:c r="P21" s="12" t="n">
        <x:v>95</x:v>
      </x:c>
      <x:c r="Q21" s="12" t="n">
        <x:v>5</x:v>
      </x:c>
      <x:c r="R21" s="12" t="n">
        <x:v>5</x:v>
      </x:c>
      <x:c r="S21" s="12" t="n">
        <x:v>30</x:v>
      </x:c>
      <x:c r="T21" s="12" t="n">
        <x:v>45</x:v>
      </x:c>
      <x:c r="U21" s="12" t="n">
        <x:v>85</x:v>
      </x:c>
      <x:c r="V21" s="12" t="n">
        <x:v>100</x:v>
      </x:c>
      <x:c r="W21" s="12" t="n">
        <x:v>55</x:v>
      </x:c>
      <x:c r="X21" s="12" t="n">
        <x:v>65</x:v>
      </x:c>
      <x:c r="Y21" s="12" t="n">
        <x:v>65</x:v>
      </x:c>
      <x:c r="Z21" s="12" t="n">
        <x:f>ROUND(MAX(0,MIN(100,0.40*K21+0.20*L21+0.10*S21+0.15*V21+0.15*Y21)),0)</x:f>
        <x:v>30</x:v>
      </x:c>
      <x:c r="AA21" s="12" t="n">
        <x:f>ROUND(MAX(0,MIN(100,0.30*L21+0.20*K21+0.15*V21+0.15*W21+0.10*S21+0.10*(100-M21))),0)</x:f>
        <x:v>36</x:v>
      </x:c>
      <x:c r="AB21" s="12" t="n">
        <x:f>ROUND(MAX(0,MIN(100,0.30*M21+0.25*R21+0.20*Q21+0.15*K21+0.10*(100-T21))),0)</x:f>
        <x:v>12</x:v>
      </x:c>
      <x:c r="AC21" s="12" t="n">
        <x:f>ROUND(MAX(0,MIN(100,0.55*T21+0.15*S21+0.10*N21+0.10*V21+0.10*W21)),0)</x:f>
        <x:v>45</x:v>
      </x:c>
      <x:c r="AD21" s="12" t="n">
        <x:f>ROUND(MAX(0,MIN(100,0.25*O21+0.25*Q21+0.20*Y21+0.15*U21+0.15*(100-L21))),0)</x:f>
        <x:v>56</x:v>
      </x:c>
      <x:c r="AE21" s="12" t="n">
        <x:f>ROUND(MAX(0,MIN(100,0.30*Y21+0.25*S21+0.15*Q21+0.15*T21+0.15*X21)),0)</x:f>
        <x:v>44</x:v>
      </x:c>
      <x:c r="AF21" s="12" t="n">
        <x:f>ROUND(MAX(0,MIN(100,0.65*X21+0.35*Y21)),0)</x:f>
        <x:v>65</x:v>
      </x:c>
      <x:c r="AG21" s="12" t="str">
        <x:v>https://wikiwiki.jp/poke-unite/%E3%82%B8%E3%83%A5%E3%83%8A%E3%82%A4%E3%83%91%E3%83%BC</x:v>
      </x:c>
      <x:c r="AH21" s="12" t="str">
        <x:v>「はっぱカッター」で通常攻撃を強化し、後ろから絶え間なく撃ち続ける戦い方です。動き回るより決めた位置を守って、長い撃ち合いで火力を出したい人に向いています。</x:v>
      </x:c>
      <x:c r="AI21" s="12" t="str">
        <x:v>長く戦う・取り切りが得意・陣取って戦う</x:v>
      </x:c>
      <x:c r="AJ21" s="12" t="n">
        <x:v>0</x:v>
      </x:c>
    </x:row>
    <x:row r="22">
      <x:c r="A22" s="12" t="str">
        <x:v>ジュラルドン</x:v>
      </x:c>
      <x:c r="B22" s="12" t="str">
        <x:v>アタック型</x:v>
      </x:c>
      <x:c r="C22" s="12" t="str">
        <x:v>ジュラルドン-1</x:v>
      </x:c>
      <x:c r="D22" s="12" t="str">
        <x:v>共通</x:v>
      </x:c>
      <x:c r="E22" s="12" t="str">
        <x:v>Marksman / Artillery</x:v>
      </x:c>
      <x:c r="F22" s="12" t="str">
        <x:v>Marksman</x:v>
      </x:c>
      <x:c r="G22" s="12" t="str">
        <x:v>Artillery</x:v>
      </x:c>
      <x:c r="H22" s="12" t="str">
        <x:v>技で細部は変わるが、診断上のプレイ人格は大きく変わらないため統合</x:v>
      </x:c>
      <x:c r="I22" s="12" t="str">
        <x:v>高</x:v>
      </x:c>
      <x:c r="J22" s="12" t="str">
        <x:v>2026-09-30</x:v>
      </x:c>
      <x:c r="K22" s="12" t="n">
        <x:v>20</x:v>
      </x:c>
      <x:c r="L22" s="12" t="n">
        <x:v>5</x:v>
      </x:c>
      <x:c r="M22" s="12" t="n">
        <x:v>20</x:v>
      </x:c>
      <x:c r="N22" s="12" t="n">
        <x:v>0</x:v>
      </x:c>
      <x:c r="O22" s="12" t="n">
        <x:v>85</x:v>
      </x:c>
      <x:c r="P22" s="12" t="n">
        <x:v>55</x:v>
      </x:c>
      <x:c r="Q22" s="12" t="n">
        <x:v>40</x:v>
      </x:c>
      <x:c r="R22" s="12" t="n">
        <x:v>5</x:v>
      </x:c>
      <x:c r="S22" s="12" t="n">
        <x:v>30</x:v>
      </x:c>
      <x:c r="T22" s="12" t="n">
        <x:v>45</x:v>
      </x:c>
      <x:c r="U22" s="12" t="n">
        <x:v>75</x:v>
      </x:c>
      <x:c r="V22" s="12" t="n">
        <x:v>85</x:v>
      </x:c>
      <x:c r="W22" s="12" t="n">
        <x:v>30</x:v>
      </x:c>
      <x:c r="X22" s="12" t="n">
        <x:v>85</x:v>
      </x:c>
      <x:c r="Y22" s="12" t="n">
        <x:v>75</x:v>
      </x:c>
      <x:c r="Z22" s="12" t="n">
        <x:f>ROUND(MAX(0,MIN(100,0.40*K22+0.20*L22+0.10*S22+0.15*V22+0.15*Y22)),0)</x:f>
        <x:v>36</x:v>
      </x:c>
      <x:c r="AA22" s="12" t="n">
        <x:f>ROUND(MAX(0,MIN(100,0.30*L22+0.20*K22+0.15*V22+0.15*W22+0.10*S22+0.10*(100-M22))),0)</x:f>
        <x:v>34</x:v>
      </x:c>
      <x:c r="AB22" s="12" t="n">
        <x:f>ROUND(MAX(0,MIN(100,0.30*M22+0.25*R22+0.20*Q22+0.15*K22+0.10*(100-T22))),0)</x:f>
        <x:v>24</x:v>
      </x:c>
      <x:c r="AC22" s="12" t="n">
        <x:f>ROUND(MAX(0,MIN(100,0.55*T22+0.15*S22+0.10*N22+0.10*V22+0.10*W22)),0)</x:f>
        <x:v>41</x:v>
      </x:c>
      <x:c r="AD22" s="12" t="n">
        <x:f>ROUND(MAX(0,MIN(100,0.25*O22+0.25*Q22+0.20*Y22+0.15*U22+0.15*(100-L22))),0)</x:f>
        <x:v>72</x:v>
      </x:c>
      <x:c r="AE22" s="12" t="n">
        <x:f>ROUND(MAX(0,MIN(100,0.30*Y22+0.25*S22+0.15*Q22+0.15*T22+0.15*X22)),0)</x:f>
        <x:v>56</x:v>
      </x:c>
      <x:c r="AF22" s="12" t="n">
        <x:f>ROUND(MAX(0,MIN(100,0.65*X22+0.35*Y22)),0)</x:f>
        <x:v>82</x:v>
      </x:c>
      <x:c r="AG22" s="12" t="str">
        <x:v>https://wikiwiki.jp/poke-unite/%E3%82%B8%E3%83%A5%E3%83%A9%E3%83%AB%E3%83%89%E3%83%B3</x:v>
      </x:c>
      <x:c r="AH22" s="12" t="str">
        <x:v>長い射程の通常攻撃で後ろから撃ち続け、育つほど火力が伸びるアタッカーです。前に出ずに味方に守られながら、安定した位置からダメージを出し続けたい人に向いています。</x:v>
      </x:c>
      <x:c r="AI22" s="12" t="str">
        <x:v>遠くから削る・育つと化ける・取り切りが得意</x:v>
      </x:c>
      <x:c r="AJ22" s="12" t="n">
        <x:v>0</x:v>
      </x:c>
    </x:row>
    <x:row r="23">
      <x:c r="A23" s="12" t="str">
        <x:v>ドラパルト</x:v>
      </x:c>
      <x:c r="B23" s="12" t="str">
        <x:v>アタック型</x:v>
      </x:c>
      <x:c r="C23" s="12" t="str">
        <x:v>ドラパルト-1</x:v>
      </x:c>
      <x:c r="D23" s="12" t="str">
        <x:v>りゅうのまい</x:v>
      </x:c>
      <x:c r="E23" s="12" t="str">
        <x:v>Marksman / Diver</x:v>
      </x:c>
      <x:c r="F23" s="12" t="str">
        <x:v>Marksman</x:v>
      </x:c>
      <x:c r="G23" s="12" t="str">
        <x:v>Diver</x:v>
      </x:c>
      <x:c r="H23" s="12" t="str">
        <x:v>立ち位置・戦闘距離・役割が大きく変わるため別プロファイル</x:v>
      </x:c>
      <x:c r="I23" s="12" t="str">
        <x:v>高</x:v>
      </x:c>
      <x:c r="J23" s="12" t="str">
        <x:v>2026-09-30</x:v>
      </x:c>
      <x:c r="K23" s="12" t="n">
        <x:v>45</x:v>
      </x:c>
      <x:c r="L23" s="12" t="n">
        <x:v>45</x:v>
      </x:c>
      <x:c r="M23" s="12" t="n">
        <x:v>10</x:v>
      </x:c>
      <x:c r="N23" s="12" t="n">
        <x:v>30</x:v>
      </x:c>
      <x:c r="O23" s="12" t="n">
        <x:v>45</x:v>
      </x:c>
      <x:c r="P23" s="12" t="n">
        <x:v>80</x:v>
      </x:c>
      <x:c r="Q23" s="12" t="n">
        <x:v>20</x:v>
      </x:c>
      <x:c r="R23" s="12" t="n">
        <x:v>5</x:v>
      </x:c>
      <x:c r="S23" s="12" t="n">
        <x:v>75</x:v>
      </x:c>
      <x:c r="T23" s="12" t="n">
        <x:v>65</x:v>
      </x:c>
      <x:c r="U23" s="12" t="n">
        <x:v>75</x:v>
      </x:c>
      <x:c r="V23" s="12" t="n">
        <x:v>75</x:v>
      </x:c>
      <x:c r="W23" s="12" t="n">
        <x:v>55</x:v>
      </x:c>
      <x:c r="X23" s="12" t="n">
        <x:v>75</x:v>
      </x:c>
      <x:c r="Y23" s="12" t="n">
        <x:v>65</x:v>
      </x:c>
      <x:c r="Z23" s="12" t="n">
        <x:f>ROUND(MAX(0,MIN(100,0.40*K23+0.20*L23+0.10*S23+0.15*V23+0.15*Y23)),0)</x:f>
        <x:v>56</x:v>
      </x:c>
      <x:c r="AA23" s="12" t="n">
        <x:f>ROUND(MAX(0,MIN(100,0.30*L23+0.20*K23+0.15*V23+0.15*W23+0.10*S23+0.10*(100-M23))),0)</x:f>
        <x:v>59</x:v>
      </x:c>
      <x:c r="AB23" s="12" t="n">
        <x:f>ROUND(MAX(0,MIN(100,0.30*M23+0.25*R23+0.20*Q23+0.15*K23+0.10*(100-T23))),0)</x:f>
        <x:v>19</x:v>
      </x:c>
      <x:c r="AC23" s="12" t="n">
        <x:f>ROUND(MAX(0,MIN(100,0.55*T23+0.15*S23+0.10*N23+0.10*V23+0.10*W23)),0)</x:f>
        <x:v>63</x:v>
      </x:c>
      <x:c r="AD23" s="12" t="n">
        <x:f>ROUND(MAX(0,MIN(100,0.25*O23+0.25*Q23+0.20*Y23+0.15*U23+0.15*(100-L23))),0)</x:f>
        <x:v>49</x:v>
      </x:c>
      <x:c r="AE23" s="12" t="n">
        <x:f>ROUND(MAX(0,MIN(100,0.30*Y23+0.25*S23+0.15*Q23+0.15*T23+0.15*X23)),0)</x:f>
        <x:v>62</x:v>
      </x:c>
      <x:c r="AF23" s="12" t="n">
        <x:f>ROUND(MAX(0,MIN(100,0.65*X23+0.35*Y23)),0)</x:f>
        <x:v>72</x:v>
      </x:c>
      <x:c r="AG23" s="12" t="str">
        <x:v>https://wikiwiki.jp/poke-unite/%E3%83%89%E3%83%A9%E3%83%91%E3%83%AB%E3%83%88</x:v>
      </x:c>
      <x:c r="AH23" s="12" t="str">
        <x:v>「りゅうのまい」で旋回しながら攻撃を浴びせ、KOするたびに次の動きへつなげる戦い方です。マップを動き回り、撃ち合いの中で畳みかけたい人に向いています。</x:v>
      </x:c>
      <x:c r="AI23" s="12" t="str">
        <x:v>マップを駆け回る・長く戦う・育つと化ける</x:v>
      </x:c>
      <x:c r="AJ23" s="12" t="n">
        <x:v>0</x:v>
      </x:c>
    </x:row>
    <x:row r="24">
      <x:c r="A24" s="12" t="str">
        <x:v>ドラパルト</x:v>
      </x:c>
      <x:c r="B24" s="12" t="str">
        <x:v>アタック型</x:v>
      </x:c>
      <x:c r="C24" s="12" t="str">
        <x:v>ドラパルト-2</x:v>
      </x:c>
      <x:c r="D24" s="12" t="str">
        <x:v>ゴーストダイブ</x:v>
      </x:c>
      <x:c r="E24" s="12" t="str">
        <x:v>Assassin / Marksman</x:v>
      </x:c>
      <x:c r="F24" s="12" t="str">
        <x:v>Assassin</x:v>
      </x:c>
      <x:c r="G24" s="12" t="str">
        <x:v>Marksman</x:v>
      </x:c>
      <x:c r="H24" s="12" t="str">
        <x:v>立ち位置・戦闘距離・役割が大きく変わるため別プロファイル</x:v>
      </x:c>
      <x:c r="I24" s="12" t="str">
        <x:v>高</x:v>
      </x:c>
      <x:c r="J24" s="12" t="str">
        <x:v>2026-09-30</x:v>
      </x:c>
      <x:c r="K24" s="12" t="n">
        <x:v>35</x:v>
      </x:c>
      <x:c r="L24" s="12" t="n">
        <x:v>65</x:v>
      </x:c>
      <x:c r="M24" s="12" t="n">
        <x:v>15</x:v>
      </x:c>
      <x:c r="N24" s="12" t="n">
        <x:v>0</x:v>
      </x:c>
      <x:c r="O24" s="12" t="n">
        <x:v>40</x:v>
      </x:c>
      <x:c r="P24" s="12" t="n">
        <x:v>40</x:v>
      </x:c>
      <x:c r="Q24" s="12" t="n">
        <x:v>5</x:v>
      </x:c>
      <x:c r="R24" s="12" t="n">
        <x:v>5</x:v>
      </x:c>
      <x:c r="S24" s="12" t="n">
        <x:v>80</x:v>
      </x:c>
      <x:c r="T24" s="12" t="n">
        <x:v>60</x:v>
      </x:c>
      <x:c r="U24" s="12" t="n">
        <x:v>65</x:v>
      </x:c>
      <x:c r="V24" s="12" t="n">
        <x:v>90</x:v>
      </x:c>
      <x:c r="W24" s="12" t="n">
        <x:v>75</x:v>
      </x:c>
      <x:c r="X24" s="12" t="n">
        <x:v>65</x:v>
      </x:c>
      <x:c r="Y24" s="12" t="n">
        <x:v>75</x:v>
      </x:c>
      <x:c r="Z24" s="12" t="n">
        <x:f>ROUND(MAX(0,MIN(100,0.40*K24+0.20*L24+0.10*S24+0.15*V24+0.15*Y24)),0)</x:f>
        <x:v>60</x:v>
      </x:c>
      <x:c r="AA24" s="12" t="n">
        <x:f>ROUND(MAX(0,MIN(100,0.30*L24+0.20*K24+0.15*V24+0.15*W24+0.10*S24+0.10*(100-M24))),0)</x:f>
        <x:v>68</x:v>
      </x:c>
      <x:c r="AB24" s="12" t="n">
        <x:f>ROUND(MAX(0,MIN(100,0.30*M24+0.25*R24+0.20*Q24+0.15*K24+0.10*(100-T24))),0)</x:f>
        <x:v>16</x:v>
      </x:c>
      <x:c r="AC24" s="12" t="n">
        <x:f>ROUND(MAX(0,MIN(100,0.55*T24+0.15*S24+0.10*N24+0.10*V24+0.10*W24)),0)</x:f>
        <x:v>62</x:v>
      </x:c>
      <x:c r="AD24" s="12" t="n">
        <x:f>ROUND(MAX(0,MIN(100,0.25*O24+0.25*Q24+0.20*Y24+0.15*U24+0.15*(100-L24))),0)</x:f>
        <x:v>41</x:v>
      </x:c>
      <x:c r="AE24" s="12" t="n">
        <x:f>ROUND(MAX(0,MIN(100,0.30*Y24+0.25*S24+0.15*Q24+0.15*T24+0.15*X24)),0)</x:f>
        <x:v>62</x:v>
      </x:c>
      <x:c r="AF24" s="12" t="n">
        <x:f>ROUND(MAX(0,MIN(100,0.65*X24+0.35*Y24)),0)</x:f>
        <x:v>69</x:v>
      </x:c>
      <x:c r="AG24" s="12" t="str">
        <x:v>https://wikiwiki.jp/poke-unite/%E3%83%89%E3%83%A9%E3%83%91%E3%83%AB%E3%83%88</x:v>
      </x:c>
      <x:c r="AH24" s="12" t="str">
        <x:v>「ゴーストダイブ」で姿を消して近づき、弱った相手を一気に仕留める戦い方です。KOするたびに強くなるので、横や後ろから奇襲を狙うのが好きな人に向いています。</x:v>
      </x:c>
      <x:c r="AI24" s="12" t="str">
        <x:v>マップを駆け回る・取り切りが得意・先を読んで動く</x:v>
      </x:c>
      <x:c r="AJ24" s="12" t="n">
        <x:v>0</x:v>
      </x:c>
    </x:row>
    <x:row r="25">
      <x:c r="A25" s="12" t="str">
        <x:v>ニンフィア</x:v>
      </x:c>
      <x:c r="B25" s="12" t="str">
        <x:v>アタック型</x:v>
      </x:c>
      <x:c r="C25" s="12" t="str">
        <x:v>ニンフィア-1</x:v>
      </x:c>
      <x:c r="D25" s="12" t="str">
        <x:v>共通</x:v>
      </x:c>
      <x:c r="E25" s="12" t="str">
        <x:v>BattleMage / Skirmisher</x:v>
      </x:c>
      <x:c r="F25" s="12" t="str">
        <x:v>BattleMage</x:v>
      </x:c>
      <x:c r="G25" s="12" t="str">
        <x:v>Skirmisher</x:v>
      </x:c>
      <x:c r="H25" s="12" t="str">
        <x:v>技で細部は変わるが、診断上のプレイ人格は大きく変わらないため統合</x:v>
      </x:c>
      <x:c r="I25" s="12" t="str">
        <x:v>高</x:v>
      </x:c>
      <x:c r="J25" s="12" t="str">
        <x:v>2026-09-30</x:v>
      </x:c>
      <x:c r="K25" s="12" t="n">
        <x:v>50</x:v>
      </x:c>
      <x:c r="L25" s="12" t="n">
        <x:v>55</x:v>
      </x:c>
      <x:c r="M25" s="12" t="n">
        <x:v>30</x:v>
      </x:c>
      <x:c r="N25" s="12" t="n">
        <x:v>50</x:v>
      </x:c>
      <x:c r="O25" s="12" t="n">
        <x:v>40</x:v>
      </x:c>
      <x:c r="P25" s="12" t="n">
        <x:v>60</x:v>
      </x:c>
      <x:c r="Q25" s="12" t="n">
        <x:v>50</x:v>
      </x:c>
      <x:c r="R25" s="12" t="n">
        <x:v>10</x:v>
      </x:c>
      <x:c r="S25" s="12" t="n">
        <x:v>70</x:v>
      </x:c>
      <x:c r="T25" s="12" t="n">
        <x:v>70</x:v>
      </x:c>
      <x:c r="U25" s="12" t="n">
        <x:v>55</x:v>
      </x:c>
      <x:c r="V25" s="12" t="n">
        <x:v>65</x:v>
      </x:c>
      <x:c r="W25" s="12" t="n">
        <x:v>55</x:v>
      </x:c>
      <x:c r="X25" s="12" t="n">
        <x:v>60</x:v>
      </x:c>
      <x:c r="Y25" s="12" t="n">
        <x:v>65</x:v>
      </x:c>
      <x:c r="Z25" s="12" t="n">
        <x:f>ROUND(MAX(0,MIN(100,0.40*K25+0.20*L25+0.10*S25+0.15*V25+0.15*Y25)),0)</x:f>
        <x:v>58</x:v>
      </x:c>
      <x:c r="AA25" s="12" t="n">
        <x:f>ROUND(MAX(0,MIN(100,0.30*L25+0.20*K25+0.15*V25+0.15*W25+0.10*S25+0.10*(100-M25))),0)</x:f>
        <x:v>59</x:v>
      </x:c>
      <x:c r="AB25" s="12" t="n">
        <x:f>ROUND(MAX(0,MIN(100,0.30*M25+0.25*R25+0.20*Q25+0.15*K25+0.10*(100-T25))),0)</x:f>
        <x:v>32</x:v>
      </x:c>
      <x:c r="AC25" s="12" t="n">
        <x:f>ROUND(MAX(0,MIN(100,0.55*T25+0.15*S25+0.10*N25+0.10*V25+0.10*W25)),0)</x:f>
        <x:v>66</x:v>
      </x:c>
      <x:c r="AD25" s="12" t="n">
        <x:f>ROUND(MAX(0,MIN(100,0.25*O25+0.25*Q25+0.20*Y25+0.15*U25+0.15*(100-L25))),0)</x:f>
        <x:v>51</x:v>
      </x:c>
      <x:c r="AE25" s="12" t="n">
        <x:f>ROUND(MAX(0,MIN(100,0.30*Y25+0.25*S25+0.15*Q25+0.15*T25+0.15*X25)),0)</x:f>
        <x:v>64</x:v>
      </x:c>
      <x:c r="AF25" s="12" t="n">
        <x:f>ROUND(MAX(0,MIN(100,0.65*X25+0.35*Y25)),0)</x:f>
        <x:v>62</x:v>
      </x:c>
      <x:c r="AG25" s="12" t="str">
        <x:v>https://wikiwiki.jp/poke-unite/%E3%83%8B%E3%83%B3%E3%83%95%E3%82%A3%E3%82%A2</x:v>
      </x:c>
      <x:c r="AH25" s="12" t="str">
        <x:v>技を当てながら回復もでき、位置を変えて撃ち合いを続けられるアタッカーです。相手との距離を測りつつ、弱った相手を逃さず仕留めたい人に向いています。</x:v>
      </x:c>
      <x:c r="AI25" s="12" t="str">
        <x:v>マップを駆け回る・取り切りが得意・先を読んで動く</x:v>
      </x:c>
      <x:c r="AJ25" s="12" t="n">
        <x:v>0</x:v>
      </x:c>
    </x:row>
    <x:row r="26">
      <x:c r="A26" s="12" t="str">
        <x:v>バクフーン</x:v>
      </x:c>
      <x:c r="B26" s="12" t="str">
        <x:v>アタック型</x:v>
      </x:c>
      <x:c r="C26" s="12" t="str">
        <x:v>バクフーン-1</x:v>
      </x:c>
      <x:c r="D26" s="12" t="str">
        <x:v>共通</x:v>
      </x:c>
      <x:c r="E26" s="12" t="str">
        <x:v>Diver</x:v>
      </x:c>
      <x:c r="F26" s="12" t="str">
        <x:v>Diver</x:v>
      </x:c>
      <x:c r="G26" s="12"/>
      <x:c r="H26" s="12" t="str">
        <x:v>技で細部は変わるが、診断上のプレイ人格は大きく変わらないため統合</x:v>
      </x:c>
      <x:c r="I26" s="12" t="str">
        <x:v>中</x:v>
      </x:c>
      <x:c r="J26" s="12" t="str">
        <x:v>2026-09-30</x:v>
      </x:c>
      <x:c r="K26" s="12" t="n">
        <x:v>80</x:v>
      </x:c>
      <x:c r="L26" s="12" t="n">
        <x:v>90</x:v>
      </x:c>
      <x:c r="M26" s="12" t="n">
        <x:v>20</x:v>
      </x:c>
      <x:c r="N26" s="12" t="n">
        <x:v>45</x:v>
      </x:c>
      <x:c r="O26" s="12" t="n">
        <x:v>20</x:v>
      </x:c>
      <x:c r="P26" s="12" t="n">
        <x:v>35</x:v>
      </x:c>
      <x:c r="Q26" s="12" t="n">
        <x:v>45</x:v>
      </x:c>
      <x:c r="R26" s="12" t="n">
        <x:v>5</x:v>
      </x:c>
      <x:c r="S26" s="12" t="n">
        <x:v>80</x:v>
      </x:c>
      <x:c r="T26" s="12" t="n">
        <x:v>70</x:v>
      </x:c>
      <x:c r="U26" s="12" t="n">
        <x:v>50</x:v>
      </x:c>
      <x:c r="V26" s="12" t="n">
        <x:v>70</x:v>
      </x:c>
      <x:c r="W26" s="12" t="n">
        <x:v>55</x:v>
      </x:c>
      <x:c r="X26" s="12" t="n">
        <x:v>65</x:v>
      </x:c>
      <x:c r="Y26" s="12" t="n">
        <x:v>70</x:v>
      </x:c>
      <x:c r="Z26" s="12" t="n">
        <x:f>ROUND(MAX(0,MIN(100,0.40*K26+0.20*L26+0.10*S26+0.15*V26+0.15*Y26)),0)</x:f>
        <x:v>79</x:v>
      </x:c>
      <x:c r="AA26" s="12" t="n">
        <x:f>ROUND(MAX(0,MIN(100,0.30*L26+0.20*K26+0.15*V26+0.15*W26+0.10*S26+0.10*(100-M26))),0)</x:f>
        <x:v>78</x:v>
      </x:c>
      <x:c r="AB26" s="12" t="n">
        <x:f>ROUND(MAX(0,MIN(100,0.30*M26+0.25*R26+0.20*Q26+0.15*K26+0.10*(100-T26))),0)</x:f>
        <x:v>31</x:v>
      </x:c>
      <x:c r="AC26" s="12" t="n">
        <x:f>ROUND(MAX(0,MIN(100,0.55*T26+0.15*S26+0.10*N26+0.10*V26+0.10*W26)),0)</x:f>
        <x:v>68</x:v>
      </x:c>
      <x:c r="AD26" s="12" t="n">
        <x:f>ROUND(MAX(0,MIN(100,0.25*O26+0.25*Q26+0.20*Y26+0.15*U26+0.15*(100-L26))),0)</x:f>
        <x:v>39</x:v>
      </x:c>
      <x:c r="AE26" s="12" t="n">
        <x:f>ROUND(MAX(0,MIN(100,0.30*Y26+0.25*S26+0.15*Q26+0.15*T26+0.15*X26)),0)</x:f>
        <x:v>68</x:v>
      </x:c>
      <x:c r="AF26" s="12" t="n">
        <x:f>ROUND(MAX(0,MIN(100,0.65*X26+0.35*Y26)),0)</x:f>
        <x:v>67</x:v>
      </x:c>
      <x:c r="AG26" s="12" t="str">
        <x:v>https://wikiwiki.jp/poke-unite/%E3%83%90%E3%82%AF%E3%83%95%E3%83%BC%E3%83%B3</x:v>
      </x:c>
      <x:c r="AH26" s="12" t="str">
        <x:v>怒りのボルテージを溜めて激昂し、「ふんか」と「かえんぐるま」で攻め込むアタッカーです。後ろで待つより中距離から自分で仕掛け、勢いのまま押し切りたい人に向いています。</x:v>
      </x:c>
      <x:c r="AI26" s="12" t="str">
        <x:v>自分から仕掛ける・後衛まで踏み込む・マップを駆け回る</x:v>
      </x:c>
      <x:c r="AJ26" s="12" t="n">
        <x:v>0</x:v>
      </x:c>
    </x:row>
    <x:row r="27">
      <x:c r="A27" s="12" t="str">
        <x:v>ピカチュウ</x:v>
      </x:c>
      <x:c r="B27" s="12" t="str">
        <x:v>アタック型</x:v>
      </x:c>
      <x:c r="C27" s="12" t="str">
        <x:v>ピカチュウ-1</x:v>
      </x:c>
      <x:c r="D27" s="12" t="str">
        <x:v>共通</x:v>
      </x:c>
      <x:c r="E27" s="12" t="str">
        <x:v>BurstMage / Catcher</x:v>
      </x:c>
      <x:c r="F27" s="12" t="str">
        <x:v>BurstMage</x:v>
      </x:c>
      <x:c r="G27" s="12" t="str">
        <x:v>Catcher</x:v>
      </x:c>
      <x:c r="H27" s="12" t="str">
        <x:v>技で細部は変わるが、診断上のプレイ人格は大きく変わらないため統合</x:v>
      </x:c>
      <x:c r="I27" s="12" t="str">
        <x:v>高</x:v>
      </x:c>
      <x:c r="J27" s="12" t="str">
        <x:v>2026-09-30</x:v>
      </x:c>
      <x:c r="K27" s="12" t="n">
        <x:v>40</x:v>
      </x:c>
      <x:c r="L27" s="12" t="n">
        <x:v>15</x:v>
      </x:c>
      <x:c r="M27" s="12" t="n">
        <x:v>35</x:v>
      </x:c>
      <x:c r="N27" s="12" t="n">
        <x:v>15</x:v>
      </x:c>
      <x:c r="O27" s="12" t="n">
        <x:v>75</x:v>
      </x:c>
      <x:c r="P27" s="12" t="n">
        <x:v>35</x:v>
      </x:c>
      <x:c r="Q27" s="12" t="n">
        <x:v>85</x:v>
      </x:c>
      <x:c r="R27" s="12" t="n">
        <x:v>10</x:v>
      </x:c>
      <x:c r="S27" s="12" t="n">
        <x:v>30</x:v>
      </x:c>
      <x:c r="T27" s="12" t="n">
        <x:v>50</x:v>
      </x:c>
      <x:c r="U27" s="12" t="n">
        <x:v>45</x:v>
      </x:c>
      <x:c r="V27" s="12" t="n">
        <x:v>60</x:v>
      </x:c>
      <x:c r="W27" s="12" t="n">
        <x:v>25</x:v>
      </x:c>
      <x:c r="X27" s="12" t="n">
        <x:v>70</x:v>
      </x:c>
      <x:c r="Y27" s="12" t="n">
        <x:v>80</x:v>
      </x:c>
      <x:c r="Z27" s="12" t="n">
        <x:f>ROUND(MAX(0,MIN(100,0.40*K27+0.20*L27+0.10*S27+0.15*V27+0.15*Y27)),0)</x:f>
        <x:v>43</x:v>
      </x:c>
      <x:c r="AA27" s="12" t="n">
        <x:f>ROUND(MAX(0,MIN(100,0.30*L27+0.20*K27+0.15*V27+0.15*W27+0.10*S27+0.10*(100-M27))),0)</x:f>
        <x:v>35</x:v>
      </x:c>
      <x:c r="AB27" s="12" t="n">
        <x:f>ROUND(MAX(0,MIN(100,0.30*M27+0.25*R27+0.20*Q27+0.15*K27+0.10*(100-T27))),0)</x:f>
        <x:v>41</x:v>
      </x:c>
      <x:c r="AC27" s="12" t="n">
        <x:f>ROUND(MAX(0,MIN(100,0.55*T27+0.15*S27+0.10*N27+0.10*V27+0.10*W27)),0)</x:f>
        <x:v>42</x:v>
      </x:c>
      <x:c r="AD27" s="12" t="n">
        <x:f>ROUND(MAX(0,MIN(100,0.25*O27+0.25*Q27+0.20*Y27+0.15*U27+0.15*(100-L27))),0)</x:f>
        <x:v>76</x:v>
      </x:c>
      <x:c r="AE27" s="12" t="n">
        <x:f>ROUND(MAX(0,MIN(100,0.30*Y27+0.25*S27+0.15*Q27+0.15*T27+0.15*X27)),0)</x:f>
        <x:v>62</x:v>
      </x:c>
      <x:c r="AF27" s="12" t="n">
        <x:f>ROUND(MAX(0,MIN(100,0.65*X27+0.35*Y27)),0)</x:f>
        <x:v>74</x:v>
      </x:c>
      <x:c r="AG27" s="12" t="str">
        <x:v>https://wikiwiki.jp/poke-unite/%E3%83%94%E3%82%AB%E3%83%81%E3%83%A5%E3%82%A6</x:v>
      </x:c>
      <x:c r="AH27" s="12" t="str">
        <x:v>まひと範囲技で相手の足を止め、集団戦で大きなダメージを出すアタッカーです。前に出過ぎず、技を当てる位置とタイミングで流れを作りたい人に向いています。</x:v>
      </x:c>
      <x:c r="AI27" s="12" t="str">
        <x:v>動きを止める・遠くから削る・先を読んで動く</x:v>
      </x:c>
      <x:c r="AJ27" s="12" t="n">
        <x:v>0</x:v>
      </x:c>
    </x:row>
    <x:row r="28">
      <x:c r="A28" s="12" t="str">
        <x:v>フシギバナ</x:v>
      </x:c>
      <x:c r="B28" s="12" t="str">
        <x:v>アタック型</x:v>
      </x:c>
      <x:c r="C28" s="12" t="str">
        <x:v>フシギバナ-1</x:v>
      </x:c>
      <x:c r="D28" s="12" t="str">
        <x:v>ソーラービーム</x:v>
      </x:c>
      <x:c r="E28" s="12" t="str">
        <x:v>Artillery</x:v>
      </x:c>
      <x:c r="F28" s="12" t="str">
        <x:v>Artillery</x:v>
      </x:c>
      <x:c r="G28" s="12"/>
      <x:c r="H28" s="12" t="str">
        <x:v>立ち位置・戦闘距離・役割が大きく変わるため別プロファイル</x:v>
      </x:c>
      <x:c r="I28" s="12" t="str">
        <x:v>高</x:v>
      </x:c>
      <x:c r="J28" s="12" t="str">
        <x:v>2026-09-30</x:v>
      </x:c>
      <x:c r="K28" s="12" t="n">
        <x:v>15</x:v>
      </x:c>
      <x:c r="L28" s="12" t="n">
        <x:v>5</x:v>
      </x:c>
      <x:c r="M28" s="12" t="n">
        <x:v>15</x:v>
      </x:c>
      <x:c r="N28" s="12" t="n">
        <x:v>5</x:v>
      </x:c>
      <x:c r="O28" s="12" t="n">
        <x:v>100</x:v>
      </x:c>
      <x:c r="P28" s="12" t="n">
        <x:v>20</x:v>
      </x:c>
      <x:c r="Q28" s="12" t="n">
        <x:v>50</x:v>
      </x:c>
      <x:c r="R28" s="12" t="n">
        <x:v>5</x:v>
      </x:c>
      <x:c r="S28" s="12" t="n">
        <x:v>30</x:v>
      </x:c>
      <x:c r="T28" s="12" t="n">
        <x:v>45</x:v>
      </x:c>
      <x:c r="U28" s="12" t="n">
        <x:v>65</x:v>
      </x:c>
      <x:c r="V28" s="12" t="n">
        <x:v>100</x:v>
      </x:c>
      <x:c r="W28" s="12" t="n">
        <x:v>20</x:v>
      </x:c>
      <x:c r="X28" s="12" t="n">
        <x:v>80</x:v>
      </x:c>
      <x:c r="Y28" s="12" t="n">
        <x:v>80</x:v>
      </x:c>
      <x:c r="Z28" s="12" t="n">
        <x:f>ROUND(MAX(0,MIN(100,0.40*K28+0.20*L28+0.10*S28+0.15*V28+0.15*Y28)),0)</x:f>
        <x:v>37</x:v>
      </x:c>
      <x:c r="AA28" s="12" t="n">
        <x:f>ROUND(MAX(0,MIN(100,0.30*L28+0.20*K28+0.15*V28+0.15*W28+0.10*S28+0.10*(100-M28))),0)</x:f>
        <x:v>34</x:v>
      </x:c>
      <x:c r="AB28" s="12" t="n">
        <x:f>ROUND(MAX(0,MIN(100,0.30*M28+0.25*R28+0.20*Q28+0.15*K28+0.10*(100-T28))),0)</x:f>
        <x:v>24</x:v>
      </x:c>
      <x:c r="AC28" s="12" t="n">
        <x:f>ROUND(MAX(0,MIN(100,0.55*T28+0.15*S28+0.10*N28+0.10*V28+0.10*W28)),0)</x:f>
        <x:v>42</x:v>
      </x:c>
      <x:c r="AD28" s="12" t="n">
        <x:f>ROUND(MAX(0,MIN(100,0.25*O28+0.25*Q28+0.20*Y28+0.15*U28+0.15*(100-L28))),0)</x:f>
        <x:v>78</x:v>
      </x:c>
      <x:c r="AE28" s="12" t="n">
        <x:f>ROUND(MAX(0,MIN(100,0.30*Y28+0.25*S28+0.15*Q28+0.15*T28+0.15*X28)),0)</x:f>
        <x:v>58</x:v>
      </x:c>
      <x:c r="AF28" s="12" t="n">
        <x:f>ROUND(MAX(0,MIN(100,0.65*X28+0.35*Y28)),0)</x:f>
        <x:v>80</x:v>
      </x:c>
      <x:c r="AG28" s="12" t="str">
        <x:v>https://wikiwiki.jp/poke-unite/%E3%83%95%E3%82%B7%E3%82%AE%E3%83%90%E3%83%8A</x:v>
      </x:c>
      <x:c r="AH28" s="12" t="str">
        <x:v>「ソーラービーム」を遠くから撃ち込み、大事な野生ポケモンの取り切りも狙える戦い方です。射程の長さを活かし、安全な位置から一番大きな一撃を通したい人に向いています。</x:v>
      </x:c>
      <x:c r="AI28" s="12" t="str">
        <x:v>遠くから削る・取り切りが得意・待って返す</x:v>
      </x:c>
      <x:c r="AJ28" s="12" t="n">
        <x:v>0</x:v>
      </x:c>
    </x:row>
    <x:row r="29">
      <x:c r="A29" s="12" t="str">
        <x:v>フシギバナ</x:v>
      </x:c>
      <x:c r="B29" s="12" t="str">
        <x:v>アタック型</x:v>
      </x:c>
      <x:c r="C29" s="12" t="str">
        <x:v>フシギバナ-2</x:v>
      </x:c>
      <x:c r="D29" s="12" t="str">
        <x:v>はなびらのまい</x:v>
      </x:c>
      <x:c r="E29" s="12" t="str">
        <x:v>Juggernaut / BattleMage</x:v>
      </x:c>
      <x:c r="F29" s="12" t="str">
        <x:v>Juggernaut</x:v>
      </x:c>
      <x:c r="G29" s="12" t="str">
        <x:v>BattleMage</x:v>
      </x:c>
      <x:c r="H29" s="12" t="str">
        <x:v>立ち位置・戦闘距離・役割が大きく変わるため別プロファイル</x:v>
      </x:c>
      <x:c r="I29" s="12" t="str">
        <x:v>高</x:v>
      </x:c>
      <x:c r="J29" s="12" t="str">
        <x:v>2026-09-30</x:v>
      </x:c>
      <x:c r="K29" s="12" t="n">
        <x:v>45</x:v>
      </x:c>
      <x:c r="L29" s="12" t="n">
        <x:v>35</x:v>
      </x:c>
      <x:c r="M29" s="12" t="n">
        <x:v>20</x:v>
      </x:c>
      <x:c r="N29" s="12" t="n">
        <x:v>75</x:v>
      </x:c>
      <x:c r="O29" s="12" t="n">
        <x:v>10</x:v>
      </x:c>
      <x:c r="P29" s="12" t="n">
        <x:v>75</x:v>
      </x:c>
      <x:c r="Q29" s="12" t="n">
        <x:v>35</x:v>
      </x:c>
      <x:c r="R29" s="12" t="n">
        <x:v>5</x:v>
      </x:c>
      <x:c r="S29" s="12" t="n">
        <x:v>55</x:v>
      </x:c>
      <x:c r="T29" s="12" t="n">
        <x:v>70</x:v>
      </x:c>
      <x:c r="U29" s="12" t="n">
        <x:v>70</x:v>
      </x:c>
      <x:c r="V29" s="12" t="n">
        <x:v>75</x:v>
      </x:c>
      <x:c r="W29" s="12" t="n">
        <x:v>40</x:v>
      </x:c>
      <x:c r="X29" s="12" t="n">
        <x:v>60</x:v>
      </x:c>
      <x:c r="Y29" s="12" t="n">
        <x:v>60</x:v>
      </x:c>
      <x:c r="Z29" s="12" t="n">
        <x:f>ROUND(MAX(0,MIN(100,0.40*K29+0.20*L29+0.10*S29+0.15*V29+0.15*Y29)),0)</x:f>
        <x:v>51</x:v>
      </x:c>
      <x:c r="AA29" s="12" t="n">
        <x:f>ROUND(MAX(0,MIN(100,0.30*L29+0.20*K29+0.15*V29+0.15*W29+0.10*S29+0.10*(100-M29))),0)</x:f>
        <x:v>50</x:v>
      </x:c>
      <x:c r="AB29" s="12" t="n">
        <x:f>ROUND(MAX(0,MIN(100,0.30*M29+0.25*R29+0.20*Q29+0.15*K29+0.10*(100-T29))),0)</x:f>
        <x:v>24</x:v>
      </x:c>
      <x:c r="AC29" s="12" t="n">
        <x:f>ROUND(MAX(0,MIN(100,0.55*T29+0.15*S29+0.10*N29+0.10*V29+0.10*W29)),0)</x:f>
        <x:v>66</x:v>
      </x:c>
      <x:c r="AD29" s="12" t="n">
        <x:f>ROUND(MAX(0,MIN(100,0.25*O29+0.25*Q29+0.20*Y29+0.15*U29+0.15*(100-L29))),0)</x:f>
        <x:v>44</x:v>
      </x:c>
      <x:c r="AE29" s="12" t="n">
        <x:f>ROUND(MAX(0,MIN(100,0.30*Y29+0.25*S29+0.15*Q29+0.15*T29+0.15*X29)),0)</x:f>
        <x:v>57</x:v>
      </x:c>
      <x:c r="AF29" s="12" t="n">
        <x:f>ROUND(MAX(0,MIN(100,0.65*X29+0.35*Y29)),0)</x:f>
        <x:v>60</x:v>
      </x:c>
      <x:c r="AG29" s="12" t="str">
        <x:v>https://wikiwiki.jp/poke-unite/%E3%83%95%E3%82%B7%E3%82%AE%E3%83%90%E3%83%8A</x:v>
      </x:c>
      <x:c r="AH29" s="12" t="str">
        <x:v>「はなびらのまい」で前に出て戦い、回復しながら近い距離で粘る戦い方です。アタック型らしからぬ打たれ強さで、殴り合いを長く続けたい人に向いています。</x:v>
      </x:c>
      <x:c r="AI29" s="12" t="str">
        <x:v>前線を支える・長く戦う・近距離で戦う</x:v>
      </x:c>
      <x:c r="AJ29" s="12" t="n">
        <x:v>0</x:v>
      </x:c>
    </x:row>
    <x:row r="30">
      <x:c r="A30" s="12" t="str">
        <x:v>マフォクシー</x:v>
      </x:c>
      <x:c r="B30" s="12" t="str">
        <x:v>アタック型</x:v>
      </x:c>
      <x:c r="C30" s="12" t="str">
        <x:v>マフォクシー-1</x:v>
      </x:c>
      <x:c r="D30" s="12" t="str">
        <x:v>ほのおのうず</x:v>
      </x:c>
      <x:c r="E30" s="12" t="str">
        <x:v>BurstMage</x:v>
      </x:c>
      <x:c r="F30" s="12" t="str">
        <x:v>BurstMage</x:v>
      </x:c>
      <x:c r="G30" s="12"/>
      <x:c r="H30" s="12" t="str">
        <x:v>立ち位置・戦闘距離・役割が大きく変わるため別プロファイル</x:v>
      </x:c>
      <x:c r="I30" s="12" t="str">
        <x:v>高</x:v>
      </x:c>
      <x:c r="J30" s="12" t="str">
        <x:v>2026-09-30</x:v>
      </x:c>
      <x:c r="K30" s="12" t="n">
        <x:v>30</x:v>
      </x:c>
      <x:c r="L30" s="12" t="n">
        <x:v>5</x:v>
      </x:c>
      <x:c r="M30" s="12" t="n">
        <x:v>35</x:v>
      </x:c>
      <x:c r="N30" s="12" t="n">
        <x:v>0</x:v>
      </x:c>
      <x:c r="O30" s="12" t="n">
        <x:v>100</x:v>
      </x:c>
      <x:c r="P30" s="12" t="n">
        <x:v>10</x:v>
      </x:c>
      <x:c r="Q30" s="12" t="n">
        <x:v>95</x:v>
      </x:c>
      <x:c r="R30" s="12" t="n">
        <x:v>10</x:v>
      </x:c>
      <x:c r="S30" s="12" t="n">
        <x:v>20</x:v>
      </x:c>
      <x:c r="T30" s="12" t="n">
        <x:v>35</x:v>
      </x:c>
      <x:c r="U30" s="12" t="n">
        <x:v>65</x:v>
      </x:c>
      <x:c r="V30" s="12" t="n">
        <x:v>60</x:v>
      </x:c>
      <x:c r="W30" s="12" t="n">
        <x:v>25</x:v>
      </x:c>
      <x:c r="X30" s="12" t="n">
        <x:v>60</x:v>
      </x:c>
      <x:c r="Y30" s="12" t="n">
        <x:v>80</x:v>
      </x:c>
      <x:c r="Z30" s="12" t="n">
        <x:f>ROUND(MAX(0,MIN(100,0.40*K30+0.20*L30+0.10*S30+0.15*V30+0.15*Y30)),0)</x:f>
        <x:v>36</x:v>
      </x:c>
      <x:c r="AA30" s="12" t="n">
        <x:f>ROUND(MAX(0,MIN(100,0.30*L30+0.20*K30+0.15*V30+0.15*W30+0.10*S30+0.10*(100-M30))),0)</x:f>
        <x:v>29</x:v>
      </x:c>
      <x:c r="AB30" s="12" t="n">
        <x:f>ROUND(MAX(0,MIN(100,0.30*M30+0.25*R30+0.20*Q30+0.15*K30+0.10*(100-T30))),0)</x:f>
        <x:v>43</x:v>
      </x:c>
      <x:c r="AC30" s="12" t="n">
        <x:f>ROUND(MAX(0,MIN(100,0.55*T30+0.15*S30+0.10*N30+0.10*V30+0.10*W30)),0)</x:f>
        <x:v>31</x:v>
      </x:c>
      <x:c r="AD30" s="12" t="n">
        <x:f>ROUND(MAX(0,MIN(100,0.25*O30+0.25*Q30+0.20*Y30+0.15*U30+0.15*(100-L30))),0)</x:f>
        <x:v>89</x:v>
      </x:c>
      <x:c r="AE30" s="12" t="n">
        <x:f>ROUND(MAX(0,MIN(100,0.30*Y30+0.25*S30+0.15*Q30+0.15*T30+0.15*X30)),0)</x:f>
        <x:v>58</x:v>
      </x:c>
      <x:c r="AF30" s="12" t="n">
        <x:f>ROUND(MAX(0,MIN(100,0.65*X30+0.35*Y30)),0)</x:f>
        <x:v>67</x:v>
      </x:c>
      <x:c r="AG30" s="12" t="str">
        <x:v>https://wikiwiki.jp/poke-unite/%E3%83%9E%E3%83%95%E3%82%A9%E3%82%AF%E3%82%B7%E3%83%BC</x:v>
      </x:c>
      <x:c r="AH30" s="12" t="str">
        <x:v>「ほのおのうず」で相手を閉じ込め、遠くから技を回して戦場を支配する戦い方です。技の当て方と置き場所を考え、相手の動きを先回りしたい人に向いています。</x:v>
      </x:c>
      <x:c r="AI30" s="12" t="str">
        <x:v>動きを止める・遠くから削る・先を読んで動く</x:v>
      </x:c>
      <x:c r="AJ30" s="12" t="n">
        <x:v>0</x:v>
      </x:c>
    </x:row>
    <x:row r="31">
      <x:c r="A31" s="12" t="str">
        <x:v>マフォクシー</x:v>
      </x:c>
      <x:c r="B31" s="12" t="str">
        <x:v>アタック型</x:v>
      </x:c>
      <x:c r="C31" s="12" t="str">
        <x:v>マフォクシー-2</x:v>
      </x:c>
      <x:c r="D31" s="12" t="str">
        <x:v>ニトロチャージ</x:v>
      </x:c>
      <x:c r="E31" s="12" t="str">
        <x:v>BattleMage</x:v>
      </x:c>
      <x:c r="F31" s="12" t="str">
        <x:v>BattleMage</x:v>
      </x:c>
      <x:c r="G31" s="12"/>
      <x:c r="H31" s="12" t="str">
        <x:v>立ち位置・戦闘距離・役割が大きく変わるため別プロファイル</x:v>
      </x:c>
      <x:c r="I31" s="12" t="str">
        <x:v>高</x:v>
      </x:c>
      <x:c r="J31" s="12" t="str">
        <x:v>2026-09-30</x:v>
      </x:c>
      <x:c r="K31" s="12" t="n">
        <x:v>50</x:v>
      </x:c>
      <x:c r="L31" s="12" t="n">
        <x:v>35</x:v>
      </x:c>
      <x:c r="M31" s="12" t="n">
        <x:v>30</x:v>
      </x:c>
      <x:c r="N31" s="12" t="n">
        <x:v>30</x:v>
      </x:c>
      <x:c r="O31" s="12" t="n">
        <x:v>65</x:v>
      </x:c>
      <x:c r="P31" s="12" t="n">
        <x:v>70</x:v>
      </x:c>
      <x:c r="Q31" s="12" t="n">
        <x:v>40</x:v>
      </x:c>
      <x:c r="R31" s="12" t="n">
        <x:v>10</x:v>
      </x:c>
      <x:c r="S31" s="12" t="n">
        <x:v>70</x:v>
      </x:c>
      <x:c r="T31" s="12" t="n">
        <x:v>60</x:v>
      </x:c>
      <x:c r="U31" s="12" t="n">
        <x:v>55</x:v>
      </x:c>
      <x:c r="V31" s="12" t="n">
        <x:v>65</x:v>
      </x:c>
      <x:c r="W31" s="12" t="n">
        <x:v>45</x:v>
      </x:c>
      <x:c r="X31" s="12" t="n">
        <x:v>75</x:v>
      </x:c>
      <x:c r="Y31" s="12" t="n">
        <x:v>65</x:v>
      </x:c>
      <x:c r="Z31" s="12" t="n">
        <x:f>ROUND(MAX(0,MIN(100,0.40*K31+0.20*L31+0.10*S31+0.15*V31+0.15*Y31)),0)</x:f>
        <x:v>54</x:v>
      </x:c>
      <x:c r="AA31" s="12" t="n">
        <x:f>ROUND(MAX(0,MIN(100,0.30*L31+0.20*K31+0.15*V31+0.15*W31+0.10*S31+0.10*(100-M31))),0)</x:f>
        <x:v>51</x:v>
      </x:c>
      <x:c r="AB31" s="12" t="n">
        <x:f>ROUND(MAX(0,MIN(100,0.30*M31+0.25*R31+0.20*Q31+0.15*K31+0.10*(100-T31))),0)</x:f>
        <x:v>31</x:v>
      </x:c>
      <x:c r="AC31" s="12" t="n">
        <x:f>ROUND(MAX(0,MIN(100,0.55*T31+0.15*S31+0.10*N31+0.10*V31+0.10*W31)),0)</x:f>
        <x:v>58</x:v>
      </x:c>
      <x:c r="AD31" s="12" t="n">
        <x:f>ROUND(MAX(0,MIN(100,0.25*O31+0.25*Q31+0.20*Y31+0.15*U31+0.15*(100-L31))),0)</x:f>
        <x:v>57</x:v>
      </x:c>
      <x:c r="AE31" s="12" t="n">
        <x:f>ROUND(MAX(0,MIN(100,0.30*Y31+0.25*S31+0.15*Q31+0.15*T31+0.15*X31)),0)</x:f>
        <x:v>63</x:v>
      </x:c>
      <x:c r="AF31" s="12" t="n">
        <x:f>ROUND(MAX(0,MIN(100,0.65*X31+0.35*Y31)),0)</x:f>
        <x:v>72</x:v>
      </x:c>
      <x:c r="AG31" s="12" t="str">
        <x:v>https://wikiwiki.jp/poke-unite/%E3%83%9E%E3%83%95%E3%82%A9%E3%82%AF%E3%82%B7%E3%83%BC</x:v>
      </x:c>
      <x:c r="AH31" s="12" t="str">
        <x:v>「ニトロチャージ」で動き回りながら技を当て、出入りを繰り返して戦う戦い方です。立ち止まらずに位置を変え続ける、細かい操作が好きな人に向いています。</x:v>
      </x:c>
      <x:c r="AI31" s="12" t="str">
        <x:v>操作を極める・マップを駆け回る・長く戦う</x:v>
      </x:c>
      <x:c r="AJ31" s="12" t="n">
        <x:v>0</x:v>
      </x:c>
    </x:row>
    <x:row r="32">
      <x:c r="A32" s="12" t="str">
        <x:v>ミュウ</x:v>
      </x:c>
      <x:c r="B32" s="12" t="str">
        <x:v>アタック型</x:v>
      </x:c>
      <x:c r="C32" s="12" t="str">
        <x:v>ミュウ-1</x:v>
      </x:c>
      <x:c r="D32" s="12" t="str">
        <x:v>共通</x:v>
      </x:c>
      <x:c r="E32" s="12" t="str">
        <x:v>Specialist / Artillery</x:v>
      </x:c>
      <x:c r="F32" s="12" t="str">
        <x:v>Specialist</x:v>
      </x:c>
      <x:c r="G32" s="12" t="str">
        <x:v>Artillery</x:v>
      </x:c>
      <x:c r="H32" s="12" t="str">
        <x:v>技で細部は変わるが、診断上のプレイ人格は大きく変わらないため統合</x:v>
      </x:c>
      <x:c r="I32" s="12" t="str">
        <x:v>高</x:v>
      </x:c>
      <x:c r="J32" s="12" t="str">
        <x:v>2026-09-30</x:v>
      </x:c>
      <x:c r="K32" s="12" t="n">
        <x:v>20</x:v>
      </x:c>
      <x:c r="L32" s="12" t="n">
        <x:v>10</x:v>
      </x:c>
      <x:c r="M32" s="12" t="n">
        <x:v>25</x:v>
      </x:c>
      <x:c r="N32" s="12" t="n">
        <x:v>0</x:v>
      </x:c>
      <x:c r="O32" s="12" t="n">
        <x:v>95</x:v>
      </x:c>
      <x:c r="P32" s="12" t="n">
        <x:v>35</x:v>
      </x:c>
      <x:c r="Q32" s="12" t="n">
        <x:v>70</x:v>
      </x:c>
      <x:c r="R32" s="12" t="n">
        <x:v>25</x:v>
      </x:c>
      <x:c r="S32" s="12" t="n">
        <x:v>50</x:v>
      </x:c>
      <x:c r="T32" s="12" t="n">
        <x:v>60</x:v>
      </x:c>
      <x:c r="U32" s="12" t="n">
        <x:v>55</x:v>
      </x:c>
      <x:c r="V32" s="12" t="n">
        <x:v>65</x:v>
      </x:c>
      <x:c r="W32" s="12" t="n">
        <x:v>30</x:v>
      </x:c>
      <x:c r="X32" s="12" t="n">
        <x:v>100</x:v>
      </x:c>
      <x:c r="Y32" s="12" t="n">
        <x:v>100</x:v>
      </x:c>
      <x:c r="Z32" s="12" t="n">
        <x:f>ROUND(MAX(0,MIN(100,0.40*K32+0.20*L32+0.10*S32+0.15*V32+0.15*Y32)),0)</x:f>
        <x:v>40</x:v>
      </x:c>
      <x:c r="AA32" s="12" t="n">
        <x:f>ROUND(MAX(0,MIN(100,0.30*L32+0.20*K32+0.15*V32+0.15*W32+0.10*S32+0.10*(100-M32))),0)</x:f>
        <x:v>34</x:v>
      </x:c>
      <x:c r="AB32" s="12" t="n">
        <x:f>ROUND(MAX(0,MIN(100,0.30*M32+0.25*R32+0.20*Q32+0.15*K32+0.10*(100-T32))),0)</x:f>
        <x:v>35</x:v>
      </x:c>
      <x:c r="AC32" s="12" t="n">
        <x:f>ROUND(MAX(0,MIN(100,0.55*T32+0.15*S32+0.10*N32+0.10*V32+0.10*W32)),0)</x:f>
        <x:v>50</x:v>
      </x:c>
      <x:c r="AD32" s="12" t="n">
        <x:f>ROUND(MAX(0,MIN(100,0.25*O32+0.25*Q32+0.20*Y32+0.15*U32+0.15*(100-L32))),0)</x:f>
        <x:v>83</x:v>
      </x:c>
      <x:c r="AE32" s="12" t="n">
        <x:f>ROUND(MAX(0,MIN(100,0.30*Y32+0.25*S32+0.15*Q32+0.15*T32+0.15*X32)),0)</x:f>
        <x:v>77</x:v>
      </x:c>
      <x:c r="AF32" s="12" t="n">
        <x:f>ROUND(MAX(0,MIN(100,0.65*X32+0.35*Y32)),0)</x:f>
        <x:v>100</x:v>
      </x:c>
      <x:c r="AG32" s="12" t="str">
        <x:v>https://wikiwiki.jp/poke-unite/%E3%83%9F%E3%83%A5%E3%82%A6</x:v>
      </x:c>
      <x:c r="AH32" s="12" t="str">
        <x:v>戦闘中でも技を入れ替えられ、状況に合わせて役割を変えられる万能のアタッカーです。決まった正解をなぞるより、その場その場で最適な技を選びたい人に向いています。</x:v>
      </x:c>
      <x:c r="AI32" s="12" t="str">
        <x:v>先を読んで動く・操作を極める・遠くから削る</x:v>
      </x:c>
      <x:c r="AJ32" s="12" t="n">
        <x:v>0</x:v>
      </x:c>
    </x:row>
    <x:row r="33">
      <x:c r="A33" s="12" t="str">
        <x:v>ミュウツー(Y)</x:v>
      </x:c>
      <x:c r="B33" s="12" t="str">
        <x:v>アタック型</x:v>
      </x:c>
      <x:c r="C33" s="12" t="str">
        <x:v>ミュウツー(Y)-1</x:v>
      </x:c>
      <x:c r="D33" s="12" t="str">
        <x:v>共通</x:v>
      </x:c>
      <x:c r="E33" s="12" t="str">
        <x:v>Marksman / BattleMage</x:v>
      </x:c>
      <x:c r="F33" s="12" t="str">
        <x:v>Marksman</x:v>
      </x:c>
      <x:c r="G33" s="12" t="str">
        <x:v>BattleMage</x:v>
      </x:c>
      <x:c r="H33" s="12" t="str">
        <x:v>技で細部は変わるが、診断上のプレイ人格は大きく変わらないため統合</x:v>
      </x:c>
      <x:c r="I33" s="12" t="str">
        <x:v>高</x:v>
      </x:c>
      <x:c r="J33" s="12" t="str">
        <x:v>2026-09-30</x:v>
      </x:c>
      <x:c r="K33" s="12" t="n">
        <x:v>30</x:v>
      </x:c>
      <x:c r="L33" s="12" t="n">
        <x:v>20</x:v>
      </x:c>
      <x:c r="M33" s="12" t="n">
        <x:v>10</x:v>
      </x:c>
      <x:c r="N33" s="12" t="n">
        <x:v>10</x:v>
      </x:c>
      <x:c r="O33" s="12" t="n">
        <x:v>65</x:v>
      </x:c>
      <x:c r="P33" s="12" t="n">
        <x:v>95</x:v>
      </x:c>
      <x:c r="Q33" s="12" t="n">
        <x:v>40</x:v>
      </x:c>
      <x:c r="R33" s="12" t="n">
        <x:v>5</x:v>
      </x:c>
      <x:c r="S33" s="12" t="n">
        <x:v>50</x:v>
      </x:c>
      <x:c r="T33" s="12" t="n">
        <x:v>60</x:v>
      </x:c>
      <x:c r="U33" s="12" t="n">
        <x:v>75</x:v>
      </x:c>
      <x:c r="V33" s="12" t="n">
        <x:v>85</x:v>
      </x:c>
      <x:c r="W33" s="12" t="n">
        <x:v>55</x:v>
      </x:c>
      <x:c r="X33" s="12" t="n">
        <x:v>45</x:v>
      </x:c>
      <x:c r="Y33" s="12" t="n">
        <x:v>65</x:v>
      </x:c>
      <x:c r="Z33" s="12" t="n">
        <x:f>ROUND(MAX(0,MIN(100,0.40*K33+0.20*L33+0.10*S33+0.15*V33+0.15*Y33)),0)</x:f>
        <x:v>44</x:v>
      </x:c>
      <x:c r="AA33" s="12" t="n">
        <x:f>ROUND(MAX(0,MIN(100,0.30*L33+0.20*K33+0.15*V33+0.15*W33+0.10*S33+0.10*(100-M33))),0)</x:f>
        <x:v>47</x:v>
      </x:c>
      <x:c r="AB33" s="12" t="n">
        <x:f>ROUND(MAX(0,MIN(100,0.30*M33+0.25*R33+0.20*Q33+0.15*K33+0.10*(100-T33))),0)</x:f>
        <x:v>21</x:v>
      </x:c>
      <x:c r="AC33" s="12" t="n">
        <x:f>ROUND(MAX(0,MIN(100,0.55*T33+0.15*S33+0.10*N33+0.10*V33+0.10*W33)),0)</x:f>
        <x:v>56</x:v>
      </x:c>
      <x:c r="AD33" s="12" t="n">
        <x:f>ROUND(MAX(0,MIN(100,0.25*O33+0.25*Q33+0.20*Y33+0.15*U33+0.15*(100-L33))),0)</x:f>
        <x:v>63</x:v>
      </x:c>
      <x:c r="AE33" s="12" t="n">
        <x:f>ROUND(MAX(0,MIN(100,0.30*Y33+0.25*S33+0.15*Q33+0.15*T33+0.15*X33)),0)</x:f>
        <x:v>54</x:v>
      </x:c>
      <x:c r="AF33" s="12" t="n">
        <x:f>ROUND(MAX(0,MIN(100,0.65*X33+0.35*Y33)),0)</x:f>
        <x:v>52</x:v>
      </x:c>
      <x:c r="AG33" s="12" t="str">
        <x:v>https://wikiwiki.jp/poke-unite/%E3%83%9F%E3%83%A5%E3%82%A6%E3%83%84%E3%83%BC(Y)</x:v>
      </x:c>
      <x:c r="AH33" s="12" t="str">
        <x:v>メガミュウツーYにメガシンカして、遠くから強力な技と通常攻撃を浴びせ続ける戦い方です。メガシンカまで育てたら、立ち位置を守りながら長い撃ち合いで火力を出したい人に向いています。</x:v>
      </x:c>
      <x:c r="AI33" s="12" t="str">
        <x:v>長く戦う・取り切りが得意・育つと化ける</x:v>
      </x:c>
      <x:c r="AJ33" s="12" t="n">
        <x:v>0</x:v>
      </x:c>
    </x:row>
    <x:row r="34">
      <x:c r="A34" s="12" t="str">
        <x:v>ミライドン</x:v>
      </x:c>
      <x:c r="B34" s="12" t="str">
        <x:v>アタック型</x:v>
      </x:c>
      <x:c r="C34" s="12" t="str">
        <x:v>ミライドン-1</x:v>
      </x:c>
      <x:c r="D34" s="12" t="str">
        <x:v>チャージビーム</x:v>
      </x:c>
      <x:c r="E34" s="12" t="str">
        <x:v>Artillery</x:v>
      </x:c>
      <x:c r="F34" s="12" t="str">
        <x:v>Artillery</x:v>
      </x:c>
      <x:c r="G34" s="12"/>
      <x:c r="H34" s="12" t="str">
        <x:v>立ち位置・戦闘距離・役割が大きく変わるため別プロファイル</x:v>
      </x:c>
      <x:c r="I34" s="12" t="str">
        <x:v>高</x:v>
      </x:c>
      <x:c r="J34" s="12" t="str">
        <x:v>2026-09-30</x:v>
      </x:c>
      <x:c r="K34" s="12" t="n">
        <x:v>15</x:v>
      </x:c>
      <x:c r="L34" s="12" t="n">
        <x:v>5</x:v>
      </x:c>
      <x:c r="M34" s="12" t="n">
        <x:v>15</x:v>
      </x:c>
      <x:c r="N34" s="12" t="n">
        <x:v>5</x:v>
      </x:c>
      <x:c r="O34" s="12" t="n">
        <x:v>100</x:v>
      </x:c>
      <x:c r="P34" s="12" t="n">
        <x:v>40</x:v>
      </x:c>
      <x:c r="Q34" s="12" t="n">
        <x:v>55</x:v>
      </x:c>
      <x:c r="R34" s="12" t="n">
        <x:v>5</x:v>
      </x:c>
      <x:c r="S34" s="12" t="n">
        <x:v>15</x:v>
      </x:c>
      <x:c r="T34" s="12" t="n">
        <x:v>45</x:v>
      </x:c>
      <x:c r="U34" s="12" t="n">
        <x:v>65</x:v>
      </x:c>
      <x:c r="V34" s="12" t="n">
        <x:v>80</x:v>
      </x:c>
      <x:c r="W34" s="12" t="n">
        <x:v>20</x:v>
      </x:c>
      <x:c r="X34" s="12" t="n">
        <x:v>80</x:v>
      </x:c>
      <x:c r="Y34" s="12" t="n">
        <x:v>80</x:v>
      </x:c>
      <x:c r="Z34" s="12" t="n">
        <x:f>ROUND(MAX(0,MIN(100,0.40*K34+0.20*L34+0.10*S34+0.15*V34+0.15*Y34)),0)</x:f>
        <x:v>33</x:v>
      </x:c>
      <x:c r="AA34" s="12" t="n">
        <x:f>ROUND(MAX(0,MIN(100,0.30*L34+0.20*K34+0.15*V34+0.15*W34+0.10*S34+0.10*(100-M34))),0)</x:f>
        <x:v>30</x:v>
      </x:c>
      <x:c r="AB34" s="12" t="n">
        <x:f>ROUND(MAX(0,MIN(100,0.30*M34+0.25*R34+0.20*Q34+0.15*K34+0.10*(100-T34))),0)</x:f>
        <x:v>25</x:v>
      </x:c>
      <x:c r="AC34" s="12" t="n">
        <x:f>ROUND(MAX(0,MIN(100,0.55*T34+0.15*S34+0.10*N34+0.10*V34+0.10*W34)),0)</x:f>
        <x:v>38</x:v>
      </x:c>
      <x:c r="AD34" s="12" t="n">
        <x:f>ROUND(MAX(0,MIN(100,0.25*O34+0.25*Q34+0.20*Y34+0.15*U34+0.15*(100-L34))),0)</x:f>
        <x:v>79</x:v>
      </x:c>
      <x:c r="AE34" s="12" t="n">
        <x:f>ROUND(MAX(0,MIN(100,0.30*Y34+0.25*S34+0.15*Q34+0.15*T34+0.15*X34)),0)</x:f>
        <x:v>55</x:v>
      </x:c>
      <x:c r="AF34" s="12" t="n">
        <x:f>ROUND(MAX(0,MIN(100,0.65*X34+0.35*Y34)),0)</x:f>
        <x:v>80</x:v>
      </x:c>
      <x:c r="AG34" s="12" t="str">
        <x:v>https://wikiwiki.jp/poke-unite/%E3%83%9F%E3%83%A9%E3%82%A4%E3%83%89%E3%83%B3</x:v>
      </x:c>
      <x:c r="AH34" s="12" t="str">
        <x:v>「チャージビーム」で長い距離から相手を撃ち抜き、機動力より射程で勝負する戦い方です。後ろの位置を守りながら、狙い澄ました一撃を通したい人に向いています。</x:v>
      </x:c>
      <x:c r="AI34" s="12" t="str">
        <x:v>遠くから削る・取り切りが得意・操作を極める</x:v>
      </x:c>
      <x:c r="AJ34" s="12" t="n">
        <x:v>0</x:v>
      </x:c>
    </x:row>
    <x:row r="35">
      <x:c r="A35" s="12" t="str">
        <x:v>ミライドン</x:v>
      </x:c>
      <x:c r="B35" s="12" t="str">
        <x:v>アタック型</x:v>
      </x:c>
      <x:c r="C35" s="12" t="str">
        <x:v>ミライドン-2</x:v>
      </x:c>
      <x:c r="D35" s="12" t="str">
        <x:v>イナズマドライブ</x:v>
      </x:c>
      <x:c r="E35" s="12" t="str">
        <x:v>Skirmisher / Assassin</x:v>
      </x:c>
      <x:c r="F35" s="12" t="str">
        <x:v>Skirmisher</x:v>
      </x:c>
      <x:c r="G35" s="12" t="str">
        <x:v>Assassin</x:v>
      </x:c>
      <x:c r="H35" s="12" t="str">
        <x:v>立ち位置・戦闘距離・役割が大きく変わるため別プロファイル</x:v>
      </x:c>
      <x:c r="I35" s="12" t="str">
        <x:v>高</x:v>
      </x:c>
      <x:c r="J35" s="12" t="str">
        <x:v>2026-09-30</x:v>
      </x:c>
      <x:c r="K35" s="12" t="n">
        <x:v>60</x:v>
      </x:c>
      <x:c r="L35" s="12" t="n">
        <x:v>90</x:v>
      </x:c>
      <x:c r="M35" s="12" t="n">
        <x:v>15</x:v>
      </x:c>
      <x:c r="N35" s="12" t="n">
        <x:v>45</x:v>
      </x:c>
      <x:c r="O35" s="12" t="n">
        <x:v>0</x:v>
      </x:c>
      <x:c r="P35" s="12" t="n">
        <x:v>45</x:v>
      </x:c>
      <x:c r="Q35" s="12" t="n">
        <x:v>25</x:v>
      </x:c>
      <x:c r="R35" s="12" t="n">
        <x:v>5</x:v>
      </x:c>
      <x:c r="S35" s="12" t="n">
        <x:v>100</x:v>
      </x:c>
      <x:c r="T35" s="12" t="n">
        <x:v>65</x:v>
      </x:c>
      <x:c r="U35" s="12" t="n">
        <x:v>55</x:v>
      </x:c>
      <x:c r="V35" s="12" t="n">
        <x:v>75</x:v>
      </x:c>
      <x:c r="W35" s="12" t="n">
        <x:v>75</x:v>
      </x:c>
      <x:c r="X35" s="12" t="n">
        <x:v>80</x:v>
      </x:c>
      <x:c r="Y35" s="12" t="n">
        <x:v>75</x:v>
      </x:c>
      <x:c r="Z35" s="12" t="n">
        <x:f>ROUND(MAX(0,MIN(100,0.40*K35+0.20*L35+0.10*S35+0.15*V35+0.15*Y35)),0)</x:f>
        <x:v>75</x:v>
      </x:c>
      <x:c r="AA35" s="12" t="n">
        <x:f>ROUND(MAX(0,MIN(100,0.30*L35+0.20*K35+0.15*V35+0.15*W35+0.10*S35+0.10*(100-M35))),0)</x:f>
        <x:v>80</x:v>
      </x:c>
      <x:c r="AB35" s="12" t="n">
        <x:f>ROUND(MAX(0,MIN(100,0.30*M35+0.25*R35+0.20*Q35+0.15*K35+0.10*(100-T35))),0)</x:f>
        <x:v>23</x:v>
      </x:c>
      <x:c r="AC35" s="12" t="n">
        <x:f>ROUND(MAX(0,MIN(100,0.55*T35+0.15*S35+0.10*N35+0.10*V35+0.10*W35)),0)</x:f>
        <x:v>70</x:v>
      </x:c>
      <x:c r="AD35" s="12" t="n">
        <x:f>ROUND(MAX(0,MIN(100,0.25*O35+0.25*Q35+0.20*Y35+0.15*U35+0.15*(100-L35))),0)</x:f>
        <x:v>31</x:v>
      </x:c>
      <x:c r="AE35" s="12" t="n">
        <x:f>ROUND(MAX(0,MIN(100,0.30*Y35+0.25*S35+0.15*Q35+0.15*T35+0.15*X35)),0)</x:f>
        <x:v>73</x:v>
      </x:c>
      <x:c r="AF35" s="12" t="n">
        <x:f>ROUND(MAX(0,MIN(100,0.65*X35+0.35*Y35)),0)</x:f>
        <x:v>78</x:v>
      </x:c>
      <x:c r="AG35" s="12" t="str">
        <x:v>https://wikiwiki.jp/poke-unite/%E3%83%9F%E3%83%A9%E3%82%A4%E3%83%89%E3%83%B3</x:v>
      </x:c>
      <x:c r="AH35" s="12" t="str">
        <x:v>「イナズマドライブ」で高速で走り抜け、相手の後衛やゴールまで一気に駆け込む戦い方です。アタック型でも前に出て、スピードで戦場をかき回したい人に向いています。</x:v>
      </x:c>
      <x:c r="AI35" s="12" t="str">
        <x:v>マップを駆け回る・後衛まで踏み込む・空いたゴールを狙う</x:v>
      </x:c>
      <x:c r="AJ35" s="12" t="n">
        <x:v>0</x:v>
      </x:c>
    </x:row>
    <x:row r="36">
      <x:c r="A36" s="12" t="str">
        <x:v>ラウドボーン</x:v>
      </x:c>
      <x:c r="B36" s="12" t="str">
        <x:v>アタック型</x:v>
      </x:c>
      <x:c r="C36" s="12" t="str">
        <x:v>ラウドボーン-1</x:v>
      </x:c>
      <x:c r="D36" s="12" t="str">
        <x:v>共通</x:v>
      </x:c>
      <x:c r="E36" s="12" t="str">
        <x:v>Artillery</x:v>
      </x:c>
      <x:c r="F36" s="12" t="str">
        <x:v>Artillery</x:v>
      </x:c>
      <x:c r="G36" s="12"/>
      <x:c r="H36" s="12" t="str">
        <x:v>技で細部は変わるが、診断上のプレイ人格は大きく変わらないため統合</x:v>
      </x:c>
      <x:c r="I36" s="12" t="str">
        <x:v>中</x:v>
      </x:c>
      <x:c r="J36" s="12" t="str">
        <x:v>2026-09-30</x:v>
      </x:c>
      <x:c r="K36" s="12" t="n">
        <x:v>15</x:v>
      </x:c>
      <x:c r="L36" s="12" t="n">
        <x:v>5</x:v>
      </x:c>
      <x:c r="M36" s="12" t="n">
        <x:v>15</x:v>
      </x:c>
      <x:c r="N36" s="12" t="n">
        <x:v>5</x:v>
      </x:c>
      <x:c r="O36" s="12" t="n">
        <x:v>100</x:v>
      </x:c>
      <x:c r="P36" s="12" t="n">
        <x:v>5</x:v>
      </x:c>
      <x:c r="Q36" s="12" t="n">
        <x:v>45</x:v>
      </x:c>
      <x:c r="R36" s="12" t="n">
        <x:v>5</x:v>
      </x:c>
      <x:c r="S36" s="12" t="n">
        <x:v>0</x:v>
      </x:c>
      <x:c r="T36" s="12" t="n">
        <x:v>50</x:v>
      </x:c>
      <x:c r="U36" s="12" t="n">
        <x:v>60</x:v>
      </x:c>
      <x:c r="V36" s="12" t="n">
        <x:v>80</x:v>
      </x:c>
      <x:c r="W36" s="12" t="n">
        <x:v>20</x:v>
      </x:c>
      <x:c r="X36" s="12" t="n">
        <x:v>80</x:v>
      </x:c>
      <x:c r="Y36" s="12" t="n">
        <x:v>80</x:v>
      </x:c>
      <x:c r="Z36" s="12" t="n">
        <x:f>ROUND(MAX(0,MIN(100,0.40*K36+0.20*L36+0.10*S36+0.15*V36+0.15*Y36)),0)</x:f>
        <x:v>31</x:v>
      </x:c>
      <x:c r="AA36" s="12" t="n">
        <x:f>ROUND(MAX(0,MIN(100,0.30*L36+0.20*K36+0.15*V36+0.15*W36+0.10*S36+0.10*(100-M36))),0)</x:f>
        <x:v>28</x:v>
      </x:c>
      <x:c r="AB36" s="12" t="n">
        <x:f>ROUND(MAX(0,MIN(100,0.30*M36+0.25*R36+0.20*Q36+0.15*K36+0.10*(100-T36))),0)</x:f>
        <x:v>22</x:v>
      </x:c>
      <x:c r="AC36" s="12" t="n">
        <x:f>ROUND(MAX(0,MIN(100,0.55*T36+0.15*S36+0.10*N36+0.10*V36+0.10*W36)),0)</x:f>
        <x:v>38</x:v>
      </x:c>
      <x:c r="AD36" s="12" t="n">
        <x:f>ROUND(MAX(0,MIN(100,0.25*O36+0.25*Q36+0.20*Y36+0.15*U36+0.15*(100-L36))),0)</x:f>
        <x:v>76</x:v>
      </x:c>
      <x:c r="AE36" s="12" t="n">
        <x:f>ROUND(MAX(0,MIN(100,0.30*Y36+0.25*S36+0.15*Q36+0.15*T36+0.15*X36)),0)</x:f>
        <x:v>50</x:v>
      </x:c>
      <x:c r="AF36" s="12" t="n">
        <x:f>ROUND(MAX(0,MIN(100,0.65*X36+0.35*Y36)),0)</x:f>
        <x:v>80</x:v>
      </x:c>
      <x:c r="AG36" s="12" t="str">
        <x:v>https://wikiwiki.jp/poke-unite/%E3%83%A9%E3%82%A6%E3%83%89%E3%83%9C%E3%83%BC%E3%83%B3</x:v>
      </x:c>
      <x:c r="AH36" s="12" t="str">
        <x:v>「ハイパーボイス」を野生ポケモンや相手に伝わせて射程を伸ばし、超射程のユナイトわざで遠くから戦局を変えるアタッカーです。移動わざがないので、味方の後ろで位置を選び、ここぞという場面で大技を撃ち込みたい人に向いています。</x:v>
      </x:c>
      <x:c r="AI36" s="12" t="str">
        <x:v>遠くから削る・陣取って戦う・一瞬で倒し切る</x:v>
      </x:c>
      <x:c r="AJ36" s="12" t="n">
        <x:v>0</x:v>
      </x:c>
    </x:row>
    <x:row r="37">
      <x:c r="A37" s="12" t="str">
        <x:v>ラティオス</x:v>
      </x:c>
      <x:c r="B37" s="12" t="str">
        <x:v>アタック型</x:v>
      </x:c>
      <x:c r="C37" s="12" t="str">
        <x:v>ラティオス-1</x:v>
      </x:c>
      <x:c r="D37" s="12" t="str">
        <x:v>共通</x:v>
      </x:c>
      <x:c r="E37" s="12" t="str">
        <x:v>BurstMage</x:v>
      </x:c>
      <x:c r="F37" s="12" t="str">
        <x:v>BurstMage</x:v>
      </x:c>
      <x:c r="G37" s="12"/>
      <x:c r="H37" s="12" t="str">
        <x:v>技で細部は変わるが、診断上のプレイ人格は大きく変わらないため統合</x:v>
      </x:c>
      <x:c r="I37" s="12" t="str">
        <x:v>高</x:v>
      </x:c>
      <x:c r="J37" s="12" t="str">
        <x:v>2026-09-30</x:v>
      </x:c>
      <x:c r="K37" s="12" t="n">
        <x:v>30</x:v>
      </x:c>
      <x:c r="L37" s="12" t="n">
        <x:v>5</x:v>
      </x:c>
      <x:c r="M37" s="12" t="n">
        <x:v>35</x:v>
      </x:c>
      <x:c r="N37" s="12" t="n">
        <x:v>0</x:v>
      </x:c>
      <x:c r="O37" s="12" t="n">
        <x:v>90</x:v>
      </x:c>
      <x:c r="P37" s="12" t="n">
        <x:v>10</x:v>
      </x:c>
      <x:c r="Q37" s="12" t="n">
        <x:v>65</x:v>
      </x:c>
      <x:c r="R37" s="12" t="n">
        <x:v>10</x:v>
      </x:c>
      <x:c r="S37" s="12" t="n">
        <x:v>40</x:v>
      </x:c>
      <x:c r="T37" s="12" t="n">
        <x:v>50</x:v>
      </x:c>
      <x:c r="U37" s="12" t="n">
        <x:v>65</x:v>
      </x:c>
      <x:c r="V37" s="12" t="n">
        <x:v>60</x:v>
      </x:c>
      <x:c r="W37" s="12" t="n">
        <x:v>25</x:v>
      </x:c>
      <x:c r="X37" s="12" t="n">
        <x:v>60</x:v>
      </x:c>
      <x:c r="Y37" s="12" t="n">
        <x:v>70</x:v>
      </x:c>
      <x:c r="Z37" s="12" t="n">
        <x:f>ROUND(MAX(0,MIN(100,0.40*K37+0.20*L37+0.10*S37+0.15*V37+0.15*Y37)),0)</x:f>
        <x:v>37</x:v>
      </x:c>
      <x:c r="AA37" s="12" t="n">
        <x:f>ROUND(MAX(0,MIN(100,0.30*L37+0.20*K37+0.15*V37+0.15*W37+0.10*S37+0.10*(100-M37))),0)</x:f>
        <x:v>31</x:v>
      </x:c>
      <x:c r="AB37" s="12" t="n">
        <x:f>ROUND(MAX(0,MIN(100,0.30*M37+0.25*R37+0.20*Q37+0.15*K37+0.10*(100-T37))),0)</x:f>
        <x:v>36</x:v>
      </x:c>
      <x:c r="AC37" s="12" t="n">
        <x:f>ROUND(MAX(0,MIN(100,0.55*T37+0.15*S37+0.10*N37+0.10*V37+0.10*W37)),0)</x:f>
        <x:v>42</x:v>
      </x:c>
      <x:c r="AD37" s="12" t="n">
        <x:f>ROUND(MAX(0,MIN(100,0.25*O37+0.25*Q37+0.20*Y37+0.15*U37+0.15*(100-L37))),0)</x:f>
        <x:v>77</x:v>
      </x:c>
      <x:c r="AE37" s="12" t="n">
        <x:f>ROUND(MAX(0,MIN(100,0.30*Y37+0.25*S37+0.15*Q37+0.15*T37+0.15*X37)),0)</x:f>
        <x:v>57</x:v>
      </x:c>
      <x:c r="AF37" s="12" t="n">
        <x:f>ROUND(MAX(0,MIN(100,0.65*X37+0.35*Y37)),0)</x:f>
        <x:v>64</x:v>
      </x:c>
      <x:c r="AG37" s="12" t="str">
        <x:v>https://wikiwiki.jp/poke-unite/%E3%83%A9%E3%83%86%E3%82%A3%E3%82%AA%E3%82%B9</x:v>
      </x:c>
      <x:c r="AH37" s="12" t="str">
        <x:v>わざを当てるほど力を溜め、遠くから大きなダメージを出せるアタッカーです。ラティアスが味方にいればワープで合流もできるので、安全な位置から火力とマップの動きを両立したい人に向いています。</x:v>
      </x:c>
      <x:c r="AI37" s="12" t="str">
        <x:v>遠くから削る・一瞬で倒し切る・後ろから狙う</x:v>
      </x:c>
      <x:c r="AJ37" s="12" t="n">
        <x:v>0</x:v>
      </x:c>
    </x:row>
    <x:row r="38">
      <x:c r="A38" s="12" t="str">
        <x:v>レシラム</x:v>
      </x:c>
      <x:c r="B38" s="12" t="str">
        <x:v>アタック型</x:v>
      </x:c>
      <x:c r="C38" s="12" t="str">
        <x:v>レシラム-1</x:v>
      </x:c>
      <x:c r="D38" s="12" t="str">
        <x:v>共通</x:v>
      </x:c>
      <x:c r="E38" s="12" t="str">
        <x:v>BattleMage</x:v>
      </x:c>
      <x:c r="F38" s="12" t="str">
        <x:v>BattleMage</x:v>
      </x:c>
      <x:c r="G38" s="12"/>
      <x:c r="H38" s="12" t="str">
        <x:v>技で細部は変わるが、診断上のプレイ人格は大きく変わらないため統合</x:v>
      </x:c>
      <x:c r="I38" s="12" t="str">
        <x:v>低</x:v>
      </x:c>
      <x:c r="J38" s="12" t="str">
        <x:v>2026-09-30</x:v>
      </x:c>
      <x:c r="K38" s="12" t="n">
        <x:v>50</x:v>
      </x:c>
      <x:c r="L38" s="12" t="n">
        <x:v>35</x:v>
      </x:c>
      <x:c r="M38" s="12" t="n">
        <x:v>30</x:v>
      </x:c>
      <x:c r="N38" s="12" t="n">
        <x:v>30</x:v>
      </x:c>
      <x:c r="O38" s="12" t="n">
        <x:v>65</x:v>
      </x:c>
      <x:c r="P38" s="12" t="n">
        <x:v>70</x:v>
      </x:c>
      <x:c r="Q38" s="12" t="n">
        <x:v>50</x:v>
      </x:c>
      <x:c r="R38" s="12" t="n">
        <x:v>10</x:v>
      </x:c>
      <x:c r="S38" s="12" t="n">
        <x:v>50</x:v>
      </x:c>
      <x:c r="T38" s="12" t="n">
        <x:v>60</x:v>
      </x:c>
      <x:c r="U38" s="12" t="n">
        <x:v>70</x:v>
      </x:c>
      <x:c r="V38" s="12" t="n">
        <x:v>65</x:v>
      </x:c>
      <x:c r="W38" s="12" t="n">
        <x:v>45</x:v>
      </x:c>
      <x:c r="X38" s="12" t="n">
        <x:v>60</x:v>
      </x:c>
      <x:c r="Y38" s="12" t="n">
        <x:v>65</x:v>
      </x:c>
      <x:c r="Z38" s="12" t="n">
        <x:f>ROUND(MAX(0,MIN(100,0.40*K38+0.20*L38+0.10*S38+0.15*V38+0.15*Y38)),0)</x:f>
        <x:v>52</x:v>
      </x:c>
      <x:c r="AA38" s="12" t="n">
        <x:f>ROUND(MAX(0,MIN(100,0.30*L38+0.20*K38+0.15*V38+0.15*W38+0.10*S38+0.10*(100-M38))),0)</x:f>
        <x:v>49</x:v>
      </x:c>
      <x:c r="AB38" s="12" t="n">
        <x:f>ROUND(MAX(0,MIN(100,0.30*M38+0.25*R38+0.20*Q38+0.15*K38+0.10*(100-T38))),0)</x:f>
        <x:v>33</x:v>
      </x:c>
      <x:c r="AC38" s="12" t="n">
        <x:f>ROUND(MAX(0,MIN(100,0.55*T38+0.15*S38+0.10*N38+0.10*V38+0.10*W38)),0)</x:f>
        <x:v>55</x:v>
      </x:c>
      <x:c r="AD38" s="12" t="n">
        <x:f>ROUND(MAX(0,MIN(100,0.25*O38+0.25*Q38+0.20*Y38+0.15*U38+0.15*(100-L38))),0)</x:f>
        <x:v>62</x:v>
      </x:c>
      <x:c r="AE38" s="12" t="n">
        <x:f>ROUND(MAX(0,MIN(100,0.30*Y38+0.25*S38+0.15*Q38+0.15*T38+0.15*X38)),0)</x:f>
        <x:v>58</x:v>
      </x:c>
      <x:c r="AF38" s="12" t="n">
        <x:f>ROUND(MAX(0,MIN(100,0.65*X38+0.35*Y38)),0)</x:f>
        <x:v>62</x:v>
      </x:c>
      <x:c r="AG38" s="12" t="str">
        <x:v>https://wikiwiki.jp/poke-unite/%E3%83%AC%E3%82%B7%E3%83%A9%E3%83%A0</x:v>
      </x:c>
      <x:c r="AH38" s="12" t="str">
        <x:v>技と強化攻撃でユナイトわざを溜め、習得後に一気に主役になるアタッカーです。中盤の苦しい時間を耐えて、終盤に圧倒的な火力で戦場を支配したい人に向いています。</x:v>
      </x:c>
      <x:c r="AI38" s="12" t="str">
        <x:v>育つと化ける・長く戦う・遠くから削る</x:v>
      </x:c>
      <x:c r="AJ38" s="12" t="n">
        <x:v>0</x:v>
      </x:c>
    </x:row>
    <x:row r="39">
      <x:c r="A39" s="12" t="str">
        <x:v>ストリンダー</x:v>
      </x:c>
      <x:c r="B39" s="12" t="str">
        <x:v>アタック型</x:v>
      </x:c>
      <x:c r="C39" s="12" t="str">
        <x:v>ストリンダー-1</x:v>
      </x:c>
      <x:c r="D39" s="12" t="str">
        <x:v>共通</x:v>
      </x:c>
      <x:c r="E39" s="12" t="str">
        <x:v>Marksman / BattleMage</x:v>
      </x:c>
      <x:c r="F39" s="12" t="str">
        <x:v>Marksman</x:v>
      </x:c>
      <x:c r="G39" s="12" t="str">
        <x:v>BattleMage</x:v>
      </x:c>
      <x:c r="H39" s="12" t="str">
        <x:v>技で細部は変わるが、診断上のプレイ人格は大きく変わらないため統合</x:v>
      </x:c>
      <x:c r="I39" s="12" t="str">
        <x:v>低</x:v>
      </x:c>
      <x:c r="J39" s="12" t="str">
        <x:v>2026-09-30</x:v>
      </x:c>
      <x:c r="K39" s="12" t="n">
        <x:v>30</x:v>
      </x:c>
      <x:c r="L39" s="12" t="n">
        <x:v>20</x:v>
      </x:c>
      <x:c r="M39" s="12" t="n">
        <x:v>10</x:v>
      </x:c>
      <x:c r="N39" s="12" t="n">
        <x:v>10</x:v>
      </x:c>
      <x:c r="O39" s="12" t="n">
        <x:v>75</x:v>
      </x:c>
      <x:c r="P39" s="12" t="n">
        <x:v>80</x:v>
      </x:c>
      <x:c r="Q39" s="12" t="n">
        <x:v>30</x:v>
      </x:c>
      <x:c r="R39" s="12" t="n">
        <x:v>5</x:v>
      </x:c>
      <x:c r="S39" s="12" t="n">
        <x:v>50</x:v>
      </x:c>
      <x:c r="T39" s="12" t="n">
        <x:v>55</x:v>
      </x:c>
      <x:c r="U39" s="12" t="n">
        <x:v>35</x:v>
      </x:c>
      <x:c r="V39" s="12" t="n">
        <x:v>60</x:v>
      </x:c>
      <x:c r="W39" s="12" t="n">
        <x:v>55</x:v>
      </x:c>
      <x:c r="X39" s="12" t="n">
        <x:v>65</x:v>
      </x:c>
      <x:c r="Y39" s="12" t="n">
        <x:v>75</x:v>
      </x:c>
      <x:c r="Z39" s="12" t="n">
        <x:f>ROUND(MAX(0,MIN(100,0.40*K39+0.20*L39+0.10*S39+0.15*V39+0.15*Y39)),0)</x:f>
        <x:v>41</x:v>
      </x:c>
      <x:c r="AA39" s="12" t="n">
        <x:f>ROUND(MAX(0,MIN(100,0.30*L39+0.20*K39+0.15*V39+0.15*W39+0.10*S39+0.10*(100-M39))),0)</x:f>
        <x:v>43</x:v>
      </x:c>
      <x:c r="AB39" s="12" t="n">
        <x:f>ROUND(MAX(0,MIN(100,0.30*M39+0.25*R39+0.20*Q39+0.15*K39+0.10*(100-T39))),0)</x:f>
        <x:v>19</x:v>
      </x:c>
      <x:c r="AC39" s="12" t="n">
        <x:f>ROUND(MAX(0,MIN(100,0.55*T39+0.15*S39+0.10*N39+0.10*V39+0.10*W39)),0)</x:f>
        <x:v>50</x:v>
      </x:c>
      <x:c r="AD39" s="12" t="n">
        <x:f>ROUND(MAX(0,MIN(100,0.25*O39+0.25*Q39+0.20*Y39+0.15*U39+0.15*(100-L39))),0)</x:f>
        <x:v>59</x:v>
      </x:c>
      <x:c r="AE39" s="12" t="n">
        <x:f>ROUND(MAX(0,MIN(100,0.30*Y39+0.25*S39+0.15*Q39+0.15*T39+0.15*X39)),0)</x:f>
        <x:v>58</x:v>
      </x:c>
      <x:c r="AF39" s="12" t="n">
        <x:f>ROUND(MAX(0,MIN(100,0.65*X39+0.35*Y39)),0)</x:f>
        <x:v>69</x:v>
      </x:c>
      <x:c r="AG39" s="12" t="str">
        <x:v>https://www.pokemonunite.jp/ja/topics/news/20260924/</x:v>
      </x:c>
      <x:c r="AH39" s="12" t="str">
        <x:v>どくとでんきのモードを切り替え、通常攻撃の連射で毒を重ねて序盤から相手を削っていくアタッカーです。逃げ技はないので、味方に守られながら撃ち合いの中で火力を積み上げたい人に向いています。</x:v>
      </x:c>
      <x:c r="AI39" s="12" t="str">
        <x:v>長く戦う・遠くから削る・序盤から強い</x:v>
      </x:c>
      <x:c r="AJ39" s="12" t="n">
        <x:v>0</x:v>
      </x:c>
    </x:row>
    <x:row r="40">
      <x:c r="A40" s="12" t="str">
        <x:v>アマージョ</x:v>
      </x:c>
      <x:c r="B40" s="12" t="str">
        <x:v>バランス型</x:v>
      </x:c>
      <x:c r="C40" s="12" t="str">
        <x:v>アマージョ-1</x:v>
      </x:c>
      <x:c r="D40" s="12" t="str">
        <x:v>共通</x:v>
      </x:c>
      <x:c r="E40" s="12" t="str">
        <x:v>Skirmisher</x:v>
      </x:c>
      <x:c r="F40" s="12" t="str">
        <x:v>Skirmisher</x:v>
      </x:c>
      <x:c r="G40" s="12"/>
      <x:c r="H40" s="12" t="str">
        <x:v>技で細部は変わるが、診断上のプレイ人格は大きく変わらないため統合</x:v>
      </x:c>
      <x:c r="I40" s="12" t="str">
        <x:v>高</x:v>
      </x:c>
      <x:c r="J40" s="12" t="str">
        <x:v>2026-09-30</x:v>
      </x:c>
      <x:c r="K40" s="12" t="n">
        <x:v>60</x:v>
      </x:c>
      <x:c r="L40" s="12" t="n">
        <x:v>80</x:v>
      </x:c>
      <x:c r="M40" s="12" t="n">
        <x:v>25</x:v>
      </x:c>
      <x:c r="N40" s="12" t="n">
        <x:v>75</x:v>
      </x:c>
      <x:c r="O40" s="12" t="n">
        <x:v>20</x:v>
      </x:c>
      <x:c r="P40" s="12" t="n">
        <x:v>70</x:v>
      </x:c>
      <x:c r="Q40" s="12" t="n">
        <x:v>30</x:v>
      </x:c>
      <x:c r="R40" s="12" t="n">
        <x:v>5</x:v>
      </x:c>
      <x:c r="S40" s="12" t="n">
        <x:v>90</x:v>
      </x:c>
      <x:c r="T40" s="12" t="n">
        <x:v>80</x:v>
      </x:c>
      <x:c r="U40" s="12" t="n">
        <x:v>70</x:v>
      </x:c>
      <x:c r="V40" s="12" t="n">
        <x:v>65</x:v>
      </x:c>
      <x:c r="W40" s="12" t="n">
        <x:v>65</x:v>
      </x:c>
      <x:c r="X40" s="12" t="n">
        <x:v>85</x:v>
      </x:c>
      <x:c r="Y40" s="12" t="n">
        <x:v>65</x:v>
      </x:c>
      <x:c r="Z40" s="12" t="n">
        <x:f>ROUND(MAX(0,MIN(100,0.40*K40+0.20*L40+0.10*S40+0.15*V40+0.15*Y40)),0)</x:f>
        <x:v>69</x:v>
      </x:c>
      <x:c r="AA40" s="12" t="n">
        <x:f>ROUND(MAX(0,MIN(100,0.30*L40+0.20*K40+0.15*V40+0.15*W40+0.10*S40+0.10*(100-M40))),0)</x:f>
        <x:v>72</x:v>
      </x:c>
      <x:c r="AB40" s="12" t="n">
        <x:f>ROUND(MAX(0,MIN(100,0.30*M40+0.25*R40+0.20*Q40+0.15*K40+0.10*(100-T40))),0)</x:f>
        <x:v>26</x:v>
      </x:c>
      <x:c r="AC40" s="12" t="n">
        <x:f>ROUND(MAX(0,MIN(100,0.55*T40+0.15*S40+0.10*N40+0.10*V40+0.10*W40)),0)</x:f>
        <x:v>78</x:v>
      </x:c>
      <x:c r="AD40" s="12" t="n">
        <x:f>ROUND(MAX(0,MIN(100,0.25*O40+0.25*Q40+0.20*Y40+0.15*U40+0.15*(100-L40))),0)</x:f>
        <x:v>39</x:v>
      </x:c>
      <x:c r="AE40" s="12" t="n">
        <x:f>ROUND(MAX(0,MIN(100,0.30*Y40+0.25*S40+0.15*Q40+0.15*T40+0.15*X40)),0)</x:f>
        <x:v>71</x:v>
      </x:c>
      <x:c r="AF40" s="12" t="n">
        <x:f>ROUND(MAX(0,MIN(100,0.65*X40+0.35*Y40)),0)</x:f>
        <x:v>78</x:v>
      </x:c>
      <x:c r="AG40" s="12" t="str">
        <x:v>https://wikiwiki.jp/poke-unite/%E3%82%A2%E3%83%9E%E3%83%BC%E3%82%B8%E3%83%A7</x:v>
      </x:c>
      <x:c r="AH40" s="12" t="str">
        <x:v>跳び回りながら蹴りを重ね、着地点を選んで相手を蹴り飛ばすファイターです。技のつなぎ方で強さが大きく変わるので、操作を磨いて一人で戦況を動かしたい人に向いています。</x:v>
      </x:c>
      <x:c r="AI40" s="12" t="str">
        <x:v>操作を極める・マップを駆け回る・一人で仕事を作る</x:v>
      </x:c>
      <x:c r="AJ40" s="12" t="n">
        <x:v>0</x:v>
      </x:c>
    </x:row>
    <x:row r="41">
      <x:c r="A41" s="12" t="str">
        <x:v>ウェーニバル</x:v>
      </x:c>
      <x:c r="B41" s="12" t="str">
        <x:v>バランス型</x:v>
      </x:c>
      <x:c r="C41" s="12" t="str">
        <x:v>ウェーニバル-1</x:v>
      </x:c>
      <x:c r="D41" s="12" t="str">
        <x:v>共通</x:v>
      </x:c>
      <x:c r="E41" s="12" t="str">
        <x:v>Skirmisher</x:v>
      </x:c>
      <x:c r="F41" s="12" t="str">
        <x:v>Skirmisher</x:v>
      </x:c>
      <x:c r="G41" s="12"/>
      <x:c r="H41" s="12" t="str">
        <x:v>技で細部は変わるが、診断上のプレイ人格は大きく変わらないため統合</x:v>
      </x:c>
      <x:c r="I41" s="12" t="str">
        <x:v>中</x:v>
      </x:c>
      <x:c r="J41" s="12" t="str">
        <x:v>2026-09-30</x:v>
      </x:c>
      <x:c r="K41" s="12" t="n">
        <x:v>60</x:v>
      </x:c>
      <x:c r="L41" s="12" t="n">
        <x:v>80</x:v>
      </x:c>
      <x:c r="M41" s="12" t="n">
        <x:v>25</x:v>
      </x:c>
      <x:c r="N41" s="12" t="n">
        <x:v>75</x:v>
      </x:c>
      <x:c r="O41" s="12" t="n">
        <x:v>20</x:v>
      </x:c>
      <x:c r="P41" s="12" t="n">
        <x:v>90</x:v>
      </x:c>
      <x:c r="Q41" s="12" t="n">
        <x:v>40</x:v>
      </x:c>
      <x:c r="R41" s="12" t="n">
        <x:v>5</x:v>
      </x:c>
      <x:c r="S41" s="12" t="n">
        <x:v>100</x:v>
      </x:c>
      <x:c r="T41" s="12" t="n">
        <x:v>85</x:v>
      </x:c>
      <x:c r="U41" s="12" t="n">
        <x:v>70</x:v>
      </x:c>
      <x:c r="V41" s="12" t="n">
        <x:v>65</x:v>
      </x:c>
      <x:c r="W41" s="12" t="n">
        <x:v>65</x:v>
      </x:c>
      <x:c r="X41" s="12" t="n">
        <x:v>70</x:v>
      </x:c>
      <x:c r="Y41" s="12" t="n">
        <x:v>65</x:v>
      </x:c>
      <x:c r="Z41" s="12" t="n">
        <x:f>ROUND(MAX(0,MIN(100,0.40*K41+0.20*L41+0.10*S41+0.15*V41+0.15*Y41)),0)</x:f>
        <x:v>70</x:v>
      </x:c>
      <x:c r="AA41" s="12" t="n">
        <x:f>ROUND(MAX(0,MIN(100,0.30*L41+0.20*K41+0.15*V41+0.15*W41+0.10*S41+0.10*(100-M41))),0)</x:f>
        <x:v>73</x:v>
      </x:c>
      <x:c r="AB41" s="12" t="n">
        <x:f>ROUND(MAX(0,MIN(100,0.30*M41+0.25*R41+0.20*Q41+0.15*K41+0.10*(100-T41))),0)</x:f>
        <x:v>27</x:v>
      </x:c>
      <x:c r="AC41" s="12" t="n">
        <x:f>ROUND(MAX(0,MIN(100,0.55*T41+0.15*S41+0.10*N41+0.10*V41+0.10*W41)),0)</x:f>
        <x:v>82</x:v>
      </x:c>
      <x:c r="AD41" s="12" t="n">
        <x:f>ROUND(MAX(0,MIN(100,0.25*O41+0.25*Q41+0.20*Y41+0.15*U41+0.15*(100-L41))),0)</x:f>
        <x:v>42</x:v>
      </x:c>
      <x:c r="AE41" s="12" t="n">
        <x:f>ROUND(MAX(0,MIN(100,0.30*Y41+0.25*S41+0.15*Q41+0.15*T41+0.15*X41)),0)</x:f>
        <x:v>74</x:v>
      </x:c>
      <x:c r="AF41" s="12" t="n">
        <x:f>ROUND(MAX(0,MIN(100,0.65*X41+0.35*Y41)),0)</x:f>
        <x:v>68</x:v>
      </x:c>
      <x:c r="AG41" s="12" t="str">
        <x:v>https://wikiwiki.jp/poke-unite/%E3%82%A6%E3%82%A7%E3%83%BC%E3%83%8B%E3%83%90%E3%83%AB</x:v>
      </x:c>
      <x:c r="AH41" s="12" t="str">
        <x:v>テンションを上げて通常攻撃を回転斬りに変え、回復とシールドを重ねながら動き回るファイターです。止まらずに動き続け、一人でも相手を押し込みたい人に向いています。</x:v>
      </x:c>
      <x:c r="AI41" s="12" t="str">
        <x:v>マップを駆け回る・長く戦う・一人で仕事を作る</x:v>
      </x:c>
      <x:c r="AJ41" s="12" t="n">
        <x:v>0</x:v>
      </x:c>
    </x:row>
    <x:row r="42">
      <x:c r="A42" s="12" t="str">
        <x:v>ウーラオス</x:v>
      </x:c>
      <x:c r="B42" s="12" t="str">
        <x:v>バランス型</x:v>
      </x:c>
      <x:c r="C42" s="12" t="str">
        <x:v>ウーラオス-1</x:v>
      </x:c>
      <x:c r="D42" s="12" t="str">
        <x:v>あんこくきょうだ</x:v>
      </x:c>
      <x:c r="E42" s="12" t="str">
        <x:v>Diver / Assassin</x:v>
      </x:c>
      <x:c r="F42" s="12" t="str">
        <x:v>Diver</x:v>
      </x:c>
      <x:c r="G42" s="12" t="str">
        <x:v>Assassin</x:v>
      </x:c>
      <x:c r="H42" s="12" t="str">
        <x:v>立ち位置・戦闘距離・役割が大きく変わるため別プロファイル</x:v>
      </x:c>
      <x:c r="I42" s="12" t="str">
        <x:v>高</x:v>
      </x:c>
      <x:c r="J42" s="12" t="str">
        <x:v>2026-09-30</x:v>
      </x:c>
      <x:c r="K42" s="12" t="n">
        <x:v>70</x:v>
      </x:c>
      <x:c r="L42" s="12" t="n">
        <x:v>95</x:v>
      </x:c>
      <x:c r="M42" s="12" t="n">
        <x:v>10</x:v>
      </x:c>
      <x:c r="N42" s="12" t="n">
        <x:v>40</x:v>
      </x:c>
      <x:c r="O42" s="12" t="n">
        <x:v>10</x:v>
      </x:c>
      <x:c r="P42" s="12" t="n">
        <x:v>20</x:v>
      </x:c>
      <x:c r="Q42" s="12" t="n">
        <x:v>35</x:v>
      </x:c>
      <x:c r="R42" s="12" t="n">
        <x:v>5</x:v>
      </x:c>
      <x:c r="S42" s="12" t="n">
        <x:v>90</x:v>
      </x:c>
      <x:c r="T42" s="12" t="n">
        <x:v>60</x:v>
      </x:c>
      <x:c r="U42" s="12" t="n">
        <x:v>60</x:v>
      </x:c>
      <x:c r="V42" s="12" t="n">
        <x:v>70</x:v>
      </x:c>
      <x:c r="W42" s="12" t="n">
        <x:v>65</x:v>
      </x:c>
      <x:c r="X42" s="12" t="n">
        <x:v>75</x:v>
      </x:c>
      <x:c r="Y42" s="12" t="n">
        <x:v>70</x:v>
      </x:c>
      <x:c r="Z42" s="12" t="n">
        <x:f>ROUND(MAX(0,MIN(100,0.40*K42+0.20*L42+0.10*S42+0.15*V42+0.15*Y42)),0)</x:f>
        <x:v>77</x:v>
      </x:c>
      <x:c r="AA42" s="12" t="n">
        <x:f>ROUND(MAX(0,MIN(100,0.30*L42+0.20*K42+0.15*V42+0.15*W42+0.10*S42+0.10*(100-M42))),0)</x:f>
        <x:v>81</x:v>
      </x:c>
      <x:c r="AB42" s="12" t="n">
        <x:f>ROUND(MAX(0,MIN(100,0.30*M42+0.25*R42+0.20*Q42+0.15*K42+0.10*(100-T42))),0)</x:f>
        <x:v>26</x:v>
      </x:c>
      <x:c r="AC42" s="12" t="n">
        <x:f>ROUND(MAX(0,MIN(100,0.55*T42+0.15*S42+0.10*N42+0.10*V42+0.10*W42)),0)</x:f>
        <x:v>64</x:v>
      </x:c>
      <x:c r="AD42" s="12" t="n">
        <x:f>ROUND(MAX(0,MIN(100,0.25*O42+0.25*Q42+0.20*Y42+0.15*U42+0.15*(100-L42))),0)</x:f>
        <x:v>35</x:v>
      </x:c>
      <x:c r="AE42" s="12" t="n">
        <x:f>ROUND(MAX(0,MIN(100,0.30*Y42+0.25*S42+0.15*Q42+0.15*T42+0.15*X42)),0)</x:f>
        <x:v>69</x:v>
      </x:c>
      <x:c r="AF42" s="12" t="n">
        <x:f>ROUND(MAX(0,MIN(100,0.65*X42+0.35*Y42)),0)</x:f>
        <x:v>73</x:v>
      </x:c>
      <x:c r="AG42" s="12" t="str">
        <x:v>https://wikiwiki.jp/poke-unite/%E3%82%A6%E3%83%BC%E3%83%A9%E3%82%AA%E3%82%B9</x:v>
      </x:c>
      <x:c r="AH42" s="12" t="str">
        <x:v>「あんこくきょうだ」の一撃で狙った相手を確実に落とす戦い方です。飛び込むタイミングを見極め、相手の後衛を一瞬で仕留めたい人に向いています。</x:v>
      </x:c>
      <x:c r="AI42" s="12" t="str">
        <x:v>後衛まで踏み込む・一瞬で倒し切る・マップを駆け回る</x:v>
      </x:c>
      <x:c r="AJ42" s="12" t="n">
        <x:v>0</x:v>
      </x:c>
    </x:row>
    <x:row r="43">
      <x:c r="A43" s="12" t="str">
        <x:v>ウーラオス</x:v>
      </x:c>
      <x:c r="B43" s="12" t="str">
        <x:v>バランス型</x:v>
      </x:c>
      <x:c r="C43" s="12" t="str">
        <x:v>ウーラオス-2</x:v>
      </x:c>
      <x:c r="D43" s="12" t="str">
        <x:v>すいりゅうれんだ</x:v>
      </x:c>
      <x:c r="E43" s="12" t="str">
        <x:v>Skirmisher / Diver</x:v>
      </x:c>
      <x:c r="F43" s="12" t="str">
        <x:v>Skirmisher</x:v>
      </x:c>
      <x:c r="G43" s="12" t="str">
        <x:v>Diver</x:v>
      </x:c>
      <x:c r="H43" s="12" t="str">
        <x:v>立ち位置・戦闘距離・役割が大きく変わるため別プロファイル</x:v>
      </x:c>
      <x:c r="I43" s="12" t="str">
        <x:v>高</x:v>
      </x:c>
      <x:c r="J43" s="12" t="str">
        <x:v>2026-09-30</x:v>
      </x:c>
      <x:c r="K43" s="12" t="n">
        <x:v>70</x:v>
      </x:c>
      <x:c r="L43" s="12" t="n">
        <x:v>90</x:v>
      </x:c>
      <x:c r="M43" s="12" t="n">
        <x:v>25</x:v>
      </x:c>
      <x:c r="N43" s="12" t="n">
        <x:v>75</x:v>
      </x:c>
      <x:c r="O43" s="12" t="n">
        <x:v>10</x:v>
      </x:c>
      <x:c r="P43" s="12" t="n">
        <x:v>85</x:v>
      </x:c>
      <x:c r="Q43" s="12" t="n">
        <x:v>45</x:v>
      </x:c>
      <x:c r="R43" s="12" t="n">
        <x:v>5</x:v>
      </x:c>
      <x:c r="S43" s="12" t="n">
        <x:v>90</x:v>
      </x:c>
      <x:c r="T43" s="12" t="n">
        <x:v>85</x:v>
      </x:c>
      <x:c r="U43" s="12" t="n">
        <x:v>55</x:v>
      </x:c>
      <x:c r="V43" s="12" t="n">
        <x:v>55</x:v>
      </x:c>
      <x:c r="W43" s="12" t="n">
        <x:v>55</x:v>
      </x:c>
      <x:c r="X43" s="12" t="n">
        <x:v>70</x:v>
      </x:c>
      <x:c r="Y43" s="12" t="n">
        <x:v>65</x:v>
      </x:c>
      <x:c r="Z43" s="12" t="n">
        <x:f>ROUND(MAX(0,MIN(100,0.40*K43+0.20*L43+0.10*S43+0.15*V43+0.15*Y43)),0)</x:f>
        <x:v>73</x:v>
      </x:c>
      <x:c r="AA43" s="12" t="n">
        <x:f>ROUND(MAX(0,MIN(100,0.30*L43+0.20*K43+0.15*V43+0.15*W43+0.10*S43+0.10*(100-M43))),0)</x:f>
        <x:v>74</x:v>
      </x:c>
      <x:c r="AB43" s="12" t="n">
        <x:f>ROUND(MAX(0,MIN(100,0.30*M43+0.25*R43+0.20*Q43+0.15*K43+0.10*(100-T43))),0)</x:f>
        <x:v>30</x:v>
      </x:c>
      <x:c r="AC43" s="12" t="n">
        <x:f>ROUND(MAX(0,MIN(100,0.55*T43+0.15*S43+0.10*N43+0.10*V43+0.10*W43)),0)</x:f>
        <x:v>79</x:v>
      </x:c>
      <x:c r="AD43" s="12" t="n">
        <x:f>ROUND(MAX(0,MIN(100,0.25*O43+0.25*Q43+0.20*Y43+0.15*U43+0.15*(100-L43))),0)</x:f>
        <x:v>37</x:v>
      </x:c>
      <x:c r="AE43" s="12" t="n">
        <x:f>ROUND(MAX(0,MIN(100,0.30*Y43+0.25*S43+0.15*Q43+0.15*T43+0.15*X43)),0)</x:f>
        <x:v>72</x:v>
      </x:c>
      <x:c r="AF43" s="12" t="n">
        <x:f>ROUND(MAX(0,MIN(100,0.65*X43+0.35*Y43)),0)</x:f>
        <x:v>68</x:v>
      </x:c>
      <x:c r="AG43" s="12" t="str">
        <x:v>https://wikiwiki.jp/poke-unite/%E3%82%A6%E3%83%BC%E3%83%A9%E3%82%AA%E3%82%B9</x:v>
      </x:c>
      <x:c r="AH43" s="12" t="str">
        <x:v>「すいりゅうれんだ」の連撃で長く殴り合い、乱戦の中で強さを発揮する戦い方です。一撃に賭けるより、相手の中に入って戦い続けたい人に向いています。</x:v>
      </x:c>
      <x:c r="AI43" s="12" t="str">
        <x:v>長く戦う・後衛まで踏み込む・一人で仕事を作る</x:v>
      </x:c>
      <x:c r="AJ43" s="12" t="n">
        <x:v>0</x:v>
      </x:c>
    </x:row>
    <x:row r="44">
      <x:c r="A44" s="12" t="str">
        <x:v>エンペルト</x:v>
      </x:c>
      <x:c r="B44" s="12" t="str">
        <x:v>バランス型</x:v>
      </x:c>
      <x:c r="C44" s="12" t="str">
        <x:v>エンペルト-1</x:v>
      </x:c>
      <x:c r="D44" s="12" t="str">
        <x:v>共通</x:v>
      </x:c>
      <x:c r="E44" s="12" t="str">
        <x:v>Juggernaut</x:v>
      </x:c>
      <x:c r="F44" s="12" t="str">
        <x:v>Juggernaut</x:v>
      </x:c>
      <x:c r="G44" s="12"/>
      <x:c r="H44" s="12" t="str">
        <x:v>技で細部は変わるが、診断上のプレイ人格は大きく変わらないため統合</x:v>
      </x:c>
      <x:c r="I44" s="12" t="str">
        <x:v>高</x:v>
      </x:c>
      <x:c r="J44" s="12" t="str">
        <x:v>2026-09-30</x:v>
      </x:c>
      <x:c r="K44" s="12" t="n">
        <x:v>55</x:v>
      </x:c>
      <x:c r="L44" s="12" t="n">
        <x:v>55</x:v>
      </x:c>
      <x:c r="M44" s="12" t="n">
        <x:v>35</x:v>
      </x:c>
      <x:c r="N44" s="12" t="n">
        <x:v>100</x:v>
      </x:c>
      <x:c r="O44" s="12" t="n">
        <x:v>10</x:v>
      </x:c>
      <x:c r="P44" s="12" t="n">
        <x:v>85</x:v>
      </x:c>
      <x:c r="Q44" s="12" t="n">
        <x:v>35</x:v>
      </x:c>
      <x:c r="R44" s="12" t="n">
        <x:v>5</x:v>
      </x:c>
      <x:c r="S44" s="12" t="n">
        <x:v>20</x:v>
      </x:c>
      <x:c r="T44" s="12" t="n">
        <x:v>80</x:v>
      </x:c>
      <x:c r="U44" s="12" t="n">
        <x:v>80</x:v>
      </x:c>
      <x:c r="V44" s="12" t="n">
        <x:v>75</x:v>
      </x:c>
      <x:c r="W44" s="12" t="n">
        <x:v>40</x:v>
      </x:c>
      <x:c r="X44" s="12" t="n">
        <x:v>50</x:v>
      </x:c>
      <x:c r="Y44" s="12" t="n">
        <x:v>60</x:v>
      </x:c>
      <x:c r="Z44" s="12" t="n">
        <x:f>ROUND(MAX(0,MIN(100,0.40*K44+0.20*L44+0.10*S44+0.15*V44+0.15*Y44)),0)</x:f>
        <x:v>55</x:v>
      </x:c>
      <x:c r="AA44" s="12" t="n">
        <x:f>ROUND(MAX(0,MIN(100,0.30*L44+0.20*K44+0.15*V44+0.15*W44+0.10*S44+0.10*(100-M44))),0)</x:f>
        <x:v>53</x:v>
      </x:c>
      <x:c r="AB44" s="12" t="n">
        <x:f>ROUND(MAX(0,MIN(100,0.30*M44+0.25*R44+0.20*Q44+0.15*K44+0.10*(100-T44))),0)</x:f>
        <x:v>29</x:v>
      </x:c>
      <x:c r="AC44" s="12" t="n">
        <x:f>ROUND(MAX(0,MIN(100,0.55*T44+0.15*S44+0.10*N44+0.10*V44+0.10*W44)),0)</x:f>
        <x:v>69</x:v>
      </x:c>
      <x:c r="AD44" s="12" t="n">
        <x:f>ROUND(MAX(0,MIN(100,0.25*O44+0.25*Q44+0.20*Y44+0.15*U44+0.15*(100-L44))),0)</x:f>
        <x:v>42</x:v>
      </x:c>
      <x:c r="AE44" s="12" t="n">
        <x:f>ROUND(MAX(0,MIN(100,0.30*Y44+0.25*S44+0.15*Q44+0.15*T44+0.15*X44)),0)</x:f>
        <x:v>48</x:v>
      </x:c>
      <x:c r="AF44" s="12" t="n">
        <x:f>ROUND(MAX(0,MIN(100,0.65*X44+0.35*Y44)),0)</x:f>
        <x:v>54</x:v>
      </x:c>
      <x:c r="AG44" s="12" t="str">
        <x:v>https://wikiwiki.jp/poke-unite/%E3%82%A8%E3%83%B3%E3%83%9A%E3%83%AB%E3%83%88</x:v>
      </x:c>
      <x:c r="AH44" s="12" t="str">
        <x:v>回復しながら中距離でも戦え、ゲージを管理して大技を通すファイターです。前線で長く粘り、判断ひとつで戦況を立て直したい人に向いています。</x:v>
      </x:c>
      <x:c r="AI44" s="12" t="str">
        <x:v>前線を支える・長く戦う・一人で仕事を作る</x:v>
      </x:c>
      <x:c r="AJ44" s="12" t="n">
        <x:v>0</x:v>
      </x:c>
    </x:row>
    <x:row r="45">
      <x:c r="A45" s="12" t="str">
        <x:v>オーダイル</x:v>
      </x:c>
      <x:c r="B45" s="12" t="str">
        <x:v>バランス型</x:v>
      </x:c>
      <x:c r="C45" s="12" t="str">
        <x:v>オーダイル-1</x:v>
      </x:c>
      <x:c r="D45" s="12" t="str">
        <x:v>共通</x:v>
      </x:c>
      <x:c r="E45" s="12" t="str">
        <x:v>Diver</x:v>
      </x:c>
      <x:c r="F45" s="12" t="str">
        <x:v>Diver</x:v>
      </x:c>
      <x:c r="G45" s="12"/>
      <x:c r="H45" s="12" t="str">
        <x:v>技で細部は変わるが、診断上のプレイ人格は大きく変わらないため統合</x:v>
      </x:c>
      <x:c r="I45" s="12" t="str">
        <x:v>中</x:v>
      </x:c>
      <x:c r="J45" s="12" t="str">
        <x:v>2026-09-30</x:v>
      </x:c>
      <x:c r="K45" s="12" t="n">
        <x:v>80</x:v>
      </x:c>
      <x:c r="L45" s="12" t="n">
        <x:v>95</x:v>
      </x:c>
      <x:c r="M45" s="12" t="n">
        <x:v>20</x:v>
      </x:c>
      <x:c r="N45" s="12" t="n">
        <x:v>55</x:v>
      </x:c>
      <x:c r="O45" s="12" t="n">
        <x:v>10</x:v>
      </x:c>
      <x:c r="P45" s="12" t="n">
        <x:v>25</x:v>
      </x:c>
      <x:c r="Q45" s="12" t="n">
        <x:v>35</x:v>
      </x:c>
      <x:c r="R45" s="12" t="n">
        <x:v>5</x:v>
      </x:c>
      <x:c r="S45" s="12" t="n">
        <x:v>100</x:v>
      </x:c>
      <x:c r="T45" s="12" t="n">
        <x:v>70</x:v>
      </x:c>
      <x:c r="U45" s="12" t="n">
        <x:v>45</x:v>
      </x:c>
      <x:c r="V45" s="12" t="n">
        <x:v>60</x:v>
      </x:c>
      <x:c r="W45" s="12" t="n">
        <x:v>55</x:v>
      </x:c>
      <x:c r="X45" s="12" t="n">
        <x:v>65</x:v>
      </x:c>
      <x:c r="Y45" s="12" t="n">
        <x:v>80</x:v>
      </x:c>
      <x:c r="Z45" s="12" t="n">
        <x:f>ROUND(MAX(0,MIN(100,0.40*K45+0.20*L45+0.10*S45+0.15*V45+0.15*Y45)),0)</x:f>
        <x:v>82</x:v>
      </x:c>
      <x:c r="AA45" s="12" t="n">
        <x:f>ROUND(MAX(0,MIN(100,0.30*L45+0.20*K45+0.15*V45+0.15*W45+0.10*S45+0.10*(100-M45))),0)</x:f>
        <x:v>80</x:v>
      </x:c>
      <x:c r="AB45" s="12" t="n">
        <x:f>ROUND(MAX(0,MIN(100,0.30*M45+0.25*R45+0.20*Q45+0.15*K45+0.10*(100-T45))),0)</x:f>
        <x:v>29</x:v>
      </x:c>
      <x:c r="AC45" s="12" t="n">
        <x:f>ROUND(MAX(0,MIN(100,0.55*T45+0.15*S45+0.10*N45+0.10*V45+0.10*W45)),0)</x:f>
        <x:v>71</x:v>
      </x:c>
      <x:c r="AD45" s="12" t="n">
        <x:f>ROUND(MAX(0,MIN(100,0.25*O45+0.25*Q45+0.20*Y45+0.15*U45+0.15*(100-L45))),0)</x:f>
        <x:v>35</x:v>
      </x:c>
      <x:c r="AE45" s="12" t="n">
        <x:f>ROUND(MAX(0,MIN(100,0.30*Y45+0.25*S45+0.15*Q45+0.15*T45+0.15*X45)),0)</x:f>
        <x:v>75</x:v>
      </x:c>
      <x:c r="AF45" s="12" t="n">
        <x:f>ROUND(MAX(0,MIN(100,0.65*X45+0.35*Y45)),0)</x:f>
        <x:v>70</x:v>
      </x:c>
      <x:c r="AG45" s="12" t="str">
        <x:v>https://wikiwiki.jp/poke-unite/%E3%82%AA%E3%83%BC%E3%83%80%E3%82%A4%E3%83%AB</x:v>
      </x:c>
      <x:c r="AH45" s="12" t="str">
        <x:v>「かみくだく」の瞬間火力で序盤から有利を作り、「たきのぼり」で横や後ろから後衛を狙うファイターです。正面の殴り合いより、回り込んで一気に仕留めたい人に向いています。</x:v>
      </x:c>
      <x:c r="AI45" s="12" t="str">
        <x:v>後衛まで踏み込む・マップを駆け回る・一瞬で倒し切る</x:v>
      </x:c>
      <x:c r="AJ45" s="12" t="n">
        <x:v>0</x:v>
      </x:c>
    </x:row>
    <x:row r="46">
      <x:c r="A46" s="12" t="str">
        <x:v>カイリキー</x:v>
      </x:c>
      <x:c r="B46" s="12" t="str">
        <x:v>バランス型</x:v>
      </x:c>
      <x:c r="C46" s="12" t="str">
        <x:v>カイリキー-1</x:v>
      </x:c>
      <x:c r="D46" s="12" t="str">
        <x:v>共通</x:v>
      </x:c>
      <x:c r="E46" s="12" t="str">
        <x:v>Diver</x:v>
      </x:c>
      <x:c r="F46" s="12" t="str">
        <x:v>Diver</x:v>
      </x:c>
      <x:c r="G46" s="12"/>
      <x:c r="H46" s="12" t="str">
        <x:v>技で細部は変わるが、診断上のプレイ人格は大きく変わらないため統合</x:v>
      </x:c>
      <x:c r="I46" s="12" t="str">
        <x:v>高</x:v>
      </x:c>
      <x:c r="J46" s="12" t="str">
        <x:v>2026-09-30</x:v>
      </x:c>
      <x:c r="K46" s="12" t="n">
        <x:v>80</x:v>
      </x:c>
      <x:c r="L46" s="12" t="n">
        <x:v>80</x:v>
      </x:c>
      <x:c r="M46" s="12" t="n">
        <x:v>20</x:v>
      </x:c>
      <x:c r="N46" s="12" t="n">
        <x:v>55</x:v>
      </x:c>
      <x:c r="O46" s="12" t="n">
        <x:v>10</x:v>
      </x:c>
      <x:c r="P46" s="12" t="n">
        <x:v>25</x:v>
      </x:c>
      <x:c r="Q46" s="12" t="n">
        <x:v>65</x:v>
      </x:c>
      <x:c r="R46" s="12" t="n">
        <x:v>5</x:v>
      </x:c>
      <x:c r="S46" s="12" t="n">
        <x:v>80</x:v>
      </x:c>
      <x:c r="T46" s="12" t="n">
        <x:v>75</x:v>
      </x:c>
      <x:c r="U46" s="12" t="n">
        <x:v>60</x:v>
      </x:c>
      <x:c r="V46" s="12" t="n">
        <x:v>60</x:v>
      </x:c>
      <x:c r="W46" s="12" t="n">
        <x:v>55</x:v>
      </x:c>
      <x:c r="X46" s="12" t="n">
        <x:v>65</x:v>
      </x:c>
      <x:c r="Y46" s="12" t="n">
        <x:v>70</x:v>
      </x:c>
      <x:c r="Z46" s="12" t="n">
        <x:f>ROUND(MAX(0,MIN(100,0.40*K46+0.20*L46+0.10*S46+0.15*V46+0.15*Y46)),0)</x:f>
        <x:v>76</x:v>
      </x:c>
      <x:c r="AA46" s="12" t="n">
        <x:f>ROUND(MAX(0,MIN(100,0.30*L46+0.20*K46+0.15*V46+0.15*W46+0.10*S46+0.10*(100-M46))),0)</x:f>
        <x:v>73</x:v>
      </x:c>
      <x:c r="AB46" s="12" t="n">
        <x:f>ROUND(MAX(0,MIN(100,0.30*M46+0.25*R46+0.20*Q46+0.15*K46+0.10*(100-T46))),0)</x:f>
        <x:v>35</x:v>
      </x:c>
      <x:c r="AC46" s="12" t="n">
        <x:f>ROUND(MAX(0,MIN(100,0.55*T46+0.15*S46+0.10*N46+0.10*V46+0.10*W46)),0)</x:f>
        <x:v>70</x:v>
      </x:c>
      <x:c r="AD46" s="12" t="n">
        <x:f>ROUND(MAX(0,MIN(100,0.25*O46+0.25*Q46+0.20*Y46+0.15*U46+0.15*(100-L46))),0)</x:f>
        <x:v>45</x:v>
      </x:c>
      <x:c r="AE46" s="12" t="n">
        <x:f>ROUND(MAX(0,MIN(100,0.30*Y46+0.25*S46+0.15*Q46+0.15*T46+0.15*X46)),0)</x:f>
        <x:v>72</x:v>
      </x:c>
      <x:c r="AF46" s="12" t="n">
        <x:f>ROUND(MAX(0,MIN(100,0.65*X46+0.35*Y46)),0)</x:f>
        <x:v>67</x:v>
      </x:c>
      <x:c r="AG46" s="12" t="str">
        <x:v>https://wikiwiki.jp/poke-unite/%E3%82%AB%E3%82%A4%E3%83%AA%E3%82%AD%E3%83%BC</x:v>
      </x:c>
      <x:c r="AH46" s="12" t="str">
        <x:v>腕力で相手をつかんで押し込み、近い距離で一気に勝負を決めるファイターです。自分から懐に飛び込み、殴り合いを短く制したい人に向いています。</x:v>
      </x:c>
      <x:c r="AI46" s="12" t="str">
        <x:v>自分から仕掛ける・後衛まで踏み込む・一瞬で倒し切る</x:v>
      </x:c>
      <x:c r="AJ46" s="12" t="n">
        <x:v>0</x:v>
      </x:c>
    </x:row>
    <x:row r="47">
      <x:c r="A47" s="12" t="str">
        <x:v>カイリュー</x:v>
      </x:c>
      <x:c r="B47" s="12" t="str">
        <x:v>バランス型</x:v>
      </x:c>
      <x:c r="C47" s="12" t="str">
        <x:v>カイリュー-1</x:v>
      </x:c>
      <x:c r="D47" s="12" t="str">
        <x:v>はかいこうせん</x:v>
      </x:c>
      <x:c r="E47" s="12" t="str">
        <x:v>Marksman</x:v>
      </x:c>
      <x:c r="F47" s="12" t="str">
        <x:v>Marksman</x:v>
      </x:c>
      <x:c r="G47" s="12"/>
      <x:c r="H47" s="12" t="str">
        <x:v>立ち位置・戦闘距離・役割が大きく変わるため別プロファイル</x:v>
      </x:c>
      <x:c r="I47" s="12" t="str">
        <x:v>高</x:v>
      </x:c>
      <x:c r="J47" s="12" t="str">
        <x:v>2026-09-30</x:v>
      </x:c>
      <x:c r="K47" s="12" t="n">
        <x:v>5</x:v>
      </x:c>
      <x:c r="L47" s="12" t="n">
        <x:v>5</x:v>
      </x:c>
      <x:c r="M47" s="12" t="n">
        <x:v>10</x:v>
      </x:c>
      <x:c r="N47" s="12" t="n">
        <x:v>10</x:v>
      </x:c>
      <x:c r="O47" s="12" t="n">
        <x:v>65</x:v>
      </x:c>
      <x:c r="P47" s="12" t="n">
        <x:v>80</x:v>
      </x:c>
      <x:c r="Q47" s="12" t="n">
        <x:v>5</x:v>
      </x:c>
      <x:c r="R47" s="12" t="n">
        <x:v>5</x:v>
      </x:c>
      <x:c r="S47" s="12" t="n">
        <x:v>50</x:v>
      </x:c>
      <x:c r="T47" s="12" t="n">
        <x:v>55</x:v>
      </x:c>
      <x:c r="U47" s="12" t="n">
        <x:v>95</x:v>
      </x:c>
      <x:c r="V47" s="12" t="n">
        <x:v>100</x:v>
      </x:c>
      <x:c r="W47" s="12" t="n">
        <x:v>55</x:v>
      </x:c>
      <x:c r="X47" s="12" t="n">
        <x:v>65</x:v>
      </x:c>
      <x:c r="Y47" s="12" t="n">
        <x:v>70</x:v>
      </x:c>
      <x:c r="Z47" s="12" t="n">
        <x:f>ROUND(MAX(0,MIN(100,0.40*K47+0.20*L47+0.10*S47+0.15*V47+0.15*Y47)),0)</x:f>
        <x:v>34</x:v>
      </x:c>
      <x:c r="AA47" s="12" t="n">
        <x:f>ROUND(MAX(0,MIN(100,0.30*L47+0.20*K47+0.15*V47+0.15*W47+0.10*S47+0.10*(100-M47))),0)</x:f>
        <x:v>40</x:v>
      </x:c>
      <x:c r="AB47" s="12" t="n">
        <x:f>ROUND(MAX(0,MIN(100,0.30*M47+0.25*R47+0.20*Q47+0.15*K47+0.10*(100-T47))),0)</x:f>
        <x:v>11</x:v>
      </x:c>
      <x:c r="AC47" s="12" t="n">
        <x:f>ROUND(MAX(0,MIN(100,0.55*T47+0.15*S47+0.10*N47+0.10*V47+0.10*W47)),0)</x:f>
        <x:v>54</x:v>
      </x:c>
      <x:c r="AD47" s="12" t="n">
        <x:f>ROUND(MAX(0,MIN(100,0.25*O47+0.25*Q47+0.20*Y47+0.15*U47+0.15*(100-L47))),0)</x:f>
        <x:v>60</x:v>
      </x:c>
      <x:c r="AE47" s="12" t="n">
        <x:f>ROUND(MAX(0,MIN(100,0.30*Y47+0.25*S47+0.15*Q47+0.15*T47+0.15*X47)),0)</x:f>
        <x:v>52</x:v>
      </x:c>
      <x:c r="AF47" s="12" t="n">
        <x:f>ROUND(MAX(0,MIN(100,0.65*X47+0.35*Y47)),0)</x:f>
        <x:v>67</x:v>
      </x:c>
      <x:c r="AG47" s="12" t="str">
        <x:v>https://wikiwiki.jp/poke-unite/%E3%82%AB%E3%82%A4%E3%83%AA%E3%83%A5%E3%83%BC</x:v>
      </x:c>
      <x:c r="AH47" s="12" t="str">
        <x:v>「はかいこうせん」を遠くから撃ち込み、レックウザなど大事な野生ポケモンの取り切りを狙う戦い方です。育つまでは我慢が必要ですが、一番大事な場面で決めたい人に向いています。</x:v>
      </x:c>
      <x:c r="AI47" s="12" t="str">
        <x:v>取り切りが得意・育つと化ける・長く戦う</x:v>
      </x:c>
      <x:c r="AJ47" s="12" t="n">
        <x:v>0</x:v>
      </x:c>
    </x:row>
    <x:row r="48">
      <x:c r="A48" s="12" t="str">
        <x:v>カイリュー</x:v>
      </x:c>
      <x:c r="B48" s="12" t="str">
        <x:v>バランス型</x:v>
      </x:c>
      <x:c r="C48" s="12" t="str">
        <x:v>カイリュー-2</x:v>
      </x:c>
      <x:c r="D48" s="12" t="str">
        <x:v>げきりん</x:v>
      </x:c>
      <x:c r="E48" s="12" t="str">
        <x:v>Juggernaut / Diver</x:v>
      </x:c>
      <x:c r="F48" s="12" t="str">
        <x:v>Juggernaut</x:v>
      </x:c>
      <x:c r="G48" s="12" t="str">
        <x:v>Diver</x:v>
      </x:c>
      <x:c r="H48" s="12" t="str">
        <x:v>立ち位置・戦闘距離・役割が大きく変わるため別プロファイル</x:v>
      </x:c>
      <x:c r="I48" s="12" t="str">
        <x:v>高</x:v>
      </x:c>
      <x:c r="J48" s="12" t="str">
        <x:v>2026-09-30</x:v>
      </x:c>
      <x:c r="K48" s="12" t="n">
        <x:v>70</x:v>
      </x:c>
      <x:c r="L48" s="12" t="n">
        <x:v>75</x:v>
      </x:c>
      <x:c r="M48" s="12" t="n">
        <x:v>20</x:v>
      </x:c>
      <x:c r="N48" s="12" t="n">
        <x:v>95</x:v>
      </x:c>
      <x:c r="O48" s="12" t="n">
        <x:v>0</x:v>
      </x:c>
      <x:c r="P48" s="12" t="n">
        <x:v>55</x:v>
      </x:c>
      <x:c r="Q48" s="12" t="n">
        <x:v>50</x:v>
      </x:c>
      <x:c r="R48" s="12" t="n">
        <x:v>0</x:v>
      </x:c>
      <x:c r="S48" s="12" t="n">
        <x:v>55</x:v>
      </x:c>
      <x:c r="T48" s="12" t="n">
        <x:v>85</x:v>
      </x:c>
      <x:c r="U48" s="12" t="n">
        <x:v>70</x:v>
      </x:c>
      <x:c r="V48" s="12" t="n">
        <x:v>65</x:v>
      </x:c>
      <x:c r="W48" s="12" t="n">
        <x:v>55</x:v>
      </x:c>
      <x:c r="X48" s="12" t="n">
        <x:v>60</x:v>
      </x:c>
      <x:c r="Y48" s="12" t="n">
        <x:v>60</x:v>
      </x:c>
      <x:c r="Z48" s="12" t="n">
        <x:f>ROUND(MAX(0,MIN(100,0.40*K48+0.20*L48+0.10*S48+0.15*V48+0.15*Y48)),0)</x:f>
        <x:v>67</x:v>
      </x:c>
      <x:c r="AA48" s="12" t="n">
        <x:f>ROUND(MAX(0,MIN(100,0.30*L48+0.20*K48+0.15*V48+0.15*W48+0.10*S48+0.10*(100-M48))),0)</x:f>
        <x:v>68</x:v>
      </x:c>
      <x:c r="AB48" s="12" t="n">
        <x:f>ROUND(MAX(0,MIN(100,0.30*M48+0.25*R48+0.20*Q48+0.15*K48+0.10*(100-T48))),0)</x:f>
        <x:v>28</x:v>
      </x:c>
      <x:c r="AC48" s="12" t="n">
        <x:f>ROUND(MAX(0,MIN(100,0.55*T48+0.15*S48+0.10*N48+0.10*V48+0.10*W48)),0)</x:f>
        <x:v>77</x:v>
      </x:c>
      <x:c r="AD48" s="12" t="n">
        <x:f>ROUND(MAX(0,MIN(100,0.25*O48+0.25*Q48+0.20*Y48+0.15*U48+0.15*(100-L48))),0)</x:f>
        <x:v>39</x:v>
      </x:c>
      <x:c r="AE48" s="12" t="n">
        <x:f>ROUND(MAX(0,MIN(100,0.30*Y48+0.25*S48+0.15*Q48+0.15*T48+0.15*X48)),0)</x:f>
        <x:v>61</x:v>
      </x:c>
      <x:c r="AF48" s="12" t="n">
        <x:f>ROUND(MAX(0,MIN(100,0.65*X48+0.35*Y48)),0)</x:f>
        <x:v>60</x:v>
      </x:c>
      <x:c r="AG48" s="12" t="str">
        <x:v>https://wikiwiki.jp/poke-unite/%E3%82%AB%E3%82%A4%E3%83%AA%E3%83%A5%E3%83%BC</x:v>
      </x:c>
      <x:c r="AH48" s="12" t="str">
        <x:v>「げきりん」で暴れ回り、近い距離で殴り合いを制する戦い方です。前線に居座って、一人でも相手をなぎ倒したい人に向いています。</x:v>
      </x:c>
      <x:c r="AI48" s="12" t="str">
        <x:v>前線を支える・一人で仕事を作る・近距離で戦う</x:v>
      </x:c>
      <x:c r="AJ48" s="12" t="n">
        <x:v>0</x:v>
      </x:c>
    </x:row>
    <x:row r="49">
      <x:c r="A49" s="12" t="str">
        <x:v>ガブリアス</x:v>
      </x:c>
      <x:c r="B49" s="12" t="str">
        <x:v>バランス型</x:v>
      </x:c>
      <x:c r="C49" s="12" t="str">
        <x:v>ガブリアス-1</x:v>
      </x:c>
      <x:c r="D49" s="12" t="str">
        <x:v>共通</x:v>
      </x:c>
      <x:c r="E49" s="12" t="str">
        <x:v>Juggernaut</x:v>
      </x:c>
      <x:c r="F49" s="12" t="str">
        <x:v>Juggernaut</x:v>
      </x:c>
      <x:c r="G49" s="12"/>
      <x:c r="H49" s="12" t="str">
        <x:v>技で細部は変わるが、診断上のプレイ人格は大きく変わらないため統合</x:v>
      </x:c>
      <x:c r="I49" s="12" t="str">
        <x:v>高</x:v>
      </x:c>
      <x:c r="J49" s="12" t="str">
        <x:v>2026-09-30</x:v>
      </x:c>
      <x:c r="K49" s="12" t="n">
        <x:v>55</x:v>
      </x:c>
      <x:c r="L49" s="12" t="n">
        <x:v>55</x:v>
      </x:c>
      <x:c r="M49" s="12" t="n">
        <x:v>35</x:v>
      </x:c>
      <x:c r="N49" s="12" t="n">
        <x:v>100</x:v>
      </x:c>
      <x:c r="O49" s="12" t="n">
        <x:v>10</x:v>
      </x:c>
      <x:c r="P49" s="12" t="n">
        <x:v>95</x:v>
      </x:c>
      <x:c r="Q49" s="12" t="n">
        <x:v>30</x:v>
      </x:c>
      <x:c r="R49" s="12" t="n">
        <x:v>5</x:v>
      </x:c>
      <x:c r="S49" s="12" t="n">
        <x:v>15</x:v>
      </x:c>
      <x:c r="T49" s="12" t="n">
        <x:v>80</x:v>
      </x:c>
      <x:c r="U49" s="12" t="n">
        <x:v>80</x:v>
      </x:c>
      <x:c r="V49" s="12" t="n">
        <x:v>90</x:v>
      </x:c>
      <x:c r="W49" s="12" t="n">
        <x:v>40</x:v>
      </x:c>
      <x:c r="X49" s="12" t="n">
        <x:v>50</x:v>
      </x:c>
      <x:c r="Y49" s="12" t="n">
        <x:v>50</x:v>
      </x:c>
      <x:c r="Z49" s="12" t="n">
        <x:f>ROUND(MAX(0,MIN(100,0.40*K49+0.20*L49+0.10*S49+0.15*V49+0.15*Y49)),0)</x:f>
        <x:v>56</x:v>
      </x:c>
      <x:c r="AA49" s="12" t="n">
        <x:f>ROUND(MAX(0,MIN(100,0.30*L49+0.20*K49+0.15*V49+0.15*W49+0.10*S49+0.10*(100-M49))),0)</x:f>
        <x:v>55</x:v>
      </x:c>
      <x:c r="AB49" s="12" t="n">
        <x:f>ROUND(MAX(0,MIN(100,0.30*M49+0.25*R49+0.20*Q49+0.15*K49+0.10*(100-T49))),0)</x:f>
        <x:v>28</x:v>
      </x:c>
      <x:c r="AC49" s="12" t="n">
        <x:f>ROUND(MAX(0,MIN(100,0.55*T49+0.15*S49+0.10*N49+0.10*V49+0.10*W49)),0)</x:f>
        <x:v>69</x:v>
      </x:c>
      <x:c r="AD49" s="12" t="n">
        <x:f>ROUND(MAX(0,MIN(100,0.25*O49+0.25*Q49+0.20*Y49+0.15*U49+0.15*(100-L49))),0)</x:f>
        <x:v>39</x:v>
      </x:c>
      <x:c r="AE49" s="12" t="n">
        <x:f>ROUND(MAX(0,MIN(100,0.30*Y49+0.25*S49+0.15*Q49+0.15*T49+0.15*X49)),0)</x:f>
        <x:v>43</x:v>
      </x:c>
      <x:c r="AF49" s="12" t="n">
        <x:f>ROUND(MAX(0,MIN(100,0.65*X49+0.35*Y49)),0)</x:f>
        <x:v>50</x:v>
      </x:c>
      <x:c r="AG49" s="12" t="str">
        <x:v>https://wikiwiki.jp/poke-unite/%E3%82%AC%E3%83%96%E3%83%AA%E3%82%A2%E3%82%B9</x:v>
      </x:c>
      <x:c r="AH49" s="12" t="str">
        <x:v>殴り合いの強さと、野生ポケモンを削る速さが際立つファイターです。前線に立ち続け、終盤の取り切り争いまで自分で決めたい人に向いています。</x:v>
      </x:c>
      <x:c r="AI49" s="12" t="str">
        <x:v>長く戦う・前線を支える・取り切りが得意</x:v>
      </x:c>
      <x:c r="AJ49" s="12" t="n">
        <x:v>0</x:v>
      </x:c>
    </x:row>
    <x:row r="50">
      <x:c r="A50" s="12" t="str">
        <x:v>ギャラドス</x:v>
      </x:c>
      <x:c r="B50" s="12" t="str">
        <x:v>バランス型</x:v>
      </x:c>
      <x:c r="C50" s="12" t="str">
        <x:v>ギャラドス-1</x:v>
      </x:c>
      <x:c r="D50" s="12" t="str">
        <x:v>共通</x:v>
      </x:c>
      <x:c r="E50" s="12" t="str">
        <x:v>Diver</x:v>
      </x:c>
      <x:c r="F50" s="12" t="str">
        <x:v>Diver</x:v>
      </x:c>
      <x:c r="G50" s="12"/>
      <x:c r="H50" s="12" t="str">
        <x:v>技で細部は変わるが、診断上のプレイ人格は大きく変わらないため統合</x:v>
      </x:c>
      <x:c r="I50" s="12" t="str">
        <x:v>高</x:v>
      </x:c>
      <x:c r="J50" s="12" t="str">
        <x:v>2026-09-30</x:v>
      </x:c>
      <x:c r="K50" s="12" t="n">
        <x:v>95</x:v>
      </x:c>
      <x:c r="L50" s="12" t="n">
        <x:v>85</x:v>
      </x:c>
      <x:c r="M50" s="12" t="n">
        <x:v>20</x:v>
      </x:c>
      <x:c r="N50" s="12" t="n">
        <x:v>55</x:v>
      </x:c>
      <x:c r="O50" s="12" t="n">
        <x:v>10</x:v>
      </x:c>
      <x:c r="P50" s="12" t="n">
        <x:v>35</x:v>
      </x:c>
      <x:c r="Q50" s="12" t="n">
        <x:v>45</x:v>
      </x:c>
      <x:c r="R50" s="12" t="n">
        <x:v>5</x:v>
      </x:c>
      <x:c r="S50" s="12" t="n">
        <x:v>80</x:v>
      </x:c>
      <x:c r="T50" s="12" t="n">
        <x:v>70</x:v>
      </x:c>
      <x:c r="U50" s="12" t="n">
        <x:v>60</x:v>
      </x:c>
      <x:c r="V50" s="12" t="n">
        <x:v>60</x:v>
      </x:c>
      <x:c r="W50" s="12" t="n">
        <x:v>55</x:v>
      </x:c>
      <x:c r="X50" s="12" t="n">
        <x:v>65</x:v>
      </x:c>
      <x:c r="Y50" s="12" t="n">
        <x:v>70</x:v>
      </x:c>
      <x:c r="Z50" s="12" t="n">
        <x:f>ROUND(MAX(0,MIN(100,0.40*K50+0.20*L50+0.10*S50+0.15*V50+0.15*Y50)),0)</x:f>
        <x:v>83</x:v>
      </x:c>
      <x:c r="AA50" s="12" t="n">
        <x:f>ROUND(MAX(0,MIN(100,0.30*L50+0.20*K50+0.15*V50+0.15*W50+0.10*S50+0.10*(100-M50))),0)</x:f>
        <x:v>78</x:v>
      </x:c>
      <x:c r="AB50" s="12" t="n">
        <x:f>ROUND(MAX(0,MIN(100,0.30*M50+0.25*R50+0.20*Q50+0.15*K50+0.10*(100-T50))),0)</x:f>
        <x:v>34</x:v>
      </x:c>
      <x:c r="AC50" s="12" t="n">
        <x:f>ROUND(MAX(0,MIN(100,0.55*T50+0.15*S50+0.10*N50+0.10*V50+0.10*W50)),0)</x:f>
        <x:v>68</x:v>
      </x:c>
      <x:c r="AD50" s="12" t="n">
        <x:f>ROUND(MAX(0,MIN(100,0.25*O50+0.25*Q50+0.20*Y50+0.15*U50+0.15*(100-L50))),0)</x:f>
        <x:v>39</x:v>
      </x:c>
      <x:c r="AE50" s="12" t="n">
        <x:f>ROUND(MAX(0,MIN(100,0.30*Y50+0.25*S50+0.15*Q50+0.15*T50+0.15*X50)),0)</x:f>
        <x:v>68</x:v>
      </x:c>
      <x:c r="AF50" s="12" t="n">
        <x:f>ROUND(MAX(0,MIN(100,0.65*X50+0.35*Y50)),0)</x:f>
        <x:v>67</x:v>
      </x:c>
      <x:c r="AG50" s="12" t="str">
        <x:v>https://wikiwiki.jp/poke-unite/%E3%82%AE%E3%83%A3%E3%83%A9%E3%83%89%E3%82%B9</x:v>
      </x:c>
      <x:c r="AH50" s="12" t="str">
        <x:v>コイキングの時期を乗り越えると、突進技で相手に飛び込む強力なファイターに変わります。自分から戦いを仕掛け、乱戦の中心で暴れたい人に向いています。</x:v>
      </x:c>
      <x:c r="AI50" s="12" t="str">
        <x:v>自分から仕掛ける・後衛まで踏み込む・近距離で戦う</x:v>
      </x:c>
      <x:c r="AJ50" s="12" t="n">
        <x:v>0</x:v>
      </x:c>
    </x:row>
    <x:row r="51">
      <x:c r="A51" s="12" t="str">
        <x:v>メガギャラドス</x:v>
      </x:c>
      <x:c r="B51" s="12" t="str">
        <x:v>バランス型</x:v>
      </x:c>
      <x:c r="C51" s="12" t="str">
        <x:v>メガギャラドス-1</x:v>
      </x:c>
      <x:c r="D51" s="12" t="str">
        <x:v>共通</x:v>
      </x:c>
      <x:c r="E51" s="12" t="str">
        <x:v>Diver</x:v>
      </x:c>
      <x:c r="F51" s="12" t="str">
        <x:v>Diver</x:v>
      </x:c>
      <x:c r="G51" s="12"/>
      <x:c r="H51" s="12" t="str">
        <x:v>技で細部は変わるが、診断上のプレイ人格は大きく変わらないため統合</x:v>
      </x:c>
      <x:c r="I51" s="12" t="str">
        <x:v>中</x:v>
      </x:c>
      <x:c r="J51" s="12" t="str">
        <x:v>2026-09-30</x:v>
      </x:c>
      <x:c r="K51" s="12" t="n">
        <x:v>80</x:v>
      </x:c>
      <x:c r="L51" s="12" t="n">
        <x:v>90</x:v>
      </x:c>
      <x:c r="M51" s="12" t="n">
        <x:v>20</x:v>
      </x:c>
      <x:c r="N51" s="12" t="n">
        <x:v>80</x:v>
      </x:c>
      <x:c r="O51" s="12" t="n">
        <x:v>10</x:v>
      </x:c>
      <x:c r="P51" s="12" t="n">
        <x:v>55</x:v>
      </x:c>
      <x:c r="Q51" s="12" t="n">
        <x:v>45</x:v>
      </x:c>
      <x:c r="R51" s="12" t="n">
        <x:v>5</x:v>
      </x:c>
      <x:c r="S51" s="12" t="n">
        <x:v>90</x:v>
      </x:c>
      <x:c r="T51" s="12" t="n">
        <x:v>80</x:v>
      </x:c>
      <x:c r="U51" s="12" t="n">
        <x:v>60</x:v>
      </x:c>
      <x:c r="V51" s="12" t="n">
        <x:v>60</x:v>
      </x:c>
      <x:c r="W51" s="12" t="n">
        <x:v>55</x:v>
      </x:c>
      <x:c r="X51" s="12" t="n">
        <x:v>65</x:v>
      </x:c>
      <x:c r="Y51" s="12" t="n">
        <x:v>70</x:v>
      </x:c>
      <x:c r="Z51" s="12" t="n">
        <x:f>ROUND(MAX(0,MIN(100,0.40*K51+0.20*L51+0.10*S51+0.15*V51+0.15*Y51)),0)</x:f>
        <x:v>79</x:v>
      </x:c>
      <x:c r="AA51" s="12" t="n">
        <x:f>ROUND(MAX(0,MIN(100,0.30*L51+0.20*K51+0.15*V51+0.15*W51+0.10*S51+0.10*(100-M51))),0)</x:f>
        <x:v>77</x:v>
      </x:c>
      <x:c r="AB51" s="12" t="n">
        <x:f>ROUND(MAX(0,MIN(100,0.30*M51+0.25*R51+0.20*Q51+0.15*K51+0.10*(100-T51))),0)</x:f>
        <x:v>30</x:v>
      </x:c>
      <x:c r="AC51" s="12" t="n">
        <x:f>ROUND(MAX(0,MIN(100,0.55*T51+0.15*S51+0.10*N51+0.10*V51+0.10*W51)),0)</x:f>
        <x:v>77</x:v>
      </x:c>
      <x:c r="AD51" s="12" t="n">
        <x:f>ROUND(MAX(0,MIN(100,0.25*O51+0.25*Q51+0.20*Y51+0.15*U51+0.15*(100-L51))),0)</x:f>
        <x:v>38</x:v>
      </x:c>
      <x:c r="AE51" s="12" t="n">
        <x:f>ROUND(MAX(0,MIN(100,0.30*Y51+0.25*S51+0.15*Q51+0.15*T51+0.15*X51)),0)</x:f>
        <x:v>72</x:v>
      </x:c>
      <x:c r="AF51" s="12" t="n">
        <x:f>ROUND(MAX(0,MIN(100,0.65*X51+0.35*Y51)),0)</x:f>
        <x:v>67</x:v>
      </x:c>
      <x:c r="AG51" s="12" t="str">
        <x:v>https://wikiwiki.jp/poke-unite/%E3%83%A1%E3%82%AC%E3%82%AE%E3%83%A3%E3%83%A9%E3%83%89%E3%82%B9</x:v>
      </x:c>
      <x:c r="AH51" s="12" t="str">
        <x:v>メガシンカ後は「りゅうのいぶき」で捕まえた相手に張り付き、逃がさず攻め続けるファイターです。狙った相手をしつこく追い、自分の力で倒し切りたい人に向いています。</x:v>
      </x:c>
      <x:c r="AI51" s="12" t="str">
        <x:v>後衛まで踏み込む・自分から仕掛ける・一人で仕事を作る</x:v>
      </x:c>
      <x:c r="AJ51" s="12" t="n">
        <x:v>0.5</x:v>
      </x:c>
    </x:row>
    <x:row r="52">
      <x:c r="A52" s="12" t="str">
        <x:v>ギルガルド</x:v>
      </x:c>
      <x:c r="B52" s="12" t="str">
        <x:v>バランス型</x:v>
      </x:c>
      <x:c r="C52" s="12" t="str">
        <x:v>ギルガルド-1</x:v>
      </x:c>
      <x:c r="D52" s="12" t="str">
        <x:v>共通</x:v>
      </x:c>
      <x:c r="E52" s="12" t="str">
        <x:v>Skirmisher</x:v>
      </x:c>
      <x:c r="F52" s="12" t="str">
        <x:v>Skirmisher</x:v>
      </x:c>
      <x:c r="G52" s="12"/>
      <x:c r="H52" s="12" t="str">
        <x:v>技で細部は変わるが、診断上のプレイ人格は大きく変わらないため統合</x:v>
      </x:c>
      <x:c r="I52" s="12" t="str">
        <x:v>高</x:v>
      </x:c>
      <x:c r="J52" s="12" t="str">
        <x:v>2026-09-30</x:v>
      </x:c>
      <x:c r="K52" s="12" t="n">
        <x:v>60</x:v>
      </x:c>
      <x:c r="L52" s="12" t="n">
        <x:v>80</x:v>
      </x:c>
      <x:c r="M52" s="12" t="n">
        <x:v>25</x:v>
      </x:c>
      <x:c r="N52" s="12" t="n">
        <x:v>85</x:v>
      </x:c>
      <x:c r="O52" s="12" t="n">
        <x:v>20</x:v>
      </x:c>
      <x:c r="P52" s="12" t="n">
        <x:v>70</x:v>
      </x:c>
      <x:c r="Q52" s="12" t="n">
        <x:v>35</x:v>
      </x:c>
      <x:c r="R52" s="12" t="n">
        <x:v>5</x:v>
      </x:c>
      <x:c r="S52" s="12" t="n">
        <x:v>70</x:v>
      </x:c>
      <x:c r="T52" s="12" t="n">
        <x:v>75</x:v>
      </x:c>
      <x:c r="U52" s="12" t="n">
        <x:v>70</x:v>
      </x:c>
      <x:c r="V52" s="12" t="n">
        <x:v>65</x:v>
      </x:c>
      <x:c r="W52" s="12" t="n">
        <x:v>65</x:v>
      </x:c>
      <x:c r="X52" s="12" t="n">
        <x:v>90</x:v>
      </x:c>
      <x:c r="Y52" s="12" t="n">
        <x:v>65</x:v>
      </x:c>
      <x:c r="Z52" s="12" t="n">
        <x:f>ROUND(MAX(0,MIN(100,0.40*K52+0.20*L52+0.10*S52+0.15*V52+0.15*Y52)),0)</x:f>
        <x:v>67</x:v>
      </x:c>
      <x:c r="AA52" s="12" t="n">
        <x:f>ROUND(MAX(0,MIN(100,0.30*L52+0.20*K52+0.15*V52+0.15*W52+0.10*S52+0.10*(100-M52))),0)</x:f>
        <x:v>70</x:v>
      </x:c>
      <x:c r="AB52" s="12" t="n">
        <x:f>ROUND(MAX(0,MIN(100,0.30*M52+0.25*R52+0.20*Q52+0.15*K52+0.10*(100-T52))),0)</x:f>
        <x:v>27</x:v>
      </x:c>
      <x:c r="AC52" s="12" t="n">
        <x:f>ROUND(MAX(0,MIN(100,0.55*T52+0.15*S52+0.10*N52+0.10*V52+0.10*W52)),0)</x:f>
        <x:v>73</x:v>
      </x:c>
      <x:c r="AD52" s="12" t="n">
        <x:f>ROUND(MAX(0,MIN(100,0.25*O52+0.25*Q52+0.20*Y52+0.15*U52+0.15*(100-L52))),0)</x:f>
        <x:v>40</x:v>
      </x:c>
      <x:c r="AE52" s="12" t="n">
        <x:f>ROUND(MAX(0,MIN(100,0.30*Y52+0.25*S52+0.15*Q52+0.15*T52+0.15*X52)),0)</x:f>
        <x:v>67</x:v>
      </x:c>
      <x:c r="AF52" s="12" t="n">
        <x:f>ROUND(MAX(0,MIN(100,0.65*X52+0.35*Y52)),0)</x:f>
        <x:v>81</x:v>
      </x:c>
      <x:c r="AG52" s="12" t="str">
        <x:v>https://wikiwiki.jp/poke-unite/%E3%82%AE%E3%83%AB%E3%82%AC%E3%83%AB%E3%83%89</x:v>
      </x:c>
      <x:c r="AH52" s="12" t="str">
        <x:v>シールドフォルムとブレードフォルムを切り替え、守りと攻めを使い分けるファイターです。フォルムチェンジのタイミングで強さが大きく変わるので、操作を極めたい人に向いています。</x:v>
      </x:c>
      <x:c r="AI52" s="12" t="str">
        <x:v>操作を極める・前線を支える・一人で仕事を作る</x:v>
      </x:c>
      <x:c r="AJ52" s="12" t="n">
        <x:v>0</x:v>
      </x:c>
    </x:row>
    <x:row r="53">
      <x:c r="A53" s="12" t="str">
        <x:v>ザシアン</x:v>
      </x:c>
      <x:c r="B53" s="12" t="str">
        <x:v>バランス型</x:v>
      </x:c>
      <x:c r="C53" s="12" t="str">
        <x:v>ザシアン-1</x:v>
      </x:c>
      <x:c r="D53" s="12" t="str">
        <x:v>共通</x:v>
      </x:c>
      <x:c r="E53" s="12" t="str">
        <x:v>Skirmisher</x:v>
      </x:c>
      <x:c r="F53" s="12" t="str">
        <x:v>Skirmisher</x:v>
      </x:c>
      <x:c r="G53" s="12"/>
      <x:c r="H53" s="12" t="str">
        <x:v>技で細部は変わるが、診断上のプレイ人格は大きく変わらないため統合</x:v>
      </x:c>
      <x:c r="I53" s="12" t="str">
        <x:v>高</x:v>
      </x:c>
      <x:c r="J53" s="12" t="str">
        <x:v>2026-09-30</x:v>
      </x:c>
      <x:c r="K53" s="12" t="n">
        <x:v>65</x:v>
      </x:c>
      <x:c r="L53" s="12" t="n">
        <x:v>80</x:v>
      </x:c>
      <x:c r="M53" s="12" t="n">
        <x:v>25</x:v>
      </x:c>
      <x:c r="N53" s="12" t="n">
        <x:v>75</x:v>
      </x:c>
      <x:c r="O53" s="12" t="n">
        <x:v>20</x:v>
      </x:c>
      <x:c r="P53" s="12" t="n">
        <x:v>65</x:v>
      </x:c>
      <x:c r="Q53" s="12" t="n">
        <x:v>35</x:v>
      </x:c>
      <x:c r="R53" s="12" t="n">
        <x:v>5</x:v>
      </x:c>
      <x:c r="S53" s="12" t="n">
        <x:v>80</x:v>
      </x:c>
      <x:c r="T53" s="12" t="n">
        <x:v>85</x:v>
      </x:c>
      <x:c r="U53" s="12" t="n">
        <x:v>45</x:v>
      </x:c>
      <x:c r="V53" s="12" t="n">
        <x:v>75</x:v>
      </x:c>
      <x:c r="W53" s="12" t="n">
        <x:v>55</x:v>
      </x:c>
      <x:c r="X53" s="12" t="n">
        <x:v>70</x:v>
      </x:c>
      <x:c r="Y53" s="12" t="n">
        <x:v>65</x:v>
      </x:c>
      <x:c r="Z53" s="12" t="n">
        <x:f>ROUND(MAX(0,MIN(100,0.40*K53+0.20*L53+0.10*S53+0.15*V53+0.15*Y53)),0)</x:f>
        <x:v>71</x:v>
      </x:c>
      <x:c r="AA53" s="12" t="n">
        <x:f>ROUND(MAX(0,MIN(100,0.30*L53+0.20*K53+0.15*V53+0.15*W53+0.10*S53+0.10*(100-M53))),0)</x:f>
        <x:v>72</x:v>
      </x:c>
      <x:c r="AB53" s="12" t="n">
        <x:f>ROUND(MAX(0,MIN(100,0.30*M53+0.25*R53+0.20*Q53+0.15*K53+0.10*(100-T53))),0)</x:f>
        <x:v>27</x:v>
      </x:c>
      <x:c r="AC53" s="12" t="n">
        <x:f>ROUND(MAX(0,MIN(100,0.55*T53+0.15*S53+0.10*N53+0.10*V53+0.10*W53)),0)</x:f>
        <x:v>79</x:v>
      </x:c>
      <x:c r="AD53" s="12" t="n">
        <x:f>ROUND(MAX(0,MIN(100,0.25*O53+0.25*Q53+0.20*Y53+0.15*U53+0.15*(100-L53))),0)</x:f>
        <x:v>37</x:v>
      </x:c>
      <x:c r="AE53" s="12" t="n">
        <x:f>ROUND(MAX(0,MIN(100,0.30*Y53+0.25*S53+0.15*Q53+0.15*T53+0.15*X53)),0)</x:f>
        <x:v>68</x:v>
      </x:c>
      <x:c r="AF53" s="12" t="n">
        <x:f>ROUND(MAX(0,MIN(100,0.65*X53+0.35*Y53)),0)</x:f>
        <x:v>68</x:v>
      </x:c>
      <x:c r="AG53" s="12" t="str">
        <x:v>https://wikiwiki.jp/poke-unite/%E3%82%B6%E3%82%B7%E3%82%A2%E3%83%B3</x:v>
      </x:c>
      <x:c r="AH53" s="12" t="str">
        <x:v>エオスエナジーを使って通常攻撃とわざを強化し、序盤から強気に戦える伝説のファイターです。強化した攻撃で野生ポケモンも相手も押し切り、ユナイトわざで最後の取り切りまで決めたい人に向いています。</x:v>
      </x:c>
      <x:c r="AI53" s="12" t="str">
        <x:v>一人で仕事を作る・後衛まで踏み込む・取り切りが得意</x:v>
      </x:c>
      <x:c r="AJ53" s="12" t="n">
        <x:v>0</x:v>
      </x:c>
    </x:row>
    <x:row r="54">
      <x:c r="A54" s="12" t="str">
        <x:v>スイクン</x:v>
      </x:c>
      <x:c r="B54" s="12" t="str">
        <x:v>バランス型</x:v>
      </x:c>
      <x:c r="C54" s="12" t="str">
        <x:v>スイクン-1</x:v>
      </x:c>
      <x:c r="D54" s="12" t="str">
        <x:v>共通</x:v>
      </x:c>
      <x:c r="E54" s="12" t="str">
        <x:v>BurstMage</x:v>
      </x:c>
      <x:c r="F54" s="12" t="str">
        <x:v>BurstMage</x:v>
      </x:c>
      <x:c r="G54" s="12"/>
      <x:c r="H54" s="12" t="str">
        <x:v>技で細部は変わるが、診断上のプレイ人格は大きく変わらないため統合</x:v>
      </x:c>
      <x:c r="I54" s="12" t="str">
        <x:v>高</x:v>
      </x:c>
      <x:c r="J54" s="12" t="str">
        <x:v>2026-09-30</x:v>
      </x:c>
      <x:c r="K54" s="12" t="n">
        <x:v>30</x:v>
      </x:c>
      <x:c r="L54" s="12" t="n">
        <x:v>15</x:v>
      </x:c>
      <x:c r="M54" s="12" t="n">
        <x:v>35</x:v>
      </x:c>
      <x:c r="N54" s="12" t="n">
        <x:v>25</x:v>
      </x:c>
      <x:c r="O54" s="12" t="n">
        <x:v>75</x:v>
      </x:c>
      <x:c r="P54" s="12" t="n">
        <x:v>25</x:v>
      </x:c>
      <x:c r="Q54" s="12" t="n">
        <x:v>85</x:v>
      </x:c>
      <x:c r="R54" s="12" t="n">
        <x:v>10</x:v>
      </x:c>
      <x:c r="S54" s="12" t="n">
        <x:v>5</x:v>
      </x:c>
      <x:c r="T54" s="12" t="n">
        <x:v>35</x:v>
      </x:c>
      <x:c r="U54" s="12" t="n">
        <x:v>65</x:v>
      </x:c>
      <x:c r="V54" s="12" t="n">
        <x:v>50</x:v>
      </x:c>
      <x:c r="W54" s="12" t="n">
        <x:v>25</x:v>
      </x:c>
      <x:c r="X54" s="12" t="n">
        <x:v>60</x:v>
      </x:c>
      <x:c r="Y54" s="12" t="n">
        <x:v>70</x:v>
      </x:c>
      <x:c r="Z54" s="12" t="n">
        <x:f>ROUND(MAX(0,MIN(100,0.40*K54+0.20*L54+0.10*S54+0.15*V54+0.15*Y54)),0)</x:f>
        <x:v>34</x:v>
      </x:c>
      <x:c r="AA54" s="12" t="n">
        <x:f>ROUND(MAX(0,MIN(100,0.30*L54+0.20*K54+0.15*V54+0.15*W54+0.10*S54+0.10*(100-M54))),0)</x:f>
        <x:v>29</x:v>
      </x:c>
      <x:c r="AB54" s="12" t="n">
        <x:f>ROUND(MAX(0,MIN(100,0.30*M54+0.25*R54+0.20*Q54+0.15*K54+0.10*(100-T54))),0)</x:f>
        <x:v>41</x:v>
      </x:c>
      <x:c r="AC54" s="12" t="n">
        <x:f>ROUND(MAX(0,MIN(100,0.55*T54+0.15*S54+0.10*N54+0.10*V54+0.10*W54)),0)</x:f>
        <x:v>30</x:v>
      </x:c>
      <x:c r="AD54" s="12" t="n">
        <x:f>ROUND(MAX(0,MIN(100,0.25*O54+0.25*Q54+0.20*Y54+0.15*U54+0.15*(100-L54))),0)</x:f>
        <x:v>77</x:v>
      </x:c>
      <x:c r="AE54" s="12" t="n">
        <x:f>ROUND(MAX(0,MIN(100,0.30*Y54+0.25*S54+0.15*Q54+0.15*T54+0.15*X54)),0)</x:f>
        <x:v>49</x:v>
      </x:c>
      <x:c r="AF54" s="12" t="n">
        <x:f>ROUND(MAX(0,MIN(100,0.65*X54+0.35*Y54)),0)</x:f>
        <x:v>64</x:v>
      </x:c>
      <x:c r="AG54" s="12" t="str">
        <x:v>https://wikiwiki.jp/poke-unite/%E3%82%B9%E3%82%A4%E3%82%AF%E3%83%B3</x:v>
      </x:c>
      <x:c r="AH54" s="12" t="str">
        <x:v>広い範囲の技で相手をこおり状態にし、弱った相手を確実に仕留める伝説のポケモンです。中距離に構えて、集団戦の流れを凍らせたい人に向いています。</x:v>
      </x:c>
      <x:c r="AI54" s="12" t="str">
        <x:v>動きを止める・遠くから削る・陣取って戦う</x:v>
      </x:c>
      <x:c r="AJ54" s="12" t="n">
        <x:v>0</x:v>
      </x:c>
    </x:row>
    <x:row r="55">
      <x:c r="A55" s="12" t="str">
        <x:v>ソウブレイズ</x:v>
      </x:c>
      <x:c r="B55" s="12" t="str">
        <x:v>バランス型</x:v>
      </x:c>
      <x:c r="C55" s="12" t="str">
        <x:v>ソウブレイズ-1</x:v>
      </x:c>
      <x:c r="D55" s="12" t="str">
        <x:v>共通</x:v>
      </x:c>
      <x:c r="E55" s="12" t="str">
        <x:v>Skirmisher</x:v>
      </x:c>
      <x:c r="F55" s="12" t="str">
        <x:v>Skirmisher</x:v>
      </x:c>
      <x:c r="G55" s="12"/>
      <x:c r="H55" s="12" t="str">
        <x:v>技で細部は変わるが、診断上のプレイ人格は大きく変わらないため統合</x:v>
      </x:c>
      <x:c r="I55" s="12" t="str">
        <x:v>高</x:v>
      </x:c>
      <x:c r="J55" s="12" t="str">
        <x:v>2026-09-30</x:v>
      </x:c>
      <x:c r="K55" s="12" t="n">
        <x:v>60</x:v>
      </x:c>
      <x:c r="L55" s="12" t="n">
        <x:v>80</x:v>
      </x:c>
      <x:c r="M55" s="12" t="n">
        <x:v>25</x:v>
      </x:c>
      <x:c r="N55" s="12" t="n">
        <x:v>75</x:v>
      </x:c>
      <x:c r="O55" s="12" t="n">
        <x:v>20</x:v>
      </x:c>
      <x:c r="P55" s="12" t="n">
        <x:v>85</x:v>
      </x:c>
      <x:c r="Q55" s="12" t="n">
        <x:v>20</x:v>
      </x:c>
      <x:c r="R55" s="12" t="n">
        <x:v>5</x:v>
      </x:c>
      <x:c r="S55" s="12" t="n">
        <x:v>80</x:v>
      </x:c>
      <x:c r="T55" s="12" t="n">
        <x:v>90</x:v>
      </x:c>
      <x:c r="U55" s="12" t="n">
        <x:v>70</x:v>
      </x:c>
      <x:c r="V55" s="12" t="n">
        <x:v>75</x:v>
      </x:c>
      <x:c r="W55" s="12" t="n">
        <x:v>65</x:v>
      </x:c>
      <x:c r="X55" s="12" t="n">
        <x:v>70</x:v>
      </x:c>
      <x:c r="Y55" s="12" t="n">
        <x:v>65</x:v>
      </x:c>
      <x:c r="Z55" s="12" t="n">
        <x:f>ROUND(MAX(0,MIN(100,0.40*K55+0.20*L55+0.10*S55+0.15*V55+0.15*Y55)),0)</x:f>
        <x:v>69</x:v>
      </x:c>
      <x:c r="AA55" s="12" t="n">
        <x:f>ROUND(MAX(0,MIN(100,0.30*L55+0.20*K55+0.15*V55+0.15*W55+0.10*S55+0.10*(100-M55))),0)</x:f>
        <x:v>73</x:v>
      </x:c>
      <x:c r="AB55" s="12" t="n">
        <x:f>ROUND(MAX(0,MIN(100,0.30*M55+0.25*R55+0.20*Q55+0.15*K55+0.10*(100-T55))),0)</x:f>
        <x:v>23</x:v>
      </x:c>
      <x:c r="AC55" s="12" t="n">
        <x:f>ROUND(MAX(0,MIN(100,0.55*T55+0.15*S55+0.10*N55+0.10*V55+0.10*W55)),0)</x:f>
        <x:v>83</x:v>
      </x:c>
      <x:c r="AD55" s="12" t="n">
        <x:f>ROUND(MAX(0,MIN(100,0.25*O55+0.25*Q55+0.20*Y55+0.15*U55+0.15*(100-L55))),0)</x:f>
        <x:v>37</x:v>
      </x:c>
      <x:c r="AE55" s="12" t="n">
        <x:f>ROUND(MAX(0,MIN(100,0.30*Y55+0.25*S55+0.15*Q55+0.15*T55+0.15*X55)),0)</x:f>
        <x:v>67</x:v>
      </x:c>
      <x:c r="AF55" s="12" t="n">
        <x:f>ROUND(MAX(0,MIN(100,0.65*X55+0.35*Y55)),0)</x:f>
        <x:v>68</x:v>
      </x:c>
      <x:c r="AG55" s="12" t="str">
        <x:v>https://wikiwiki.jp/poke-unite/%E3%82%BD%E3%82%A6%E3%83%96%E3%83%AC%E3%82%A4%E3%82%BA</x:v>
      </x:c>
      <x:c r="AH55" s="12" t="str">
        <x:v>回復しながら斬り続け、相手の中で長く暴れられるファイターです。味方を待たずに切り込み、一人で何人も相手にしたい人に向いています。</x:v>
      </x:c>
      <x:c r="AI55" s="12" t="str">
        <x:v>一人で仕事を作る・長く戦う・マップを駆け回る</x:v>
      </x:c>
      <x:c r="AJ55" s="12" t="n">
        <x:v>0</x:v>
      </x:c>
    </x:row>
    <x:row r="56">
      <x:c r="A56" s="12" t="str">
        <x:v>ソルガレオ</x:v>
      </x:c>
      <x:c r="B56" s="12" t="str">
        <x:v>バランス型</x:v>
      </x:c>
      <x:c r="C56" s="12" t="str">
        <x:v>ソルガレオ-1</x:v>
      </x:c>
      <x:c r="D56" s="12" t="str">
        <x:v>共通</x:v>
      </x:c>
      <x:c r="E56" s="12" t="str">
        <x:v>Juggernaut</x:v>
      </x:c>
      <x:c r="F56" s="12" t="str">
        <x:v>Juggernaut</x:v>
      </x:c>
      <x:c r="G56" s="12"/>
      <x:c r="H56" s="12" t="str">
        <x:v>技で細部は変わるが、診断上のプレイ人格は大きく変わらないため統合</x:v>
      </x:c>
      <x:c r="I56" s="12" t="str">
        <x:v>低</x:v>
      </x:c>
      <x:c r="J56" s="12" t="str">
        <x:v>2026-09-30</x:v>
      </x:c>
      <x:c r="K56" s="12" t="n">
        <x:v>55</x:v>
      </x:c>
      <x:c r="L56" s="12" t="n">
        <x:v>55</x:v>
      </x:c>
      <x:c r="M56" s="12" t="n">
        <x:v>35</x:v>
      </x:c>
      <x:c r="N56" s="12" t="n">
        <x:v>95</x:v>
      </x:c>
      <x:c r="O56" s="12" t="n">
        <x:v>10</x:v>
      </x:c>
      <x:c r="P56" s="12" t="n">
        <x:v>75</x:v>
      </x:c>
      <x:c r="Q56" s="12" t="n">
        <x:v>45</x:v>
      </x:c>
      <x:c r="R56" s="12" t="n">
        <x:v>5</x:v>
      </x:c>
      <x:c r="S56" s="12" t="n">
        <x:v>25</x:v>
      </x:c>
      <x:c r="T56" s="12" t="n">
        <x:v>70</x:v>
      </x:c>
      <x:c r="U56" s="12" t="n">
        <x:v>70</x:v>
      </x:c>
      <x:c r="V56" s="12" t="n">
        <x:v>75</x:v>
      </x:c>
      <x:c r="W56" s="12" t="n">
        <x:v>40</x:v>
      </x:c>
      <x:c r="X56" s="12" t="n">
        <x:v>50</x:v>
      </x:c>
      <x:c r="Y56" s="12" t="n">
        <x:v>55</x:v>
      </x:c>
      <x:c r="Z56" s="12" t="n">
        <x:f>ROUND(MAX(0,MIN(100,0.40*K56+0.20*L56+0.10*S56+0.15*V56+0.15*Y56)),0)</x:f>
        <x:v>55</x:v>
      </x:c>
      <x:c r="AA56" s="12" t="n">
        <x:f>ROUND(MAX(0,MIN(100,0.30*L56+0.20*K56+0.15*V56+0.15*W56+0.10*S56+0.10*(100-M56))),0)</x:f>
        <x:v>54</x:v>
      </x:c>
      <x:c r="AB56" s="12" t="n">
        <x:f>ROUND(MAX(0,MIN(100,0.30*M56+0.25*R56+0.20*Q56+0.15*K56+0.10*(100-T56))),0)</x:f>
        <x:v>32</x:v>
      </x:c>
      <x:c r="AC56" s="12" t="n">
        <x:f>ROUND(MAX(0,MIN(100,0.55*T56+0.15*S56+0.10*N56+0.10*V56+0.10*W56)),0)</x:f>
        <x:v>63</x:v>
      </x:c>
      <x:c r="AD56" s="12" t="n">
        <x:f>ROUND(MAX(0,MIN(100,0.25*O56+0.25*Q56+0.20*Y56+0.15*U56+0.15*(100-L56))),0)</x:f>
        <x:v>42</x:v>
      </x:c>
      <x:c r="AE56" s="12" t="n">
        <x:f>ROUND(MAX(0,MIN(100,0.30*Y56+0.25*S56+0.15*Q56+0.15*T56+0.15*X56)),0)</x:f>
        <x:v>48</x:v>
      </x:c>
      <x:c r="AF56" s="12" t="n">
        <x:f>ROUND(MAX(0,MIN(100,0.65*X56+0.35*Y56)),0)</x:f>
        <x:v>52</x:v>
      </x:c>
      <x:c r="AG56" s="12" t="str">
        <x:v>https://wikiwiki.jp/poke-unite/%E3%82%BD%E3%83%AB%E3%82%AC%E3%83%AC%E3%82%AA</x:v>
      </x:c>
      <x:c r="AH56" s="12" t="str">
        <x:v>防御やシールドを無視するユナイトわざで、集団戦に割って入る伝説のファイターです。追いかけ回すより、前線で相手の攻めを受け止めながら戦いたい人に向いています。</x:v>
      </x:c>
      <x:c r="AI56" s="12" t="str">
        <x:v>前線を支える・長く戦う・陣取って戦う</x:v>
      </x:c>
      <x:c r="AJ56" s="12" t="n">
        <x:v>0</x:v>
      </x:c>
    </x:row>
    <x:row r="57">
      <x:c r="A57" s="12" t="str">
        <x:v>タイレーツ</x:v>
      </x:c>
      <x:c r="B57" s="12" t="str">
        <x:v>バランス型</x:v>
      </x:c>
      <x:c r="C57" s="12" t="str">
        <x:v>タイレーツ-1</x:v>
      </x:c>
      <x:c r="D57" s="12" t="str">
        <x:v>はいすいのじん</x:v>
      </x:c>
      <x:c r="E57" s="12" t="str">
        <x:v>Juggernaut</x:v>
      </x:c>
      <x:c r="F57" s="12" t="str">
        <x:v>Juggernaut</x:v>
      </x:c>
      <x:c r="G57" s="12"/>
      <x:c r="H57" s="12" t="str">
        <x:v>立ち位置・戦闘距離・役割が大きく変わるため別プロファイル</x:v>
      </x:c>
      <x:c r="I57" s="12" t="str">
        <x:v>高</x:v>
      </x:c>
      <x:c r="J57" s="12" t="str">
        <x:v>2026-09-30</x:v>
      </x:c>
      <x:c r="K57" s="12" t="n">
        <x:v>55</x:v>
      </x:c>
      <x:c r="L57" s="12" t="n">
        <x:v>55</x:v>
      </x:c>
      <x:c r="M57" s="12" t="n">
        <x:v>35</x:v>
      </x:c>
      <x:c r="N57" s="12" t="n">
        <x:v>100</x:v>
      </x:c>
      <x:c r="O57" s="12" t="n">
        <x:v>10</x:v>
      </x:c>
      <x:c r="P57" s="12" t="n">
        <x:v>65</x:v>
      </x:c>
      <x:c r="Q57" s="12" t="n">
        <x:v>35</x:v>
      </x:c>
      <x:c r="R57" s="12" t="n">
        <x:v>5</x:v>
      </x:c>
      <x:c r="S57" s="12" t="n">
        <x:v>10</x:v>
      </x:c>
      <x:c r="T57" s="12" t="n">
        <x:v>70</x:v>
      </x:c>
      <x:c r="U57" s="12" t="n">
        <x:v>80</x:v>
      </x:c>
      <x:c r="V57" s="12" t="n">
        <x:v>75</x:v>
      </x:c>
      <x:c r="W57" s="12" t="n">
        <x:v>40</x:v>
      </x:c>
      <x:c r="X57" s="12" t="n">
        <x:v>65</x:v>
      </x:c>
      <x:c r="Y57" s="12" t="n">
        <x:v>60</x:v>
      </x:c>
      <x:c r="Z57" s="12" t="n">
        <x:f>ROUND(MAX(0,MIN(100,0.40*K57+0.20*L57+0.10*S57+0.15*V57+0.15*Y57)),0)</x:f>
        <x:v>54</x:v>
      </x:c>
      <x:c r="AA57" s="12" t="n">
        <x:f>ROUND(MAX(0,MIN(100,0.30*L57+0.20*K57+0.15*V57+0.15*W57+0.10*S57+0.10*(100-M57))),0)</x:f>
        <x:v>52</x:v>
      </x:c>
      <x:c r="AB57" s="12" t="n">
        <x:f>ROUND(MAX(0,MIN(100,0.30*M57+0.25*R57+0.20*Q57+0.15*K57+0.10*(100-T57))),0)</x:f>
        <x:v>30</x:v>
      </x:c>
      <x:c r="AC57" s="12" t="n">
        <x:f>ROUND(MAX(0,MIN(100,0.55*T57+0.15*S57+0.10*N57+0.10*V57+0.10*W57)),0)</x:f>
        <x:v>62</x:v>
      </x:c>
      <x:c r="AD57" s="12" t="n">
        <x:f>ROUND(MAX(0,MIN(100,0.25*O57+0.25*Q57+0.20*Y57+0.15*U57+0.15*(100-L57))),0)</x:f>
        <x:v>42</x:v>
      </x:c>
      <x:c r="AE57" s="12" t="n">
        <x:f>ROUND(MAX(0,MIN(100,0.30*Y57+0.25*S57+0.15*Q57+0.15*T57+0.15*X57)),0)</x:f>
        <x:v>46</x:v>
      </x:c>
      <x:c r="AF57" s="12" t="n">
        <x:f>ROUND(MAX(0,MIN(100,0.65*X57+0.35*Y57)),0)</x:f>
        <x:v>63</x:v>
      </x:c>
      <x:c r="AG57" s="12" t="str">
        <x:v>https://wikiwiki.jp/poke-unite/%E3%82%BF%E3%82%A4%E3%83%AC%E3%83%BC%E3%83%84</x:v>
      </x:c>
      <x:c r="AH57" s="12" t="str">
        <x:v>「はいすいのじん」で隊列を組み、前線に構えて相手の攻めを受け止める戦い方です。隊列を操る操作が楽しく、戦線を一歩も引かずに支えたい人に向いています。</x:v>
      </x:c>
      <x:c r="AI57" s="12" t="str">
        <x:v>前線を支える・操作を極める・陣取って戦う</x:v>
      </x:c>
      <x:c r="AJ57" s="12" t="n">
        <x:v>0</x:v>
      </x:c>
    </x:row>
    <x:row r="58">
      <x:c r="A58" s="12" t="str">
        <x:v>タイレーツ</x:v>
      </x:c>
      <x:c r="B58" s="12" t="str">
        <x:v>バランス型</x:v>
      </x:c>
      <x:c r="C58" s="12" t="str">
        <x:v>タイレーツ-2</x:v>
      </x:c>
      <x:c r="D58" s="12" t="str">
        <x:v>ふくろだたき</x:v>
      </x:c>
      <x:c r="E58" s="12" t="str">
        <x:v>Diver / Skirmisher</x:v>
      </x:c>
      <x:c r="F58" s="12" t="str">
        <x:v>Diver</x:v>
      </x:c>
      <x:c r="G58" s="12" t="str">
        <x:v>Skirmisher</x:v>
      </x:c>
      <x:c r="H58" s="12" t="str">
        <x:v>立ち位置・戦闘距離・役割が大きく変わるため別プロファイル</x:v>
      </x:c>
      <x:c r="I58" s="12" t="str">
        <x:v>高</x:v>
      </x:c>
      <x:c r="J58" s="12" t="str">
        <x:v>2026-09-30</x:v>
      </x:c>
      <x:c r="K58" s="12" t="n">
        <x:v>70</x:v>
      </x:c>
      <x:c r="L58" s="12" t="n">
        <x:v>90</x:v>
      </x:c>
      <x:c r="M58" s="12" t="n">
        <x:v>20</x:v>
      </x:c>
      <x:c r="N58" s="12" t="n">
        <x:v>55</x:v>
      </x:c>
      <x:c r="O58" s="12" t="n">
        <x:v>10</x:v>
      </x:c>
      <x:c r="P58" s="12" t="n">
        <x:v>65</x:v>
      </x:c>
      <x:c r="Q58" s="12" t="n">
        <x:v>35</x:v>
      </x:c>
      <x:c r="R58" s="12" t="n">
        <x:v>5</x:v>
      </x:c>
      <x:c r="S58" s="12" t="n">
        <x:v>100</x:v>
      </x:c>
      <x:c r="T58" s="12" t="n">
        <x:v>70</x:v>
      </x:c>
      <x:c r="U58" s="12" t="n">
        <x:v>60</x:v>
      </x:c>
      <x:c r="V58" s="12" t="n">
        <x:v>60</x:v>
      </x:c>
      <x:c r="W58" s="12" t="n">
        <x:v>65</x:v>
      </x:c>
      <x:c r="X58" s="12" t="n">
        <x:v>65</x:v>
      </x:c>
      <x:c r="Y58" s="12" t="n">
        <x:v>70</x:v>
      </x:c>
      <x:c r="Z58" s="12" t="n">
        <x:f>ROUND(MAX(0,MIN(100,0.40*K58+0.20*L58+0.10*S58+0.15*V58+0.15*Y58)),0)</x:f>
        <x:v>76</x:v>
      </x:c>
      <x:c r="AA58" s="12" t="n">
        <x:f>ROUND(MAX(0,MIN(100,0.30*L58+0.20*K58+0.15*V58+0.15*W58+0.10*S58+0.10*(100-M58))),0)</x:f>
        <x:v>78</x:v>
      </x:c>
      <x:c r="AB58" s="12" t="n">
        <x:f>ROUND(MAX(0,MIN(100,0.30*M58+0.25*R58+0.20*Q58+0.15*K58+0.10*(100-T58))),0)</x:f>
        <x:v>28</x:v>
      </x:c>
      <x:c r="AC58" s="12" t="n">
        <x:f>ROUND(MAX(0,MIN(100,0.55*T58+0.15*S58+0.10*N58+0.10*V58+0.10*W58)),0)</x:f>
        <x:v>72</x:v>
      </x:c>
      <x:c r="AD58" s="12" t="n">
        <x:f>ROUND(MAX(0,MIN(100,0.25*O58+0.25*Q58+0.20*Y58+0.15*U58+0.15*(100-L58))),0)</x:f>
        <x:v>36</x:v>
      </x:c>
      <x:c r="AE58" s="12" t="n">
        <x:f>ROUND(MAX(0,MIN(100,0.30*Y58+0.25*S58+0.15*Q58+0.15*T58+0.15*X58)),0)</x:f>
        <x:v>72</x:v>
      </x:c>
      <x:c r="AF58" s="12" t="n">
        <x:f>ROUND(MAX(0,MIN(100,0.65*X58+0.35*Y58)),0)</x:f>
        <x:v>67</x:v>
      </x:c>
      <x:c r="AG58" s="12" t="str">
        <x:v>https://wikiwiki.jp/poke-unite/%E3%82%BF%E3%82%A4%E3%83%AC%E3%83%BC%E3%83%84</x:v>
      </x:c>
      <x:c r="AH58" s="12" t="str">
        <x:v>「ふくろだたき」で一斉に飛びかかり、狙った相手を袋だたきにする戦い方です。陣形を崩して突っ込み、乱戦を作るのが好きな人に向いています。</x:v>
      </x:c>
      <x:c r="AI58" s="12" t="str">
        <x:v>後衛まで踏み込む・マップを駆け回る・自分から仕掛ける</x:v>
      </x:c>
      <x:c r="AJ58" s="12" t="n">
        <x:v>0</x:v>
      </x:c>
    </x:row>
    <x:row r="59">
      <x:c r="A59" s="12" t="str">
        <x:v>ダダリン</x:v>
      </x:c>
      <x:c r="B59" s="12" t="str">
        <x:v>バランス型</x:v>
      </x:c>
      <x:c r="C59" s="12" t="str">
        <x:v>ダダリン-1</x:v>
      </x:c>
      <x:c r="D59" s="12" t="str">
        <x:v>共通</x:v>
      </x:c>
      <x:c r="E59" s="12" t="str">
        <x:v>Catcher</x:v>
      </x:c>
      <x:c r="F59" s="12" t="str">
        <x:v>Catcher</x:v>
      </x:c>
      <x:c r="G59" s="12"/>
      <x:c r="H59" s="12" t="str">
        <x:v>技で細部は変わるが、診断上のプレイ人格は大きく変わらないため統合</x:v>
      </x:c>
      <x:c r="I59" s="12" t="str">
        <x:v>高</x:v>
      </x:c>
      <x:c r="J59" s="12" t="str">
        <x:v>2026-09-30</x:v>
      </x:c>
      <x:c r="K59" s="12" t="n">
        <x:v>75</x:v>
      </x:c>
      <x:c r="L59" s="12" t="n">
        <x:v>40</x:v>
      </x:c>
      <x:c r="M59" s="12" t="n">
        <x:v>50</x:v>
      </x:c>
      <x:c r="N59" s="12" t="n">
        <x:v>50</x:v>
      </x:c>
      <x:c r="O59" s="12" t="n">
        <x:v>50</x:v>
      </x:c>
      <x:c r="P59" s="12" t="n">
        <x:v>30</x:v>
      </x:c>
      <x:c r="Q59" s="12" t="n">
        <x:v>100</x:v>
      </x:c>
      <x:c r="R59" s="12" t="n">
        <x:v>10</x:v>
      </x:c>
      <x:c r="S59" s="12" t="n">
        <x:v>20</x:v>
      </x:c>
      <x:c r="T59" s="12" t="n">
        <x:v>50</x:v>
      </x:c>
      <x:c r="U59" s="12" t="n">
        <x:v>30</x:v>
      </x:c>
      <x:c r="V59" s="12" t="n">
        <x:v>45</x:v>
      </x:c>
      <x:c r="W59" s="12" t="n">
        <x:v>25</x:v>
      </x:c>
      <x:c r="X59" s="12" t="n">
        <x:v>65</x:v>
      </x:c>
      <x:c r="Y59" s="12" t="n">
        <x:v>95</x:v>
      </x:c>
      <x:c r="Z59" s="12" t="n">
        <x:f>ROUND(MAX(0,MIN(100,0.40*K59+0.20*L59+0.10*S59+0.15*V59+0.15*Y59)),0)</x:f>
        <x:v>61</x:v>
      </x:c>
      <x:c r="AA59" s="12" t="n">
        <x:f>ROUND(MAX(0,MIN(100,0.30*L59+0.20*K59+0.15*V59+0.15*W59+0.10*S59+0.10*(100-M59))),0)</x:f>
        <x:v>45</x:v>
      </x:c>
      <x:c r="AB59" s="12" t="n">
        <x:f>ROUND(MAX(0,MIN(100,0.30*M59+0.25*R59+0.20*Q59+0.15*K59+0.10*(100-T59))),0)</x:f>
        <x:v>54</x:v>
      </x:c>
      <x:c r="AC59" s="12" t="n">
        <x:f>ROUND(MAX(0,MIN(100,0.55*T59+0.15*S59+0.10*N59+0.10*V59+0.10*W59)),0)</x:f>
        <x:v>43</x:v>
      </x:c>
      <x:c r="AD59" s="12" t="n">
        <x:f>ROUND(MAX(0,MIN(100,0.25*O59+0.25*Q59+0.20*Y59+0.15*U59+0.15*(100-L59))),0)</x:f>
        <x:v>70</x:v>
      </x:c>
      <x:c r="AE59" s="12" t="n">
        <x:f>ROUND(MAX(0,MIN(100,0.30*Y59+0.25*S59+0.15*Q59+0.15*T59+0.15*X59)),0)</x:f>
        <x:v>66</x:v>
      </x:c>
      <x:c r="AF59" s="12" t="n">
        <x:f>ROUND(MAX(0,MIN(100,0.65*X59+0.35*Y59)),0)</x:f>
        <x:v>76</x:v>
      </x:c>
      <x:c r="AG59" s="12" t="str">
        <x:v>https://wikiwiki.jp/poke-unite/%E3%83%80%E3%83%80%E3%83%AA%E3%83%B3</x:v>
      </x:c>
      <x:c r="AH59" s="12" t="str">
        <x:v>錨を投げて相手を引き寄せ、捕まえた相手を重い一撃で仕留めるファイターです。足は遅いので、相手の動きを読んで確実に捕まえたい人に向いています。</x:v>
      </x:c>
      <x:c r="AI59" s="12" t="str">
        <x:v>動きを止める・先を読んで動く・陣取って戦う</x:v>
      </x:c>
      <x:c r="AJ59" s="12" t="n">
        <x:v>0</x:v>
      </x:c>
    </x:row>
    <x:row r="60">
      <x:c r="A60" s="12" t="str">
        <x:v>デカヌチャン</x:v>
      </x:c>
      <x:c r="B60" s="12" t="str">
        <x:v>バランス型</x:v>
      </x:c>
      <x:c r="C60" s="12" t="str">
        <x:v>デカヌチャン-1</x:v>
      </x:c>
      <x:c r="D60" s="12" t="str">
        <x:v>共通</x:v>
      </x:c>
      <x:c r="E60" s="12" t="str">
        <x:v>Juggernaut</x:v>
      </x:c>
      <x:c r="F60" s="12" t="str">
        <x:v>Juggernaut</x:v>
      </x:c>
      <x:c r="G60" s="12"/>
      <x:c r="H60" s="12" t="str">
        <x:v>技で細部は変わるが、診断上のプレイ人格は大きく変わらないため統合</x:v>
      </x:c>
      <x:c r="I60" s="12" t="str">
        <x:v>高</x:v>
      </x:c>
      <x:c r="J60" s="12" t="str">
        <x:v>2026-09-30</x:v>
      </x:c>
      <x:c r="K60" s="12" t="n">
        <x:v>55</x:v>
      </x:c>
      <x:c r="L60" s="12" t="n">
        <x:v>55</x:v>
      </x:c>
      <x:c r="M60" s="12" t="n">
        <x:v>35</x:v>
      </x:c>
      <x:c r="N60" s="12" t="n">
        <x:v>100</x:v>
      </x:c>
      <x:c r="O60" s="12" t="n">
        <x:v>10</x:v>
      </x:c>
      <x:c r="P60" s="12" t="n">
        <x:v>75</x:v>
      </x:c>
      <x:c r="Q60" s="12" t="n">
        <x:v>35</x:v>
      </x:c>
      <x:c r="R60" s="12" t="n">
        <x:v>5</x:v>
      </x:c>
      <x:c r="S60" s="12" t="n">
        <x:v>10</x:v>
      </x:c>
      <x:c r="T60" s="12" t="n">
        <x:v>70</x:v>
      </x:c>
      <x:c r="U60" s="12" t="n">
        <x:v>90</x:v>
      </x:c>
      <x:c r="V60" s="12" t="n">
        <x:v>75</x:v>
      </x:c>
      <x:c r="W60" s="12" t="n">
        <x:v>40</x:v>
      </x:c>
      <x:c r="X60" s="12" t="n">
        <x:v>40</x:v>
      </x:c>
      <x:c r="Y60" s="12" t="n">
        <x:v>50</x:v>
      </x:c>
      <x:c r="Z60" s="12" t="n">
        <x:f>ROUND(MAX(0,MIN(100,0.40*K60+0.20*L60+0.10*S60+0.15*V60+0.15*Y60)),0)</x:f>
        <x:v>53</x:v>
      </x:c>
      <x:c r="AA60" s="12" t="n">
        <x:f>ROUND(MAX(0,MIN(100,0.30*L60+0.20*K60+0.15*V60+0.15*W60+0.10*S60+0.10*(100-M60))),0)</x:f>
        <x:v>52</x:v>
      </x:c>
      <x:c r="AB60" s="12" t="n">
        <x:f>ROUND(MAX(0,MIN(100,0.30*M60+0.25*R60+0.20*Q60+0.15*K60+0.10*(100-T60))),0)</x:f>
        <x:v>30</x:v>
      </x:c>
      <x:c r="AC60" s="12" t="n">
        <x:f>ROUND(MAX(0,MIN(100,0.55*T60+0.15*S60+0.10*N60+0.10*V60+0.10*W60)),0)</x:f>
        <x:v>62</x:v>
      </x:c>
      <x:c r="AD60" s="12" t="n">
        <x:f>ROUND(MAX(0,MIN(100,0.25*O60+0.25*Q60+0.20*Y60+0.15*U60+0.15*(100-L60))),0)</x:f>
        <x:v>42</x:v>
      </x:c>
      <x:c r="AE60" s="12" t="n">
        <x:f>ROUND(MAX(0,MIN(100,0.30*Y60+0.25*S60+0.15*Q60+0.15*T60+0.15*X60)),0)</x:f>
        <x:v>39</x:v>
      </x:c>
      <x:c r="AF60" s="12" t="n">
        <x:f>ROUND(MAX(0,MIN(100,0.65*X60+0.35*Y60)),0)</x:f>
        <x:v>44</x:v>
      </x:c>
      <x:c r="AG60" s="12" t="str">
        <x:v>https://wikiwiki.jp/poke-unite/%E3%83%87%E3%82%AB%E3%83%8C%E3%83%81%E3%83%A3%E3%83%B3</x:v>
      </x:c>
      <x:c r="AH60" s="12" t="str">
        <x:v>ハンマーに力を溜めて大振りを叩き込む、育つほど一撃が重くなるファイターです。前線に構えて、溜めた力で一気に戦況をひっくり返したい人に向いています。</x:v>
      </x:c>
      <x:c r="AI60" s="12" t="str">
        <x:v>育つと化ける・前線を支える・長く戦う</x:v>
      </x:c>
      <x:c r="AJ60" s="12" t="n">
        <x:v>0</x:v>
      </x:c>
    </x:row>
    <x:row r="61">
      <x:c r="A61" s="12" t="str">
        <x:v>ネギガナイト</x:v>
      </x:c>
      <x:c r="B61" s="12" t="str">
        <x:v>バランス型</x:v>
      </x:c>
      <x:c r="C61" s="12" t="str">
        <x:v>ネギガナイト-1</x:v>
      </x:c>
      <x:c r="D61" s="12" t="str">
        <x:v>共通</x:v>
      </x:c>
      <x:c r="E61" s="12" t="str">
        <x:v>Diver</x:v>
      </x:c>
      <x:c r="F61" s="12" t="str">
        <x:v>Diver</x:v>
      </x:c>
      <x:c r="G61" s="12"/>
      <x:c r="H61" s="12" t="str">
        <x:v>技で細部は変わるが、診断上のプレイ人格は大きく変わらないため統合</x:v>
      </x:c>
      <x:c r="I61" s="12" t="str">
        <x:v>高</x:v>
      </x:c>
      <x:c r="J61" s="12" t="str">
        <x:v>2026-09-30</x:v>
      </x:c>
      <x:c r="K61" s="12" t="n">
        <x:v>80</x:v>
      </x:c>
      <x:c r="L61" s="12" t="n">
        <x:v>90</x:v>
      </x:c>
      <x:c r="M61" s="12" t="n">
        <x:v>20</x:v>
      </x:c>
      <x:c r="N61" s="12" t="n">
        <x:v>65</x:v>
      </x:c>
      <x:c r="O61" s="12" t="n">
        <x:v>10</x:v>
      </x:c>
      <x:c r="P61" s="12" t="n">
        <x:v>35</x:v>
      </x:c>
      <x:c r="Q61" s="12" t="n">
        <x:v>45</x:v>
      </x:c>
      <x:c r="R61" s="12" t="n">
        <x:v>5</x:v>
      </x:c>
      <x:c r="S61" s="12" t="n">
        <x:v>75</x:v>
      </x:c>
      <x:c r="T61" s="12" t="n">
        <x:v>80</x:v>
      </x:c>
      <x:c r="U61" s="12" t="n">
        <x:v>60</x:v>
      </x:c>
      <x:c r="V61" s="12" t="n">
        <x:v>60</x:v>
      </x:c>
      <x:c r="W61" s="12" t="n">
        <x:v>55</x:v>
      </x:c>
      <x:c r="X61" s="12" t="n">
        <x:v>90</x:v>
      </x:c>
      <x:c r="Y61" s="12" t="n">
        <x:v>70</x:v>
      </x:c>
      <x:c r="Z61" s="12" t="n">
        <x:f>ROUND(MAX(0,MIN(100,0.40*K61+0.20*L61+0.10*S61+0.15*V61+0.15*Y61)),0)</x:f>
        <x:v>77</x:v>
      </x:c>
      <x:c r="AA61" s="12" t="n">
        <x:f>ROUND(MAX(0,MIN(100,0.30*L61+0.20*K61+0.15*V61+0.15*W61+0.10*S61+0.10*(100-M61))),0)</x:f>
        <x:v>76</x:v>
      </x:c>
      <x:c r="AB61" s="12" t="n">
        <x:f>ROUND(MAX(0,MIN(100,0.30*M61+0.25*R61+0.20*Q61+0.15*K61+0.10*(100-T61))),0)</x:f>
        <x:v>30</x:v>
      </x:c>
      <x:c r="AC61" s="12" t="n">
        <x:f>ROUND(MAX(0,MIN(100,0.55*T61+0.15*S61+0.10*N61+0.10*V61+0.10*W61)),0)</x:f>
        <x:v>73</x:v>
      </x:c>
      <x:c r="AD61" s="12" t="n">
        <x:f>ROUND(MAX(0,MIN(100,0.25*O61+0.25*Q61+0.20*Y61+0.15*U61+0.15*(100-L61))),0)</x:f>
        <x:v>38</x:v>
      </x:c>
      <x:c r="AE61" s="12" t="n">
        <x:f>ROUND(MAX(0,MIN(100,0.30*Y61+0.25*S61+0.15*Q61+0.15*T61+0.15*X61)),0)</x:f>
        <x:v>72</x:v>
      </x:c>
      <x:c r="AF61" s="12" t="n">
        <x:f>ROUND(MAX(0,MIN(100,0.65*X61+0.35*Y61)),0)</x:f>
        <x:v>83</x:v>
      </x:c>
      <x:c r="AG61" s="12" t="str">
        <x:v>https://wikiwiki.jp/poke-unite/%E3%83%8D%E3%82%AE%E3%82%AC%E3%83%8A%E3%82%A4%E3%83%88</x:v>
      </x:c>
      <x:c r="AH61" s="12" t="str">
        <x:v>急所を狙う鋭い突きで飛び込み、技のつなぎで火力を出すファイターです。間合いと技の順番にこだわり、操作で差をつけたい人に向いています。</x:v>
      </x:c>
      <x:c r="AI61" s="12" t="str">
        <x:v>操作を極める・後衛まで踏み込む・一人で仕事を作る</x:v>
      </x:c>
      <x:c r="AJ61" s="12" t="n">
        <x:v>0</x:v>
      </x:c>
    </x:row>
    <x:row r="62">
      <x:c r="A62" s="12" t="str">
        <x:v>ハッサム</x:v>
      </x:c>
      <x:c r="B62" s="12" t="str">
        <x:v>バランス型</x:v>
      </x:c>
      <x:c r="C62" s="12" t="str">
        <x:v>ハッサム-1</x:v>
      </x:c>
      <x:c r="D62" s="12" t="str">
        <x:v>ストライク</x:v>
      </x:c>
      <x:c r="E62" s="12" t="str">
        <x:v>Assassin</x:v>
      </x:c>
      <x:c r="F62" s="12" t="str">
        <x:v>Assassin</x:v>
      </x:c>
      <x:c r="G62" s="12"/>
      <x:c r="H62" s="12" t="str">
        <x:v>立ち位置・戦闘距離・役割が大きく変わるため別プロファイル</x:v>
      </x:c>
      <x:c r="I62" s="12" t="str">
        <x:v>高</x:v>
      </x:c>
      <x:c r="J62" s="12" t="str">
        <x:v>2026-09-30</x:v>
      </x:c>
      <x:c r="K62" s="12" t="n">
        <x:v>55</x:v>
      </x:c>
      <x:c r="L62" s="12" t="n">
        <x:v>95</x:v>
      </x:c>
      <x:c r="M62" s="12" t="n">
        <x:v>0</x:v>
      </x:c>
      <x:c r="N62" s="12" t="n">
        <x:v>0</x:v>
      </x:c>
      <x:c r="O62" s="12" t="n">
        <x:v>15</x:v>
      </x:c>
      <x:c r="P62" s="12" t="n">
        <x:v>0</x:v>
      </x:c>
      <x:c r="Q62" s="12" t="n">
        <x:v>25</x:v>
      </x:c>
      <x:c r="R62" s="12" t="n">
        <x:v>5</x:v>
      </x:c>
      <x:c r="S62" s="12" t="n">
        <x:v>100</x:v>
      </x:c>
      <x:c r="T62" s="12" t="n">
        <x:v>65</x:v>
      </x:c>
      <x:c r="U62" s="12" t="n">
        <x:v>65</x:v>
      </x:c>
      <x:c r="V62" s="12" t="n">
        <x:v>70</x:v>
      </x:c>
      <x:c r="W62" s="12" t="n">
        <x:v>85</x:v>
      </x:c>
      <x:c r="X62" s="12" t="n">
        <x:v>90</x:v>
      </x:c>
      <x:c r="Y62" s="12" t="n">
        <x:v>75</x:v>
      </x:c>
      <x:c r="Z62" s="12" t="n">
        <x:f>ROUND(MAX(0,MIN(100,0.40*K62+0.20*L62+0.10*S62+0.15*V62+0.15*Y62)),0)</x:f>
        <x:v>73</x:v>
      </x:c>
      <x:c r="AA62" s="12" t="n">
        <x:f>ROUND(MAX(0,MIN(100,0.30*L62+0.20*K62+0.15*V62+0.15*W62+0.10*S62+0.10*(100-M62))),0)</x:f>
        <x:v>83</x:v>
      </x:c>
      <x:c r="AB62" s="12" t="n">
        <x:f>ROUND(MAX(0,MIN(100,0.30*M62+0.25*R62+0.20*Q62+0.15*K62+0.10*(100-T62))),0)</x:f>
        <x:v>18</x:v>
      </x:c>
      <x:c r="AC62" s="12" t="n">
        <x:f>ROUND(MAX(0,MIN(100,0.55*T62+0.15*S62+0.10*N62+0.10*V62+0.10*W62)),0)</x:f>
        <x:v>66</x:v>
      </x:c>
      <x:c r="AD62" s="12" t="n">
        <x:f>ROUND(MAX(0,MIN(100,0.25*O62+0.25*Q62+0.20*Y62+0.15*U62+0.15*(100-L62))),0)</x:f>
        <x:v>36</x:v>
      </x:c>
      <x:c r="AE62" s="12" t="n">
        <x:f>ROUND(MAX(0,MIN(100,0.30*Y62+0.25*S62+0.15*Q62+0.15*T62+0.15*X62)),0)</x:f>
        <x:v>75</x:v>
      </x:c>
      <x:c r="AF62" s="12" t="n">
        <x:f>ROUND(MAX(0,MIN(100,0.65*X62+0.35*Y62)),0)</x:f>
        <x:v>85</x:v>
      </x:c>
      <x:c r="AG62" s="12" t="str">
        <x:v>https://wikiwiki.jp/poke-unite/%E3%83%8F%E3%83%83%E3%82%B5%E3%83%A0</x:v>
      </x:c>
      <x:c r="AH62" s="12" t="str">
        <x:v>ストライクのまま戦い、高い機動力と瞬間火力で相手の隙に飛び込む戦い方です。安全に長く戦うより、短いチャンスへ鋭く入りたい人と相性がいいです。</x:v>
      </x:c>
      <x:c r="AI62" s="12" t="str">
        <x:v>一瞬で倒し切る・マップを駆け回る・操作を極める</x:v>
      </x:c>
      <x:c r="AJ62" s="12" t="n">
        <x:v>0</x:v>
      </x:c>
    </x:row>
    <x:row r="63">
      <x:c r="A63" s="12" t="str">
        <x:v>ハッサム</x:v>
      </x:c>
      <x:c r="B63" s="12" t="str">
        <x:v>バランス型</x:v>
      </x:c>
      <x:c r="C63" s="12" t="str">
        <x:v>ハッサム-2</x:v>
      </x:c>
      <x:c r="D63" s="12" t="str">
        <x:v>ハッサム</x:v>
      </x:c>
      <x:c r="E63" s="12" t="str">
        <x:v>Skirmisher / Juggernaut</x:v>
      </x:c>
      <x:c r="F63" s="12" t="str">
        <x:v>Skirmisher</x:v>
      </x:c>
      <x:c r="G63" s="12" t="str">
        <x:v>Juggernaut</x:v>
      </x:c>
      <x:c r="H63" s="12" t="str">
        <x:v>立ち位置・戦闘距離・役割が大きく変わるため別プロファイル</x:v>
      </x:c>
      <x:c r="I63" s="12" t="str">
        <x:v>高</x:v>
      </x:c>
      <x:c r="J63" s="12" t="str">
        <x:v>2026-09-30</x:v>
      </x:c>
      <x:c r="K63" s="12" t="n">
        <x:v>60</x:v>
      </x:c>
      <x:c r="L63" s="12" t="n">
        <x:v>60</x:v>
      </x:c>
      <x:c r="M63" s="12" t="n">
        <x:v>35</x:v>
      </x:c>
      <x:c r="N63" s="12" t="n">
        <x:v>95</x:v>
      </x:c>
      <x:c r="O63" s="12" t="n">
        <x:v>20</x:v>
      </x:c>
      <x:c r="P63" s="12" t="n">
        <x:v>85</x:v>
      </x:c>
      <x:c r="Q63" s="12" t="n">
        <x:v>35</x:v>
      </x:c>
      <x:c r="R63" s="12" t="n">
        <x:v>15</x:v>
      </x:c>
      <x:c r="S63" s="12" t="n">
        <x:v>50</x:v>
      </x:c>
      <x:c r="T63" s="12" t="n">
        <x:v>75</x:v>
      </x:c>
      <x:c r="U63" s="12" t="n">
        <x:v>70</x:v>
      </x:c>
      <x:c r="V63" s="12" t="n">
        <x:v>65</x:v>
      </x:c>
      <x:c r="W63" s="12" t="n">
        <x:v>55</x:v>
      </x:c>
      <x:c r="X63" s="12" t="n">
        <x:v>55</x:v>
      </x:c>
      <x:c r="Y63" s="12" t="n">
        <x:v>65</x:v>
      </x:c>
      <x:c r="Z63" s="12" t="n">
        <x:f>ROUND(MAX(0,MIN(100,0.40*K63+0.20*L63+0.10*S63+0.15*V63+0.15*Y63)),0)</x:f>
        <x:v>61</x:v>
      </x:c>
      <x:c r="AA63" s="12" t="n">
        <x:f>ROUND(MAX(0,MIN(100,0.30*L63+0.20*K63+0.15*V63+0.15*W63+0.10*S63+0.10*(100-M63))),0)</x:f>
        <x:v>60</x:v>
      </x:c>
      <x:c r="AB63" s="12" t="n">
        <x:f>ROUND(MAX(0,MIN(100,0.30*M63+0.25*R63+0.20*Q63+0.15*K63+0.10*(100-T63))),0)</x:f>
        <x:v>33</x:v>
      </x:c>
      <x:c r="AC63" s="12" t="n">
        <x:f>ROUND(MAX(0,MIN(100,0.55*T63+0.15*S63+0.10*N63+0.10*V63+0.10*W63)),0)</x:f>
        <x:v>70</x:v>
      </x:c>
      <x:c r="AD63" s="12" t="n">
        <x:f>ROUND(MAX(0,MIN(100,0.25*O63+0.25*Q63+0.20*Y63+0.15*U63+0.15*(100-L63))),0)</x:f>
        <x:v>43</x:v>
      </x:c>
      <x:c r="AE63" s="12" t="n">
        <x:f>ROUND(MAX(0,MIN(100,0.30*Y63+0.25*S63+0.15*Q63+0.15*T63+0.15*X63)),0)</x:f>
        <x:v>57</x:v>
      </x:c>
      <x:c r="AF63" s="12" t="n">
        <x:f>ROUND(MAX(0,MIN(100,0.65*X63+0.35*Y63)),0)</x:f>
        <x:v>59</x:v>
      </x:c>
      <x:c r="AG63" s="12" t="str">
        <x:v>https://wikiwiki.jp/poke-unite/%E3%83%8F%E3%83%83%E3%82%B5%E3%83%A0</x:v>
      </x:c>
      <x:c r="AH63" s="12" t="str">
        <x:v>ハッサムへ進化し、回復しながら前線で粘り強く戦う戦い方です。細かく技を回しながら、殴り合いを長く続けたい人に向いています。</x:v>
      </x:c>
      <x:c r="AI63" s="12" t="str">
        <x:v>前線を支える・長く戦う・一人で仕事を作る</x:v>
      </x:c>
      <x:c r="AJ63" s="12" t="n">
        <x:v>0</x:v>
      </x:c>
    </x:row>
    <x:row r="64">
      <x:c r="A64" s="12" t="str">
        <x:v>バシャーモ</x:v>
      </x:c>
      <x:c r="B64" s="12" t="str">
        <x:v>バランス型</x:v>
      </x:c>
      <x:c r="C64" s="12" t="str">
        <x:v>バシャーモ-1</x:v>
      </x:c>
      <x:c r="D64" s="12" t="str">
        <x:v>共通</x:v>
      </x:c>
      <x:c r="E64" s="12" t="str">
        <x:v>Diver</x:v>
      </x:c>
      <x:c r="F64" s="12" t="str">
        <x:v>Diver</x:v>
      </x:c>
      <x:c r="G64" s="12"/>
      <x:c r="H64" s="12" t="str">
        <x:v>技で細部は変わるが、診断上のプレイ人格は大きく変わらないため統合</x:v>
      </x:c>
      <x:c r="I64" s="12" t="str">
        <x:v>高</x:v>
      </x:c>
      <x:c r="J64" s="12" t="str">
        <x:v>2026-09-30</x:v>
      </x:c>
      <x:c r="K64" s="12" t="n">
        <x:v>80</x:v>
      </x:c>
      <x:c r="L64" s="12" t="n">
        <x:v>90</x:v>
      </x:c>
      <x:c r="M64" s="12" t="n">
        <x:v>20</x:v>
      </x:c>
      <x:c r="N64" s="12" t="n">
        <x:v>55</x:v>
      </x:c>
      <x:c r="O64" s="12" t="n">
        <x:v>10</x:v>
      </x:c>
      <x:c r="P64" s="12" t="n">
        <x:v>55</x:v>
      </x:c>
      <x:c r="Q64" s="12" t="n">
        <x:v>45</x:v>
      </x:c>
      <x:c r="R64" s="12" t="n">
        <x:v>5</x:v>
      </x:c>
      <x:c r="S64" s="12" t="n">
        <x:v>80</x:v>
      </x:c>
      <x:c r="T64" s="12" t="n">
        <x:v>70</x:v>
      </x:c>
      <x:c r="U64" s="12" t="n">
        <x:v>60</x:v>
      </x:c>
      <x:c r="V64" s="12" t="n">
        <x:v>60</x:v>
      </x:c>
      <x:c r="W64" s="12" t="n">
        <x:v>55</x:v>
      </x:c>
      <x:c r="X64" s="12" t="n">
        <x:v>85</x:v>
      </x:c>
      <x:c r="Y64" s="12" t="n">
        <x:v>80</x:v>
      </x:c>
      <x:c r="Z64" s="12" t="n">
        <x:f>ROUND(MAX(0,MIN(100,0.40*K64+0.20*L64+0.10*S64+0.15*V64+0.15*Y64)),0)</x:f>
        <x:v>79</x:v>
      </x:c>
      <x:c r="AA64" s="12" t="n">
        <x:f>ROUND(MAX(0,MIN(100,0.30*L64+0.20*K64+0.15*V64+0.15*W64+0.10*S64+0.10*(100-M64))),0)</x:f>
        <x:v>76</x:v>
      </x:c>
      <x:c r="AB64" s="12" t="n">
        <x:f>ROUND(MAX(0,MIN(100,0.30*M64+0.25*R64+0.20*Q64+0.15*K64+0.10*(100-T64))),0)</x:f>
        <x:v>31</x:v>
      </x:c>
      <x:c r="AC64" s="12" t="n">
        <x:f>ROUND(MAX(0,MIN(100,0.55*T64+0.15*S64+0.10*N64+0.10*V64+0.10*W64)),0)</x:f>
        <x:v>68</x:v>
      </x:c>
      <x:c r="AD64" s="12" t="n">
        <x:f>ROUND(MAX(0,MIN(100,0.25*O64+0.25*Q64+0.20*Y64+0.15*U64+0.15*(100-L64))),0)</x:f>
        <x:v>40</x:v>
      </x:c>
      <x:c r="AE64" s="12" t="n">
        <x:f>ROUND(MAX(0,MIN(100,0.30*Y64+0.25*S64+0.15*Q64+0.15*T64+0.15*X64)),0)</x:f>
        <x:v>74</x:v>
      </x:c>
      <x:c r="AF64" s="12" t="n">
        <x:f>ROUND(MAX(0,MIN(100,0.65*X64+0.35*Y64)),0)</x:f>
        <x:v>83</x:v>
      </x:c>
      <x:c r="AG64" s="12" t="str">
        <x:v>https://wikiwiki.jp/poke-unite/%E3%83%90%E3%82%B7%E3%83%A3%E3%83%BC%E3%83%A2</x:v>
      </x:c>
      <x:c r="AH64" s="12" t="str">
        <x:v>キックとパンチの構えを切り替え、技をつないで相手に飛び込むファイターです。コンボ次第で火力が大きく変わるので、自分から仕掛けて腕を磨きたい人に向いています。</x:v>
      </x:c>
      <x:c r="AI64" s="12" t="str">
        <x:v>自分から仕掛ける・後衛まで踏み込む・操作を極める</x:v>
      </x:c>
      <x:c r="AJ64" s="12" t="n">
        <x:v>0.25</x:v>
      </x:c>
    </x:row>
    <x:row r="65">
      <x:c r="A65" s="12" t="str">
        <x:v>バンギラス</x:v>
      </x:c>
      <x:c r="B65" s="12" t="str">
        <x:v>バランス型</x:v>
      </x:c>
      <x:c r="C65" s="12" t="str">
        <x:v>バンギラス-1</x:v>
      </x:c>
      <x:c r="D65" s="12" t="str">
        <x:v>共通</x:v>
      </x:c>
      <x:c r="E65" s="12" t="str">
        <x:v>Juggernaut</x:v>
      </x:c>
      <x:c r="F65" s="12" t="str">
        <x:v>Juggernaut</x:v>
      </x:c>
      <x:c r="G65" s="12"/>
      <x:c r="H65" s="12" t="str">
        <x:v>技で細部は変わるが、診断上のプレイ人格は大きく変わらないため統合</x:v>
      </x:c>
      <x:c r="I65" s="12" t="str">
        <x:v>高</x:v>
      </x:c>
      <x:c r="J65" s="12" t="str">
        <x:v>2026-09-30</x:v>
      </x:c>
      <x:c r="K65" s="12" t="n">
        <x:v>55</x:v>
      </x:c>
      <x:c r="L65" s="12" t="n">
        <x:v>55</x:v>
      </x:c>
      <x:c r="M65" s="12" t="n">
        <x:v>35</x:v>
      </x:c>
      <x:c r="N65" s="12" t="n">
        <x:v>100</x:v>
      </x:c>
      <x:c r="O65" s="12" t="n">
        <x:v>10</x:v>
      </x:c>
      <x:c r="P65" s="12" t="n">
        <x:v>75</x:v>
      </x:c>
      <x:c r="Q65" s="12" t="n">
        <x:v>35</x:v>
      </x:c>
      <x:c r="R65" s="12" t="n">
        <x:v>5</x:v>
      </x:c>
      <x:c r="S65" s="12" t="n">
        <x:v>10</x:v>
      </x:c>
      <x:c r="T65" s="12" t="n">
        <x:v>80</x:v>
      </x:c>
      <x:c r="U65" s="12" t="n">
        <x:v>90</x:v>
      </x:c>
      <x:c r="V65" s="12" t="n">
        <x:v>55</x:v>
      </x:c>
      <x:c r="W65" s="12" t="n">
        <x:v>40</x:v>
      </x:c>
      <x:c r="X65" s="12" t="n">
        <x:v>50</x:v>
      </x:c>
      <x:c r="Y65" s="12" t="n">
        <x:v>50</x:v>
      </x:c>
      <x:c r="Z65" s="12" t="n">
        <x:f>ROUND(MAX(0,MIN(100,0.40*K65+0.20*L65+0.10*S65+0.15*V65+0.15*Y65)),0)</x:f>
        <x:v>50</x:v>
      </x:c>
      <x:c r="AA65" s="12" t="n">
        <x:f>ROUND(MAX(0,MIN(100,0.30*L65+0.20*K65+0.15*V65+0.15*W65+0.10*S65+0.10*(100-M65))),0)</x:f>
        <x:v>49</x:v>
      </x:c>
      <x:c r="AB65" s="12" t="n">
        <x:f>ROUND(MAX(0,MIN(100,0.30*M65+0.25*R65+0.20*Q65+0.15*K65+0.10*(100-T65))),0)</x:f>
        <x:v>29</x:v>
      </x:c>
      <x:c r="AC65" s="12" t="n">
        <x:f>ROUND(MAX(0,MIN(100,0.55*T65+0.15*S65+0.10*N65+0.10*V65+0.10*W65)),0)</x:f>
        <x:v>65</x:v>
      </x:c>
      <x:c r="AD65" s="12" t="n">
        <x:f>ROUND(MAX(0,MIN(100,0.25*O65+0.25*Q65+0.20*Y65+0.15*U65+0.15*(100-L65))),0)</x:f>
        <x:v>42</x:v>
      </x:c>
      <x:c r="AE65" s="12" t="n">
        <x:f>ROUND(MAX(0,MIN(100,0.30*Y65+0.25*S65+0.15*Q65+0.15*T65+0.15*X65)),0)</x:f>
        <x:v>42</x:v>
      </x:c>
      <x:c r="AF65" s="12" t="n">
        <x:f>ROUND(MAX(0,MIN(100,0.65*X65+0.35*Y65)),0)</x:f>
        <x:v>50</x:v>
      </x:c>
      <x:c r="AG65" s="12" t="str">
        <x:v>https://wikiwiki.jp/poke-unite/%E3%83%90%E3%83%B3%E3%82%AE%E3%83%A9%E3%82%B9</x:v>
      </x:c>
      <x:c r="AH65" s="12" t="str">
        <x:v>序盤はヨーギラス・サナギラスで我慢し、進化後は防御もシールドも貫く重い攻撃で戦うファイターです。足は遅いので、終盤の集団戦に構えて大暴れしたい人に向いています。</x:v>
      </x:c>
      <x:c r="AI65" s="12" t="str">
        <x:v>育つと化ける・前線を支える・陣取って戦う</x:v>
      </x:c>
      <x:c r="AJ65" s="12" t="n">
        <x:v>0</x:v>
      </x:c>
    </x:row>
    <x:row r="66">
      <x:c r="A66" s="12" t="str">
        <x:v>パルキア</x:v>
      </x:c>
      <x:c r="B66" s="12" t="str">
        <x:v>バランス型</x:v>
      </x:c>
      <x:c r="C66" s="12" t="str">
        <x:v>パルキア-1</x:v>
      </x:c>
      <x:c r="D66" s="12" t="str">
        <x:v>共通</x:v>
      </x:c>
      <x:c r="E66" s="12" t="str">
        <x:v>Diver</x:v>
      </x:c>
      <x:c r="F66" s="12" t="str">
        <x:v>Diver</x:v>
      </x:c>
      <x:c r="G66" s="12"/>
      <x:c r="H66" s="12" t="str">
        <x:v>技で細部は変わるが、診断上のプレイ人格は大きく変わらないため統合</x:v>
      </x:c>
      <x:c r="I66" s="12" t="str">
        <x:v>中</x:v>
      </x:c>
      <x:c r="J66" s="12" t="str">
        <x:v>2026-09-30</x:v>
      </x:c>
      <x:c r="K66" s="12" t="n">
        <x:v>80</x:v>
      </x:c>
      <x:c r="L66" s="12" t="n">
        <x:v>80</x:v>
      </x:c>
      <x:c r="M66" s="12" t="n">
        <x:v>20</x:v>
      </x:c>
      <x:c r="N66" s="12" t="n">
        <x:v>80</x:v>
      </x:c>
      <x:c r="O66" s="12" t="n">
        <x:v>10</x:v>
      </x:c>
      <x:c r="P66" s="12" t="n">
        <x:v>45</x:v>
      </x:c>
      <x:c r="Q66" s="12" t="n">
        <x:v>45</x:v>
      </x:c>
      <x:c r="R66" s="12" t="n">
        <x:v>5</x:v>
      </x:c>
      <x:c r="S66" s="12" t="n">
        <x:v>90</x:v>
      </x:c>
      <x:c r="T66" s="12" t="n">
        <x:v>70</x:v>
      </x:c>
      <x:c r="U66" s="12" t="n">
        <x:v>60</x:v>
      </x:c>
      <x:c r="V66" s="12" t="n">
        <x:v>60</x:v>
      </x:c>
      <x:c r="W66" s="12" t="n">
        <x:v>55</x:v>
      </x:c>
      <x:c r="X66" s="12" t="n">
        <x:v>65</x:v>
      </x:c>
      <x:c r="Y66" s="12" t="n">
        <x:v>70</x:v>
      </x:c>
      <x:c r="Z66" s="12" t="n">
        <x:f>ROUND(MAX(0,MIN(100,0.40*K66+0.20*L66+0.10*S66+0.15*V66+0.15*Y66)),0)</x:f>
        <x:v>77</x:v>
      </x:c>
      <x:c r="AA66" s="12" t="n">
        <x:f>ROUND(MAX(0,MIN(100,0.30*L66+0.20*K66+0.15*V66+0.15*W66+0.10*S66+0.10*(100-M66))),0)</x:f>
        <x:v>74</x:v>
      </x:c>
      <x:c r="AB66" s="12" t="n">
        <x:f>ROUND(MAX(0,MIN(100,0.30*M66+0.25*R66+0.20*Q66+0.15*K66+0.10*(100-T66))),0)</x:f>
        <x:v>31</x:v>
      </x:c>
      <x:c r="AC66" s="12" t="n">
        <x:f>ROUND(MAX(0,MIN(100,0.55*T66+0.15*S66+0.10*N66+0.10*V66+0.10*W66)),0)</x:f>
        <x:v>72</x:v>
      </x:c>
      <x:c r="AD66" s="12" t="n">
        <x:f>ROUND(MAX(0,MIN(100,0.25*O66+0.25*Q66+0.20*Y66+0.15*U66+0.15*(100-L66))),0)</x:f>
        <x:v>40</x:v>
      </x:c>
      <x:c r="AE66" s="12" t="n">
        <x:f>ROUND(MAX(0,MIN(100,0.30*Y66+0.25*S66+0.15*Q66+0.15*T66+0.15*X66)),0)</x:f>
        <x:v>71</x:v>
      </x:c>
      <x:c r="AF66" s="12" t="n">
        <x:f>ROUND(MAX(0,MIN(100,0.65*X66+0.35*Y66)),0)</x:f>
        <x:v>67</x:v>
      </x:c>
      <x:c r="AG66" s="12" t="str">
        <x:v>https://wikiwiki.jp/poke-unite/%E3%83%91%E3%83%AB%E3%82%AD%E3%82%A2</x:v>
      </x:c>
      <x:c r="AH66" s="12" t="str">
        <x:v>「はどうだん」でマークした相手に飛び込み、回転の速いユナイトわざの無敵時間で攻めをいなす伝説のファイターです。自分から間合いに入り、出入りを繰り返して粘りたい人に向いています。</x:v>
      </x:c>
      <x:c r="AI66" s="12" t="str">
        <x:v>後衛まで踏み込む・自分から仕掛ける・前線を支える</x:v>
      </x:c>
      <x:c r="AJ66" s="12" t="n">
        <x:v>0.75</x:v>
      </x:c>
    </x:row>
    <x:row r="67">
      <x:c r="A67" s="12" t="str">
        <x:v>パーモット</x:v>
      </x:c>
      <x:c r="B67" s="12" t="str">
        <x:v>バランス型</x:v>
      </x:c>
      <x:c r="C67" s="12" t="str">
        <x:v>パーモット-1</x:v>
      </x:c>
      <x:c r="D67" s="12" t="str">
        <x:v>共通</x:v>
      </x:c>
      <x:c r="E67" s="12" t="str">
        <x:v>Diver</x:v>
      </x:c>
      <x:c r="F67" s="12" t="str">
        <x:v>Diver</x:v>
      </x:c>
      <x:c r="G67" s="12"/>
      <x:c r="H67" s="12" t="str">
        <x:v>技で細部は変わるが、診断上のプレイ人格は大きく変わらないため統合</x:v>
      </x:c>
      <x:c r="I67" s="12" t="str">
        <x:v>高</x:v>
      </x:c>
      <x:c r="J67" s="12" t="str">
        <x:v>2026-09-30</x:v>
      </x:c>
      <x:c r="K67" s="12" t="n">
        <x:v>80</x:v>
      </x:c>
      <x:c r="L67" s="12" t="n">
        <x:v>90</x:v>
      </x:c>
      <x:c r="M67" s="12" t="n">
        <x:v>20</x:v>
      </x:c>
      <x:c r="N67" s="12" t="n">
        <x:v>55</x:v>
      </x:c>
      <x:c r="O67" s="12" t="n">
        <x:v>10</x:v>
      </x:c>
      <x:c r="P67" s="12" t="n">
        <x:v>35</x:v>
      </x:c>
      <x:c r="Q67" s="12" t="n">
        <x:v>45</x:v>
      </x:c>
      <x:c r="R67" s="12" t="n">
        <x:v>5</x:v>
      </x:c>
      <x:c r="S67" s="12" t="n">
        <x:v>90</x:v>
      </x:c>
      <x:c r="T67" s="12" t="n">
        <x:v>70</x:v>
      </x:c>
      <x:c r="U67" s="12" t="n">
        <x:v>75</x:v>
      </x:c>
      <x:c r="V67" s="12" t="n">
        <x:v>60</x:v>
      </x:c>
      <x:c r="W67" s="12" t="n">
        <x:v>55</x:v>
      </x:c>
      <x:c r="X67" s="12" t="n">
        <x:v>70</x:v>
      </x:c>
      <x:c r="Y67" s="12" t="n">
        <x:v>70</x:v>
      </x:c>
      <x:c r="Z67" s="12" t="n">
        <x:f>ROUND(MAX(0,MIN(100,0.40*K67+0.20*L67+0.10*S67+0.15*V67+0.15*Y67)),0)</x:f>
        <x:v>79</x:v>
      </x:c>
      <x:c r="AA67" s="12" t="n">
        <x:f>ROUND(MAX(0,MIN(100,0.30*L67+0.20*K67+0.15*V67+0.15*W67+0.10*S67+0.10*(100-M67))),0)</x:f>
        <x:v>77</x:v>
      </x:c>
      <x:c r="AB67" s="12" t="n">
        <x:f>ROUND(MAX(0,MIN(100,0.30*M67+0.25*R67+0.20*Q67+0.15*K67+0.10*(100-T67))),0)</x:f>
        <x:v>31</x:v>
      </x:c>
      <x:c r="AC67" s="12" t="n">
        <x:f>ROUND(MAX(0,MIN(100,0.55*T67+0.15*S67+0.10*N67+0.10*V67+0.10*W67)),0)</x:f>
        <x:v>69</x:v>
      </x:c>
      <x:c r="AD67" s="12" t="n">
        <x:f>ROUND(MAX(0,MIN(100,0.25*O67+0.25*Q67+0.20*Y67+0.15*U67+0.15*(100-L67))),0)</x:f>
        <x:v>41</x:v>
      </x:c>
      <x:c r="AE67" s="12" t="n">
        <x:f>ROUND(MAX(0,MIN(100,0.30*Y67+0.25*S67+0.15*Q67+0.15*T67+0.15*X67)),0)</x:f>
        <x:v>71</x:v>
      </x:c>
      <x:c r="AF67" s="12" t="n">
        <x:f>ROUND(MAX(0,MIN(100,0.65*X67+0.35*Y67)),0)</x:f>
        <x:v>70</x:v>
      </x:c>
      <x:c r="AG67" s="12" t="str">
        <x:v>https://wikiwiki.jp/poke-unite/%E3%83%91%E3%83%BC%E3%83%A2%E3%83%83%E3%83%88</x:v>
      </x:c>
      <x:c r="AH67" s="12" t="str">
        <x:v>パモからパーモットへ育ち、ユナイトわざで「かくとうモード」になってから本領を発揮するファイターです。序盤はじっくりレベルを上げ、回転の速いユナイトわざで後衛を荒らしたい人に向いています。</x:v>
      </x:c>
      <x:c r="AI67" s="12" t="str">
        <x:v>後衛まで踏み込む・育つと化ける・マップを駆け回る</x:v>
      </x:c>
      <x:c r="AJ67" s="12" t="n">
        <x:v>0.5</x:v>
      </x:c>
    </x:row>
    <x:row r="68">
      <x:c r="A68" s="12" t="str">
        <x:v>ファイヤー</x:v>
      </x:c>
      <x:c r="B68" s="12" t="str">
        <x:v>バランス型</x:v>
      </x:c>
      <x:c r="C68" s="12" t="str">
        <x:v>ファイヤー-1</x:v>
      </x:c>
      <x:c r="D68" s="12" t="str">
        <x:v>共通</x:v>
      </x:c>
      <x:c r="E68" s="12" t="str">
        <x:v>Juggernaut</x:v>
      </x:c>
      <x:c r="F68" s="12" t="str">
        <x:v>Juggernaut</x:v>
      </x:c>
      <x:c r="G68" s="12"/>
      <x:c r="H68" s="12" t="str">
        <x:v>技で細部は変わるが、診断上のプレイ人格は大きく変わらないため統合</x:v>
      </x:c>
      <x:c r="I68" s="12" t="str">
        <x:v>中</x:v>
      </x:c>
      <x:c r="J68" s="12" t="str">
        <x:v>2026-09-30</x:v>
      </x:c>
      <x:c r="K68" s="12" t="n">
        <x:v>55</x:v>
      </x:c>
      <x:c r="L68" s="12" t="n">
        <x:v>55</x:v>
      </x:c>
      <x:c r="M68" s="12" t="n">
        <x:v>35</x:v>
      </x:c>
      <x:c r="N68" s="12" t="n">
        <x:v>100</x:v>
      </x:c>
      <x:c r="O68" s="12" t="n">
        <x:v>10</x:v>
      </x:c>
      <x:c r="P68" s="12" t="n">
        <x:v>90</x:v>
      </x:c>
      <x:c r="Q68" s="12" t="n">
        <x:v>25</x:v>
      </x:c>
      <x:c r="R68" s="12" t="n">
        <x:v>5</x:v>
      </x:c>
      <x:c r="S68" s="12" t="n">
        <x:v>25</x:v>
      </x:c>
      <x:c r="T68" s="12" t="n">
        <x:v>70</x:v>
      </x:c>
      <x:c r="U68" s="12" t="n">
        <x:v>40</x:v>
      </x:c>
      <x:c r="V68" s="12" t="n">
        <x:v>75</x:v>
      </x:c>
      <x:c r="W68" s="12" t="n">
        <x:v>40</x:v>
      </x:c>
      <x:c r="X68" s="12" t="n">
        <x:v>50</x:v>
      </x:c>
      <x:c r="Y68" s="12" t="n">
        <x:v>50</x:v>
      </x:c>
      <x:c r="Z68" s="12" t="n">
        <x:f>ROUND(MAX(0,MIN(100,0.40*K68+0.20*L68+0.10*S68+0.15*V68+0.15*Y68)),0)</x:f>
        <x:v>54</x:v>
      </x:c>
      <x:c r="AA68" s="12" t="n">
        <x:f>ROUND(MAX(0,MIN(100,0.30*L68+0.20*K68+0.15*V68+0.15*W68+0.10*S68+0.10*(100-M68))),0)</x:f>
        <x:v>54</x:v>
      </x:c>
      <x:c r="AB68" s="12" t="n">
        <x:f>ROUND(MAX(0,MIN(100,0.30*M68+0.25*R68+0.20*Q68+0.15*K68+0.10*(100-T68))),0)</x:f>
        <x:v>28</x:v>
      </x:c>
      <x:c r="AC68" s="12" t="n">
        <x:f>ROUND(MAX(0,MIN(100,0.55*T68+0.15*S68+0.10*N68+0.10*V68+0.10*W68)),0)</x:f>
        <x:v>64</x:v>
      </x:c>
      <x:c r="AD68" s="12" t="n">
        <x:f>ROUND(MAX(0,MIN(100,0.25*O68+0.25*Q68+0.20*Y68+0.15*U68+0.15*(100-L68))),0)</x:f>
        <x:v>32</x:v>
      </x:c>
      <x:c r="AE68" s="12" t="n">
        <x:f>ROUND(MAX(0,MIN(100,0.30*Y68+0.25*S68+0.15*Q68+0.15*T68+0.15*X68)),0)</x:f>
        <x:v>43</x:v>
      </x:c>
      <x:c r="AF68" s="12" t="n">
        <x:f>ROUND(MAX(0,MIN(100,0.65*X68+0.35*Y68)),0)</x:f>
        <x:v>50</x:v>
      </x:c>
      <x:c r="AG68" s="12" t="str">
        <x:v>https://wikiwiki.jp/poke-unite/%E3%83%95%E3%82%A1%E3%82%A4%E3%83%A4%E3%83%BC</x:v>
      </x:c>
      <x:c r="AH68" s="12" t="str">
        <x:v>強化攻撃でわざを追加発動し、「ねっぷう」の回復で長い殴り合いに強い伝説のファイターです。妨害わざはないので、前線で相手を燃やし続けて押し勝ちたい人に向いています。</x:v>
      </x:c>
      <x:c r="AI68" s="12" t="str">
        <x:v>長く戦う・前線を支える・近距離で戦う</x:v>
      </x:c>
      <x:c r="AJ68" s="12" t="n">
        <x:v>0</x:v>
      </x:c>
    </x:row>
    <x:row r="69">
      <x:c r="A69" s="12" t="str">
        <x:v>マッシブーン</x:v>
      </x:c>
      <x:c r="B69" s="12" t="str">
        <x:v>バランス型</x:v>
      </x:c>
      <x:c r="C69" s="12" t="str">
        <x:v>マッシブーン-1</x:v>
      </x:c>
      <x:c r="D69" s="12" t="str">
        <x:v>共通</x:v>
      </x:c>
      <x:c r="E69" s="12" t="str">
        <x:v>Catcher</x:v>
      </x:c>
      <x:c r="F69" s="12" t="str">
        <x:v>Catcher</x:v>
      </x:c>
      <x:c r="G69" s="12"/>
      <x:c r="H69" s="12" t="str">
        <x:v>技で細部は変わるが、診断上のプレイ人格は大きく変わらないため統合</x:v>
      </x:c>
      <x:c r="I69" s="12" t="str">
        <x:v>高</x:v>
      </x:c>
      <x:c r="J69" s="12" t="str">
        <x:v>2026-09-30</x:v>
      </x:c>
      <x:c r="K69" s="12" t="n">
        <x:v>75</x:v>
      </x:c>
      <x:c r="L69" s="12" t="n">
        <x:v>40</x:v>
      </x:c>
      <x:c r="M69" s="12" t="n">
        <x:v>50</x:v>
      </x:c>
      <x:c r="N69" s="12" t="n">
        <x:v>50</x:v>
      </x:c>
      <x:c r="O69" s="12" t="n">
        <x:v>50</x:v>
      </x:c>
      <x:c r="P69" s="12" t="n">
        <x:v>35</x:v>
      </x:c>
      <x:c r="Q69" s="12" t="n">
        <x:v>100</x:v>
      </x:c>
      <x:c r="R69" s="12" t="n">
        <x:v>20</x:v>
      </x:c>
      <x:c r="S69" s="12" t="n">
        <x:v>40</x:v>
      </x:c>
      <x:c r="T69" s="12" t="n">
        <x:v>55</x:v>
      </x:c>
      <x:c r="U69" s="12" t="n">
        <x:v>30</x:v>
      </x:c>
      <x:c r="V69" s="12" t="n">
        <x:v>45</x:v>
      </x:c>
      <x:c r="W69" s="12" t="n">
        <x:v>25</x:v>
      </x:c>
      <x:c r="X69" s="12" t="n">
        <x:v>70</x:v>
      </x:c>
      <x:c r="Y69" s="12" t="n">
        <x:v>95</x:v>
      </x:c>
      <x:c r="Z69" s="12" t="n">
        <x:f>ROUND(MAX(0,MIN(100,0.40*K69+0.20*L69+0.10*S69+0.15*V69+0.15*Y69)),0)</x:f>
        <x:v>63</x:v>
      </x:c>
      <x:c r="AA69" s="12" t="n">
        <x:f>ROUND(MAX(0,MIN(100,0.30*L69+0.20*K69+0.15*V69+0.15*W69+0.10*S69+0.10*(100-M69))),0)</x:f>
        <x:v>47</x:v>
      </x:c>
      <x:c r="AB69" s="12" t="n">
        <x:f>ROUND(MAX(0,MIN(100,0.30*M69+0.25*R69+0.20*Q69+0.15*K69+0.10*(100-T69))),0)</x:f>
        <x:v>56</x:v>
      </x:c>
      <x:c r="AC69" s="12" t="n">
        <x:f>ROUND(MAX(0,MIN(100,0.55*T69+0.15*S69+0.10*N69+0.10*V69+0.10*W69)),0)</x:f>
        <x:v>48</x:v>
      </x:c>
      <x:c r="AD69" s="12" t="n">
        <x:f>ROUND(MAX(0,MIN(100,0.25*O69+0.25*Q69+0.20*Y69+0.15*U69+0.15*(100-L69))),0)</x:f>
        <x:v>70</x:v>
      </x:c>
      <x:c r="AE69" s="12" t="n">
        <x:f>ROUND(MAX(0,MIN(100,0.30*Y69+0.25*S69+0.15*Q69+0.15*T69+0.15*X69)),0)</x:f>
        <x:v>72</x:v>
      </x:c>
      <x:c r="AF69" s="12" t="n">
        <x:f>ROUND(MAX(0,MIN(100,0.65*X69+0.35*Y69)),0)</x:f>
        <x:v>79</x:v>
      </x:c>
      <x:c r="AG69" s="12" t="str">
        <x:v>https://wikiwiki.jp/poke-unite/%E3%83%9E%E3%83%83%E3%82%B7%E3%83%96%E3%83%BC%E3%83%B3</x:v>
      </x:c>
      <x:c r="AH69" s="12" t="str">
        <x:v>相手をつかんで振り回し、近い距離で主導権を握るファイターです。狙った相手を捕まえて離さない戦い方が好きな人に向いています。</x:v>
      </x:c>
      <x:c r="AI69" s="12" t="str">
        <x:v>動きを止める・自分から仕掛ける・先を読んで動く</x:v>
      </x:c>
      <x:c r="AJ69" s="12" t="n">
        <x:v>0</x:v>
      </x:c>
    </x:row>
    <x:row r="70">
      <x:c r="A70" s="12" t="str">
        <x:v>マリルリ</x:v>
      </x:c>
      <x:c r="B70" s="12" t="str">
        <x:v>バランス型</x:v>
      </x:c>
      <x:c r="C70" s="12" t="str">
        <x:v>マリルリ-1</x:v>
      </x:c>
      <x:c r="D70" s="12" t="str">
        <x:v>共通</x:v>
      </x:c>
      <x:c r="E70" s="12" t="str">
        <x:v>Diver</x:v>
      </x:c>
      <x:c r="F70" s="12" t="str">
        <x:v>Diver</x:v>
      </x:c>
      <x:c r="G70" s="12"/>
      <x:c r="H70" s="12" t="str">
        <x:v>技で細部は変わるが、診断上のプレイ人格は大きく変わらないため統合</x:v>
      </x:c>
      <x:c r="I70" s="12" t="str">
        <x:v>高</x:v>
      </x:c>
      <x:c r="J70" s="12" t="str">
        <x:v>2026-09-30</x:v>
      </x:c>
      <x:c r="K70" s="12" t="n">
        <x:v>80</x:v>
      </x:c>
      <x:c r="L70" s="12" t="n">
        <x:v>80</x:v>
      </x:c>
      <x:c r="M70" s="12" t="n">
        <x:v>20</x:v>
      </x:c>
      <x:c r="N70" s="12" t="n">
        <x:v>55</x:v>
      </x:c>
      <x:c r="O70" s="12" t="n">
        <x:v>10</x:v>
      </x:c>
      <x:c r="P70" s="12" t="n">
        <x:v>50</x:v>
      </x:c>
      <x:c r="Q70" s="12" t="n">
        <x:v>45</x:v>
      </x:c>
      <x:c r="R70" s="12" t="n">
        <x:v>5</x:v>
      </x:c>
      <x:c r="S70" s="12" t="n">
        <x:v>60</x:v>
      </x:c>
      <x:c r="T70" s="12" t="n">
        <x:v>80</x:v>
      </x:c>
      <x:c r="U70" s="12" t="n">
        <x:v>45</x:v>
      </x:c>
      <x:c r="V70" s="12" t="n">
        <x:v>60</x:v>
      </x:c>
      <x:c r="W70" s="12" t="n">
        <x:v>55</x:v>
      </x:c>
      <x:c r="X70" s="12" t="n">
        <x:v>65</x:v>
      </x:c>
      <x:c r="Y70" s="12" t="n">
        <x:v>70</x:v>
      </x:c>
      <x:c r="Z70" s="12" t="n">
        <x:f>ROUND(MAX(0,MIN(100,0.40*K70+0.20*L70+0.10*S70+0.15*V70+0.15*Y70)),0)</x:f>
        <x:v>74</x:v>
      </x:c>
      <x:c r="AA70" s="12" t="n">
        <x:f>ROUND(MAX(0,MIN(100,0.30*L70+0.20*K70+0.15*V70+0.15*W70+0.10*S70+0.10*(100-M70))),0)</x:f>
        <x:v>71</x:v>
      </x:c>
      <x:c r="AB70" s="12" t="n">
        <x:f>ROUND(MAX(0,MIN(100,0.30*M70+0.25*R70+0.20*Q70+0.15*K70+0.10*(100-T70))),0)</x:f>
        <x:v>30</x:v>
      </x:c>
      <x:c r="AC70" s="12" t="n">
        <x:f>ROUND(MAX(0,MIN(100,0.55*T70+0.15*S70+0.10*N70+0.10*V70+0.10*W70)),0)</x:f>
        <x:v>70</x:v>
      </x:c>
      <x:c r="AD70" s="12" t="n">
        <x:f>ROUND(MAX(0,MIN(100,0.25*O70+0.25*Q70+0.20*Y70+0.15*U70+0.15*(100-L70))),0)</x:f>
        <x:v>38</x:v>
      </x:c>
      <x:c r="AE70" s="12" t="n">
        <x:f>ROUND(MAX(0,MIN(100,0.30*Y70+0.25*S70+0.15*Q70+0.15*T70+0.15*X70)),0)</x:f>
        <x:v>65</x:v>
      </x:c>
      <x:c r="AF70" s="12" t="n">
        <x:f>ROUND(MAX(0,MIN(100,0.65*X70+0.35*Y70)),0)</x:f>
        <x:v>67</x:v>
      </x:c>
      <x:c r="AG70" s="12" t="str">
        <x:v>https://wikiwiki.jp/poke-unite/%E3%83%9E%E3%83%AA%E3%83%AB%E3%83%AA</x:v>
      </x:c>
      <x:c r="AH70" s="12" t="str">
        <x:v>回復しながら殴り合い、序盤から存在感を出せるファイターです。素早く飛び込んで、近い距離で一人でも押し勝ちたい人に向いています。</x:v>
      </x:c>
      <x:c r="AI70" s="12" t="str">
        <x:v>後衛まで踏み込む・一人で仕事を作る・自分から仕掛ける</x:v>
      </x:c>
      <x:c r="AJ70" s="12" t="n">
        <x:v>0</x:v>
      </x:c>
    </x:row>
    <x:row r="71">
      <x:c r="A71" s="12" t="str">
        <x:v>ミミッキュ</x:v>
      </x:c>
      <x:c r="B71" s="12" t="str">
        <x:v>バランス型</x:v>
      </x:c>
      <x:c r="C71" s="12" t="str">
        <x:v>ミミッキュ-1</x:v>
      </x:c>
      <x:c r="D71" s="12" t="str">
        <x:v>じゃれつく</x:v>
      </x:c>
      <x:c r="E71" s="12" t="str">
        <x:v>Assassin</x:v>
      </x:c>
      <x:c r="F71" s="12" t="str">
        <x:v>Assassin</x:v>
      </x:c>
      <x:c r="G71" s="12"/>
      <x:c r="H71" s="12" t="str">
        <x:v>立ち位置・戦闘距離・役割が大きく変わるため別プロファイル</x:v>
      </x:c>
      <x:c r="I71" s="12" t="str">
        <x:v>高</x:v>
      </x:c>
      <x:c r="J71" s="12" t="str">
        <x:v>2026-09-30</x:v>
      </x:c>
      <x:c r="K71" s="12" t="n">
        <x:v>55</x:v>
      </x:c>
      <x:c r="L71" s="12" t="n">
        <x:v>90</x:v>
      </x:c>
      <x:c r="M71" s="12" t="n">
        <x:v>0</x:v>
      </x:c>
      <x:c r="N71" s="12" t="n">
        <x:v>20</x:v>
      </x:c>
      <x:c r="O71" s="12" t="n">
        <x:v>15</x:v>
      </x:c>
      <x:c r="P71" s="12" t="n">
        <x:v>0</x:v>
      </x:c>
      <x:c r="Q71" s="12" t="n">
        <x:v>25</x:v>
      </x:c>
      <x:c r="R71" s="12" t="n">
        <x:v>5</x:v>
      </x:c>
      <x:c r="S71" s="12" t="n">
        <x:v>100</x:v>
      </x:c>
      <x:c r="T71" s="12" t="n">
        <x:v>70</x:v>
      </x:c>
      <x:c r="U71" s="12" t="n">
        <x:v>65</x:v>
      </x:c>
      <x:c r="V71" s="12" t="n">
        <x:v>70</x:v>
      </x:c>
      <x:c r="W71" s="12" t="n">
        <x:v>85</x:v>
      </x:c>
      <x:c r="X71" s="12" t="n">
        <x:v>80</x:v>
      </x:c>
      <x:c r="Y71" s="12" t="n">
        <x:v>75</x:v>
      </x:c>
      <x:c r="Z71" s="12" t="n">
        <x:f>ROUND(MAX(0,MIN(100,0.40*K71+0.20*L71+0.10*S71+0.15*V71+0.15*Y71)),0)</x:f>
        <x:v>72</x:v>
      </x:c>
      <x:c r="AA71" s="12" t="n">
        <x:f>ROUND(MAX(0,MIN(100,0.30*L71+0.20*K71+0.15*V71+0.15*W71+0.10*S71+0.10*(100-M71))),0)</x:f>
        <x:v>81</x:v>
      </x:c>
      <x:c r="AB71" s="12" t="n">
        <x:f>ROUND(MAX(0,MIN(100,0.30*M71+0.25*R71+0.20*Q71+0.15*K71+0.10*(100-T71))),0)</x:f>
        <x:v>18</x:v>
      </x:c>
      <x:c r="AC71" s="12" t="n">
        <x:f>ROUND(MAX(0,MIN(100,0.55*T71+0.15*S71+0.10*N71+0.10*V71+0.10*W71)),0)</x:f>
        <x:v>71</x:v>
      </x:c>
      <x:c r="AD71" s="12" t="n">
        <x:f>ROUND(MAX(0,MIN(100,0.25*O71+0.25*Q71+0.20*Y71+0.15*U71+0.15*(100-L71))),0)</x:f>
        <x:v>36</x:v>
      </x:c>
      <x:c r="AE71" s="12" t="n">
        <x:f>ROUND(MAX(0,MIN(100,0.30*Y71+0.25*S71+0.15*Q71+0.15*T71+0.15*X71)),0)</x:f>
        <x:v>74</x:v>
      </x:c>
      <x:c r="AF71" s="12" t="n">
        <x:f>ROUND(MAX(0,MIN(100,0.65*X71+0.35*Y71)),0)</x:f>
        <x:v>78</x:v>
      </x:c>
      <x:c r="AG71" s="12" t="str">
        <x:v>https://wikiwiki.jp/poke-unite/%E3%83%9F%E3%83%9F%E3%83%83%E3%82%AD%E3%83%A5</x:v>
      </x:c>
      <x:c r="AH71" s="12" t="str">
        <x:v>「じゃれつく」で一気に距離を詰め、狙った相手を素早く仕留める戦い方です。ばけのかわで攻撃を受け流しつつ、隙のある相手に飛び込みたい人に向いています。</x:v>
      </x:c>
      <x:c r="AI71" s="12" t="str">
        <x:v>後衛まで踏み込む・一瞬で倒し切る・マップを駆け回る</x:v>
      </x:c>
      <x:c r="AJ71" s="12" t="n">
        <x:v>0</x:v>
      </x:c>
    </x:row>
    <x:row r="72">
      <x:c r="A72" s="12" t="str">
        <x:v>ミミッキュ</x:v>
      </x:c>
      <x:c r="B72" s="12" t="str">
        <x:v>バランス型</x:v>
      </x:c>
      <x:c r="C72" s="12" t="str">
        <x:v>ミミッキュ-2</x:v>
      </x:c>
      <x:c r="D72" s="12" t="str">
        <x:v>シャドークロー</x:v>
      </x:c>
      <x:c r="E72" s="12" t="str">
        <x:v>Skirmisher</x:v>
      </x:c>
      <x:c r="F72" s="12" t="str">
        <x:v>Skirmisher</x:v>
      </x:c>
      <x:c r="G72" s="12"/>
      <x:c r="H72" s="12" t="str">
        <x:v>立ち位置・戦闘距離・役割が大きく変わるため別プロファイル</x:v>
      </x:c>
      <x:c r="I72" s="12" t="str">
        <x:v>高</x:v>
      </x:c>
      <x:c r="J72" s="12" t="str">
        <x:v>2026-09-30</x:v>
      </x:c>
      <x:c r="K72" s="12" t="n">
        <x:v>60</x:v>
      </x:c>
      <x:c r="L72" s="12" t="n">
        <x:v>80</x:v>
      </x:c>
      <x:c r="M72" s="12" t="n">
        <x:v>25</x:v>
      </x:c>
      <x:c r="N72" s="12" t="n">
        <x:v>85</x:v>
      </x:c>
      <x:c r="O72" s="12" t="n">
        <x:v>20</x:v>
      </x:c>
      <x:c r="P72" s="12" t="n">
        <x:v>85</x:v>
      </x:c>
      <x:c r="Q72" s="12" t="n">
        <x:v>35</x:v>
      </x:c>
      <x:c r="R72" s="12" t="n">
        <x:v>5</x:v>
      </x:c>
      <x:c r="S72" s="12" t="n">
        <x:v>80</x:v>
      </x:c>
      <x:c r="T72" s="12" t="n">
        <x:v>75</x:v>
      </x:c>
      <x:c r="U72" s="12" t="n">
        <x:v>70</x:v>
      </x:c>
      <x:c r="V72" s="12" t="n">
        <x:v>65</x:v>
      </x:c>
      <x:c r="W72" s="12" t="n">
        <x:v>65</x:v>
      </x:c>
      <x:c r="X72" s="12" t="n">
        <x:v>70</x:v>
      </x:c>
      <x:c r="Y72" s="12" t="n">
        <x:v>65</x:v>
      </x:c>
      <x:c r="Z72" s="12" t="n">
        <x:f>ROUND(MAX(0,MIN(100,0.40*K72+0.20*L72+0.10*S72+0.15*V72+0.15*Y72)),0)</x:f>
        <x:v>68</x:v>
      </x:c>
      <x:c r="AA72" s="12" t="n">
        <x:f>ROUND(MAX(0,MIN(100,0.30*L72+0.20*K72+0.15*V72+0.15*W72+0.10*S72+0.10*(100-M72))),0)</x:f>
        <x:v>71</x:v>
      </x:c>
      <x:c r="AB72" s="12" t="n">
        <x:f>ROUND(MAX(0,MIN(100,0.30*M72+0.25*R72+0.20*Q72+0.15*K72+0.10*(100-T72))),0)</x:f>
        <x:v>27</x:v>
      </x:c>
      <x:c r="AC72" s="12" t="n">
        <x:f>ROUND(MAX(0,MIN(100,0.55*T72+0.15*S72+0.10*N72+0.10*V72+0.10*W72)),0)</x:f>
        <x:v>75</x:v>
      </x:c>
      <x:c r="AD72" s="12" t="n">
        <x:f>ROUND(MAX(0,MIN(100,0.25*O72+0.25*Q72+0.20*Y72+0.15*U72+0.15*(100-L72))),0)</x:f>
        <x:v>40</x:v>
      </x:c>
      <x:c r="AE72" s="12" t="n">
        <x:f>ROUND(MAX(0,MIN(100,0.30*Y72+0.25*S72+0.15*Q72+0.15*T72+0.15*X72)),0)</x:f>
        <x:v>67</x:v>
      </x:c>
      <x:c r="AF72" s="12" t="n">
        <x:f>ROUND(MAX(0,MIN(100,0.65*X72+0.35*Y72)),0)</x:f>
        <x:v>68</x:v>
      </x:c>
      <x:c r="AG72" s="12" t="str">
        <x:v>https://wikiwiki.jp/poke-unite/%E3%83%9F%E3%83%9F%E3%83%83%E3%82%AD%E3%83%A5</x:v>
      </x:c>
      <x:c r="AH72" s="12" t="str">
        <x:v>「シャドークロー」で殴り続け、ばけのかわで粘りながら長く戦う戦い方です。相手の中に居座って、乱戦を最後まで戦い抜きたい人に向いています。</x:v>
      </x:c>
      <x:c r="AI72" s="12" t="str">
        <x:v>長く戦う・前線を支える・一人で仕事を作る</x:v>
      </x:c>
      <x:c r="AJ72" s="12" t="n">
        <x:v>0</x:v>
      </x:c>
    </x:row>
    <x:row r="73">
      <x:c r="A73" s="12" t="str">
        <x:v>ミュウツー(X)</x:v>
      </x:c>
      <x:c r="B73" s="12" t="str">
        <x:v>バランス型</x:v>
      </x:c>
      <x:c r="C73" s="12" t="str">
        <x:v>ミュウツー(X)-1</x:v>
      </x:c>
      <x:c r="D73" s="12" t="str">
        <x:v>共通</x:v>
      </x:c>
      <x:c r="E73" s="12" t="str">
        <x:v>Juggernaut / Catcher</x:v>
      </x:c>
      <x:c r="F73" s="12" t="str">
        <x:v>Juggernaut</x:v>
      </x:c>
      <x:c r="G73" s="12" t="str">
        <x:v>Catcher</x:v>
      </x:c>
      <x:c r="H73" s="12" t="str">
        <x:v>技で細部は変わるが、診断上のプレイ人格は大きく変わらないため統合</x:v>
      </x:c>
      <x:c r="I73" s="12" t="str">
        <x:v>高</x:v>
      </x:c>
      <x:c r="J73" s="12" t="str">
        <x:v>2026-09-30</x:v>
      </x:c>
      <x:c r="K73" s="12" t="n">
        <x:v>65</x:v>
      </x:c>
      <x:c r="L73" s="12" t="n">
        <x:v>45</x:v>
      </x:c>
      <x:c r="M73" s="12" t="n">
        <x:v>45</x:v>
      </x:c>
      <x:c r="N73" s="12" t="n">
        <x:v>100</x:v>
      </x:c>
      <x:c r="O73" s="12" t="n">
        <x:v>35</x:v>
      </x:c>
      <x:c r="P73" s="12" t="n">
        <x:v>55</x:v>
      </x:c>
      <x:c r="Q73" s="12" t="n">
        <x:v>75</x:v>
      </x:c>
      <x:c r="R73" s="12" t="n">
        <x:v>5</x:v>
      </x:c>
      <x:c r="S73" s="12" t="n">
        <x:v>40</x:v>
      </x:c>
      <x:c r="T73" s="12" t="n">
        <x:v>60</x:v>
      </x:c>
      <x:c r="U73" s="12" t="n">
        <x:v>50</x:v>
      </x:c>
      <x:c r="V73" s="12" t="n">
        <x:v>55</x:v>
      </x:c>
      <x:c r="W73" s="12" t="n">
        <x:v>30</x:v>
      </x:c>
      <x:c r="X73" s="12" t="n">
        <x:v>35</x:v>
      </x:c>
      <x:c r="Y73" s="12" t="n">
        <x:v>75</x:v>
      </x:c>
      <x:c r="Z73" s="12" t="n">
        <x:f>ROUND(MAX(0,MIN(100,0.40*K73+0.20*L73+0.10*S73+0.15*V73+0.15*Y73)),0)</x:f>
        <x:v>59</x:v>
      </x:c>
      <x:c r="AA73" s="12" t="n">
        <x:f>ROUND(MAX(0,MIN(100,0.30*L73+0.20*K73+0.15*V73+0.15*W73+0.10*S73+0.10*(100-M73))),0)</x:f>
        <x:v>49</x:v>
      </x:c>
      <x:c r="AB73" s="12" t="n">
        <x:f>ROUND(MAX(0,MIN(100,0.30*M73+0.25*R73+0.20*Q73+0.15*K73+0.10*(100-T73))),0)</x:f>
        <x:v>44</x:v>
      </x:c>
      <x:c r="AC73" s="12" t="n">
        <x:f>ROUND(MAX(0,MIN(100,0.55*T73+0.15*S73+0.10*N73+0.10*V73+0.10*W73)),0)</x:f>
        <x:v>58</x:v>
      </x:c>
      <x:c r="AD73" s="12" t="n">
        <x:f>ROUND(MAX(0,MIN(100,0.25*O73+0.25*Q73+0.20*Y73+0.15*U73+0.15*(100-L73))),0)</x:f>
        <x:v>58</x:v>
      </x:c>
      <x:c r="AE73" s="12" t="n">
        <x:f>ROUND(MAX(0,MIN(100,0.30*Y73+0.25*S73+0.15*Q73+0.15*T73+0.15*X73)),0)</x:f>
        <x:v>58</x:v>
      </x:c>
      <x:c r="AF73" s="12" t="n">
        <x:f>ROUND(MAX(0,MIN(100,0.65*X73+0.35*Y73)),0)</x:f>
        <x:v>49</x:v>
      </x:c>
      <x:c r="AG73" s="12" t="str">
        <x:v>https://wikiwiki.jp/poke-unite/%E3%83%9F%E3%83%A5%E3%82%A6%E3%83%84%E3%83%BC(X)</x:v>
      </x:c>
      <x:c r="AH73" s="12" t="str">
        <x:v>メガミュウツーXにメガシンカして、前線で相手を受け止めながら殴り合う戦い方です。操作は素直なので、前に立ち続けて戦線を支えたい人に向いています。</x:v>
      </x:c>
      <x:c r="AI73" s="12" t="str">
        <x:v>前線を支える・扱いやすい・動きを止める</x:v>
      </x:c>
      <x:c r="AJ73" s="12" t="n">
        <x:v>0</x:v>
      </x:c>
    </x:row>
    <x:row r="74">
      <x:c r="A74" s="12" t="str">
        <x:v>メタグロス</x:v>
      </x:c>
      <x:c r="B74" s="12" t="str">
        <x:v>バランス型</x:v>
      </x:c>
      <x:c r="C74" s="12" t="str">
        <x:v>メタグロス-1</x:v>
      </x:c>
      <x:c r="D74" s="12" t="str">
        <x:v>共通</x:v>
      </x:c>
      <x:c r="E74" s="12" t="str">
        <x:v>Diver / Juggernaut</x:v>
      </x:c>
      <x:c r="F74" s="12" t="str">
        <x:v>Diver</x:v>
      </x:c>
      <x:c r="G74" s="12" t="str">
        <x:v>Juggernaut</x:v>
      </x:c>
      <x:c r="H74" s="12" t="str">
        <x:v>技で細部は変わるが、診断上のプレイ人格は大きく変わらないため統合</x:v>
      </x:c>
      <x:c r="I74" s="12" t="str">
        <x:v>高</x:v>
      </x:c>
      <x:c r="J74" s="12" t="str">
        <x:v>2026-09-30</x:v>
      </x:c>
      <x:c r="K74" s="12" t="n">
        <x:v>70</x:v>
      </x:c>
      <x:c r="L74" s="12" t="n">
        <x:v>75</x:v>
      </x:c>
      <x:c r="M74" s="12" t="n">
        <x:v>30</x:v>
      </x:c>
      <x:c r="N74" s="12" t="n">
        <x:v>90</x:v>
      </x:c>
      <x:c r="O74" s="12" t="n">
        <x:v>10</x:v>
      </x:c>
      <x:c r="P74" s="12" t="n">
        <x:v>65</x:v>
      </x:c>
      <x:c r="Q74" s="12" t="n">
        <x:v>45</x:v>
      </x:c>
      <x:c r="R74" s="12" t="n">
        <x:v>5</x:v>
      </x:c>
      <x:c r="S74" s="12" t="n">
        <x:v>55</x:v>
      </x:c>
      <x:c r="T74" s="12" t="n">
        <x:v>70</x:v>
      </x:c>
      <x:c r="U74" s="12" t="n">
        <x:v>60</x:v>
      </x:c>
      <x:c r="V74" s="12" t="n">
        <x:v>70</x:v>
      </x:c>
      <x:c r="W74" s="12" t="n">
        <x:v>40</x:v>
      </x:c>
      <x:c r="X74" s="12" t="n">
        <x:v>50</x:v>
      </x:c>
      <x:c r="Y74" s="12" t="n">
        <x:v>60</x:v>
      </x:c>
      <x:c r="Z74" s="12" t="n">
        <x:f>ROUND(MAX(0,MIN(100,0.40*K74+0.20*L74+0.10*S74+0.15*V74+0.15*Y74)),0)</x:f>
        <x:v>68</x:v>
      </x:c>
      <x:c r="AA74" s="12" t="n">
        <x:f>ROUND(MAX(0,MIN(100,0.30*L74+0.20*K74+0.15*V74+0.15*W74+0.10*S74+0.10*(100-M74))),0)</x:f>
        <x:v>66</x:v>
      </x:c>
      <x:c r="AB74" s="12" t="n">
        <x:f>ROUND(MAX(0,MIN(100,0.30*M74+0.25*R74+0.20*Q74+0.15*K74+0.10*(100-T74))),0)</x:f>
        <x:v>33</x:v>
      </x:c>
      <x:c r="AC74" s="12" t="n">
        <x:f>ROUND(MAX(0,MIN(100,0.55*T74+0.15*S74+0.10*N74+0.10*V74+0.10*W74)),0)</x:f>
        <x:v>67</x:v>
      </x:c>
      <x:c r="AD74" s="12" t="n">
        <x:f>ROUND(MAX(0,MIN(100,0.25*O74+0.25*Q74+0.20*Y74+0.15*U74+0.15*(100-L74))),0)</x:f>
        <x:v>39</x:v>
      </x:c>
      <x:c r="AE74" s="12" t="n">
        <x:f>ROUND(MAX(0,MIN(100,0.30*Y74+0.25*S74+0.15*Q74+0.15*T74+0.15*X74)),0)</x:f>
        <x:v>57</x:v>
      </x:c>
      <x:c r="AF74" s="12" t="n">
        <x:f>ROUND(MAX(0,MIN(100,0.65*X74+0.35*Y74)),0)</x:f>
        <x:v>54</x:v>
      </x:c>
      <x:c r="AG74" s="12" t="str">
        <x:v>https://wikiwiki.jp/poke-unite/%E3%83%A1%E3%82%BF%E3%82%B0%E3%83%AD%E3%82%B9</x:v>
      </x:c>
      <x:c r="AH74" s="12" t="str">
        <x:v>重い体で相手に飛び込み、前線を押し上げていくファイターです。正面から組みついて、近い距離で戦いを始めたい人に向いています。</x:v>
      </x:c>
      <x:c r="AI74" s="12" t="str">
        <x:v>前線を支える・近距離で戦う・自分から仕掛ける</x:v>
      </x:c>
      <x:c r="AJ74" s="12" t="n">
        <x:v>0</x:v>
      </x:c>
    </x:row>
    <x:row r="75">
      <x:c r="A75" s="12" t="str">
        <x:v>リザードン</x:v>
      </x:c>
      <x:c r="B75" s="12" t="str">
        <x:v>バランス型</x:v>
      </x:c>
      <x:c r="C75" s="12" t="str">
        <x:v>リザードン-1</x:v>
      </x:c>
      <x:c r="D75" s="12" t="str">
        <x:v>だいもんじ</x:v>
      </x:c>
      <x:c r="E75" s="12" t="str">
        <x:v>BattleMage / Marksman</x:v>
      </x:c>
      <x:c r="F75" s="12" t="str">
        <x:v>BattleMage</x:v>
      </x:c>
      <x:c r="G75" s="12" t="str">
        <x:v>Marksman</x:v>
      </x:c>
      <x:c r="H75" s="12" t="str">
        <x:v>立ち位置・戦闘距離・役割が大きく変わるため別プロファイル</x:v>
      </x:c>
      <x:c r="I75" s="12" t="str">
        <x:v>高</x:v>
      </x:c>
      <x:c r="J75" s="12" t="str">
        <x:v>2026-09-30</x:v>
      </x:c>
      <x:c r="K75" s="12" t="n">
        <x:v>25</x:v>
      </x:c>
      <x:c r="L75" s="12" t="n">
        <x:v>10</x:v>
      </x:c>
      <x:c r="M75" s="12" t="n">
        <x:v>20</x:v>
      </x:c>
      <x:c r="N75" s="12" t="n">
        <x:v>20</x:v>
      </x:c>
      <x:c r="O75" s="12" t="n">
        <x:v>75</x:v>
      </x:c>
      <x:c r="P75" s="12" t="n">
        <x:v>70</x:v>
      </x:c>
      <x:c r="Q75" s="12" t="n">
        <x:v>25</x:v>
      </x:c>
      <x:c r="R75" s="12" t="n">
        <x:v>0</x:v>
      </x:c>
      <x:c r="S75" s="12" t="n">
        <x:v>50</x:v>
      </x:c>
      <x:c r="T75" s="12" t="n">
        <x:v>60</x:v>
      </x:c>
      <x:c r="U75" s="12" t="n">
        <x:v>70</x:v>
      </x:c>
      <x:c r="V75" s="12" t="n">
        <x:v>75</x:v>
      </x:c>
      <x:c r="W75" s="12" t="n">
        <x:v>45</x:v>
      </x:c>
      <x:c r="X75" s="12" t="n">
        <x:v>60</x:v>
      </x:c>
      <x:c r="Y75" s="12" t="n">
        <x:v>65</x:v>
      </x:c>
      <x:c r="Z75" s="12" t="n">
        <x:f>ROUND(MAX(0,MIN(100,0.40*K75+0.20*L75+0.10*S75+0.15*V75+0.15*Y75)),0)</x:f>
        <x:v>38</x:v>
      </x:c>
      <x:c r="AA75" s="12" t="n">
        <x:f>ROUND(MAX(0,MIN(100,0.30*L75+0.20*K75+0.15*V75+0.15*W75+0.10*S75+0.10*(100-M75))),0)</x:f>
        <x:v>39</x:v>
      </x:c>
      <x:c r="AB75" s="12" t="n">
        <x:f>ROUND(MAX(0,MIN(100,0.30*M75+0.25*R75+0.20*Q75+0.15*K75+0.10*(100-T75))),0)</x:f>
        <x:v>19</x:v>
      </x:c>
      <x:c r="AC75" s="12" t="n">
        <x:f>ROUND(MAX(0,MIN(100,0.55*T75+0.15*S75+0.10*N75+0.10*V75+0.10*W75)),0)</x:f>
        <x:v>55</x:v>
      </x:c>
      <x:c r="AD75" s="12" t="n">
        <x:f>ROUND(MAX(0,MIN(100,0.25*O75+0.25*Q75+0.20*Y75+0.15*U75+0.15*(100-L75))),0)</x:f>
        <x:v>62</x:v>
      </x:c>
      <x:c r="AE75" s="12" t="n">
        <x:f>ROUND(MAX(0,MIN(100,0.30*Y75+0.25*S75+0.15*Q75+0.15*T75+0.15*X75)),0)</x:f>
        <x:v>54</x:v>
      </x:c>
      <x:c r="AF75" s="12" t="n">
        <x:f>ROUND(MAX(0,MIN(100,0.65*X75+0.35*Y75)),0)</x:f>
        <x:v>62</x:v>
      </x:c>
      <x:c r="AG75" s="12" t="str">
        <x:v>https://wikiwiki.jp/poke-unite/%E3%83%AA%E3%82%B6%E3%83%BC%E3%83%89%E3%83%B3</x:v>
      </x:c>
      <x:c r="AH75" s="12" t="str">
        <x:v>「だいもんじ」などの炎わざを少し離れた位置から当て、焼き払うように戦う戦い方です。前に出過ぎず、射程を活かして安全に火力を出したい人に向いています。</x:v>
      </x:c>
      <x:c r="AI75" s="12" t="str">
        <x:v>遠くから削る・後ろから狙う・待って返す</x:v>
      </x:c>
      <x:c r="AJ75" s="12" t="n">
        <x:v>0</x:v>
      </x:c>
    </x:row>
    <x:row r="76">
      <x:c r="A76" s="12" t="str">
        <x:v>リザードン</x:v>
      </x:c>
      <x:c r="B76" s="12" t="str">
        <x:v>バランス型</x:v>
      </x:c>
      <x:c r="C76" s="12" t="str">
        <x:v>リザードン-2</x:v>
      </x:c>
      <x:c r="D76" s="12" t="str">
        <x:v>フレアドライブ</x:v>
      </x:c>
      <x:c r="E76" s="12" t="str">
        <x:v>Diver / Skirmisher</x:v>
      </x:c>
      <x:c r="F76" s="12" t="str">
        <x:v>Diver</x:v>
      </x:c>
      <x:c r="G76" s="12" t="str">
        <x:v>Skirmisher</x:v>
      </x:c>
      <x:c r="H76" s="12" t="str">
        <x:v>立ち位置・戦闘距離・役割が大きく変わるため別プロファイル</x:v>
      </x:c>
      <x:c r="I76" s="12" t="str">
        <x:v>高</x:v>
      </x:c>
      <x:c r="J76" s="12" t="str">
        <x:v>2026-09-30</x:v>
      </x:c>
      <x:c r="K76" s="12" t="n">
        <x:v>80</x:v>
      </x:c>
      <x:c r="L76" s="12" t="n">
        <x:v>85</x:v>
      </x:c>
      <x:c r="M76" s="12" t="n">
        <x:v>20</x:v>
      </x:c>
      <x:c r="N76" s="12" t="n">
        <x:v>80</x:v>
      </x:c>
      <x:c r="O76" s="12" t="n">
        <x:v>0</x:v>
      </x:c>
      <x:c r="P76" s="12" t="n">
        <x:v>65</x:v>
      </x:c>
      <x:c r="Q76" s="12" t="n">
        <x:v>45</x:v>
      </x:c>
      <x:c r="R76" s="12" t="n">
        <x:v>5</x:v>
      </x:c>
      <x:c r="S76" s="12" t="n">
        <x:v>80</x:v>
      </x:c>
      <x:c r="T76" s="12" t="n">
        <x:v>70</x:v>
      </x:c>
      <x:c r="U76" s="12" t="n">
        <x:v>60</x:v>
      </x:c>
      <x:c r="V76" s="12" t="n">
        <x:v>60</x:v>
      </x:c>
      <x:c r="W76" s="12" t="n">
        <x:v>55</x:v>
      </x:c>
      <x:c r="X76" s="12" t="n">
        <x:v>65</x:v>
      </x:c>
      <x:c r="Y76" s="12" t="n">
        <x:v>70</x:v>
      </x:c>
      <x:c r="Z76" s="12" t="n">
        <x:f>ROUND(MAX(0,MIN(100,0.40*K76+0.20*L76+0.10*S76+0.15*V76+0.15*Y76)),0)</x:f>
        <x:v>77</x:v>
      </x:c>
      <x:c r="AA76" s="12" t="n">
        <x:f>ROUND(MAX(0,MIN(100,0.30*L76+0.20*K76+0.15*V76+0.15*W76+0.10*S76+0.10*(100-M76))),0)</x:f>
        <x:v>75</x:v>
      </x:c>
      <x:c r="AB76" s="12" t="n">
        <x:f>ROUND(MAX(0,MIN(100,0.30*M76+0.25*R76+0.20*Q76+0.15*K76+0.10*(100-T76))),0)</x:f>
        <x:v>31</x:v>
      </x:c>
      <x:c r="AC76" s="12" t="n">
        <x:f>ROUND(MAX(0,MIN(100,0.55*T76+0.15*S76+0.10*N76+0.10*V76+0.10*W76)),0)</x:f>
        <x:v>70</x:v>
      </x:c>
      <x:c r="AD76" s="12" t="n">
        <x:f>ROUND(MAX(0,MIN(100,0.25*O76+0.25*Q76+0.20*Y76+0.15*U76+0.15*(100-L76))),0)</x:f>
        <x:v>37</x:v>
      </x:c>
      <x:c r="AE76" s="12" t="n">
        <x:f>ROUND(MAX(0,MIN(100,0.30*Y76+0.25*S76+0.15*Q76+0.15*T76+0.15*X76)),0)</x:f>
        <x:v>68</x:v>
      </x:c>
      <x:c r="AF76" s="12" t="n">
        <x:f>ROUND(MAX(0,MIN(100,0.65*X76+0.35*Y76)),0)</x:f>
        <x:v>67</x:v>
      </x:c>
      <x:c r="AG76" s="12" t="str">
        <x:v>https://wikiwiki.jp/poke-unite/%E3%83%AA%E3%82%B6%E3%83%BC%E3%83%89%E3%83%B3</x:v>
      </x:c>
      <x:c r="AH76" s="12" t="str">
        <x:v>「フレアドライブ」で突っ込み、相手を巻き込んで暴れる戦い方です。自分から飛び込み、近い距離で一気に戦いをかき乱したい人に向いています。</x:v>
      </x:c>
      <x:c r="AI76" s="12" t="str">
        <x:v>後衛まで踏み込む・自分から仕掛ける・前線を支える</x:v>
      </x:c>
      <x:c r="AJ76" s="12" t="n">
        <x:v>0</x:v>
      </x:c>
    </x:row>
    <x:row r="77">
      <x:c r="A77" s="12" t="str">
        <x:v>メガリザードンX</x:v>
      </x:c>
      <x:c r="B77" s="12" t="str">
        <x:v>バランス型</x:v>
      </x:c>
      <x:c r="C77" s="12" t="str">
        <x:v>メガリザードンX-1</x:v>
      </x:c>
      <x:c r="D77" s="12" t="str">
        <x:v>共通</x:v>
      </x:c>
      <x:c r="E77" s="12" t="str">
        <x:v>Diver</x:v>
      </x:c>
      <x:c r="F77" s="12" t="str">
        <x:v>Diver</x:v>
      </x:c>
      <x:c r="G77" s="12"/>
      <x:c r="H77" s="12" t="str">
        <x:v>技で細部は変わるが、診断上のプレイ人格は大きく変わらないため統合</x:v>
      </x:c>
      <x:c r="I77" s="12" t="str">
        <x:v>中</x:v>
      </x:c>
      <x:c r="J77" s="12" t="str">
        <x:v>2026-09-30</x:v>
      </x:c>
      <x:c r="K77" s="12" t="n">
        <x:v>80</x:v>
      </x:c>
      <x:c r="L77" s="12" t="n">
        <x:v>85</x:v>
      </x:c>
      <x:c r="M77" s="12" t="n">
        <x:v>20</x:v>
      </x:c>
      <x:c r="N77" s="12" t="n">
        <x:v>85</x:v>
      </x:c>
      <x:c r="O77" s="12" t="n">
        <x:v>10</x:v>
      </x:c>
      <x:c r="P77" s="12" t="n">
        <x:v>45</x:v>
      </x:c>
      <x:c r="Q77" s="12" t="n">
        <x:v>45</x:v>
      </x:c>
      <x:c r="R77" s="12" t="n">
        <x:v>5</x:v>
      </x:c>
      <x:c r="S77" s="12" t="n">
        <x:v>80</x:v>
      </x:c>
      <x:c r="T77" s="12" t="n">
        <x:v>80</x:v>
      </x:c>
      <x:c r="U77" s="12" t="n">
        <x:v>60</x:v>
      </x:c>
      <x:c r="V77" s="12" t="n">
        <x:v>60</x:v>
      </x:c>
      <x:c r="W77" s="12" t="n">
        <x:v>55</x:v>
      </x:c>
      <x:c r="X77" s="12" t="n">
        <x:v>65</x:v>
      </x:c>
      <x:c r="Y77" s="12" t="n">
        <x:v>70</x:v>
      </x:c>
      <x:c r="Z77" s="12" t="n">
        <x:f>ROUND(MAX(0,MIN(100,0.40*K77+0.20*L77+0.10*S77+0.15*V77+0.15*Y77)),0)</x:f>
        <x:v>77</x:v>
      </x:c>
      <x:c r="AA77" s="12" t="n">
        <x:f>ROUND(MAX(0,MIN(100,0.30*L77+0.20*K77+0.15*V77+0.15*W77+0.10*S77+0.10*(100-M77))),0)</x:f>
        <x:v>75</x:v>
      </x:c>
      <x:c r="AB77" s="12" t="n">
        <x:f>ROUND(MAX(0,MIN(100,0.30*M77+0.25*R77+0.20*Q77+0.15*K77+0.10*(100-T77))),0)</x:f>
        <x:v>30</x:v>
      </x:c>
      <x:c r="AC77" s="12" t="n">
        <x:f>ROUND(MAX(0,MIN(100,0.55*T77+0.15*S77+0.10*N77+0.10*V77+0.10*W77)),0)</x:f>
        <x:v>76</x:v>
      </x:c>
      <x:c r="AD77" s="12" t="n">
        <x:f>ROUND(MAX(0,MIN(100,0.25*O77+0.25*Q77+0.20*Y77+0.15*U77+0.15*(100-L77))),0)</x:f>
        <x:v>39</x:v>
      </x:c>
      <x:c r="AE77" s="12" t="n">
        <x:f>ROUND(MAX(0,MIN(100,0.30*Y77+0.25*S77+0.15*Q77+0.15*T77+0.15*X77)),0)</x:f>
        <x:v>70</x:v>
      </x:c>
      <x:c r="AF77" s="12" t="n">
        <x:f>ROUND(MAX(0,MIN(100,0.65*X77+0.35*Y77)),0)</x:f>
        <x:v>67</x:v>
      </x:c>
      <x:c r="AG77" s="12" t="str">
        <x:v>https://wikiwiki.jp/poke-unite/%E3%83%A1%E3%82%AC%E3%83%AA%E3%82%B6%E3%83%BC%E3%83%89%E3%83%B3X</x:v>
      </x:c>
      <x:c r="AH77" s="12" t="str">
        <x:v>わざでやけど状態にした相手を通常攻撃で叩き、回復しながら戦う近接戦い方です。張り付いた相手を焼き続け、一人で押し勝ちたい人に向いています。</x:v>
      </x:c>
      <x:c r="AI77" s="12" t="str">
        <x:v>後衛まで踏み込む・一人で仕事を作る・前線を支える</x:v>
      </x:c>
      <x:c r="AJ77" s="12" t="n">
        <x:v>0.5</x:v>
      </x:c>
    </x:row>
    <x:row r="78">
      <x:c r="A78" s="12" t="str">
        <x:v>メガリザードンY</x:v>
      </x:c>
      <x:c r="B78" s="12" t="str">
        <x:v>バランス型</x:v>
      </x:c>
      <x:c r="C78" s="12" t="str">
        <x:v>メガリザードンY-1</x:v>
      </x:c>
      <x:c r="D78" s="12" t="str">
        <x:v>共通</x:v>
      </x:c>
      <x:c r="E78" s="12" t="str">
        <x:v>Diver / BattleMage</x:v>
      </x:c>
      <x:c r="F78" s="12" t="str">
        <x:v>Diver</x:v>
      </x:c>
      <x:c r="G78" s="12" t="str">
        <x:v>BattleMage</x:v>
      </x:c>
      <x:c r="H78" s="12" t="str">
        <x:v>技で細部は変わるが、診断上のプレイ人格は大きく変わらないため統合</x:v>
      </x:c>
      <x:c r="I78" s="12" t="str">
        <x:v>中</x:v>
      </x:c>
      <x:c r="J78" s="12" t="str">
        <x:v>2026-09-30</x:v>
      </x:c>
      <x:c r="K78" s="12" t="n">
        <x:v>60</x:v>
      </x:c>
      <x:c r="L78" s="12" t="n">
        <x:v>70</x:v>
      </x:c>
      <x:c r="M78" s="12" t="n">
        <x:v>20</x:v>
      </x:c>
      <x:c r="N78" s="12" t="n">
        <x:v>45</x:v>
      </x:c>
      <x:c r="O78" s="12" t="n">
        <x:v>35</x:v>
      </x:c>
      <x:c r="P78" s="12" t="n">
        <x:v>65</x:v>
      </x:c>
      <x:c r="Q78" s="12" t="n">
        <x:v>45</x:v>
      </x:c>
      <x:c r="R78" s="12" t="n">
        <x:v>5</x:v>
      </x:c>
      <x:c r="S78" s="12" t="n">
        <x:v>80</x:v>
      </x:c>
      <x:c r="T78" s="12" t="n">
        <x:v>70</x:v>
      </x:c>
      <x:c r="U78" s="12" t="n">
        <x:v>60</x:v>
      </x:c>
      <x:c r="V78" s="12" t="n">
        <x:v>60</x:v>
      </x:c>
      <x:c r="W78" s="12" t="n">
        <x:v>40</x:v>
      </x:c>
      <x:c r="X78" s="12" t="n">
        <x:v>65</x:v>
      </x:c>
      <x:c r="Y78" s="12" t="n">
        <x:v>70</x:v>
      </x:c>
      <x:c r="Z78" s="12" t="n">
        <x:f>ROUND(MAX(0,MIN(100,0.40*K78+0.20*L78+0.10*S78+0.15*V78+0.15*Y78)),0)</x:f>
        <x:v>66</x:v>
      </x:c>
      <x:c r="AA78" s="12" t="n">
        <x:f>ROUND(MAX(0,MIN(100,0.30*L78+0.20*K78+0.15*V78+0.15*W78+0.10*S78+0.10*(100-M78))),0)</x:f>
        <x:v>64</x:v>
      </x:c>
      <x:c r="AB78" s="12" t="n">
        <x:f>ROUND(MAX(0,MIN(100,0.30*M78+0.25*R78+0.20*Q78+0.15*K78+0.10*(100-T78))),0)</x:f>
        <x:v>28</x:v>
      </x:c>
      <x:c r="AC78" s="12" t="n">
        <x:f>ROUND(MAX(0,MIN(100,0.55*T78+0.15*S78+0.10*N78+0.10*V78+0.10*W78)),0)</x:f>
        <x:v>65</x:v>
      </x:c>
      <x:c r="AD78" s="12" t="n">
        <x:f>ROUND(MAX(0,MIN(100,0.25*O78+0.25*Q78+0.20*Y78+0.15*U78+0.15*(100-L78))),0)</x:f>
        <x:v>48</x:v>
      </x:c>
      <x:c r="AE78" s="12" t="n">
        <x:f>ROUND(MAX(0,MIN(100,0.30*Y78+0.25*S78+0.15*Q78+0.15*T78+0.15*X78)),0)</x:f>
        <x:v>68</x:v>
      </x:c>
      <x:c r="AF78" s="12" t="n">
        <x:f>ROUND(MAX(0,MIN(100,0.65*X78+0.35*Y78)),0)</x:f>
        <x:v>67</x:v>
      </x:c>
      <x:c r="AG78" s="12" t="str">
        <x:v>https://wikiwiki.jp/poke-unite/%E3%83%A1%E3%82%AC%E3%83%AA%E3%82%B6%E3%83%BC%E3%83%89%E3%83%B3Y</x:v>
      </x:c>
      <x:c r="AH78" s="12" t="str">
        <x:v>「かえんほうしゃ」と「だいもんじ」で牽制し、ユナイトわざ中は相手の後衛を狙い撃てる戦い方です。地形を無視して動き回り、隙を見て一気に仕掛けたい人に向いています。</x:v>
      </x:c>
      <x:c r="AI78" s="12" t="str">
        <x:v>マップを駆け回る・一人で仕事を作る・長く戦う</x:v>
      </x:c>
      <x:c r="AJ78" s="12" t="n">
        <x:v>0</x:v>
      </x:c>
    </x:row>
    <x:row r="79">
      <x:c r="A79" s="12" t="str">
        <x:v>ルカリオ</x:v>
      </x:c>
      <x:c r="B79" s="12" t="str">
        <x:v>バランス型</x:v>
      </x:c>
      <x:c r="C79" s="12" t="str">
        <x:v>ルカリオ-1</x:v>
      </x:c>
      <x:c r="D79" s="12" t="str">
        <x:v>しんそく</x:v>
      </x:c>
      <x:c r="E79" s="12" t="str">
        <x:v>Assassin / Skirmisher</x:v>
      </x:c>
      <x:c r="F79" s="12" t="str">
        <x:v>Assassin</x:v>
      </x:c>
      <x:c r="G79" s="12" t="str">
        <x:v>Skirmisher</x:v>
      </x:c>
      <x:c r="H79" s="12" t="str">
        <x:v>立ち位置・戦闘距離・役割が大きく変わるため別プロファイル</x:v>
      </x:c>
      <x:c r="I79" s="12" t="str">
        <x:v>高</x:v>
      </x:c>
      <x:c r="J79" s="12" t="str">
        <x:v>2026-09-30</x:v>
      </x:c>
      <x:c r="K79" s="12" t="n">
        <x:v>55</x:v>
      </x:c>
      <x:c r="L79" s="12" t="n">
        <x:v>95</x:v>
      </x:c>
      <x:c r="M79" s="12" t="n">
        <x:v>15</x:v>
      </x:c>
      <x:c r="N79" s="12" t="n">
        <x:v>40</x:v>
      </x:c>
      <x:c r="O79" s="12" t="n">
        <x:v>15</x:v>
      </x:c>
      <x:c r="P79" s="12" t="n">
        <x:v>40</x:v>
      </x:c>
      <x:c r="Q79" s="12" t="n">
        <x:v>25</x:v>
      </x:c>
      <x:c r="R79" s="12" t="n">
        <x:v>5</x:v>
      </x:c>
      <x:c r="S79" s="12" t="n">
        <x:v>100</x:v>
      </x:c>
      <x:c r="T79" s="12" t="n">
        <x:v>70</x:v>
      </x:c>
      <x:c r="U79" s="12" t="n">
        <x:v>65</x:v>
      </x:c>
      <x:c r="V79" s="12" t="n">
        <x:v>70</x:v>
      </x:c>
      <x:c r="W79" s="12" t="n">
        <x:v>75</x:v>
      </x:c>
      <x:c r="X79" s="12" t="n">
        <x:v>100</x:v>
      </x:c>
      <x:c r="Y79" s="12" t="n">
        <x:v>60</x:v>
      </x:c>
      <x:c r="Z79" s="12" t="n">
        <x:f>ROUND(MAX(0,MIN(100,0.40*K79+0.20*L79+0.10*S79+0.15*V79+0.15*Y79)),0)</x:f>
        <x:v>71</x:v>
      </x:c>
      <x:c r="AA79" s="12" t="n">
        <x:f>ROUND(MAX(0,MIN(100,0.30*L79+0.20*K79+0.15*V79+0.15*W79+0.10*S79+0.10*(100-M79))),0)</x:f>
        <x:v>80</x:v>
      </x:c>
      <x:c r="AB79" s="12" t="n">
        <x:f>ROUND(MAX(0,MIN(100,0.30*M79+0.25*R79+0.20*Q79+0.15*K79+0.10*(100-T79))),0)</x:f>
        <x:v>22</x:v>
      </x:c>
      <x:c r="AC79" s="12" t="n">
        <x:f>ROUND(MAX(0,MIN(100,0.55*T79+0.15*S79+0.10*N79+0.10*V79+0.10*W79)),0)</x:f>
        <x:v>72</x:v>
      </x:c>
      <x:c r="AD79" s="12" t="n">
        <x:f>ROUND(MAX(0,MIN(100,0.25*O79+0.25*Q79+0.20*Y79+0.15*U79+0.15*(100-L79))),0)</x:f>
        <x:v>33</x:v>
      </x:c>
      <x:c r="AE79" s="12" t="n">
        <x:f>ROUND(MAX(0,MIN(100,0.30*Y79+0.25*S79+0.15*Q79+0.15*T79+0.15*X79)),0)</x:f>
        <x:v>72</x:v>
      </x:c>
      <x:c r="AF79" s="12" t="n">
        <x:f>ROUND(MAX(0,MIN(100,0.65*X79+0.35*Y79)),0)</x:f>
        <x:v>86</x:v>
      </x:c>
      <x:c r="AG79" s="12" t="str">
        <x:v>https://wikiwiki.jp/poke-unite/%E3%83%AB%E3%82%AB%E3%83%AA%E3%82%AA</x:v>
      </x:c>
      <x:c r="AH79" s="12" t="str">
        <x:v>「しんそく」で一気に飛び込み、壁を利用した出入りで相手を翻弄する戦い方です。コンボの精度が結果に直結するので、操作を極めたい人に向いています。</x:v>
      </x:c>
      <x:c r="AI79" s="12" t="str">
        <x:v>操作を極める・マップを駆け回る・後衛まで踏み込む</x:v>
      </x:c>
      <x:c r="AJ79" s="12" t="n">
        <x:v>0</x:v>
      </x:c>
    </x:row>
    <x:row r="80">
      <x:c r="A80" s="12" t="str">
        <x:v>ルカリオ</x:v>
      </x:c>
      <x:c r="B80" s="12" t="str">
        <x:v>バランス型</x:v>
      </x:c>
      <x:c r="C80" s="12" t="str">
        <x:v>ルカリオ-2</x:v>
      </x:c>
      <x:c r="D80" s="12" t="str">
        <x:v>グロウパンチ</x:v>
      </x:c>
      <x:c r="E80" s="12" t="str">
        <x:v>Diver / Skirmisher</x:v>
      </x:c>
      <x:c r="F80" s="12" t="str">
        <x:v>Diver</x:v>
      </x:c>
      <x:c r="G80" s="12" t="str">
        <x:v>Skirmisher</x:v>
      </x:c>
      <x:c r="H80" s="12" t="str">
        <x:v>立ち位置・戦闘距離・役割が大きく変わるため別プロファイル</x:v>
      </x:c>
      <x:c r="I80" s="12" t="str">
        <x:v>高</x:v>
      </x:c>
      <x:c r="J80" s="12" t="str">
        <x:v>2026-09-30</x:v>
      </x:c>
      <x:c r="K80" s="12" t="n">
        <x:v>70</x:v>
      </x:c>
      <x:c r="L80" s="12" t="n">
        <x:v>90</x:v>
      </x:c>
      <x:c r="M80" s="12" t="n">
        <x:v>20</x:v>
      </x:c>
      <x:c r="N80" s="12" t="n">
        <x:v>65</x:v>
      </x:c>
      <x:c r="O80" s="12" t="n">
        <x:v>10</x:v>
      </x:c>
      <x:c r="P80" s="12" t="n">
        <x:v>55</x:v>
      </x:c>
      <x:c r="Q80" s="12" t="n">
        <x:v>35</x:v>
      </x:c>
      <x:c r="R80" s="12" t="n">
        <x:v>5</x:v>
      </x:c>
      <x:c r="S80" s="12" t="n">
        <x:v>80</x:v>
      </x:c>
      <x:c r="T80" s="12" t="n">
        <x:v>80</x:v>
      </x:c>
      <x:c r="U80" s="12" t="n">
        <x:v>60</x:v>
      </x:c>
      <x:c r="V80" s="12" t="n">
        <x:v>80</x:v>
      </x:c>
      <x:c r="W80" s="12" t="n">
        <x:v>55</x:v>
      </x:c>
      <x:c r="X80" s="12" t="n">
        <x:v>65</x:v>
      </x:c>
      <x:c r="Y80" s="12" t="n">
        <x:v>70</x:v>
      </x:c>
      <x:c r="Z80" s="12" t="n">
        <x:f>ROUND(MAX(0,MIN(100,0.40*K80+0.20*L80+0.10*S80+0.15*V80+0.15*Y80)),0)</x:f>
        <x:v>77</x:v>
      </x:c>
      <x:c r="AA80" s="12" t="n">
        <x:f>ROUND(MAX(0,MIN(100,0.30*L80+0.20*K80+0.15*V80+0.15*W80+0.10*S80+0.10*(100-M80))),0)</x:f>
        <x:v>77</x:v>
      </x:c>
      <x:c r="AB80" s="12" t="n">
        <x:f>ROUND(MAX(0,MIN(100,0.30*M80+0.25*R80+0.20*Q80+0.15*K80+0.10*(100-T80))),0)</x:f>
        <x:v>27</x:v>
      </x:c>
      <x:c r="AC80" s="12" t="n">
        <x:f>ROUND(MAX(0,MIN(100,0.55*T80+0.15*S80+0.10*N80+0.10*V80+0.10*W80)),0)</x:f>
        <x:v>76</x:v>
      </x:c>
      <x:c r="AD80" s="12" t="n">
        <x:f>ROUND(MAX(0,MIN(100,0.25*O80+0.25*Q80+0.20*Y80+0.15*U80+0.15*(100-L80))),0)</x:f>
        <x:v>36</x:v>
      </x:c>
      <x:c r="AE80" s="12" t="n">
        <x:f>ROUND(MAX(0,MIN(100,0.30*Y80+0.25*S80+0.15*Q80+0.15*T80+0.15*X80)),0)</x:f>
        <x:v>68</x:v>
      </x:c>
      <x:c r="AF80" s="12" t="n">
        <x:f>ROUND(MAX(0,MIN(100,0.65*X80+0.35*Y80)),0)</x:f>
        <x:v>67</x:v>
      </x:c>
      <x:c r="AG80" s="12" t="str">
        <x:v>https://wikiwiki.jp/poke-unite/%E3%83%AB%E3%82%AB%E3%83%AA%E3%82%AA</x:v>
      </x:c>
      <x:c r="AH80" s="12" t="str">
        <x:v>「グロウパンチ」で力を溜め、近い距離で殴り合いを制する戦い方です。技をつないで相手に張り付き、一人でも戦い抜きたい人に向いています。</x:v>
      </x:c>
      <x:c r="AI80" s="12" t="str">
        <x:v>一人で仕事を作る・後衛まで踏み込む・取り切りが得意</x:v>
      </x:c>
      <x:c r="AJ80" s="12" t="n">
        <x:v>0</x:v>
      </x:c>
    </x:row>
    <x:row r="81">
      <x:c r="A81" s="12" t="str">
        <x:v>メガルカリオ</x:v>
      </x:c>
      <x:c r="B81" s="12" t="str">
        <x:v>バランス型</x:v>
      </x:c>
      <x:c r="C81" s="12" t="str">
        <x:v>メガルカリオ-1</x:v>
      </x:c>
      <x:c r="D81" s="12" t="str">
        <x:v>共通</x:v>
      </x:c>
      <x:c r="E81" s="12" t="str">
        <x:v>Diver</x:v>
      </x:c>
      <x:c r="F81" s="12" t="str">
        <x:v>Diver</x:v>
      </x:c>
      <x:c r="G81" s="12"/>
      <x:c r="H81" s="12" t="str">
        <x:v>技で細部は変わるが、診断上のプレイ人格は大きく変わらないため統合</x:v>
      </x:c>
      <x:c r="I81" s="12" t="str">
        <x:v>中</x:v>
      </x:c>
      <x:c r="J81" s="12" t="str">
        <x:v>2026-09-30</x:v>
      </x:c>
      <x:c r="K81" s="12" t="n">
        <x:v>80</x:v>
      </x:c>
      <x:c r="L81" s="12" t="n">
        <x:v>90</x:v>
      </x:c>
      <x:c r="M81" s="12" t="n">
        <x:v>20</x:v>
      </x:c>
      <x:c r="N81" s="12" t="n">
        <x:v>80</x:v>
      </x:c>
      <x:c r="O81" s="12" t="n">
        <x:v>10</x:v>
      </x:c>
      <x:c r="P81" s="12" t="n">
        <x:v>35</x:v>
      </x:c>
      <x:c r="Q81" s="12" t="n">
        <x:v>45</x:v>
      </x:c>
      <x:c r="R81" s="12" t="n">
        <x:v>5</x:v>
      </x:c>
      <x:c r="S81" s="12" t="n">
        <x:v>90</x:v>
      </x:c>
      <x:c r="T81" s="12" t="n">
        <x:v>70</x:v>
      </x:c>
      <x:c r="U81" s="12" t="n">
        <x:v>60</x:v>
      </x:c>
      <x:c r="V81" s="12" t="n">
        <x:v>60</x:v>
      </x:c>
      <x:c r="W81" s="12" t="n">
        <x:v>55</x:v>
      </x:c>
      <x:c r="X81" s="12" t="n">
        <x:v>85</x:v>
      </x:c>
      <x:c r="Y81" s="12" t="n">
        <x:v>75</x:v>
      </x:c>
      <x:c r="Z81" s="12" t="n">
        <x:f>ROUND(MAX(0,MIN(100,0.40*K81+0.20*L81+0.10*S81+0.15*V81+0.15*Y81)),0)</x:f>
        <x:v>79</x:v>
      </x:c>
      <x:c r="AA81" s="12" t="n">
        <x:f>ROUND(MAX(0,MIN(100,0.30*L81+0.20*K81+0.15*V81+0.15*W81+0.10*S81+0.10*(100-M81))),0)</x:f>
        <x:v>77</x:v>
      </x:c>
      <x:c r="AB81" s="12" t="n">
        <x:f>ROUND(MAX(0,MIN(100,0.30*M81+0.25*R81+0.20*Q81+0.15*K81+0.10*(100-T81))),0)</x:f>
        <x:v>31</x:v>
      </x:c>
      <x:c r="AC81" s="12" t="n">
        <x:f>ROUND(MAX(0,MIN(100,0.55*T81+0.15*S81+0.10*N81+0.10*V81+0.10*W81)),0)</x:f>
        <x:v>72</x:v>
      </x:c>
      <x:c r="AD81" s="12" t="n">
        <x:f>ROUND(MAX(0,MIN(100,0.25*O81+0.25*Q81+0.20*Y81+0.15*U81+0.15*(100-L81))),0)</x:f>
        <x:v>39</x:v>
      </x:c>
      <x:c r="AE81" s="12" t="n">
        <x:f>ROUND(MAX(0,MIN(100,0.30*Y81+0.25*S81+0.15*Q81+0.15*T81+0.15*X81)),0)</x:f>
        <x:v>75</x:v>
      </x:c>
      <x:c r="AF81" s="12" t="n">
        <x:f>ROUND(MAX(0,MIN(100,0.65*X81+0.35*Y81)),0)</x:f>
        <x:v>82</x:v>
      </x:c>
      <x:c r="AG81" s="12" t="str">
        <x:v>https://wikiwiki.jp/poke-unite/%E3%83%A1%E3%82%AC%E3%83%AB%E3%82%AB%E3%83%AA%E3%82%AA</x:v>
      </x:c>
      <x:c r="AH81" s="12" t="str">
        <x:v>妨害を受けない「グロウパンチ」の溜めと「インファイト」で押し込み、ユナイトわざでメガシンカすると継戦能力が跳ね上がるファイターです。ラストヒットにも強いので、自分から仕掛けて流れを作りたい人に向いています。</x:v>
      </x:c>
      <x:c r="AI81" s="12" t="str">
        <x:v>後衛まで踏み込む・自分から仕掛ける・操作を極める</x:v>
      </x:c>
      <x:c r="AJ81" s="12" t="n">
        <x:v>0</x:v>
      </x:c>
    </x:row>
    <x:row r="82">
      <x:c r="A82" s="12" t="str">
        <x:v>アブソル</x:v>
      </x:c>
      <x:c r="B82" s="12" t="str">
        <x:v>スピード型</x:v>
      </x:c>
      <x:c r="C82" s="12" t="str">
        <x:v>アブソル-1</x:v>
      </x:c>
      <x:c r="D82" s="12" t="str">
        <x:v>共通</x:v>
      </x:c>
      <x:c r="E82" s="12" t="str">
        <x:v>Assassin</x:v>
      </x:c>
      <x:c r="F82" s="12" t="str">
        <x:v>Assassin</x:v>
      </x:c>
      <x:c r="G82" s="12"/>
      <x:c r="H82" s="12" t="str">
        <x:v>技で細部は変わるが、診断上のプレイ人格は大きく変わらないため統合</x:v>
      </x:c>
      <x:c r="I82" s="12" t="str">
        <x:v>高</x:v>
      </x:c>
      <x:c r="J82" s="12" t="str">
        <x:v>2026-09-30</x:v>
      </x:c>
      <x:c r="K82" s="12" t="n">
        <x:v>55</x:v>
      </x:c>
      <x:c r="L82" s="12" t="n">
        <x:v>100</x:v>
      </x:c>
      <x:c r="M82" s="12" t="n">
        <x:v>10</x:v>
      </x:c>
      <x:c r="N82" s="12" t="n">
        <x:v>15</x:v>
      </x:c>
      <x:c r="O82" s="12" t="n">
        <x:v>15</x:v>
      </x:c>
      <x:c r="P82" s="12" t="n">
        <x:v>5</x:v>
      </x:c>
      <x:c r="Q82" s="12" t="n">
        <x:v>25</x:v>
      </x:c>
      <x:c r="R82" s="12" t="n">
        <x:v>5</x:v>
      </x:c>
      <x:c r="S82" s="12" t="n">
        <x:v>90</x:v>
      </x:c>
      <x:c r="T82" s="12" t="n">
        <x:v>60</x:v>
      </x:c>
      <x:c r="U82" s="12" t="n">
        <x:v>40</x:v>
      </x:c>
      <x:c r="V82" s="12" t="n">
        <x:v>80</x:v>
      </x:c>
      <x:c r="W82" s="12" t="n">
        <x:v>85</x:v>
      </x:c>
      <x:c r="X82" s="12" t="n">
        <x:v>90</x:v>
      </x:c>
      <x:c r="Y82" s="12" t="n">
        <x:v>85</x:v>
      </x:c>
      <x:c r="Z82" s="12" t="n">
        <x:f>ROUND(MAX(0,MIN(100,0.40*K82+0.20*L82+0.10*S82+0.15*V82+0.15*Y82)),0)</x:f>
        <x:v>76</x:v>
      </x:c>
      <x:c r="AA82" s="12" t="n">
        <x:f>ROUND(MAX(0,MIN(100,0.30*L82+0.20*K82+0.15*V82+0.15*W82+0.10*S82+0.10*(100-M82))),0)</x:f>
        <x:v>84</x:v>
      </x:c>
      <x:c r="AB82" s="12" t="n">
        <x:f>ROUND(MAX(0,MIN(100,0.30*M82+0.25*R82+0.20*Q82+0.15*K82+0.10*(100-T82))),0)</x:f>
        <x:v>22</x:v>
      </x:c>
      <x:c r="AC82" s="12" t="n">
        <x:f>ROUND(MAX(0,MIN(100,0.55*T82+0.15*S82+0.10*N82+0.10*V82+0.10*W82)),0)</x:f>
        <x:v>65</x:v>
      </x:c>
      <x:c r="AD82" s="12" t="n">
        <x:f>ROUND(MAX(0,MIN(100,0.25*O82+0.25*Q82+0.20*Y82+0.15*U82+0.15*(100-L82))),0)</x:f>
        <x:v>33</x:v>
      </x:c>
      <x:c r="AE82" s="12" t="n">
        <x:f>ROUND(MAX(0,MIN(100,0.30*Y82+0.25*S82+0.15*Q82+0.15*T82+0.15*X82)),0)</x:f>
        <x:v>74</x:v>
      </x:c>
      <x:c r="AF82" s="12" t="n">
        <x:f>ROUND(MAX(0,MIN(100,0.65*X82+0.35*Y82)),0)</x:f>
        <x:v>88</x:v>
      </x:c>
      <x:c r="AG82" s="12" t="str">
        <x:v>https://wikiwiki.jp/poke-unite/%E3%82%A2%E3%83%96%E3%82%BD%E3%83%AB</x:v>
      </x:c>
      <x:c r="AH82" s="12" t="str">
        <x:v>相手の背後や不意を突いて急所を狙い、序盤から有利を作るスピード型のポケモンです。正面から殴り合うより、隙を見て一瞬で仕留めたい人に向いています。</x:v>
      </x:c>
      <x:c r="AI82" s="12" t="str">
        <x:v>一瞬で倒し切る・マップを駆け回る・空いたゴールを狙う</x:v>
      </x:c>
      <x:c r="AJ82" s="12" t="n">
        <x:v>0.25</x:v>
      </x:c>
    </x:row>
    <x:row r="83">
      <x:c r="A83" s="12" t="str">
        <x:v>ガラルギャロップ</x:v>
      </x:c>
      <x:c r="B83" s="12" t="str">
        <x:v>スピード型</x:v>
      </x:c>
      <x:c r="C83" s="12" t="str">
        <x:v>ガラルギャロップ-1</x:v>
      </x:c>
      <x:c r="D83" s="12" t="str">
        <x:v>共通</x:v>
      </x:c>
      <x:c r="E83" s="12" t="str">
        <x:v>Diver</x:v>
      </x:c>
      <x:c r="F83" s="12" t="str">
        <x:v>Diver</x:v>
      </x:c>
      <x:c r="G83" s="12"/>
      <x:c r="H83" s="12" t="str">
        <x:v>技で細部は変わるが、診断上のプレイ人格は大きく変わらないため統合</x:v>
      </x:c>
      <x:c r="I83" s="12" t="str">
        <x:v>高</x:v>
      </x:c>
      <x:c r="J83" s="12" t="str">
        <x:v>2026-09-30</x:v>
      </x:c>
      <x:c r="K83" s="12" t="n">
        <x:v>80</x:v>
      </x:c>
      <x:c r="L83" s="12" t="n">
        <x:v>90</x:v>
      </x:c>
      <x:c r="M83" s="12" t="n">
        <x:v>20</x:v>
      </x:c>
      <x:c r="N83" s="12" t="n">
        <x:v>45</x:v>
      </x:c>
      <x:c r="O83" s="12" t="n">
        <x:v>10</x:v>
      </x:c>
      <x:c r="P83" s="12" t="n">
        <x:v>45</x:v>
      </x:c>
      <x:c r="Q83" s="12" t="n">
        <x:v>55</x:v>
      </x:c>
      <x:c r="R83" s="12" t="n">
        <x:v>5</x:v>
      </x:c>
      <x:c r="S83" s="12" t="n">
        <x:v>95</x:v>
      </x:c>
      <x:c r="T83" s="12" t="n">
        <x:v>70</x:v>
      </x:c>
      <x:c r="U83" s="12" t="n">
        <x:v>50</x:v>
      </x:c>
      <x:c r="V83" s="12" t="n">
        <x:v>60</x:v>
      </x:c>
      <x:c r="W83" s="12" t="n">
        <x:v>65</x:v>
      </x:c>
      <x:c r="X83" s="12" t="n">
        <x:v>65</x:v>
      </x:c>
      <x:c r="Y83" s="12" t="n">
        <x:v>70</x:v>
      </x:c>
      <x:c r="Z83" s="12" t="n">
        <x:f>ROUND(MAX(0,MIN(100,0.40*K83+0.20*L83+0.10*S83+0.15*V83+0.15*Y83)),0)</x:f>
        <x:v>79</x:v>
      </x:c>
      <x:c r="AA83" s="12" t="n">
        <x:f>ROUND(MAX(0,MIN(100,0.30*L83+0.20*K83+0.15*V83+0.15*W83+0.10*S83+0.10*(100-M83))),0)</x:f>
        <x:v>79</x:v>
      </x:c>
      <x:c r="AB83" s="12" t="n">
        <x:f>ROUND(MAX(0,MIN(100,0.30*M83+0.25*R83+0.20*Q83+0.15*K83+0.10*(100-T83))),0)</x:f>
        <x:v>33</x:v>
      </x:c>
      <x:c r="AC83" s="12" t="n">
        <x:f>ROUND(MAX(0,MIN(100,0.55*T83+0.15*S83+0.10*N83+0.10*V83+0.10*W83)),0)</x:f>
        <x:v>70</x:v>
      </x:c>
      <x:c r="AD83" s="12" t="n">
        <x:f>ROUND(MAX(0,MIN(100,0.25*O83+0.25*Q83+0.20*Y83+0.15*U83+0.15*(100-L83))),0)</x:f>
        <x:v>39</x:v>
      </x:c>
      <x:c r="AE83" s="12" t="n">
        <x:f>ROUND(MAX(0,MIN(100,0.30*Y83+0.25*S83+0.15*Q83+0.15*T83+0.15*X83)),0)</x:f>
        <x:v>73</x:v>
      </x:c>
      <x:c r="AF83" s="12" t="n">
        <x:f>ROUND(MAX(0,MIN(100,0.65*X83+0.35*Y83)),0)</x:f>
        <x:v>67</x:v>
      </x:c>
      <x:c r="AG83" s="12" t="str">
        <x:v>https://wikiwiki.jp/poke-unite/%E3%82%AC%E3%83%A9%E3%83%AB%E3%82%AE%E3%83%A3%E3%83%AD%E3%83%83%E3%83%97</x:v>
      </x:c>
      <x:c r="AH83" s="12" t="str">
        <x:v>駆け回りながら相手に突っ込み、走り抜けるように攻撃を重ねるスピード型のポケモンです。止まらずに動き続け、自分から戦場をかき回したい人に向いています。</x:v>
      </x:c>
      <x:c r="AI83" s="12" t="str">
        <x:v>マップを駆け回る・後衛まで踏み込む・自分から仕掛ける</x:v>
      </x:c>
      <x:c r="AJ83" s="12" t="n">
        <x:v>0</x:v>
      </x:c>
    </x:row>
    <x:row r="84">
      <x:c r="A84" s="12" t="str">
        <x:v>ゲンガー</x:v>
      </x:c>
      <x:c r="B84" s="12" t="str">
        <x:v>スピード型</x:v>
      </x:c>
      <x:c r="C84" s="12" t="str">
        <x:v>ゲンガー-1</x:v>
      </x:c>
      <x:c r="D84" s="12" t="str">
        <x:v>共通</x:v>
      </x:c>
      <x:c r="E84" s="12" t="str">
        <x:v>Assassin / Skirmisher</x:v>
      </x:c>
      <x:c r="F84" s="12" t="str">
        <x:v>Assassin</x:v>
      </x:c>
      <x:c r="G84" s="12" t="str">
        <x:v>Skirmisher</x:v>
      </x:c>
      <x:c r="H84" s="12" t="str">
        <x:v>技で細部は変わるが、診断上のプレイ人格は大きく変わらないため統合</x:v>
      </x:c>
      <x:c r="I84" s="12" t="str">
        <x:v>高</x:v>
      </x:c>
      <x:c r="J84" s="12" t="str">
        <x:v>2026-09-30</x:v>
      </x:c>
      <x:c r="K84" s="12" t="n">
        <x:v>55</x:v>
      </x:c>
      <x:c r="L84" s="12" t="n">
        <x:v>95</x:v>
      </x:c>
      <x:c r="M84" s="12" t="n">
        <x:v>15</x:v>
      </x:c>
      <x:c r="N84" s="12" t="n">
        <x:v>30</x:v>
      </x:c>
      <x:c r="O84" s="12" t="n">
        <x:v>15</x:v>
      </x:c>
      <x:c r="P84" s="12" t="n">
        <x:v>35</x:v>
      </x:c>
      <x:c r="Q84" s="12" t="n">
        <x:v>25</x:v>
      </x:c>
      <x:c r="R84" s="12" t="n">
        <x:v>5</x:v>
      </x:c>
      <x:c r="S84" s="12" t="n">
        <x:v>90</x:v>
      </x:c>
      <x:c r="T84" s="12" t="n">
        <x:v>70</x:v>
      </x:c>
      <x:c r="U84" s="12" t="n">
        <x:v>55</x:v>
      </x:c>
      <x:c r="V84" s="12" t="n">
        <x:v>70</x:v>
      </x:c>
      <x:c r="W84" s="12" t="n">
        <x:v>75</x:v>
      </x:c>
      <x:c r="X84" s="12" t="n">
        <x:v>90</x:v>
      </x:c>
      <x:c r="Y84" s="12" t="n">
        <x:v>75</x:v>
      </x:c>
      <x:c r="Z84" s="12" t="n">
        <x:f>ROUND(MAX(0,MIN(100,0.40*K84+0.20*L84+0.10*S84+0.15*V84+0.15*Y84)),0)</x:f>
        <x:v>72</x:v>
      </x:c>
      <x:c r="AA84" s="12" t="n">
        <x:f>ROUND(MAX(0,MIN(100,0.30*L84+0.20*K84+0.15*V84+0.15*W84+0.10*S84+0.10*(100-M84))),0)</x:f>
        <x:v>79</x:v>
      </x:c>
      <x:c r="AB84" s="12" t="n">
        <x:f>ROUND(MAX(0,MIN(100,0.30*M84+0.25*R84+0.20*Q84+0.15*K84+0.10*(100-T84))),0)</x:f>
        <x:v>22</x:v>
      </x:c>
      <x:c r="AC84" s="12" t="n">
        <x:f>ROUND(MAX(0,MIN(100,0.55*T84+0.15*S84+0.10*N84+0.10*V84+0.10*W84)),0)</x:f>
        <x:v>70</x:v>
      </x:c>
      <x:c r="AD84" s="12" t="n">
        <x:f>ROUND(MAX(0,MIN(100,0.25*O84+0.25*Q84+0.20*Y84+0.15*U84+0.15*(100-L84))),0)</x:f>
        <x:v>34</x:v>
      </x:c>
      <x:c r="AE84" s="12" t="n">
        <x:f>ROUND(MAX(0,MIN(100,0.30*Y84+0.25*S84+0.15*Q84+0.15*T84+0.15*X84)),0)</x:f>
        <x:v>73</x:v>
      </x:c>
      <x:c r="AF84" s="12" t="n">
        <x:f>ROUND(MAX(0,MIN(100,0.65*X84+0.35*Y84)),0)</x:f>
        <x:v>85</x:v>
      </x:c>
      <x:c r="AG84" s="12" t="str">
        <x:v>https://wikiwiki.jp/poke-unite/%E3%82%B2%E3%83%B3%E3%82%AC%E3%83%BC</x:v>
      </x:c>
      <x:c r="AH84" s="12" t="str">
        <x:v>姿を隠して近づき、相手の後衛に一気に飛び込むスピード型のポケモンです。奇襲の入り方と逃げ道まで考えて、鮮やかに仕留めたい人に向いています。</x:v>
      </x:c>
      <x:c r="AI84" s="12" t="str">
        <x:v>後衛まで踏み込む・操作を極める・マップを駆け回る</x:v>
      </x:c>
      <x:c r="AJ84" s="12" t="n">
        <x:v>0</x:v>
      </x:c>
    </x:row>
    <x:row r="85">
      <x:c r="A85" s="12" t="str">
        <x:v>ゼラオラ</x:v>
      </x:c>
      <x:c r="B85" s="12" t="str">
        <x:v>スピード型</x:v>
      </x:c>
      <x:c r="C85" s="12" t="str">
        <x:v>ゼラオラ-1</x:v>
      </x:c>
      <x:c r="D85" s="12" t="str">
        <x:v>ほうでん</x:v>
      </x:c>
      <x:c r="E85" s="12" t="str">
        <x:v>Skirmisher</x:v>
      </x:c>
      <x:c r="F85" s="12" t="str">
        <x:v>Skirmisher</x:v>
      </x:c>
      <x:c r="G85" s="12"/>
      <x:c r="H85" s="12" t="str">
        <x:v>立ち位置・戦闘距離・役割が大きく変わるため別プロファイル</x:v>
      </x:c>
      <x:c r="I85" s="12" t="str">
        <x:v>高</x:v>
      </x:c>
      <x:c r="J85" s="12" t="str">
        <x:v>2026-09-30</x:v>
      </x:c>
      <x:c r="K85" s="12" t="n">
        <x:v>60</x:v>
      </x:c>
      <x:c r="L85" s="12" t="n">
        <x:v>80</x:v>
      </x:c>
      <x:c r="M85" s="12" t="n">
        <x:v>25</x:v>
      </x:c>
      <x:c r="N85" s="12" t="n">
        <x:v>60</x:v>
      </x:c>
      <x:c r="O85" s="12" t="n">
        <x:v>20</x:v>
      </x:c>
      <x:c r="P85" s="12" t="n">
        <x:v>70</x:v>
      </x:c>
      <x:c r="Q85" s="12" t="n">
        <x:v>45</x:v>
      </x:c>
      <x:c r="R85" s="12" t="n">
        <x:v>5</x:v>
      </x:c>
      <x:c r="S85" s="12" t="n">
        <x:v>80</x:v>
      </x:c>
      <x:c r="T85" s="12" t="n">
        <x:v>75</x:v>
      </x:c>
      <x:c r="U85" s="12" t="n">
        <x:v>55</x:v>
      </x:c>
      <x:c r="V85" s="12" t="n">
        <x:v>65</x:v>
      </x:c>
      <x:c r="W85" s="12" t="n">
        <x:v>75</x:v>
      </x:c>
      <x:c r="X85" s="12" t="n">
        <x:v>70</x:v>
      </x:c>
      <x:c r="Y85" s="12" t="n">
        <x:v>65</x:v>
      </x:c>
      <x:c r="Z85" s="12" t="n">
        <x:f>ROUND(MAX(0,MIN(100,0.40*K85+0.20*L85+0.10*S85+0.15*V85+0.15*Y85)),0)</x:f>
        <x:v>68</x:v>
      </x:c>
      <x:c r="AA85" s="12" t="n">
        <x:f>ROUND(MAX(0,MIN(100,0.30*L85+0.20*K85+0.15*V85+0.15*W85+0.10*S85+0.10*(100-M85))),0)</x:f>
        <x:v>73</x:v>
      </x:c>
      <x:c r="AB85" s="12" t="n">
        <x:f>ROUND(MAX(0,MIN(100,0.30*M85+0.25*R85+0.20*Q85+0.15*K85+0.10*(100-T85))),0)</x:f>
        <x:v>29</x:v>
      </x:c>
      <x:c r="AC85" s="12" t="n">
        <x:f>ROUND(MAX(0,MIN(100,0.55*T85+0.15*S85+0.10*N85+0.10*V85+0.10*W85)),0)</x:f>
        <x:v>73</x:v>
      </x:c>
      <x:c r="AD85" s="12" t="n">
        <x:f>ROUND(MAX(0,MIN(100,0.25*O85+0.25*Q85+0.20*Y85+0.15*U85+0.15*(100-L85))),0)</x:f>
        <x:v>41</x:v>
      </x:c>
      <x:c r="AE85" s="12" t="n">
        <x:f>ROUND(MAX(0,MIN(100,0.30*Y85+0.25*S85+0.15*Q85+0.15*T85+0.15*X85)),0)</x:f>
        <x:v>68</x:v>
      </x:c>
      <x:c r="AF85" s="12" t="n">
        <x:f>ROUND(MAX(0,MIN(100,0.65*X85+0.35*Y85)),0)</x:f>
        <x:v>68</x:v>
      </x:c>
      <x:c r="AG85" s="12" t="str">
        <x:v>https://wikiwiki.jp/poke-unite/%E3%82%BC%E3%83%A9%E3%82%AA%E3%83%A9</x:v>
      </x:c>
      <x:c r="AH85" s="12" t="str">
        <x:v>「ほうでん」で周りを巻き込みながら張り付き、手数で押し切る戦い方です。相手の中に飛び込み、一人で何人も相手にしたい人に向いています。</x:v>
      </x:c>
      <x:c r="AI85" s="12" t="str">
        <x:v>後衛まで踏み込む・一人で仕事を作る・空いたゴールを狙う</x:v>
      </x:c>
      <x:c r="AJ85" s="12" t="n">
        <x:v>0</x:v>
      </x:c>
    </x:row>
    <x:row r="86">
      <x:c r="A86" s="12" t="str">
        <x:v>ゼラオラ</x:v>
      </x:c>
      <x:c r="B86" s="12" t="str">
        <x:v>スピード型</x:v>
      </x:c>
      <x:c r="C86" s="12" t="str">
        <x:v>ゼラオラ-2</x:v>
      </x:c>
      <x:c r="D86" s="12" t="str">
        <x:v>ワイルドボルト</x:v>
      </x:c>
      <x:c r="E86" s="12" t="str">
        <x:v>Assassin / Diver</x:v>
      </x:c>
      <x:c r="F86" s="12" t="str">
        <x:v>Assassin</x:v>
      </x:c>
      <x:c r="G86" s="12" t="str">
        <x:v>Diver</x:v>
      </x:c>
      <x:c r="H86" s="12" t="str">
        <x:v>立ち位置・戦闘距離・役割が大きく変わるため別プロファイル</x:v>
      </x:c>
      <x:c r="I86" s="12" t="str">
        <x:v>高</x:v>
      </x:c>
      <x:c r="J86" s="12" t="str">
        <x:v>2026-09-30</x:v>
      </x:c>
      <x:c r="K86" s="12" t="n">
        <x:v>65</x:v>
      </x:c>
      <x:c r="L86" s="12" t="n">
        <x:v>95</x:v>
      </x:c>
      <x:c r="M86" s="12" t="n">
        <x:v>15</x:v>
      </x:c>
      <x:c r="N86" s="12" t="n">
        <x:v>30</x:v>
      </x:c>
      <x:c r="O86" s="12" t="n">
        <x:v>15</x:v>
      </x:c>
      <x:c r="P86" s="12" t="n">
        <x:v>10</x:v>
      </x:c>
      <x:c r="Q86" s="12" t="n">
        <x:v>35</x:v>
      </x:c>
      <x:c r="R86" s="12" t="n">
        <x:v>5</x:v>
      </x:c>
      <x:c r="S86" s="12" t="n">
        <x:v>90</x:v>
      </x:c>
      <x:c r="T86" s="12" t="n">
        <x:v>70</x:v>
      </x:c>
      <x:c r="U86" s="12" t="n">
        <x:v>55</x:v>
      </x:c>
      <x:c r="V86" s="12" t="n">
        <x:v>70</x:v>
      </x:c>
      <x:c r="W86" s="12" t="n">
        <x:v>75</x:v>
      </x:c>
      <x:c r="X86" s="12" t="n">
        <x:v>65</x:v>
      </x:c>
      <x:c r="Y86" s="12" t="n">
        <x:v>75</x:v>
      </x:c>
      <x:c r="Z86" s="12" t="n">
        <x:f>ROUND(MAX(0,MIN(100,0.40*K86+0.20*L86+0.10*S86+0.15*V86+0.15*Y86)),0)</x:f>
        <x:v>76</x:v>
      </x:c>
      <x:c r="AA86" s="12" t="n">
        <x:f>ROUND(MAX(0,MIN(100,0.30*L86+0.20*K86+0.15*V86+0.15*W86+0.10*S86+0.10*(100-M86))),0)</x:f>
        <x:v>81</x:v>
      </x:c>
      <x:c r="AB86" s="12" t="n">
        <x:f>ROUND(MAX(0,MIN(100,0.30*M86+0.25*R86+0.20*Q86+0.15*K86+0.10*(100-T86))),0)</x:f>
        <x:v>26</x:v>
      </x:c>
      <x:c r="AC86" s="12" t="n">
        <x:f>ROUND(MAX(0,MIN(100,0.55*T86+0.15*S86+0.10*N86+0.10*V86+0.10*W86)),0)</x:f>
        <x:v>70</x:v>
      </x:c>
      <x:c r="AD86" s="12" t="n">
        <x:f>ROUND(MAX(0,MIN(100,0.25*O86+0.25*Q86+0.20*Y86+0.15*U86+0.15*(100-L86))),0)</x:f>
        <x:v>37</x:v>
      </x:c>
      <x:c r="AE86" s="12" t="n">
        <x:f>ROUND(MAX(0,MIN(100,0.30*Y86+0.25*S86+0.15*Q86+0.15*T86+0.15*X86)),0)</x:f>
        <x:v>71</x:v>
      </x:c>
      <x:c r="AF86" s="12" t="n">
        <x:f>ROUND(MAX(0,MIN(100,0.65*X86+0.35*Y86)),0)</x:f>
        <x:v>69</x:v>
      </x:c>
      <x:c r="AG86" s="12" t="str">
        <x:v>https://wikiwiki.jp/poke-unite/%E3%82%BC%E3%83%A9%E3%82%AA%E3%83%A9</x:v>
      </x:c>
      <x:c r="AH86" s="12" t="str">
        <x:v>「ワイルドボルト」で一気に間合いを詰め、狙った相手を素早く仕留める戦い方です。スピードを活かして飛び込み、短い時間で勝負を決めたい人に向いています。</x:v>
      </x:c>
      <x:c r="AI86" s="12" t="str">
        <x:v>一瞬で倒し切る・後衛まで踏み込む・マップを駆け回る</x:v>
      </x:c>
      <x:c r="AJ86" s="12" t="n">
        <x:v>0</x:v>
      </x:c>
    </x:row>
    <x:row r="87">
      <x:c r="A87" s="12" t="str">
        <x:v>ゾロアーク</x:v>
      </x:c>
      <x:c r="B87" s="12" t="str">
        <x:v>スピード型</x:v>
      </x:c>
      <x:c r="C87" s="12" t="str">
        <x:v>ゾロアーク-1</x:v>
      </x:c>
      <x:c r="D87" s="12" t="str">
        <x:v>共通</x:v>
      </x:c>
      <x:c r="E87" s="12" t="str">
        <x:v>Assassin</x:v>
      </x:c>
      <x:c r="F87" s="12" t="str">
        <x:v>Assassin</x:v>
      </x:c>
      <x:c r="G87" s="12"/>
      <x:c r="H87" s="12" t="str">
        <x:v>技で細部は変わるが、診断上のプレイ人格は大きく変わらないため統合</x:v>
      </x:c>
      <x:c r="I87" s="12" t="str">
        <x:v>高</x:v>
      </x:c>
      <x:c r="J87" s="12" t="str">
        <x:v>2026-09-30</x:v>
      </x:c>
      <x:c r="K87" s="12" t="n">
        <x:v>55</x:v>
      </x:c>
      <x:c r="L87" s="12" t="n">
        <x:v>95</x:v>
      </x:c>
      <x:c r="M87" s="12" t="n">
        <x:v>10</x:v>
      </x:c>
      <x:c r="N87" s="12" t="n">
        <x:v>15</x:v>
      </x:c>
      <x:c r="O87" s="12" t="n">
        <x:v>15</x:v>
      </x:c>
      <x:c r="P87" s="12" t="n">
        <x:v>10</x:v>
      </x:c>
      <x:c r="Q87" s="12" t="n">
        <x:v>25</x:v>
      </x:c>
      <x:c r="R87" s="12" t="n">
        <x:v>5</x:v>
      </x:c>
      <x:c r="S87" s="12" t="n">
        <x:v>95</x:v>
      </x:c>
      <x:c r="T87" s="12" t="n">
        <x:v>65</x:v>
      </x:c>
      <x:c r="U87" s="12" t="n">
        <x:v>55</x:v>
      </x:c>
      <x:c r="V87" s="12" t="n">
        <x:v>70</x:v>
      </x:c>
      <x:c r="W87" s="12" t="n">
        <x:v>85</x:v>
      </x:c>
      <x:c r="X87" s="12" t="n">
        <x:v>100</x:v>
      </x:c>
      <x:c r="Y87" s="12" t="n">
        <x:v>95</x:v>
      </x:c>
      <x:c r="Z87" s="12" t="n">
        <x:f>ROUND(MAX(0,MIN(100,0.40*K87+0.20*L87+0.10*S87+0.15*V87+0.15*Y87)),0)</x:f>
        <x:v>75</x:v>
      </x:c>
      <x:c r="AA87" s="12" t="n">
        <x:f>ROUND(MAX(0,MIN(100,0.30*L87+0.20*K87+0.15*V87+0.15*W87+0.10*S87+0.10*(100-M87))),0)</x:f>
        <x:v>81</x:v>
      </x:c>
      <x:c r="AB87" s="12" t="n">
        <x:f>ROUND(MAX(0,MIN(100,0.30*M87+0.25*R87+0.20*Q87+0.15*K87+0.10*(100-T87))),0)</x:f>
        <x:v>21</x:v>
      </x:c>
      <x:c r="AC87" s="12" t="n">
        <x:f>ROUND(MAX(0,MIN(100,0.55*T87+0.15*S87+0.10*N87+0.10*V87+0.10*W87)),0)</x:f>
        <x:v>67</x:v>
      </x:c>
      <x:c r="AD87" s="12" t="n">
        <x:f>ROUND(MAX(0,MIN(100,0.25*O87+0.25*Q87+0.20*Y87+0.15*U87+0.15*(100-L87))),0)</x:f>
        <x:v>38</x:v>
      </x:c>
      <x:c r="AE87" s="12" t="n">
        <x:f>ROUND(MAX(0,MIN(100,0.30*Y87+0.25*S87+0.15*Q87+0.15*T87+0.15*X87)),0)</x:f>
        <x:v>81</x:v>
      </x:c>
      <x:c r="AF87" s="12" t="n">
        <x:f>ROUND(MAX(0,MIN(100,0.65*X87+0.35*Y87)),0)</x:f>
        <x:v>98</x:v>
      </x:c>
      <x:c r="AG87" s="12" t="str">
        <x:v>https://wikiwiki.jp/poke-unite/%E3%82%BE%E3%83%AD%E3%82%A2%E3%83%BC%E3%82%AF</x:v>
      </x:c>
      <x:c r="AH87" s="12" t="str">
        <x:v>姿を変えて相手を惑わせ、豊富な移動わざで切り刻むスピード型のポケモンです。複雑なコンボと立ち回りを覚えるほど強くなるので、操作と駆け引きを極めたい人に向いています。</x:v>
      </x:c>
      <x:c r="AI87" s="12" t="str">
        <x:v>操作を極める・先を読んで動く・空いたゴールを狙う</x:v>
      </x:c>
      <x:c r="AJ87" s="12" t="n">
        <x:v>0</x:v>
      </x:c>
    </x:row>
    <x:row r="88">
      <x:c r="A88" s="12" t="str">
        <x:v>ダークライ</x:v>
      </x:c>
      <x:c r="B88" s="12" t="str">
        <x:v>スピード型</x:v>
      </x:c>
      <x:c r="C88" s="12" t="str">
        <x:v>ダークライ-1</x:v>
      </x:c>
      <x:c r="D88" s="12" t="str">
        <x:v>共通</x:v>
      </x:c>
      <x:c r="E88" s="12" t="str">
        <x:v>Assassin</x:v>
      </x:c>
      <x:c r="F88" s="12" t="str">
        <x:v>Assassin</x:v>
      </x:c>
      <x:c r="G88" s="12"/>
      <x:c r="H88" s="12" t="str">
        <x:v>技で細部は変わるが、診断上のプレイ人格は大きく変わらないため統合</x:v>
      </x:c>
      <x:c r="I88" s="12" t="str">
        <x:v>高</x:v>
      </x:c>
      <x:c r="J88" s="12" t="str">
        <x:v>2026-09-30</x:v>
      </x:c>
      <x:c r="K88" s="12" t="n">
        <x:v>55</x:v>
      </x:c>
      <x:c r="L88" s="12" t="n">
        <x:v>90</x:v>
      </x:c>
      <x:c r="M88" s="12" t="n">
        <x:v>25</x:v>
      </x:c>
      <x:c r="N88" s="12" t="n">
        <x:v>15</x:v>
      </x:c>
      <x:c r="O88" s="12" t="n">
        <x:v>15</x:v>
      </x:c>
      <x:c r="P88" s="12" t="n">
        <x:v>10</x:v>
      </x:c>
      <x:c r="Q88" s="12" t="n">
        <x:v>80</x:v>
      </x:c>
      <x:c r="R88" s="12" t="n">
        <x:v>5</x:v>
      </x:c>
      <x:c r="S88" s="12" t="n">
        <x:v>85</x:v>
      </x:c>
      <x:c r="T88" s="12" t="n">
        <x:v>40</x:v>
      </x:c>
      <x:c r="U88" s="12" t="n">
        <x:v>55</x:v>
      </x:c>
      <x:c r="V88" s="12" t="n">
        <x:v>50</x:v>
      </x:c>
      <x:c r="W88" s="12" t="n">
        <x:v>85</x:v>
      </x:c>
      <x:c r="X88" s="12" t="n">
        <x:v>90</x:v>
      </x:c>
      <x:c r="Y88" s="12" t="n">
        <x:v>85</x:v>
      </x:c>
      <x:c r="Z88" s="12" t="n">
        <x:f>ROUND(MAX(0,MIN(100,0.40*K88+0.20*L88+0.10*S88+0.15*V88+0.15*Y88)),0)</x:f>
        <x:v>69</x:v>
      </x:c>
      <x:c r="AA88" s="12" t="n">
        <x:f>ROUND(MAX(0,MIN(100,0.30*L88+0.20*K88+0.15*V88+0.15*W88+0.10*S88+0.10*(100-M88))),0)</x:f>
        <x:v>74</x:v>
      </x:c>
      <x:c r="AB88" s="12" t="n">
        <x:f>ROUND(MAX(0,MIN(100,0.30*M88+0.25*R88+0.20*Q88+0.15*K88+0.10*(100-T88))),0)</x:f>
        <x:v>39</x:v>
      </x:c>
      <x:c r="AC88" s="12" t="n">
        <x:f>ROUND(MAX(0,MIN(100,0.55*T88+0.15*S88+0.10*N88+0.10*V88+0.10*W88)),0)</x:f>
        <x:v>50</x:v>
      </x:c>
      <x:c r="AD88" s="12" t="n">
        <x:f>ROUND(MAX(0,MIN(100,0.25*O88+0.25*Q88+0.20*Y88+0.15*U88+0.15*(100-L88))),0)</x:f>
        <x:v>51</x:v>
      </x:c>
      <x:c r="AE88" s="12" t="n">
        <x:f>ROUND(MAX(0,MIN(100,0.30*Y88+0.25*S88+0.15*Q88+0.15*T88+0.15*X88)),0)</x:f>
        <x:v>78</x:v>
      </x:c>
      <x:c r="AF88" s="12" t="n">
        <x:f>ROUND(MAX(0,MIN(100,0.65*X88+0.35*Y88)),0)</x:f>
        <x:v>88</x:v>
      </x:c>
      <x:c r="AG88" s="12" t="str">
        <x:v>https://wikiwiki.jp/poke-unite/%E3%83%80%E3%83%BC%E3%82%AF%E3%83%A9%E3%82%A4</x:v>
      </x:c>
      <x:c r="AH88" s="12" t="str">
        <x:v>ねむり状態で相手を無力化し、その隙に一気に仕留めるスピード型のポケモンです。どの相手をいつ眠らせるかを考え、戦いの流れを支配したい人に向いています。</x:v>
      </x:c>
      <x:c r="AI88" s="12" t="str">
        <x:v>動きを止める・後衛まで踏み込む・先を読んで動く</x:v>
      </x:c>
      <x:c r="AJ88" s="12" t="n">
        <x:v>0</x:v>
      </x:c>
    </x:row>
    <x:row r="89">
      <x:c r="A89" s="12" t="str">
        <x:v>ドードリオ</x:v>
      </x:c>
      <x:c r="B89" s="12" t="str">
        <x:v>スピード型</x:v>
      </x:c>
      <x:c r="C89" s="12" t="str">
        <x:v>ドードリオ-1</x:v>
      </x:c>
      <x:c r="D89" s="12" t="str">
        <x:v>共通</x:v>
      </x:c>
      <x:c r="E89" s="12" t="str">
        <x:v>Diver</x:v>
      </x:c>
      <x:c r="F89" s="12" t="str">
        <x:v>Diver</x:v>
      </x:c>
      <x:c r="G89" s="12"/>
      <x:c r="H89" s="12" t="str">
        <x:v>技で細部は変わるが、診断上のプレイ人格は大きく変わらないため統合</x:v>
      </x:c>
      <x:c r="I89" s="12" t="str">
        <x:v>高</x:v>
      </x:c>
      <x:c r="J89" s="12" t="str">
        <x:v>2026-09-30</x:v>
      </x:c>
      <x:c r="K89" s="12" t="n">
        <x:v>80</x:v>
      </x:c>
      <x:c r="L89" s="12" t="n">
        <x:v>90</x:v>
      </x:c>
      <x:c r="M89" s="12" t="n">
        <x:v>20</x:v>
      </x:c>
      <x:c r="N89" s="12" t="n">
        <x:v>45</x:v>
      </x:c>
      <x:c r="O89" s="12" t="n">
        <x:v>10</x:v>
      </x:c>
      <x:c r="P89" s="12" t="n">
        <x:v>35</x:v>
      </x:c>
      <x:c r="Q89" s="12" t="n">
        <x:v>45</x:v>
      </x:c>
      <x:c r="R89" s="12" t="n">
        <x:v>5</x:v>
      </x:c>
      <x:c r="S89" s="12" t="n">
        <x:v>100</x:v>
      </x:c>
      <x:c r="T89" s="12" t="n">
        <x:v>70</x:v>
      </x:c>
      <x:c r="U89" s="12" t="n">
        <x:v>50</x:v>
      </x:c>
      <x:c r="V89" s="12" t="n">
        <x:v>60</x:v>
      </x:c>
      <x:c r="W89" s="12" t="n">
        <x:v>80</x:v>
      </x:c>
      <x:c r="X89" s="12" t="n">
        <x:v>85</x:v>
      </x:c>
      <x:c r="Y89" s="12" t="n">
        <x:v>80</x:v>
      </x:c>
      <x:c r="Z89" s="12" t="n">
        <x:f>ROUND(MAX(0,MIN(100,0.40*K89+0.20*L89+0.10*S89+0.15*V89+0.15*Y89)),0)</x:f>
        <x:v>81</x:v>
      </x:c>
      <x:c r="AA89" s="12" t="n">
        <x:f>ROUND(MAX(0,MIN(100,0.30*L89+0.20*K89+0.15*V89+0.15*W89+0.10*S89+0.10*(100-M89))),0)</x:f>
        <x:v>82</x:v>
      </x:c>
      <x:c r="AB89" s="12" t="n">
        <x:f>ROUND(MAX(0,MIN(100,0.30*M89+0.25*R89+0.20*Q89+0.15*K89+0.10*(100-T89))),0)</x:f>
        <x:v>31</x:v>
      </x:c>
      <x:c r="AC89" s="12" t="n">
        <x:f>ROUND(MAX(0,MIN(100,0.55*T89+0.15*S89+0.10*N89+0.10*V89+0.10*W89)),0)</x:f>
        <x:v>72</x:v>
      </x:c>
      <x:c r="AD89" s="12" t="n">
        <x:f>ROUND(MAX(0,MIN(100,0.25*O89+0.25*Q89+0.20*Y89+0.15*U89+0.15*(100-L89))),0)</x:f>
        <x:v>39</x:v>
      </x:c>
      <x:c r="AE89" s="12" t="n">
        <x:f>ROUND(MAX(0,MIN(100,0.30*Y89+0.25*S89+0.15*Q89+0.15*T89+0.15*X89)),0)</x:f>
        <x:v>79</x:v>
      </x:c>
      <x:c r="AF89" s="12" t="n">
        <x:f>ROUND(MAX(0,MIN(100,0.65*X89+0.35*Y89)),0)</x:f>
        <x:v>83</x:v>
      </x:c>
      <x:c r="AG89" s="12" t="str">
        <x:v>https://wikiwiki.jp/poke-unite/%E3%83%89%E3%83%BC%E3%83%89%E3%83%AA%E3%82%AA</x:v>
      </x:c>
      <x:c r="AH89" s="12" t="str">
        <x:v>走るほど加速し、スピードを乗せた突進で相手を跳ね飛ばすスピード型のポケモンです。マップを駆け回って空いた場所を突き、試合を速く動かしたい人に向いています。</x:v>
      </x:c>
      <x:c r="AI89" s="12" t="str">
        <x:v>マップを駆け回る・空いたゴールを狙う・自分から仕掛ける</x:v>
      </x:c>
      <x:c r="AJ89" s="12" t="n">
        <x:v>0</x:v>
      </x:c>
    </x:row>
    <x:row r="90">
      <x:c r="A90" s="12" t="str">
        <x:v>ニャース</x:v>
      </x:c>
      <x:c r="B90" s="12" t="str">
        <x:v>スピード型</x:v>
      </x:c>
      <x:c r="C90" s="12" t="str">
        <x:v>ニャース-1</x:v>
      </x:c>
      <x:c r="D90" s="12" t="str">
        <x:v>共通</x:v>
      </x:c>
      <x:c r="E90" s="12" t="str">
        <x:v>Skirmisher</x:v>
      </x:c>
      <x:c r="F90" s="12" t="str">
        <x:v>Skirmisher</x:v>
      </x:c>
      <x:c r="G90" s="12"/>
      <x:c r="H90" s="12" t="str">
        <x:v>技で細部は変わるが、診断上のプレイ人格は大きく変わらないため統合</x:v>
      </x:c>
      <x:c r="I90" s="12" t="str">
        <x:v>高</x:v>
      </x:c>
      <x:c r="J90" s="12" t="str">
        <x:v>2026-09-30</x:v>
      </x:c>
      <x:c r="K90" s="12" t="n">
        <x:v>60</x:v>
      </x:c>
      <x:c r="L90" s="12" t="n">
        <x:v>80</x:v>
      </x:c>
      <x:c r="M90" s="12" t="n">
        <x:v>25</x:v>
      </x:c>
      <x:c r="N90" s="12" t="n">
        <x:v>50</x:v>
      </x:c>
      <x:c r="O90" s="12" t="n">
        <x:v>35</x:v>
      </x:c>
      <x:c r="P90" s="12" t="n">
        <x:v>60</x:v>
      </x:c>
      <x:c r="Q90" s="12" t="n">
        <x:v>35</x:v>
      </x:c>
      <x:c r="R90" s="12" t="n">
        <x:v>5</x:v>
      </x:c>
      <x:c r="S90" s="12" t="n">
        <x:v>90</x:v>
      </x:c>
      <x:c r="T90" s="12" t="n">
        <x:v>75</x:v>
      </x:c>
      <x:c r="U90" s="12" t="n">
        <x:v>55</x:v>
      </x:c>
      <x:c r="V90" s="12" t="n">
        <x:v>65</x:v>
      </x:c>
      <x:c r="W90" s="12" t="n">
        <x:v>75</x:v>
      </x:c>
      <x:c r="X90" s="12" t="n">
        <x:v>70</x:v>
      </x:c>
      <x:c r="Y90" s="12" t="n">
        <x:v>75</x:v>
      </x:c>
      <x:c r="Z90" s="12" t="n">
        <x:f>ROUND(MAX(0,MIN(100,0.40*K90+0.20*L90+0.10*S90+0.15*V90+0.15*Y90)),0)</x:f>
        <x:v>70</x:v>
      </x:c>
      <x:c r="AA90" s="12" t="n">
        <x:f>ROUND(MAX(0,MIN(100,0.30*L90+0.20*K90+0.15*V90+0.15*W90+0.10*S90+0.10*(100-M90))),0)</x:f>
        <x:v>74</x:v>
      </x:c>
      <x:c r="AB90" s="12" t="n">
        <x:f>ROUND(MAX(0,MIN(100,0.30*M90+0.25*R90+0.20*Q90+0.15*K90+0.10*(100-T90))),0)</x:f>
        <x:v>27</x:v>
      </x:c>
      <x:c r="AC90" s="12" t="n">
        <x:f>ROUND(MAX(0,MIN(100,0.55*T90+0.15*S90+0.10*N90+0.10*V90+0.10*W90)),0)</x:f>
        <x:v>74</x:v>
      </x:c>
      <x:c r="AD90" s="12" t="n">
        <x:f>ROUND(MAX(0,MIN(100,0.25*O90+0.25*Q90+0.20*Y90+0.15*U90+0.15*(100-L90))),0)</x:f>
        <x:v>44</x:v>
      </x:c>
      <x:c r="AE90" s="12" t="n">
        <x:f>ROUND(MAX(0,MIN(100,0.30*Y90+0.25*S90+0.15*Q90+0.15*T90+0.15*X90)),0)</x:f>
        <x:v>72</x:v>
      </x:c>
      <x:c r="AF90" s="12" t="n">
        <x:f>ROUND(MAX(0,MIN(100,0.65*X90+0.35*Y90)),0)</x:f>
        <x:v>72</x:v>
      </x:c>
      <x:c r="AG90" s="12" t="str">
        <x:v>https://wikiwiki.jp/poke-unite/%E3%83%8B%E3%83%A3%E3%83%BC%E3%82%B9</x:v>
      </x:c>
      <x:c r="AH90" s="12" t="str">
        <x:v>相手のバトルアイテムを奪い、拾った小判でわざを回すトリッキーなスピード型のポケモンです。少人数の戦いで隙を突き、ユナイトわざで後衛を仕留めたい人に向いています。</x:v>
      </x:c>
      <x:c r="AI90" s="12" t="str">
        <x:v>マップを駆け回る・空いたゴールを狙う・一人で仕事を作る</x:v>
      </x:c>
      <x:c r="AJ90" s="12" t="n">
        <x:v>0</x:v>
      </x:c>
    </x:row>
    <x:row r="91">
      <x:c r="A91" s="12" t="str">
        <x:v>ファイアロー</x:v>
      </x:c>
      <x:c r="B91" s="12" t="str">
        <x:v>スピード型</x:v>
      </x:c>
      <x:c r="C91" s="12" t="str">
        <x:v>ファイアロー-1</x:v>
      </x:c>
      <x:c r="D91" s="12" t="str">
        <x:v>共通</x:v>
      </x:c>
      <x:c r="E91" s="12" t="str">
        <x:v>Assassin / Diver</x:v>
      </x:c>
      <x:c r="F91" s="12" t="str">
        <x:v>Assassin</x:v>
      </x:c>
      <x:c r="G91" s="12" t="str">
        <x:v>Diver</x:v>
      </x:c>
      <x:c r="H91" s="12" t="str">
        <x:v>技で細部は変わるが、診断上のプレイ人格は大きく変わらないため統合</x:v>
      </x:c>
      <x:c r="I91" s="12" t="str">
        <x:v>高</x:v>
      </x:c>
      <x:c r="J91" s="12" t="str">
        <x:v>2026-09-30</x:v>
      </x:c>
      <x:c r="K91" s="12" t="n">
        <x:v>65</x:v>
      </x:c>
      <x:c r="L91" s="12" t="n">
        <x:v>100</x:v>
      </x:c>
      <x:c r="M91" s="12" t="n">
        <x:v>15</x:v>
      </x:c>
      <x:c r="N91" s="12" t="n">
        <x:v>30</x:v>
      </x:c>
      <x:c r="O91" s="12" t="n">
        <x:v>15</x:v>
      </x:c>
      <x:c r="P91" s="12" t="n">
        <x:v>5</x:v>
      </x:c>
      <x:c r="Q91" s="12" t="n">
        <x:v>35</x:v>
      </x:c>
      <x:c r="R91" s="12" t="n">
        <x:v>5</x:v>
      </x:c>
      <x:c r="S91" s="12" t="n">
        <x:v>100</x:v>
      </x:c>
      <x:c r="T91" s="12" t="n">
        <x:v>70</x:v>
      </x:c>
      <x:c r="U91" s="12" t="n">
        <x:v>55</x:v>
      </x:c>
      <x:c r="V91" s="12" t="n">
        <x:v>85</x:v>
      </x:c>
      <x:c r="W91" s="12" t="n">
        <x:v>95</x:v>
      </x:c>
      <x:c r="X91" s="12" t="n">
        <x:v>80</x:v>
      </x:c>
      <x:c r="Y91" s="12" t="n">
        <x:v>85</x:v>
      </x:c>
      <x:c r="Z91" s="12" t="n">
        <x:f>ROUND(MAX(0,MIN(100,0.40*K91+0.20*L91+0.10*S91+0.15*V91+0.15*Y91)),0)</x:f>
        <x:v>82</x:v>
      </x:c>
      <x:c r="AA91" s="12" t="n">
        <x:f>ROUND(MAX(0,MIN(100,0.30*L91+0.20*K91+0.15*V91+0.15*W91+0.10*S91+0.10*(100-M91))),0)</x:f>
        <x:v>89</x:v>
      </x:c>
      <x:c r="AB91" s="12" t="n">
        <x:f>ROUND(MAX(0,MIN(100,0.30*M91+0.25*R91+0.20*Q91+0.15*K91+0.10*(100-T91))),0)</x:f>
        <x:v>26</x:v>
      </x:c>
      <x:c r="AC91" s="12" t="n">
        <x:f>ROUND(MAX(0,MIN(100,0.55*T91+0.15*S91+0.10*N91+0.10*V91+0.10*W91)),0)</x:f>
        <x:v>75</x:v>
      </x:c>
      <x:c r="AD91" s="12" t="n">
        <x:f>ROUND(MAX(0,MIN(100,0.25*O91+0.25*Q91+0.20*Y91+0.15*U91+0.15*(100-L91))),0)</x:f>
        <x:v>38</x:v>
      </x:c>
      <x:c r="AE91" s="12" t="n">
        <x:f>ROUND(MAX(0,MIN(100,0.30*Y91+0.25*S91+0.15*Q91+0.15*T91+0.15*X91)),0)</x:f>
        <x:v>78</x:v>
      </x:c>
      <x:c r="AF91" s="12" t="n">
        <x:f>ROUND(MAX(0,MIN(100,0.65*X91+0.35*Y91)),0)</x:f>
        <x:v>82</x:v>
      </x:c>
      <x:c r="AG91" s="12" t="str">
        <x:v>https://wikiwiki.jp/poke-unite/%E3%83%95%E3%82%A1%E3%82%A4%E3%82%A2%E3%83%AD%...</x:v>
      </x:c>
      <x:c r="AH91" s="12" t="str">
        <x:v>空から飛び込んで相手を仕留め、レックウザなどの取り切りも狙えるスピード型のポケモンです。マップを素早く移動して、空いたところから試合を動かしたい人に向いています。</x:v>
      </x:c>
      <x:c r="AI91" s="12" t="str">
        <x:v>マップを駆け回る・取り切りが得意・空いたゴールを狙う</x:v>
      </x:c>
      <x:c r="AJ91" s="12" t="n">
        <x:v>0</x:v>
      </x:c>
    </x:row>
    <x:row r="92">
      <x:c r="A92" s="12" t="str">
        <x:v>マスカーニャ</x:v>
      </x:c>
      <x:c r="B92" s="12" t="str">
        <x:v>スピード型</x:v>
      </x:c>
      <x:c r="C92" s="12" t="str">
        <x:v>マスカーニャ-1</x:v>
      </x:c>
      <x:c r="D92" s="12" t="str">
        <x:v>トリックフラワー</x:v>
      </x:c>
      <x:c r="E92" s="12" t="str">
        <x:v>Assassin / Specialist</x:v>
      </x:c>
      <x:c r="F92" s="12" t="str">
        <x:v>Assassin</x:v>
      </x:c>
      <x:c r="G92" s="12" t="str">
        <x:v>Specialist</x:v>
      </x:c>
      <x:c r="H92" s="12" t="str">
        <x:v>立ち位置・戦闘距離・役割が大きく変わるため別プロファイル</x:v>
      </x:c>
      <x:c r="I92" s="12" t="str">
        <x:v>高</x:v>
      </x:c>
      <x:c r="J92" s="12" t="str">
        <x:v>2026-09-30</x:v>
      </x:c>
      <x:c r="K92" s="12" t="n">
        <x:v>55</x:v>
      </x:c>
      <x:c r="L92" s="12" t="n">
        <x:v>70</x:v>
      </x:c>
      <x:c r="M92" s="12" t="n">
        <x:v>30</x:v>
      </x:c>
      <x:c r="N92" s="12" t="n">
        <x:v>20</x:v>
      </x:c>
      <x:c r="O92" s="12" t="n">
        <x:v>25</x:v>
      </x:c>
      <x:c r="P92" s="12" t="n">
        <x:v>25</x:v>
      </x:c>
      <x:c r="Q92" s="12" t="n">
        <x:v>50</x:v>
      </x:c>
      <x:c r="R92" s="12" t="n">
        <x:v>30</x:v>
      </x:c>
      <x:c r="S92" s="12" t="n">
        <x:v>90</x:v>
      </x:c>
      <x:c r="T92" s="12" t="n">
        <x:v>60</x:v>
      </x:c>
      <x:c r="U92" s="12" t="n">
        <x:v>45</x:v>
      </x:c>
      <x:c r="V92" s="12" t="n">
        <x:v>60</x:v>
      </x:c>
      <x:c r="W92" s="12" t="n">
        <x:v>85</x:v>
      </x:c>
      <x:c r="X92" s="12" t="n">
        <x:v>80</x:v>
      </x:c>
      <x:c r="Y92" s="12" t="n">
        <x:v>100</x:v>
      </x:c>
      <x:c r="Z92" s="12" t="n">
        <x:f>ROUND(MAX(0,MIN(100,0.40*K92+0.20*L92+0.10*S92+0.15*V92+0.15*Y92)),0)</x:f>
        <x:v>69</x:v>
      </x:c>
      <x:c r="AA92" s="12" t="n">
        <x:f>ROUND(MAX(0,MIN(100,0.30*L92+0.20*K92+0.15*V92+0.15*W92+0.10*S92+0.10*(100-M92))),0)</x:f>
        <x:v>70</x:v>
      </x:c>
      <x:c r="AB92" s="12" t="n">
        <x:f>ROUND(MAX(0,MIN(100,0.30*M92+0.25*R92+0.20*Q92+0.15*K92+0.10*(100-T92))),0)</x:f>
        <x:v>39</x:v>
      </x:c>
      <x:c r="AC92" s="12" t="n">
        <x:f>ROUND(MAX(0,MIN(100,0.55*T92+0.15*S92+0.10*N92+0.10*V92+0.10*W92)),0)</x:f>
        <x:v>63</x:v>
      </x:c>
      <x:c r="AD92" s="12" t="n">
        <x:f>ROUND(MAX(0,MIN(100,0.25*O92+0.25*Q92+0.20*Y92+0.15*U92+0.15*(100-L92))),0)</x:f>
        <x:v>50</x:v>
      </x:c>
      <x:c r="AE92" s="12" t="n">
        <x:f>ROUND(MAX(0,MIN(100,0.30*Y92+0.25*S92+0.15*Q92+0.15*T92+0.15*X92)),0)</x:f>
        <x:v>81</x:v>
      </x:c>
      <x:c r="AF92" s="12" t="n">
        <x:f>ROUND(MAX(0,MIN(100,0.65*X92+0.35*Y92)),0)</x:f>
        <x:v>87</x:v>
      </x:c>
      <x:c r="AG92" s="12" t="str">
        <x:v>https://wikiwiki.jp/poke-unite/%E3%83%9E%E3%82%B9%E3%82%AB%E3%83%BC%E3%83%8B%...</x:v>
      </x:c>
      <x:c r="AH92" s="12" t="str">
        <x:v>「トリックフラワー」で相手の動きを読み、仕掛けた花で翻弄する戦い方です。先を読んで相手を誘い込み、駆け引きで勝ちたい人に向いています。</x:v>
      </x:c>
      <x:c r="AI92" s="12" t="str">
        <x:v>先を読んで動く・空いたゴールを狙う・マップを駆け回る</x:v>
      </x:c>
      <x:c r="AJ92" s="12" t="n">
        <x:v>0</x:v>
      </x:c>
    </x:row>
    <x:row r="93">
      <x:c r="A93" s="12" t="str">
        <x:v>マスカーニャ</x:v>
      </x:c>
      <x:c r="B93" s="12" t="str">
        <x:v>スピード型</x:v>
      </x:c>
      <x:c r="C93" s="12" t="str">
        <x:v>マスカーニャ-2</x:v>
      </x:c>
      <x:c r="D93" s="12" t="str">
        <x:v>つじぎり</x:v>
      </x:c>
      <x:c r="E93" s="12" t="str">
        <x:v>Skirmisher / Assassin</x:v>
      </x:c>
      <x:c r="F93" s="12" t="str">
        <x:v>Skirmisher</x:v>
      </x:c>
      <x:c r="G93" s="12" t="str">
        <x:v>Assassin</x:v>
      </x:c>
      <x:c r="H93" s="12" t="str">
        <x:v>立ち位置・戦闘距離・役割が大きく変わるため別プロファイル</x:v>
      </x:c>
      <x:c r="I93" s="12" t="str">
        <x:v>高</x:v>
      </x:c>
      <x:c r="J93" s="12" t="str">
        <x:v>2026-09-30</x:v>
      </x:c>
      <x:c r="K93" s="12" t="n">
        <x:v>60</x:v>
      </x:c>
      <x:c r="L93" s="12" t="n">
        <x:v>90</x:v>
      </x:c>
      <x:c r="M93" s="12" t="n">
        <x:v>15</x:v>
      </x:c>
      <x:c r="N93" s="12" t="n">
        <x:v>35</x:v>
      </x:c>
      <x:c r="O93" s="12" t="n">
        <x:v>10</x:v>
      </x:c>
      <x:c r="P93" s="12" t="n">
        <x:v>50</x:v>
      </x:c>
      <x:c r="Q93" s="12" t="n">
        <x:v>25</x:v>
      </x:c>
      <x:c r="R93" s="12" t="n">
        <x:v>5</x:v>
      </x:c>
      <x:c r="S93" s="12" t="n">
        <x:v>90</x:v>
      </x:c>
      <x:c r="T93" s="12" t="n">
        <x:v>65</x:v>
      </x:c>
      <x:c r="U93" s="12" t="n">
        <x:v>55</x:v>
      </x:c>
      <x:c r="V93" s="12" t="n">
        <x:v>75</x:v>
      </x:c>
      <x:c r="W93" s="12" t="n">
        <x:v>85</x:v>
      </x:c>
      <x:c r="X93" s="12" t="n">
        <x:v>80</x:v>
      </x:c>
      <x:c r="Y93" s="12" t="n">
        <x:v>75</x:v>
      </x:c>
      <x:c r="Z93" s="12" t="n">
        <x:f>ROUND(MAX(0,MIN(100,0.40*K93+0.20*L93+0.10*S93+0.15*V93+0.15*Y93)),0)</x:f>
        <x:v>74</x:v>
      </x:c>
      <x:c r="AA93" s="12" t="n">
        <x:f>ROUND(MAX(0,MIN(100,0.30*L93+0.20*K93+0.15*V93+0.15*W93+0.10*S93+0.10*(100-M93))),0)</x:f>
        <x:v>81</x:v>
      </x:c>
      <x:c r="AB93" s="12" t="n">
        <x:f>ROUND(MAX(0,MIN(100,0.30*M93+0.25*R93+0.20*Q93+0.15*K93+0.10*(100-T93))),0)</x:f>
        <x:v>23</x:v>
      </x:c>
      <x:c r="AC93" s="12" t="n">
        <x:f>ROUND(MAX(0,MIN(100,0.55*T93+0.15*S93+0.10*N93+0.10*V93+0.10*W93)),0)</x:f>
        <x:v>69</x:v>
      </x:c>
      <x:c r="AD93" s="12" t="n">
        <x:f>ROUND(MAX(0,MIN(100,0.25*O93+0.25*Q93+0.20*Y93+0.15*U93+0.15*(100-L93))),0)</x:f>
        <x:v>34</x:v>
      </x:c>
      <x:c r="AE93" s="12" t="n">
        <x:f>ROUND(MAX(0,MIN(100,0.30*Y93+0.25*S93+0.15*Q93+0.15*T93+0.15*X93)),0)</x:f>
        <x:v>71</x:v>
      </x:c>
      <x:c r="AF93" s="12" t="n">
        <x:f>ROUND(MAX(0,MIN(100,0.65*X93+0.35*Y93)),0)</x:f>
        <x:v>78</x:v>
      </x:c>
      <x:c r="AG93" s="12" t="str">
        <x:v>https://wikiwiki.jp/poke-unite/%E3%83%9E%E3%82%B9%E3%82%AB%E3%83%BC%E3%83%8B%...</x:v>
      </x:c>
      <x:c r="AH93" s="12" t="str">
        <x:v>「つじぎり」で連続して飛び込み、高い機動力で相手を切り刻む戦い方です。止まらずに動き続け、相手の後衛に何度も入り込みたい人に向いています。</x:v>
      </x:c>
      <x:c r="AI93" s="12" t="str">
        <x:v>後衛まで踏み込む・マップを駆け回る・空いたゴールを狙う</x:v>
      </x:c>
      <x:c r="AJ93" s="12" t="n">
        <x:v>0</x:v>
      </x:c>
    </x:row>
    <x:row r="94">
      <x:c r="A94" s="12" t="str">
        <x:v>モルペコ</x:v>
      </x:c>
      <x:c r="B94" s="12" t="str">
        <x:v>スピード型</x:v>
      </x:c>
      <x:c r="C94" s="12" t="str">
        <x:v>モルペコ-1</x:v>
      </x:c>
      <x:c r="D94" s="12" t="str">
        <x:v>共通</x:v>
      </x:c>
      <x:c r="E94" s="12" t="str">
        <x:v>Assassin</x:v>
      </x:c>
      <x:c r="F94" s="12" t="str">
        <x:v>Assassin</x:v>
      </x:c>
      <x:c r="G94" s="12"/>
      <x:c r="H94" s="12" t="str">
        <x:v>技で細部は変わるが、診断上のプレイ人格は大きく変わらないため統合</x:v>
      </x:c>
      <x:c r="I94" s="12" t="str">
        <x:v>低</x:v>
      </x:c>
      <x:c r="J94" s="12" t="str">
        <x:v>2026-09-30</x:v>
      </x:c>
      <x:c r="K94" s="12" t="n">
        <x:v>55</x:v>
      </x:c>
      <x:c r="L94" s="12" t="n">
        <x:v>95</x:v>
      </x:c>
      <x:c r="M94" s="12" t="n">
        <x:v>15</x:v>
      </x:c>
      <x:c r="N94" s="12" t="n">
        <x:v>15</x:v>
      </x:c>
      <x:c r="O94" s="12" t="n">
        <x:v>15</x:v>
      </x:c>
      <x:c r="P94" s="12" t="n">
        <x:v>10</x:v>
      </x:c>
      <x:c r="Q94" s="12" t="n">
        <x:v>25</x:v>
      </x:c>
      <x:c r="R94" s="12" t="n">
        <x:v>5</x:v>
      </x:c>
      <x:c r="S94" s="12" t="n">
        <x:v>90</x:v>
      </x:c>
      <x:c r="T94" s="12" t="n">
        <x:v>60</x:v>
      </x:c>
      <x:c r="U94" s="12" t="n">
        <x:v>55</x:v>
      </x:c>
      <x:c r="V94" s="12" t="n">
        <x:v>70</x:v>
      </x:c>
      <x:c r="W94" s="12" t="n">
        <x:v>85</x:v>
      </x:c>
      <x:c r="X94" s="12" t="n">
        <x:v>90</x:v>
      </x:c>
      <x:c r="Y94" s="12" t="n">
        <x:v>75</x:v>
      </x:c>
      <x:c r="Z94" s="12" t="n">
        <x:f>ROUND(MAX(0,MIN(100,0.40*K94+0.20*L94+0.10*S94+0.15*V94+0.15*Y94)),0)</x:f>
        <x:v>72</x:v>
      </x:c>
      <x:c r="AA94" s="12" t="n">
        <x:f>ROUND(MAX(0,MIN(100,0.30*L94+0.20*K94+0.15*V94+0.15*W94+0.10*S94+0.10*(100-M94))),0)</x:f>
        <x:v>80</x:v>
      </x:c>
      <x:c r="AB94" s="12" t="n">
        <x:f>ROUND(MAX(0,MIN(100,0.30*M94+0.25*R94+0.20*Q94+0.15*K94+0.10*(100-T94))),0)</x:f>
        <x:v>23</x:v>
      </x:c>
      <x:c r="AC94" s="12" t="n">
        <x:f>ROUND(MAX(0,MIN(100,0.55*T94+0.15*S94+0.10*N94+0.10*V94+0.10*W94)),0)</x:f>
        <x:v>64</x:v>
      </x:c>
      <x:c r="AD94" s="12" t="n">
        <x:f>ROUND(MAX(0,MIN(100,0.25*O94+0.25*Q94+0.20*Y94+0.15*U94+0.15*(100-L94))),0)</x:f>
        <x:v>34</x:v>
      </x:c>
      <x:c r="AE94" s="12" t="n">
        <x:f>ROUND(MAX(0,MIN(100,0.30*Y94+0.25*S94+0.15*Q94+0.15*T94+0.15*X94)),0)</x:f>
        <x:v>71</x:v>
      </x:c>
      <x:c r="AF94" s="12" t="n">
        <x:f>ROUND(MAX(0,MIN(100,0.65*X94+0.35*Y94)),0)</x:f>
        <x:v>85</x:v>
      </x:c>
      <x:c r="AG94" s="12" t="str">
        <x:v>https://wikiwiki.jp/poke-unite/%E3%83%A2%E3%83%AB%E3%83%9A%E3%82%B3</x:v>
      </x:c>
      <x:c r="AH94" s="12" t="str">
        <x:v>まんぷくもようとはらぺこもようを切り替え、わざの連打から一気に仕留めるスピード型のポケモンです。フォルムの切り替えまで含めた忙しいコンボを、使いこなしてみたい人に向いています。</x:v>
      </x:c>
      <x:c r="AI94" s="12" t="str">
        <x:v>操作を極める・一瞬で倒し切る・マップを駆け回る</x:v>
      </x:c>
      <x:c r="AJ94" s="12" t="n">
        <x:v>0</x:v>
      </x:c>
    </x:row>
    <x:row r="95">
      <x:c r="A95" s="12" t="str">
        <x:v>リーフィア</x:v>
      </x:c>
      <x:c r="B95" s="12" t="str">
        <x:v>スピード型</x:v>
      </x:c>
      <x:c r="C95" s="12" t="str">
        <x:v>リーフィア-1</x:v>
      </x:c>
      <x:c r="D95" s="12" t="str">
        <x:v>共通</x:v>
      </x:c>
      <x:c r="E95" s="12" t="str">
        <x:v>Assassin</x:v>
      </x:c>
      <x:c r="F95" s="12" t="str">
        <x:v>Assassin</x:v>
      </x:c>
      <x:c r="G95" s="12"/>
      <x:c r="H95" s="12" t="str">
        <x:v>技で細部は変わるが、診断上のプレイ人格は大きく変わらないため統合</x:v>
      </x:c>
      <x:c r="I95" s="12" t="str">
        <x:v>高</x:v>
      </x:c>
      <x:c r="J95" s="12" t="str">
        <x:v>2026-09-30</x:v>
      </x:c>
      <x:c r="K95" s="12" t="n">
        <x:v>55</x:v>
      </x:c>
      <x:c r="L95" s="12" t="n">
        <x:v>95</x:v>
      </x:c>
      <x:c r="M95" s="12" t="n">
        <x:v>10</x:v>
      </x:c>
      <x:c r="N95" s="12" t="n">
        <x:v>15</x:v>
      </x:c>
      <x:c r="O95" s="12" t="n">
        <x:v>15</x:v>
      </x:c>
      <x:c r="P95" s="12" t="n">
        <x:v>10</x:v>
      </x:c>
      <x:c r="Q95" s="12" t="n">
        <x:v>25</x:v>
      </x:c>
      <x:c r="R95" s="12" t="n">
        <x:v>5</x:v>
      </x:c>
      <x:c r="S95" s="12" t="n">
        <x:v>95</x:v>
      </x:c>
      <x:c r="T95" s="12" t="n">
        <x:v>60</x:v>
      </x:c>
      <x:c r="U95" s="12" t="n">
        <x:v>35</x:v>
      </x:c>
      <x:c r="V95" s="12" t="n">
        <x:v>70</x:v>
      </x:c>
      <x:c r="W95" s="12" t="n">
        <x:v>85</x:v>
      </x:c>
      <x:c r="X95" s="12" t="n">
        <x:v>85</x:v>
      </x:c>
      <x:c r="Y95" s="12" t="n">
        <x:v>75</x:v>
      </x:c>
      <x:c r="Z95" s="12" t="n">
        <x:f>ROUND(MAX(0,MIN(100,0.40*K95+0.20*L95+0.10*S95+0.15*V95+0.15*Y95)),0)</x:f>
        <x:v>72</x:v>
      </x:c>
      <x:c r="AA95" s="12" t="n">
        <x:f>ROUND(MAX(0,MIN(100,0.30*L95+0.20*K95+0.15*V95+0.15*W95+0.10*S95+0.10*(100-M95))),0)</x:f>
        <x:v>81</x:v>
      </x:c>
      <x:c r="AB95" s="12" t="n">
        <x:f>ROUND(MAX(0,MIN(100,0.30*M95+0.25*R95+0.20*Q95+0.15*K95+0.10*(100-T95))),0)</x:f>
        <x:v>22</x:v>
      </x:c>
      <x:c r="AC95" s="12" t="n">
        <x:f>ROUND(MAX(0,MIN(100,0.55*T95+0.15*S95+0.10*N95+0.10*V95+0.10*W95)),0)</x:f>
        <x:v>64</x:v>
      </x:c>
      <x:c r="AD95" s="12" t="n">
        <x:f>ROUND(MAX(0,MIN(100,0.25*O95+0.25*Q95+0.20*Y95+0.15*U95+0.15*(100-L95))),0)</x:f>
        <x:v>31</x:v>
      </x:c>
      <x:c r="AE95" s="12" t="n">
        <x:f>ROUND(MAX(0,MIN(100,0.30*Y95+0.25*S95+0.15*Q95+0.15*T95+0.15*X95)),0)</x:f>
        <x:v>72</x:v>
      </x:c>
      <x:c r="AF95" s="12" t="n">
        <x:f>ROUND(MAX(0,MIN(100,0.65*X95+0.35*Y95)),0)</x:f>
        <x:v>82</x:v>
      </x:c>
      <x:c r="AG95" s="12" t="str">
        <x:v>https://wikiwiki.jp/poke-unite/%E3%83%AA%E3%83%BC%E3%83%95%E3%82%A3%E3%82%A2</x:v>
      </x:c>
      <x:c r="AH95" s="12" t="str">
        <x:v>序盤から高い機動力と火力で相手を仕留め、早めに有利を作るスピード型のポケモンです。終盤に頼るより、試合の早い段階から主導権を握りたい人に向いています。</x:v>
      </x:c>
      <x:c r="AI95" s="12" t="str">
        <x:v>序盤から強い・一瞬で倒し切る・マップを駆け回る</x:v>
      </x:c>
      <x:c r="AJ95" s="12" t="n">
        <x:v>0</x:v>
      </x:c>
    </x:row>
    <x:row r="96">
      <x:c r="A96" s="12" t="str">
        <x:v>イワパレス</x:v>
      </x:c>
      <x:c r="B96" s="12" t="str">
        <x:v>ディフェンス型</x:v>
      </x:c>
      <x:c r="C96" s="12" t="str">
        <x:v>イワパレス-1</x:v>
      </x:c>
      <x:c r="D96" s="12" t="str">
        <x:v>がんせきふうじ</x:v>
      </x:c>
      <x:c r="E96" s="12" t="str">
        <x:v>Vanguard</x:v>
      </x:c>
      <x:c r="F96" s="12" t="str">
        <x:v>Vanguard</x:v>
      </x:c>
      <x:c r="G96" s="12"/>
      <x:c r="H96" s="12" t="str">
        <x:v>立ち位置・戦闘距離・役割が大きく変わるため別プロファイル</x:v>
      </x:c>
      <x:c r="I96" s="12" t="str">
        <x:v>高</x:v>
      </x:c>
      <x:c r="J96" s="12" t="str">
        <x:v>2026-09-30</x:v>
      </x:c>
      <x:c r="K96" s="12" t="n">
        <x:v>100</x:v>
      </x:c>
      <x:c r="L96" s="12" t="n">
        <x:v>80</x:v>
      </x:c>
      <x:c r="M96" s="12" t="n">
        <x:v>60</x:v>
      </x:c>
      <x:c r="N96" s="12" t="n">
        <x:v>100</x:v>
      </x:c>
      <x:c r="O96" s="12" t="n">
        <x:v>20</x:v>
      </x:c>
      <x:c r="P96" s="12" t="n">
        <x:v>55</x:v>
      </x:c>
      <x:c r="Q96" s="12" t="n">
        <x:v>100</x:v>
      </x:c>
      <x:c r="R96" s="12" t="n">
        <x:v>10</x:v>
      </x:c>
      <x:c r="S96" s="12" t="n">
        <x:v>30</x:v>
      </x:c>
      <x:c r="T96" s="12" t="n">
        <x:v>50</x:v>
      </x:c>
      <x:c r="U96" s="12" t="n">
        <x:v>15</x:v>
      </x:c>
      <x:c r="V96" s="12" t="n">
        <x:v>40</x:v>
      </x:c>
      <x:c r="W96" s="12" t="n">
        <x:v>10</x:v>
      </x:c>
      <x:c r="X96" s="12" t="n">
        <x:v>55</x:v>
      </x:c>
      <x:c r="Y96" s="12" t="n">
        <x:v>75</x:v>
      </x:c>
      <x:c r="Z96" s="12" t="n">
        <x:f>ROUND(MAX(0,MIN(100,0.40*K96+0.20*L96+0.10*S96+0.15*V96+0.15*Y96)),0)</x:f>
        <x:v>76</x:v>
      </x:c>
      <x:c r="AA96" s="12" t="n">
        <x:f>ROUND(MAX(0,MIN(100,0.30*L96+0.20*K96+0.15*V96+0.15*W96+0.10*S96+0.10*(100-M96))),0)</x:f>
        <x:v>59</x:v>
      </x:c>
      <x:c r="AB96" s="12" t="n">
        <x:f>ROUND(MAX(0,MIN(100,0.30*M96+0.25*R96+0.20*Q96+0.15*K96+0.10*(100-T96))),0)</x:f>
        <x:v>61</x:v>
      </x:c>
      <x:c r="AC96" s="12" t="n">
        <x:f>ROUND(MAX(0,MIN(100,0.55*T96+0.15*S96+0.10*N96+0.10*V96+0.10*W96)),0)</x:f>
        <x:v>47</x:v>
      </x:c>
      <x:c r="AD96" s="12" t="n">
        <x:f>ROUND(MAX(0,MIN(100,0.25*O96+0.25*Q96+0.20*Y96+0.15*U96+0.15*(100-L96))),0)</x:f>
        <x:v>50</x:v>
      </x:c>
      <x:c r="AE96" s="12" t="n">
        <x:f>ROUND(MAX(0,MIN(100,0.30*Y96+0.25*S96+0.15*Q96+0.15*T96+0.15*X96)),0)</x:f>
        <x:v>61</x:v>
      </x:c>
      <x:c r="AF96" s="12" t="n">
        <x:f>ROUND(MAX(0,MIN(100,0.65*X96+0.35*Y96)),0)</x:f>
        <x:v>62</x:v>
      </x:c>
      <x:c r="AG96" s="12" t="str">
        <x:v>https://wikiwiki.jp/poke-unite/%E3%82%A4%E3%83%AF%E3%83%91%E3%83%AC%E3%82%B9</x:v>
      </x:c>
      <x:c r="AH96" s="12" t="str">
        <x:v>「がんせきふうじ」で相手を岩に閉じ込め、集団戦の起点を作る戦い方です。自分から先頭に立って仕掛け、味方が攻めやすい形を作りたい人に向いています。</x:v>
      </x:c>
      <x:c r="AI96" s="12" t="str">
        <x:v>自分から仕掛ける・動きを止める・前線を支える</x:v>
      </x:c>
      <x:c r="AJ96" s="12" t="n">
        <x:v>0</x:v>
      </x:c>
    </x:row>
    <x:row r="97">
      <x:c r="A97" s="12" t="str">
        <x:v>イワパレス</x:v>
      </x:c>
      <x:c r="B97" s="12" t="str">
        <x:v>ディフェンス型</x:v>
      </x:c>
      <x:c r="C97" s="12" t="str">
        <x:v>イワパレス-2</x:v>
      </x:c>
      <x:c r="D97" s="12" t="str">
        <x:v>からをやぶる</x:v>
      </x:c>
      <x:c r="E97" s="12" t="str">
        <x:v>Diver / Juggernaut</x:v>
      </x:c>
      <x:c r="F97" s="12" t="str">
        <x:v>Diver</x:v>
      </x:c>
      <x:c r="G97" s="12" t="str">
        <x:v>Juggernaut</x:v>
      </x:c>
      <x:c r="H97" s="12" t="str">
        <x:v>立ち位置・戦闘距離・役割が大きく変わるため別プロファイル</x:v>
      </x:c>
      <x:c r="I97" s="12" t="str">
        <x:v>高</x:v>
      </x:c>
      <x:c r="J97" s="12" t="str">
        <x:v>2026-09-30</x:v>
      </x:c>
      <x:c r="K97" s="12" t="n">
        <x:v>70</x:v>
      </x:c>
      <x:c r="L97" s="12" t="n">
        <x:v>70</x:v>
      </x:c>
      <x:c r="M97" s="12" t="n">
        <x:v>20</x:v>
      </x:c>
      <x:c r="N97" s="12" t="n">
        <x:v>85</x:v>
      </x:c>
      <x:c r="O97" s="12" t="n">
        <x:v>10</x:v>
      </x:c>
      <x:c r="P97" s="12" t="n">
        <x:v>45</x:v>
      </x:c>
      <x:c r="Q97" s="12" t="n">
        <x:v>45</x:v>
      </x:c>
      <x:c r="R97" s="12" t="n">
        <x:v>5</x:v>
      </x:c>
      <x:c r="S97" s="12" t="n">
        <x:v>65</x:v>
      </x:c>
      <x:c r="T97" s="12" t="n">
        <x:v>80</x:v>
      </x:c>
      <x:c r="U97" s="12" t="n">
        <x:v>50</x:v>
      </x:c>
      <x:c r="V97" s="12" t="n">
        <x:v>70</x:v>
      </x:c>
      <x:c r="W97" s="12" t="n">
        <x:v>65</x:v>
      </x:c>
      <x:c r="X97" s="12" t="n">
        <x:v>50</x:v>
      </x:c>
      <x:c r="Y97" s="12" t="n">
        <x:v>60</x:v>
      </x:c>
      <x:c r="Z97" s="12" t="n">
        <x:f>ROUND(MAX(0,MIN(100,0.40*K97+0.20*L97+0.10*S97+0.15*V97+0.15*Y97)),0)</x:f>
        <x:v>68</x:v>
      </x:c>
      <x:c r="AA97" s="12" t="n">
        <x:f>ROUND(MAX(0,MIN(100,0.30*L97+0.20*K97+0.15*V97+0.15*W97+0.10*S97+0.10*(100-M97))),0)</x:f>
        <x:v>70</x:v>
      </x:c>
      <x:c r="AB97" s="12" t="n">
        <x:f>ROUND(MAX(0,MIN(100,0.30*M97+0.25*R97+0.20*Q97+0.15*K97+0.10*(100-T97))),0)</x:f>
        <x:v>29</x:v>
      </x:c>
      <x:c r="AC97" s="12" t="n">
        <x:f>ROUND(MAX(0,MIN(100,0.55*T97+0.15*S97+0.10*N97+0.10*V97+0.10*W97)),0)</x:f>
        <x:v>76</x:v>
      </x:c>
      <x:c r="AD97" s="12" t="n">
        <x:f>ROUND(MAX(0,MIN(100,0.25*O97+0.25*Q97+0.20*Y97+0.15*U97+0.15*(100-L97))),0)</x:f>
        <x:v>38</x:v>
      </x:c>
      <x:c r="AE97" s="12" t="n">
        <x:f>ROUND(MAX(0,MIN(100,0.30*Y97+0.25*S97+0.15*Q97+0.15*T97+0.15*X97)),0)</x:f>
        <x:v>61</x:v>
      </x:c>
      <x:c r="AF97" s="12" t="n">
        <x:f>ROUND(MAX(0,MIN(100,0.65*X97+0.35*Y97)),0)</x:f>
        <x:v>54</x:v>
      </x:c>
      <x:c r="AG97" s="12" t="str">
        <x:v>https://wikiwiki.jp/poke-unite/%E3%82%A4%E3%83%AF%E3%83%91%E3%83%AC%E3%82%B9</x:v>
      </x:c>
      <x:c r="AH97" s="12" t="str">
        <x:v>「からをやぶる」で守りを捨てて攻撃に転じ、近い距離で殴り合う戦い方です。タンクでも自分でダメージを出し、前線で押し勝ちたい人に向いています。</x:v>
      </x:c>
      <x:c r="AI97" s="12" t="str">
        <x:v>前線を支える・一人で仕事を作る・近距離で戦う</x:v>
      </x:c>
      <x:c r="AJ97" s="12" t="n">
        <x:v>0</x:v>
      </x:c>
    </x:row>
    <x:row r="98">
      <x:c r="A98" s="12" t="str">
        <x:v>オーロット</x:v>
      </x:c>
      <x:c r="B98" s="12" t="str">
        <x:v>ディフェンス型</x:v>
      </x:c>
      <x:c r="C98" s="12" t="str">
        <x:v>オーロット-1</x:v>
      </x:c>
      <x:c r="D98" s="12" t="str">
        <x:v>ウッドハンマー</x:v>
      </x:c>
      <x:c r="E98" s="12" t="str">
        <x:v>Vanguard / Warden</x:v>
      </x:c>
      <x:c r="F98" s="12" t="str">
        <x:v>Vanguard</x:v>
      </x:c>
      <x:c r="G98" s="12" t="str">
        <x:v>Warden</x:v>
      </x:c>
      <x:c r="H98" s="12" t="str">
        <x:v>立ち位置・戦闘距離・役割が大きく変わるため別プロファイル</x:v>
      </x:c>
      <x:c r="I98" s="12" t="str">
        <x:v>高</x:v>
      </x:c>
      <x:c r="J98" s="12" t="str">
        <x:v>2026-09-30</x:v>
      </x:c>
      <x:c r="K98" s="12" t="n">
        <x:v>90</x:v>
      </x:c>
      <x:c r="L98" s="12" t="n">
        <x:v>45</x:v>
      </x:c>
      <x:c r="M98" s="12" t="n">
        <x:v>90</x:v>
      </x:c>
      <x:c r="N98" s="12" t="n">
        <x:v>100</x:v>
      </x:c>
      <x:c r="O98" s="12" t="n">
        <x:v>0</x:v>
      </x:c>
      <x:c r="P98" s="12" t="n">
        <x:v>65</x:v>
      </x:c>
      <x:c r="Q98" s="12" t="n">
        <x:v>100</x:v>
      </x:c>
      <x:c r="R98" s="12" t="n">
        <x:v>30</x:v>
      </x:c>
      <x:c r="S98" s="12" t="n">
        <x:v>30</x:v>
      </x:c>
      <x:c r="T98" s="12" t="n">
        <x:v>50</x:v>
      </x:c>
      <x:c r="U98" s="12" t="n">
        <x:v>15</x:v>
      </x:c>
      <x:c r="V98" s="12" t="n">
        <x:v>30</x:v>
      </x:c>
      <x:c r="W98" s="12" t="n">
        <x:v>10</x:v>
      </x:c>
      <x:c r="X98" s="12" t="n">
        <x:v>55</x:v>
      </x:c>
      <x:c r="Y98" s="12" t="n">
        <x:v>85</x:v>
      </x:c>
      <x:c r="Z98" s="12" t="n">
        <x:f>ROUND(MAX(0,MIN(100,0.40*K98+0.20*L98+0.10*S98+0.15*V98+0.15*Y98)),0)</x:f>
        <x:v>65</x:v>
      </x:c>
      <x:c r="AA98" s="12" t="n">
        <x:f>ROUND(MAX(0,MIN(100,0.30*L98+0.20*K98+0.15*V98+0.15*W98+0.10*S98+0.10*(100-M98))),0)</x:f>
        <x:v>42</x:v>
      </x:c>
      <x:c r="AB98" s="12" t="n">
        <x:f>ROUND(MAX(0,MIN(100,0.30*M98+0.25*R98+0.20*Q98+0.15*K98+0.10*(100-T98))),0)</x:f>
        <x:v>73</x:v>
      </x:c>
      <x:c r="AC98" s="12" t="n">
        <x:f>ROUND(MAX(0,MIN(100,0.55*T98+0.15*S98+0.10*N98+0.10*V98+0.10*W98)),0)</x:f>
        <x:v>46</x:v>
      </x:c>
      <x:c r="AD98" s="12" t="n">
        <x:f>ROUND(MAX(0,MIN(100,0.25*O98+0.25*Q98+0.20*Y98+0.15*U98+0.15*(100-L98))),0)</x:f>
        <x:v>53</x:v>
      </x:c>
      <x:c r="AE98" s="12" t="n">
        <x:f>ROUND(MAX(0,MIN(100,0.30*Y98+0.25*S98+0.15*Q98+0.15*T98+0.15*X98)),0)</x:f>
        <x:v>64</x:v>
      </x:c>
      <x:c r="AF98" s="12" t="n">
        <x:f>ROUND(MAX(0,MIN(100,0.65*X98+0.35*Y98)),0)</x:f>
        <x:v>66</x:v>
      </x:c>
      <x:c r="AG98" s="12" t="str">
        <x:v>https://wikiwiki.jp/poke-unite/%E3%82%AA%E3%83%BC%E3%83%AD%E3%83%83%E3%83%88</x:v>
      </x:c>
      <x:c r="AH98" s="12" t="str">
        <x:v>「ウッドハンマー」で相手を打ち止め、味方を守りながら集団戦を始める戦い方です。先頭に立って相手を止め、味方が戦いやすい状況を作りたい人に向いています。</x:v>
      </x:c>
      <x:c r="AI98" s="12" t="str">
        <x:v>味方を守る・動きを止める・自分から仕掛ける</x:v>
      </x:c>
      <x:c r="AJ98" s="12" t="n">
        <x:v>0</x:v>
      </x:c>
    </x:row>
    <x:row r="99">
      <x:c r="A99" s="12" t="str">
        <x:v>オーロット</x:v>
      </x:c>
      <x:c r="B99" s="12" t="str">
        <x:v>ディフェンス型</x:v>
      </x:c>
      <x:c r="C99" s="12" t="str">
        <x:v>オーロット-2</x:v>
      </x:c>
      <x:c r="D99" s="12" t="str">
        <x:v>のろい</x:v>
      </x:c>
      <x:c r="E99" s="12" t="str">
        <x:v>Juggernaut</x:v>
      </x:c>
      <x:c r="F99" s="12" t="str">
        <x:v>Juggernaut</x:v>
      </x:c>
      <x:c r="G99" s="12"/>
      <x:c r="H99" s="12" t="str">
        <x:v>立ち位置・戦闘距離・役割が大きく変わるため別プロファイル</x:v>
      </x:c>
      <x:c r="I99" s="12" t="str">
        <x:v>高</x:v>
      </x:c>
      <x:c r="J99" s="12" t="str">
        <x:v>2026-09-30</x:v>
      </x:c>
      <x:c r="K99" s="12" t="n">
        <x:v>55</x:v>
      </x:c>
      <x:c r="L99" s="12" t="n">
        <x:v>45</x:v>
      </x:c>
      <x:c r="M99" s="12" t="n">
        <x:v>45</x:v>
      </x:c>
      <x:c r="N99" s="12" t="n">
        <x:v>100</x:v>
      </x:c>
      <x:c r="O99" s="12" t="n">
        <x:v>10</x:v>
      </x:c>
      <x:c r="P99" s="12" t="n">
        <x:v>95</x:v>
      </x:c>
      <x:c r="Q99" s="12" t="n">
        <x:v>40</x:v>
      </x:c>
      <x:c r="R99" s="12" t="n">
        <x:v>0</x:v>
      </x:c>
      <x:c r="S99" s="12" t="n">
        <x:v>15</x:v>
      </x:c>
      <x:c r="T99" s="12" t="n">
        <x:v>65</x:v>
      </x:c>
      <x:c r="U99" s="12" t="n">
        <x:v>70</x:v>
      </x:c>
      <x:c r="V99" s="12" t="n">
        <x:v>75</x:v>
      </x:c>
      <x:c r="W99" s="12" t="n">
        <x:v>30</x:v>
      </x:c>
      <x:c r="X99" s="12" t="n">
        <x:v>50</x:v>
      </x:c>
      <x:c r="Y99" s="12" t="n">
        <x:v>50</x:v>
      </x:c>
      <x:c r="Z99" s="12" t="n">
        <x:f>ROUND(MAX(0,MIN(100,0.40*K99+0.20*L99+0.10*S99+0.15*V99+0.15*Y99)),0)</x:f>
        <x:v>51</x:v>
      </x:c>
      <x:c r="AA99" s="12" t="n">
        <x:f>ROUND(MAX(0,MIN(100,0.30*L99+0.20*K99+0.15*V99+0.15*W99+0.10*S99+0.10*(100-M99))),0)</x:f>
        <x:v>47</x:v>
      </x:c>
      <x:c r="AB99" s="12" t="n">
        <x:f>ROUND(MAX(0,MIN(100,0.30*M99+0.25*R99+0.20*Q99+0.15*K99+0.10*(100-T99))),0)</x:f>
        <x:v>33</x:v>
      </x:c>
      <x:c r="AC99" s="12" t="n">
        <x:f>ROUND(MAX(0,MIN(100,0.55*T99+0.15*S99+0.10*N99+0.10*V99+0.10*W99)),0)</x:f>
        <x:v>59</x:v>
      </x:c>
      <x:c r="AD99" s="12" t="n">
        <x:f>ROUND(MAX(0,MIN(100,0.25*O99+0.25*Q99+0.20*Y99+0.15*U99+0.15*(100-L99))),0)</x:f>
        <x:v>41</x:v>
      </x:c>
      <x:c r="AE99" s="12" t="n">
        <x:f>ROUND(MAX(0,MIN(100,0.30*Y99+0.25*S99+0.15*Q99+0.15*T99+0.15*X99)),0)</x:f>
        <x:v>42</x:v>
      </x:c>
      <x:c r="AF99" s="12" t="n">
        <x:f>ROUND(MAX(0,MIN(100,0.65*X99+0.35*Y99)),0)</x:f>
        <x:v>50</x:v>
      </x:c>
      <x:c r="AG99" s="12" t="str">
        <x:v>https://wikiwiki.jp/poke-unite/%E3%82%AA%E3%83%BC%E3%83%AD%E3%83%83%E3%83%88</x:v>
      </x:c>
      <x:c r="AH99" s="12" t="str">
        <x:v>「のろい」で相手をじわじわ削り、回復しながら前線に居座る戦い方です。派手な起点作りより、長い殴り合いで相手を根負けさせたい人に向いています。</x:v>
      </x:c>
      <x:c r="AI99" s="12" t="str">
        <x:v>長く戦う・前線を支える・陣取って戦う</x:v>
      </x:c>
      <x:c r="AJ99" s="12" t="n">
        <x:v>0</x:v>
      </x:c>
    </x:row>
    <x:row r="100">
      <x:c r="A100" s="12" t="str">
        <x:v>カビゴン</x:v>
      </x:c>
      <x:c r="B100" s="12" t="str">
        <x:v>ディフェンス型</x:v>
      </x:c>
      <x:c r="C100" s="12" t="str">
        <x:v>カビゴン-1</x:v>
      </x:c>
      <x:c r="D100" s="12" t="str">
        <x:v>ヘビーボンバー</x:v>
      </x:c>
      <x:c r="E100" s="12" t="str">
        <x:v>Vanguard / Warden</x:v>
      </x:c>
      <x:c r="F100" s="12" t="str">
        <x:v>Vanguard</x:v>
      </x:c>
      <x:c r="G100" s="12" t="str">
        <x:v>Warden</x:v>
      </x:c>
      <x:c r="H100" s="12" t="str">
        <x:v>立ち位置・戦闘距離・役割が大きく変わるため別プロファイル</x:v>
      </x:c>
      <x:c r="I100" s="12" t="str">
        <x:v>高</x:v>
      </x:c>
      <x:c r="J100" s="12" t="str">
        <x:v>2026-09-30</x:v>
      </x:c>
      <x:c r="K100" s="12" t="n">
        <x:v>100</x:v>
      </x:c>
      <x:c r="L100" s="12" t="n">
        <x:v>45</x:v>
      </x:c>
      <x:c r="M100" s="12" t="n">
        <x:v>95</x:v>
      </x:c>
      <x:c r="N100" s="12" t="n">
        <x:v>100</x:v>
      </x:c>
      <x:c r="O100" s="12" t="n">
        <x:v>0</x:v>
      </x:c>
      <x:c r="P100" s="12" t="n">
        <x:v>55</x:v>
      </x:c>
      <x:c r="Q100" s="12" t="n">
        <x:v>100</x:v>
      </x:c>
      <x:c r="R100" s="12" t="n">
        <x:v>30</x:v>
      </x:c>
      <x:c r="S100" s="12" t="n">
        <x:v>35</x:v>
      </x:c>
      <x:c r="T100" s="12" t="n">
        <x:v>40</x:v>
      </x:c>
      <x:c r="U100" s="12" t="n">
        <x:v>5</x:v>
      </x:c>
      <x:c r="V100" s="12" t="n">
        <x:v>30</x:v>
      </x:c>
      <x:c r="W100" s="12" t="n">
        <x:v>10</x:v>
      </x:c>
      <x:c r="X100" s="12" t="n">
        <x:v>45</x:v>
      </x:c>
      <x:c r="Y100" s="12" t="n">
        <x:v>85</x:v>
      </x:c>
      <x:c r="Z100" s="12" t="n">
        <x:f>ROUND(MAX(0,MIN(100,0.40*K100+0.20*L100+0.10*S100+0.15*V100+0.15*Y100)),0)</x:f>
        <x:v>70</x:v>
      </x:c>
      <x:c r="AA100" s="12" t="n">
        <x:f>ROUND(MAX(0,MIN(100,0.30*L100+0.20*K100+0.15*V100+0.15*W100+0.10*S100+0.10*(100-M100))),0)</x:f>
        <x:v>44</x:v>
      </x:c>
      <x:c r="AB100" s="12" t="n">
        <x:f>ROUND(MAX(0,MIN(100,0.30*M100+0.25*R100+0.20*Q100+0.15*K100+0.10*(100-T100))),0)</x:f>
        <x:v>77</x:v>
      </x:c>
      <x:c r="AC100" s="12" t="n">
        <x:f>ROUND(MAX(0,MIN(100,0.55*T100+0.15*S100+0.10*N100+0.10*V100+0.10*W100)),0)</x:f>
        <x:v>41</x:v>
      </x:c>
      <x:c r="AD100" s="12" t="n">
        <x:f>ROUND(MAX(0,MIN(100,0.25*O100+0.25*Q100+0.20*Y100+0.15*U100+0.15*(100-L100))),0)</x:f>
        <x:v>51</x:v>
      </x:c>
      <x:c r="AE100" s="12" t="n">
        <x:f>ROUND(MAX(0,MIN(100,0.30*Y100+0.25*S100+0.15*Q100+0.15*T100+0.15*X100)),0)</x:f>
        <x:v>62</x:v>
      </x:c>
      <x:c r="AF100" s="12" t="n">
        <x:f>ROUND(MAX(0,MIN(100,0.65*X100+0.35*Y100)),0)</x:f>
        <x:v>59</x:v>
      </x:c>
      <x:c r="AG100" s="12" t="str">
        <x:v>https://wikiwiki.jp/poke-unite/%E3%82%AB%E3%83%93%E3%82%B4%E3%83%B3</x:v>
      </x:c>
      <x:c r="AH100" s="12" t="str">
        <x:v>「ヘビーボンバー」で相手の中に飛び込み、まとめて動きを止めて集団戦を始める戦い方です。操作はシンプルなので、味方の盾になりながら戦いのきっかけを作りたい人に向いています。</x:v>
      </x:c>
      <x:c r="AI100" s="12" t="str">
        <x:v>動きを止める・自分から仕掛ける・味方を守る</x:v>
      </x:c>
      <x:c r="AJ100" s="12" t="n">
        <x:v>0</x:v>
      </x:c>
    </x:row>
    <x:row r="101">
      <x:c r="A101" s="12" t="str">
        <x:v>カビゴン</x:v>
      </x:c>
      <x:c r="B101" s="12" t="str">
        <x:v>ディフェンス型</x:v>
      </x:c>
      <x:c r="C101" s="12" t="str">
        <x:v>カビゴン-2</x:v>
      </x:c>
      <x:c r="D101" s="12" t="str">
        <x:v>じたばた</x:v>
      </x:c>
      <x:c r="E101" s="12" t="str">
        <x:v>Juggernaut / Catcher</x:v>
      </x:c>
      <x:c r="F101" s="12" t="str">
        <x:v>Juggernaut</x:v>
      </x:c>
      <x:c r="G101" s="12" t="str">
        <x:v>Catcher</x:v>
      </x:c>
      <x:c r="H101" s="12" t="str">
        <x:v>立ち位置・戦闘距離・役割が大きく変わるため別プロファイル</x:v>
      </x:c>
      <x:c r="I101" s="12" t="str">
        <x:v>高</x:v>
      </x:c>
      <x:c r="J101" s="12" t="str">
        <x:v>2026-09-30</x:v>
      </x:c>
      <x:c r="K101" s="12" t="n">
        <x:v>70</x:v>
      </x:c>
      <x:c r="L101" s="12" t="n">
        <x:v>45</x:v>
      </x:c>
      <x:c r="M101" s="12" t="n">
        <x:v>35</x:v>
      </x:c>
      <x:c r="N101" s="12" t="n">
        <x:v>95</x:v>
      </x:c>
      <x:c r="O101" s="12" t="n">
        <x:v>35</x:v>
      </x:c>
      <x:c r="P101" s="12" t="n">
        <x:v>70</x:v>
      </x:c>
      <x:c r="Q101" s="12" t="n">
        <x:v>60</x:v>
      </x:c>
      <x:c r="R101" s="12" t="n">
        <x:v>5</x:v>
      </x:c>
      <x:c r="S101" s="12" t="n">
        <x:v>40</x:v>
      </x:c>
      <x:c r="T101" s="12" t="n">
        <x:v>70</x:v>
      </x:c>
      <x:c r="U101" s="12" t="n">
        <x:v>50</x:v>
      </x:c>
      <x:c r="V101" s="12" t="n">
        <x:v>55</x:v>
      </x:c>
      <x:c r="W101" s="12" t="n">
        <x:v>30</x:v>
      </x:c>
      <x:c r="X101" s="12" t="n">
        <x:v>60</x:v>
      </x:c>
      <x:c r="Y101" s="12" t="n">
        <x:v>75</x:v>
      </x:c>
      <x:c r="Z101" s="12" t="n">
        <x:f>ROUND(MAX(0,MIN(100,0.40*K101+0.20*L101+0.10*S101+0.15*V101+0.15*Y101)),0)</x:f>
        <x:v>61</x:v>
      </x:c>
      <x:c r="AA101" s="12" t="n">
        <x:f>ROUND(MAX(0,MIN(100,0.30*L101+0.20*K101+0.15*V101+0.15*W101+0.10*S101+0.10*(100-M101))),0)</x:f>
        <x:v>51</x:v>
      </x:c>
      <x:c r="AB101" s="12" t="n">
        <x:f>ROUND(MAX(0,MIN(100,0.30*M101+0.25*R101+0.20*Q101+0.15*K101+0.10*(100-T101))),0)</x:f>
        <x:v>37</x:v>
      </x:c>
      <x:c r="AC101" s="12" t="n">
        <x:f>ROUND(MAX(0,MIN(100,0.55*T101+0.15*S101+0.10*N101+0.10*V101+0.10*W101)),0)</x:f>
        <x:v>63</x:v>
      </x:c>
      <x:c r="AD101" s="12" t="n">
        <x:f>ROUND(MAX(0,MIN(100,0.25*O101+0.25*Q101+0.20*Y101+0.15*U101+0.15*(100-L101))),0)</x:f>
        <x:v>55</x:v>
      </x:c>
      <x:c r="AE101" s="12" t="n">
        <x:f>ROUND(MAX(0,MIN(100,0.30*Y101+0.25*S101+0.15*Q101+0.15*T101+0.15*X101)),0)</x:f>
        <x:v>61</x:v>
      </x:c>
      <x:c r="AF101" s="12" t="n">
        <x:f>ROUND(MAX(0,MIN(100,0.65*X101+0.35*Y101)),0)</x:f>
        <x:v>65</x:v>
      </x:c>
      <x:c r="AG101" s="12" t="str">
        <x:v>https://wikiwiki.jp/poke-unite/%E3%82%AB%E3%83%93%E3%82%B4%E3%83%B3</x:v>
      </x:c>
      <x:c r="AH101" s="12" t="str">
        <x:v>「じたばた」で相手に張り付き、耐久を活かして殴り合いを続ける戦い方です。起点作りより、自分で長く殴り合い続けたい人に向いています。</x:v>
      </x:c>
      <x:c r="AI101" s="12" t="str">
        <x:v>前線を支える・長く戦う・一人で仕事を作る</x:v>
      </x:c>
      <x:c r="AJ101" s="12" t="n">
        <x:v>0</x:v>
      </x:c>
    </x:row>
    <x:row r="102">
      <x:c r="A102" s="12" t="str">
        <x:v>カメックス</x:v>
      </x:c>
      <x:c r="B102" s="12" t="str">
        <x:v>ディフェンス型</x:v>
      </x:c>
      <x:c r="C102" s="12" t="str">
        <x:v>カメックス-1</x:v>
      </x:c>
      <x:c r="D102" s="12" t="str">
        <x:v>なみのり</x:v>
      </x:c>
      <x:c r="E102" s="12" t="str">
        <x:v>Warden / Vanguard</x:v>
      </x:c>
      <x:c r="F102" s="12" t="str">
        <x:v>Warden</x:v>
      </x:c>
      <x:c r="G102" s="12" t="str">
        <x:v>Vanguard</x:v>
      </x:c>
      <x:c r="H102" s="12" t="str">
        <x:v>立ち位置・戦闘距離・役割が大きく変わるため別プロファイル</x:v>
      </x:c>
      <x:c r="I102" s="12" t="str">
        <x:v>高</x:v>
      </x:c>
      <x:c r="J102" s="12" t="str">
        <x:v>2026-09-30</x:v>
      </x:c>
      <x:c r="K102" s="12" t="n">
        <x:v>75</x:v>
      </x:c>
      <x:c r="L102" s="12" t="n">
        <x:v>40</x:v>
      </x:c>
      <x:c r="M102" s="12" t="n">
        <x:v>100</x:v>
      </x:c>
      <x:c r="N102" s="12" t="n">
        <x:v>100</x:v>
      </x:c>
      <x:c r="O102" s="12" t="n">
        <x:v>10</x:v>
      </x:c>
      <x:c r="P102" s="12" t="n">
        <x:v>45</x:v>
      </x:c>
      <x:c r="Q102" s="12" t="n">
        <x:v>100</x:v>
      </x:c>
      <x:c r="R102" s="12" t="n">
        <x:v>40</x:v>
      </x:c>
      <x:c r="S102" s="12" t="n">
        <x:v>30</x:v>
      </x:c>
      <x:c r="T102" s="12" t="n">
        <x:v>45</x:v>
      </x:c>
      <x:c r="U102" s="12" t="n">
        <x:v>10</x:v>
      </x:c>
      <x:c r="V102" s="12" t="n">
        <x:v>30</x:v>
      </x:c>
      <x:c r="W102" s="12" t="n">
        <x:v>20</x:v>
      </x:c>
      <x:c r="X102" s="12" t="n">
        <x:v>50</x:v>
      </x:c>
      <x:c r="Y102" s="12" t="n">
        <x:v>85</x:v>
      </x:c>
      <x:c r="Z102" s="12" t="n">
        <x:f>ROUND(MAX(0,MIN(100,0.40*K102+0.20*L102+0.10*S102+0.15*V102+0.15*Y102)),0)</x:f>
        <x:v>58</x:v>
      </x:c>
      <x:c r="AA102" s="12" t="n">
        <x:f>ROUND(MAX(0,MIN(100,0.30*L102+0.20*K102+0.15*V102+0.15*W102+0.10*S102+0.10*(100-M102))),0)</x:f>
        <x:v>38</x:v>
      </x:c>
      <x:c r="AB102" s="12" t="n">
        <x:f>ROUND(MAX(0,MIN(100,0.30*M102+0.25*R102+0.20*Q102+0.15*K102+0.10*(100-T102))),0)</x:f>
        <x:v>77</x:v>
      </x:c>
      <x:c r="AC102" s="12" t="n">
        <x:f>ROUND(MAX(0,MIN(100,0.55*T102+0.15*S102+0.10*N102+0.10*V102+0.10*W102)),0)</x:f>
        <x:v>44</x:v>
      </x:c>
      <x:c r="AD102" s="12" t="n">
        <x:f>ROUND(MAX(0,MIN(100,0.25*O102+0.25*Q102+0.20*Y102+0.15*U102+0.15*(100-L102))),0)</x:f>
        <x:v>55</x:v>
      </x:c>
      <x:c r="AE102" s="12" t="n">
        <x:f>ROUND(MAX(0,MIN(100,0.30*Y102+0.25*S102+0.15*Q102+0.15*T102+0.15*X102)),0)</x:f>
        <x:v>62</x:v>
      </x:c>
      <x:c r="AF102" s="12" t="n">
        <x:f>ROUND(MAX(0,MIN(100,0.65*X102+0.35*Y102)),0)</x:f>
        <x:v>62</x:v>
      </x:c>
      <x:c r="AG102" s="12" t="str">
        <x:v>https://wikiwiki.jp/poke-unite/%E3%82%AB%E3%83%A1%E3%83%83%E3%82%AF%E3%82%B9</x:v>
      </x:c>
      <x:c r="AH102" s="12" t="str">
        <x:v>「なみのり」で相手を押し流し、味方に近づく敵を遠ざける戦い方です。最前線で味方の盾になり、戦う場所を守りたい人に向いています。</x:v>
      </x:c>
      <x:c r="AI102" s="12" t="str">
        <x:v>味方を守る・動きを止める・前線を支える</x:v>
      </x:c>
      <x:c r="AJ102" s="12" t="n">
        <x:v>0</x:v>
      </x:c>
    </x:row>
    <x:row r="103">
      <x:c r="A103" s="12" t="str">
        <x:v>カメックス</x:v>
      </x:c>
      <x:c r="B103" s="12" t="str">
        <x:v>ディフェンス型</x:v>
      </x:c>
      <x:c r="C103" s="12" t="str">
        <x:v>カメックス-2</x:v>
      </x:c>
      <x:c r="D103" s="12" t="str">
        <x:v>こうそくスピン</x:v>
      </x:c>
      <x:c r="E103" s="12" t="str">
        <x:v>Diver / Juggernaut</x:v>
      </x:c>
      <x:c r="F103" s="12" t="str">
        <x:v>Diver</x:v>
      </x:c>
      <x:c r="G103" s="12" t="str">
        <x:v>Juggernaut</x:v>
      </x:c>
      <x:c r="H103" s="12" t="str">
        <x:v>立ち位置・戦闘距離・役割が大きく変わるため別プロファイル</x:v>
      </x:c>
      <x:c r="I103" s="12" t="str">
        <x:v>高</x:v>
      </x:c>
      <x:c r="J103" s="12" t="str">
        <x:v>2026-09-30</x:v>
      </x:c>
      <x:c r="K103" s="12" t="n">
        <x:v>70</x:v>
      </x:c>
      <x:c r="L103" s="12" t="n">
        <x:v>75</x:v>
      </x:c>
      <x:c r="M103" s="12" t="n">
        <x:v>10</x:v>
      </x:c>
      <x:c r="N103" s="12" t="n">
        <x:v>85</x:v>
      </x:c>
      <x:c r="O103" s="12" t="n">
        <x:v>0</x:v>
      </x:c>
      <x:c r="P103" s="12" t="n">
        <x:v>65</x:v>
      </x:c>
      <x:c r="Q103" s="12" t="n">
        <x:v>45</x:v>
      </x:c>
      <x:c r="R103" s="12" t="n">
        <x:v>5</x:v>
      </x:c>
      <x:c r="S103" s="12" t="n">
        <x:v>65</x:v>
      </x:c>
      <x:c r="T103" s="12" t="n">
        <x:v>80</x:v>
      </x:c>
      <x:c r="U103" s="12" t="n">
        <x:v>50</x:v>
      </x:c>
      <x:c r="V103" s="12" t="n">
        <x:v>70</x:v>
      </x:c>
      <x:c r="W103" s="12" t="n">
        <x:v>40</x:v>
      </x:c>
      <x:c r="X103" s="12" t="n">
        <x:v>50</x:v>
      </x:c>
      <x:c r="Y103" s="12" t="n">
        <x:v>60</x:v>
      </x:c>
      <x:c r="Z103" s="12" t="n">
        <x:f>ROUND(MAX(0,MIN(100,0.40*K103+0.20*L103+0.10*S103+0.15*V103+0.15*Y103)),0)</x:f>
        <x:v>69</x:v>
      </x:c>
      <x:c r="AA103" s="12" t="n">
        <x:f>ROUND(MAX(0,MIN(100,0.30*L103+0.20*K103+0.15*V103+0.15*W103+0.10*S103+0.10*(100-M103))),0)</x:f>
        <x:v>69</x:v>
      </x:c>
      <x:c r="AB103" s="12" t="n">
        <x:f>ROUND(MAX(0,MIN(100,0.30*M103+0.25*R103+0.20*Q103+0.15*K103+0.10*(100-T103))),0)</x:f>
        <x:v>26</x:v>
      </x:c>
      <x:c r="AC103" s="12" t="n">
        <x:f>ROUND(MAX(0,MIN(100,0.55*T103+0.15*S103+0.10*N103+0.10*V103+0.10*W103)),0)</x:f>
        <x:v>73</x:v>
      </x:c>
      <x:c r="AD103" s="12" t="n">
        <x:f>ROUND(MAX(0,MIN(100,0.25*O103+0.25*Q103+0.20*Y103+0.15*U103+0.15*(100-L103))),0)</x:f>
        <x:v>35</x:v>
      </x:c>
      <x:c r="AE103" s="12" t="n">
        <x:f>ROUND(MAX(0,MIN(100,0.30*Y103+0.25*S103+0.15*Q103+0.15*T103+0.15*X103)),0)</x:f>
        <x:v>61</x:v>
      </x:c>
      <x:c r="AF103" s="12" t="n">
        <x:f>ROUND(MAX(0,MIN(100,0.65*X103+0.35*Y103)),0)</x:f>
        <x:v>54</x:v>
      </x:c>
      <x:c r="AG103" s="12" t="str">
        <x:v>https://wikiwiki.jp/poke-unite/%E3%82%AB%E3%83%A1%E3%83%83%E3%82%AF%E3%82%B9</x:v>
      </x:c>
      <x:c r="AH103" s="12" t="str">
        <x:v>「こうそくスピン」で回転しながら突っ込み、タンクでも自分でダメージを出す戦い方です。守りに徹するより、前線で暴れて相手を押し返したい人に向いています。</x:v>
      </x:c>
      <x:c r="AI103" s="12" t="str">
        <x:v>一人で仕事を作る・前線を支える・近距離で戦う</x:v>
      </x:c>
      <x:c r="AJ103" s="12" t="n">
        <x:v>0</x:v>
      </x:c>
    </x:row>
    <x:row r="104">
      <x:c r="A104" s="12" t="str">
        <x:v>シャワーズ</x:v>
      </x:c>
      <x:c r="B104" s="12" t="str">
        <x:v>ディフェンス型</x:v>
      </x:c>
      <x:c r="C104" s="12" t="str">
        <x:v>シャワーズ-1</x:v>
      </x:c>
      <x:c r="D104" s="12" t="str">
        <x:v>アクアリング</x:v>
      </x:c>
      <x:c r="E104" s="12" t="str">
        <x:v>Enchanter / Warden</x:v>
      </x:c>
      <x:c r="F104" s="12" t="str">
        <x:v>Enchanter</x:v>
      </x:c>
      <x:c r="G104" s="12" t="str">
        <x:v>Warden</x:v>
      </x:c>
      <x:c r="H104" s="12" t="str">
        <x:v>立ち位置・戦闘距離・役割が大きく変わるため別プロファイル</x:v>
      </x:c>
      <x:c r="I104" s="12" t="str">
        <x:v>高</x:v>
      </x:c>
      <x:c r="J104" s="12" t="str">
        <x:v>2026-09-30</x:v>
      </x:c>
      <x:c r="K104" s="12" t="n">
        <x:v>30</x:v>
      </x:c>
      <x:c r="L104" s="12" t="n">
        <x:v>0</x:v>
      </x:c>
      <x:c r="M104" s="12" t="n">
        <x:v>100</x:v>
      </x:c>
      <x:c r="N104" s="12" t="n">
        <x:v>65</x:v>
      </x:c>
      <x:c r="O104" s="12" t="n">
        <x:v>25</x:v>
      </x:c>
      <x:c r="P104" s="12" t="n">
        <x:v>55</x:v>
      </x:c>
      <x:c r="Q104" s="12" t="n">
        <x:v>75</x:v>
      </x:c>
      <x:c r="R104" s="12" t="n">
        <x:v>100</x:v>
      </x:c>
      <x:c r="S104" s="12" t="n">
        <x:v>15</x:v>
      </x:c>
      <x:c r="T104" s="12" t="n">
        <x:v>40</x:v>
      </x:c>
      <x:c r="U104" s="12" t="n">
        <x:v>10</x:v>
      </x:c>
      <x:c r="V104" s="12" t="n">
        <x:v>25</x:v>
      </x:c>
      <x:c r="W104" s="12" t="n">
        <x:v>15</x:v>
      </x:c>
      <x:c r="X104" s="12" t="n">
        <x:v>50</x:v>
      </x:c>
      <x:c r="Y104" s="12" t="n">
        <x:v>95</x:v>
      </x:c>
      <x:c r="Z104" s="12" t="n">
        <x:f>ROUND(MAX(0,MIN(100,0.40*K104+0.20*L104+0.10*S104+0.15*V104+0.15*Y104)),0)</x:f>
        <x:v>32</x:v>
      </x:c>
      <x:c r="AA104" s="12" t="n">
        <x:f>ROUND(MAX(0,MIN(100,0.30*L104+0.20*K104+0.15*V104+0.15*W104+0.10*S104+0.10*(100-M104))),0)</x:f>
        <x:v>14</x:v>
      </x:c>
      <x:c r="AB104" s="12" t="n">
        <x:f>ROUND(MAX(0,MIN(100,0.30*M104+0.25*R104+0.20*Q104+0.15*K104+0.10*(100-T104))),0)</x:f>
        <x:v>81</x:v>
      </x:c>
      <x:c r="AC104" s="12" t="n">
        <x:f>ROUND(MAX(0,MIN(100,0.55*T104+0.15*S104+0.10*N104+0.10*V104+0.10*W104)),0)</x:f>
        <x:v>35</x:v>
      </x:c>
      <x:c r="AD104" s="12" t="n">
        <x:f>ROUND(MAX(0,MIN(100,0.25*O104+0.25*Q104+0.20*Y104+0.15*U104+0.15*(100-L104))),0)</x:f>
        <x:v>61</x:v>
      </x:c>
      <x:c r="AE104" s="12" t="n">
        <x:f>ROUND(MAX(0,MIN(100,0.30*Y104+0.25*S104+0.15*Q104+0.15*T104+0.15*X104)),0)</x:f>
        <x:v>57</x:v>
      </x:c>
      <x:c r="AF104" s="12" t="n">
        <x:f>ROUND(MAX(0,MIN(100,0.65*X104+0.35*Y104)),0)</x:f>
        <x:v>66</x:v>
      </x:c>
      <x:c r="AG104" s="12" t="str">
        <x:v>https://wikiwiki.jp/poke-unite/%E3%82%B7%E3%83%A3%E3%83%AF%E3%83%BC%E3%82%BA</x:v>
      </x:c>
      <x:c r="AH104" s="12" t="str">
        <x:v>「アクアリング」で味方を回復しながら、前線の近くで支える戦い方です。ディフェンス型の打たれ強さを活かし、味方を守りながら戦線を支えたい人に向いています。</x:v>
      </x:c>
      <x:c r="AI104" s="12" t="str">
        <x:v>回復やシールドで支える・味方を守る・先を読んで動く</x:v>
      </x:c>
      <x:c r="AJ104" s="12" t="n">
        <x:v>0</x:v>
      </x:c>
    </x:row>
    <x:row r="105">
      <x:c r="A105" s="12" t="str">
        <x:v>シャワーズ</x:v>
      </x:c>
      <x:c r="B105" s="12" t="str">
        <x:v>ディフェンス型</x:v>
      </x:c>
      <x:c r="C105" s="12" t="str">
        <x:v>シャワーズ-2</x:v>
      </x:c>
      <x:c r="D105" s="12" t="str">
        <x:v>クイックターン</x:v>
      </x:c>
      <x:c r="E105" s="12" t="str">
        <x:v>Warden / Diver</x:v>
      </x:c>
      <x:c r="F105" s="12" t="str">
        <x:v>Warden</x:v>
      </x:c>
      <x:c r="G105" s="12" t="str">
        <x:v>Diver</x:v>
      </x:c>
      <x:c r="H105" s="12" t="str">
        <x:v>立ち位置・戦闘距離・役割が大きく変わるため別プロファイル</x:v>
      </x:c>
      <x:c r="I105" s="12" t="str">
        <x:v>高</x:v>
      </x:c>
      <x:c r="J105" s="12" t="str">
        <x:v>2026-09-30</x:v>
      </x:c>
      <x:c r="K105" s="12" t="n">
        <x:v>65</x:v>
      </x:c>
      <x:c r="L105" s="12" t="n">
        <x:v>45</x:v>
      </x:c>
      <x:c r="M105" s="12" t="n">
        <x:v>75</x:v>
      </x:c>
      <x:c r="N105" s="12" t="n">
        <x:v>85</x:v>
      </x:c>
      <x:c r="O105" s="12" t="n">
        <x:v>10</x:v>
      </x:c>
      <x:c r="P105" s="12" t="n">
        <x:v>45</x:v>
      </x:c>
      <x:c r="Q105" s="12" t="n">
        <x:v>90</x:v>
      </x:c>
      <x:c r="R105" s="12" t="n">
        <x:v>15</x:v>
      </x:c>
      <x:c r="S105" s="12" t="n">
        <x:v>55</x:v>
      </x:c>
      <x:c r="T105" s="12" t="n">
        <x:v>60</x:v>
      </x:c>
      <x:c r="U105" s="12" t="n">
        <x:v>30</x:v>
      </x:c>
      <x:c r="V105" s="12" t="n">
        <x:v>40</x:v>
      </x:c>
      <x:c r="W105" s="12" t="n">
        <x:v>30</x:v>
      </x:c>
      <x:c r="X105" s="12" t="n">
        <x:v>60</x:v>
      </x:c>
      <x:c r="Y105" s="12" t="n">
        <x:v>75</x:v>
      </x:c>
      <x:c r="Z105" s="12" t="n">
        <x:f>ROUND(MAX(0,MIN(100,0.40*K105+0.20*L105+0.10*S105+0.15*V105+0.15*Y105)),0)</x:f>
        <x:v>58</x:v>
      </x:c>
      <x:c r="AA105" s="12" t="n">
        <x:f>ROUND(MAX(0,MIN(100,0.30*L105+0.20*K105+0.15*V105+0.15*W105+0.10*S105+0.10*(100-M105))),0)</x:f>
        <x:v>45</x:v>
      </x:c>
      <x:c r="AB105" s="12" t="n">
        <x:f>ROUND(MAX(0,MIN(100,0.30*M105+0.25*R105+0.20*Q105+0.15*K105+0.10*(100-T105))),0)</x:f>
        <x:v>58</x:v>
      </x:c>
      <x:c r="AC105" s="12" t="n">
        <x:f>ROUND(MAX(0,MIN(100,0.55*T105+0.15*S105+0.10*N105+0.10*V105+0.10*W105)),0)</x:f>
        <x:v>57</x:v>
      </x:c>
      <x:c r="AD105" s="12" t="n">
        <x:f>ROUND(MAX(0,MIN(100,0.25*O105+0.25*Q105+0.20*Y105+0.15*U105+0.15*(100-L105))),0)</x:f>
        <x:v>53</x:v>
      </x:c>
      <x:c r="AE105" s="12" t="n">
        <x:f>ROUND(MAX(0,MIN(100,0.30*Y105+0.25*S105+0.15*Q105+0.15*T105+0.15*X105)),0)</x:f>
        <x:v>68</x:v>
      </x:c>
      <x:c r="AF105" s="12" t="n">
        <x:f>ROUND(MAX(0,MIN(100,0.65*X105+0.35*Y105)),0)</x:f>
        <x:v>65</x:v>
      </x:c>
      <x:c r="AG105" s="12" t="str">
        <x:v>https://wikiwiki.jp/poke-unite/%E3%82%B7%E3%83%A3%E3%83%AF%E3%83%BC%E3%82%BA</x:v>
      </x:c>
      <x:c r="AH105" s="12" t="str">
        <x:v>「クイックターン」で素早く出入りしながら、相手の動きを止める戦い方です。前線で動き回り、相手の攻めを乱したい人に向いています。</x:v>
      </x:c>
      <x:c r="AI105" s="12" t="str">
        <x:v>動きを止める・味方を守る・前線を支える</x:v>
      </x:c>
      <x:c r="AJ105" s="12" t="n">
        <x:v>0</x:v>
      </x:c>
    </x:row>
    <x:row r="106">
      <x:c r="A106" s="12" t="str">
        <x:v>ヌメルゴン</x:v>
      </x:c>
      <x:c r="B106" s="12" t="str">
        <x:v>ディフェンス型</x:v>
      </x:c>
      <x:c r="C106" s="12" t="str">
        <x:v>ヌメルゴン-1</x:v>
      </x:c>
      <x:c r="D106" s="12" t="str">
        <x:v>共通</x:v>
      </x:c>
      <x:c r="E106" s="12" t="str">
        <x:v>Juggernaut</x:v>
      </x:c>
      <x:c r="F106" s="12" t="str">
        <x:v>Juggernaut</x:v>
      </x:c>
      <x:c r="G106" s="12"/>
      <x:c r="H106" s="12" t="str">
        <x:v>技で細部は変わるが、診断上のプレイ人格は大きく変わらないため統合</x:v>
      </x:c>
      <x:c r="I106" s="12" t="str">
        <x:v>高</x:v>
      </x:c>
      <x:c r="J106" s="12" t="str">
        <x:v>2026-09-30</x:v>
      </x:c>
      <x:c r="K106" s="12" t="n">
        <x:v>55</x:v>
      </x:c>
      <x:c r="L106" s="12" t="n">
        <x:v>45</x:v>
      </x:c>
      <x:c r="M106" s="12" t="n">
        <x:v>45</x:v>
      </x:c>
      <x:c r="N106" s="12" t="n">
        <x:v>100</x:v>
      </x:c>
      <x:c r="O106" s="12" t="n">
        <x:v>10</x:v>
      </x:c>
      <x:c r="P106" s="12" t="n">
        <x:v>90</x:v>
      </x:c>
      <x:c r="Q106" s="12" t="n">
        <x:v>20</x:v>
      </x:c>
      <x:c r="R106" s="12" t="n">
        <x:v>5</x:v>
      </x:c>
      <x:c r="S106" s="12" t="n">
        <x:v>20</x:v>
      </x:c>
      <x:c r="T106" s="12" t="n">
        <x:v>85</x:v>
      </x:c>
      <x:c r="U106" s="12" t="n">
        <x:v>70</x:v>
      </x:c>
      <x:c r="V106" s="12" t="n">
        <x:v>75</x:v>
      </x:c>
      <x:c r="W106" s="12" t="n">
        <x:v>30</x:v>
      </x:c>
      <x:c r="X106" s="12" t="n">
        <x:v>50</x:v>
      </x:c>
      <x:c r="Y106" s="12" t="n">
        <x:v>50</x:v>
      </x:c>
      <x:c r="Z106" s="12" t="n">
        <x:f>ROUND(MAX(0,MIN(100,0.40*K106+0.20*L106+0.10*S106+0.15*V106+0.15*Y106)),0)</x:f>
        <x:v>52</x:v>
      </x:c>
      <x:c r="AA106" s="12" t="n">
        <x:f>ROUND(MAX(0,MIN(100,0.30*L106+0.20*K106+0.15*V106+0.15*W106+0.10*S106+0.10*(100-M106))),0)</x:f>
        <x:v>48</x:v>
      </x:c>
      <x:c r="AB106" s="12" t="n">
        <x:f>ROUND(MAX(0,MIN(100,0.30*M106+0.25*R106+0.20*Q106+0.15*K106+0.10*(100-T106))),0)</x:f>
        <x:v>29</x:v>
      </x:c>
      <x:c r="AC106" s="12" t="n">
        <x:f>ROUND(MAX(0,MIN(100,0.55*T106+0.15*S106+0.10*N106+0.10*V106+0.10*W106)),0)</x:f>
        <x:v>70</x:v>
      </x:c>
      <x:c r="AD106" s="12" t="n">
        <x:f>ROUND(MAX(0,MIN(100,0.25*O106+0.25*Q106+0.20*Y106+0.15*U106+0.15*(100-L106))),0)</x:f>
        <x:v>36</x:v>
      </x:c>
      <x:c r="AE106" s="12" t="n">
        <x:f>ROUND(MAX(0,MIN(100,0.30*Y106+0.25*S106+0.15*Q106+0.15*T106+0.15*X106)),0)</x:f>
        <x:v>43</x:v>
      </x:c>
      <x:c r="AF106" s="12" t="n">
        <x:f>ROUND(MAX(0,MIN(100,0.65*X106+0.35*Y106)),0)</x:f>
        <x:v>50</x:v>
      </x:c>
      <x:c r="AG106" s="12" t="str">
        <x:v>https://wikiwiki.jp/poke-unite/%E3%83%8C%E3%83%A1%E3%83%AB%E3%82%B4%E3%83%B3</x:v>
      </x:c>
      <x:c r="AH106" s="12" t="str">
        <x:v>ぬめぬめの体で攻撃を受け止め、長い殴り合いで相手を根負けさせるディフェンス型のポケモンです。妨害より耐久と継続火力で、一人でも前線を張りたい人に向いています。</x:v>
      </x:c>
      <x:c r="AI106" s="12" t="str">
        <x:v>一人で仕事を作る・長く戦う・前線を支える</x:v>
      </x:c>
      <x:c r="AJ106" s="12" t="n">
        <x:v>0</x:v>
      </x:c>
    </x:row>
    <x:row r="107">
      <x:c r="A107" s="12" t="str">
        <x:v>フリーザー</x:v>
      </x:c>
      <x:c r="B107" s="12" t="str">
        <x:v>ディフェンス型</x:v>
      </x:c>
      <x:c r="C107" s="12" t="str">
        <x:v>フリーザー-1</x:v>
      </x:c>
      <x:c r="D107" s="12" t="str">
        <x:v>共通</x:v>
      </x:c>
      <x:c r="E107" s="12" t="str">
        <x:v>Warden</x:v>
      </x:c>
      <x:c r="F107" s="12" t="str">
        <x:v>Warden</x:v>
      </x:c>
      <x:c r="G107" s="12"/>
      <x:c r="H107" s="12" t="str">
        <x:v>技で細部は変わるが、診断上のプレイ人格は大きく変わらないため統合</x:v>
      </x:c>
      <x:c r="I107" s="12" t="str">
        <x:v>中</x:v>
      </x:c>
      <x:c r="J107" s="12" t="str">
        <x:v>2026-09-30</x:v>
      </x:c>
      <x:c r="K107" s="12" t="n">
        <x:v>35</x:v>
      </x:c>
      <x:c r="L107" s="12" t="n">
        <x:v>0</x:v>
      </x:c>
      <x:c r="M107" s="12" t="n">
        <x:v>100</x:v>
      </x:c>
      <x:c r="N107" s="12" t="n">
        <x:v>100</x:v>
      </x:c>
      <x:c r="O107" s="12" t="n">
        <x:v>30</x:v>
      </x:c>
      <x:c r="P107" s="12" t="n">
        <x:v>60</x:v>
      </x:c>
      <x:c r="Q107" s="12" t="n">
        <x:v>100</x:v>
      </x:c>
      <x:c r="R107" s="12" t="n">
        <x:v>50</x:v>
      </x:c>
      <x:c r="S107" s="12" t="n">
        <x:v>10</x:v>
      </x:c>
      <x:c r="T107" s="12" t="n">
        <x:v>45</x:v>
      </x:c>
      <x:c r="U107" s="12" t="n">
        <x:v>10</x:v>
      </x:c>
      <x:c r="V107" s="12" t="n">
        <x:v>30</x:v>
      </x:c>
      <x:c r="W107" s="12" t="n">
        <x:v>10</x:v>
      </x:c>
      <x:c r="X107" s="12" t="n">
        <x:v>50</x:v>
      </x:c>
      <x:c r="Y107" s="12" t="n">
        <x:v>85</x:v>
      </x:c>
      <x:c r="Z107" s="12" t="n">
        <x:f>ROUND(MAX(0,MIN(100,0.40*K107+0.20*L107+0.10*S107+0.15*V107+0.15*Y107)),0)</x:f>
        <x:v>32</x:v>
      </x:c>
      <x:c r="AA107" s="12" t="n">
        <x:f>ROUND(MAX(0,MIN(100,0.30*L107+0.20*K107+0.15*V107+0.15*W107+0.10*S107+0.10*(100-M107))),0)</x:f>
        <x:v>14</x:v>
      </x:c>
      <x:c r="AB107" s="12" t="n">
        <x:f>ROUND(MAX(0,MIN(100,0.30*M107+0.25*R107+0.20*Q107+0.15*K107+0.10*(100-T107))),0)</x:f>
        <x:v>73</x:v>
      </x:c>
      <x:c r="AC107" s="12" t="n">
        <x:f>ROUND(MAX(0,MIN(100,0.55*T107+0.15*S107+0.10*N107+0.10*V107+0.10*W107)),0)</x:f>
        <x:v>40</x:v>
      </x:c>
      <x:c r="AD107" s="12" t="n">
        <x:f>ROUND(MAX(0,MIN(100,0.25*O107+0.25*Q107+0.20*Y107+0.15*U107+0.15*(100-L107))),0)</x:f>
        <x:v>66</x:v>
      </x:c>
      <x:c r="AE107" s="12" t="n">
        <x:f>ROUND(MAX(0,MIN(100,0.30*Y107+0.25*S107+0.15*Q107+0.15*T107+0.15*X107)),0)</x:f>
        <x:v>57</x:v>
      </x:c>
      <x:c r="AF107" s="12" t="n">
        <x:f>ROUND(MAX(0,MIN(100,0.65*X107+0.35*Y107)),0)</x:f>
        <x:v>62</x:v>
      </x:c>
      <x:c r="AG107" s="12" t="str">
        <x:v>https://wikiwiki.jp/poke-unite/%E3%83%95%E3%83%AA%E3%83%BC%E3%82%B6%E3%83%BC</x:v>
      </x:c>
      <x:c r="AH107" s="12" t="str">
        <x:v>わざで相手を減速・こおり状態にし、ユナイトわざで味方ゴールを凍らせて守る伝説のディフェンス型のポケモンです。自分から突っ込むより、相手の侵入を止めて守り抜きたい人に向いています。</x:v>
      </x:c>
      <x:c r="AI107" s="12" t="str">
        <x:v>味方を守る・動きを止める・前線を支える</x:v>
      </x:c>
      <x:c r="AJ107" s="12" t="n">
        <x:v>0</x:v>
      </x:c>
    </x:row>
    <x:row r="108">
      <x:c r="A108" s="12" t="str">
        <x:v>ブラッキー</x:v>
      </x:c>
      <x:c r="B108" s="12" t="str">
        <x:v>ディフェンス型</x:v>
      </x:c>
      <x:c r="C108" s="12" t="str">
        <x:v>ブラッキー-1</x:v>
      </x:c>
      <x:c r="D108" s="12" t="str">
        <x:v>ねがいごと</x:v>
      </x:c>
      <x:c r="E108" s="12" t="str">
        <x:v>Enchanter / Warden</x:v>
      </x:c>
      <x:c r="F108" s="12" t="str">
        <x:v>Enchanter</x:v>
      </x:c>
      <x:c r="G108" s="12" t="str">
        <x:v>Warden</x:v>
      </x:c>
      <x:c r="H108" s="12" t="str">
        <x:v>立ち位置・戦闘距離・役割が大きく変わるため別プロファイル</x:v>
      </x:c>
      <x:c r="I108" s="12" t="str">
        <x:v>高</x:v>
      </x:c>
      <x:c r="J108" s="12" t="str">
        <x:v>2026-09-30</x:v>
      </x:c>
      <x:c r="K108" s="12" t="n">
        <x:v>20</x:v>
      </x:c>
      <x:c r="L108" s="12" t="n">
        <x:v>0</x:v>
      </x:c>
      <x:c r="M108" s="12" t="n">
        <x:v>100</x:v>
      </x:c>
      <x:c r="N108" s="12" t="n">
        <x:v>60</x:v>
      </x:c>
      <x:c r="O108" s="12" t="n">
        <x:v>25</x:v>
      </x:c>
      <x:c r="P108" s="12" t="n">
        <x:v>55</x:v>
      </x:c>
      <x:c r="Q108" s="12" t="n">
        <x:v>80</x:v>
      </x:c>
      <x:c r="R108" s="12" t="n">
        <x:v>95</x:v>
      </x:c>
      <x:c r="S108" s="12" t="n">
        <x:v>20</x:v>
      </x:c>
      <x:c r="T108" s="12" t="n">
        <x:v>40</x:v>
      </x:c>
      <x:c r="U108" s="12" t="n">
        <x:v>10</x:v>
      </x:c>
      <x:c r="V108" s="12" t="n">
        <x:v>25</x:v>
      </x:c>
      <x:c r="W108" s="12" t="n">
        <x:v>15</x:v>
      </x:c>
      <x:c r="X108" s="12" t="n">
        <x:v>50</x:v>
      </x:c>
      <x:c r="Y108" s="12" t="n">
        <x:v>95</x:v>
      </x:c>
      <x:c r="Z108" s="12" t="n">
        <x:f>ROUND(MAX(0,MIN(100,0.40*K108+0.20*L108+0.10*S108+0.15*V108+0.15*Y108)),0)</x:f>
        <x:v>28</x:v>
      </x:c>
      <x:c r="AA108" s="12" t="n">
        <x:f>ROUND(MAX(0,MIN(100,0.30*L108+0.20*K108+0.15*V108+0.15*W108+0.10*S108+0.10*(100-M108))),0)</x:f>
        <x:v>12</x:v>
      </x:c>
      <x:c r="AB108" s="12" t="n">
        <x:f>ROUND(MAX(0,MIN(100,0.30*M108+0.25*R108+0.20*Q108+0.15*K108+0.10*(100-T108))),0)</x:f>
        <x:v>79</x:v>
      </x:c>
      <x:c r="AC108" s="12" t="n">
        <x:f>ROUND(MAX(0,MIN(100,0.55*T108+0.15*S108+0.10*N108+0.10*V108+0.10*W108)),0)</x:f>
        <x:v>35</x:v>
      </x:c>
      <x:c r="AD108" s="12" t="n">
        <x:f>ROUND(MAX(0,MIN(100,0.25*O108+0.25*Q108+0.20*Y108+0.15*U108+0.15*(100-L108))),0)</x:f>
        <x:v>62</x:v>
      </x:c>
      <x:c r="AE108" s="12" t="n">
        <x:f>ROUND(MAX(0,MIN(100,0.30*Y108+0.25*S108+0.15*Q108+0.15*T108+0.15*X108)),0)</x:f>
        <x:v>59</x:v>
      </x:c>
      <x:c r="AF108" s="12" t="n">
        <x:f>ROUND(MAX(0,MIN(100,0.65*X108+0.35*Y108)),0)</x:f>
        <x:v>66</x:v>
      </x:c>
      <x:c r="AG108" s="12" t="str">
        <x:v>https://wikiwiki.jp/poke-unite/%E3%83%96%E3%83%A9%E3%83%83%E3%82%AD%E3%83%BC</x:v>
      </x:c>
      <x:c r="AH108" s="12" t="str">
        <x:v>「ねがいごと」で味方を回復しながら、前に立って守る戦い方です。相手を倒すより、味方が倒れない状況を作りたい人に向いています。</x:v>
      </x:c>
      <x:c r="AI108" s="12" t="str">
        <x:v>回復やシールドで支える・味方を守る・先を読んで動く</x:v>
      </x:c>
      <x:c r="AJ108" s="12" t="n">
        <x:v>0</x:v>
      </x:c>
    </x:row>
    <x:row r="109">
      <x:c r="A109" s="12" t="str">
        <x:v>ブラッキー</x:v>
      </x:c>
      <x:c r="B109" s="12" t="str">
        <x:v>ディフェンス型</x:v>
      </x:c>
      <x:c r="C109" s="12" t="str">
        <x:v>ブラッキー-2</x:v>
      </x:c>
      <x:c r="D109" s="12" t="str">
        <x:v>イカサマ</x:v>
      </x:c>
      <x:c r="E109" s="12" t="str">
        <x:v>Vanguard / Warden</x:v>
      </x:c>
      <x:c r="F109" s="12" t="str">
        <x:v>Vanguard</x:v>
      </x:c>
      <x:c r="G109" s="12" t="str">
        <x:v>Warden</x:v>
      </x:c>
      <x:c r="H109" s="12" t="str">
        <x:v>立ち位置・戦闘距離・役割が大きく変わるため別プロファイル</x:v>
      </x:c>
      <x:c r="I109" s="12" t="str">
        <x:v>高</x:v>
      </x:c>
      <x:c r="J109" s="12" t="str">
        <x:v>2026-09-30</x:v>
      </x:c>
      <x:c r="K109" s="12" t="n">
        <x:v>100</x:v>
      </x:c>
      <x:c r="L109" s="12" t="n">
        <x:v>45</x:v>
      </x:c>
      <x:c r="M109" s="12" t="n">
        <x:v>80</x:v>
      </x:c>
      <x:c r="N109" s="12" t="n">
        <x:v>100</x:v>
      </x:c>
      <x:c r="O109" s="12" t="n">
        <x:v>0</x:v>
      </x:c>
      <x:c r="P109" s="12" t="n">
        <x:v>55</x:v>
      </x:c>
      <x:c r="Q109" s="12" t="n">
        <x:v>100</x:v>
      </x:c>
      <x:c r="R109" s="12" t="n">
        <x:v>10</x:v>
      </x:c>
      <x:c r="S109" s="12" t="n">
        <x:v>35</x:v>
      </x:c>
      <x:c r="T109" s="12" t="n">
        <x:v>50</x:v>
      </x:c>
      <x:c r="U109" s="12" t="n">
        <x:v>15</x:v>
      </x:c>
      <x:c r="V109" s="12" t="n">
        <x:v>30</x:v>
      </x:c>
      <x:c r="W109" s="12" t="n">
        <x:v>10</x:v>
      </x:c>
      <x:c r="X109" s="12" t="n">
        <x:v>55</x:v>
      </x:c>
      <x:c r="Y109" s="12" t="n">
        <x:v>85</x:v>
      </x:c>
      <x:c r="Z109" s="12" t="n">
        <x:f>ROUND(MAX(0,MIN(100,0.40*K109+0.20*L109+0.10*S109+0.15*V109+0.15*Y109)),0)</x:f>
        <x:v>70</x:v>
      </x:c>
      <x:c r="AA109" s="12" t="n">
        <x:f>ROUND(MAX(0,MIN(100,0.30*L109+0.20*K109+0.15*V109+0.15*W109+0.10*S109+0.10*(100-M109))),0)</x:f>
        <x:v>45</x:v>
      </x:c>
      <x:c r="AB109" s="12" t="n">
        <x:f>ROUND(MAX(0,MIN(100,0.30*M109+0.25*R109+0.20*Q109+0.15*K109+0.10*(100-T109))),0)</x:f>
        <x:v>67</x:v>
      </x:c>
      <x:c r="AC109" s="12" t="n">
        <x:f>ROUND(MAX(0,MIN(100,0.55*T109+0.15*S109+0.10*N109+0.10*V109+0.10*W109)),0)</x:f>
        <x:v>47</x:v>
      </x:c>
      <x:c r="AD109" s="12" t="n">
        <x:f>ROUND(MAX(0,MIN(100,0.25*O109+0.25*Q109+0.20*Y109+0.15*U109+0.15*(100-L109))),0)</x:f>
        <x:v>53</x:v>
      </x:c>
      <x:c r="AE109" s="12" t="n">
        <x:f>ROUND(MAX(0,MIN(100,0.30*Y109+0.25*S109+0.15*Q109+0.15*T109+0.15*X109)),0)</x:f>
        <x:v>65</x:v>
      </x:c>
      <x:c r="AF109" s="12" t="n">
        <x:f>ROUND(MAX(0,MIN(100,0.65*X109+0.35*Y109)),0)</x:f>
        <x:v>66</x:v>
      </x:c>
      <x:c r="AG109" s="12" t="str">
        <x:v>https://wikiwiki.jp/poke-unite/%E3%83%96%E3%83%A9%E3%83%83%E3%82%AD%E3%83%BC</x:v>
      </x:c>
      <x:c r="AH109" s="12" t="str">
        <x:v>「イカサマ」で相手に飛び込んで動きを止め、集団戦の起点を作る戦い方です。先頭に立って仕掛け、味方が攻める時間を作りたい人に向いています。</x:v>
      </x:c>
      <x:c r="AI109" s="12" t="str">
        <x:v>自分から仕掛ける・動きを止める・味方を守る</x:v>
      </x:c>
      <x:c r="AJ109" s="12" t="n">
        <x:v>0</x:v>
      </x:c>
    </x:row>
    <x:row r="110">
      <x:c r="A110" s="12" t="str">
        <x:v>ホウオウ</x:v>
      </x:c>
      <x:c r="B110" s="12" t="str">
        <x:v>ディフェンス型</x:v>
      </x:c>
      <x:c r="C110" s="12" t="str">
        <x:v>ホウオウ-1</x:v>
      </x:c>
      <x:c r="D110" s="12" t="str">
        <x:v>かえんほうしゃ</x:v>
      </x:c>
      <x:c r="E110" s="12" t="str">
        <x:v>Juggernaut / Enchanter</x:v>
      </x:c>
      <x:c r="F110" s="12" t="str">
        <x:v>Juggernaut</x:v>
      </x:c>
      <x:c r="G110" s="12" t="str">
        <x:v>Enchanter</x:v>
      </x:c>
      <x:c r="H110" s="12" t="str">
        <x:v>立ち位置・戦闘距離・役割が大きく変わるため別プロファイル</x:v>
      </x:c>
      <x:c r="I110" s="12" t="str">
        <x:v>高</x:v>
      </x:c>
      <x:c r="J110" s="12" t="str">
        <x:v>2026-09-30</x:v>
      </x:c>
      <x:c r="K110" s="12" t="n">
        <x:v>25</x:v>
      </x:c>
      <x:c r="L110" s="12" t="n">
        <x:v>10</x:v>
      </x:c>
      <x:c r="M110" s="12" t="n">
        <x:v>60</x:v>
      </x:c>
      <x:c r="N110" s="12" t="n">
        <x:v>80</x:v>
      </x:c>
      <x:c r="O110" s="12" t="n">
        <x:v>45</x:v>
      </x:c>
      <x:c r="P110" s="12" t="n">
        <x:v>95</x:v>
      </x:c>
      <x:c r="Q110" s="12" t="n">
        <x:v>50</x:v>
      </x:c>
      <x:c r="R110" s="12" t="n">
        <x:v>55</x:v>
      </x:c>
      <x:c r="S110" s="12" t="n">
        <x:v>50</x:v>
      </x:c>
      <x:c r="T110" s="12" t="n">
        <x:v>40</x:v>
      </x:c>
      <x:c r="U110" s="12" t="n">
        <x:v>5</x:v>
      </x:c>
      <x:c r="V110" s="12" t="n">
        <x:v>15</x:v>
      </x:c>
      <x:c r="W110" s="12" t="n">
        <x:v>10</x:v>
      </x:c>
      <x:c r="X110" s="12" t="n">
        <x:v>30</x:v>
      </x:c>
      <x:c r="Y110" s="12" t="n">
        <x:v>75</x:v>
      </x:c>
      <x:c r="Z110" s="12" t="n">
        <x:f>ROUND(MAX(0,MIN(100,0.40*K110+0.20*L110+0.10*S110+0.15*V110+0.15*Y110)),0)</x:f>
        <x:v>31</x:v>
      </x:c>
      <x:c r="AA110" s="12" t="n">
        <x:f>ROUND(MAX(0,MIN(100,0.30*L110+0.20*K110+0.15*V110+0.15*W110+0.10*S110+0.10*(100-M110))),0)</x:f>
        <x:v>21</x:v>
      </x:c>
      <x:c r="AB110" s="12" t="n">
        <x:f>ROUND(MAX(0,MIN(100,0.30*M110+0.25*R110+0.20*Q110+0.15*K110+0.10*(100-T110))),0)</x:f>
        <x:v>52</x:v>
      </x:c>
      <x:c r="AC110" s="12" t="n">
        <x:f>ROUND(MAX(0,MIN(100,0.55*T110+0.15*S110+0.10*N110+0.10*V110+0.10*W110)),0)</x:f>
        <x:v>40</x:v>
      </x:c>
      <x:c r="AD110" s="12" t="n">
        <x:f>ROUND(MAX(0,MIN(100,0.25*O110+0.25*Q110+0.20*Y110+0.15*U110+0.15*(100-L110))),0)</x:f>
        <x:v>53</x:v>
      </x:c>
      <x:c r="AE110" s="12" t="n">
        <x:f>ROUND(MAX(0,MIN(100,0.30*Y110+0.25*S110+0.15*Q110+0.15*T110+0.15*X110)),0)</x:f>
        <x:v>53</x:v>
      </x:c>
      <x:c r="AF110" s="12" t="n">
        <x:f>ROUND(MAX(0,MIN(100,0.65*X110+0.35*Y110)),0)</x:f>
        <x:v>46</x:v>
      </x:c>
      <x:c r="AG110" s="12" t="str">
        <x:v>https://wikiwiki.jp/poke-unite/%E3%83%9B%E3%82%A6%E3%82%AA%E3%82%A6</x:v>
      </x:c>
      <x:c r="AH110" s="12" t="str">
        <x:v>「かえんほうしゃ」で回復しながら前線の相手を焼き続け、ユナイトわざで味方を復活させる戦い方です。前に立って粘り強く戦い、最後に味方ごと立て直したい人に向いています。</x:v>
      </x:c>
      <x:c r="AI110" s="12" t="str">
        <x:v>長く戦う・前線を支える・序盤から強い</x:v>
      </x:c>
      <x:c r="AJ110" s="12" t="n">
        <x:v>-0.5</x:v>
      </x:c>
    </x:row>
    <x:row r="111">
      <x:c r="A111" s="12" t="str">
        <x:v>ホウオウ</x:v>
      </x:c>
      <x:c r="B111" s="12" t="str">
        <x:v>ディフェンス型</x:v>
      </x:c>
      <x:c r="C111" s="12" t="str">
        <x:v>ホウオウ-2</x:v>
      </x:c>
      <x:c r="D111" s="12" t="str">
        <x:v>ゴッドバード</x:v>
      </x:c>
      <x:c r="E111" s="12" t="str">
        <x:v>Vanguard / Specialist</x:v>
      </x:c>
      <x:c r="F111" s="12" t="str">
        <x:v>Vanguard</x:v>
      </x:c>
      <x:c r="G111" s="12" t="str">
        <x:v>Specialist</x:v>
      </x:c>
      <x:c r="H111" s="12" t="str">
        <x:v>立ち位置・戦闘距離・役割が大きく変わるため別プロファイル</x:v>
      </x:c>
      <x:c r="I111" s="12" t="str">
        <x:v>高</x:v>
      </x:c>
      <x:c r="J111" s="12" t="str">
        <x:v>2026-09-30</x:v>
      </x:c>
      <x:c r="K111" s="12" t="n">
        <x:v>60</x:v>
      </x:c>
      <x:c r="L111" s="12" t="n">
        <x:v>70</x:v>
      </x:c>
      <x:c r="M111" s="12" t="n">
        <x:v>35</x:v>
      </x:c>
      <x:c r="N111" s="12" t="n">
        <x:v>35</x:v>
      </x:c>
      <x:c r="O111" s="12" t="n">
        <x:v>45</x:v>
      </x:c>
      <x:c r="P111" s="12" t="n">
        <x:v>55</x:v>
      </x:c>
      <x:c r="Q111" s="12" t="n">
        <x:v>50</x:v>
      </x:c>
      <x:c r="R111" s="12" t="n">
        <x:v>60</x:v>
      </x:c>
      <x:c r="S111" s="12" t="n">
        <x:v>90</x:v>
      </x:c>
      <x:c r="T111" s="12" t="n">
        <x:v>50</x:v>
      </x:c>
      <x:c r="U111" s="12" t="n">
        <x:v>15</x:v>
      </x:c>
      <x:c r="V111" s="12" t="n">
        <x:v>20</x:v>
      </x:c>
      <x:c r="W111" s="12" t="n">
        <x:v>50</x:v>
      </x:c>
      <x:c r="X111" s="12" t="n">
        <x:v>55</x:v>
      </x:c>
      <x:c r="Y111" s="12" t="n">
        <x:v>85</x:v>
      </x:c>
      <x:c r="Z111" s="12" t="n">
        <x:f>ROUND(MAX(0,MIN(100,0.40*K111+0.20*L111+0.10*S111+0.15*V111+0.15*Y111)),0)</x:f>
        <x:v>63</x:v>
      </x:c>
      <x:c r="AA111" s="12" t="n">
        <x:f>ROUND(MAX(0,MIN(100,0.30*L111+0.20*K111+0.15*V111+0.15*W111+0.10*S111+0.10*(100-M111))),0)</x:f>
        <x:v>59</x:v>
      </x:c>
      <x:c r="AB111" s="12" t="n">
        <x:f>ROUND(MAX(0,MIN(100,0.30*M111+0.25*R111+0.20*Q111+0.15*K111+0.10*(100-T111))),0)</x:f>
        <x:v>50</x:v>
      </x:c>
      <x:c r="AC111" s="12" t="n">
        <x:f>ROUND(MAX(0,MIN(100,0.55*T111+0.15*S111+0.10*N111+0.10*V111+0.10*W111)),0)</x:f>
        <x:v>52</x:v>
      </x:c>
      <x:c r="AD111" s="12" t="n">
        <x:f>ROUND(MAX(0,MIN(100,0.25*O111+0.25*Q111+0.20*Y111+0.15*U111+0.15*(100-L111))),0)</x:f>
        <x:v>48</x:v>
      </x:c>
      <x:c r="AE111" s="12" t="n">
        <x:f>ROUND(MAX(0,MIN(100,0.30*Y111+0.25*S111+0.15*Q111+0.15*T111+0.15*X111)),0)</x:f>
        <x:v>71</x:v>
      </x:c>
      <x:c r="AF111" s="12" t="n">
        <x:f>ROUND(MAX(0,MIN(100,0.65*X111+0.35*Y111)),0)</x:f>
        <x:v>66</x:v>
      </x:c>
      <x:c r="AG111" s="12" t="str">
        <x:v>https://wikiwiki.jp/poke-unite/%E3%83%9B%E3%82%A6%E3%82%AA%E3%82%A6</x:v>
      </x:c>
      <x:c r="AH111" s="12" t="str">
        <x:v>「ゴッドバード」で戦場を往復し、通った場所を減速させて味方の追撃や逃走を助ける戦い方です。マップを飛び回って視界やちょっかいで相手を揺さぶり、味方のピンチにも駆けつけたい人に向いています。</x:v>
      </x:c>
      <x:c r="AI111" s="12" t="str">
        <x:v>マップを駆け回る・序盤から強い・先を読んで動く</x:v>
      </x:c>
      <x:c r="AJ111" s="12" t="n">
        <x:v>-0.5</x:v>
      </x:c>
    </x:row>
    <x:row r="112">
      <x:c r="A112" s="12" t="str">
        <x:v>マンムー</x:v>
      </x:c>
      <x:c r="B112" s="12" t="str">
        <x:v>ディフェンス型</x:v>
      </x:c>
      <x:c r="C112" s="12" t="str">
        <x:v>マンムー-1</x:v>
      </x:c>
      <x:c r="D112" s="12" t="str">
        <x:v>共通</x:v>
      </x:c>
      <x:c r="E112" s="12" t="str">
        <x:v>Vanguard</x:v>
      </x:c>
      <x:c r="F112" s="12" t="str">
        <x:v>Vanguard</x:v>
      </x:c>
      <x:c r="G112" s="12"/>
      <x:c r="H112" s="12" t="str">
        <x:v>技で細部は変わるが、診断上のプレイ人格は大きく変わらないため統合</x:v>
      </x:c>
      <x:c r="I112" s="12" t="str">
        <x:v>高</x:v>
      </x:c>
      <x:c r="J112" s="12" t="str">
        <x:v>2026-09-30</x:v>
      </x:c>
      <x:c r="K112" s="12" t="n">
        <x:v>100</x:v>
      </x:c>
      <x:c r="L112" s="12" t="n">
        <x:v>80</x:v>
      </x:c>
      <x:c r="M112" s="12" t="n">
        <x:v>60</x:v>
      </x:c>
      <x:c r="N112" s="12" t="n">
        <x:v>100</x:v>
      </x:c>
      <x:c r="O112" s="12" t="n">
        <x:v>0</x:v>
      </x:c>
      <x:c r="P112" s="12" t="n">
        <x:v>35</x:v>
      </x:c>
      <x:c r="Q112" s="12" t="n">
        <x:v>100</x:v>
      </x:c>
      <x:c r="R112" s="12" t="n">
        <x:v>10</x:v>
      </x:c>
      <x:c r="S112" s="12" t="n">
        <x:v>45</x:v>
      </x:c>
      <x:c r="T112" s="12" t="n">
        <x:v>60</x:v>
      </x:c>
      <x:c r="U112" s="12" t="n">
        <x:v>15</x:v>
      </x:c>
      <x:c r="V112" s="12" t="n">
        <x:v>40</x:v>
      </x:c>
      <x:c r="W112" s="12" t="n">
        <x:v>10</x:v>
      </x:c>
      <x:c r="X112" s="12" t="n">
        <x:v>55</x:v>
      </x:c>
      <x:c r="Y112" s="12" t="n">
        <x:v>75</x:v>
      </x:c>
      <x:c r="Z112" s="12" t="n">
        <x:f>ROUND(MAX(0,MIN(100,0.40*K112+0.20*L112+0.10*S112+0.15*V112+0.15*Y112)),0)</x:f>
        <x:v>78</x:v>
      </x:c>
      <x:c r="AA112" s="12" t="n">
        <x:f>ROUND(MAX(0,MIN(100,0.30*L112+0.20*K112+0.15*V112+0.15*W112+0.10*S112+0.10*(100-M112))),0)</x:f>
        <x:v>60</x:v>
      </x:c>
      <x:c r="AB112" s="12" t="n">
        <x:f>ROUND(MAX(0,MIN(100,0.30*M112+0.25*R112+0.20*Q112+0.15*K112+0.10*(100-T112))),0)</x:f>
        <x:v>60</x:v>
      </x:c>
      <x:c r="AC112" s="12" t="n">
        <x:f>ROUND(MAX(0,MIN(100,0.55*T112+0.15*S112+0.10*N112+0.10*V112+0.10*W112)),0)</x:f>
        <x:v>55</x:v>
      </x:c>
      <x:c r="AD112" s="12" t="n">
        <x:f>ROUND(MAX(0,MIN(100,0.25*O112+0.25*Q112+0.20*Y112+0.15*U112+0.15*(100-L112))),0)</x:f>
        <x:v>45</x:v>
      </x:c>
      <x:c r="AE112" s="12" t="n">
        <x:f>ROUND(MAX(0,MIN(100,0.30*Y112+0.25*S112+0.15*Q112+0.15*T112+0.15*X112)),0)</x:f>
        <x:v>66</x:v>
      </x:c>
      <x:c r="AF112" s="12" t="n">
        <x:f>ROUND(MAX(0,MIN(100,0.65*X112+0.35*Y112)),0)</x:f>
        <x:v>62</x:v>
      </x:c>
      <x:c r="AG112" s="12" t="str">
        <x:v>https://wikiwiki.jp/poke-unite/%E3%83%9E%E3%83%B3%E3%83%A0%E3%83%BC</x:v>
      </x:c>
      <x:c r="AH112" s="12" t="str">
        <x:v>突進で相手の中に飛び込み、まとめて動きを止めて集団戦を始めるディフェンス型のポケモンです。先頭に立って、思い切りよく仕掛けたい人に向いています。</x:v>
      </x:c>
      <x:c r="AI112" s="12" t="str">
        <x:v>自分から仕掛ける・動きを止める・前線を支える</x:v>
      </x:c>
      <x:c r="AJ112" s="12" t="n">
        <x:v>0</x:v>
      </x:c>
    </x:row>
    <x:row r="113">
      <x:c r="A113" s="12" t="str">
        <x:v>ヤドラン</x:v>
      </x:c>
      <x:c r="B113" s="12" t="str">
        <x:v>ディフェンス型</x:v>
      </x:c>
      <x:c r="C113" s="12" t="str">
        <x:v>ヤドラン-1</x:v>
      </x:c>
      <x:c r="D113" s="12" t="str">
        <x:v>ドわすれ</x:v>
      </x:c>
      <x:c r="E113" s="12" t="str">
        <x:v>Juggernaut / BattleMage</x:v>
      </x:c>
      <x:c r="F113" s="12" t="str">
        <x:v>Juggernaut</x:v>
      </x:c>
      <x:c r="G113" s="12" t="str">
        <x:v>BattleMage</x:v>
      </x:c>
      <x:c r="H113" s="12" t="str">
        <x:v>立ち位置・戦闘距離・役割が大きく変わるため別プロファイル</x:v>
      </x:c>
      <x:c r="I113" s="12" t="str">
        <x:v>高</x:v>
      </x:c>
      <x:c r="J113" s="12" t="str">
        <x:v>2026-09-30</x:v>
      </x:c>
      <x:c r="K113" s="12" t="n">
        <x:v>45</x:v>
      </x:c>
      <x:c r="L113" s="12" t="n">
        <x:v>35</x:v>
      </x:c>
      <x:c r="M113" s="12" t="n">
        <x:v>15</x:v>
      </x:c>
      <x:c r="N113" s="12" t="n">
        <x:v>85</x:v>
      </x:c>
      <x:c r="O113" s="12" t="n">
        <x:v>40</x:v>
      </x:c>
      <x:c r="P113" s="12" t="n">
        <x:v>65</x:v>
      </x:c>
      <x:c r="Q113" s="12" t="n">
        <x:v>20</x:v>
      </x:c>
      <x:c r="R113" s="12" t="n">
        <x:v>5</x:v>
      </x:c>
      <x:c r="S113" s="12" t="n">
        <x:v>40</x:v>
      </x:c>
      <x:c r="T113" s="12" t="n">
        <x:v>70</x:v>
      </x:c>
      <x:c r="U113" s="12" t="n">
        <x:v>60</x:v>
      </x:c>
      <x:c r="V113" s="12" t="n">
        <x:v>75</x:v>
      </x:c>
      <x:c r="W113" s="12" t="n">
        <x:v>40</x:v>
      </x:c>
      <x:c r="X113" s="12" t="n">
        <x:v>60</x:v>
      </x:c>
      <x:c r="Y113" s="12" t="n">
        <x:v>60</x:v>
      </x:c>
      <x:c r="Z113" s="12" t="n">
        <x:f>ROUND(MAX(0,MIN(100,0.40*K113+0.20*L113+0.10*S113+0.15*V113+0.15*Y113)),0)</x:f>
        <x:v>49</x:v>
      </x:c>
      <x:c r="AA113" s="12" t="n">
        <x:f>ROUND(MAX(0,MIN(100,0.30*L113+0.20*K113+0.15*V113+0.15*W113+0.10*S113+0.10*(100-M113))),0)</x:f>
        <x:v>49</x:v>
      </x:c>
      <x:c r="AB113" s="12" t="n">
        <x:f>ROUND(MAX(0,MIN(100,0.30*M113+0.25*R113+0.20*Q113+0.15*K113+0.10*(100-T113))),0)</x:f>
        <x:v>20</x:v>
      </x:c>
      <x:c r="AC113" s="12" t="n">
        <x:f>ROUND(MAX(0,MIN(100,0.55*T113+0.15*S113+0.10*N113+0.10*V113+0.10*W113)),0)</x:f>
        <x:v>65</x:v>
      </x:c>
      <x:c r="AD113" s="12" t="n">
        <x:f>ROUND(MAX(0,MIN(100,0.25*O113+0.25*Q113+0.20*Y113+0.15*U113+0.15*(100-L113))),0)</x:f>
        <x:v>46</x:v>
      </x:c>
      <x:c r="AE113" s="12" t="n">
        <x:f>ROUND(MAX(0,MIN(100,0.30*Y113+0.25*S113+0.15*Q113+0.15*T113+0.15*X113)),0)</x:f>
        <x:v>51</x:v>
      </x:c>
      <x:c r="AF113" s="12" t="n">
        <x:f>ROUND(MAX(0,MIN(100,0.65*X113+0.35*Y113)),0)</x:f>
        <x:v>60</x:v>
      </x:c>
      <x:c r="AG113" s="12" t="str">
        <x:v>https://wikiwiki.jp/poke-unite/%E3%83%A4%E3%83%89%E3%83%A9%E3%83%B3</x:v>
      </x:c>
      <x:c r="AH113" s="12" t="str">
        <x:v>「ドわすれ」で攻撃を受け止め、前線で粘りながら自分でもダメージを出す戦い方です。守りながらも、自分の力で戦い抜きたい人に向いています。</x:v>
      </x:c>
      <x:c r="AI113" s="12" t="str">
        <x:v>前線を支える・取り切りが得意・長く戦う</x:v>
      </x:c>
      <x:c r="AJ113" s="12" t="n">
        <x:v>0</x:v>
      </x:c>
    </x:row>
    <x:row r="114">
      <x:c r="A114" s="12" t="str">
        <x:v>ヤドラン</x:v>
      </x:c>
      <x:c r="B114" s="12" t="str">
        <x:v>ディフェンス型</x:v>
      </x:c>
      <x:c r="C114" s="12" t="str">
        <x:v>ヤドラン-2</x:v>
      </x:c>
      <x:c r="D114" s="12" t="str">
        <x:v>テレキネシス</x:v>
      </x:c>
      <x:c r="E114" s="12" t="str">
        <x:v>Warden / Catcher</x:v>
      </x:c>
      <x:c r="F114" s="12" t="str">
        <x:v>Warden</x:v>
      </x:c>
      <x:c r="G114" s="12" t="str">
        <x:v>Catcher</x:v>
      </x:c>
      <x:c r="H114" s="12" t="str">
        <x:v>立ち位置・戦闘距離・役割が大きく変わるため別プロファイル</x:v>
      </x:c>
      <x:c r="I114" s="12" t="str">
        <x:v>高</x:v>
      </x:c>
      <x:c r="J114" s="12" t="str">
        <x:v>2026-09-30</x:v>
      </x:c>
      <x:c r="K114" s="12" t="n">
        <x:v>55</x:v>
      </x:c>
      <x:c r="L114" s="12" t="n">
        <x:v>20</x:v>
      </x:c>
      <x:c r="M114" s="12" t="n">
        <x:v>100</x:v>
      </x:c>
      <x:c r="N114" s="12" t="n">
        <x:v>85</x:v>
      </x:c>
      <x:c r="O114" s="12" t="n">
        <x:v>30</x:v>
      </x:c>
      <x:c r="P114" s="12" t="n">
        <x:v>60</x:v>
      </x:c>
      <x:c r="Q114" s="12" t="n">
        <x:v>100</x:v>
      </x:c>
      <x:c r="R114" s="12" t="n">
        <x:v>40</x:v>
      </x:c>
      <x:c r="S114" s="12" t="n">
        <x:v>30</x:v>
      </x:c>
      <x:c r="T114" s="12" t="n">
        <x:v>35</x:v>
      </x:c>
      <x:c r="U114" s="12" t="n">
        <x:v>20</x:v>
      </x:c>
      <x:c r="V114" s="12" t="n">
        <x:v>30</x:v>
      </x:c>
      <x:c r="W114" s="12" t="n">
        <x:v>20</x:v>
      </x:c>
      <x:c r="X114" s="12" t="n">
        <x:v>60</x:v>
      </x:c>
      <x:c r="Y114" s="12" t="n">
        <x:v>85</x:v>
      </x:c>
      <x:c r="Z114" s="12" t="n">
        <x:f>ROUND(MAX(0,MIN(100,0.40*K114+0.20*L114+0.10*S114+0.15*V114+0.15*Y114)),0)</x:f>
        <x:v>46</x:v>
      </x:c>
      <x:c r="AA114" s="12" t="n">
        <x:f>ROUND(MAX(0,MIN(100,0.30*L114+0.20*K114+0.15*V114+0.15*W114+0.10*S114+0.10*(100-M114))),0)</x:f>
        <x:v>28</x:v>
      </x:c>
      <x:c r="AB114" s="12" t="n">
        <x:f>ROUND(MAX(0,MIN(100,0.30*M114+0.25*R114+0.20*Q114+0.15*K114+0.10*(100-T114))),0)</x:f>
        <x:v>75</x:v>
      </x:c>
      <x:c r="AC114" s="12" t="n">
        <x:f>ROUND(MAX(0,MIN(100,0.55*T114+0.15*S114+0.10*N114+0.10*V114+0.10*W114)),0)</x:f>
        <x:v>37</x:v>
      </x:c>
      <x:c r="AD114" s="12" t="n">
        <x:f>ROUND(MAX(0,MIN(100,0.25*O114+0.25*Q114+0.20*Y114+0.15*U114+0.15*(100-L114))),0)</x:f>
        <x:v>65</x:v>
      </x:c>
      <x:c r="AE114" s="12" t="n">
        <x:f>ROUND(MAX(0,MIN(100,0.30*Y114+0.25*S114+0.15*Q114+0.15*T114+0.15*X114)),0)</x:f>
        <x:v>62</x:v>
      </x:c>
      <x:c r="AF114" s="12" t="n">
        <x:f>ROUND(MAX(0,MIN(100,0.65*X114+0.35*Y114)),0)</x:f>
        <x:v>69</x:v>
      </x:c>
      <x:c r="AG114" s="12" t="str">
        <x:v>https://wikiwiki.jp/poke-unite/%E3%83%A4%E3%83%89%E3%83%A9%E3%83%B3</x:v>
      </x:c>
      <x:c r="AH114" s="12" t="str">
        <x:v>「テレキネシス」で相手を引き寄せて動きを止め、味方を守る戦い方です。相手の狙いを読んで先に止め、味方が戦いやすい形を作りたい人に向いています。</x:v>
      </x:c>
      <x:c r="AI114" s="12" t="str">
        <x:v>動きを止める・味方を守る・先を読んで動く</x:v>
      </x:c>
      <x:c r="AJ114" s="12" t="n">
        <x:v>0</x:v>
      </x:c>
    </x:row>
    <x:row r="115">
      <x:c r="A115" s="12" t="str">
        <x:v>ヨクバリス</x:v>
      </x:c>
      <x:c r="B115" s="12" t="str">
        <x:v>ディフェンス型</x:v>
      </x:c>
      <x:c r="C115" s="12" t="str">
        <x:v>ヨクバリス-1</x:v>
      </x:c>
      <x:c r="D115" s="12" t="str">
        <x:v>ほおばる</x:v>
      </x:c>
      <x:c r="E115" s="12" t="str">
        <x:v>Juggernaut / Skirmisher</x:v>
      </x:c>
      <x:c r="F115" s="12" t="str">
        <x:v>Juggernaut</x:v>
      </x:c>
      <x:c r="G115" s="12" t="str">
        <x:v>Skirmisher</x:v>
      </x:c>
      <x:c r="H115" s="12" t="str">
        <x:v>立ち位置・戦闘距離・役割が大きく変わるため別プロファイル</x:v>
      </x:c>
      <x:c r="I115" s="12" t="str">
        <x:v>高</x:v>
      </x:c>
      <x:c r="J115" s="12" t="str">
        <x:v>2026-09-30</x:v>
      </x:c>
      <x:c r="K115" s="12" t="n">
        <x:v>55</x:v>
      </x:c>
      <x:c r="L115" s="12" t="n">
        <x:v>65</x:v>
      </x:c>
      <x:c r="M115" s="12" t="n">
        <x:v>35</x:v>
      </x:c>
      <x:c r="N115" s="12" t="n">
        <x:v>100</x:v>
      </x:c>
      <x:c r="O115" s="12" t="n">
        <x:v>10</x:v>
      </x:c>
      <x:c r="P115" s="12" t="n">
        <x:v>75</x:v>
      </x:c>
      <x:c r="Q115" s="12" t="n">
        <x:v>25</x:v>
      </x:c>
      <x:c r="R115" s="12" t="n">
        <x:v>5</x:v>
      </x:c>
      <x:c r="S115" s="12" t="n">
        <x:v>55</x:v>
      </x:c>
      <x:c r="T115" s="12" t="n">
        <x:v>85</x:v>
      </x:c>
      <x:c r="U115" s="12" t="n">
        <x:v>60</x:v>
      </x:c>
      <x:c r="V115" s="12" t="n">
        <x:v>75</x:v>
      </x:c>
      <x:c r="W115" s="12" t="n">
        <x:v>55</x:v>
      </x:c>
      <x:c r="X115" s="12" t="n">
        <x:v>60</x:v>
      </x:c>
      <x:c r="Y115" s="12" t="n">
        <x:v>50</x:v>
      </x:c>
      <x:c r="Z115" s="12" t="n">
        <x:f>ROUND(MAX(0,MIN(100,0.40*K115+0.20*L115+0.10*S115+0.15*V115+0.15*Y115)),0)</x:f>
        <x:v>59</x:v>
      </x:c>
      <x:c r="AA115" s="12" t="n">
        <x:f>ROUND(MAX(0,MIN(100,0.30*L115+0.20*K115+0.15*V115+0.15*W115+0.10*S115+0.10*(100-M115))),0)</x:f>
        <x:v>62</x:v>
      </x:c>
      <x:c r="AB115" s="12" t="n">
        <x:f>ROUND(MAX(0,MIN(100,0.30*M115+0.25*R115+0.20*Q115+0.15*K115+0.10*(100-T115))),0)</x:f>
        <x:v>27</x:v>
      </x:c>
      <x:c r="AC115" s="12" t="n">
        <x:f>ROUND(MAX(0,MIN(100,0.55*T115+0.15*S115+0.10*N115+0.10*V115+0.10*W115)),0)</x:f>
        <x:v>78</x:v>
      </x:c>
      <x:c r="AD115" s="12" t="n">
        <x:f>ROUND(MAX(0,MIN(100,0.25*O115+0.25*Q115+0.20*Y115+0.15*U115+0.15*(100-L115))),0)</x:f>
        <x:v>33</x:v>
      </x:c>
      <x:c r="AE115" s="12" t="n">
        <x:f>ROUND(MAX(0,MIN(100,0.30*Y115+0.25*S115+0.15*Q115+0.15*T115+0.15*X115)),0)</x:f>
        <x:v>54</x:v>
      </x:c>
      <x:c r="AF115" s="12" t="n">
        <x:f>ROUND(MAX(0,MIN(100,0.65*X115+0.35*Y115)),0)</x:f>
        <x:v>57</x:v>
      </x:c>
      <x:c r="AG115" s="12" t="str">
        <x:v>https://wikiwiki.jp/poke-unite/%E3%83%A8%E3%82%AF%E3%83%90%E3%83%AA%E3%82%B9</x:v>
      </x:c>
      <x:c r="AH115" s="12" t="str">
        <x:v>「ほおばる」できのみを食べて回復し、前線でしぶとく殴り合う戦い方です。一人でも粘り強く戦い、相手を根負けさせたい人に向いています。</x:v>
      </x:c>
      <x:c r="AI115" s="12" t="str">
        <x:v>一人で仕事を作る・前線を支える・長く戦う</x:v>
      </x:c>
      <x:c r="AJ115" s="12" t="n">
        <x:v>0</x:v>
      </x:c>
    </x:row>
    <x:row r="116">
      <x:c r="A116" s="12" t="str">
        <x:v>ヨクバリス</x:v>
      </x:c>
      <x:c r="B116" s="12" t="str">
        <x:v>ディフェンス型</x:v>
      </x:c>
      <x:c r="C116" s="12" t="str">
        <x:v>ヨクバリス-2</x:v>
      </x:c>
      <x:c r="D116" s="12" t="str">
        <x:v>ほしがる</x:v>
      </x:c>
      <x:c r="E116" s="12" t="str">
        <x:v>Diver / Specialist</x:v>
      </x:c>
      <x:c r="F116" s="12" t="str">
        <x:v>Diver</x:v>
      </x:c>
      <x:c r="G116" s="12" t="str">
        <x:v>Specialist</x:v>
      </x:c>
      <x:c r="H116" s="12" t="str">
        <x:v>立ち位置・戦闘距離・役割が大きく変わるため別プロファイル</x:v>
      </x:c>
      <x:c r="I116" s="12" t="str">
        <x:v>高</x:v>
      </x:c>
      <x:c r="J116" s="12" t="str">
        <x:v>2026-09-30</x:v>
      </x:c>
      <x:c r="K116" s="12" t="n">
        <x:v>70</x:v>
      </x:c>
      <x:c r="L116" s="12" t="n">
        <x:v>65</x:v>
      </x:c>
      <x:c r="M116" s="12" t="n">
        <x:v>40</x:v>
      </x:c>
      <x:c r="N116" s="12" t="n">
        <x:v>45</x:v>
      </x:c>
      <x:c r="O116" s="12" t="n">
        <x:v>30</x:v>
      </x:c>
      <x:c r="P116" s="12" t="n">
        <x:v>35</x:v>
      </x:c>
      <x:c r="Q116" s="12" t="n">
        <x:v>70</x:v>
      </x:c>
      <x:c r="R116" s="12" t="n">
        <x:v>35</x:v>
      </x:c>
      <x:c r="S116" s="12" t="n">
        <x:v>100</x:v>
      </x:c>
      <x:c r="T116" s="12" t="n">
        <x:v>60</x:v>
      </x:c>
      <x:c r="U116" s="12" t="n">
        <x:v>40</x:v>
      </x:c>
      <x:c r="V116" s="12" t="n">
        <x:v>45</x:v>
      </x:c>
      <x:c r="W116" s="12" t="n">
        <x:v>75</x:v>
      </x:c>
      <x:c r="X116" s="12" t="n">
        <x:v>75</x:v>
      </x:c>
      <x:c r="Y116" s="12" t="n">
        <x:v>90</x:v>
      </x:c>
      <x:c r="Z116" s="12" t="n">
        <x:f>ROUND(MAX(0,MIN(100,0.40*K116+0.20*L116+0.10*S116+0.15*V116+0.15*Y116)),0)</x:f>
        <x:v>71</x:v>
      </x:c>
      <x:c r="AA116" s="12" t="n">
        <x:f>ROUND(MAX(0,MIN(100,0.30*L116+0.20*K116+0.15*V116+0.15*W116+0.10*S116+0.10*(100-M116))),0)</x:f>
        <x:v>68</x:v>
      </x:c>
      <x:c r="AB116" s="12" t="n">
        <x:f>ROUND(MAX(0,MIN(100,0.30*M116+0.25*R116+0.20*Q116+0.15*K116+0.10*(100-T116))),0)</x:f>
        <x:v>49</x:v>
      </x:c>
      <x:c r="AC116" s="12" t="n">
        <x:f>ROUND(MAX(0,MIN(100,0.55*T116+0.15*S116+0.10*N116+0.10*V116+0.10*W116)),0)</x:f>
        <x:v>65</x:v>
      </x:c>
      <x:c r="AD116" s="12" t="n">
        <x:f>ROUND(MAX(0,MIN(100,0.25*O116+0.25*Q116+0.20*Y116+0.15*U116+0.15*(100-L116))),0)</x:f>
        <x:v>54</x:v>
      </x:c>
      <x:c r="AE116" s="12" t="n">
        <x:f>ROUND(MAX(0,MIN(100,0.30*Y116+0.25*S116+0.15*Q116+0.15*T116+0.15*X116)),0)</x:f>
        <x:v>83</x:v>
      </x:c>
      <x:c r="AF116" s="12" t="n">
        <x:f>ROUND(MAX(0,MIN(100,0.65*X116+0.35*Y116)),0)</x:f>
        <x:v>80</x:v>
      </x:c>
      <x:c r="AG116" s="12" t="str">
        <x:v>https://wikiwiki.jp/poke-unite/%E3%83%A8%E3%82%AF%E3%83%90%E3%83%AA%E3%82%B9</x:v>
      </x:c>
      <x:c r="AH116" s="12" t="str">
        <x:v>「ほしがる」で素早く出入りし、動き回りながら相手の隙を突く戦い方です。マップを回って、駆け引きで相手を出し抜きたい人に向いています。</x:v>
      </x:c>
      <x:c r="AI116" s="12" t="str">
        <x:v>マップを駆け回る・先を読んで動く・空いたゴールを狙う</x:v>
      </x:c>
      <x:c r="AJ116" s="12" t="n">
        <x:v>0</x:v>
      </x:c>
    </x:row>
    <x:row r="117">
      <x:c r="A117" s="12" t="str">
        <x:v>ラプラス</x:v>
      </x:c>
      <x:c r="B117" s="12" t="str">
        <x:v>ディフェンス型</x:v>
      </x:c>
      <x:c r="C117" s="12" t="str">
        <x:v>ラプラス-1</x:v>
      </x:c>
      <x:c r="D117" s="12" t="str">
        <x:v>共通</x:v>
      </x:c>
      <x:c r="E117" s="12" t="str">
        <x:v>Juggernaut / Warden</x:v>
      </x:c>
      <x:c r="F117" s="12" t="str">
        <x:v>Juggernaut</x:v>
      </x:c>
      <x:c r="G117" s="12" t="str">
        <x:v>Warden</x:v>
      </x:c>
      <x:c r="H117" s="12" t="str">
        <x:v>技で細部は変わるが、診断上のプレイ人格は大きく変わらないため統合</x:v>
      </x:c>
      <x:c r="I117" s="12" t="str">
        <x:v>高</x:v>
      </x:c>
      <x:c r="J117" s="12" t="str">
        <x:v>2026-09-30</x:v>
      </x:c>
      <x:c r="K117" s="12" t="n">
        <x:v>35</x:v>
      </x:c>
      <x:c r="L117" s="12" t="n">
        <x:v>15</x:v>
      </x:c>
      <x:c r="M117" s="12" t="n">
        <x:v>65</x:v>
      </x:c>
      <x:c r="N117" s="12" t="n">
        <x:v>85</x:v>
      </x:c>
      <x:c r="O117" s="12" t="n">
        <x:v>45</x:v>
      </x:c>
      <x:c r="P117" s="12" t="n">
        <x:v>75</x:v>
      </x:c>
      <x:c r="Q117" s="12" t="n">
        <x:v>70</x:v>
      </x:c>
      <x:c r="R117" s="12" t="n">
        <x:v>45</x:v>
      </x:c>
      <x:c r="S117" s="12" t="n">
        <x:v>55</x:v>
      </x:c>
      <x:c r="T117" s="12" t="n">
        <x:v>45</x:v>
      </x:c>
      <x:c r="U117" s="12" t="n">
        <x:v>10</x:v>
      </x:c>
      <x:c r="V117" s="12" t="n">
        <x:v>25</x:v>
      </x:c>
      <x:c r="W117" s="12" t="n">
        <x:v>40</x:v>
      </x:c>
      <x:c r="X117" s="12" t="n">
        <x:v>30</x:v>
      </x:c>
      <x:c r="Y117" s="12" t="n">
        <x:v>80</x:v>
      </x:c>
      <x:c r="Z117" s="12" t="n">
        <x:f>ROUND(MAX(0,MIN(100,0.40*K117+0.20*L117+0.10*S117+0.15*V117+0.15*Y117)),0)</x:f>
        <x:v>38</x:v>
      </x:c>
      <x:c r="AA117" s="12" t="n">
        <x:f>ROUND(MAX(0,MIN(100,0.30*L117+0.20*K117+0.15*V117+0.15*W117+0.10*S117+0.10*(100-M117))),0)</x:f>
        <x:v>30</x:v>
      </x:c>
      <x:c r="AB117" s="12" t="n">
        <x:f>ROUND(MAX(0,MIN(100,0.30*M117+0.25*R117+0.20*Q117+0.15*K117+0.10*(100-T117))),0)</x:f>
        <x:v>56</x:v>
      </x:c>
      <x:c r="AC117" s="12" t="n">
        <x:f>ROUND(MAX(0,MIN(100,0.55*T117+0.15*S117+0.10*N117+0.10*V117+0.10*W117)),0)</x:f>
        <x:v>48</x:v>
      </x:c>
      <x:c r="AD117" s="12" t="n">
        <x:f>ROUND(MAX(0,MIN(100,0.25*O117+0.25*Q117+0.20*Y117+0.15*U117+0.15*(100-L117))),0)</x:f>
        <x:v>59</x:v>
      </x:c>
      <x:c r="AE117" s="12" t="n">
        <x:f>ROUND(MAX(0,MIN(100,0.30*Y117+0.25*S117+0.15*Q117+0.15*T117+0.15*X117)),0)</x:f>
        <x:v>60</x:v>
      </x:c>
      <x:c r="AF117" s="12" t="n">
        <x:f>ROUND(MAX(0,MIN(100,0.65*X117+0.35*Y117)),0)</x:f>
        <x:v>48</x:v>
      </x:c>
      <x:c r="AG117" s="12" t="str">
        <x:v>https://wikiwiki.jp/poke-unite/%E3%83%A9%E3%83%97%E3%83%A9%E3%82%B9</x:v>
      </x:c>
      <x:c r="AH117" s="12" t="str">
        <x:v>強化攻撃の回復で前線に居座り、ユナイトわざでは味方を背中に乗せて運べるディフェンス型のポケモンです。操作は素直なので、前に立ちながら味方と一緒に戦いたい人に向いています。</x:v>
      </x:c>
      <x:c r="AI117" s="12" t="str">
        <x:v>前線を支える・長く戦う・扱いやすい</x:v>
      </x:c>
      <x:c r="AJ117" s="12" t="n">
        <x:v>0</x:v>
      </x:c>
    </x:row>
    <x:row r="118">
      <x:c r="A118" s="12" t="str">
        <x:v>キュワワー</x:v>
      </x:c>
      <x:c r="B118" s="12" t="str">
        <x:v>サポート型</x:v>
      </x:c>
      <x:c r="C118" s="12" t="str">
        <x:v>キュワワー-1</x:v>
      </x:c>
      <x:c r="D118" s="12" t="str">
        <x:v>共通</x:v>
      </x:c>
      <x:c r="E118" s="12" t="str">
        <x:v>Enchanter</x:v>
      </x:c>
      <x:c r="F118" s="12" t="str">
        <x:v>Enchanter</x:v>
      </x:c>
      <x:c r="G118" s="12"/>
      <x:c r="H118" s="12" t="str">
        <x:v>技で細部は変わるが、診断上のプレイ人格は大きく変わらないため統合</x:v>
      </x:c>
      <x:c r="I118" s="12" t="str">
        <x:v>高</x:v>
      </x:c>
      <x:c r="J118" s="12" t="str">
        <x:v>2026-09-30</x:v>
      </x:c>
      <x:c r="K118" s="12" t="n">
        <x:v>0</x:v>
      </x:c>
      <x:c r="L118" s="12" t="n">
        <x:v>0</x:v>
      </x:c>
      <x:c r="M118" s="12" t="n">
        <x:v>70</x:v>
      </x:c>
      <x:c r="N118" s="12" t="n">
        <x:v>0</x:v>
      </x:c>
      <x:c r="O118" s="12" t="n">
        <x:v>10</x:v>
      </x:c>
      <x:c r="P118" s="12" t="n">
        <x:v>45</x:v>
      </x:c>
      <x:c r="Q118" s="12" t="n">
        <x:v>35</x:v>
      </x:c>
      <x:c r="R118" s="12" t="n">
        <x:v>100</x:v>
      </x:c>
      <x:c r="S118" s="12" t="n">
        <x:v>75</x:v>
      </x:c>
      <x:c r="T118" s="12" t="n">
        <x:v>15</x:v>
      </x:c>
      <x:c r="U118" s="12" t="n">
        <x:v>0</x:v>
      </x:c>
      <x:c r="V118" s="12" t="n">
        <x:v>5</x:v>
      </x:c>
      <x:c r="W118" s="12" t="n">
        <x:v>0</x:v>
      </x:c>
      <x:c r="X118" s="12" t="n">
        <x:v>30</x:v>
      </x:c>
      <x:c r="Y118" s="12" t="n">
        <x:v>95</x:v>
      </x:c>
      <x:c r="Z118" s="12" t="n">
        <x:f>ROUND(MAX(0,MIN(100,0.40*K118+0.20*L118+0.10*S118+0.15*V118+0.15*Y118)),0)</x:f>
        <x:v>23</x:v>
      </x:c>
      <x:c r="AA118" s="12" t="n">
        <x:f>ROUND(MAX(0,MIN(100,0.30*L118+0.20*K118+0.15*V118+0.15*W118+0.10*S118+0.10*(100-M118))),0)</x:f>
        <x:v>11</x:v>
      </x:c>
      <x:c r="AB118" s="12" t="n">
        <x:f>ROUND(MAX(0,MIN(100,0.30*M118+0.25*R118+0.20*Q118+0.15*K118+0.10*(100-T118))),0)</x:f>
        <x:v>62</x:v>
      </x:c>
      <x:c r="AC118" s="12" t="n">
        <x:f>ROUND(MAX(0,MIN(100,0.55*T118+0.15*S118+0.10*N118+0.10*V118+0.10*W118)),0)</x:f>
        <x:v>20</x:v>
      </x:c>
      <x:c r="AD118" s="12" t="n">
        <x:f>ROUND(MAX(0,MIN(100,0.25*O118+0.25*Q118+0.20*Y118+0.15*U118+0.15*(100-L118))),0)</x:f>
        <x:v>45</x:v>
      </x:c>
      <x:c r="AE118" s="12" t="n">
        <x:f>ROUND(MAX(0,MIN(100,0.30*Y118+0.25*S118+0.15*Q118+0.15*T118+0.15*X118)),0)</x:f>
        <x:v>59</x:v>
      </x:c>
      <x:c r="AF118" s="12" t="n">
        <x:f>ROUND(MAX(0,MIN(100,0.65*X118+0.35*Y118)),0)</x:f>
        <x:v>53</x:v>
      </x:c>
      <x:c r="AG118" s="12" t="str">
        <x:v>https://wikiwiki.jp/poke-unite/%E3%82%AD%E3%83%A5%E3%83%AF%E3%83%AF%E3%83%BC</x:v>
      </x:c>
      <x:c r="AH118" s="12" t="str">
        <x:v>味方にくっついて回復し、一緒に戦場を移動するサポート型のポケモンです。自分で戦うより、選んだ味方を全力で支えたい人に向いています。</x:v>
      </x:c>
      <x:c r="AI118" s="12" t="str">
        <x:v>回復やシールドで支える・味方と合わせて輝く・マップを駆け回る</x:v>
      </x:c>
      <x:c r="AJ118" s="12" t="n">
        <x:v>0</x:v>
      </x:c>
    </x:row>
    <x:row r="119">
      <x:c r="A119" s="12" t="str">
        <x:v>コダック</x:v>
      </x:c>
      <x:c r="B119" s="12" t="str">
        <x:v>サポート型</x:v>
      </x:c>
      <x:c r="C119" s="12" t="str">
        <x:v>コダック-1</x:v>
      </x:c>
      <x:c r="D119" s="12" t="str">
        <x:v>共通</x:v>
      </x:c>
      <x:c r="E119" s="12" t="str">
        <x:v>Catcher / Warden</x:v>
      </x:c>
      <x:c r="F119" s="12" t="str">
        <x:v>Catcher</x:v>
      </x:c>
      <x:c r="G119" s="12" t="str">
        <x:v>Warden</x:v>
      </x:c>
      <x:c r="H119" s="12" t="str">
        <x:v>技で細部は変わるが、診断上のプレイ人格は大きく変わらないため統合</x:v>
      </x:c>
      <x:c r="I119" s="12" t="str">
        <x:v>高</x:v>
      </x:c>
      <x:c r="J119" s="12" t="str">
        <x:v>2026-09-30</x:v>
      </x:c>
      <x:c r="K119" s="12" t="n">
        <x:v>65</x:v>
      </x:c>
      <x:c r="L119" s="12" t="n">
        <x:v>20</x:v>
      </x:c>
      <x:c r="M119" s="12" t="n">
        <x:v>80</x:v>
      </x:c>
      <x:c r="N119" s="12" t="n">
        <x:v>70</x:v>
      </x:c>
      <x:c r="O119" s="12" t="n">
        <x:v>40</x:v>
      </x:c>
      <x:c r="P119" s="12" t="n">
        <x:v>40</x:v>
      </x:c>
      <x:c r="Q119" s="12" t="n">
        <x:v>100</x:v>
      </x:c>
      <x:c r="R119" s="12" t="n">
        <x:v>30</x:v>
      </x:c>
      <x:c r="S119" s="12" t="n">
        <x:v>50</x:v>
      </x:c>
      <x:c r="T119" s="12" t="n">
        <x:v>45</x:v>
      </x:c>
      <x:c r="U119" s="12" t="n">
        <x:v>5</x:v>
      </x:c>
      <x:c r="V119" s="12" t="n">
        <x:v>30</x:v>
      </x:c>
      <x:c r="W119" s="12" t="n">
        <x:v>25</x:v>
      </x:c>
      <x:c r="X119" s="12" t="n">
        <x:v>55</x:v>
      </x:c>
      <x:c r="Y119" s="12" t="n">
        <x:v>80</x:v>
      </x:c>
      <x:c r="Z119" s="12" t="n">
        <x:f>ROUND(MAX(0,MIN(100,0.40*K119+0.20*L119+0.10*S119+0.15*V119+0.15*Y119)),0)</x:f>
        <x:v>52</x:v>
      </x:c>
      <x:c r="AA119" s="12" t="n">
        <x:f>ROUND(MAX(0,MIN(100,0.30*L119+0.20*K119+0.15*V119+0.15*W119+0.10*S119+0.10*(100-M119))),0)</x:f>
        <x:v>34</x:v>
      </x:c>
      <x:c r="AB119" s="12" t="n">
        <x:f>ROUND(MAX(0,MIN(100,0.30*M119+0.25*R119+0.20*Q119+0.15*K119+0.10*(100-T119))),0)</x:f>
        <x:v>67</x:v>
      </x:c>
      <x:c r="AC119" s="12" t="n">
        <x:f>ROUND(MAX(0,MIN(100,0.55*T119+0.15*S119+0.10*N119+0.10*V119+0.10*W119)),0)</x:f>
        <x:v>45</x:v>
      </x:c>
      <x:c r="AD119" s="12" t="n">
        <x:f>ROUND(MAX(0,MIN(100,0.25*O119+0.25*Q119+0.20*Y119+0.15*U119+0.15*(100-L119))),0)</x:f>
        <x:v>64</x:v>
      </x:c>
      <x:c r="AE119" s="12" t="n">
        <x:f>ROUND(MAX(0,MIN(100,0.30*Y119+0.25*S119+0.15*Q119+0.15*T119+0.15*X119)),0)</x:f>
        <x:v>67</x:v>
      </x:c>
      <x:c r="AF119" s="12" t="n">
        <x:f>ROUND(MAX(0,MIN(100,0.65*X119+0.35*Y119)),0)</x:f>
        <x:v>64</x:v>
      </x:c>
      <x:c r="AG119" s="12" t="str">
        <x:v>https://wikiwiki.jp/poke-unite/%E3%82%B3%E3%83%80%E3%83%83%E3%82%AF</x:v>
      </x:c>
      <x:c r="AH119" s="12" t="str">
        <x:v>攻撃を受けるほど「ずつう」がたまり、限界に達すると周りの相手をまとめて吹き飛ばして反撃に転じるサポート型のポケモンです。味方の近くで多彩な妨害を差し込み、相手の攻めを受け止めてから返したい人に向いています。</x:v>
      </x:c>
      <x:c r="AI119" s="12" t="str">
        <x:v>動きを止める・味方を守る・序盤から強い</x:v>
      </x:c>
      <x:c r="AJ119" s="12" t="n">
        <x:v>0</x:v>
      </x:c>
    </x:row>
    <x:row r="120">
      <x:c r="A120" s="12" t="str">
        <x:v>ハピナス</x:v>
      </x:c>
      <x:c r="B120" s="12" t="str">
        <x:v>サポート型</x:v>
      </x:c>
      <x:c r="C120" s="12" t="str">
        <x:v>ハピナス-1</x:v>
      </x:c>
      <x:c r="D120" s="12" t="str">
        <x:v>共通</x:v>
      </x:c>
      <x:c r="E120" s="12" t="str">
        <x:v>Enchanter / Specialist</x:v>
      </x:c>
      <x:c r="F120" s="12" t="str">
        <x:v>Enchanter</x:v>
      </x:c>
      <x:c r="G120" s="12" t="str">
        <x:v>Specialist</x:v>
      </x:c>
      <x:c r="H120" s="12" t="str">
        <x:v>技で細部は変わるが、診断上のプレイ人格は大きく変わらないため統合</x:v>
      </x:c>
      <x:c r="I120" s="12" t="str">
        <x:v>高</x:v>
      </x:c>
      <x:c r="J120" s="12" t="str">
        <x:v>2026-09-30</x:v>
      </x:c>
      <x:c r="K120" s="12" t="n">
        <x:v>30</x:v>
      </x:c>
      <x:c r="L120" s="12" t="n">
        <x:v>0</x:v>
      </x:c>
      <x:c r="M120" s="12" t="n">
        <x:v>95</x:v>
      </x:c>
      <x:c r="N120" s="12" t="n">
        <x:v>15</x:v>
      </x:c>
      <x:c r="O120" s="12" t="n">
        <x:v>35</x:v>
      </x:c>
      <x:c r="P120" s="12" t="n">
        <x:v>55</x:v>
      </x:c>
      <x:c r="Q120" s="12" t="n">
        <x:v>55</x:v>
      </x:c>
      <x:c r="R120" s="12" t="n">
        <x:v>100</x:v>
      </x:c>
      <x:c r="S120" s="12" t="n">
        <x:v>50</x:v>
      </x:c>
      <x:c r="T120" s="12" t="n">
        <x:v>25</x:v>
      </x:c>
      <x:c r="U120" s="12" t="n">
        <x:v>10</x:v>
      </x:c>
      <x:c r="V120" s="12" t="n">
        <x:v>25</x:v>
      </x:c>
      <x:c r="W120" s="12" t="n">
        <x:v>45</x:v>
      </x:c>
      <x:c r="X120" s="12" t="n">
        <x:v>60</x:v>
      </x:c>
      <x:c r="Y120" s="12" t="n">
        <x:v>95</x:v>
      </x:c>
      <x:c r="Z120" s="12" t="n">
        <x:f>ROUND(MAX(0,MIN(100,0.40*K120+0.20*L120+0.10*S120+0.15*V120+0.15*Y120)),0)</x:f>
        <x:v>35</x:v>
      </x:c>
      <x:c r="AA120" s="12" t="n">
        <x:f>ROUND(MAX(0,MIN(100,0.30*L120+0.20*K120+0.15*V120+0.15*W120+0.10*S120+0.10*(100-M120))),0)</x:f>
        <x:v>22</x:v>
      </x:c>
      <x:c r="AB120" s="12" t="n">
        <x:f>ROUND(MAX(0,MIN(100,0.30*M120+0.25*R120+0.20*Q120+0.15*K120+0.10*(100-T120))),0)</x:f>
        <x:v>77</x:v>
      </x:c>
      <x:c r="AC120" s="12" t="n">
        <x:f>ROUND(MAX(0,MIN(100,0.55*T120+0.15*S120+0.10*N120+0.10*V120+0.10*W120)),0)</x:f>
        <x:v>30</x:v>
      </x:c>
      <x:c r="AD120" s="12" t="n">
        <x:f>ROUND(MAX(0,MIN(100,0.25*O120+0.25*Q120+0.20*Y120+0.15*U120+0.15*(100-L120))),0)</x:f>
        <x:v>58</x:v>
      </x:c>
      <x:c r="AE120" s="12" t="n">
        <x:f>ROUND(MAX(0,MIN(100,0.30*Y120+0.25*S120+0.15*Q120+0.15*T120+0.15*X120)),0)</x:f>
        <x:v>62</x:v>
      </x:c>
      <x:c r="AF120" s="12" t="n">
        <x:f>ROUND(MAX(0,MIN(100,0.65*X120+0.35*Y120)),0)</x:f>
        <x:v>72</x:v>
      </x:c>
      <x:c r="AG120" s="12" t="str">
        <x:v>https://wikiwiki.jp/poke-unite/%E3%83%8F%E3%83%94%E3%83%8A%E3%82%B9</x:v>
      </x:c>
      <x:c r="AH120" s="12" t="str">
        <x:v>回復とたまごで味方を支え、倒れにくい状況を作るサポート型のポケモンです。誰が狙われているかを見て、先回りして守りたい人に向いています。</x:v>
      </x:c>
      <x:c r="AI120" s="12" t="str">
        <x:v>回復やシールドで支える・味方を守る・先を読んで動く</x:v>
      </x:c>
      <x:c r="AJ120" s="12" t="n">
        <x:v>0</x:v>
      </x:c>
    </x:row>
    <x:row r="121">
      <x:c r="A121" s="12" t="str">
        <x:v>バリヤード</x:v>
      </x:c>
      <x:c r="B121" s="12" t="str">
        <x:v>サポート型</x:v>
      </x:c>
      <x:c r="C121" s="12" t="str">
        <x:v>バリヤード-1</x:v>
      </x:c>
      <x:c r="D121" s="12" t="str">
        <x:v>バリアー</x:v>
      </x:c>
      <x:c r="E121" s="12" t="str">
        <x:v>Catcher / Vanguard</x:v>
      </x:c>
      <x:c r="F121" s="12" t="str">
        <x:v>Catcher</x:v>
      </x:c>
      <x:c r="G121" s="12" t="str">
        <x:v>Vanguard</x:v>
      </x:c>
      <x:c r="H121" s="12" t="str">
        <x:v>立ち位置・戦闘距離・役割が大きく変わるため別プロファイル</x:v>
      </x:c>
      <x:c r="I121" s="12" t="str">
        <x:v>高</x:v>
      </x:c>
      <x:c r="J121" s="12" t="str">
        <x:v>2026-09-30</x:v>
      </x:c>
      <x:c r="K121" s="12" t="n">
        <x:v>85</x:v>
      </x:c>
      <x:c r="L121" s="12" t="n">
        <x:v>60</x:v>
      </x:c>
      <x:c r="M121" s="12" t="n">
        <x:v>60</x:v>
      </x:c>
      <x:c r="N121" s="12" t="n">
        <x:v>70</x:v>
      </x:c>
      <x:c r="O121" s="12" t="n">
        <x:v>25</x:v>
      </x:c>
      <x:c r="P121" s="12" t="n">
        <x:v>40</x:v>
      </x:c>
      <x:c r="Q121" s="12" t="n">
        <x:v>100</x:v>
      </x:c>
      <x:c r="R121" s="12" t="n">
        <x:v>20</x:v>
      </x:c>
      <x:c r="S121" s="12" t="n">
        <x:v>50</x:v>
      </x:c>
      <x:c r="T121" s="12" t="n">
        <x:v>45</x:v>
      </x:c>
      <x:c r="U121" s="12" t="n">
        <x:v>20</x:v>
      </x:c>
      <x:c r="V121" s="12" t="n">
        <x:v>30</x:v>
      </x:c>
      <x:c r="W121" s="12" t="n">
        <x:v>25</x:v>
      </x:c>
      <x:c r="X121" s="12" t="n">
        <x:v>65</x:v>
      </x:c>
      <x:c r="Y121" s="12" t="n">
        <x:v>80</x:v>
      </x:c>
      <x:c r="Z121" s="12" t="n">
        <x:f>ROUND(MAX(0,MIN(100,0.40*K121+0.20*L121+0.10*S121+0.15*V121+0.15*Y121)),0)</x:f>
        <x:v>68</x:v>
      </x:c>
      <x:c r="AA121" s="12" t="n">
        <x:f>ROUND(MAX(0,MIN(100,0.30*L121+0.20*K121+0.15*V121+0.15*W121+0.10*S121+0.10*(100-M121))),0)</x:f>
        <x:v>52</x:v>
      </x:c>
      <x:c r="AB121" s="12" t="n">
        <x:f>ROUND(MAX(0,MIN(100,0.30*M121+0.25*R121+0.20*Q121+0.15*K121+0.10*(100-T121))),0)</x:f>
        <x:v>61</x:v>
      </x:c>
      <x:c r="AC121" s="12" t="n">
        <x:f>ROUND(MAX(0,MIN(100,0.55*T121+0.15*S121+0.10*N121+0.10*V121+0.10*W121)),0)</x:f>
        <x:v>45</x:v>
      </x:c>
      <x:c r="AD121" s="12" t="n">
        <x:f>ROUND(MAX(0,MIN(100,0.25*O121+0.25*Q121+0.20*Y121+0.15*U121+0.15*(100-L121))),0)</x:f>
        <x:v>56</x:v>
      </x:c>
      <x:c r="AE121" s="12" t="n">
        <x:f>ROUND(MAX(0,MIN(100,0.30*Y121+0.25*S121+0.15*Q121+0.15*T121+0.15*X121)),0)</x:f>
        <x:v>68</x:v>
      </x:c>
      <x:c r="AF121" s="12" t="n">
        <x:f>ROUND(MAX(0,MIN(100,0.65*X121+0.35*Y121)),0)</x:f>
        <x:v>70</x:v>
      </x:c>
      <x:c r="AG121" s="12" t="str">
        <x:v>https://wikiwiki.jp/poke-unite/%E3%83%90%E3%83%AA%E3%83%A4%E3%83%BC%E3%83%89</x:v>
      </x:c>
      <x:c r="AH121" s="12" t="str">
        <x:v>「バリアー」で壁を作り、相手を閉じ込めたり分断したりする戦い方です。壁の置き方ひとつで戦況が変わるので、自分から仕掛けて相手の動きを縛りたい人に向いています。</x:v>
      </x:c>
      <x:c r="AI121" s="12" t="str">
        <x:v>動きを止める・自分から仕掛ける・先を読んで動く</x:v>
      </x:c>
      <x:c r="AJ121" s="12" t="n">
        <x:v>0</x:v>
      </x:c>
    </x:row>
    <x:row r="122">
      <x:c r="A122" s="12" t="str">
        <x:v>バリヤード</x:v>
      </x:c>
      <x:c r="B122" s="12" t="str">
        <x:v>サポート型</x:v>
      </x:c>
      <x:c r="C122" s="12" t="str">
        <x:v>バリヤード-2</x:v>
      </x:c>
      <x:c r="D122" s="12" t="str">
        <x:v>パワースワップ</x:v>
      </x:c>
      <x:c r="E122" s="12" t="str">
        <x:v>Enchanter / BattleMage</x:v>
      </x:c>
      <x:c r="F122" s="12" t="str">
        <x:v>Enchanter</x:v>
      </x:c>
      <x:c r="G122" s="12" t="str">
        <x:v>BattleMage</x:v>
      </x:c>
      <x:c r="H122" s="12" t="str">
        <x:v>立ち位置・戦闘距離・役割が大きく変わるため別プロファイル</x:v>
      </x:c>
      <x:c r="I122" s="12" t="str">
        <x:v>高</x:v>
      </x:c>
      <x:c r="J122" s="12" t="str">
        <x:v>2026-09-30</x:v>
      </x:c>
      <x:c r="K122" s="12" t="n">
        <x:v>30</x:v>
      </x:c>
      <x:c r="L122" s="12" t="n">
        <x:v>15</x:v>
      </x:c>
      <x:c r="M122" s="12" t="n">
        <x:v>65</x:v>
      </x:c>
      <x:c r="N122" s="12" t="n">
        <x:v>25</x:v>
      </x:c>
      <x:c r="O122" s="12" t="n">
        <x:v>35</x:v>
      </x:c>
      <x:c r="P122" s="12" t="n">
        <x:v>65</x:v>
      </x:c>
      <x:c r="Q122" s="12" t="n">
        <x:v>70</x:v>
      </x:c>
      <x:c r="R122" s="12" t="n">
        <x:v>90</x:v>
      </x:c>
      <x:c r="S122" s="12" t="n">
        <x:v>40</x:v>
      </x:c>
      <x:c r="T122" s="12" t="n">
        <x:v>35</x:v>
      </x:c>
      <x:c r="U122" s="12" t="n">
        <x:v>30</x:v>
      </x:c>
      <x:c r="V122" s="12" t="n">
        <x:v>40</x:v>
      </x:c>
      <x:c r="W122" s="12" t="n">
        <x:v>35</x:v>
      </x:c>
      <x:c r="X122" s="12" t="n">
        <x:v>70</x:v>
      </x:c>
      <x:c r="Y122" s="12" t="n">
        <x:v>70</x:v>
      </x:c>
      <x:c r="Z122" s="12" t="n">
        <x:f>ROUND(MAX(0,MIN(100,0.40*K122+0.20*L122+0.10*S122+0.15*V122+0.15*Y122)),0)</x:f>
        <x:v>36</x:v>
      </x:c>
      <x:c r="AA122" s="12" t="n">
        <x:f>ROUND(MAX(0,MIN(100,0.30*L122+0.20*K122+0.15*V122+0.15*W122+0.10*S122+0.10*(100-M122))),0)</x:f>
        <x:v>29</x:v>
      </x:c>
      <x:c r="AB122" s="12" t="n">
        <x:f>ROUND(MAX(0,MIN(100,0.30*M122+0.25*R122+0.20*Q122+0.15*K122+0.10*(100-T122))),0)</x:f>
        <x:v>67</x:v>
      </x:c>
      <x:c r="AC122" s="12" t="n">
        <x:f>ROUND(MAX(0,MIN(100,0.55*T122+0.15*S122+0.10*N122+0.10*V122+0.10*W122)),0)</x:f>
        <x:v>35</x:v>
      </x:c>
      <x:c r="AD122" s="12" t="n">
        <x:f>ROUND(MAX(0,MIN(100,0.25*O122+0.25*Q122+0.20*Y122+0.15*U122+0.15*(100-L122))),0)</x:f>
        <x:v>58</x:v>
      </x:c>
      <x:c r="AE122" s="12" t="n">
        <x:f>ROUND(MAX(0,MIN(100,0.30*Y122+0.25*S122+0.15*Q122+0.15*T122+0.15*X122)),0)</x:f>
        <x:v>57</x:v>
      </x:c>
      <x:c r="AF122" s="12" t="n">
        <x:f>ROUND(MAX(0,MIN(100,0.65*X122+0.35*Y122)),0)</x:f>
        <x:v>70</x:v>
      </x:c>
      <x:c r="AG122" s="12" t="str">
        <x:v>https://wikiwiki.jp/poke-unite/%E3%83%90%E3%83%AA%E3%83%A4%E3%83%BC%E3%83%89</x:v>
      </x:c>
      <x:c r="AH122" s="12" t="str">
        <x:v>「パワースワップ」で味方を強化しながら、妨害も重ねて支える戦い方です。味方の強みを引き出し、一緒に勝ちたい人に向いています。</x:v>
      </x:c>
      <x:c r="AI122" s="12" t="str">
        <x:v>回復やシールドで支える・動きを止める・味方と合わせて輝く</x:v>
      </x:c>
      <x:c r="AJ122" s="12" t="n">
        <x:v>0</x:v>
      </x:c>
    </x:row>
    <x:row r="123">
      <x:c r="A123" s="12" t="str">
        <x:v>ピクシー</x:v>
      </x:c>
      <x:c r="B123" s="12" t="str">
        <x:v>サポート型</x:v>
      </x:c>
      <x:c r="C123" s="12" t="str">
        <x:v>ピクシー-1</x:v>
      </x:c>
      <x:c r="D123" s="12" t="str">
        <x:v>共通</x:v>
      </x:c>
      <x:c r="E123" s="12" t="str">
        <x:v>Enchanter</x:v>
      </x:c>
      <x:c r="F123" s="12" t="str">
        <x:v>Enchanter</x:v>
      </x:c>
      <x:c r="G123" s="12"/>
      <x:c r="H123" s="12" t="str">
        <x:v>技で細部は変わるが、診断上のプレイ人格は大きく変わらないため統合</x:v>
      </x:c>
      <x:c r="I123" s="12" t="str">
        <x:v>高</x:v>
      </x:c>
      <x:c r="J123" s="12" t="str">
        <x:v>2026-09-30</x:v>
      </x:c>
      <x:c r="K123" s="12" t="n">
        <x:v>20</x:v>
      </x:c>
      <x:c r="L123" s="12" t="n">
        <x:v>0</x:v>
      </x:c>
      <x:c r="M123" s="12" t="n">
        <x:v>100</x:v>
      </x:c>
      <x:c r="N123" s="12" t="n">
        <x:v>15</x:v>
      </x:c>
      <x:c r="O123" s="12" t="n">
        <x:v>35</x:v>
      </x:c>
      <x:c r="P123" s="12" t="n">
        <x:v>55</x:v>
      </x:c>
      <x:c r="Q123" s="12" t="n">
        <x:v>60</x:v>
      </x:c>
      <x:c r="R123" s="12" t="n">
        <x:v>100</x:v>
      </x:c>
      <x:c r="S123" s="12" t="n">
        <x:v>30</x:v>
      </x:c>
      <x:c r="T123" s="12" t="n">
        <x:v>5</x:v>
      </x:c>
      <x:c r="U123" s="12" t="n">
        <x:v>0</x:v>
      </x:c>
      <x:c r="V123" s="12" t="n">
        <x:v>15</x:v>
      </x:c>
      <x:c r="W123" s="12" t="n">
        <x:v>25</x:v>
      </x:c>
      <x:c r="X123" s="12" t="n">
        <x:v>50</x:v>
      </x:c>
      <x:c r="Y123" s="12" t="n">
        <x:v>95</x:v>
      </x:c>
      <x:c r="Z123" s="12" t="n">
        <x:f>ROUND(MAX(0,MIN(100,0.40*K123+0.20*L123+0.10*S123+0.15*V123+0.15*Y123)),0)</x:f>
        <x:v>28</x:v>
      </x:c>
      <x:c r="AA123" s="12" t="n">
        <x:f>ROUND(MAX(0,MIN(100,0.30*L123+0.20*K123+0.15*V123+0.15*W123+0.10*S123+0.10*(100-M123))),0)</x:f>
        <x:v>13</x:v>
      </x:c>
      <x:c r="AB123" s="12" t="n">
        <x:f>ROUND(MAX(0,MIN(100,0.30*M123+0.25*R123+0.20*Q123+0.15*K123+0.10*(100-T123))),0)</x:f>
        <x:v>80</x:v>
      </x:c>
      <x:c r="AC123" s="12" t="n">
        <x:f>ROUND(MAX(0,MIN(100,0.55*T123+0.15*S123+0.10*N123+0.10*V123+0.10*W123)),0)</x:f>
        <x:v>13</x:v>
      </x:c>
      <x:c r="AD123" s="12" t="n">
        <x:f>ROUND(MAX(0,MIN(100,0.25*O123+0.25*Q123+0.20*Y123+0.15*U123+0.15*(100-L123))),0)</x:f>
        <x:v>58</x:v>
      </x:c>
      <x:c r="AE123" s="12" t="n">
        <x:f>ROUND(MAX(0,MIN(100,0.30*Y123+0.25*S123+0.15*Q123+0.15*T123+0.15*X123)),0)</x:f>
        <x:v>53</x:v>
      </x:c>
      <x:c r="AF123" s="12" t="n">
        <x:f>ROUND(MAX(0,MIN(100,0.65*X123+0.35*Y123)),0)</x:f>
        <x:v>66</x:v>
      </x:c>
      <x:c r="AG123" s="12" t="str">
        <x:v>https://wikiwiki.jp/poke-unite/%E3%83%94%E3%82%AF%E3%82%B7%E3%83%BC</x:v>
      </x:c>
      <x:c r="AH123" s="12" t="str">
        <x:v>回復と独自の妨害で集団戦を支えるサポート型のポケモンです。前に出るより味方のそばに立ち、みんなで勝つ形を作りたい人に向いています。</x:v>
      </x:c>
      <x:c r="AI123" s="12" t="str">
        <x:v>回復やシールドで支える・味方を守る・味方と合わせて輝く</x:v>
      </x:c>
      <x:c r="AJ123" s="12" t="n">
        <x:v>0</x:v>
      </x:c>
    </x:row>
    <x:row r="124">
      <x:c r="A124" s="12" t="str">
        <x:v>フーパ</x:v>
      </x:c>
      <x:c r="B124" s="12" t="str">
        <x:v>サポート型</x:v>
      </x:c>
      <x:c r="C124" s="12" t="str">
        <x:v>フーパ-1</x:v>
      </x:c>
      <x:c r="D124" s="12" t="str">
        <x:v>いじげんホール</x:v>
      </x:c>
      <x:c r="E124" s="12" t="str">
        <x:v>Specialist / Enchanter</x:v>
      </x:c>
      <x:c r="F124" s="12" t="str">
        <x:v>Specialist</x:v>
      </x:c>
      <x:c r="G124" s="12" t="str">
        <x:v>Enchanter</x:v>
      </x:c>
      <x:c r="H124" s="12" t="str">
        <x:v>立ち位置・戦闘距離・役割が大きく変わるため別プロファイル</x:v>
      </x:c>
      <x:c r="I124" s="12" t="str">
        <x:v>高</x:v>
      </x:c>
      <x:c r="J124" s="12" t="str">
        <x:v>2026-09-30</x:v>
      </x:c>
      <x:c r="K124" s="12" t="n">
        <x:v>10</x:v>
      </x:c>
      <x:c r="L124" s="12" t="n">
        <x:v>0</x:v>
      </x:c>
      <x:c r="M124" s="12" t="n">
        <x:v>85</x:v>
      </x:c>
      <x:c r="N124" s="12" t="n">
        <x:v>15</x:v>
      </x:c>
      <x:c r="O124" s="12" t="n">
        <x:v>25</x:v>
      </x:c>
      <x:c r="P124" s="12" t="n">
        <x:v>45</x:v>
      </x:c>
      <x:c r="Q124" s="12" t="n">
        <x:v>45</x:v>
      </x:c>
      <x:c r="R124" s="12" t="n">
        <x:v>100</x:v>
      </x:c>
      <x:c r="S124" s="12" t="n">
        <x:v>100</x:v>
      </x:c>
      <x:c r="T124" s="12" t="n">
        <x:v>25</x:v>
      </x:c>
      <x:c r="U124" s="12" t="n">
        <x:v>0</x:v>
      </x:c>
      <x:c r="V124" s="12" t="n">
        <x:v>10</x:v>
      </x:c>
      <x:c r="W124" s="12" t="n">
        <x:v>100</x:v>
      </x:c>
      <x:c r="X124" s="12" t="n">
        <x:v>60</x:v>
      </x:c>
      <x:c r="Y124" s="12" t="n">
        <x:v>100</x:v>
      </x:c>
      <x:c r="Z124" s="12" t="n">
        <x:f>ROUND(MAX(0,MIN(100,0.40*K124+0.20*L124+0.10*S124+0.15*V124+0.15*Y124)),0)</x:f>
        <x:v>31</x:v>
      </x:c>
      <x:c r="AA124" s="12" t="n">
        <x:f>ROUND(MAX(0,MIN(100,0.30*L124+0.20*K124+0.15*V124+0.15*W124+0.10*S124+0.10*(100-M124))),0)</x:f>
        <x:v>30</x:v>
      </x:c>
      <x:c r="AB124" s="12" t="n">
        <x:f>ROUND(MAX(0,MIN(100,0.30*M124+0.25*R124+0.20*Q124+0.15*K124+0.10*(100-T124))),0)</x:f>
        <x:v>69</x:v>
      </x:c>
      <x:c r="AC124" s="12" t="n">
        <x:f>ROUND(MAX(0,MIN(100,0.55*T124+0.15*S124+0.10*N124+0.10*V124+0.10*W124)),0)</x:f>
        <x:v>41</x:v>
      </x:c>
      <x:c r="AD124" s="12" t="n">
        <x:f>ROUND(MAX(0,MIN(100,0.25*O124+0.25*Q124+0.20*Y124+0.15*U124+0.15*(100-L124))),0)</x:f>
        <x:v>53</x:v>
      </x:c>
      <x:c r="AE124" s="12" t="n">
        <x:f>ROUND(MAX(0,MIN(100,0.30*Y124+0.25*S124+0.15*Q124+0.15*T124+0.15*X124)),0)</x:f>
        <x:v>75</x:v>
      </x:c>
      <x:c r="AF124" s="12" t="n">
        <x:f>ROUND(MAX(0,MIN(100,0.65*X124+0.35*Y124)),0)</x:f>
        <x:v>74</x:v>
      </x:c>
      <x:c r="AG124" s="12" t="str">
        <x:v>https://wikiwiki.jp/poke-unite/%E3%83%95%E3%83%BC%E3%83%91</x:v>
      </x:c>
      <x:c r="AH124" s="12" t="str">
        <x:v>「いじげんホール」で味方を遠くへ送り届け、マップ全体の動きを組み立てる戦い方です。目の前の戦闘だけでなく、味方の移動や合流まで考えて動きたい人に向いています。</x:v>
      </x:c>
      <x:c r="AI124" s="12" t="str">
        <x:v>先を読んで動く・マップを駆け回る・回復やシールドで支える</x:v>
      </x:c>
      <x:c r="AJ124" s="12" t="n">
        <x:v>0</x:v>
      </x:c>
    </x:row>
    <x:row r="125">
      <x:c r="A125" s="12" t="str">
        <x:v>フーパ</x:v>
      </x:c>
      <x:c r="B125" s="12" t="str">
        <x:v>サポート型</x:v>
      </x:c>
      <x:c r="C125" s="12" t="str">
        <x:v>フーパ-2</x:v>
      </x:c>
      <x:c r="D125" s="12" t="str">
        <x:v>トリック</x:v>
      </x:c>
      <x:c r="E125" s="12" t="str">
        <x:v>Enchanter / BattleMage</x:v>
      </x:c>
      <x:c r="F125" s="12" t="str">
        <x:v>Enchanter</x:v>
      </x:c>
      <x:c r="G125" s="12" t="str">
        <x:v>BattleMage</x:v>
      </x:c>
      <x:c r="H125" s="12" t="str">
        <x:v>立ち位置・戦闘距離・役割が大きく変わるため別プロファイル</x:v>
      </x:c>
      <x:c r="I125" s="12" t="str">
        <x:v>高</x:v>
      </x:c>
      <x:c r="J125" s="12" t="str">
        <x:v>2026-09-30</x:v>
      </x:c>
      <x:c r="K125" s="12" t="n">
        <x:v>30</x:v>
      </x:c>
      <x:c r="L125" s="12" t="n">
        <x:v>25</x:v>
      </x:c>
      <x:c r="M125" s="12" t="n">
        <x:v>80</x:v>
      </x:c>
      <x:c r="N125" s="12" t="n">
        <x:v>15</x:v>
      </x:c>
      <x:c r="O125" s="12" t="n">
        <x:v>50</x:v>
      </x:c>
      <x:c r="P125" s="12" t="n">
        <x:v>45</x:v>
      </x:c>
      <x:c r="Q125" s="12" t="n">
        <x:v>55</x:v>
      </x:c>
      <x:c r="R125" s="12" t="n">
        <x:v>100</x:v>
      </x:c>
      <x:c r="S125" s="12" t="n">
        <x:v>70</x:v>
      </x:c>
      <x:c r="T125" s="12" t="n">
        <x:v>35</x:v>
      </x:c>
      <x:c r="U125" s="12" t="n">
        <x:v>10</x:v>
      </x:c>
      <x:c r="V125" s="12" t="n">
        <x:v>25</x:v>
      </x:c>
      <x:c r="W125" s="12" t="n">
        <x:v>45</x:v>
      </x:c>
      <x:c r="X125" s="12" t="n">
        <x:v>60</x:v>
      </x:c>
      <x:c r="Y125" s="12" t="n">
        <x:v>85</x:v>
      </x:c>
      <x:c r="Z125" s="12" t="n">
        <x:f>ROUND(MAX(0,MIN(100,0.40*K125+0.20*L125+0.10*S125+0.15*V125+0.15*Y125)),0)</x:f>
        <x:v>41</x:v>
      </x:c>
      <x:c r="AA125" s="12" t="n">
        <x:f>ROUND(MAX(0,MIN(100,0.30*L125+0.20*K125+0.15*V125+0.15*W125+0.10*S125+0.10*(100-M125))),0)</x:f>
        <x:v>33</x:v>
      </x:c>
      <x:c r="AB125" s="12" t="n">
        <x:f>ROUND(MAX(0,MIN(100,0.30*M125+0.25*R125+0.20*Q125+0.15*K125+0.10*(100-T125))),0)</x:f>
        <x:v>71</x:v>
      </x:c>
      <x:c r="AC125" s="12" t="n">
        <x:f>ROUND(MAX(0,MIN(100,0.55*T125+0.15*S125+0.10*N125+0.10*V125+0.10*W125)),0)</x:f>
        <x:v>38</x:v>
      </x:c>
      <x:c r="AD125" s="12" t="n">
        <x:f>ROUND(MAX(0,MIN(100,0.25*O125+0.25*Q125+0.20*Y125+0.15*U125+0.15*(100-L125))),0)</x:f>
        <x:v>56</x:v>
      </x:c>
      <x:c r="AE125" s="12" t="n">
        <x:f>ROUND(MAX(0,MIN(100,0.30*Y125+0.25*S125+0.15*Q125+0.15*T125+0.15*X125)),0)</x:f>
        <x:v>66</x:v>
      </x:c>
      <x:c r="AF125" s="12" t="n">
        <x:f>ROUND(MAX(0,MIN(100,0.65*X125+0.35*Y125)),0)</x:f>
        <x:v>69</x:v>
      </x:c>
      <x:c r="AG125" s="12" t="str">
        <x:v>https://wikiwiki.jp/poke-unite/%E3%83%95%E3%83%BC%E3%83%91</x:v>
      </x:c>
      <x:c r="AH125" s="12" t="str">
        <x:v>「トリック」で味方とリングでつながり、移動速度アップとシールドで狙われた味方を逃がす戦い方です。味方の近くで危ない場面を見張り、先回りして助けたい人に向いています。</x:v>
      </x:c>
      <x:c r="AI125" s="12" t="str">
        <x:v>回復やシールドで支える・味方を守る・先を読んで動く</x:v>
      </x:c>
      <x:c r="AJ125" s="12" t="n">
        <x:v>0</x:v>
      </x:c>
    </x:row>
    <x:row r="126">
      <x:c r="A126" s="12" t="str">
        <x:v>プクリン</x:v>
      </x:c>
      <x:c r="B126" s="12" t="str">
        <x:v>サポート型</x:v>
      </x:c>
      <x:c r="C126" s="12" t="str">
        <x:v>プクリン-1</x:v>
      </x:c>
      <x:c r="D126" s="12" t="str">
        <x:v>共通</x:v>
      </x:c>
      <x:c r="E126" s="12" t="str">
        <x:v>Warden</x:v>
      </x:c>
      <x:c r="F126" s="12" t="str">
        <x:v>Warden</x:v>
      </x:c>
      <x:c r="G126" s="12"/>
      <x:c r="H126" s="12" t="str">
        <x:v>技で細部は変わるが、診断上のプレイ人格は大きく変わらないため統合</x:v>
      </x:c>
      <x:c r="I126" s="12" t="str">
        <x:v>高</x:v>
      </x:c>
      <x:c r="J126" s="12" t="str">
        <x:v>2026-09-30</x:v>
      </x:c>
      <x:c r="K126" s="12" t="n">
        <x:v>45</x:v>
      </x:c>
      <x:c r="L126" s="12" t="n">
        <x:v>0</x:v>
      </x:c>
      <x:c r="M126" s="12" t="n">
        <x:v>100</x:v>
      </x:c>
      <x:c r="N126" s="12" t="n">
        <x:v>95</x:v>
      </x:c>
      <x:c r="O126" s="12" t="n">
        <x:v>20</x:v>
      </x:c>
      <x:c r="P126" s="12" t="n">
        <x:v>60</x:v>
      </x:c>
      <x:c r="Q126" s="12" t="n">
        <x:v>100</x:v>
      </x:c>
      <x:c r="R126" s="12" t="n">
        <x:v>50</x:v>
      </x:c>
      <x:c r="S126" s="12" t="n">
        <x:v>20</x:v>
      </x:c>
      <x:c r="T126" s="12" t="n">
        <x:v>35</x:v>
      </x:c>
      <x:c r="U126" s="12" t="n">
        <x:v>0</x:v>
      </x:c>
      <x:c r="V126" s="12" t="n">
        <x:v>20</x:v>
      </x:c>
      <x:c r="W126" s="12" t="n">
        <x:v>20</x:v>
      </x:c>
      <x:c r="X126" s="12" t="n">
        <x:v>50</x:v>
      </x:c>
      <x:c r="Y126" s="12" t="n">
        <x:v>85</x:v>
      </x:c>
      <x:c r="Z126" s="12" t="n">
        <x:f>ROUND(MAX(0,MIN(100,0.40*K126+0.20*L126+0.10*S126+0.15*V126+0.15*Y126)),0)</x:f>
        <x:v>36</x:v>
      </x:c>
      <x:c r="AA126" s="12" t="n">
        <x:f>ROUND(MAX(0,MIN(100,0.30*L126+0.20*K126+0.15*V126+0.15*W126+0.10*S126+0.10*(100-M126))),0)</x:f>
        <x:v>17</x:v>
      </x:c>
      <x:c r="AB126" s="12" t="n">
        <x:f>ROUND(MAX(0,MIN(100,0.30*M126+0.25*R126+0.20*Q126+0.15*K126+0.10*(100-T126))),0)</x:f>
        <x:v>76</x:v>
      </x:c>
      <x:c r="AC126" s="12" t="n">
        <x:f>ROUND(MAX(0,MIN(100,0.55*T126+0.15*S126+0.10*N126+0.10*V126+0.10*W126)),0)</x:f>
        <x:v>36</x:v>
      </x:c>
      <x:c r="AD126" s="12" t="n">
        <x:f>ROUND(MAX(0,MIN(100,0.25*O126+0.25*Q126+0.20*Y126+0.15*U126+0.15*(100-L126))),0)</x:f>
        <x:v>62</x:v>
      </x:c>
      <x:c r="AE126" s="12" t="n">
        <x:f>ROUND(MAX(0,MIN(100,0.30*Y126+0.25*S126+0.15*Q126+0.15*T126+0.15*X126)),0)</x:f>
        <x:v>58</x:v>
      </x:c>
      <x:c r="AF126" s="12" t="n">
        <x:f>ROUND(MAX(0,MIN(100,0.65*X126+0.35*Y126)),0)</x:f>
        <x:v>62</x:v>
      </x:c>
      <x:c r="AG126" s="12" t="str">
        <x:v>https://wikiwiki.jp/poke-unite/%E3%83%97%E3%82%AF%E3%83%AA%E3%83%B3</x:v>
      </x:c>
      <x:c r="AH126" s="12" t="str">
        <x:v>相手を眠らせて攻めを止め、前に立って味方を守るサポート型のポケモンです。相手を食い止めて、味方に戦う時間を作りたい人に向いています。</x:v>
      </x:c>
      <x:c r="AI126" s="12" t="str">
        <x:v>味方を守る・動きを止める・前線を支える</x:v>
      </x:c>
      <x:c r="AJ126" s="12" t="n">
        <x:v>0</x:v>
      </x:c>
    </x:row>
    <x:row r="127">
      <x:c r="A127" s="12" t="str">
        <x:v>マホイップ</x:v>
      </x:c>
      <x:c r="B127" s="12" t="str">
        <x:v>サポート型</x:v>
      </x:c>
      <x:c r="C127" s="12" t="str">
        <x:v>マホイップ-1</x:v>
      </x:c>
      <x:c r="D127" s="12" t="str">
        <x:v>共通</x:v>
      </x:c>
      <x:c r="E127" s="12" t="str">
        <x:v>Enchanter</x:v>
      </x:c>
      <x:c r="F127" s="12" t="str">
        <x:v>Enchanter</x:v>
      </x:c>
      <x:c r="G127" s="12"/>
      <x:c r="H127" s="12" t="str">
        <x:v>技で細部は変わるが、診断上のプレイ人格は大きく変わらないため統合</x:v>
      </x:c>
      <x:c r="I127" s="12" t="str">
        <x:v>高</x:v>
      </x:c>
      <x:c r="J127" s="12" t="str">
        <x:v>2026-09-30</x:v>
      </x:c>
      <x:c r="K127" s="12" t="n">
        <x:v>5</x:v>
      </x:c>
      <x:c r="L127" s="12" t="n">
        <x:v>0</x:v>
      </x:c>
      <x:c r="M127" s="12" t="n">
        <x:v>95</x:v>
      </x:c>
      <x:c r="N127" s="12" t="n">
        <x:v>0</x:v>
      </x:c>
      <x:c r="O127" s="12" t="n">
        <x:v>25</x:v>
      </x:c>
      <x:c r="P127" s="12" t="n">
        <x:v>55</x:v>
      </x:c>
      <x:c r="Q127" s="12" t="n">
        <x:v>35</x:v>
      </x:c>
      <x:c r="R127" s="12" t="n">
        <x:v>100</x:v>
      </x:c>
      <x:c r="S127" s="12" t="n">
        <x:v>5</x:v>
      </x:c>
      <x:c r="T127" s="12" t="n">
        <x:v>5</x:v>
      </x:c>
      <x:c r="U127" s="12" t="n">
        <x:v>10</x:v>
      </x:c>
      <x:c r="V127" s="12" t="n">
        <x:v>5</x:v>
      </x:c>
      <x:c r="W127" s="12" t="n">
        <x:v>5</x:v>
      </x:c>
      <x:c r="X127" s="12" t="n">
        <x:v>40</x:v>
      </x:c>
      <x:c r="Y127" s="12" t="n">
        <x:v>85</x:v>
      </x:c>
      <x:c r="Z127" s="12" t="n">
        <x:f>ROUND(MAX(0,MIN(100,0.40*K127+0.20*L127+0.10*S127+0.15*V127+0.15*Y127)),0)</x:f>
        <x:v>16</x:v>
      </x:c>
      <x:c r="AA127" s="12" t="n">
        <x:f>ROUND(MAX(0,MIN(100,0.30*L127+0.20*K127+0.15*V127+0.15*W127+0.10*S127+0.10*(100-M127))),0)</x:f>
        <x:v>4</x:v>
      </x:c>
      <x:c r="AB127" s="12" t="n">
        <x:f>ROUND(MAX(0,MIN(100,0.30*M127+0.25*R127+0.20*Q127+0.15*K127+0.10*(100-T127))),0)</x:f>
        <x:v>71</x:v>
      </x:c>
      <x:c r="AC127" s="12" t="n">
        <x:f>ROUND(MAX(0,MIN(100,0.55*T127+0.15*S127+0.10*N127+0.10*V127+0.10*W127)),0)</x:f>
        <x:v>5</x:v>
      </x:c>
      <x:c r="AD127" s="12" t="n">
        <x:f>ROUND(MAX(0,MIN(100,0.25*O127+0.25*Q127+0.20*Y127+0.15*U127+0.15*(100-L127))),0)</x:f>
        <x:v>49</x:v>
      </x:c>
      <x:c r="AE127" s="12" t="n">
        <x:f>ROUND(MAX(0,MIN(100,0.30*Y127+0.25*S127+0.15*Q127+0.15*T127+0.15*X127)),0)</x:f>
        <x:v>39</x:v>
      </x:c>
      <x:c r="AF127" s="12" t="n">
        <x:f>ROUND(MAX(0,MIN(100,0.65*X127+0.35*Y127)),0)</x:f>
        <x:v>56</x:v>
      </x:c>
      <x:c r="AG127" s="12" t="str">
        <x:v>https://wikiwiki.jp/poke-unite/%E3%83%9E%E3%83%9B%E3%82%A4%E3%83%83%E3%83%97</x:v>
      </x:c>
      <x:c r="AH127" s="12" t="str">
        <x:v>ホイップクリームとシールドで味方を回復・保護し、妨害の解除までこなす後方支援のサポート型のポケモンです。前に出るより味方の後ろに立ち、みんなを支えたい人に向いています。</x:v>
      </x:c>
      <x:c r="AI127" s="12" t="str">
        <x:v>回復やシールドで支える・味方を守る・味方と合わせて輝く</x:v>
      </x:c>
      <x:c r="AJ127" s="12" t="n">
        <x:v>0</x:v>
      </x:c>
    </x:row>
    <x:row r="128">
      <x:c r="A128" s="12" t="str">
        <x:v>メガニウム</x:v>
      </x:c>
      <x:c r="B128" s="12" t="str">
        <x:v>サポート型</x:v>
      </x:c>
      <x:c r="C128" s="12" t="str">
        <x:v>メガニウム-1</x:v>
      </x:c>
      <x:c r="D128" s="12" t="str">
        <x:v>共通</x:v>
      </x:c>
      <x:c r="E128" s="12" t="str">
        <x:v>Enchanter</x:v>
      </x:c>
      <x:c r="F128" s="12" t="str">
        <x:v>Enchanter</x:v>
      </x:c>
      <x:c r="G128" s="12"/>
      <x:c r="H128" s="12" t="str">
        <x:v>技で細部は変わるが、診断上のプレイ人格は大きく変わらないため統合</x:v>
      </x:c>
      <x:c r="I128" s="12" t="str">
        <x:v>中</x:v>
      </x:c>
      <x:c r="J128" s="12" t="str">
        <x:v>2026-09-30</x:v>
      </x:c>
      <x:c r="K128" s="12" t="n">
        <x:v>20</x:v>
      </x:c>
      <x:c r="L128" s="12" t="n">
        <x:v>0</x:v>
      </x:c>
      <x:c r="M128" s="12" t="n">
        <x:v>95</x:v>
      </x:c>
      <x:c r="N128" s="12" t="n">
        <x:v>15</x:v>
      </x:c>
      <x:c r="O128" s="12" t="n">
        <x:v>35</x:v>
      </x:c>
      <x:c r="P128" s="12" t="n">
        <x:v>70</x:v>
      </x:c>
      <x:c r="Q128" s="12" t="n">
        <x:v>65</x:v>
      </x:c>
      <x:c r="R128" s="12" t="n">
        <x:v>100</x:v>
      </x:c>
      <x:c r="S128" s="12" t="n">
        <x:v>35</x:v>
      </x:c>
      <x:c r="T128" s="12" t="n">
        <x:v>15</x:v>
      </x:c>
      <x:c r="U128" s="12" t="n">
        <x:v>10</x:v>
      </x:c>
      <x:c r="V128" s="12" t="n">
        <x:v>15</x:v>
      </x:c>
      <x:c r="W128" s="12" t="n">
        <x:v>25</x:v>
      </x:c>
      <x:c r="X128" s="12" t="n">
        <x:v>45</x:v>
      </x:c>
      <x:c r="Y128" s="12" t="n">
        <x:v>85</x:v>
      </x:c>
      <x:c r="Z128" s="12" t="n">
        <x:f>ROUND(MAX(0,MIN(100,0.40*K128+0.20*L128+0.10*S128+0.15*V128+0.15*Y128)),0)</x:f>
        <x:v>27</x:v>
      </x:c>
      <x:c r="AA128" s="12" t="n">
        <x:f>ROUND(MAX(0,MIN(100,0.30*L128+0.20*K128+0.15*V128+0.15*W128+0.10*S128+0.10*(100-M128))),0)</x:f>
        <x:v>14</x:v>
      </x:c>
      <x:c r="AB128" s="12" t="n">
        <x:f>ROUND(MAX(0,MIN(100,0.30*M128+0.25*R128+0.20*Q128+0.15*K128+0.10*(100-T128))),0)</x:f>
        <x:v>78</x:v>
      </x:c>
      <x:c r="AC128" s="12" t="n">
        <x:f>ROUND(MAX(0,MIN(100,0.55*T128+0.15*S128+0.10*N128+0.10*V128+0.10*W128)),0)</x:f>
        <x:v>19</x:v>
      </x:c>
      <x:c r="AD128" s="12" t="n">
        <x:f>ROUND(MAX(0,MIN(100,0.25*O128+0.25*Q128+0.20*Y128+0.15*U128+0.15*(100-L128))),0)</x:f>
        <x:v>59</x:v>
      </x:c>
      <x:c r="AE128" s="12" t="n">
        <x:f>ROUND(MAX(0,MIN(100,0.30*Y128+0.25*S128+0.15*Q128+0.15*T128+0.15*X128)),0)</x:f>
        <x:v>53</x:v>
      </x:c>
      <x:c r="AF128" s="12" t="n">
        <x:f>ROUND(MAX(0,MIN(100,0.65*X128+0.35*Y128)),0)</x:f>
        <x:v>59</x:v>
      </x:c>
      <x:c r="AG128" s="12" t="str">
        <x:v>https://wikiwiki.jp/poke-unite/%E3%83%A1%E3%82%AC%E3%83%8B%E3%82%A6%E3%83%A0</x:v>
      </x:c>
      <x:c r="AH128" s="12" t="str">
        <x:v>回復と妨害を両立し、回転の速いユナイトわざで次のわざを強化して戦うサポート型のポケモンです。味方の近くで粘り強く支え、長い集団戦を勝ち切りたい人に向いています。</x:v>
      </x:c>
      <x:c r="AI128" s="12" t="str">
        <x:v>回復やシールドで支える・味方を守る・長く戦う</x:v>
      </x:c>
      <x:c r="AJ128" s="12" t="n">
        <x:v>0</x:v>
      </x:c>
    </x:row>
    <x:row r="129">
      <x:c r="A129" s="12" t="str">
        <x:v>ヤミラミ</x:v>
      </x:c>
      <x:c r="B129" s="12" t="str">
        <x:v>サポート型</x:v>
      </x:c>
      <x:c r="C129" s="12" t="str">
        <x:v>ヤミラミ-1</x:v>
      </x:c>
      <x:c r="D129" s="12" t="str">
        <x:v>共通</x:v>
      </x:c>
      <x:c r="E129" s="12" t="str">
        <x:v>Specialist</x:v>
      </x:c>
      <x:c r="F129" s="12" t="str">
        <x:v>Specialist</x:v>
      </x:c>
      <x:c r="G129" s="12"/>
      <x:c r="H129" s="12" t="str">
        <x:v>技で細部は変わるが、診断上のプレイ人格は大きく変わらないため統合</x:v>
      </x:c>
      <x:c r="I129" s="12" t="str">
        <x:v>高</x:v>
      </x:c>
      <x:c r="J129" s="12" t="str">
        <x:v>2026-09-30</x:v>
      </x:c>
      <x:c r="K129" s="12" t="n">
        <x:v>55</x:v>
      </x:c>
      <x:c r="L129" s="12" t="n">
        <x:v>45</x:v>
      </x:c>
      <x:c r="M129" s="12" t="n">
        <x:v>25</x:v>
      </x:c>
      <x:c r="N129" s="12" t="n">
        <x:v>35</x:v>
      </x:c>
      <x:c r="O129" s="12" t="n">
        <x:v>5</x:v>
      </x:c>
      <x:c r="P129" s="12" t="n">
        <x:v>45</x:v>
      </x:c>
      <x:c r="Q129" s="12" t="n">
        <x:v>100</x:v>
      </x:c>
      <x:c r="R129" s="12" t="n">
        <x:v>35</x:v>
      </x:c>
      <x:c r="S129" s="12" t="n">
        <x:v>100</x:v>
      </x:c>
      <x:c r="T129" s="12" t="n">
        <x:v>40</x:v>
      </x:c>
      <x:c r="U129" s="12" t="n">
        <x:v>5</x:v>
      </x:c>
      <x:c r="V129" s="12" t="n">
        <x:v>25</x:v>
      </x:c>
      <x:c r="W129" s="12" t="n">
        <x:v>100</x:v>
      </x:c>
      <x:c r="X129" s="12" t="n">
        <x:v>60</x:v>
      </x:c>
      <x:c r="Y129" s="12" t="n">
        <x:v>90</x:v>
      </x:c>
      <x:c r="Z129" s="12" t="n">
        <x:f>ROUND(MAX(0,MIN(100,0.40*K129+0.20*L129+0.10*S129+0.15*V129+0.15*Y129)),0)</x:f>
        <x:v>58</x:v>
      </x:c>
      <x:c r="AA129" s="12" t="n">
        <x:f>ROUND(MAX(0,MIN(100,0.30*L129+0.20*K129+0.15*V129+0.15*W129+0.10*S129+0.10*(100-M129))),0)</x:f>
        <x:v>61</x:v>
      </x:c>
      <x:c r="AB129" s="12" t="n">
        <x:f>ROUND(MAX(0,MIN(100,0.30*M129+0.25*R129+0.20*Q129+0.15*K129+0.10*(100-T129))),0)</x:f>
        <x:v>51</x:v>
      </x:c>
      <x:c r="AC129" s="12" t="n">
        <x:f>ROUND(MAX(0,MIN(100,0.55*T129+0.15*S129+0.10*N129+0.10*V129+0.10*W129)),0)</x:f>
        <x:v>53</x:v>
      </x:c>
      <x:c r="AD129" s="12" t="n">
        <x:f>ROUND(MAX(0,MIN(100,0.25*O129+0.25*Q129+0.20*Y129+0.15*U129+0.15*(100-L129))),0)</x:f>
        <x:v>53</x:v>
      </x:c>
      <x:c r="AE129" s="12" t="n">
        <x:f>ROUND(MAX(0,MIN(100,0.30*Y129+0.25*S129+0.15*Q129+0.15*T129+0.15*X129)),0)</x:f>
        <x:v>82</x:v>
      </x:c>
      <x:c r="AF129" s="12" t="n">
        <x:f>ROUND(MAX(0,MIN(100,0.65*X129+0.35*Y129)),0)</x:f>
        <x:v>71</x:v>
      </x:c>
      <x:c r="AG129" s="12" t="str">
        <x:v>https://wikiwiki.jp/poke-unite/%E3%83%A4%E3%83%9F%E3%83%A9%E3%83%9F</x:v>
      </x:c>
      <x:c r="AH129" s="12" t="str">
        <x:v>姿を隠して動き回り、相手の不意を突いて妨害するサポート型のポケモンです。正面から戦うより、見えない場所から相手を困らせたい人に向いています。</x:v>
      </x:c>
      <x:c r="AI129" s="12" t="str">
        <x:v>マップを駆け回る・動きを止める・空いたゴールを狙う</x:v>
      </x:c>
      <x:c r="AJ129" s="12" t="n">
        <x:v>0</x:v>
      </x:c>
    </x:row>
    <x:row r="130">
      <x:c r="A130" s="12" t="str">
        <x:v>ラティアス</x:v>
      </x:c>
      <x:c r="B130" s="12" t="str">
        <x:v>サポート型</x:v>
      </x:c>
      <x:c r="C130" s="12" t="str">
        <x:v>ラティアス-1</x:v>
      </x:c>
      <x:c r="D130" s="12" t="str">
        <x:v>共通</x:v>
      </x:c>
      <x:c r="E130" s="12" t="str">
        <x:v>Enchanter / BattleMage</x:v>
      </x:c>
      <x:c r="F130" s="12" t="str">
        <x:v>Enchanter</x:v>
      </x:c>
      <x:c r="G130" s="12" t="str">
        <x:v>BattleMage</x:v>
      </x:c>
      <x:c r="H130" s="12" t="str">
        <x:v>技で細部は変わるが、診断上のプレイ人格は大きく変わらないため統合</x:v>
      </x:c>
      <x:c r="I130" s="12" t="str">
        <x:v>高</x:v>
      </x:c>
      <x:c r="J130" s="12" t="str">
        <x:v>2026-09-30</x:v>
      </x:c>
      <x:c r="K130" s="12" t="n">
        <x:v>30</x:v>
      </x:c>
      <x:c r="L130" s="12" t="n">
        <x:v>15</x:v>
      </x:c>
      <x:c r="M130" s="12" t="n">
        <x:v>65</x:v>
      </x:c>
      <x:c r="N130" s="12" t="n">
        <x:v>25</x:v>
      </x:c>
      <x:c r="O130" s="12" t="n">
        <x:v>50</x:v>
      </x:c>
      <x:c r="P130" s="12" t="n">
        <x:v>65</x:v>
      </x:c>
      <x:c r="Q130" s="12" t="n">
        <x:v>40</x:v>
      </x:c>
      <x:c r="R130" s="12" t="n">
        <x:v>90</x:v>
      </x:c>
      <x:c r="S130" s="12" t="n">
        <x:v>65</x:v>
      </x:c>
      <x:c r="T130" s="12" t="n">
        <x:v>50</x:v>
      </x:c>
      <x:c r="U130" s="12" t="n">
        <x:v>30</x:v>
      </x:c>
      <x:c r="V130" s="12" t="n">
        <x:v>40</x:v>
      </x:c>
      <x:c r="W130" s="12" t="n">
        <x:v>35</x:v>
      </x:c>
      <x:c r="X130" s="12" t="n">
        <x:v>60</x:v>
      </x:c>
      <x:c r="Y130" s="12" t="n">
        <x:v>70</x:v>
      </x:c>
      <x:c r="Z130" s="12" t="n">
        <x:f>ROUND(MAX(0,MIN(100,0.40*K130+0.20*L130+0.10*S130+0.15*V130+0.15*Y130)),0)</x:f>
        <x:v>38</x:v>
      </x:c>
      <x:c r="AA130" s="12" t="n">
        <x:f>ROUND(MAX(0,MIN(100,0.30*L130+0.20*K130+0.15*V130+0.15*W130+0.10*S130+0.10*(100-M130))),0)</x:f>
        <x:v>32</x:v>
      </x:c>
      <x:c r="AB130" s="12" t="n">
        <x:f>ROUND(MAX(0,MIN(100,0.30*M130+0.25*R130+0.20*Q130+0.15*K130+0.10*(100-T130))),0)</x:f>
        <x:v>60</x:v>
      </x:c>
      <x:c r="AC130" s="12" t="n">
        <x:f>ROUND(MAX(0,MIN(100,0.55*T130+0.15*S130+0.10*N130+0.10*V130+0.10*W130)),0)</x:f>
        <x:v>47</x:v>
      </x:c>
      <x:c r="AD130" s="12" t="n">
        <x:f>ROUND(MAX(0,MIN(100,0.25*O130+0.25*Q130+0.20*Y130+0.15*U130+0.15*(100-L130))),0)</x:f>
        <x:v>54</x:v>
      </x:c>
      <x:c r="AE130" s="12" t="n">
        <x:f>ROUND(MAX(0,MIN(100,0.30*Y130+0.25*S130+0.15*Q130+0.15*T130+0.15*X130)),0)</x:f>
        <x:v>60</x:v>
      </x:c>
      <x:c r="AF130" s="12" t="n">
        <x:f>ROUND(MAX(0,MIN(100,0.65*X130+0.35*Y130)),0)</x:f>
        <x:v>64</x:v>
      </x:c>
      <x:c r="AG130" s="12" t="str">
        <x:v>https://wikiwiki.jp/poke-unite/%E3%83%A9%E3%83%86%E3%82%A3%E3%82%A2%E3%82%B9</x:v>
      </x:c>
      <x:c r="AH130" s="12" t="str">
        <x:v>シールドで味方を支えつつ、自分も火力を出せるサポート型のポケモンです。ラティオスが味方にいればワープで合流でき、マップを動き回りながら支えたい人に向いています。</x:v>
      </x:c>
      <x:c r="AI130" s="12" t="str">
        <x:v>回復やシールドで支える・マップを駆け回る・味方を守る</x:v>
      </x:c>
      <x:c r="AJ130" s="12" t="n">
        <x:v>0</x:v>
      </x:c>
    </x:row>
    <x:row r="131">
      <x:c r="A131" s="12" t="str">
        <x:v>ワタシラガ</x:v>
      </x:c>
      <x:c r="B131" s="12" t="str">
        <x:v>サポート型</x:v>
      </x:c>
      <x:c r="C131" s="12" t="str">
        <x:v>ワタシラガ-1</x:v>
      </x:c>
      <x:c r="D131" s="12" t="str">
        <x:v>共通</x:v>
      </x:c>
      <x:c r="E131" s="12" t="str">
        <x:v>Enchanter / BattleMage</x:v>
      </x:c>
      <x:c r="F131" s="12" t="str">
        <x:v>Enchanter</x:v>
      </x:c>
      <x:c r="G131" s="12" t="str">
        <x:v>BattleMage</x:v>
      </x:c>
      <x:c r="H131" s="12" t="str">
        <x:v>技で細部は変わるが、診断上のプレイ人格は大きく変わらないため統合</x:v>
      </x:c>
      <x:c r="I131" s="12" t="str">
        <x:v>高</x:v>
      </x:c>
      <x:c r="J131" s="12" t="str">
        <x:v>2026-09-30</x:v>
      </x:c>
      <x:c r="K131" s="12" t="n">
        <x:v>30</x:v>
      </x:c>
      <x:c r="L131" s="12" t="n">
        <x:v>15</x:v>
      </x:c>
      <x:c r="M131" s="12" t="n">
        <x:v>70</x:v>
      </x:c>
      <x:c r="N131" s="12" t="n">
        <x:v>15</x:v>
      </x:c>
      <x:c r="O131" s="12" t="n">
        <x:v>50</x:v>
      </x:c>
      <x:c r="P131" s="12" t="n">
        <x:v>65</x:v>
      </x:c>
      <x:c r="Q131" s="12" t="n">
        <x:v>55</x:v>
      </x:c>
      <x:c r="R131" s="12" t="n">
        <x:v>70</x:v>
      </x:c>
      <x:c r="S131" s="12" t="n">
        <x:v>50</x:v>
      </x:c>
      <x:c r="T131" s="12" t="n">
        <x:v>35</x:v>
      </x:c>
      <x:c r="U131" s="12" t="n">
        <x:v>20</x:v>
      </x:c>
      <x:c r="V131" s="12" t="n">
        <x:v>40</x:v>
      </x:c>
      <x:c r="W131" s="12" t="n">
        <x:v>35</x:v>
      </x:c>
      <x:c r="X131" s="12" t="n">
        <x:v>60</x:v>
      </x:c>
      <x:c r="Y131" s="12" t="n">
        <x:v>85</x:v>
      </x:c>
      <x:c r="Z131" s="12" t="n">
        <x:f>ROUND(MAX(0,MIN(100,0.40*K131+0.20*L131+0.10*S131+0.15*V131+0.15*Y131)),0)</x:f>
        <x:v>39</x:v>
      </x:c>
      <x:c r="AA131" s="12" t="n">
        <x:f>ROUND(MAX(0,MIN(100,0.30*L131+0.20*K131+0.15*V131+0.15*W131+0.10*S131+0.10*(100-M131))),0)</x:f>
        <x:v>30</x:v>
      </x:c>
      <x:c r="AB131" s="12" t="n">
        <x:f>ROUND(MAX(0,MIN(100,0.30*M131+0.25*R131+0.20*Q131+0.15*K131+0.10*(100-T131))),0)</x:f>
        <x:v>61</x:v>
      </x:c>
      <x:c r="AC131" s="12" t="n">
        <x:f>ROUND(MAX(0,MIN(100,0.55*T131+0.15*S131+0.10*N131+0.10*V131+0.10*W131)),0)</x:f>
        <x:v>36</x:v>
      </x:c>
      <x:c r="AD131" s="12" t="n">
        <x:f>ROUND(MAX(0,MIN(100,0.25*O131+0.25*Q131+0.20*Y131+0.15*U131+0.15*(100-L131))),0)</x:f>
        <x:v>59</x:v>
      </x:c>
      <x:c r="AE131" s="12" t="n">
        <x:f>ROUND(MAX(0,MIN(100,0.30*Y131+0.25*S131+0.15*Q131+0.15*T131+0.15*X131)),0)</x:f>
        <x:v>61</x:v>
      </x:c>
      <x:c r="AF131" s="12" t="n">
        <x:f>ROUND(MAX(0,MIN(100,0.65*X131+0.35*Y131)),0)</x:f>
        <x:v>69</x:v>
      </x:c>
      <x:c r="AG131" s="12" t="str">
        <x:v>https://wikiwiki.jp/poke-unite/%E3%83%AF%E3%82%BF%E3%82%B7%E3%83%A9%E3%82%AC</x:v>
      </x:c>
      <x:c r="AH131" s="12" t="str">
        <x:v>わたほうしで相手を減速させ、回復で味方を支えるサポート型のポケモンです。序盤から仕事ができるので、まずは味方を助けるところから始めたい人に向いています。</x:v>
      </x:c>
      <x:c r="AI131" s="12" t="str">
        <x:v>回復やシールドで支える・味方を守る・先を読んで動く</x:v>
      </x:c>
      <x:c r="AJ131" s="12" t="n">
        <x:v>0</x:v>
      </x:c>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c r="AA132" s="12"/>
      <x:c r="AB132" s="12"/>
      <x:c r="AC132" s="12"/>
      <x:c r="AD132" s="12"/>
      <x:c r="AE132" s="12"/>
      <x:c r="AF132" s="12"/>
      <x:c r="AG132" s="12"/>
      <x:c r="AH132"/>
      <x:c r="AI132"/>
      <x:c r="AJ13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c r="AA133" s="12"/>
      <x:c r="AB133" s="12"/>
      <x:c r="AC133" s="12"/>
      <x:c r="AD133" s="12"/>
      <x:c r="AE133" s="12"/>
      <x:c r="AF133" s="12"/>
      <x:c r="AG133" s="12"/>
      <x:c r="AH133"/>
      <x:c r="AI133"/>
      <x:c r="AJ133"/>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c r="AA134" s="12"/>
      <x:c r="AB134" s="12"/>
      <x:c r="AC134" s="12"/>
      <x:c r="AD134" s="12"/>
      <x:c r="AE134" s="12"/>
      <x:c r="AF134" s="12"/>
      <x:c r="AG134" s="12"/>
      <x:c r="AH134"/>
      <x:c r="AI134"/>
      <x:c r="AJ134"/>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c r="AA135" s="12"/>
      <x:c r="AB135" s="12"/>
      <x:c r="AC135" s="12"/>
      <x:c r="AD135" s="12"/>
      <x:c r="AE135" s="12"/>
      <x:c r="AF135" s="12"/>
      <x:c r="AG135" s="12"/>
      <x:c r="AH135"/>
      <x:c r="AI135"/>
      <x:c r="AJ135"/>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c r="AA136" s="12"/>
      <x:c r="AB136" s="12"/>
      <x:c r="AC136" s="12"/>
      <x:c r="AD136" s="12"/>
      <x:c r="AE136" s="12"/>
      <x:c r="AF136" s="12"/>
      <x:c r="AG136" s="12"/>
      <x:c r="AH136"/>
      <x:c r="AI136"/>
      <x:c r="AJ136"/>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c r="AA137" s="12"/>
      <x:c r="AB137" s="12"/>
      <x:c r="AC137" s="12"/>
      <x:c r="AD137" s="12"/>
      <x:c r="AE137" s="12"/>
      <x:c r="AF137" s="12"/>
      <x:c r="AG137" s="12"/>
      <x:c r="AH137"/>
      <x:c r="AI137"/>
      <x:c r="AJ137"/>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c r="AA138" s="12"/>
      <x:c r="AB138" s="12"/>
      <x:c r="AC138" s="12"/>
      <x:c r="AD138" s="12"/>
      <x:c r="AE138" s="12"/>
      <x:c r="AF138" s="12"/>
      <x:c r="AG138" s="12"/>
      <x:c r="AH138"/>
      <x:c r="AI138"/>
      <x:c r="AJ138"/>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c r="AA139" s="12"/>
      <x:c r="AB139" s="12"/>
      <x:c r="AC139" s="12"/>
      <x:c r="AD139" s="12"/>
      <x:c r="AE139" s="12"/>
      <x:c r="AF139" s="12"/>
      <x:c r="AG139" s="12"/>
      <x:c r="AH139"/>
      <x:c r="AI139"/>
      <x:c r="AJ139"/>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c r="AA140" s="12"/>
      <x:c r="AB140" s="12"/>
      <x:c r="AC140" s="12"/>
      <x:c r="AD140" s="12"/>
      <x:c r="AE140" s="12"/>
      <x:c r="AF140" s="12"/>
      <x:c r="AG140" s="12"/>
      <x:c r="AH140"/>
      <x:c r="AI140"/>
      <x:c r="AJ140"/>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c r="AA141" s="12"/>
      <x:c r="AB141" s="12"/>
      <x:c r="AC141" s="12"/>
      <x:c r="AD141" s="12"/>
      <x:c r="AE141" s="12"/>
      <x:c r="AF141" s="12"/>
      <x:c r="AG141" s="12"/>
      <x:c r="AH141"/>
      <x:c r="AI141"/>
      <x:c r="AJ141"/>
    </x:row>
  </x:sheetData>
  <x:conditionalFormatting sqref="K2:K141">
    <x:cfRule type="dataBar" priority="1">
      <x:dataBar>
        <x:cfvo type="min"/>
        <x:cfvo type="max"/>
        <x:color rgb="FFA02B93"/>
      </x:dataBar>
      <x:extLst>
        <x:ext xmlns:x14="http://schemas.microsoft.com/office/spreadsheetml/2009/9/main" uri="{B025F937-C7B1-47D3-B67F-A62EFF666E3E}">
          <x14:id>{FCE6F1FB-DB38-6008-2848-868EEB71B62D}</x14:id>
        </x:ext>
      </x:extLst>
    </x:cfRule>
  </x:conditionalFormatting>
  <x:conditionalFormatting sqref="L2:L141">
    <x:cfRule type="dataBar" priority="2">
      <x:dataBar>
        <x:cfvo type="min"/>
        <x:cfvo type="max"/>
        <x:color rgb="FFA02B93"/>
      </x:dataBar>
      <x:extLst>
        <x:ext xmlns:x14="http://schemas.microsoft.com/office/spreadsheetml/2009/9/main" uri="{B025F937-C7B1-47D3-B67F-A62EFF666E3E}">
          <x14:id>{288F886F-EFED-CA9A-4CA1-CA120D8D1F06}</x14:id>
        </x:ext>
      </x:extLst>
    </x:cfRule>
  </x:conditionalFormatting>
  <x:conditionalFormatting sqref="M2:M141">
    <x:cfRule type="dataBar" priority="3">
      <x:dataBar>
        <x:cfvo type="min"/>
        <x:cfvo type="max"/>
        <x:color rgb="FFA02B93"/>
      </x:dataBar>
      <x:extLst>
        <x:ext xmlns:x14="http://schemas.microsoft.com/office/spreadsheetml/2009/9/main" uri="{B025F937-C7B1-47D3-B67F-A62EFF666E3E}">
          <x14:id>{8DC16409-DD79-4289-D9AC-1EA0FD7E17F4}</x14:id>
        </x:ext>
      </x:extLst>
    </x:cfRule>
  </x:conditionalFormatting>
  <x:conditionalFormatting sqref="N2:N141">
    <x:cfRule type="dataBar" priority="4">
      <x:dataBar>
        <x:cfvo type="min"/>
        <x:cfvo type="max"/>
        <x:color rgb="FFA02B93"/>
      </x:dataBar>
      <x:extLst>
        <x:ext xmlns:x14="http://schemas.microsoft.com/office/spreadsheetml/2009/9/main" uri="{B025F937-C7B1-47D3-B67F-A62EFF666E3E}">
          <x14:id>{60BD451E-7589-6B56-B36F-C39177733338}</x14:id>
        </x:ext>
      </x:extLst>
    </x:cfRule>
  </x:conditionalFormatting>
  <x:conditionalFormatting sqref="O2:O141">
    <x:cfRule type="dataBar" priority="5">
      <x:dataBar>
        <x:cfvo type="min"/>
        <x:cfvo type="max"/>
        <x:color rgb="FFA02B93"/>
      </x:dataBar>
      <x:extLst>
        <x:ext xmlns:x14="http://schemas.microsoft.com/office/spreadsheetml/2009/9/main" uri="{B025F937-C7B1-47D3-B67F-A62EFF666E3E}">
          <x14:id>{0397D2C9-8DB5-0D54-A905-988BD26CBB94}</x14:id>
        </x:ext>
      </x:extLst>
    </x:cfRule>
  </x:conditionalFormatting>
  <x:conditionalFormatting sqref="P2:P141">
    <x:cfRule type="dataBar" priority="6">
      <x:dataBar>
        <x:cfvo type="min"/>
        <x:cfvo type="max"/>
        <x:color rgb="FFA02B93"/>
      </x:dataBar>
      <x:extLst>
        <x:ext xmlns:x14="http://schemas.microsoft.com/office/spreadsheetml/2009/9/main" uri="{B025F937-C7B1-47D3-B67F-A62EFF666E3E}">
          <x14:id>{69BCA2D8-00BC-A86E-7FD7-57092C57EF1C}</x14:id>
        </x:ext>
      </x:extLst>
    </x:cfRule>
  </x:conditionalFormatting>
  <x:conditionalFormatting sqref="Q2:Q141">
    <x:cfRule type="dataBar" priority="7">
      <x:dataBar>
        <x:cfvo type="min"/>
        <x:cfvo type="max"/>
        <x:color rgb="FFA02B93"/>
      </x:dataBar>
      <x:extLst>
        <x:ext xmlns:x14="http://schemas.microsoft.com/office/spreadsheetml/2009/9/main" uri="{B025F937-C7B1-47D3-B67F-A62EFF666E3E}">
          <x14:id>{47C9B1CE-4873-7C2A-891B-CDB6E84FFF0C}</x14:id>
        </x:ext>
      </x:extLst>
    </x:cfRule>
  </x:conditionalFormatting>
  <x:conditionalFormatting sqref="R2:R141">
    <x:cfRule type="dataBar" priority="8">
      <x:dataBar>
        <x:cfvo type="min"/>
        <x:cfvo type="max"/>
        <x:color rgb="FFA02B93"/>
      </x:dataBar>
      <x:extLst>
        <x:ext xmlns:x14="http://schemas.microsoft.com/office/spreadsheetml/2009/9/main" uri="{B025F937-C7B1-47D3-B67F-A62EFF666E3E}">
          <x14:id>{57867675-A140-5432-358A-54773F633031}</x14:id>
        </x:ext>
      </x:extLst>
    </x:cfRule>
  </x:conditionalFormatting>
  <x:conditionalFormatting sqref="S2:S141">
    <x:cfRule type="dataBar" priority="9">
      <x:dataBar>
        <x:cfvo type="min"/>
        <x:cfvo type="max"/>
        <x:color rgb="FFA02B93"/>
      </x:dataBar>
      <x:extLst>
        <x:ext xmlns:x14="http://schemas.microsoft.com/office/spreadsheetml/2009/9/main" uri="{B025F937-C7B1-47D3-B67F-A62EFF666E3E}">
          <x14:id>{CCBC7E36-73DF-B1C5-D2F1-1C4268B4038C}</x14:id>
        </x:ext>
      </x:extLst>
    </x:cfRule>
  </x:conditionalFormatting>
  <x:conditionalFormatting sqref="T2:T141">
    <x:cfRule type="dataBar" priority="10">
      <x:dataBar>
        <x:cfvo type="min"/>
        <x:cfvo type="max"/>
        <x:color rgb="FFA02B93"/>
      </x:dataBar>
      <x:extLst>
        <x:ext xmlns:x14="http://schemas.microsoft.com/office/spreadsheetml/2009/9/main" uri="{B025F937-C7B1-47D3-B67F-A62EFF666E3E}">
          <x14:id>{6667D22E-2EEA-D952-DC02-0A18E09A37A3}</x14:id>
        </x:ext>
      </x:extLst>
    </x:cfRule>
  </x:conditionalFormatting>
  <x:conditionalFormatting sqref="U2:U141">
    <x:cfRule type="dataBar" priority="11">
      <x:dataBar>
        <x:cfvo type="min"/>
        <x:cfvo type="max"/>
        <x:color rgb="FFA02B93"/>
      </x:dataBar>
      <x:extLst>
        <x:ext xmlns:x14="http://schemas.microsoft.com/office/spreadsheetml/2009/9/main" uri="{B025F937-C7B1-47D3-B67F-A62EFF666E3E}">
          <x14:id>{4E4DDCFB-889C-7BA1-D12B-02BD06698C2D}</x14:id>
        </x:ext>
      </x:extLst>
    </x:cfRule>
  </x:conditionalFormatting>
  <x:conditionalFormatting sqref="V2:V141">
    <x:cfRule type="dataBar" priority="12">
      <x:dataBar>
        <x:cfvo type="min"/>
        <x:cfvo type="max"/>
        <x:color rgb="FFA02B93"/>
      </x:dataBar>
      <x:extLst>
        <x:ext xmlns:x14="http://schemas.microsoft.com/office/spreadsheetml/2009/9/main" uri="{B025F937-C7B1-47D3-B67F-A62EFF666E3E}">
          <x14:id>{2912A0C4-0510-7D76-3D32-01213811C799}</x14:id>
        </x:ext>
      </x:extLst>
    </x:cfRule>
  </x:conditionalFormatting>
  <x:conditionalFormatting sqref="W2:W141">
    <x:cfRule type="dataBar" priority="13">
      <x:dataBar>
        <x:cfvo type="min"/>
        <x:cfvo type="max"/>
        <x:color rgb="FFA02B93"/>
      </x:dataBar>
      <x:extLst>
        <x:ext xmlns:x14="http://schemas.microsoft.com/office/spreadsheetml/2009/9/main" uri="{B025F937-C7B1-47D3-B67F-A62EFF666E3E}">
          <x14:id>{A17140C3-2FEB-B135-8A30-50487E51C541}</x14:id>
        </x:ext>
      </x:extLst>
    </x:cfRule>
  </x:conditionalFormatting>
  <x:conditionalFormatting sqref="X2:X141">
    <x:cfRule type="dataBar" priority="14">
      <x:dataBar>
        <x:cfvo type="min"/>
        <x:cfvo type="max"/>
        <x:color rgb="FFA02B93"/>
      </x:dataBar>
      <x:extLst>
        <x:ext xmlns:x14="http://schemas.microsoft.com/office/spreadsheetml/2009/9/main" uri="{B025F937-C7B1-47D3-B67F-A62EFF666E3E}">
          <x14:id>{3ECE9AD2-281C-862D-40B2-B36ABDC1F51C}</x14:id>
        </x:ext>
      </x:extLst>
    </x:cfRule>
  </x:conditionalFormatting>
  <x:conditionalFormatting sqref="Y2:Y141">
    <x:cfRule type="dataBar" priority="15">
      <x:dataBar>
        <x:cfvo type="min"/>
        <x:cfvo type="max"/>
        <x:color rgb="FFA02B93"/>
      </x:dataBar>
      <x:extLst>
        <x:ext xmlns:x14="http://schemas.microsoft.com/office/spreadsheetml/2009/9/main" uri="{B025F937-C7B1-47D3-B67F-A62EFF666E3E}">
          <x14:id>{C87C2AF5-5DDA-436D-5C9A-AE7E347C255D}</x14:id>
        </x:ext>
      </x:extLst>
    </x:cfRule>
  </x:conditionalFormatting>
  <x:conditionalFormatting sqref="Z2:Z141">
    <x:cfRule type="dataBar" priority="16">
      <x:dataBar>
        <x:cfvo type="min"/>
        <x:cfvo type="max"/>
        <x:color rgb="FFA02B93"/>
      </x:dataBar>
      <x:extLst>
        <x:ext xmlns:x14="http://schemas.microsoft.com/office/spreadsheetml/2009/9/main" uri="{B025F937-C7B1-47D3-B67F-A62EFF666E3E}">
          <x14:id>{29AC2AEA-2A95-5E3F-C944-D440D1AEF282}</x14:id>
        </x:ext>
      </x:extLst>
    </x:cfRule>
  </x:conditionalFormatting>
  <x:conditionalFormatting sqref="AA2:AA141">
    <x:cfRule type="dataBar" priority="17">
      <x:dataBar>
        <x:cfvo type="min"/>
        <x:cfvo type="max"/>
        <x:color rgb="FFA02B93"/>
      </x:dataBar>
      <x:extLst>
        <x:ext xmlns:x14="http://schemas.microsoft.com/office/spreadsheetml/2009/9/main" uri="{B025F937-C7B1-47D3-B67F-A62EFF666E3E}">
          <x14:id>{6228F0A4-7761-09A5-FE34-C1286539BABF}</x14:id>
        </x:ext>
      </x:extLst>
    </x:cfRule>
  </x:conditionalFormatting>
  <x:conditionalFormatting sqref="AB2:AB141">
    <x:cfRule type="dataBar" priority="18">
      <x:dataBar>
        <x:cfvo type="min"/>
        <x:cfvo type="max"/>
        <x:color rgb="FFA02B93"/>
      </x:dataBar>
      <x:extLst>
        <x:ext xmlns:x14="http://schemas.microsoft.com/office/spreadsheetml/2009/9/main" uri="{B025F937-C7B1-47D3-B67F-A62EFF666E3E}">
          <x14:id>{BB551D94-D8F9-A194-A10B-64BFE87CD06E}</x14:id>
        </x:ext>
      </x:extLst>
    </x:cfRule>
  </x:conditionalFormatting>
  <x:conditionalFormatting sqref="AC2:AC141">
    <x:cfRule type="dataBar" priority="19">
      <x:dataBar>
        <x:cfvo type="min"/>
        <x:cfvo type="max"/>
        <x:color rgb="FFA02B93"/>
      </x:dataBar>
      <x:extLst>
        <x:ext xmlns:x14="http://schemas.microsoft.com/office/spreadsheetml/2009/9/main" uri="{B025F937-C7B1-47D3-B67F-A62EFF666E3E}">
          <x14:id>{72E5AF9F-5709-C1C4-DAD6-12A1D66F42A7}</x14:id>
        </x:ext>
      </x:extLst>
    </x:cfRule>
  </x:conditionalFormatting>
  <x:conditionalFormatting sqref="AD2:AD141">
    <x:cfRule type="dataBar" priority="20">
      <x:dataBar>
        <x:cfvo type="min"/>
        <x:cfvo type="max"/>
        <x:color rgb="FFA02B93"/>
      </x:dataBar>
      <x:extLst>
        <x:ext xmlns:x14="http://schemas.microsoft.com/office/spreadsheetml/2009/9/main" uri="{B025F937-C7B1-47D3-B67F-A62EFF666E3E}">
          <x14:id>{F32B9A28-841E-A288-F402-A0D1C03B00CB}</x14:id>
        </x:ext>
      </x:extLst>
    </x:cfRule>
  </x:conditionalFormatting>
  <x:conditionalFormatting sqref="AE2:AE141">
    <x:cfRule type="dataBar" priority="21">
      <x:dataBar>
        <x:cfvo type="min"/>
        <x:cfvo type="max"/>
        <x:color rgb="FFA02B93"/>
      </x:dataBar>
      <x:extLst>
        <x:ext xmlns:x14="http://schemas.microsoft.com/office/spreadsheetml/2009/9/main" uri="{B025F937-C7B1-47D3-B67F-A62EFF666E3E}">
          <x14:id>{FDDAB6B2-4EEC-4C00-666A-31BBD64E1E8F}</x14:id>
        </x:ext>
      </x:extLst>
    </x:cfRule>
  </x:conditionalFormatting>
  <x:conditionalFormatting sqref="AF2:AF141">
    <x:cfRule type="dataBar" priority="22">
      <x:dataBar>
        <x:cfvo type="min"/>
        <x:cfvo type="max"/>
        <x:color rgb="FFA02B93"/>
      </x:dataBar>
      <x:extLst>
        <x:ext xmlns:x14="http://schemas.microsoft.com/office/spreadsheetml/2009/9/main" uri="{B025F937-C7B1-47D3-B67F-A62EFF666E3E}">
          <x14:id>{5DEB7F29-7DD9-5FC6-E632-80AE189E5405}</x14:id>
        </x:ext>
      </x:extLst>
    </x:cfRule>
  </x:conditionalFormatting>
  <x:conditionalFormatting sqref="I2:I141">
    <x:cfRule type="expression" dxfId="3" priority="23">
      <x:formula>I2="低"</x:formula>
    </x:cfRule>
    <x:cfRule type="expression" dxfId="4" priority="24">
      <x:formula>I2="中"</x:formula>
    </x:cfRule>
  </x:conditionalFormatting>
  <x:conditionalFormatting sqref="Z2:Z131">
    <x:cfRule type="dataBar" priority="40">
      <x:dataBar>
        <x:cfvo type="min"/>
        <x:cfvo type="max"/>
        <x:color rgb="FFA02B93"/>
      </x:dataBar>
      <x:extLst>
        <x:ext xmlns:x14="http://schemas.microsoft.com/office/spreadsheetml/2009/9/main" uri="{B025F937-C7B1-47D3-B67F-A62EFF666E3E}">
          <x14:id>{FF212818-8A2A-018D-6067-20C53AE6F84D}</x14:id>
        </x:ext>
      </x:extLst>
    </x:cfRule>
  </x:conditionalFormatting>
  <x:conditionalFormatting sqref="AA2:AA131">
    <x:cfRule type="dataBar" priority="41">
      <x:dataBar>
        <x:cfvo type="min"/>
        <x:cfvo type="max"/>
        <x:color rgb="FFA02B93"/>
      </x:dataBar>
      <x:extLst>
        <x:ext xmlns:x14="http://schemas.microsoft.com/office/spreadsheetml/2009/9/main" uri="{B025F937-C7B1-47D3-B67F-A62EFF666E3E}">
          <x14:id>{58B961F2-E7C2-3CC6-9622-76FC6F7A216B}</x14:id>
        </x:ext>
      </x:extLst>
    </x:cfRule>
  </x:conditionalFormatting>
  <x:conditionalFormatting sqref="AB2:AB131">
    <x:cfRule type="dataBar" priority="42">
      <x:dataBar>
        <x:cfvo type="min"/>
        <x:cfvo type="max"/>
        <x:color rgb="FFA02B93"/>
      </x:dataBar>
      <x:extLst>
        <x:ext xmlns:x14="http://schemas.microsoft.com/office/spreadsheetml/2009/9/main" uri="{B025F937-C7B1-47D3-B67F-A62EFF666E3E}">
          <x14:id>{9EA2158F-DACD-5C5B-C393-62C1250BDB2B}</x14:id>
        </x:ext>
      </x:extLst>
    </x:cfRule>
  </x:conditionalFormatting>
  <x:conditionalFormatting sqref="AC2:AC131">
    <x:cfRule type="dataBar" priority="43">
      <x:dataBar>
        <x:cfvo type="min"/>
        <x:cfvo type="max"/>
        <x:color rgb="FFA02B93"/>
      </x:dataBar>
      <x:extLst>
        <x:ext xmlns:x14="http://schemas.microsoft.com/office/spreadsheetml/2009/9/main" uri="{B025F937-C7B1-47D3-B67F-A62EFF666E3E}">
          <x14:id>{6BD1A7D9-4A16-3263-6DF0-CF600D253376}</x14:id>
        </x:ext>
      </x:extLst>
    </x:cfRule>
  </x:conditionalFormatting>
  <x:conditionalFormatting sqref="AD2:AD131">
    <x:cfRule type="dataBar" priority="44">
      <x:dataBar>
        <x:cfvo type="min"/>
        <x:cfvo type="max"/>
        <x:color rgb="FFA02B93"/>
      </x:dataBar>
      <x:extLst>
        <x:ext xmlns:x14="http://schemas.microsoft.com/office/spreadsheetml/2009/9/main" uri="{B025F937-C7B1-47D3-B67F-A62EFF666E3E}">
          <x14:id>{7E298955-D6D4-33E1-E4AD-89161B79F30A}</x14:id>
        </x:ext>
      </x:extLst>
    </x:cfRule>
  </x:conditionalFormatting>
  <x:conditionalFormatting sqref="AE2:AE131">
    <x:cfRule type="dataBar" priority="45">
      <x:dataBar>
        <x:cfvo type="min"/>
        <x:cfvo type="max"/>
        <x:color rgb="FFA02B93"/>
      </x:dataBar>
      <x:extLst>
        <x:ext xmlns:x14="http://schemas.microsoft.com/office/spreadsheetml/2009/9/main" uri="{B025F937-C7B1-47D3-B67F-A62EFF666E3E}">
          <x14:id>{3D708130-DE87-4E85-018E-1A4720F4C6F0}</x14:id>
        </x:ext>
      </x:extLst>
    </x:cfRule>
  </x:conditionalFormatting>
  <x:conditionalFormatting sqref="AF2:AF131">
    <x:cfRule type="dataBar" priority="46">
      <x:dataBar>
        <x:cfvo type="min"/>
        <x:cfvo type="max"/>
        <x:color rgb="FFA02B93"/>
      </x:dataBar>
      <x:extLst>
        <x:ext xmlns:x14="http://schemas.microsoft.com/office/spreadsheetml/2009/9/main" uri="{B025F937-C7B1-47D3-B67F-A62EFF666E3E}">
          <x14:id>{DD048C62-56F9-6A5F-3F9A-5C973519F002}</x14:id>
        </x:ext>
      </x:extLst>
    </x:cfRule>
  </x:conditionalFormatting>
  <x:conditionalFormatting sqref="K2:K131">
    <x:cfRule type="dataBar" priority="47">
      <x:dataBar>
        <x:cfvo type="min"/>
        <x:cfvo type="max"/>
        <x:color rgb="FFA02B93"/>
      </x:dataBar>
      <x:extLst>
        <x:ext xmlns:x14="http://schemas.microsoft.com/office/spreadsheetml/2009/9/main" uri="{B025F937-C7B1-47D3-B67F-A62EFF666E3E}">
          <x14:id>{E5135CBE-1FB8-500C-7E86-00476F0DBC3B}</x14:id>
        </x:ext>
      </x:extLst>
    </x:cfRule>
  </x:conditionalFormatting>
  <x:conditionalFormatting sqref="L2:L131">
    <x:cfRule type="dataBar" priority="48">
      <x:dataBar>
        <x:cfvo type="min"/>
        <x:cfvo type="max"/>
        <x:color rgb="FFA02B93"/>
      </x:dataBar>
      <x:extLst>
        <x:ext xmlns:x14="http://schemas.microsoft.com/office/spreadsheetml/2009/9/main" uri="{B025F937-C7B1-47D3-B67F-A62EFF666E3E}">
          <x14:id>{2830F9D9-765F-871C-5726-9A7E9AD7E9C0}</x14:id>
        </x:ext>
      </x:extLst>
    </x:cfRule>
  </x:conditionalFormatting>
  <x:conditionalFormatting sqref="M2:M131">
    <x:cfRule type="dataBar" priority="49">
      <x:dataBar>
        <x:cfvo type="min"/>
        <x:cfvo type="max"/>
        <x:color rgb="FFA02B93"/>
      </x:dataBar>
      <x:extLst>
        <x:ext xmlns:x14="http://schemas.microsoft.com/office/spreadsheetml/2009/9/main" uri="{B025F937-C7B1-47D3-B67F-A62EFF666E3E}">
          <x14:id>{A4DB08FD-E34C-9573-F788-1E4AF2F7E461}</x14:id>
        </x:ext>
      </x:extLst>
    </x:cfRule>
  </x:conditionalFormatting>
  <x:conditionalFormatting sqref="N2:N131">
    <x:cfRule type="dataBar" priority="50">
      <x:dataBar>
        <x:cfvo type="min"/>
        <x:cfvo type="max"/>
        <x:color rgb="FFA02B93"/>
      </x:dataBar>
      <x:extLst>
        <x:ext xmlns:x14="http://schemas.microsoft.com/office/spreadsheetml/2009/9/main" uri="{B025F937-C7B1-47D3-B67F-A62EFF666E3E}">
          <x14:id>{E63CE1A3-B8D9-CFBA-867C-7FF8A19FF740}</x14:id>
        </x:ext>
      </x:extLst>
    </x:cfRule>
  </x:conditionalFormatting>
  <x:conditionalFormatting sqref="O2:O131">
    <x:cfRule type="dataBar" priority="51">
      <x:dataBar>
        <x:cfvo type="min"/>
        <x:cfvo type="max"/>
        <x:color rgb="FFA02B93"/>
      </x:dataBar>
      <x:extLst>
        <x:ext xmlns:x14="http://schemas.microsoft.com/office/spreadsheetml/2009/9/main" uri="{B025F937-C7B1-47D3-B67F-A62EFF666E3E}">
          <x14:id>{822755B6-6F6E-49E3-9889-AAFABB8DE8A1}</x14:id>
        </x:ext>
      </x:extLst>
    </x:cfRule>
  </x:conditionalFormatting>
  <x:conditionalFormatting sqref="P2:P131">
    <x:cfRule type="dataBar" priority="52">
      <x:dataBar>
        <x:cfvo type="min"/>
        <x:cfvo type="max"/>
        <x:color rgb="FFA02B93"/>
      </x:dataBar>
      <x:extLst>
        <x:ext xmlns:x14="http://schemas.microsoft.com/office/spreadsheetml/2009/9/main" uri="{B025F937-C7B1-47D3-B67F-A62EFF666E3E}">
          <x14:id>{98801423-B1A7-C1A6-DB38-1E4F6B11B807}</x14:id>
        </x:ext>
      </x:extLst>
    </x:cfRule>
  </x:conditionalFormatting>
  <x:conditionalFormatting sqref="Q2:Q131">
    <x:cfRule type="dataBar" priority="53">
      <x:dataBar>
        <x:cfvo type="min"/>
        <x:cfvo type="max"/>
        <x:color rgb="FFA02B93"/>
      </x:dataBar>
      <x:extLst>
        <x:ext xmlns:x14="http://schemas.microsoft.com/office/spreadsheetml/2009/9/main" uri="{B025F937-C7B1-47D3-B67F-A62EFF666E3E}">
          <x14:id>{F852861F-B992-CFCC-ED68-1EB7B393BE1C}</x14:id>
        </x:ext>
      </x:extLst>
    </x:cfRule>
  </x:conditionalFormatting>
  <x:conditionalFormatting sqref="R2:R131">
    <x:cfRule type="dataBar" priority="54">
      <x:dataBar>
        <x:cfvo type="min"/>
        <x:cfvo type="max"/>
        <x:color rgb="FFA02B93"/>
      </x:dataBar>
      <x:extLst>
        <x:ext xmlns:x14="http://schemas.microsoft.com/office/spreadsheetml/2009/9/main" uri="{B025F937-C7B1-47D3-B67F-A62EFF666E3E}">
          <x14:id>{51E31A1D-AA00-D50B-DC2F-C3F6D13FD660}</x14:id>
        </x:ext>
      </x:extLst>
    </x:cfRule>
  </x:conditionalFormatting>
  <x:conditionalFormatting sqref="S2:S131">
    <x:cfRule type="dataBar" priority="55">
      <x:dataBar>
        <x:cfvo type="min"/>
        <x:cfvo type="max"/>
        <x:color rgb="FFA02B93"/>
      </x:dataBar>
      <x:extLst>
        <x:ext xmlns:x14="http://schemas.microsoft.com/office/spreadsheetml/2009/9/main" uri="{B025F937-C7B1-47D3-B67F-A62EFF666E3E}">
          <x14:id>{FF212818-8A2A-018D-6067-20C53AE6F84D}</x14:id>
        </x:ext>
      </x:extLst>
    </x:cfRule>
  </x:conditionalFormatting>
  <x:conditionalFormatting sqref="T2:T131">
    <x:cfRule type="dataBar" priority="56">
      <x:dataBar>
        <x:cfvo type="min"/>
        <x:cfvo type="max"/>
        <x:color rgb="FFA02B93"/>
      </x:dataBar>
      <x:extLst>
        <x:ext xmlns:x14="http://schemas.microsoft.com/office/spreadsheetml/2009/9/main" uri="{B025F937-C7B1-47D3-B67F-A62EFF666E3E}">
          <x14:id>{58B961F2-E7C2-3CC6-9622-76FC6F7A216B}</x14:id>
        </x:ext>
      </x:extLst>
    </x:cfRule>
  </x:conditionalFormatting>
  <x:conditionalFormatting sqref="U2:U131">
    <x:cfRule type="dataBar" priority="57">
      <x:dataBar>
        <x:cfvo type="min"/>
        <x:cfvo type="max"/>
        <x:color rgb="FFA02B93"/>
      </x:dataBar>
      <x:extLst>
        <x:ext xmlns:x14="http://schemas.microsoft.com/office/spreadsheetml/2009/9/main" uri="{B025F937-C7B1-47D3-B67F-A62EFF666E3E}">
          <x14:id>{9EA2158F-DACD-5C5B-C393-62C1250BDB2B}</x14:id>
        </x:ext>
      </x:extLst>
    </x:cfRule>
  </x:conditionalFormatting>
  <x:conditionalFormatting sqref="V2:V131">
    <x:cfRule type="dataBar" priority="58">
      <x:dataBar>
        <x:cfvo type="min"/>
        <x:cfvo type="max"/>
        <x:color rgb="FFA02B93"/>
      </x:dataBar>
      <x:extLst>
        <x:ext xmlns:x14="http://schemas.microsoft.com/office/spreadsheetml/2009/9/main" uri="{B025F937-C7B1-47D3-B67F-A62EFF666E3E}">
          <x14:id>{6BD1A7D9-4A16-3263-6DF0-CF600D253376}</x14:id>
        </x:ext>
      </x:extLst>
    </x:cfRule>
  </x:conditionalFormatting>
  <x:conditionalFormatting sqref="W2:W131">
    <x:cfRule type="dataBar" priority="59">
      <x:dataBar>
        <x:cfvo type="min"/>
        <x:cfvo type="max"/>
        <x:color rgb="FFA02B93"/>
      </x:dataBar>
      <x:extLst>
        <x:ext xmlns:x14="http://schemas.microsoft.com/office/spreadsheetml/2009/9/main" uri="{B025F937-C7B1-47D3-B67F-A62EFF666E3E}">
          <x14:id>{7E298955-D6D4-33E1-E4AD-89161B79F30A}</x14:id>
        </x:ext>
      </x:extLst>
    </x:cfRule>
  </x:conditionalFormatting>
  <x:conditionalFormatting sqref="X2:X131">
    <x:cfRule type="dataBar" priority="60">
      <x:dataBar>
        <x:cfvo type="min"/>
        <x:cfvo type="max"/>
        <x:color rgb="FFA02B93"/>
      </x:dataBar>
      <x:extLst>
        <x:ext xmlns:x14="http://schemas.microsoft.com/office/spreadsheetml/2009/9/main" uri="{B025F937-C7B1-47D3-B67F-A62EFF666E3E}">
          <x14:id>{3D708130-DE87-4E85-018E-1A4720F4C6F0}</x14:id>
        </x:ext>
      </x:extLst>
    </x:cfRule>
  </x:conditionalFormatting>
  <x:conditionalFormatting sqref="Y2:Y131">
    <x:cfRule type="dataBar" priority="61">
      <x:dataBar>
        <x:cfvo type="min"/>
        <x:cfvo type="max"/>
        <x:color rgb="FFA02B93"/>
      </x:dataBar>
      <x:extLst>
        <x:ext xmlns:x14="http://schemas.microsoft.com/office/spreadsheetml/2009/9/main" uri="{B025F937-C7B1-47D3-B67F-A62EFF666E3E}">
          <x14:id>{DD048C62-56F9-6A5F-3F9A-5C973519F002}</x14:id>
        </x:ext>
      </x:extLst>
    </x:cfRule>
  </x:conditionalFormatting>
  <x:pageMargins left="0.7" right="0.7" top="0.75" bottom="0.75" header="0.3" footer="0.3"/>
  <x:tableParts count="1">
    <x:tablePart xmlns:r="http://schemas.openxmlformats.org/officeDocument/2006/relationships" r:id="R63eb27a192f54c49"/>
  </x:tableParts>
  <x:extLst>
    <x:ext xmlns:x14="http://schemas.microsoft.com/office/spreadsheetml/2009/9/main" xmlns:xm="http://schemas.microsoft.com/office/excel/2006/main" uri="{78C0D931-6437-407d-A8EE-F0AAD7539E65}">
      <x14:conditionalFormattings>
        <x14:conditionalFormatting>
          <x14:cfRule type="dataBar" priority="1" id="{FCE6F1FB-DB38-6008-2848-868EEB71B62D}">
            <x14:dataBar gradient="1">
              <x14:cfvo type="min"/>
              <x14:cfvo type="max"/>
              <x14:fillColor rgb="FFA02B93"/>
            </x14:dataBar>
          </x14:cfRule>
          <xm:sqref>K2:K141</xm:sqref>
        </x14:conditionalFormatting>
        <x14:conditionalFormatting>
          <x14:cfRule type="dataBar" priority="2" id="{288F886F-EFED-CA9A-4CA1-CA120D8D1F06}">
            <x14:dataBar gradient="1">
              <x14:cfvo type="min"/>
              <x14:cfvo type="max"/>
              <x14:fillColor rgb="FFA02B93"/>
            </x14:dataBar>
          </x14:cfRule>
          <xm:sqref>L2:L141</xm:sqref>
        </x14:conditionalFormatting>
        <x14:conditionalFormatting>
          <x14:cfRule type="dataBar" priority="3" id="{8DC16409-DD79-4289-D9AC-1EA0FD7E17F4}">
            <x14:dataBar gradient="1">
              <x14:cfvo type="min"/>
              <x14:cfvo type="max"/>
              <x14:fillColor rgb="FFA02B93"/>
            </x14:dataBar>
          </x14:cfRule>
          <xm:sqref>M2:M141</xm:sqref>
        </x14:conditionalFormatting>
        <x14:conditionalFormatting>
          <x14:cfRule type="dataBar" priority="4" id="{60BD451E-7589-6B56-B36F-C39177733338}">
            <x14:dataBar gradient="1">
              <x14:cfvo type="min"/>
              <x14:cfvo type="max"/>
              <x14:fillColor rgb="FFA02B93"/>
            </x14:dataBar>
          </x14:cfRule>
          <xm:sqref>N2:N141</xm:sqref>
        </x14:conditionalFormatting>
        <x14:conditionalFormatting>
          <x14:cfRule type="dataBar" priority="5" id="{0397D2C9-8DB5-0D54-A905-988BD26CBB94}">
            <x14:dataBar gradient="1">
              <x14:cfvo type="min"/>
              <x14:cfvo type="max"/>
              <x14:fillColor rgb="FFA02B93"/>
            </x14:dataBar>
          </x14:cfRule>
          <xm:sqref>O2:O141</xm:sqref>
        </x14:conditionalFormatting>
        <x14:conditionalFormatting>
          <x14:cfRule type="dataBar" priority="6" id="{69BCA2D8-00BC-A86E-7FD7-57092C57EF1C}">
            <x14:dataBar gradient="1">
              <x14:cfvo type="min"/>
              <x14:cfvo type="max"/>
              <x14:fillColor rgb="FFA02B93"/>
            </x14:dataBar>
          </x14:cfRule>
          <xm:sqref>P2:P141</xm:sqref>
        </x14:conditionalFormatting>
        <x14:conditionalFormatting>
          <x14:cfRule type="dataBar" priority="7" id="{47C9B1CE-4873-7C2A-891B-CDB6E84FFF0C}">
            <x14:dataBar gradient="1">
              <x14:cfvo type="min"/>
              <x14:cfvo type="max"/>
              <x14:fillColor rgb="FFA02B93"/>
            </x14:dataBar>
          </x14:cfRule>
          <xm:sqref>Q2:Q141</xm:sqref>
        </x14:conditionalFormatting>
        <x14:conditionalFormatting>
          <x14:cfRule type="dataBar" priority="8" id="{57867675-A140-5432-358A-54773F633031}">
            <x14:dataBar gradient="1">
              <x14:cfvo type="min"/>
              <x14:cfvo type="max"/>
              <x14:fillColor rgb="FFA02B93"/>
            </x14:dataBar>
          </x14:cfRule>
          <xm:sqref>R2:R141</xm:sqref>
        </x14:conditionalFormatting>
        <x14:conditionalFormatting>
          <x14:cfRule type="dataBar" priority="9" id="{CCBC7E36-73DF-B1C5-D2F1-1C4268B4038C}">
            <x14:dataBar gradient="1">
              <x14:cfvo type="min"/>
              <x14:cfvo type="max"/>
              <x14:fillColor rgb="FFA02B93"/>
            </x14:dataBar>
          </x14:cfRule>
          <xm:sqref>S2:S141</xm:sqref>
        </x14:conditionalFormatting>
        <x14:conditionalFormatting>
          <x14:cfRule type="dataBar" priority="10" id="{6667D22E-2EEA-D952-DC02-0A18E09A37A3}">
            <x14:dataBar gradient="1">
              <x14:cfvo type="min"/>
              <x14:cfvo type="max"/>
              <x14:fillColor rgb="FFA02B93"/>
            </x14:dataBar>
          </x14:cfRule>
          <xm:sqref>T2:T141</xm:sqref>
        </x14:conditionalFormatting>
        <x14:conditionalFormatting>
          <x14:cfRule type="dataBar" priority="11" id="{4E4DDCFB-889C-7BA1-D12B-02BD06698C2D}">
            <x14:dataBar gradient="1">
              <x14:cfvo type="min"/>
              <x14:cfvo type="max"/>
              <x14:fillColor rgb="FFA02B93"/>
            </x14:dataBar>
          </x14:cfRule>
          <xm:sqref>U2:U141</xm:sqref>
        </x14:conditionalFormatting>
        <x14:conditionalFormatting>
          <x14:cfRule type="dataBar" priority="12" id="{2912A0C4-0510-7D76-3D32-01213811C799}">
            <x14:dataBar gradient="1">
              <x14:cfvo type="min"/>
              <x14:cfvo type="max"/>
              <x14:fillColor rgb="FFA02B93"/>
            </x14:dataBar>
          </x14:cfRule>
          <xm:sqref>V2:V141</xm:sqref>
        </x14:conditionalFormatting>
        <x14:conditionalFormatting>
          <x14:cfRule type="dataBar" priority="13" id="{A17140C3-2FEB-B135-8A30-50487E51C541}">
            <x14:dataBar gradient="1">
              <x14:cfvo type="min"/>
              <x14:cfvo type="max"/>
              <x14:fillColor rgb="FFA02B93"/>
            </x14:dataBar>
          </x14:cfRule>
          <xm:sqref>W2:W141</xm:sqref>
        </x14:conditionalFormatting>
        <x14:conditionalFormatting>
          <x14:cfRule type="dataBar" priority="14" id="{3ECE9AD2-281C-862D-40B2-B36ABDC1F51C}">
            <x14:dataBar gradient="1">
              <x14:cfvo type="min"/>
              <x14:cfvo type="max"/>
              <x14:fillColor rgb="FFA02B93"/>
            </x14:dataBar>
          </x14:cfRule>
          <xm:sqref>X2:X141</xm:sqref>
        </x14:conditionalFormatting>
        <x14:conditionalFormatting>
          <x14:cfRule type="dataBar" priority="15" id="{C87C2AF5-5DDA-436D-5C9A-AE7E347C255D}">
            <x14:dataBar gradient="1">
              <x14:cfvo type="min"/>
              <x14:cfvo type="max"/>
              <x14:fillColor rgb="FFA02B93"/>
            </x14:dataBar>
          </x14:cfRule>
          <xm:sqref>Y2:Y141</xm:sqref>
        </x14:conditionalFormatting>
        <x14:conditionalFormatting>
          <x14:cfRule type="dataBar" priority="16" id="{29AC2AEA-2A95-5E3F-C944-D440D1AEF282}">
            <x14:dataBar gradient="1">
              <x14:cfvo type="min"/>
              <x14:cfvo type="max"/>
              <x14:fillColor rgb="FFA02B93"/>
            </x14:dataBar>
          </x14:cfRule>
          <xm:sqref>Z2:Z141</xm:sqref>
        </x14:conditionalFormatting>
        <x14:conditionalFormatting>
          <x14:cfRule type="dataBar" priority="17" id="{6228F0A4-7761-09A5-FE34-C1286539BABF}">
            <x14:dataBar gradient="1">
              <x14:cfvo type="min"/>
              <x14:cfvo type="max"/>
              <x14:fillColor rgb="FFA02B93"/>
            </x14:dataBar>
          </x14:cfRule>
          <xm:sqref>AA2:AA141</xm:sqref>
        </x14:conditionalFormatting>
        <x14:conditionalFormatting>
          <x14:cfRule type="dataBar" priority="18" id="{BB551D94-D8F9-A194-A10B-64BFE87CD06E}">
            <x14:dataBar gradient="1">
              <x14:cfvo type="min"/>
              <x14:cfvo type="max"/>
              <x14:fillColor rgb="FFA02B93"/>
            </x14:dataBar>
          </x14:cfRule>
          <xm:sqref>AB2:AB141</xm:sqref>
        </x14:conditionalFormatting>
        <x14:conditionalFormatting>
          <x14:cfRule type="dataBar" priority="19" id="{72E5AF9F-5709-C1C4-DAD6-12A1D66F42A7}">
            <x14:dataBar gradient="1">
              <x14:cfvo type="min"/>
              <x14:cfvo type="max"/>
              <x14:fillColor rgb="FFA02B93"/>
            </x14:dataBar>
          </x14:cfRule>
          <xm:sqref>AC2:AC141</xm:sqref>
        </x14:conditionalFormatting>
        <x14:conditionalFormatting>
          <x14:cfRule type="dataBar" priority="20" id="{F32B9A28-841E-A288-F402-A0D1C03B00CB}">
            <x14:dataBar gradient="1">
              <x14:cfvo type="min"/>
              <x14:cfvo type="max"/>
              <x14:fillColor rgb="FFA02B93"/>
            </x14:dataBar>
          </x14:cfRule>
          <xm:sqref>AD2:AD141</xm:sqref>
        </x14:conditionalFormatting>
        <x14:conditionalFormatting>
          <x14:cfRule type="dataBar" priority="21" id="{FDDAB6B2-4EEC-4C00-666A-31BBD64E1E8F}">
            <x14:dataBar gradient="1">
              <x14:cfvo type="min"/>
              <x14:cfvo type="max"/>
              <x14:fillColor rgb="FFA02B93"/>
            </x14:dataBar>
          </x14:cfRule>
          <xm:sqref>AE2:AE141</xm:sqref>
        </x14:conditionalFormatting>
        <x14:conditionalFormatting>
          <x14:cfRule type="dataBar" priority="22" id="{5DEB7F29-7DD9-5FC6-E632-80AE189E5405}">
            <x14:dataBar gradient="1">
              <x14:cfvo type="min"/>
              <x14:cfvo type="max"/>
              <x14:fillColor rgb="FFA02B93"/>
            </x14:dataBar>
          </x14:cfRule>
          <xm:sqref>AF2:AF141</xm:sqref>
        </x14:conditionalFormatting>
        <x14:conditionalFormatting>
          <x14:cfRule type="dataBar" priority="40" id="{FF212818-8A2A-018D-6067-20C53AE6F84D}">
            <x14:dataBar gradient="1">
              <x14:cfvo type="min"/>
              <x14:cfvo type="max"/>
              <x14:fillColor rgb="FFA02B93"/>
            </x14:dataBar>
          </x14:cfRule>
          <xm:sqref>Z2:Z131</xm:sqref>
        </x14:conditionalFormatting>
        <x14:conditionalFormatting>
          <x14:cfRule type="dataBar" priority="41" id="{58B961F2-E7C2-3CC6-9622-76FC6F7A216B}">
            <x14:dataBar gradient="1">
              <x14:cfvo type="min"/>
              <x14:cfvo type="max"/>
              <x14:fillColor rgb="FFA02B93"/>
            </x14:dataBar>
          </x14:cfRule>
          <xm:sqref>AA2:AA131</xm:sqref>
        </x14:conditionalFormatting>
        <x14:conditionalFormatting>
          <x14:cfRule type="dataBar" priority="42" id="{9EA2158F-DACD-5C5B-C393-62C1250BDB2B}">
            <x14:dataBar gradient="1">
              <x14:cfvo type="min"/>
              <x14:cfvo type="max"/>
              <x14:fillColor rgb="FFA02B93"/>
            </x14:dataBar>
          </x14:cfRule>
          <xm:sqref>AB2:AB131</xm:sqref>
        </x14:conditionalFormatting>
        <x14:conditionalFormatting>
          <x14:cfRule type="dataBar" priority="43" id="{6BD1A7D9-4A16-3263-6DF0-CF600D253376}">
            <x14:dataBar gradient="1">
              <x14:cfvo type="min"/>
              <x14:cfvo type="max"/>
              <x14:fillColor rgb="FFA02B93"/>
            </x14:dataBar>
          </x14:cfRule>
          <xm:sqref>AC2:AC131</xm:sqref>
        </x14:conditionalFormatting>
        <x14:conditionalFormatting>
          <x14:cfRule type="dataBar" priority="44" id="{7E298955-D6D4-33E1-E4AD-89161B79F30A}">
            <x14:dataBar gradient="1">
              <x14:cfvo type="min"/>
              <x14:cfvo type="max"/>
              <x14:fillColor rgb="FFA02B93"/>
            </x14:dataBar>
          </x14:cfRule>
          <xm:sqref>AD2:AD131</xm:sqref>
        </x14:conditionalFormatting>
        <x14:conditionalFormatting>
          <x14:cfRule type="dataBar" priority="45" id="{3D708130-DE87-4E85-018E-1A4720F4C6F0}">
            <x14:dataBar gradient="1">
              <x14:cfvo type="min"/>
              <x14:cfvo type="max"/>
              <x14:fillColor rgb="FFA02B93"/>
            </x14:dataBar>
          </x14:cfRule>
          <xm:sqref>AE2:AE131</xm:sqref>
        </x14:conditionalFormatting>
        <x14:conditionalFormatting>
          <x14:cfRule type="dataBar" priority="46" id="{DD048C62-56F9-6A5F-3F9A-5C973519F002}">
            <x14:dataBar gradient="1">
              <x14:cfvo type="min"/>
              <x14:cfvo type="max"/>
              <x14:fillColor rgb="FFA02B93"/>
            </x14:dataBar>
          </x14:cfRule>
          <xm:sqref>AF2:AF131</xm:sqref>
        </x14:conditionalFormatting>
        <x14:conditionalFormatting>
          <x14:cfRule type="dataBar" priority="47" id="{E5135CBE-1FB8-500C-7E86-00476F0DBC3B}">
            <x14:dataBar gradient="1">
              <x14:cfvo type="min"/>
              <x14:cfvo type="max"/>
              <x14:fillColor rgb="FFA02B93"/>
            </x14:dataBar>
          </x14:cfRule>
          <xm:sqref>K2:K131</xm:sqref>
        </x14:conditionalFormatting>
        <x14:conditionalFormatting>
          <x14:cfRule type="dataBar" priority="48" id="{2830F9D9-765F-871C-5726-9A7E9AD7E9C0}">
            <x14:dataBar gradient="1">
              <x14:cfvo type="min"/>
              <x14:cfvo type="max"/>
              <x14:fillColor rgb="FFA02B93"/>
            </x14:dataBar>
          </x14:cfRule>
          <xm:sqref>L2:L131</xm:sqref>
        </x14:conditionalFormatting>
        <x14:conditionalFormatting>
          <x14:cfRule type="dataBar" priority="49" id="{A4DB08FD-E34C-9573-F788-1E4AF2F7E461}">
            <x14:dataBar gradient="1">
              <x14:cfvo type="min"/>
              <x14:cfvo type="max"/>
              <x14:fillColor rgb="FFA02B93"/>
            </x14:dataBar>
          </x14:cfRule>
          <xm:sqref>M2:M131</xm:sqref>
        </x14:conditionalFormatting>
        <x14:conditionalFormatting>
          <x14:cfRule type="dataBar" priority="50" id="{E63CE1A3-B8D9-CFBA-867C-7FF8A19FF740}">
            <x14:dataBar gradient="1">
              <x14:cfvo type="min"/>
              <x14:cfvo type="max"/>
              <x14:fillColor rgb="FFA02B93"/>
            </x14:dataBar>
          </x14:cfRule>
          <xm:sqref>N2:N131</xm:sqref>
        </x14:conditionalFormatting>
        <x14:conditionalFormatting>
          <x14:cfRule type="dataBar" priority="51" id="{822755B6-6F6E-49E3-9889-AAFABB8DE8A1}">
            <x14:dataBar gradient="1">
              <x14:cfvo type="min"/>
              <x14:cfvo type="max"/>
              <x14:fillColor rgb="FFA02B93"/>
            </x14:dataBar>
          </x14:cfRule>
          <xm:sqref>O2:O131</xm:sqref>
        </x14:conditionalFormatting>
        <x14:conditionalFormatting>
          <x14:cfRule type="dataBar" priority="52" id="{98801423-B1A7-C1A6-DB38-1E4F6B11B807}">
            <x14:dataBar gradient="1">
              <x14:cfvo type="min"/>
              <x14:cfvo type="max"/>
              <x14:fillColor rgb="FFA02B93"/>
            </x14:dataBar>
          </x14:cfRule>
          <xm:sqref>P2:P131</xm:sqref>
        </x14:conditionalFormatting>
        <x14:conditionalFormatting>
          <x14:cfRule type="dataBar" priority="53" id="{F852861F-B992-CFCC-ED68-1EB7B393BE1C}">
            <x14:dataBar gradient="1">
              <x14:cfvo type="min"/>
              <x14:cfvo type="max"/>
              <x14:fillColor rgb="FFA02B93"/>
            </x14:dataBar>
          </x14:cfRule>
          <xm:sqref>Q2:Q131</xm:sqref>
        </x14:conditionalFormatting>
        <x14:conditionalFormatting>
          <x14:cfRule type="dataBar" priority="54" id="{51E31A1D-AA00-D50B-DC2F-C3F6D13FD660}">
            <x14:dataBar gradient="1">
              <x14:cfvo type="min"/>
              <x14:cfvo type="max"/>
              <x14:fillColor rgb="FFA02B93"/>
            </x14:dataBar>
          </x14:cfRule>
          <xm:sqref>R2:R131</xm:sqref>
        </x14:conditionalFormatting>
        <x14:conditionalFormatting>
          <x14:cfRule type="dataBar" priority="55" id="{FF212818-8A2A-018D-6067-20C53AE6F84D}">
            <x14:dataBar gradient="1">
              <x14:cfvo type="min"/>
              <x14:cfvo type="max"/>
              <x14:fillColor rgb="FFA02B93"/>
            </x14:dataBar>
          </x14:cfRule>
          <xm:sqref>S2:S131</xm:sqref>
        </x14:conditionalFormatting>
        <x14:conditionalFormatting>
          <x14:cfRule type="dataBar" priority="56" id="{58B961F2-E7C2-3CC6-9622-76FC6F7A216B}">
            <x14:dataBar gradient="1">
              <x14:cfvo type="min"/>
              <x14:cfvo type="max"/>
              <x14:fillColor rgb="FFA02B93"/>
            </x14:dataBar>
          </x14:cfRule>
          <xm:sqref>T2:T131</xm:sqref>
        </x14:conditionalFormatting>
        <x14:conditionalFormatting>
          <x14:cfRule type="dataBar" priority="57" id="{9EA2158F-DACD-5C5B-C393-62C1250BDB2B}">
            <x14:dataBar gradient="1">
              <x14:cfvo type="min"/>
              <x14:cfvo type="max"/>
              <x14:fillColor rgb="FFA02B93"/>
            </x14:dataBar>
          </x14:cfRule>
          <xm:sqref>U2:U131</xm:sqref>
        </x14:conditionalFormatting>
        <x14:conditionalFormatting>
          <x14:cfRule type="dataBar" priority="58" id="{6BD1A7D9-4A16-3263-6DF0-CF600D253376}">
            <x14:dataBar gradient="1">
              <x14:cfvo type="min"/>
              <x14:cfvo type="max"/>
              <x14:fillColor rgb="FFA02B93"/>
            </x14:dataBar>
          </x14:cfRule>
          <xm:sqref>V2:V131</xm:sqref>
        </x14:conditionalFormatting>
        <x14:conditionalFormatting>
          <x14:cfRule type="dataBar" priority="59" id="{7E298955-D6D4-33E1-E4AD-89161B79F30A}">
            <x14:dataBar gradient="1">
              <x14:cfvo type="min"/>
              <x14:cfvo type="max"/>
              <x14:fillColor rgb="FFA02B93"/>
            </x14:dataBar>
          </x14:cfRule>
          <xm:sqref>W2:W131</xm:sqref>
        </x14:conditionalFormatting>
        <x14:conditionalFormatting>
          <x14:cfRule type="dataBar" priority="60" id="{3D708130-DE87-4E85-018E-1A4720F4C6F0}">
            <x14:dataBar gradient="1">
              <x14:cfvo type="min"/>
              <x14:cfvo type="max"/>
              <x14:fillColor rgb="FFA02B93"/>
            </x14:dataBar>
          </x14:cfRule>
          <xm:sqref>X2:X131</xm:sqref>
        </x14:conditionalFormatting>
        <x14:conditionalFormatting>
          <x14:cfRule type="dataBar" priority="61" id="{DD048C62-56F9-6A5F-3F9A-5C973519F002}">
            <x14:dataBar gradient="1">
              <x14:cfvo type="min"/>
              <x14:cfvo type="max"/>
              <x14:fillColor rgb="FFA02B93"/>
            </x14:dataBar>
          </x14:cfRule>
          <xm:sqref>Y2:Y131</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12" hidden="0" customWidth="1"/>
    <x:col min="5" max="5" width="22" hidden="0" customWidth="1"/>
    <x:col min="6" max="6" width="68" hidden="0" customWidth="1"/>
    <x:col min="7" max="7" width="58" hidden="0" customWidth="1"/>
    <x:col min="4" max="4" width="22" hidden="0" customWidth="1"/>
    <x:col min="9" max="10" width="22" hidden="0" customWidth="1"/>
  </x:cols>
  <x:sheetData>
    <x:row r="1">
      <x:c r="A1" s="162" t="str">
        <x:v>Code</x:v>
      </x:c>
      <x:c r="B1" s="162" t="str">
        <x:v>表示名</x:v>
      </x:c>
      <x:c r="C1" s="162" t="str">
        <x:v>区分</x:v>
      </x:c>
      <x:c r="D1" s="162" t="str">
        <x:v>0側</x:v>
      </x:c>
      <x:c r="E1" s="162" t="str">
        <x:v>100側</x:v>
      </x:c>
      <x:c r="F1" s="162" t="str">
        <x:v>定義</x:v>
      </x:c>
      <x:c r="G1" s="18"/>
      <x:c r="H1" s="18"/>
      <x:c r="I1" s="162" t="str">
        <x:v>キーワード0側</x:v>
      </x:c>
      <x:c r="J1" s="162" t="str">
        <x:v>キーワード100側</x:v>
      </x:c>
    </x:row>
    <x:row r="2">
      <x:c r="A2" s="12" t="str">
        <x:v>Engage</x:v>
      </x:c>
      <x:c r="B2" s="12" t="str">
        <x:v>仕掛け</x:v>
      </x:c>
      <x:c r="C2" s="12" t="str">
        <x:v>コア</x:v>
      </x:c>
      <x:c r="D2" s="12" t="str">
        <x:v>待ち受け</x:v>
      </x:c>
      <x:c r="E2" s="18" t="str">
        <x:v>仕掛け</x:v>
      </x:c>
      <x:c r="F2" s="18" t="str">
        <x:v>自分から接触や集団戦のきっかけを作る度合い。</x:v>
      </x:c>
      <x:c r="G2" s="18" t="str">
        <x:v>開戦・突入・瞬間火力・判断負荷が高いほど上がる</x:v>
      </x:c>
      <x:c r="I2" s="12" t="str">
        <x:v>待って返す</x:v>
      </x:c>
      <x:c r="J2" s="12" t="str">
        <x:v>自分から仕掛ける</x:v>
      </x:c>
    </x:row>
    <x:row r="3">
      <x:c r="A3" s="12" t="str">
        <x:v>Dive</x:v>
      </x:c>
      <x:c r="B3" s="12" t="str">
        <x:v>踏み込み</x:v>
      </x:c>
      <x:c r="C3" s="12" t="str">
        <x:v>コア</x:v>
      </x:c>
      <x:c r="D3" s="12" t="str">
        <x:v>安全ライン</x:v>
      </x:c>
      <x:c r="E3" s="12" t="str">
        <x:v>深い踏み込み</x:v>
      </x:c>
      <x:c r="F3" s="12" t="str">
        <x:v>危険を承知で相手側へ深く入り、攻め切る度合い。</x:v>
      </x:c>
      <x:c r="G3" s="12" t="str">
        <x:v>突入・瞬間火力・機動が高く、味方保護依存が低いほど上がる</x:v>
      </x:c>
      <x:c r="I3" s="12" t="str">
        <x:v>後ろから狙う</x:v>
      </x:c>
      <x:c r="J3" s="12" t="str">
        <x:v>後衛まで踏み込む</x:v>
      </x:c>
    </x:row>
    <x:row r="4">
      <x:c r="A4" s="12" t="str">
        <x:v>Peel</x:v>
      </x:c>
      <x:c r="B4" s="12" t="str">
        <x:v>味方保護</x:v>
      </x:c>
      <x:c r="C4" s="12" t="str">
        <x:v>コア</x:v>
      </x:c>
      <x:c r="D4" s="12" t="str">
        <x:v>自分の仕事</x:v>
      </x:c>
      <x:c r="E4" s="12" t="str">
        <x:v>味方保護</x:v>
      </x:c>
      <x:c r="F4" s="12" t="str">
        <x:v>味方へ近づく相手を止め、安全な時間や場所を作る度合い。</x:v>
      </x:c>
      <x:c r="G4" s="12" t="str">
        <x:v>Peel・Support・Control・Engageを重視</x:v>
      </x:c>
      <x:c r="J4" s="12" t="str">
        <x:v>味方を守る</x:v>
      </x:c>
    </x:row>
    <x:row r="5">
      <x:c r="A5" s="12" t="str">
        <x:v>Frontline</x:v>
      </x:c>
      <x:c r="B5" s="12" t="str">
        <x:v>前線維持</x:v>
      </x:c>
      <x:c r="C5" s="12" t="str">
        <x:v>コア</x:v>
      </x:c>
      <x:c r="D5" s="12" t="str">
        <x:v>後方位置</x:v>
      </x:c>
      <x:c r="E5" s="12" t="str">
        <x:v>前線維持</x:v>
      </x:c>
      <x:c r="F5" s="12" t="str">
        <x:v>相手に近い位置へ長く残り、戦う場所を維持する度合い。</x:v>
      </x:c>
      <x:c r="G5" s="12" t="str">
        <x:v>継続火力・機動・前線・瞬間火力・オブジェクトを重視</x:v>
      </x:c>
      <x:c r="J5" s="12" t="str">
        <x:v>前線を支える</x:v>
      </x:c>
    </x:row>
    <x:row r="6">
      <x:c r="A6" s="12" t="str">
        <x:v>Poke</x:v>
      </x:c>
      <x:c r="B6" s="12" t="str">
        <x:v>間合い管理</x:v>
      </x:c>
      <x:c r="C6" s="12" t="str">
        <x:v>コア</x:v>
      </x:c>
      <x:c r="D6" s="12" t="str">
        <x:v>接近戦</x:v>
      </x:c>
      <x:c r="E6" s="12" t="str">
        <x:v>間合い管理</x:v>
      </x:c>
      <x:c r="F6" s="12" t="str">
        <x:v>距離を保ちながら先に削る・牽制する度合い。</x:v>
      </x:c>
      <x:c r="G6" s="12" t="str">
        <x:v>Poke・Control・Decisionを重視し、Dive過多はやや下げる</x:v>
      </x:c>
      <x:c r="I6" s="12" t="str">
        <x:v>近距離で戦う</x:v>
      </x:c>
      <x:c r="J6" s="12" t="str">
        <x:v>遠くから削る</x:v>
      </x:c>
    </x:row>
    <x:row r="7">
      <x:c r="A7" s="12" t="str">
        <x:v>FightTempo</x:v>
      </x:c>
      <x:c r="B7" s="12" t="str">
        <x:v>戦闘テンポ</x:v>
      </x:c>
      <x:c r="C7" s="12" t="str">
        <x:v>コア</x:v>
      </x:c>
      <x:c r="D7" s="12" t="str">
        <x:v>瞬間決着</x:v>
      </x:c>
      <x:c r="E7" s="12" t="str">
        <x:v>継続戦</x:v>
      </x:c>
      <x:c r="F7" s="12" t="str">
        <x:v>0=短い一撃勝負、100=長い継続戦。どちらを得意とするか。</x:v>
      </x:c>
      <x:c r="G7" s="12" t="str">
        <x:v>Decision・Mobility・Control・Support・Executionを重視</x:v>
      </x:c>
      <x:c r="I7" s="12" t="str">
        <x:v>一瞬で倒し切る</x:v>
      </x:c>
      <x:c r="J7" s="12" t="str">
        <x:v>長く戦う</x:v>
      </x:c>
    </x:row>
    <x:row r="8">
      <x:c r="A8" s="12" t="str">
        <x:v>Control</x:v>
      </x:c>
      <x:c r="B8" s="12" t="str">
        <x:v>盤面制御</x:v>
      </x:c>
      <x:c r="C8" s="12" t="str">
        <x:v>コア</x:v>
      </x:c>
      <x:c r="D8" s="12" t="str">
        <x:v>シンプル攻め</x:v>
      </x:c>
      <x:c r="E8" s="12" t="str">
        <x:v>盤面制御</x:v>
      </x:c>
      <x:c r="F8" s="12" t="str">
        <x:v>妨害・設置・位置取りで、相手の行動や移動を制限する度合い。</x:v>
      </x:c>
      <x:c r="G8" s="12" t="str">
        <x:v>操作負荷と判断負荷を重視</x:v>
      </x:c>
      <x:c r="J8" s="12" t="str">
        <x:v>動きを止める</x:v>
      </x:c>
    </x:row>
    <x:row r="9">
      <x:c r="A9" s="12" t="str">
        <x:v>Support</x:v>
      </x:c>
      <x:c r="B9" s="12" t="str">
        <x:v>直接支援</x:v>
      </x:c>
      <x:c r="C9" s="12" t="str">
        <x:v>コア</x:v>
      </x:c>
      <x:c r="D9" s="12" t="str">
        <x:v>自己遂行</x:v>
      </x:c>
      <x:c r="E9" s="12" t="str">
        <x:v>直接支援</x:v>
      </x:c>
      <x:c r="F9" s="12" t="str">
        <x:v>回復・シールド・バフ等で、味方を直接強くする度合い。</x:v>
      </x:c>
      <x:c r="J9" s="12" t="str">
        <x:v>回復やシールドで支える</x:v>
      </x:c>
    </x:row>
    <x:row r="10">
      <x:c r="A10" s="12" t="str">
        <x:v>Mobility</x:v>
      </x:c>
      <x:c r="B10" s="12" t="str">
        <x:v>機動力</x:v>
      </x:c>
      <x:c r="C10" s="12" t="str">
        <x:v>コア</x:v>
      </x:c>
      <x:c r="D10" s="12" t="str">
        <x:v>定位置</x:v>
      </x:c>
      <x:c r="E10" s="12" t="str">
        <x:v>機動力</x:v>
      </x:c>
      <x:c r="F10" s="12" t="str">
        <x:v>場所を変えながら広く影響を出す度合い。</x:v>
      </x:c>
      <x:c r="I10" s="12" t="str">
        <x:v>陣取って戦う</x:v>
      </x:c>
      <x:c r="J10" s="12" t="str">
        <x:v>マップを駆け回る</x:v>
      </x:c>
    </x:row>
    <x:row r="11">
      <x:c r="A11" s="12" t="str">
        <x:v>SelfSufficiency</x:v>
      </x:c>
      <x:c r="B11" s="12" t="str">
        <x:v>自己完結性</x:v>
      </x:c>
      <x:c r="C11" s="12" t="str">
        <x:v>コア</x:v>
      </x:c>
      <x:c r="D11" s="12" t="str">
        <x:v>連携依存</x:v>
      </x:c>
      <x:c r="E11" s="12" t="str">
        <x:v>自己完結</x:v>
      </x:c>
      <x:c r="F11" s="12" t="str">
        <x:v>味方の助けが少なくても、自分で仕事を成立させやすい度合い。</x:v>
      </x:c>
      <x:c r="I11" s="12" t="str">
        <x:v>味方と合わせて輝く</x:v>
      </x:c>
      <x:c r="J11" s="12" t="str">
        <x:v>一人で仕事を作る</x:v>
      </x:c>
    </x:row>
    <x:row r="12">
      <x:c r="A12" s="12" t="str">
        <x:v>FarmScaling</x:v>
      </x:c>
      <x:c r="B12" s="12" t="str">
        <x:v>成長・スケール</x:v>
      </x:c>
      <x:c r="C12" s="12" t="str">
        <x:v>補助</x:v>
      </x:c>
      <x:c r="D12" s="12" t="str">
        <x:v>序盤即応</x:v>
      </x:c>
      <x:c r="E12" s="12" t="str">
        <x:v>大器晩成</x:v>
      </x:c>
      <x:c r="F12" s="12" t="str">
        <x:v>序盤の即効性より、経験値や時間を経て強くなる性質。</x:v>
      </x:c>
      <x:c r="I12" s="12" t="str">
        <x:v>序盤から強い</x:v>
      </x:c>
      <x:c r="J12" s="12" t="str">
        <x:v>育つと化ける</x:v>
      </x:c>
    </x:row>
    <x:row r="13">
      <x:c r="A13" s="12" t="str">
        <x:v>ObjectiveSecure</x:v>
      </x:c>
      <x:c r="B13" s="12" t="str">
        <x:v>取り切り</x:v>
      </x:c>
      <x:c r="C13" s="12" t="str">
        <x:v>補助</x:v>
      </x:c>
      <x:c r="D13" s="12" t="str">
        <x:v>別仕事</x:v>
      </x:c>
      <x:c r="E13" s="12" t="str">
        <x:v>取り切り</x:v>
      </x:c>
      <x:c r="F13" s="12" t="str">
        <x:v>重要な野生ポケモンや最後の一撃を自分で担いやすい性質。</x:v>
      </x:c>
      <x:c r="J13" s="12" t="str">
        <x:v>取り切りが得意</x:v>
      </x:c>
    </x:row>
    <x:row r="14">
      <x:c r="A14" s="12" t="str">
        <x:v>ScoringSide</x:v>
      </x:c>
      <x:c r="B14" s="12" t="str">
        <x:v>サイド・得点</x:v>
      </x:c>
      <x:c r="C14" s="12" t="str">
        <x:v>補助</x:v>
      </x:c>
      <x:c r="D14" s="12" t="str">
        <x:v>集団戦重視</x:v>
      </x:c>
      <x:c r="E14" s="12" t="str">
        <x:v>サイド得点</x:v>
      </x:c>
      <x:c r="F14" s="12" t="str">
        <x:v>集団から離れて空いた場所やゴールへ圧を出す性質。</x:v>
      </x:c>
      <x:c r="I14" s="12" t="str">
        <x:v>集団戦で輝く</x:v>
      </x:c>
      <x:c r="J14" s="12" t="str">
        <x:v>空いたゴールを狙う</x:v>
      </x:c>
    </x:row>
    <x:row r="15">
      <x:c r="A15" s="12" t="str">
        <x:v>Execution</x:v>
      </x:c>
      <x:c r="B15" s="12" t="str">
        <x:v>操作精度</x:v>
      </x:c>
      <x:c r="C15" s="12" t="str">
        <x:v>コア</x:v>
      </x:c>
      <x:c r="D15" s="12" t="str">
        <x:v>シンプル操作</x:v>
      </x:c>
      <x:c r="E15" s="12" t="str">
        <x:v>操作精度</x:v>
      </x:c>
      <x:c r="F15" s="12" t="str">
        <x:v>エイム・コンボ・入力速度・細かな位置調整への要求度。</x:v>
      </x:c>
      <x:c r="I15" s="12" t="str">
        <x:v>扱いやすい</x:v>
      </x:c>
      <x:c r="J15" s="12" t="str">
        <x:v>操作を極める</x:v>
      </x:c>
    </x:row>
    <x:row r="16">
      <x:c r="A16" s="12" t="str">
        <x:v>Decision</x:v>
      </x:c>
      <x:c r="B16" s="12" t="str">
        <x:v>状況判断</x:v>
      </x:c>
      <x:c r="C16" s="12" t="str">
        <x:v>コア</x:v>
      </x:c>
      <x:c r="D16" s="12" t="str">
        <x:v>直感勝負</x:v>
      </x:c>
      <x:c r="E16" s="12" t="str">
        <x:v>状況判断</x:v>
      </x:c>
      <x:c r="F16" s="12" t="str">
        <x:v>選択肢の多さ、先読み、対象選択、使い分けへの要求度。</x:v>
      </x:c>
      <x:c r="J16" s="12" t="str">
        <x:v>先を読んで動く</x:v>
      </x:c>
    </x:row>
  </x:sheetData>
  <x:mergeCells>
    <x:mergeCell ref="E1:H1"/>
  </x:mergeCells>
  <x:pageMargins left="0.7" right="0.7" top="0.75" bottom="0.75" header="0.3" footer="0.3"/>
  <x:tableParts count="1">
    <x:tablePart xmlns:r="http://schemas.openxmlformats.org/officeDocument/2006/relationships" r:id="R2be7176b008b41ed"/>
  </x:tableParts>
</x:worksheet>
</file>

<file path=xl/worksheets/sheet5.xml><?xml version="1.0" encoding="utf-8"?>
<x:worksheet xmlns:x="http://schemas.openxmlformats.org/spreadsheetml/2006/main">
  <x:sheetFormatPr defaultRowHeight="15"/>
  <x:cols>
    <x:col min="1" max="1" width="18"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1">
      <x:c r="A1" s="162" t="str">
        <x:v>Archetype</x:v>
      </x:c>
      <x:c r="B1" s="162" t="str">
        <x:v>Engage</x:v>
      </x:c>
      <x:c r="C1" s="162" t="str">
        <x:v>Dive</x:v>
      </x:c>
      <x:c r="D1" s="162" t="str">
        <x:v>Peel</x:v>
      </x:c>
      <x:c r="E1" s="162" t="str">
        <x:v>Frontline</x:v>
      </x:c>
      <x:c r="F1" s="162" t="str">
        <x:v>Poke</x:v>
      </x:c>
      <x:c r="G1" s="162" t="str">
        <x:v>FightTempo</x:v>
      </x:c>
      <x:c r="H1" s="162" t="str">
        <x:v>Control</x:v>
      </x:c>
      <x:c r="I1" s="162" t="str">
        <x:v>Support</x:v>
      </x:c>
      <x:c r="J1" s="162" t="str">
        <x:v>Mobility</x:v>
      </x:c>
      <x:c r="K1" s="162" t="str">
        <x:v>SelfSufficiency</x:v>
      </x:c>
      <x:c r="L1" s="162" t="str">
        <x:v>FarmScaling</x:v>
      </x:c>
      <x:c r="M1" s="162" t="str">
        <x:v>ObjectiveSecure</x:v>
      </x:c>
      <x:c r="N1" s="162" t="str">
        <x:v>ScoringSide</x:v>
      </x:c>
      <x:c r="O1" s="162" t="str">
        <x:v>Execution</x:v>
      </x:c>
      <x:c r="P1" s="162" t="str">
        <x:v>Decision</x:v>
      </x:c>
    </x:row>
    <x:row r="2">
      <x:c r="A2" t="str">
        <x:v>Assassin</x:v>
      </x:c>
      <x:c r="B2" t="n">
        <x:v>55</x:v>
      </x:c>
      <x:c r="C2" t="n">
        <x:v>95</x:v>
      </x:c>
      <x:c r="D2" t="n">
        <x:v>10</x:v>
      </x:c>
      <x:c r="E2" t="n">
        <x:v>15</x:v>
      </x:c>
      <x:c r="F2" t="n">
        <x:v>15</x:v>
      </x:c>
      <x:c r="G2" t="n">
        <x:v>15</x:v>
      </x:c>
      <x:c r="H2" t="n">
        <x:v>25</x:v>
      </x:c>
      <x:c r="I2" t="n">
        <x:v>5</x:v>
      </x:c>
      <x:c r="J2" t="n">
        <x:v>95</x:v>
      </x:c>
      <x:c r="K2" t="n">
        <x:v>70</x:v>
      </x:c>
      <x:c r="L2" t="n">
        <x:v>55</x:v>
      </x:c>
      <x:c r="M2" t="n">
        <x:v>70</x:v>
      </x:c>
      <x:c r="N2" t="n">
        <x:v>80</x:v>
      </x:c>
      <x:c r="O2" t="n">
        <x:v>80</x:v>
      </x:c>
      <x:c r="P2" t="n">
        <x:v>75</x:v>
      </x:c>
    </x:row>
    <x:row r="3">
      <x:c r="A3" t="str">
        <x:v>Skirmisher</x:v>
      </x:c>
      <x:c r="B3" t="n">
        <x:v>60</x:v>
      </x:c>
      <x:c r="C3" t="n">
        <x:v>75</x:v>
      </x:c>
      <x:c r="D3" t="n">
        <x:v>25</x:v>
      </x:c>
      <x:c r="E3" t="n">
        <x:v>65</x:v>
      </x:c>
      <x:c r="F3" t="n">
        <x:v>20</x:v>
      </x:c>
      <x:c r="G3" t="n">
        <x:v>65</x:v>
      </x:c>
      <x:c r="H3" t="n">
        <x:v>35</x:v>
      </x:c>
      <x:c r="I3" t="n">
        <x:v>10</x:v>
      </x:c>
      <x:c r="J3" t="n">
        <x:v>75</x:v>
      </x:c>
      <x:c r="K3" t="n">
        <x:v>75</x:v>
      </x:c>
      <x:c r="L3" t="n">
        <x:v>60</x:v>
      </x:c>
      <x:c r="M3" t="n">
        <x:v>65</x:v>
      </x:c>
      <x:c r="N3" t="n">
        <x:v>65</x:v>
      </x:c>
      <x:c r="O3" t="n">
        <x:v>70</x:v>
      </x:c>
      <x:c r="P3" t="n">
        <x:v>65</x:v>
      </x:c>
    </x:row>
    <x:row r="4">
      <x:c r="A4" t="str">
        <x:v>Diver</x:v>
      </x:c>
      <x:c r="B4" t="n">
        <x:v>80</x:v>
      </x:c>
      <x:c r="C4" t="n">
        <x:v>90</x:v>
      </x:c>
      <x:c r="D4" t="n">
        <x:v>20</x:v>
      </x:c>
      <x:c r="E4" t="n">
        <x:v>60</x:v>
      </x:c>
      <x:c r="F4" t="n">
        <x:v>10</x:v>
      </x:c>
      <x:c r="G4" t="n">
        <x:v>45</x:v>
      </x:c>
      <x:c r="H4" t="n">
        <x:v>45</x:v>
      </x:c>
      <x:c r="I4" t="n">
        <x:v>5</x:v>
      </x:c>
      <x:c r="J4" t="n">
        <x:v>80</x:v>
      </x:c>
      <x:c r="K4" t="n">
        <x:v>75</x:v>
      </x:c>
      <x:c r="L4" t="n">
        <x:v>55</x:v>
      </x:c>
      <x:c r="M4" t="n">
        <x:v>60</x:v>
      </x:c>
      <x:c r="N4" t="n">
        <x:v>55</x:v>
      </x:c>
      <x:c r="O4" t="n">
        <x:v>65</x:v>
      </x:c>
      <x:c r="P4" t="n">
        <x:v>70</x:v>
      </x:c>
    </x:row>
    <x:row r="5">
      <x:c r="A5" t="str">
        <x:v>Juggernaut</x:v>
      </x:c>
      <x:c r="B5" t="n">
        <x:v>55</x:v>
      </x:c>
      <x:c r="C5" t="n">
        <x:v>45</x:v>
      </x:c>
      <x:c r="D5" t="n">
        <x:v>35</x:v>
      </x:c>
      <x:c r="E5" t="n">
        <x:v>95</x:v>
      </x:c>
      <x:c r="F5" t="n">
        <x:v>15</x:v>
      </x:c>
      <x:c r="G5" t="n">
        <x:v>70</x:v>
      </x:c>
      <x:c r="H5" t="n">
        <x:v>40</x:v>
      </x:c>
      <x:c r="I5" t="n">
        <x:v>10</x:v>
      </x:c>
      <x:c r="J5" t="n">
        <x:v>30</x:v>
      </x:c>
      <x:c r="K5" t="n">
        <x:v>75</x:v>
      </x:c>
      <x:c r="L5" t="n">
        <x:v>65</x:v>
      </x:c>
      <x:c r="M5" t="n">
        <x:v>70</x:v>
      </x:c>
      <x:c r="N5" t="n">
        <x:v>40</x:v>
      </x:c>
      <x:c r="O5" t="n">
        <x:v>50</x:v>
      </x:c>
      <x:c r="P5" t="n">
        <x:v>55</x:v>
      </x:c>
    </x:row>
    <x:row r="6">
      <x:c r="A6" t="str">
        <x:v>Marksman</x:v>
      </x:c>
      <x:c r="B6" t="n">
        <x:v>20</x:v>
      </x:c>
      <x:c r="C6" t="n">
        <x:v>10</x:v>
      </x:c>
      <x:c r="D6" t="n">
        <x:v>15</x:v>
      </x:c>
      <x:c r="E6" t="n">
        <x:v>10</x:v>
      </x:c>
      <x:c r="F6" t="n">
        <x:v>65</x:v>
      </x:c>
      <x:c r="G6" t="n">
        <x:v>85</x:v>
      </x:c>
      <x:c r="H6" t="n">
        <x:v>15</x:v>
      </x:c>
      <x:c r="I6" t="n">
        <x:v>5</x:v>
      </x:c>
      <x:c r="J6" t="n">
        <x:v>45</x:v>
      </x:c>
      <x:c r="K6" t="n">
        <x:v>65</x:v>
      </x:c>
      <x:c r="L6" t="n">
        <x:v>80</x:v>
      </x:c>
      <x:c r="M6" t="n">
        <x:v>85</x:v>
      </x:c>
      <x:c r="N6" t="n">
        <x:v>50</x:v>
      </x:c>
      <x:c r="O6" t="n">
        <x:v>65</x:v>
      </x:c>
      <x:c r="P6" t="n">
        <x:v>65</x:v>
      </x:c>
    </x:row>
    <x:row r="7">
      <x:c r="A7" t="str">
        <x:v>BurstMage</x:v>
      </x:c>
      <x:c r="B7" t="n">
        <x:v>30</x:v>
      </x:c>
      <x:c r="C7" t="n">
        <x:v>10</x:v>
      </x:c>
      <x:c r="D7" t="n">
        <x:v>35</x:v>
      </x:c>
      <x:c r="E7" t="n">
        <x:v>10</x:v>
      </x:c>
      <x:c r="F7" t="n">
        <x:v>85</x:v>
      </x:c>
      <x:c r="G7" t="n">
        <x:v>20</x:v>
      </x:c>
      <x:c r="H7" t="n">
        <x:v>70</x:v>
      </x:c>
      <x:c r="I7" t="n">
        <x:v>10</x:v>
      </x:c>
      <x:c r="J7" t="n">
        <x:v>25</x:v>
      </x:c>
      <x:c r="K7" t="n">
        <x:v>55</x:v>
      </x:c>
      <x:c r="L7" t="n">
        <x:v>55</x:v>
      </x:c>
      <x:c r="M7" t="n">
        <x:v>55</x:v>
      </x:c>
      <x:c r="N7" t="n">
        <x:v>25</x:v>
      </x:c>
      <x:c r="O7" t="n">
        <x:v>60</x:v>
      </x:c>
      <x:c r="P7" t="n">
        <x:v>70</x:v>
      </x:c>
    </x:row>
    <x:row r="8">
      <x:c r="A8" t="str">
        <x:v>BattleMage</x:v>
      </x:c>
      <x:c r="B8" t="n">
        <x:v>45</x:v>
      </x:c>
      <x:c r="C8" t="n">
        <x:v>35</x:v>
      </x:c>
      <x:c r="D8" t="n">
        <x:v>30</x:v>
      </x:c>
      <x:c r="E8" t="n">
        <x:v>35</x:v>
      </x:c>
      <x:c r="F8" t="n">
        <x:v>55</x:v>
      </x:c>
      <x:c r="G8" t="n">
        <x:v>65</x:v>
      </x:c>
      <x:c r="H8" t="n">
        <x:v>45</x:v>
      </x:c>
      <x:c r="I8" t="n">
        <x:v>10</x:v>
      </x:c>
      <x:c r="J8" t="n">
        <x:v>55</x:v>
      </x:c>
      <x:c r="K8" t="n">
        <x:v>65</x:v>
      </x:c>
      <x:c r="L8" t="n">
        <x:v>60</x:v>
      </x:c>
      <x:c r="M8" t="n">
        <x:v>60</x:v>
      </x:c>
      <x:c r="N8" t="n">
        <x:v>45</x:v>
      </x:c>
      <x:c r="O8" t="n">
        <x:v>65</x:v>
      </x:c>
      <x:c r="P8" t="n">
        <x:v>65</x:v>
      </x:c>
    </x:row>
    <x:row r="9">
      <x:c r="A9" t="str">
        <x:v>Artillery</x:v>
      </x:c>
      <x:c r="B9" t="n">
        <x:v>15</x:v>
      </x:c>
      <x:c r="C9" t="n">
        <x:v>5</x:v>
      </x:c>
      <x:c r="D9" t="n">
        <x:v>20</x:v>
      </x:c>
      <x:c r="E9" t="n">
        <x:v>5</x:v>
      </x:c>
      <x:c r="F9" t="n">
        <x:v>100</x:v>
      </x:c>
      <x:c r="G9" t="n">
        <x:v>30</x:v>
      </x:c>
      <x:c r="H9" t="n">
        <x:v>45</x:v>
      </x:c>
      <x:c r="I9" t="n">
        <x:v>5</x:v>
      </x:c>
      <x:c r="J9" t="n">
        <x:v>20</x:v>
      </x:c>
      <x:c r="K9" t="n">
        <x:v>50</x:v>
      </x:c>
      <x:c r="L9" t="n">
        <x:v>65</x:v>
      </x:c>
      <x:c r="M9" t="n">
        <x:v>75</x:v>
      </x:c>
      <x:c r="N9" t="n">
        <x:v>20</x:v>
      </x:c>
      <x:c r="O9" t="n">
        <x:v>85</x:v>
      </x:c>
      <x:c r="P9" t="n">
        <x:v>80</x:v>
      </x:c>
    </x:row>
    <x:row r="10">
      <x:c r="A10" t="str">
        <x:v>Vanguard</x:v>
      </x:c>
      <x:c r="B10" t="n">
        <x:v>100</x:v>
      </x:c>
      <x:c r="C10" t="n">
        <x:v>70</x:v>
      </x:c>
      <x:c r="D10" t="n">
        <x:v>60</x:v>
      </x:c>
      <x:c r="E10" t="n">
        <x:v>95</x:v>
      </x:c>
      <x:c r="F10" t="n">
        <x:v>5</x:v>
      </x:c>
      <x:c r="G10" t="n">
        <x:v>55</x:v>
      </x:c>
      <x:c r="H10" t="n">
        <x:v>95</x:v>
      </x:c>
      <x:c r="I10" t="n">
        <x:v>20</x:v>
      </x:c>
      <x:c r="J10" t="n">
        <x:v>50</x:v>
      </x:c>
      <x:c r="K10" t="n">
        <x:v>60</x:v>
      </x:c>
      <x:c r="L10" t="n">
        <x:v>20</x:v>
      </x:c>
      <x:c r="M10" t="n">
        <x:v>35</x:v>
      </x:c>
      <x:c r="N10" t="n">
        <x:v>25</x:v>
      </x:c>
      <x:c r="O10" t="n">
        <x:v>55</x:v>
      </x:c>
      <x:c r="P10" t="n">
        <x:v>80</x:v>
      </x:c>
    </x:row>
    <x:row r="11">
      <x:c r="A11" t="str">
        <x:v>Warden</x:v>
      </x:c>
      <x:c r="B11" t="n">
        <x:v>45</x:v>
      </x:c>
      <x:c r="C11" t="n">
        <x:v>15</x:v>
      </x:c>
      <x:c r="D11" t="n">
        <x:v>100</x:v>
      </x:c>
      <x:c r="E11" t="n">
        <x:v>95</x:v>
      </x:c>
      <x:c r="F11" t="n">
        <x:v>20</x:v>
      </x:c>
      <x:c r="G11" t="n">
        <x:v>55</x:v>
      </x:c>
      <x:c r="H11" t="n">
        <x:v>95</x:v>
      </x:c>
      <x:c r="I11" t="n">
        <x:v>45</x:v>
      </x:c>
      <x:c r="J11" t="n">
        <x:v>25</x:v>
      </x:c>
      <x:c r="K11" t="n">
        <x:v>50</x:v>
      </x:c>
      <x:c r="L11" t="n">
        <x:v>15</x:v>
      </x:c>
      <x:c r="M11" t="n">
        <x:v>30</x:v>
      </x:c>
      <x:c r="N11" t="n">
        <x:v>20</x:v>
      </x:c>
      <x:c r="O11" t="n">
        <x:v>50</x:v>
      </x:c>
      <x:c r="P11" t="n">
        <x:v>85</x:v>
      </x:c>
    </x:row>
    <x:row r="12">
      <x:c r="A12" t="str">
        <x:v>Catcher</x:v>
      </x:c>
      <x:c r="B12" t="n">
        <x:v>75</x:v>
      </x:c>
      <x:c r="C12" t="n">
        <x:v>40</x:v>
      </x:c>
      <x:c r="D12" t="n">
        <x:v>55</x:v>
      </x:c>
      <x:c r="E12" t="n">
        <x:v>50</x:v>
      </x:c>
      <x:c r="F12" t="n">
        <x:v>45</x:v>
      </x:c>
      <x:c r="G12" t="n">
        <x:v>40</x:v>
      </x:c>
      <x:c r="H12" t="n">
        <x:v>100</x:v>
      </x:c>
      <x:c r="I12" t="n">
        <x:v>20</x:v>
      </x:c>
      <x:c r="J12" t="n">
        <x:v>45</x:v>
      </x:c>
      <x:c r="K12" t="n">
        <x:v>50</x:v>
      </x:c>
      <x:c r="L12" t="n">
        <x:v>25</x:v>
      </x:c>
      <x:c r="M12" t="n">
        <x:v>40</x:v>
      </x:c>
      <x:c r="N12" t="n">
        <x:v>25</x:v>
      </x:c>
      <x:c r="O12" t="n">
        <x:v>65</x:v>
      </x:c>
      <x:c r="P12" t="n">
        <x:v>85</x:v>
      </x:c>
    </x:row>
    <x:row r="13">
      <x:c r="A13" t="str">
        <x:v>Enchanter</x:v>
      </x:c>
      <x:c r="B13" t="n">
        <x:v>20</x:v>
      </x:c>
      <x:c r="C13" t="n">
        <x:v>5</x:v>
      </x:c>
      <x:c r="D13" t="n">
        <x:v>85</x:v>
      </x:c>
      <x:c r="E13" t="n">
        <x:v>20</x:v>
      </x:c>
      <x:c r="F13" t="n">
        <x:v>35</x:v>
      </x:c>
      <x:c r="G13" t="n">
        <x:v>55</x:v>
      </x:c>
      <x:c r="H13" t="n">
        <x:v>50</x:v>
      </x:c>
      <x:c r="I13" t="n">
        <x:v>100</x:v>
      </x:c>
      <x:c r="J13" t="n">
        <x:v>40</x:v>
      </x:c>
      <x:c r="K13" t="n">
        <x:v>20</x:v>
      </x:c>
      <x:c r="L13" t="n">
        <x:v>15</x:v>
      </x:c>
      <x:c r="M13" t="n">
        <x:v>25</x:v>
      </x:c>
      <x:c r="N13" t="n">
        <x:v>25</x:v>
      </x:c>
      <x:c r="O13" t="n">
        <x:v>50</x:v>
      </x:c>
      <x:c r="P13" t="n">
        <x:v>85</x:v>
      </x:c>
    </x:row>
    <x:row r="14">
      <x:c r="A14" t="str">
        <x:v>Specialist</x:v>
      </x:c>
      <x:c r="B14" t="n">
        <x:v>50</x:v>
      </x:c>
      <x:c r="C14" t="n">
        <x:v>35</x:v>
      </x:c>
      <x:c r="D14" t="n">
        <x:v>55</x:v>
      </x:c>
      <x:c r="E14" t="n">
        <x:v>40</x:v>
      </x:c>
      <x:c r="F14" t="n">
        <x:v>45</x:v>
      </x:c>
      <x:c r="G14" t="n">
        <x:v>50</x:v>
      </x:c>
      <x:c r="H14" t="n">
        <x:v>75</x:v>
      </x:c>
      <x:c r="I14" t="n">
        <x:v>70</x:v>
      </x:c>
      <x:c r="J14" t="n">
        <x:v>70</x:v>
      </x:c>
      <x:c r="K14" t="n">
        <x:v>45</x:v>
      </x:c>
      <x:c r="L14" t="n">
        <x:v>35</x:v>
      </x:c>
      <x:c r="M14" t="n">
        <x:v>45</x:v>
      </x:c>
      <x:c r="N14" t="n">
        <x:v>70</x:v>
      </x:c>
      <x:c r="O14" t="n">
        <x:v>75</x:v>
      </x:c>
      <x:c r="P14" t="n">
        <x:v>100</x:v>
      </x:c>
    </x:row>
  </x:sheetData>
  <x:conditionalFormatting sqref="B2:B14">
    <x:cfRule type="colorScale" priority="31">
      <x:colorScale>
        <x:cfvo type="min"/>
        <x:cfvo type="percentile" val="50"/>
        <x:cfvo type="max"/>
        <x:color rgb="FFEFF6FF"/>
        <x:color rgb="FF93C5FD"/>
        <x:color rgb="FF1D4ED8"/>
      </x:colorScale>
    </x:cfRule>
  </x:conditionalFormatting>
  <x:conditionalFormatting sqref="C2:C14">
    <x:cfRule type="colorScale" priority="32">
      <x:colorScale>
        <x:cfvo type="min"/>
        <x:cfvo type="percentile" val="50"/>
        <x:cfvo type="max"/>
        <x:color rgb="FFEFF6FF"/>
        <x:color rgb="FF93C5FD"/>
        <x:color rgb="FF1D4ED8"/>
      </x:colorScale>
    </x:cfRule>
  </x:conditionalFormatting>
  <x:conditionalFormatting sqref="D2:D14">
    <x:cfRule type="colorScale" priority="33">
      <x:colorScale>
        <x:cfvo type="min"/>
        <x:cfvo type="percentile" val="50"/>
        <x:cfvo type="max"/>
        <x:color rgb="FFEFF6FF"/>
        <x:color rgb="FF93C5FD"/>
        <x:color rgb="FF1D4ED8"/>
      </x:colorScale>
    </x:cfRule>
  </x:conditionalFormatting>
  <x:conditionalFormatting sqref="E2:E14">
    <x:cfRule type="colorScale" priority="34">
      <x:colorScale>
        <x:cfvo type="min"/>
        <x:cfvo type="percentile" val="50"/>
        <x:cfvo type="max"/>
        <x:color rgb="FFEFF6FF"/>
        <x:color rgb="FF93C5FD"/>
        <x:color rgb="FF1D4ED8"/>
      </x:colorScale>
    </x:cfRule>
  </x:conditionalFormatting>
  <x:conditionalFormatting sqref="F2:F14">
    <x:cfRule type="colorScale" priority="35">
      <x:colorScale>
        <x:cfvo type="min"/>
        <x:cfvo type="percentile" val="50"/>
        <x:cfvo type="max"/>
        <x:color rgb="FFEFF6FF"/>
        <x:color rgb="FF93C5FD"/>
        <x:color rgb="FF1D4ED8"/>
      </x:colorScale>
    </x:cfRule>
  </x:conditionalFormatting>
  <x:conditionalFormatting sqref="G2:G14">
    <x:cfRule type="colorScale" priority="36">
      <x:colorScale>
        <x:cfvo type="min"/>
        <x:cfvo type="percentile" val="50"/>
        <x:cfvo type="max"/>
        <x:color rgb="FFEFF6FF"/>
        <x:color rgb="FF93C5FD"/>
        <x:color rgb="FF1D4ED8"/>
      </x:colorScale>
    </x:cfRule>
  </x:conditionalFormatting>
  <x:conditionalFormatting sqref="H2:H14">
    <x:cfRule type="colorScale" priority="37">
      <x:colorScale>
        <x:cfvo type="min"/>
        <x:cfvo type="percentile" val="50"/>
        <x:cfvo type="max"/>
        <x:color rgb="FFEFF6FF"/>
        <x:color rgb="FF93C5FD"/>
        <x:color rgb="FF1D4ED8"/>
      </x:colorScale>
    </x:cfRule>
  </x:conditionalFormatting>
  <x:conditionalFormatting sqref="I2:I14">
    <x:cfRule type="colorScale" priority="38">
      <x:colorScale>
        <x:cfvo type="min"/>
        <x:cfvo type="percentile" val="50"/>
        <x:cfvo type="max"/>
        <x:color rgb="FFEFF6FF"/>
        <x:color rgb="FF93C5FD"/>
        <x:color rgb="FF1D4ED8"/>
      </x:colorScale>
    </x:cfRule>
  </x:conditionalFormatting>
  <x:conditionalFormatting sqref="J2:J14">
    <x:cfRule type="colorScale" priority="39">
      <x:colorScale>
        <x:cfvo type="min"/>
        <x:cfvo type="percentile" val="50"/>
        <x:cfvo type="max"/>
        <x:color rgb="FFEFF6FF"/>
        <x:color rgb="FF93C5FD"/>
        <x:color rgb="FF1D4ED8"/>
      </x:colorScale>
    </x:cfRule>
  </x:conditionalFormatting>
  <x:conditionalFormatting sqref="K2:K14">
    <x:cfRule type="colorScale" priority="40">
      <x:colorScale>
        <x:cfvo type="min"/>
        <x:cfvo type="percentile" val="50"/>
        <x:cfvo type="max"/>
        <x:color rgb="FFEFF6FF"/>
        <x:color rgb="FF93C5FD"/>
        <x:color rgb="FF1D4ED8"/>
      </x:colorScale>
    </x:cfRule>
  </x:conditionalFormatting>
  <x:conditionalFormatting sqref="L2:L14">
    <x:cfRule type="colorScale" priority="41">
      <x:colorScale>
        <x:cfvo type="min"/>
        <x:cfvo type="percentile" val="50"/>
        <x:cfvo type="max"/>
        <x:color rgb="FFEFF6FF"/>
        <x:color rgb="FF93C5FD"/>
        <x:color rgb="FF1D4ED8"/>
      </x:colorScale>
    </x:cfRule>
  </x:conditionalFormatting>
  <x:conditionalFormatting sqref="M2:M14">
    <x:cfRule type="colorScale" priority="42">
      <x:colorScale>
        <x:cfvo type="min"/>
        <x:cfvo type="percentile" val="50"/>
        <x:cfvo type="max"/>
        <x:color rgb="FFEFF6FF"/>
        <x:color rgb="FF93C5FD"/>
        <x:color rgb="FF1D4ED8"/>
      </x:colorScale>
    </x:cfRule>
  </x:conditionalFormatting>
  <x:conditionalFormatting sqref="N2:N14">
    <x:cfRule type="colorScale" priority="43">
      <x:colorScale>
        <x:cfvo type="min"/>
        <x:cfvo type="percentile" val="50"/>
        <x:cfvo type="max"/>
        <x:color rgb="FFEFF6FF"/>
        <x:color rgb="FF93C5FD"/>
        <x:color rgb="FF1D4ED8"/>
      </x:colorScale>
    </x:cfRule>
  </x:conditionalFormatting>
  <x:conditionalFormatting sqref="O2:O14">
    <x:cfRule type="colorScale" priority="44">
      <x:colorScale>
        <x:cfvo type="min"/>
        <x:cfvo type="percentile" val="50"/>
        <x:cfvo type="max"/>
        <x:color rgb="FFEFF6FF"/>
        <x:color rgb="FF93C5FD"/>
        <x:color rgb="FF1D4ED8"/>
      </x:colorScale>
    </x:cfRule>
  </x:conditionalFormatting>
  <x:conditionalFormatting sqref="P2:P14">
    <x:cfRule type="colorScale" priority="45">
      <x:colorScale>
        <x:cfvo type="min"/>
        <x:cfvo type="percentile" val="50"/>
        <x:cfvo type="max"/>
        <x:color rgb="FFEFF6FF"/>
        <x:color rgb="FF93C5FD"/>
        <x:color rgb="FF1D4ED8"/>
      </x:colorScale>
    </x:cfRule>
  </x:conditionalFormatting>
  <x:pageMargins left="0.7" right="0.7" top="0.75" bottom="0.75" header="0.3" footer="0.3"/>
  <x:tableParts count="1">
    <x:tablePart xmlns:r="http://schemas.openxmlformats.org/officeDocument/2006/relationships" r:id="R7776b53cc64e4fd0"/>
  </x:tableParts>
</x:worksheet>
</file>

<file path=xl/worksheets/sheet6.xml><?xml version="1.0" encoding="utf-8"?>
<x:worksheet xmlns:x="http://schemas.openxmlformats.org/spreadsheetml/2006/main">
  <x:sheetFormatPr defaultRowHeight="15"/>
  <x:cols>
    <x:col min="1" max="1" width="18" hidden="0" customWidth="1"/>
    <x:col min="2" max="2" width="13" hidden="0" customWidth="1"/>
    <x:col min="3" max="3" width="18" hidden="0" customWidth="1"/>
    <x:col min="4" max="4" width="24" hidden="0" customWidth="1"/>
    <x:col min="5" max="5" width="18" hidden="0" customWidth="1"/>
    <x:col min="6" max="6" width="18" hidden="0" customWidth="1"/>
    <x:col min="7" max="7" width="42" hidden="0" customWidth="1"/>
    <x:col min="8" max="8" width="12" hidden="0" customWidth="1"/>
    <x:col min="9" max="9" width="44" hidden="0" customWidth="1"/>
  </x:cols>
  <x:sheetData>
    <x:row r="1">
      <x:c r="A1" s="100" t="str">
        <x:v>Pokemon</x:v>
      </x:c>
      <x:c r="B1" s="100" t="str">
        <x:v>OfficialRole</x:v>
      </x:c>
      <x:c r="C1" s="100" t="str">
        <x:v>ProfileName</x:v>
      </x:c>
      <x:c r="D1" s="100" t="str">
        <x:v>ProfileLabel</x:v>
      </x:c>
      <x:c r="E1" s="100" t="str">
        <x:v>PrimaryArchetype</x:v>
      </x:c>
      <x:c r="F1" s="100" t="str">
        <x:v>SecondaryArchetype</x:v>
      </x:c>
      <x:c r="G1" s="100" t="str">
        <x:v>SplitReason</x:v>
      </x:c>
      <x:c r="H1" s="100" t="str">
        <x:v>Confidence</x:v>
      </x:c>
      <x:c r="I1" s="100" t="str">
        <x:v>SourceURL</x:v>
      </x:c>
    </x:row>
    <x:row r="2">
      <x:c r="A2" s="12" t="str">
        <x:v>アローラキュウコン</x:v>
      </x:c>
      <x:c r="B2" s="12" t="str">
        <x:v>アタック型</x:v>
      </x:c>
      <x:c r="C2" s="12" t="str">
        <x:v>ふぶき</x:v>
      </x:c>
      <x:c r="D2" s="12" t="str">
        <x:v>BurstMage</x:v>
      </x:c>
      <x:c r="E2" s="12" t="str">
        <x:v>BurstMage</x:v>
      </x:c>
      <x:c r="F2" s="12"/>
      <x:c r="G2" s="12" t="str">
        <x:v>立ち位置・戦闘距離・役割が大きく変わるため別プロファイル</x:v>
      </x:c>
      <x:c r="H2" s="12" t="str">
        <x:v>高</x:v>
      </x:c>
      <x:c r="I2" s="12" t="str">
        <x:v>https://wikiwiki.jp/poke-unite/%E3%82%A2%E3%83%AD%E3%83%BC%E3%83%A9%E3%82%AD%E3%83%A5%E3%82%A6%E3%82%B3%E3%83%B3</x:v>
      </x:c>
    </x:row>
    <x:row r="3">
      <x:c r="A3" s="12" t="str">
        <x:v>アローラキュウコン</x:v>
      </x:c>
      <x:c r="B3" s="12" t="str">
        <x:v>アタック型</x:v>
      </x:c>
      <x:c r="C3" s="12" t="str">
        <x:v>オーロラベール</x:v>
      </x:c>
      <x:c r="D3" s="12" t="str">
        <x:v>Marksman / Warden</x:v>
      </x:c>
      <x:c r="E3" s="12" t="str">
        <x:v>Marksman</x:v>
      </x:c>
      <x:c r="F3" s="12" t="str">
        <x:v>Warden</x:v>
      </x:c>
      <x:c r="G3" s="12" t="str">
        <x:v>立ち位置・戦闘距離・役割が大きく変わるため別プロファイル</x:v>
      </x:c>
      <x:c r="H3" s="12" t="str">
        <x:v>高</x:v>
      </x:c>
      <x:c r="I3" s="12" t="str">
        <x:v>https://wikiwiki.jp/poke-unite/%E3%82%A2%E3%83%AD%E3%83%BC%E3%83%A9%E3%82%AD%E3%83%A5%E3%82%A6%E3%82%B3%E3%83%B3</x:v>
      </x:c>
    </x:row>
    <x:row r="4">
      <x:c r="A4" s="12" t="str">
        <x:v>インテレオン</x:v>
      </x:c>
      <x:c r="B4" s="12" t="str">
        <x:v>アタック型</x:v>
      </x:c>
      <x:c r="C4" s="12" t="str">
        <x:v>ねらいうち</x:v>
      </x:c>
      <x:c r="D4" s="12" t="str">
        <x:v>Artillery</x:v>
      </x:c>
      <x:c r="E4" s="12" t="str">
        <x:v>Artillery</x:v>
      </x:c>
      <x:c r="F4" s="12"/>
      <x:c r="G4" s="12" t="str">
        <x:v>立ち位置・戦闘距離・役割が大きく変わるため別プロファイル</x:v>
      </x:c>
      <x:c r="H4" s="12" t="str">
        <x:v>高</x:v>
      </x:c>
      <x:c r="I4" s="12" t="str">
        <x:v>https://wikiwiki.jp/poke-unite/%E3%82%A4%E3%83%B3%E3%83%86%E3%83%AC%E3%82%AA%E3%83%B3</x:v>
      </x:c>
    </x:row>
    <x:row r="5">
      <x:c r="A5" s="12" t="str">
        <x:v>インテレオン</x:v>
      </x:c>
      <x:c r="B5" s="12" t="str">
        <x:v>アタック型</x:v>
      </x:c>
      <x:c r="C5" s="12" t="str">
        <x:v>アクアブレイク</x:v>
      </x:c>
      <x:c r="D5" s="12" t="str">
        <x:v>BattleMage / Marksman</x:v>
      </x:c>
      <x:c r="E5" s="12" t="str">
        <x:v>BattleMage</x:v>
      </x:c>
      <x:c r="F5" s="12" t="str">
        <x:v>Marksman</x:v>
      </x:c>
      <x:c r="G5" s="12" t="str">
        <x:v>立ち位置・戦闘距離・役割が大きく変わるため別プロファイル</x:v>
      </x:c>
      <x:c r="H5" s="12" t="str">
        <x:v>高</x:v>
      </x:c>
      <x:c r="I5" s="12" t="str">
        <x:v>https://wikiwiki.jp/poke-unite/%E3%82%A4%E3%83%B3%E3%83%86%E3%83%AC%E3%82%AA%E3%83%B3</x:v>
      </x:c>
    </x:row>
    <x:row r="6">
      <x:c r="A6" s="12" t="str">
        <x:v>ウッウ</x:v>
      </x:c>
      <x:c r="B6" s="12" t="str">
        <x:v>アタック型</x:v>
      </x:c>
      <x:c r="C6" s="12" t="str">
        <x:v>なみのり</x:v>
      </x:c>
      <x:c r="D6" s="12" t="str">
        <x:v>BurstMage</x:v>
      </x:c>
      <x:c r="E6" s="12" t="str">
        <x:v>BurstMage</x:v>
      </x:c>
      <x:c r="F6" s="12"/>
      <x:c r="G6" s="12" t="str">
        <x:v>立ち位置・戦闘距離・役割が大きく変わるため別プロファイル</x:v>
      </x:c>
      <x:c r="H6" s="12" t="str">
        <x:v>高</x:v>
      </x:c>
      <x:c r="I6" s="12" t="str">
        <x:v>https://wikiwiki.jp/poke-unite/%E3%82%A6%E3%83%83%E3%82%A6</x:v>
      </x:c>
    </x:row>
    <x:row r="7">
      <x:c r="A7" s="12" t="str">
        <x:v>ウッウ</x:v>
      </x:c>
      <x:c r="B7" s="12" t="str">
        <x:v>アタック型</x:v>
      </x:c>
      <x:c r="C7" s="12" t="str">
        <x:v>ダイビング</x:v>
      </x:c>
      <x:c r="D7" s="12" t="str">
        <x:v>BattleMage</x:v>
      </x:c>
      <x:c r="E7" s="12" t="str">
        <x:v>BattleMage</x:v>
      </x:c>
      <x:c r="F7" s="12"/>
      <x:c r="G7" s="12" t="str">
        <x:v>立ち位置・戦闘距離・役割が大きく変わるため別プロファイル</x:v>
      </x:c>
      <x:c r="H7" s="12" t="str">
        <x:v>高</x:v>
      </x:c>
      <x:c r="I7" s="12" t="str">
        <x:v>https://wikiwiki.jp/poke-unite/%E3%82%A6%E3%83%83%E3%82%A6</x:v>
      </x:c>
    </x:row>
    <x:row r="8">
      <x:c r="A8" s="12" t="str">
        <x:v>グレンアルマ</x:v>
      </x:c>
      <x:c r="B8" s="12" t="str">
        <x:v>アタック型</x:v>
      </x:c>
      <x:c r="C8" s="12" t="str">
        <x:v>ほのおのうず</x:v>
      </x:c>
      <x:c r="D8" s="12" t="str">
        <x:v>Juggernaut / BattleMage</x:v>
      </x:c>
      <x:c r="E8" s="12" t="str">
        <x:v>Juggernaut</x:v>
      </x:c>
      <x:c r="F8" s="12" t="str">
        <x:v>BattleMage</x:v>
      </x:c>
      <x:c r="G8" s="12" t="str">
        <x:v>立ち位置・戦闘距離・役割が大きく変わるため別プロファイル</x:v>
      </x:c>
      <x:c r="H8" s="12" t="str">
        <x:v>高</x:v>
      </x:c>
      <x:c r="I8" s="12" t="str">
        <x:v>https://wikiwiki.jp/poke-unite/%E3%82%B0%E3%83%AC%E3%83%B3%E3%82%A2%E3%83%AB%E3%83%9E</x:v>
      </x:c>
    </x:row>
    <x:row r="9">
      <x:c r="A9" s="12" t="str">
        <x:v>グレンアルマ</x:v>
      </x:c>
      <x:c r="B9" s="12" t="str">
        <x:v>アタック型</x:v>
      </x:c>
      <x:c r="C9" s="12" t="str">
        <x:v>アーマーキャノン</x:v>
      </x:c>
      <x:c r="D9" s="12" t="str">
        <x:v>BurstMage</x:v>
      </x:c>
      <x:c r="E9" s="12" t="str">
        <x:v>BurstMage</x:v>
      </x:c>
      <x:c r="F9" s="12"/>
      <x:c r="G9" s="12" t="str">
        <x:v>立ち位置・戦闘距離・役割が大きく変わるため別プロファイル</x:v>
      </x:c>
      <x:c r="H9" s="12" t="str">
        <x:v>高</x:v>
      </x:c>
      <x:c r="I9" s="12" t="str">
        <x:v>https://wikiwiki.jp/poke-unite/%E3%82%B0%E3%83%AC%E3%83%B3%E3%82%A2%E3%83%AB%E3%83%9E</x:v>
      </x:c>
    </x:row>
    <x:row r="10">
      <x:c r="A10" s="12" t="str">
        <x:v>ゲッコウガ</x:v>
      </x:c>
      <x:c r="B10" s="12" t="str">
        <x:v>アタック型</x:v>
      </x:c>
      <x:c r="C10" s="12" t="str">
        <x:v>みずしゅりけん</x:v>
      </x:c>
      <x:c r="D10" s="12" t="str">
        <x:v>Marksman</x:v>
      </x:c>
      <x:c r="E10" s="12" t="str">
        <x:v>Marksman</x:v>
      </x:c>
      <x:c r="F10" s="12"/>
      <x:c r="G10" s="12" t="str">
        <x:v>立ち位置・戦闘距離・役割が大きく変わるため別プロファイル</x:v>
      </x:c>
      <x:c r="H10" s="12" t="str">
        <x:v>高</x:v>
      </x:c>
      <x:c r="I10" s="12" t="str">
        <x:v>https://wikiwiki.jp/poke-unite/%E3%82%B2%E3%83%83%E3%82%B3%E3%82%A6%E3%82%AC</x:v>
      </x:c>
    </x:row>
    <x:row r="11">
      <x:c r="A11" s="12" t="str">
        <x:v>ゲッコウガ</x:v>
      </x:c>
      <x:c r="B11" s="12" t="str">
        <x:v>アタック型</x:v>
      </x:c>
      <x:c r="C11" s="12" t="str">
        <x:v>なみのり</x:v>
      </x:c>
      <x:c r="D11" s="12" t="str">
        <x:v>Assassin</x:v>
      </x:c>
      <x:c r="E11" s="12" t="str">
        <x:v>Assassin</x:v>
      </x:c>
      <x:c r="F11" s="12"/>
      <x:c r="G11" s="12" t="str">
        <x:v>立ち位置・戦闘距離・役割が大きく変わるため別プロファイル</x:v>
      </x:c>
      <x:c r="H11" s="12" t="str">
        <x:v>高</x:v>
      </x:c>
      <x:c r="I11" s="12" t="str">
        <x:v>https://wikiwiki.jp/poke-unite/%E3%82%B2%E3%83%83%E3%82%B3%E3%82%A6%E3%82%AC</x:v>
      </x:c>
    </x:row>
    <x:row r="12">
      <x:c r="A12" s="12" t="str">
        <x:v>ジュナイパー</x:v>
      </x:c>
      <x:c r="B12" s="12" t="str">
        <x:v>アタック型</x:v>
      </x:c>
      <x:c r="C12" s="12" t="str">
        <x:v>かげぬい</x:v>
      </x:c>
      <x:c r="D12" s="12" t="str">
        <x:v>Artillery</x:v>
      </x:c>
      <x:c r="E12" s="12" t="str">
        <x:v>Artillery</x:v>
      </x:c>
      <x:c r="F12" s="12"/>
      <x:c r="G12" s="12" t="str">
        <x:v>立ち位置・戦闘距離・役割が大きく変わるため別プロファイル</x:v>
      </x:c>
      <x:c r="H12" s="12" t="str">
        <x:v>高</x:v>
      </x:c>
      <x:c r="I12" s="12" t="str">
        <x:v>https://wikiwiki.jp/poke-unite/%E3%82%B8%E3%83%A5%E3%83%8A%E3%82%A4%E3%83%91%E3%83%BC</x:v>
      </x:c>
    </x:row>
    <x:row r="13">
      <x:c r="A13" s="12" t="str">
        <x:v>ジュナイパー</x:v>
      </x:c>
      <x:c r="B13" s="12" t="str">
        <x:v>アタック型</x:v>
      </x:c>
      <x:c r="C13" s="12" t="str">
        <x:v>はっぱカッター</x:v>
      </x:c>
      <x:c r="D13" s="12" t="str">
        <x:v>Marksman</x:v>
      </x:c>
      <x:c r="E13" s="12" t="str">
        <x:v>Marksman</x:v>
      </x:c>
      <x:c r="F13" s="12"/>
      <x:c r="G13" s="12" t="str">
        <x:v>立ち位置・戦闘距離・役割が大きく変わるため別プロファイル</x:v>
      </x:c>
      <x:c r="H13" s="12" t="str">
        <x:v>高</x:v>
      </x:c>
      <x:c r="I13" s="12" t="str">
        <x:v>https://wikiwiki.jp/poke-unite/%E3%82%B8%E3%83%A5%E3%83%8A%E3%82%A4%E3%83%91%E3%83%BC</x:v>
      </x:c>
    </x:row>
    <x:row r="14">
      <x:c r="A14" s="12" t="str">
        <x:v>ドラパルト</x:v>
      </x:c>
      <x:c r="B14" s="12" t="str">
        <x:v>アタック型</x:v>
      </x:c>
      <x:c r="C14" s="12" t="str">
        <x:v>りゅうのまい</x:v>
      </x:c>
      <x:c r="D14" s="12" t="str">
        <x:v>Marksman / Diver</x:v>
      </x:c>
      <x:c r="E14" s="12" t="str">
        <x:v>Marksman</x:v>
      </x:c>
      <x:c r="F14" s="12" t="str">
        <x:v>Diver</x:v>
      </x:c>
      <x:c r="G14" s="12" t="str">
        <x:v>立ち位置・戦闘距離・役割が大きく変わるため別プロファイル</x:v>
      </x:c>
      <x:c r="H14" s="12" t="str">
        <x:v>高</x:v>
      </x:c>
      <x:c r="I14" s="12" t="str">
        <x:v>https://wikiwiki.jp/poke-unite/%E3%83%89%E3%83%A9%E3%83%91%E3%83%AB%E3%83%88</x:v>
      </x:c>
    </x:row>
    <x:row r="15">
      <x:c r="A15" s="12" t="str">
        <x:v>ドラパルト</x:v>
      </x:c>
      <x:c r="B15" s="12" t="str">
        <x:v>アタック型</x:v>
      </x:c>
      <x:c r="C15" s="12" t="str">
        <x:v>ゴーストダイブ</x:v>
      </x:c>
      <x:c r="D15" s="12" t="str">
        <x:v>Assassin / Marksman</x:v>
      </x:c>
      <x:c r="E15" s="12" t="str">
        <x:v>Assassin</x:v>
      </x:c>
      <x:c r="F15" s="12" t="str">
        <x:v>Marksman</x:v>
      </x:c>
      <x:c r="G15" s="12" t="str">
        <x:v>立ち位置・戦闘距離・役割が大きく変わるため別プロファイル</x:v>
      </x:c>
      <x:c r="H15" s="12" t="str">
        <x:v>高</x:v>
      </x:c>
      <x:c r="I15" s="12" t="str">
        <x:v>https://wikiwiki.jp/poke-unite/%E3%83%89%E3%83%A9%E3%83%91%E3%83%AB%E3%83%88</x:v>
      </x:c>
    </x:row>
    <x:row r="16">
      <x:c r="A16" s="12" t="str">
        <x:v>フシギバナ</x:v>
      </x:c>
      <x:c r="B16" s="12" t="str">
        <x:v>アタック型</x:v>
      </x:c>
      <x:c r="C16" s="12" t="str">
        <x:v>ソーラービーム</x:v>
      </x:c>
      <x:c r="D16" s="12" t="str">
        <x:v>Artillery</x:v>
      </x:c>
      <x:c r="E16" s="12" t="str">
        <x:v>Artillery</x:v>
      </x:c>
      <x:c r="F16" s="12"/>
      <x:c r="G16" s="12" t="str">
        <x:v>立ち位置・戦闘距離・役割が大きく変わるため別プロファイル</x:v>
      </x:c>
      <x:c r="H16" s="12" t="str">
        <x:v>高</x:v>
      </x:c>
      <x:c r="I16" s="12" t="str">
        <x:v>https://wikiwiki.jp/poke-unite/%E3%83%95%E3%82%B7%E3%82%AE%E3%83%90%E3%83%8A</x:v>
      </x:c>
    </x:row>
    <x:row r="17">
      <x:c r="A17" s="12" t="str">
        <x:v>フシギバナ</x:v>
      </x:c>
      <x:c r="B17" s="12" t="str">
        <x:v>アタック型</x:v>
      </x:c>
      <x:c r="C17" s="12" t="str">
        <x:v>はなびらのまい</x:v>
      </x:c>
      <x:c r="D17" s="12" t="str">
        <x:v>Juggernaut / BattleMage</x:v>
      </x:c>
      <x:c r="E17" s="12" t="str">
        <x:v>Juggernaut</x:v>
      </x:c>
      <x:c r="F17" s="12" t="str">
        <x:v>BattleMage</x:v>
      </x:c>
      <x:c r="G17" s="12" t="str">
        <x:v>立ち位置・戦闘距離・役割が大きく変わるため別プロファイル</x:v>
      </x:c>
      <x:c r="H17" s="12" t="str">
        <x:v>高</x:v>
      </x:c>
      <x:c r="I17" s="12" t="str">
        <x:v>https://wikiwiki.jp/poke-unite/%E3%83%95%E3%82%B7%E3%82%AE%E3%83%90%E3%83%8A</x:v>
      </x:c>
    </x:row>
    <x:row r="18">
      <x:c r="A18" s="12" t="str">
        <x:v>マフォクシー</x:v>
      </x:c>
      <x:c r="B18" s="12" t="str">
        <x:v>アタック型</x:v>
      </x:c>
      <x:c r="C18" s="12" t="str">
        <x:v>ほのおのうず</x:v>
      </x:c>
      <x:c r="D18" s="12" t="str">
        <x:v>BurstMage</x:v>
      </x:c>
      <x:c r="E18" s="12" t="str">
        <x:v>BurstMage</x:v>
      </x:c>
      <x:c r="F18" s="12"/>
      <x:c r="G18" s="12" t="str">
        <x:v>立ち位置・戦闘距離・役割が大きく変わるため別プロファイル</x:v>
      </x:c>
      <x:c r="H18" s="12" t="str">
        <x:v>高</x:v>
      </x:c>
      <x:c r="I18" s="12" t="str">
        <x:v>https://wikiwiki.jp/poke-unite/%E3%83%9E%E3%83%95%E3%82%A9%E3%82%AF%E3%82%B7%E3%83%BC</x:v>
      </x:c>
    </x:row>
    <x:row r="19">
      <x:c r="A19" s="12" t="str">
        <x:v>マフォクシー</x:v>
      </x:c>
      <x:c r="B19" s="12" t="str">
        <x:v>アタック型</x:v>
      </x:c>
      <x:c r="C19" s="12" t="str">
        <x:v>ニトロチャージ</x:v>
      </x:c>
      <x:c r="D19" s="12" t="str">
        <x:v>BattleMage</x:v>
      </x:c>
      <x:c r="E19" s="12" t="str">
        <x:v>BattleMage</x:v>
      </x:c>
      <x:c r="F19" s="12"/>
      <x:c r="G19" s="12" t="str">
        <x:v>立ち位置・戦闘距離・役割が大きく変わるため別プロファイル</x:v>
      </x:c>
      <x:c r="H19" s="12" t="str">
        <x:v>高</x:v>
      </x:c>
      <x:c r="I19" s="12" t="str">
        <x:v>https://wikiwiki.jp/poke-unite/%E3%83%9E%E3%83%95%E3%82%A9%E3%82%AF%E3%82%B7%E3%83%BC</x:v>
      </x:c>
    </x:row>
    <x:row r="20">
      <x:c r="A20" s="12" t="str">
        <x:v>ミライドン</x:v>
      </x:c>
      <x:c r="B20" s="12" t="str">
        <x:v>アタック型</x:v>
      </x:c>
      <x:c r="C20" s="12" t="str">
        <x:v>チャージビーム</x:v>
      </x:c>
      <x:c r="D20" s="12" t="str">
        <x:v>Artillery</x:v>
      </x:c>
      <x:c r="E20" s="12" t="str">
        <x:v>Artillery</x:v>
      </x:c>
      <x:c r="F20" s="12"/>
      <x:c r="G20" s="12" t="str">
        <x:v>立ち位置・戦闘距離・役割が大きく変わるため別プロファイル</x:v>
      </x:c>
      <x:c r="H20" s="12" t="str">
        <x:v>高</x:v>
      </x:c>
      <x:c r="I20" s="12" t="str">
        <x:v>https://wikiwiki.jp/poke-unite/%E3%83%9F%E3%83%A9%E3%82%A4%E3%83%89%E3%83%B3</x:v>
      </x:c>
    </x:row>
    <x:row r="21">
      <x:c r="A21" s="12" t="str">
        <x:v>ミライドン</x:v>
      </x:c>
      <x:c r="B21" s="12" t="str">
        <x:v>アタック型</x:v>
      </x:c>
      <x:c r="C21" s="12" t="str">
        <x:v>イナズマドライブ</x:v>
      </x:c>
      <x:c r="D21" s="12" t="str">
        <x:v>Skirmisher / Assassin</x:v>
      </x:c>
      <x:c r="E21" s="12" t="str">
        <x:v>Skirmisher</x:v>
      </x:c>
      <x:c r="F21" s="12" t="str">
        <x:v>Assassin</x:v>
      </x:c>
      <x:c r="G21" s="12" t="str">
        <x:v>立ち位置・戦闘距離・役割が大きく変わるため別プロファイル</x:v>
      </x:c>
      <x:c r="H21" s="12" t="str">
        <x:v>高</x:v>
      </x:c>
      <x:c r="I21" s="12" t="str">
        <x:v>https://wikiwiki.jp/poke-unite/%E3%83%9F%E3%83%A9%E3%82%A4%E3%83%89%E3%83%B3</x:v>
      </x:c>
    </x:row>
    <x:row r="22">
      <x:c r="A22" s="12" t="str">
        <x:v>ウーラオス</x:v>
      </x:c>
      <x:c r="B22" s="12" t="str">
        <x:v>バランス型</x:v>
      </x:c>
      <x:c r="C22" s="12" t="str">
        <x:v>あんこくきょうだ</x:v>
      </x:c>
      <x:c r="D22" s="12" t="str">
        <x:v>Diver / Assassin</x:v>
      </x:c>
      <x:c r="E22" s="12" t="str">
        <x:v>Diver</x:v>
      </x:c>
      <x:c r="F22" s="12" t="str">
        <x:v>Assassin</x:v>
      </x:c>
      <x:c r="G22" s="12" t="str">
        <x:v>立ち位置・戦闘距離・役割が大きく変わるため別プロファイル</x:v>
      </x:c>
      <x:c r="H22" s="12" t="str">
        <x:v>高</x:v>
      </x:c>
      <x:c r="I22" s="12" t="str">
        <x:v>https://wikiwiki.jp/poke-unite/%E3%82%A6%E3%83%BC%E3%83%A9%E3%82%AA%E3%82%B9</x:v>
      </x:c>
    </x:row>
    <x:row r="23">
      <x:c r="A23" s="12" t="str">
        <x:v>ウーラオス</x:v>
      </x:c>
      <x:c r="B23" s="12" t="str">
        <x:v>バランス型</x:v>
      </x:c>
      <x:c r="C23" s="12" t="str">
        <x:v>すいりゅうれんだ</x:v>
      </x:c>
      <x:c r="D23" s="12" t="str">
        <x:v>Skirmisher / Diver</x:v>
      </x:c>
      <x:c r="E23" s="12" t="str">
        <x:v>Skirmisher</x:v>
      </x:c>
      <x:c r="F23" s="12" t="str">
        <x:v>Diver</x:v>
      </x:c>
      <x:c r="G23" s="12" t="str">
        <x:v>立ち位置・戦闘距離・役割が大きく変わるため別プロファイル</x:v>
      </x:c>
      <x:c r="H23" s="12" t="str">
        <x:v>高</x:v>
      </x:c>
      <x:c r="I23" s="12" t="str">
        <x:v>https://wikiwiki.jp/poke-unite/%E3%82%A6%E3%83%BC%E3%83%A9%E3%82%AA%E3%82%B9</x:v>
      </x:c>
    </x:row>
    <x:row r="24">
      <x:c r="A24" s="12" t="str">
        <x:v>カイリュー</x:v>
      </x:c>
      <x:c r="B24" s="12" t="str">
        <x:v>バランス型</x:v>
      </x:c>
      <x:c r="C24" s="12" t="str">
        <x:v>はかいこうせん</x:v>
      </x:c>
      <x:c r="D24" s="12" t="str">
        <x:v>Marksman</x:v>
      </x:c>
      <x:c r="E24" s="12" t="str">
        <x:v>Marksman</x:v>
      </x:c>
      <x:c r="F24" s="12"/>
      <x:c r="G24" s="12" t="str">
        <x:v>立ち位置・戦闘距離・役割が大きく変わるため別プロファイル</x:v>
      </x:c>
      <x:c r="H24" s="12" t="str">
        <x:v>高</x:v>
      </x:c>
      <x:c r="I24" s="12" t="str">
        <x:v>https://wikiwiki.jp/poke-unite/%E3%82%AB%E3%82%A4%E3%83%AA%E3%83%A5%E3%83%BC</x:v>
      </x:c>
    </x:row>
    <x:row r="25">
      <x:c r="A25" s="12" t="str">
        <x:v>カイリュー</x:v>
      </x:c>
      <x:c r="B25" s="12" t="str">
        <x:v>バランス型</x:v>
      </x:c>
      <x:c r="C25" s="12" t="str">
        <x:v>げきりん</x:v>
      </x:c>
      <x:c r="D25" s="12" t="str">
        <x:v>Juggernaut / Diver</x:v>
      </x:c>
      <x:c r="E25" s="12" t="str">
        <x:v>Juggernaut</x:v>
      </x:c>
      <x:c r="F25" s="12" t="str">
        <x:v>Diver</x:v>
      </x:c>
      <x:c r="G25" s="12" t="str">
        <x:v>立ち位置・戦闘距離・役割が大きく変わるため別プロファイル</x:v>
      </x:c>
      <x:c r="H25" s="12" t="str">
        <x:v>高</x:v>
      </x:c>
      <x:c r="I25" s="12" t="str">
        <x:v>https://wikiwiki.jp/poke-unite/%E3%82%AB%E3%82%A4%E3%83%AA%E3%83%A5%E3%83%BC</x:v>
      </x:c>
    </x:row>
    <x:row r="26">
      <x:c r="A26" s="12" t="str">
        <x:v>タイレーツ</x:v>
      </x:c>
      <x:c r="B26" s="12" t="str">
        <x:v>バランス型</x:v>
      </x:c>
      <x:c r="C26" s="12" t="str">
        <x:v>はいすいのじん</x:v>
      </x:c>
      <x:c r="D26" s="12" t="str">
        <x:v>Juggernaut</x:v>
      </x:c>
      <x:c r="E26" s="12" t="str">
        <x:v>Juggernaut</x:v>
      </x:c>
      <x:c r="F26" s="12"/>
      <x:c r="G26" s="12" t="str">
        <x:v>立ち位置・戦闘距離・役割が大きく変わるため別プロファイル</x:v>
      </x:c>
      <x:c r="H26" s="12" t="str">
        <x:v>高</x:v>
      </x:c>
      <x:c r="I26" s="12" t="str">
        <x:v>https://wikiwiki.jp/poke-unite/%E3%82%BF%E3%82%A4%E3%83%AC%E3%83%BC%E3%83%84</x:v>
      </x:c>
    </x:row>
    <x:row r="27">
      <x:c r="A27" s="12" t="str">
        <x:v>タイレーツ</x:v>
      </x:c>
      <x:c r="B27" s="12" t="str">
        <x:v>バランス型</x:v>
      </x:c>
      <x:c r="C27" s="12" t="str">
        <x:v>ふくろだたき</x:v>
      </x:c>
      <x:c r="D27" s="12" t="str">
        <x:v>Diver / Skirmisher</x:v>
      </x:c>
      <x:c r="E27" s="12" t="str">
        <x:v>Diver</x:v>
      </x:c>
      <x:c r="F27" s="12" t="str">
        <x:v>Skirmisher</x:v>
      </x:c>
      <x:c r="G27" s="12" t="str">
        <x:v>立ち位置・戦闘距離・役割が大きく変わるため別プロファイル</x:v>
      </x:c>
      <x:c r="H27" s="12" t="str">
        <x:v>高</x:v>
      </x:c>
      <x:c r="I27" s="12" t="str">
        <x:v>https://wikiwiki.jp/poke-unite/%E3%82%BF%E3%82%A4%E3%83%AC%E3%83%BC%E3%83%84</x:v>
      </x:c>
    </x:row>
    <x:row r="28">
      <x:c r="A28" s="12" t="str">
        <x:v>ハッサム</x:v>
      </x:c>
      <x:c r="B28" s="12" t="str">
        <x:v>バランス型</x:v>
      </x:c>
      <x:c r="C28" s="12" t="str">
        <x:v>ストライク</x:v>
      </x:c>
      <x:c r="D28" s="12" t="str">
        <x:v>Assassin</x:v>
      </x:c>
      <x:c r="E28" s="12" t="str">
        <x:v>Assassin</x:v>
      </x:c>
      <x:c r="F28" s="12"/>
      <x:c r="G28" s="12" t="str">
        <x:v>立ち位置・戦闘距離・役割が大きく変わるため別プロファイル</x:v>
      </x:c>
      <x:c r="H28" s="12" t="str">
        <x:v>高</x:v>
      </x:c>
      <x:c r="I28" s="12" t="str">
        <x:v>https://wikiwiki.jp/poke-unite/%E3%83%8F%E3%83%83%E3%82%B5%E3%83%A0</x:v>
      </x:c>
    </x:row>
    <x:row r="29">
      <x:c r="A29" s="12" t="str">
        <x:v>ハッサム</x:v>
      </x:c>
      <x:c r="B29" s="12" t="str">
        <x:v>バランス型</x:v>
      </x:c>
      <x:c r="C29" s="12" t="str">
        <x:v>ハッサム</x:v>
      </x:c>
      <x:c r="D29" s="12" t="str">
        <x:v>Skirmisher / Juggernaut</x:v>
      </x:c>
      <x:c r="E29" s="12" t="str">
        <x:v>Skirmisher</x:v>
      </x:c>
      <x:c r="F29" s="12" t="str">
        <x:v>Juggernaut</x:v>
      </x:c>
      <x:c r="G29" s="12" t="str">
        <x:v>立ち位置・戦闘距離・役割が大きく変わるため別プロファイル</x:v>
      </x:c>
      <x:c r="H29" s="12" t="str">
        <x:v>高</x:v>
      </x:c>
      <x:c r="I29" s="12" t="str">
        <x:v>https://wikiwiki.jp/poke-unite/%E3%83%8F%E3%83%83%E3%82%B5%E3%83%A0</x:v>
      </x:c>
    </x:row>
    <x:row r="30">
      <x:c r="A30" s="12" t="str">
        <x:v>ミミッキュ</x:v>
      </x:c>
      <x:c r="B30" s="12" t="str">
        <x:v>バランス型</x:v>
      </x:c>
      <x:c r="C30" s="12" t="str">
        <x:v>じゃれつく</x:v>
      </x:c>
      <x:c r="D30" s="12" t="str">
        <x:v>Assassin</x:v>
      </x:c>
      <x:c r="E30" s="12" t="str">
        <x:v>Assassin</x:v>
      </x:c>
      <x:c r="F30" s="12"/>
      <x:c r="G30" s="12" t="str">
        <x:v>立ち位置・戦闘距離・役割が大きく変わるため別プロファイル</x:v>
      </x:c>
      <x:c r="H30" s="12" t="str">
        <x:v>高</x:v>
      </x:c>
      <x:c r="I30" s="12" t="str">
        <x:v>https://wikiwiki.jp/poke-unite/%E3%83%9F%E3%83%9F%E3%83%83%E3%82%AD%E3%83%A5</x:v>
      </x:c>
    </x:row>
    <x:row r="31">
      <x:c r="A31" s="12" t="str">
        <x:v>ミミッキュ</x:v>
      </x:c>
      <x:c r="B31" s="12" t="str">
        <x:v>バランス型</x:v>
      </x:c>
      <x:c r="C31" s="12" t="str">
        <x:v>シャドークロー</x:v>
      </x:c>
      <x:c r="D31" s="12" t="str">
        <x:v>Skirmisher</x:v>
      </x:c>
      <x:c r="E31" s="12" t="str">
        <x:v>Skirmisher</x:v>
      </x:c>
      <x:c r="F31" s="12"/>
      <x:c r="G31" s="12" t="str">
        <x:v>立ち位置・戦闘距離・役割が大きく変わるため別プロファイル</x:v>
      </x:c>
      <x:c r="H31" s="12" t="str">
        <x:v>高</x:v>
      </x:c>
      <x:c r="I31" s="12" t="str">
        <x:v>https://wikiwiki.jp/poke-unite/%E3%83%9F%E3%83%9F%E3%83%83%E3%82%AD%E3%83%A5</x:v>
      </x:c>
    </x:row>
    <x:row r="32">
      <x:c r="A32" s="12" t="str">
        <x:v>リザードン</x:v>
      </x:c>
      <x:c r="B32" s="12" t="str">
        <x:v>バランス型</x:v>
      </x:c>
      <x:c r="C32" s="12" t="str">
        <x:v>だいもんじ</x:v>
      </x:c>
      <x:c r="D32" s="12" t="str">
        <x:v>BattleMage / Marksman</x:v>
      </x:c>
      <x:c r="E32" s="12" t="str">
        <x:v>BattleMage</x:v>
      </x:c>
      <x:c r="F32" s="12" t="str">
        <x:v>Marksman</x:v>
      </x:c>
      <x:c r="G32" s="12" t="str">
        <x:v>立ち位置・戦闘距離・役割が大きく変わるため別プロファイル</x:v>
      </x:c>
      <x:c r="H32" s="12" t="str">
        <x:v>高</x:v>
      </x:c>
      <x:c r="I32" s="12" t="str">
        <x:v>https://wikiwiki.jp/poke-unite/%E3%83%AA%E3%82%B6%E3%83%BC%E3%83%89%E3%83%B3</x:v>
      </x:c>
    </x:row>
    <x:row r="33">
      <x:c r="A33" s="12" t="str">
        <x:v>リザードン</x:v>
      </x:c>
      <x:c r="B33" s="12" t="str">
        <x:v>バランス型</x:v>
      </x:c>
      <x:c r="C33" s="12" t="str">
        <x:v>フレアドライブ</x:v>
      </x:c>
      <x:c r="D33" s="12" t="str">
        <x:v>Diver / Skirmisher</x:v>
      </x:c>
      <x:c r="E33" s="12" t="str">
        <x:v>Diver</x:v>
      </x:c>
      <x:c r="F33" s="12" t="str">
        <x:v>Skirmisher</x:v>
      </x:c>
      <x:c r="G33" s="12" t="str">
        <x:v>立ち位置・戦闘距離・役割が大きく変わるため別プロファイル</x:v>
      </x:c>
      <x:c r="H33" s="12" t="str">
        <x:v>高</x:v>
      </x:c>
      <x:c r="I33" s="12" t="str">
        <x:v>https://wikiwiki.jp/poke-unite/%E3%83%AA%E3%82%B6%E3%83%BC%E3%83%89%E3%83%B3</x:v>
      </x:c>
    </x:row>
    <x:row r="34">
      <x:c r="A34" s="12" t="str">
        <x:v>ルカリオ</x:v>
      </x:c>
      <x:c r="B34" s="12" t="str">
        <x:v>バランス型</x:v>
      </x:c>
      <x:c r="C34" s="12" t="str">
        <x:v>しんそく</x:v>
      </x:c>
      <x:c r="D34" s="12" t="str">
        <x:v>Assassin / Skirmisher</x:v>
      </x:c>
      <x:c r="E34" s="12" t="str">
        <x:v>Assassin</x:v>
      </x:c>
      <x:c r="F34" s="12" t="str">
        <x:v>Skirmisher</x:v>
      </x:c>
      <x:c r="G34" s="12" t="str">
        <x:v>立ち位置・戦闘距離・役割が大きく変わるため別プロファイル</x:v>
      </x:c>
      <x:c r="H34" s="12" t="str">
        <x:v>高</x:v>
      </x:c>
      <x:c r="I34" s="12" t="str">
        <x:v>https://wikiwiki.jp/poke-unite/%E3%83%AB%E3%82%AB%E3%83%AA%E3%82%AA</x:v>
      </x:c>
    </x:row>
    <x:row r="35">
      <x:c r="A35" s="12" t="str">
        <x:v>ルカリオ</x:v>
      </x:c>
      <x:c r="B35" s="12" t="str">
        <x:v>バランス型</x:v>
      </x:c>
      <x:c r="C35" s="12" t="str">
        <x:v>グロウパンチ</x:v>
      </x:c>
      <x:c r="D35" s="12" t="str">
        <x:v>Diver / Skirmisher</x:v>
      </x:c>
      <x:c r="E35" s="12" t="str">
        <x:v>Diver</x:v>
      </x:c>
      <x:c r="F35" s="12" t="str">
        <x:v>Skirmisher</x:v>
      </x:c>
      <x:c r="G35" s="12" t="str">
        <x:v>立ち位置・戦闘距離・役割が大きく変わるため別プロファイル</x:v>
      </x:c>
      <x:c r="H35" s="12" t="str">
        <x:v>高</x:v>
      </x:c>
      <x:c r="I35" s="12" t="str">
        <x:v>https://wikiwiki.jp/poke-unite/%E3%83%AB%E3%82%AB%E3%83%AA%E3%82%AA</x:v>
      </x:c>
    </x:row>
    <x:row r="36">
      <x:c r="A36" s="12" t="str">
        <x:v>ゼラオラ</x:v>
      </x:c>
      <x:c r="B36" s="12" t="str">
        <x:v>スピード型</x:v>
      </x:c>
      <x:c r="C36" s="12" t="str">
        <x:v>ほうでん</x:v>
      </x:c>
      <x:c r="D36" s="12" t="str">
        <x:v>Skirmisher</x:v>
      </x:c>
      <x:c r="E36" s="12" t="str">
        <x:v>Skirmisher</x:v>
      </x:c>
      <x:c r="F36" s="12"/>
      <x:c r="G36" s="12" t="str">
        <x:v>立ち位置・戦闘距離・役割が大きく変わるため別プロファイル</x:v>
      </x:c>
      <x:c r="H36" s="12" t="str">
        <x:v>高</x:v>
      </x:c>
      <x:c r="I36" s="12" t="str">
        <x:v>https://wikiwiki.jp/poke-unite/%E3%82%BC%E3%83%A9%E3%82%AA%E3%83%A9</x:v>
      </x:c>
    </x:row>
    <x:row r="37">
      <x:c r="A37" s="12" t="str">
        <x:v>ゼラオラ</x:v>
      </x:c>
      <x:c r="B37" s="12" t="str">
        <x:v>スピード型</x:v>
      </x:c>
      <x:c r="C37" s="12" t="str">
        <x:v>ワイルドボルト</x:v>
      </x:c>
      <x:c r="D37" s="12" t="str">
        <x:v>Assassin / Diver</x:v>
      </x:c>
      <x:c r="E37" s="12" t="str">
        <x:v>Assassin</x:v>
      </x:c>
      <x:c r="F37" s="12" t="str">
        <x:v>Diver</x:v>
      </x:c>
      <x:c r="G37" s="12" t="str">
        <x:v>立ち位置・戦闘距離・役割が大きく変わるため別プロファイル</x:v>
      </x:c>
      <x:c r="H37" s="12" t="str">
        <x:v>高</x:v>
      </x:c>
      <x:c r="I37" s="12" t="str">
        <x:v>https://wikiwiki.jp/poke-unite/%E3%82%BC%E3%83%A9%E3%82%AA%E3%83%A9</x:v>
      </x:c>
    </x:row>
    <x:row r="38">
      <x:c r="A38" s="12" t="str">
        <x:v>マスカーニャ</x:v>
      </x:c>
      <x:c r="B38" s="12" t="str">
        <x:v>スピード型</x:v>
      </x:c>
      <x:c r="C38" s="12" t="str">
        <x:v>トリックフラワー</x:v>
      </x:c>
      <x:c r="D38" s="12" t="str">
        <x:v>Assassin / Specialist</x:v>
      </x:c>
      <x:c r="E38" s="12" t="str">
        <x:v>Assassin</x:v>
      </x:c>
      <x:c r="F38" s="12" t="str">
        <x:v>Specialist</x:v>
      </x:c>
      <x:c r="G38" s="12" t="str">
        <x:v>立ち位置・戦闘距離・役割が大きく変わるため別プロファイル</x:v>
      </x:c>
      <x:c r="H38" s="12" t="str">
        <x:v>高</x:v>
      </x:c>
      <x:c r="I38" s="12" t="str">
        <x:v>https://wikiwiki.jp/poke-unite/%E3%83%9E%E3%82%B9%E3%82%AB%E3%83%BC%E3%83%8B%...</x:v>
      </x:c>
    </x:row>
    <x:row r="39">
      <x:c r="A39" s="12" t="str">
        <x:v>マスカーニャ</x:v>
      </x:c>
      <x:c r="B39" s="12" t="str">
        <x:v>スピード型</x:v>
      </x:c>
      <x:c r="C39" s="12" t="str">
        <x:v>つじぎり</x:v>
      </x:c>
      <x:c r="D39" s="12" t="str">
        <x:v>Skirmisher / Assassin</x:v>
      </x:c>
      <x:c r="E39" s="12" t="str">
        <x:v>Skirmisher</x:v>
      </x:c>
      <x:c r="F39" s="12" t="str">
        <x:v>Assassin</x:v>
      </x:c>
      <x:c r="G39" s="12" t="str">
        <x:v>立ち位置・戦闘距離・役割が大きく変わるため別プロファイル</x:v>
      </x:c>
      <x:c r="H39" s="12" t="str">
        <x:v>高</x:v>
      </x:c>
      <x:c r="I39" s="12" t="str">
        <x:v>https://wikiwiki.jp/poke-unite/%E3%83%9E%E3%82%B9%E3%82%AB%E3%83%BC%E3%83%8B%...</x:v>
      </x:c>
    </x:row>
    <x:row r="40">
      <x:c r="A40" s="12" t="str">
        <x:v>イワパレス</x:v>
      </x:c>
      <x:c r="B40" s="12" t="str">
        <x:v>ディフェンス型</x:v>
      </x:c>
      <x:c r="C40" s="12" t="str">
        <x:v>がんせきふうじ</x:v>
      </x:c>
      <x:c r="D40" s="12" t="str">
        <x:v>Vanguard</x:v>
      </x:c>
      <x:c r="E40" s="12" t="str">
        <x:v>Vanguard</x:v>
      </x:c>
      <x:c r="F40" s="12"/>
      <x:c r="G40" s="12" t="str">
        <x:v>立ち位置・戦闘距離・役割が大きく変わるため別プロファイル</x:v>
      </x:c>
      <x:c r="H40" s="12" t="str">
        <x:v>高</x:v>
      </x:c>
      <x:c r="I40" s="12" t="str">
        <x:v>https://wikiwiki.jp/poke-unite/%E3%82%A4%E3%83%AF%E3%83%91%E3%83%AC%E3%82%B9</x:v>
      </x:c>
    </x:row>
    <x:row r="41">
      <x:c r="A41" s="12" t="str">
        <x:v>イワパレス</x:v>
      </x:c>
      <x:c r="B41" s="12" t="str">
        <x:v>ディフェンス型</x:v>
      </x:c>
      <x:c r="C41" s="12" t="str">
        <x:v>からをやぶる</x:v>
      </x:c>
      <x:c r="D41" s="12" t="str">
        <x:v>Diver / Juggernaut</x:v>
      </x:c>
      <x:c r="E41" s="12" t="str">
        <x:v>Diver</x:v>
      </x:c>
      <x:c r="F41" s="12" t="str">
        <x:v>Juggernaut</x:v>
      </x:c>
      <x:c r="G41" s="12" t="str">
        <x:v>立ち位置・戦闘距離・役割が大きく変わるため別プロファイル</x:v>
      </x:c>
      <x:c r="H41" s="12" t="str">
        <x:v>高</x:v>
      </x:c>
      <x:c r="I41" s="12" t="str">
        <x:v>https://wikiwiki.jp/poke-unite/%E3%82%A4%E3%83%AF%E3%83%91%E3%83%AC%E3%82%B9</x:v>
      </x:c>
    </x:row>
    <x:row r="42">
      <x:c r="A42" s="12" t="str">
        <x:v>オーロット</x:v>
      </x:c>
      <x:c r="B42" s="12" t="str">
        <x:v>ディフェンス型</x:v>
      </x:c>
      <x:c r="C42" s="12" t="str">
        <x:v>ウッドハンマー</x:v>
      </x:c>
      <x:c r="D42" s="12" t="str">
        <x:v>Vanguard / Warden</x:v>
      </x:c>
      <x:c r="E42" s="12" t="str">
        <x:v>Vanguard</x:v>
      </x:c>
      <x:c r="F42" s="12" t="str">
        <x:v>Warden</x:v>
      </x:c>
      <x:c r="G42" s="12" t="str">
        <x:v>立ち位置・戦闘距離・役割が大きく変わるため別プロファイル</x:v>
      </x:c>
      <x:c r="H42" s="12" t="str">
        <x:v>高</x:v>
      </x:c>
      <x:c r="I42" s="12" t="str">
        <x:v>https://wikiwiki.jp/poke-unite/%E3%82%AA%E3%83%BC%E3%83%AD%E3%83%83%E3%83%88</x:v>
      </x:c>
    </x:row>
    <x:row r="43">
      <x:c r="A43" s="12" t="str">
        <x:v>オーロット</x:v>
      </x:c>
      <x:c r="B43" s="12" t="str">
        <x:v>ディフェンス型</x:v>
      </x:c>
      <x:c r="C43" s="12" t="str">
        <x:v>のろい</x:v>
      </x:c>
      <x:c r="D43" s="12" t="str">
        <x:v>Juggernaut</x:v>
      </x:c>
      <x:c r="E43" s="12" t="str">
        <x:v>Juggernaut</x:v>
      </x:c>
      <x:c r="F43" s="12"/>
      <x:c r="G43" s="12" t="str">
        <x:v>立ち位置・戦闘距離・役割が大きく変わるため別プロファイル</x:v>
      </x:c>
      <x:c r="H43" s="12" t="str">
        <x:v>高</x:v>
      </x:c>
      <x:c r="I43" s="12" t="str">
        <x:v>https://wikiwiki.jp/poke-unite/%E3%82%AA%E3%83%BC%E3%83%AD%E3%83%83%E3%83%88</x:v>
      </x:c>
    </x:row>
    <x:row r="44">
      <x:c r="A44" s="12" t="str">
        <x:v>カビゴン</x:v>
      </x:c>
      <x:c r="B44" s="12" t="str">
        <x:v>ディフェンス型</x:v>
      </x:c>
      <x:c r="C44" s="12" t="str">
        <x:v>ヘビーボンバー</x:v>
      </x:c>
      <x:c r="D44" s="12" t="str">
        <x:v>Vanguard / Warden</x:v>
      </x:c>
      <x:c r="E44" s="12" t="str">
        <x:v>Vanguard</x:v>
      </x:c>
      <x:c r="F44" s="12" t="str">
        <x:v>Warden</x:v>
      </x:c>
      <x:c r="G44" s="12" t="str">
        <x:v>立ち位置・戦闘距離・役割が大きく変わるため別プロファイル</x:v>
      </x:c>
      <x:c r="H44" s="12" t="str">
        <x:v>高</x:v>
      </x:c>
      <x:c r="I44" s="12" t="str">
        <x:v>https://wikiwiki.jp/poke-unite/%E3%82%AB%E3%83%93%E3%82%B4%E3%83%B3</x:v>
      </x:c>
    </x:row>
    <x:row r="45">
      <x:c r="A45" s="12" t="str">
        <x:v>カビゴン</x:v>
      </x:c>
      <x:c r="B45" s="12" t="str">
        <x:v>ディフェンス型</x:v>
      </x:c>
      <x:c r="C45" s="12" t="str">
        <x:v>じたばた</x:v>
      </x:c>
      <x:c r="D45" s="12" t="str">
        <x:v>Juggernaut / Catcher</x:v>
      </x:c>
      <x:c r="E45" s="12" t="str">
        <x:v>Juggernaut</x:v>
      </x:c>
      <x:c r="F45" s="12" t="str">
        <x:v>Catcher</x:v>
      </x:c>
      <x:c r="G45" s="12" t="str">
        <x:v>立ち位置・戦闘距離・役割が大きく変わるため別プロファイル</x:v>
      </x:c>
      <x:c r="H45" s="12" t="str">
        <x:v>高</x:v>
      </x:c>
      <x:c r="I45" s="12" t="str">
        <x:v>https://wikiwiki.jp/poke-unite/%E3%82%AB%E3%83%93%E3%82%B4%E3%83%B3</x:v>
      </x:c>
    </x:row>
    <x:row r="46">
      <x:c r="A46" s="12" t="str">
        <x:v>カメックス</x:v>
      </x:c>
      <x:c r="B46" s="12" t="str">
        <x:v>ディフェンス型</x:v>
      </x:c>
      <x:c r="C46" s="12" t="str">
        <x:v>なみのり</x:v>
      </x:c>
      <x:c r="D46" s="12" t="str">
        <x:v>Warden / Vanguard</x:v>
      </x:c>
      <x:c r="E46" s="12" t="str">
        <x:v>Warden</x:v>
      </x:c>
      <x:c r="F46" s="12" t="str">
        <x:v>Vanguard</x:v>
      </x:c>
      <x:c r="G46" s="12" t="str">
        <x:v>立ち位置・戦闘距離・役割が大きく変わるため別プロファイル</x:v>
      </x:c>
      <x:c r="H46" s="12" t="str">
        <x:v>高</x:v>
      </x:c>
      <x:c r="I46" s="12" t="str">
        <x:v>https://wikiwiki.jp/poke-unite/%E3%82%AB%E3%83%A1%E3%83%83%E3%82%AF%E3%82%B9</x:v>
      </x:c>
    </x:row>
    <x:row r="47">
      <x:c r="A47" s="12" t="str">
        <x:v>カメックス</x:v>
      </x:c>
      <x:c r="B47" s="12" t="str">
        <x:v>ディフェンス型</x:v>
      </x:c>
      <x:c r="C47" s="12" t="str">
        <x:v>こうそくスピン</x:v>
      </x:c>
      <x:c r="D47" s="12" t="str">
        <x:v>Diver / Juggernaut</x:v>
      </x:c>
      <x:c r="E47" s="12" t="str">
        <x:v>Diver</x:v>
      </x:c>
      <x:c r="F47" s="12" t="str">
        <x:v>Juggernaut</x:v>
      </x:c>
      <x:c r="G47" s="12" t="str">
        <x:v>立ち位置・戦闘距離・役割が大きく変わるため別プロファイル</x:v>
      </x:c>
      <x:c r="H47" s="12" t="str">
        <x:v>高</x:v>
      </x:c>
      <x:c r="I47" s="12" t="str">
        <x:v>https://wikiwiki.jp/poke-unite/%E3%82%AB%E3%83%A1%E3%83%83%E3%82%AF%E3%82%B9</x:v>
      </x:c>
    </x:row>
    <x:row r="48">
      <x:c r="A48" s="12" t="str">
        <x:v>シャワーズ</x:v>
      </x:c>
      <x:c r="B48" s="12" t="str">
        <x:v>ディフェンス型</x:v>
      </x:c>
      <x:c r="C48" s="12" t="str">
        <x:v>アクアリング</x:v>
      </x:c>
      <x:c r="D48" s="12" t="str">
        <x:v>Enchanter / Warden</x:v>
      </x:c>
      <x:c r="E48" s="12" t="str">
        <x:v>Enchanter</x:v>
      </x:c>
      <x:c r="F48" s="12" t="str">
        <x:v>Warden</x:v>
      </x:c>
      <x:c r="G48" s="12" t="str">
        <x:v>立ち位置・戦闘距離・役割が大きく変わるため別プロファイル</x:v>
      </x:c>
      <x:c r="H48" s="12" t="str">
        <x:v>高</x:v>
      </x:c>
      <x:c r="I48" s="12" t="str">
        <x:v>https://wikiwiki.jp/poke-unite/%E3%82%B7%E3%83%A3%E3%83%AF%E3%83%BC%E3%82%BA</x:v>
      </x:c>
    </x:row>
    <x:row r="49">
      <x:c r="A49" s="12" t="str">
        <x:v>シャワーズ</x:v>
      </x:c>
      <x:c r="B49" s="12" t="str">
        <x:v>ディフェンス型</x:v>
      </x:c>
      <x:c r="C49" s="12" t="str">
        <x:v>クイックターン</x:v>
      </x:c>
      <x:c r="D49" s="12" t="str">
        <x:v>Warden / Diver</x:v>
      </x:c>
      <x:c r="E49" s="12" t="str">
        <x:v>Warden</x:v>
      </x:c>
      <x:c r="F49" s="12" t="str">
        <x:v>Diver</x:v>
      </x:c>
      <x:c r="G49" s="12" t="str">
        <x:v>立ち位置・戦闘距離・役割が大きく変わるため別プロファイル</x:v>
      </x:c>
      <x:c r="H49" s="12" t="str">
        <x:v>高</x:v>
      </x:c>
      <x:c r="I49" s="12" t="str">
        <x:v>https://wikiwiki.jp/poke-unite/%E3%82%B7%E3%83%A3%E3%83%AF%E3%83%BC%E3%82%BA</x:v>
      </x:c>
    </x:row>
    <x:row r="50">
      <x:c r="A50" s="12" t="str">
        <x:v>ブラッキー</x:v>
      </x:c>
      <x:c r="B50" s="12" t="str">
        <x:v>ディフェンス型</x:v>
      </x:c>
      <x:c r="C50" s="12" t="str">
        <x:v>ねがいごと</x:v>
      </x:c>
      <x:c r="D50" s="12" t="str">
        <x:v>Enchanter / Warden</x:v>
      </x:c>
      <x:c r="E50" s="12" t="str">
        <x:v>Enchanter</x:v>
      </x:c>
      <x:c r="F50" s="12" t="str">
        <x:v>Warden</x:v>
      </x:c>
      <x:c r="G50" s="12" t="str">
        <x:v>立ち位置・戦闘距離・役割が大きく変わるため別プロファイル</x:v>
      </x:c>
      <x:c r="H50" s="12" t="str">
        <x:v>高</x:v>
      </x:c>
      <x:c r="I50" s="12" t="str">
        <x:v>https://wikiwiki.jp/poke-unite/%E3%83%96%E3%83%A9%E3%83%83%E3%82%AD%E3%83%BC</x:v>
      </x:c>
    </x:row>
    <x:row r="51">
      <x:c r="A51" s="12" t="str">
        <x:v>ブラッキー</x:v>
      </x:c>
      <x:c r="B51" s="12" t="str">
        <x:v>ディフェンス型</x:v>
      </x:c>
      <x:c r="C51" s="12" t="str">
        <x:v>イカサマ</x:v>
      </x:c>
      <x:c r="D51" s="12" t="str">
        <x:v>Vanguard / Warden</x:v>
      </x:c>
      <x:c r="E51" s="12" t="str">
        <x:v>Vanguard</x:v>
      </x:c>
      <x:c r="F51" s="12" t="str">
        <x:v>Warden</x:v>
      </x:c>
      <x:c r="G51" s="12" t="str">
        <x:v>立ち位置・戦闘距離・役割が大きく変わるため別プロファイル</x:v>
      </x:c>
      <x:c r="H51" s="12" t="str">
        <x:v>高</x:v>
      </x:c>
      <x:c r="I51" s="12" t="str">
        <x:v>https://wikiwiki.jp/poke-unite/%E3%83%96%E3%83%A9%E3%83%83%E3%82%AD%E3%83%BC</x:v>
      </x:c>
    </x:row>
    <x:row r="52">
      <x:c r="A52" s="12" t="str">
        <x:v>ホウオウ</x:v>
      </x:c>
      <x:c r="B52" s="12" t="str">
        <x:v>ディフェンス型</x:v>
      </x:c>
      <x:c r="C52" s="12" t="str">
        <x:v>かえんほうしゃ</x:v>
      </x:c>
      <x:c r="D52" s="12" t="str">
        <x:v>Juggernaut / Enchanter</x:v>
      </x:c>
      <x:c r="E52" s="12" t="str">
        <x:v>Juggernaut</x:v>
      </x:c>
      <x:c r="F52" s="12" t="str">
        <x:v>Enchanter</x:v>
      </x:c>
      <x:c r="G52" s="12" t="str">
        <x:v>立ち位置・戦闘距離・役割が大きく変わるため別プロファイル</x:v>
      </x:c>
      <x:c r="H52" s="12" t="str">
        <x:v>高</x:v>
      </x:c>
      <x:c r="I52" s="12" t="str">
        <x:v>https://wikiwiki.jp/poke-unite/%E3%83%9B%E3%82%A6%E3%82%AA%E3%82%A6</x:v>
      </x:c>
    </x:row>
    <x:row r="53">
      <x:c r="A53" s="12" t="str">
        <x:v>ホウオウ</x:v>
      </x:c>
      <x:c r="B53" s="12" t="str">
        <x:v>ディフェンス型</x:v>
      </x:c>
      <x:c r="C53" s="12" t="str">
        <x:v>ゴッドバード</x:v>
      </x:c>
      <x:c r="D53" s="12" t="str">
        <x:v>Vanguard / Specialist</x:v>
      </x:c>
      <x:c r="E53" s="12" t="str">
        <x:v>Vanguard</x:v>
      </x:c>
      <x:c r="F53" s="12" t="str">
        <x:v>Specialist</x:v>
      </x:c>
      <x:c r="G53" s="12" t="str">
        <x:v>立ち位置・戦闘距離・役割が大きく変わるため別プロファイル</x:v>
      </x:c>
      <x:c r="H53" s="12" t="str">
        <x:v>高</x:v>
      </x:c>
      <x:c r="I53" s="12" t="str">
        <x:v>https://wikiwiki.jp/poke-unite/%E3%83%9B%E3%82%A6%E3%82%AA%E3%82%A6</x:v>
      </x:c>
    </x:row>
    <x:row r="54">
      <x:c r="A54" s="12" t="str">
        <x:v>ヤドラン</x:v>
      </x:c>
      <x:c r="B54" s="12" t="str">
        <x:v>ディフェンス型</x:v>
      </x:c>
      <x:c r="C54" s="12" t="str">
        <x:v>ドわすれ</x:v>
      </x:c>
      <x:c r="D54" s="12" t="str">
        <x:v>Juggernaut / BattleMage</x:v>
      </x:c>
      <x:c r="E54" s="12" t="str">
        <x:v>Juggernaut</x:v>
      </x:c>
      <x:c r="F54" s="12" t="str">
        <x:v>BattleMage</x:v>
      </x:c>
      <x:c r="G54" s="12" t="str">
        <x:v>立ち位置・戦闘距離・役割が大きく変わるため別プロファイル</x:v>
      </x:c>
      <x:c r="H54" s="12" t="str">
        <x:v>高</x:v>
      </x:c>
      <x:c r="I54" s="12" t="str">
        <x:v>https://wikiwiki.jp/poke-unite/%E3%83%A4%E3%83%89%E3%83%A9%E3%83%B3</x:v>
      </x:c>
    </x:row>
    <x:row r="55">
      <x:c r="A55" s="12" t="str">
        <x:v>ヤドラン</x:v>
      </x:c>
      <x:c r="B55" s="12" t="str">
        <x:v>ディフェンス型</x:v>
      </x:c>
      <x:c r="C55" s="12" t="str">
        <x:v>テレキネシス</x:v>
      </x:c>
      <x:c r="D55" s="12" t="str">
        <x:v>Warden / Catcher</x:v>
      </x:c>
      <x:c r="E55" s="12" t="str">
        <x:v>Warden</x:v>
      </x:c>
      <x:c r="F55" s="12" t="str">
        <x:v>Catcher</x:v>
      </x:c>
      <x:c r="G55" s="12" t="str">
        <x:v>立ち位置・戦闘距離・役割が大きく変わるため別プロファイル</x:v>
      </x:c>
      <x:c r="H55" s="12" t="str">
        <x:v>高</x:v>
      </x:c>
      <x:c r="I55" s="12" t="str">
        <x:v>https://wikiwiki.jp/poke-unite/%E3%83%A4%E3%83%89%E3%83%A9%E3%83%B3</x:v>
      </x:c>
    </x:row>
    <x:row r="56">
      <x:c r="A56" s="12" t="str">
        <x:v>ヨクバリス</x:v>
      </x:c>
      <x:c r="B56" s="12" t="str">
        <x:v>ディフェンス型</x:v>
      </x:c>
      <x:c r="C56" s="12" t="str">
        <x:v>ほおばる</x:v>
      </x:c>
      <x:c r="D56" s="12" t="str">
        <x:v>Juggernaut / Skirmisher</x:v>
      </x:c>
      <x:c r="E56" s="12" t="str">
        <x:v>Juggernaut</x:v>
      </x:c>
      <x:c r="F56" s="12" t="str">
        <x:v>Skirmisher</x:v>
      </x:c>
      <x:c r="G56" s="12" t="str">
        <x:v>立ち位置・戦闘距離・役割が大きく変わるため別プロファイル</x:v>
      </x:c>
      <x:c r="H56" s="12" t="str">
        <x:v>高</x:v>
      </x:c>
      <x:c r="I56" s="12" t="str">
        <x:v>https://wikiwiki.jp/poke-unite/%E3%83%A8%E3%82%AF%E3%83%90%E3%83%AA%E3%82%B9</x:v>
      </x:c>
    </x:row>
    <x:row r="57">
      <x:c r="A57" s="12" t="str">
        <x:v>ヨクバリス</x:v>
      </x:c>
      <x:c r="B57" s="12" t="str">
        <x:v>ディフェンス型</x:v>
      </x:c>
      <x:c r="C57" s="12" t="str">
        <x:v>ほしがる</x:v>
      </x:c>
      <x:c r="D57" s="12" t="str">
        <x:v>Diver / Specialist</x:v>
      </x:c>
      <x:c r="E57" s="12" t="str">
        <x:v>Diver</x:v>
      </x:c>
      <x:c r="F57" s="12" t="str">
        <x:v>Specialist</x:v>
      </x:c>
      <x:c r="G57" s="12" t="str">
        <x:v>立ち位置・戦闘距離・役割が大きく変わるため別プロファイル</x:v>
      </x:c>
      <x:c r="H57" s="12" t="str">
        <x:v>高</x:v>
      </x:c>
      <x:c r="I57" s="12" t="str">
        <x:v>https://wikiwiki.jp/poke-unite/%E3%83%A8%E3%82%AF%E3%83%90%E3%83%AA%E3%82%B9</x:v>
      </x:c>
    </x:row>
    <x:row r="58">
      <x:c r="A58" s="12" t="str">
        <x:v>バリヤード</x:v>
      </x:c>
      <x:c r="B58" s="12" t="str">
        <x:v>サポート型</x:v>
      </x:c>
      <x:c r="C58" s="12" t="str">
        <x:v>バリアー</x:v>
      </x:c>
      <x:c r="D58" s="12" t="str">
        <x:v>Catcher / Vanguard</x:v>
      </x:c>
      <x:c r="E58" s="12" t="str">
        <x:v>Catcher</x:v>
      </x:c>
      <x:c r="F58" s="12" t="str">
        <x:v>Vanguard</x:v>
      </x:c>
      <x:c r="G58" s="12" t="str">
        <x:v>立ち位置・戦闘距離・役割が大きく変わるため別プロファイル</x:v>
      </x:c>
      <x:c r="H58" s="12" t="str">
        <x:v>高</x:v>
      </x:c>
      <x:c r="I58" s="12" t="str">
        <x:v>https://wikiwiki.jp/poke-unite/%E3%83%90%E3%83%AA%E3%83%A4%E3%83%BC%E3%83%89</x:v>
      </x:c>
    </x:row>
    <x:row r="59">
      <x:c r="A59" s="12" t="str">
        <x:v>バリヤード</x:v>
      </x:c>
      <x:c r="B59" s="12" t="str">
        <x:v>サポート型</x:v>
      </x:c>
      <x:c r="C59" s="12" t="str">
        <x:v>パワースワップ</x:v>
      </x:c>
      <x:c r="D59" s="12" t="str">
        <x:v>Enchanter / BattleMage</x:v>
      </x:c>
      <x:c r="E59" s="12" t="str">
        <x:v>Enchanter</x:v>
      </x:c>
      <x:c r="F59" s="12" t="str">
        <x:v>BattleMage</x:v>
      </x:c>
      <x:c r="G59" s="12" t="str">
        <x:v>立ち位置・戦闘距離・役割が大きく変わるため別プロファイル</x:v>
      </x:c>
      <x:c r="H59" s="12" t="str">
        <x:v>高</x:v>
      </x:c>
      <x:c r="I59" s="12" t="str">
        <x:v>https://wikiwiki.jp/poke-unite/%E3%83%90%E3%83%AA%E3%83%A4%E3%83%BC%E3%83%89</x:v>
      </x:c>
    </x:row>
    <x:row r="60">
      <x:c r="A60" s="12" t="str">
        <x:v>フーパ</x:v>
      </x:c>
      <x:c r="B60" s="12" t="str">
        <x:v>サポート型</x:v>
      </x:c>
      <x:c r="C60" s="12" t="str">
        <x:v>いじげんホール</x:v>
      </x:c>
      <x:c r="D60" s="12" t="str">
        <x:v>Specialist / Enchanter</x:v>
      </x:c>
      <x:c r="E60" s="12" t="str">
        <x:v>Specialist</x:v>
      </x:c>
      <x:c r="F60" s="12" t="str">
        <x:v>Enchanter</x:v>
      </x:c>
      <x:c r="G60" s="12" t="str">
        <x:v>立ち位置・戦闘距離・役割が大きく変わるため別プロファイル</x:v>
      </x:c>
      <x:c r="H60" s="12" t="str">
        <x:v>高</x:v>
      </x:c>
      <x:c r="I60" s="12" t="str">
        <x:v>https://wikiwiki.jp/poke-unite/%E3%83%95%E3%83%BC%E3%83%91</x:v>
      </x:c>
    </x:row>
    <x:row r="61">
      <x:c r="A61" s="12" t="str">
        <x:v>フーパ</x:v>
      </x:c>
      <x:c r="B61" s="12" t="str">
        <x:v>サポート型</x:v>
      </x:c>
      <x:c r="C61" s="12" t="str">
        <x:v>トリック</x:v>
      </x:c>
      <x:c r="D61" s="12" t="str">
        <x:v>Enchanter / BattleMage</x:v>
      </x:c>
      <x:c r="E61" s="12" t="str">
        <x:v>Enchanter</x:v>
      </x:c>
      <x:c r="F61" s="12" t="str">
        <x:v>BattleMage</x:v>
      </x:c>
      <x:c r="G61" s="12" t="str">
        <x:v>立ち位置・戦闘距離・役割が大きく変わるため別プロファイル</x:v>
      </x:c>
      <x:c r="H61" s="12" t="str">
        <x:v>高</x:v>
      </x:c>
      <x:c r="I61" s="12" t="str">
        <x:v>https://wikiwiki.jp/poke-unite/%E3%83%95%E3%83%BC%E3%83%91</x:v>
      </x:c>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sheetData>
  <x:pageMargins left="0.7" right="0.7" top="0.75" bottom="0.75" header="0.3" footer="0.3"/>
  <x:tableParts count="1">
    <x:tablePart xmlns:r="http://schemas.openxmlformats.org/officeDocument/2006/relationships" r:id="R157e393895804846"/>
  </x:tableParts>
</x:worksheet>
</file>

<file path=xl/worksheets/sheet7.xml><?xml version="1.0" encoding="utf-8"?>
<x:worksheet xmlns:x="http://schemas.openxmlformats.org/spreadsheetml/2006/main">
  <x:sheetFormatPr defaultRowHeight="15"/>
  <x:cols>
    <x:col min="1" max="1" width="34" hidden="0" customWidth="1"/>
    <x:col min="2" max="2" width="62" hidden="0" customWidth="1"/>
    <x:col min="3" max="3" width="82" hidden="0" customWidth="1"/>
  </x:cols>
  <x:sheetData>
    <x:row r="1">
      <x:c r="A1" s="214" t="str">
        <x:v>Source</x:v>
      </x:c>
      <x:c r="B1" s="214" t="str">
        <x:v>URL</x:v>
      </x:c>
      <x:c r="C1" s="214" t="str">
        <x:v>How used</x:v>
      </x:c>
    </x:row>
    <x:row r="2">
      <x:c r="A2" s="12" t="str">
        <x:v>Pokémon UNITE Wiki ポケモン一覧</x:v>
      </x:c>
      <x:c r="B2" s="12" t="str">
        <x:v>https://wikiwiki.jp/poke-unite/%E4%B8%80%E8%A6%A7</x:v>
      </x:c>
      <x:c r="C2" s="12" t="str">
        <x:v>全体のロール、長所/短所、成長ペース、難易度を横断比較。個性補正の主資料。</x:v>
      </x:c>
    </x:row>
    <x:row r="3">
      <x:c r="A3" s="12" t="str">
        <x:v>Pokémon UNITE API Meta</x:v>
      </x:c>
      <x:c r="B3" s="12" t="str">
        <x:v>https://uniteapi.dev/jp/meta</x:v>
      </x:c>
      <x:c r="C3" s="12" t="str">
        <x:v>2026-09時点の代表ビルドをクロスチェック。勝率/Tierそのものは診断値に使用しない。</x:v>
      </x:c>
    </x:row>
    <x:row r="4">
      <x:c r="A4" s="12" t="str">
        <x:v>Wiki サーナイト</x:v>
      </x:c>
      <x:c r="B4" s="12" t="str">
        <x:v>https://wikiwiki.jp/poke-unite/%E3%82%B5%E3%83%BC%E3%83%8A%E3%82%A4%E3%83%88</x:v>
      </x:c>
      <x:c r="C4" s="12" t="str">
        <x:v>高火力・広範囲・味方依存の確認。</x:v>
      </x:c>
    </x:row>
    <x:row r="5">
      <x:c r="A5" s="12" t="str">
        <x:v>Wiki シャンデラ</x:v>
      </x:c>
      <x:c r="B5" s="12" t="str">
        <x:v>https://wikiwiki.jp/poke-unite/%E3%82%B7%E3%83%A3%E3%83%B3%E3%83%87%E3%83%A9</x:v>
      </x:c>
      <x:c r="C5" s="12" t="str">
        <x:v>範囲火力の手数・広範囲妨害・低自衛の確認。</x:v>
      </x:c>
    </x:row>
    <x:row r="6">
      <x:c r="A6" s="12" t="str">
        <x:v>Wiki グレンアルマ</x:v>
      </x:c>
      <x:c r="B6" s="12" t="str">
        <x:v>https://wikiwiki.jp/poke-unite/%E3%82%B0%E3%83%AC%E3%83%B3%E3%82%A2%E3%83%AB%E3%83%9E</x:v>
      </x:c>
      <x:c r="C6" s="12" t="str">
        <x:v>妨害の豊富さ・アタック型としての耐久の確認。</x:v>
      </x:c>
    </x:row>
    <x:row r="7">
      <x:c r="A7" s="12" t="str">
        <x:v>Wiki マフォクシー</x:v>
      </x:c>
      <x:c r="B7" s="12" t="str">
        <x:v>https://wikiwiki.jp/poke-unite/%E3%83%9E%E3%83%95%E3%82%A9%E3%82%AF%E3%82%B7%E3%83%BC</x:v>
      </x:c>
      <x:c r="C7" s="12" t="str">
        <x:v>遠距離攻撃・技選択・高回転ユナイトの確認。</x:v>
      </x:c>
    </x:row>
    <x:row r="8">
      <x:c r="A8" s="12" t="str">
        <x:v>Wiki エンペルト</x:v>
      </x:c>
      <x:c r="B8" s="12" t="str">
        <x:v>https://wikiwiki.jp/poke-unite/%E3%82%A8%E3%83%B3%E3%83%9A%E3%83%AB%E3%83%88</x:v>
      </x:c>
      <x:c r="C8" s="12" t="str">
        <x:v>回復を伴う殴り合い、中距離対応、ゲージ管理の確認。</x:v>
      </x:c>
    </x:row>
    <x:row r="9">
      <x:c r="A9" s="12" t="str">
        <x:v>Wiki ソルガレオ</x:v>
      </x:c>
      <x:c r="B9" s="12" t="str">
        <x:v>https://wikiwiki.jp/poke-unite/%E3%82%BD%E3%83%AB%E3%82%AC%E3%83%AC%E3%82%AA</x:v>
      </x:c>
      <x:c r="C9" s="12" t="str">
        <x:v>複数CC・回復・移動手段、追撃性能の限界を確認。</x:v>
      </x:c>
    </x:row>
    <x:row r="10">
      <x:c r="A10" s="12" t="str">
        <x:v>Wiki ガブリアス</x:v>
      </x:c>
      <x:c r="B10" s="12" t="str">
        <x:v>https://wikiwiki.jp/poke-unite/%E3%82%AC%E3%83%96%E3%83%AA%E3%82%A2%E3%82%B9</x:v>
      </x:c>
      <x:c r="C10" s="12" t="str">
        <x:v>殴り合い・オブジェクト処理・晩成性を確認。</x:v>
      </x:c>
    </x:row>
    <x:row r="11">
      <x:c r="A11" s="12" t="str">
        <x:v>Wiki バンギラス</x:v>
      </x:c>
      <x:c r="B11" s="12" t="str">
        <x:v>https://wikiwiki.jp/poke-unite/%E3%83%90%E3%83%B3%E3%82%AE%E3%83%A9%E3%82%B9</x:v>
      </x:c>
      <x:c r="C11" s="12" t="str">
        <x:v>高耐久・防御/シールド無視・低機動/極晩成を確認。</x:v>
      </x:c>
    </x:row>
    <x:row r="12">
      <x:c r="A12" s="12" t="str">
        <x:v>Wiki インテレオン</x:v>
      </x:c>
      <x:c r="B12" s="12" t="str">
        <x:v>https://wikiwiki.jp/poke-unite/%E3%82%A4%E3%83%B3%E3%83%86%E3%83%AC%E3%82%AA%E3%83%B3</x:v>
      </x:c>
      <x:c r="C12" s="12" t="str">
        <x:v>ねらいうちの射程・単発火力・逃げ性能を確認。</x:v>
      </x:c>
    </x:row>
    <x:row r="13">
      <x:c r="A13" s="12" t="str">
        <x:v>Wiki ジュナイパー</x:v>
      </x:c>
      <x:c r="B13" s="12" t="str">
        <x:v>https://wikiwiki.jp/poke-unite/%E3%82%B8%E3%83%A5%E3%83%8A%E3%82%A4%E3%83%91%E3%83%BC</x:v>
      </x:c>
      <x:c r="C13" s="12" t="str">
        <x:v>長射程・対オブジェクト・低自衛を確認。</x:v>
      </x:c>
    </x:row>
    <x:row r="14">
      <x:c r="A14" s="12" t="str">
        <x:v>Wiki アブソル</x:v>
      </x:c>
      <x:c r="B14" s="12" t="str">
        <x:v>https://wikiwiki.jp/poke-unite/%E3%82%A2%E3%83%96%E3%82%BD%E3%83%AB</x:v>
      </x:c>
      <x:c r="C14" s="12" t="str">
        <x:v>奇襲・追撃・早期リード・急所依存を確認。</x:v>
      </x:c>
    </x:row>
    <x:row r="15">
      <x:c r="A15" s="12" t="str">
        <x:v>Wiki リーフィア</x:v>
      </x:c>
      <x:c r="B15" s="12" t="str">
        <x:v>https://wikiwiki.jp/poke-unite/%E3%83%AA%E3%83%BC%E3%83%95%E3%82%A3%E3%82%A2</x:v>
      </x:c>
      <x:c r="C15" s="12" t="str">
        <x:v>非常に高い序盤性能・機動・終盤失速を確認。</x:v>
      </x:c>
    </x:row>
    <x:row r="16">
      <x:c r="A16" s="12" t="str">
        <x:v>Wiki ゾロアーク</x:v>
      </x:c>
      <x:c r="B16" s="12" t="str">
        <x:v>https://wikiwiki.jp/poke-unite/%E3%82%BE%E3%83%AD%E3%82%A2%E3%83%BC%E3%82%AF</x:v>
      </x:c>
      <x:c r="C16" s="12" t="str">
        <x:v>高機動・複雑コンボ・高リスクを確認。</x:v>
      </x:c>
    </x:row>
    <x:row r="17">
      <x:c r="A17" s="12" t="str">
        <x:v>Wiki エースバーン</x:v>
      </x:c>
      <x:c r="B17" s="12" t="str">
        <x:v>https://wikiwiki.jp/poke-unite/%E3%82%A8%E3%83%BC%E3%82%B9%E3%83%90%E3%83%BC%E3%83%B3</x:v>
      </x:c>
      <x:c r="C17" s="12" t="str">
        <x:v>通常攻撃DPS・オブジェクト削り・ムーブ自衛を確認。</x:v>
      </x:c>
    </x:row>
    <x:row r="18">
      <x:c r="A18" s="12" t="str">
        <x:v>Wiki ゲッコウガ</x:v>
      </x:c>
      <x:c r="B18" s="12" t="str">
        <x:v>https://wikiwiki.jp/poke-unite/%E3%82%B2%E3%83%83%E3%82%B3%E3%82%A6%E3%82%AC</x:v>
      </x:c>
      <x:c r="C18" s="12" t="str">
        <x:v>遠近両用AA・火力切替・操作難度を確認。</x:v>
      </x:c>
    </x:row>
    <x:row r="19">
      <x:c r="A19" s="12" t="str">
        <x:v>Wiki ピクシー</x:v>
      </x:c>
      <x:c r="B19" s="12" t="str">
        <x:v>https://wikiwiki.jp/poke-unite/%E3%83%94%E3%82%AF%E3%82%B7%E3%83%BC</x:v>
      </x:c>
      <x:c r="C19" s="12" t="str">
        <x:v>集団回復・妨害・晩成支援の確認。</x:v>
      </x:c>
    </x:row>
    <x:row r="20">
      <x:c r="A20" s="12" t="str">
        <x:v>Wiki メガニウム</x:v>
      </x:c>
      <x:c r="B20" s="12" t="str">
        <x:v>https://wikiwiki.jp/poke-unite/%E3%83%A1%E3%82%AC%E3%83%8B%E3%82%A6%E3%83%A0</x:v>
      </x:c>
      <x:c r="C20" s="12" t="str">
        <x:v>高回転ユナイト・回復/妨害・持久戦の確認。</x:v>
      </x:c>
    </x:row>
    <x:row r="21">
      <x:c r="A21" s="12" t="str">
        <x:v>Wiki ラティアス</x:v>
      </x:c>
      <x:c r="B21" s="12" t="str">
        <x:v>https://wikiwiki.jp/poke-unite/%E3%83%A9%E3%83%86%E3%82%A3%E3%82%A2%E3%82%B9</x:v>
      </x:c>
      <x:c r="C21" s="12" t="str">
        <x:v>火力支援両立・高移動速度の確認。</x:v>
      </x:c>
    </x:row>
    <x:row r="22">
      <x:c r="A22" s="12" t="str">
        <x:v>Wiki バリヤード</x:v>
      </x:c>
      <x:c r="B22" s="12" t="str">
        <x:v>https://wikiwiki.jp/poke-unite/%E3%83%90%E3%83%AA%E3%83%A4%E3%83%BC%E3%83%89</x:v>
      </x:c>
      <x:c r="C22" s="12" t="str">
        <x:v>高妨害・瞬間火力・直接支援の確認。</x:v>
      </x:c>
    </x:row>
    <x:row r="23">
      <x:c r="A23" s="12" t="str">
        <x:v>Wiki ダダリン</x:v>
      </x:c>
      <x:c r="B23" s="12" t="str">
        <x:v>https://wikiwiki.jp/poke-unite/%E3%83%80%E3%83%80%E3%83%AA%E3%83%B3</x:v>
      </x:c>
      <x:c r="C23" s="12" t="str">
        <x:v>高火力・低機動の確認。</x:v>
      </x:c>
    </x:row>
    <x:row r="24">
      <x:c r="A24" s="12" t="str">
        <x:v>Wiki マッシブーン</x:v>
      </x:c>
      <x:c r="B24" s="12" t="str">
        <x:v>https://wikiwiki.jp/poke-unite/%E3%83%9E%E3%83%83%E3%82%B7%E3%83%96%E3%83%BC%E3%83%B3</x:v>
      </x:c>
      <x:c r="C24" s="12" t="str">
        <x:v>拘束・回復・ゲージ・対近接性能の確認。</x:v>
      </x:c>
    </x:row>
  </x:sheetData>
  <x:pageMargins left="0.7" right="0.7" top="0.75" bottom="0.75" header="0.3" footer="0.3"/>
  <x:tableParts count="1">
    <x:tablePart xmlns:r="http://schemas.openxmlformats.org/officeDocument/2006/relationships" r:id="R39800c00e20f453c"/>
  </x:tableParts>
</x:worksheet>
</file>

<file path=xl/worksheets/sheet8.xml><?xml version="1.0" encoding="utf-8"?>
<x:worksheet xmlns:x="http://schemas.openxmlformats.org/spreadsheetml/2006/main">
  <x:sheetFormatPr defaultRowHeight="15"/>
  <x:cols>
    <x:col min="1" max="1" width="8" hidden="0" customWidth="1"/>
    <x:col min="2" max="2" width="16" hidden="0" customWidth="1"/>
    <x:col min="3" max="3" width="52" hidden="0" customWidth="1"/>
    <x:col min="4" max="4" width="24"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36" hidden="0" customWidth="1"/>
    <x:col min="29" max="29" width="20" hidden="0" customWidth="1"/>
    <x:col min="30" max="30" width="11" hidden="0" customWidth="1"/>
    <x:col min="31" max="31" width="10" hidden="0" customWidth="1"/>
    <x:col min="32" max="32" width="34" hidden="0" customWidth="1"/>
  </x:cols>
  <x:sheetData>
    <x:row r="1">
      <x:c r="A1" s="165" t="str">
        <x:v>診断質問30問：短く答えやすいバランスド尺度</x:v>
      </x:c>
      <x:c r="B1" s="165"/>
      <x:c r="C1" s="165"/>
      <x:c r="D1" s="165"/>
      <x:c r="E1" s="165"/>
      <x:c r="F1" s="165"/>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row>
    <x:row r="2">
      <x:c r="A2" s="165"/>
      <x:c r="B2" s="165"/>
      <x:c r="C2" s="165"/>
      <x:c r="D2" s="165"/>
      <x:c r="E2" s="165"/>
      <x:c r="F2" s="165"/>
      <x:c r="G2" s="165"/>
      <x:c r="H2" s="165"/>
      <x:c r="I2" s="165"/>
      <x:c r="J2" s="165"/>
      <x:c r="K2" s="165"/>
      <x:c r="L2" s="165"/>
      <x:c r="M2" s="165"/>
      <x:c r="N2" s="165"/>
      <x:c r="O2" s="165"/>
      <x:c r="P2" s="165"/>
      <x:c r="Q2" s="165"/>
      <x:c r="R2" s="165"/>
      <x:c r="S2" s="165"/>
      <x:c r="T2" s="165"/>
      <x:c r="U2" s="165"/>
      <x:c r="V2" s="165"/>
      <x:c r="W2" s="165"/>
      <x:c r="X2" s="165"/>
      <x:c r="Y2" s="165"/>
      <x:c r="Z2" s="165"/>
      <x:c r="AA2" s="165"/>
      <x:c r="AB2" s="165"/>
      <x:c r="AC2" s="165"/>
      <x:c r="AD2" s="165"/>
      <x:c r="AE2" s="165"/>
      <x:c r="AF2" s="165"/>
    </x:row>
    <x:row r="3">
      <x:c r="A3" s="167" t="str">
        <x:v>中学生でも一読で意味が取れ、成人が読んでも幼く見えない文量を意識。30問すべてが7性格軸に寄与し、Q21〜Q30だけ弱いプレイ補助信号にも利用します。</x:v>
      </x:c>
      <x:c r="B3" s="167"/>
      <x:c r="C3" s="167"/>
      <x:c r="D3" s="167"/>
      <x:c r="E3" s="167"/>
      <x:c r="F3" s="167"/>
      <x:c r="G3" s="167"/>
      <x:c r="H3" s="167"/>
      <x:c r="I3" s="167"/>
      <x:c r="J3" s="167"/>
      <x:c r="K3" s="167"/>
      <x:c r="L3" s="167"/>
      <x:c r="M3" s="167"/>
      <x:c r="N3" s="167"/>
      <x:c r="O3" s="167"/>
      <x:c r="P3" s="167"/>
      <x:c r="Q3" s="167"/>
      <x:c r="R3" s="167"/>
      <x:c r="S3" s="167"/>
      <x:c r="T3" s="167"/>
      <x:c r="U3" s="167"/>
      <x:c r="V3" s="167"/>
      <x:c r="W3" s="167"/>
      <x:c r="X3" s="167"/>
      <x:c r="Y3" s="167"/>
      <x:c r="Z3" s="167"/>
      <x:c r="AA3" s="167"/>
      <x:c r="AB3" s="167"/>
      <x:c r="AC3" s="167"/>
      <x:c r="AD3" s="167"/>
      <x:c r="AE3" s="167"/>
      <x:c r="AF3" s="167"/>
    </x:row>
    <x:row r="5">
      <x:c r="A5" s="162" t="str">
        <x:v>QID</x:v>
      </x:c>
      <x:c r="B5" s="162" t="str">
        <x:v>区分</x:v>
      </x:c>
      <x:c r="C5" s="162" t="str">
        <x:v>質問文</x:v>
      </x:c>
      <x:c r="D5" s="162" t="str">
        <x:v>主な測定対象</x:v>
      </x:c>
      <x:c r="E5" s="162" t="str">
        <x:v>備考</x:v>
      </x:c>
      <x:c r="F5" s="171" t="str">
        <x:v>Initiative</x:v>
      </x:c>
      <x:c r="G5" s="171" t="str">
        <x:v>RiskTolerance</x:v>
      </x:c>
      <x:c r="H5" s="171" t="str">
        <x:v>Cooperation</x:v>
      </x:c>
      <x:c r="I5" s="171" t="str">
        <x:v>SelfReliance</x:v>
      </x:c>
      <x:c r="J5" s="171" t="str">
        <x:v>Planning</x:v>
      </x:c>
      <x:c r="K5" s="171" t="str">
        <x:v>Adaptability</x:v>
      </x:c>
      <x:c r="L5" s="171" t="str">
        <x:v>Mastery</x:v>
      </x:c>
      <x:c r="M5" s="172" t="str">
        <x:v>Engage</x:v>
      </x:c>
      <x:c r="N5" s="172" t="str">
        <x:v>Dive</x:v>
      </x:c>
      <x:c r="O5" s="172" t="str">
        <x:v>Peel</x:v>
      </x:c>
      <x:c r="P5" s="172" t="str">
        <x:v>Frontline</x:v>
      </x:c>
      <x:c r="Q5" s="172" t="str">
        <x:v>Poke</x:v>
      </x:c>
      <x:c r="R5" s="172" t="str">
        <x:v>FightTempo</x:v>
      </x:c>
      <x:c r="S5" s="172" t="str">
        <x:v>Control</x:v>
      </x:c>
      <x:c r="T5" s="172" t="str">
        <x:v>Support</x:v>
      </x:c>
      <x:c r="U5" s="172" t="str">
        <x:v>Mobility</x:v>
      </x:c>
      <x:c r="V5" s="172" t="str">
        <x:v>SelfSufficiency</x:v>
      </x:c>
      <x:c r="W5" s="172" t="str">
        <x:v>FarmScaling</x:v>
      </x:c>
      <x:c r="X5" s="172" t="str">
        <x:v>ObjectiveSecure</x:v>
      </x:c>
      <x:c r="Y5" s="172" t="str">
        <x:v>ScoringSide</x:v>
      </x:c>
      <x:c r="Z5" s="172" t="str">
        <x:v>Execution</x:v>
      </x:c>
      <x:c r="AA5" s="172" t="str">
        <x:v>Decision</x:v>
      </x:c>
      <x:c r="AB5" s="173" t="str">
        <x:v>設計意図</x:v>
      </x:c>
      <x:c r="AC5" s="173" t="str">
        <x:v>ConstructCode</x:v>
      </x:c>
      <x:c r="AD5" s="173" t="str">
        <x:v>Keying</x:v>
      </x:c>
      <x:c r="AE5" s="173" t="str">
        <x:v>PairID</x:v>
      </x:c>
      <x:c r="AF5" s="173" t="str">
        <x:v>PsychometricNote</x:v>
      </x:c>
    </x:row>
    <x:row r="6">
      <x:c r="A6" s="12" t="str">
        <x:v>Q01</x:v>
      </x:c>
      <x:c r="B6" s="12" t="str">
        <x:v>性格・行動傾向</x:v>
      </x:c>
      <x:c r="C6" s="12" t="str">
        <x:v>みんなで何か決めるとき、案が出なければ自分から候補を出す。</x:v>
      </x:c>
      <x:c r="D6" s="12" t="str">
        <x:v>Initiative</x:v>
      </x:c>
      <x:c r="E6" s="12" t="str">
        <x:v>正方向</x:v>
      </x:c>
      <x:c r="F6" s="57" t="n">
        <x:v>0.9</x:v>
      </x:c>
      <x:c r="G6" s="57" t="n">
        <x:v>0</x:v>
      </x:c>
      <x:c r="H6" s="57" t="n">
        <x:v>0</x:v>
      </x:c>
      <x:c r="I6" s="57" t="n">
        <x:v>0</x:v>
      </x:c>
      <x:c r="J6" s="57" t="n">
        <x:v>0</x:v>
      </x:c>
      <x:c r="K6" s="57" t="n">
        <x:v>0</x:v>
      </x:c>
      <x:c r="L6" s="57" t="n">
        <x:v>0</x:v>
      </x:c>
      <x:c r="M6" s="57" t="n">
        <x:v>0</x:v>
      </x:c>
      <x:c r="N6" s="57" t="n">
        <x:v>0</x:v>
      </x:c>
      <x:c r="O6" s="57" t="n">
        <x:v>0</x:v>
      </x:c>
      <x:c r="P6" s="57" t="n">
        <x:v>0</x:v>
      </x:c>
      <x:c r="Q6" s="57" t="n">
        <x:v>0</x:v>
      </x:c>
      <x:c r="R6" s="57" t="n">
        <x:v>0</x:v>
      </x:c>
      <x:c r="S6" s="57" t="n">
        <x:v>0</x:v>
      </x:c>
      <x:c r="T6" s="57" t="n">
        <x:v>0</x:v>
      </x:c>
      <x:c r="U6" s="57" t="n">
        <x:v>0</x:v>
      </x:c>
      <x:c r="V6" s="57" t="n">
        <x:v>0</x:v>
      </x:c>
      <x:c r="W6" s="57" t="n">
        <x:v>0</x:v>
      </x:c>
      <x:c r="X6" s="57" t="n">
        <x:v>0</x:v>
      </x:c>
      <x:c r="Y6" s="57" t="n">
        <x:v>0</x:v>
      </x:c>
      <x:c r="Z6" s="57" t="n">
        <x:v>0</x:v>
      </x:c>
      <x:c r="AA6" s="57" t="n">
        <x:v>0</x:v>
      </x:c>
      <x:c r="AB6" s="12" t="str">
        <x:v>構成概念の高い側を、日常の選択として測定。</x:v>
      </x:c>
      <x:c r="AC6" s="12" t="str">
        <x:v>Initiative</x:v>
      </x:c>
      <x:c r="AD6" s="12" t="str">
        <x:v>正方向</x:v>
      </x:c>
      <x:c r="AE6" s="12" t="str">
        <x:v>I-A</x:v>
      </x:c>
      <x:c r="AF6" s="12" t="str">
        <x:v>短文・一文一概念・価値中立</x:v>
      </x:c>
    </x:row>
    <x:row r="7">
      <x:c r="A7" s="12" t="str">
        <x:v>Q02</x:v>
      </x:c>
      <x:c r="B7" s="12" t="str">
        <x:v>性格・行動傾向</x:v>
      </x:c>
      <x:c r="C7" s="12" t="str">
        <x:v>出かける予定などは、その場で決めるより前もって決めておきたい。</x:v>
      </x:c>
      <x:c r="D7" s="12" t="str">
        <x:v>Planning</x:v>
      </x:c>
      <x:c r="E7" s="12" t="str">
        <x:v>正方向</x:v>
      </x:c>
      <x:c r="F7" s="57" t="n">
        <x:v>0</x:v>
      </x:c>
      <x:c r="G7" s="57" t="n">
        <x:v>0</x:v>
      </x:c>
      <x:c r="H7" s="57" t="n">
        <x:v>0</x:v>
      </x:c>
      <x:c r="I7" s="57" t="n">
        <x:v>0</x:v>
      </x:c>
      <x:c r="J7" s="57" t="n">
        <x:v>0.9</x:v>
      </x:c>
      <x:c r="K7" s="57" t="n">
        <x:v>0</x:v>
      </x:c>
      <x:c r="L7" s="57" t="n">
        <x:v>0</x:v>
      </x:c>
      <x:c r="M7" s="57" t="n">
        <x:v>0</x:v>
      </x:c>
      <x:c r="N7" s="57" t="n">
        <x:v>0</x:v>
      </x:c>
      <x:c r="O7" s="57" t="n">
        <x:v>0</x:v>
      </x:c>
      <x:c r="P7" s="57" t="n">
        <x:v>0</x:v>
      </x:c>
      <x:c r="Q7" s="57" t="n">
        <x:v>0</x:v>
      </x:c>
      <x:c r="R7" s="57" t="n">
        <x:v>0</x:v>
      </x:c>
      <x:c r="S7" s="57" t="n">
        <x:v>0</x:v>
      </x:c>
      <x:c r="T7" s="57" t="n">
        <x:v>0</x:v>
      </x:c>
      <x:c r="U7" s="57" t="n">
        <x:v>0</x:v>
      </x:c>
      <x:c r="V7" s="57" t="n">
        <x:v>0</x:v>
      </x:c>
      <x:c r="W7" s="57" t="n">
        <x:v>0</x:v>
      </x:c>
      <x:c r="X7" s="57" t="n">
        <x:v>0</x:v>
      </x:c>
      <x:c r="Y7" s="57" t="n">
        <x:v>0</x:v>
      </x:c>
      <x:c r="Z7" s="57" t="n">
        <x:v>0</x:v>
      </x:c>
      <x:c r="AA7" s="57" t="n">
        <x:v>0</x:v>
      </x:c>
      <x:c r="AB7" s="12" t="str">
        <x:v>構成概念の高い側を、日常の選択として測定。</x:v>
      </x:c>
      <x:c r="AC7" s="12" t="str">
        <x:v>Planning</x:v>
      </x:c>
      <x:c r="AD7" s="12" t="str">
        <x:v>正方向</x:v>
      </x:c>
      <x:c r="AE7" s="12" t="str">
        <x:v>P-A</x:v>
      </x:c>
      <x:c r="AF7" s="12" t="str">
        <x:v>短文・一文一概念・価値中立</x:v>
      </x:c>
    </x:row>
    <x:row r="8">
      <x:c r="A8" s="12" t="str">
        <x:v>Q03</x:v>
      </x:c>
      <x:c r="B8" s="12" t="str">
        <x:v>性格・行動傾向</x:v>
      </x:c>
      <x:c r="C8" s="12" t="str">
        <x:v>迷ったとき、失敗してもやり直せるなら、とりあえず試す方だ。</x:v>
      </x:c>
      <x:c r="D8" s="12" t="str">
        <x:v>RiskTolerance</x:v>
      </x:c>
      <x:c r="E8" s="12" t="str">
        <x:v>正方向</x:v>
      </x:c>
      <x:c r="F8" s="57" t="n">
        <x:v>0.1</x:v>
      </x:c>
      <x:c r="G8" s="57" t="n">
        <x:v>0.9</x:v>
      </x:c>
      <x:c r="H8" s="57" t="n">
        <x:v>0</x:v>
      </x:c>
      <x:c r="I8" s="57" t="n">
        <x:v>0</x:v>
      </x:c>
      <x:c r="J8" s="57" t="n">
        <x:v>0</x:v>
      </x:c>
      <x:c r="K8" s="57" t="n">
        <x:v>0</x:v>
      </x:c>
      <x:c r="L8" s="57" t="n">
        <x:v>0</x:v>
      </x:c>
      <x:c r="M8" s="57" t="n">
        <x:v>0</x:v>
      </x:c>
      <x:c r="N8" s="57" t="n">
        <x:v>0</x:v>
      </x:c>
      <x:c r="O8" s="57" t="n">
        <x:v>0</x:v>
      </x:c>
      <x:c r="P8" s="57" t="n">
        <x:v>0</x:v>
      </x:c>
      <x:c r="Q8" s="57" t="n">
        <x:v>0</x:v>
      </x:c>
      <x:c r="R8" s="57" t="n">
        <x:v>0</x:v>
      </x:c>
      <x:c r="S8" s="57" t="n">
        <x:v>0</x:v>
      </x:c>
      <x:c r="T8" s="57" t="n">
        <x:v>0</x:v>
      </x:c>
      <x:c r="U8" s="57" t="n">
        <x:v>0</x:v>
      </x:c>
      <x:c r="V8" s="57" t="n">
        <x:v>0</x:v>
      </x:c>
      <x:c r="W8" s="57" t="n">
        <x:v>0</x:v>
      </x:c>
      <x:c r="X8" s="57" t="n">
        <x:v>0</x:v>
      </x:c>
      <x:c r="Y8" s="57" t="n">
        <x:v>0</x:v>
      </x:c>
      <x:c r="Z8" s="57" t="n">
        <x:v>0</x:v>
      </x:c>
      <x:c r="AA8" s="57" t="n">
        <x:v>0</x:v>
      </x:c>
      <x:c r="AB8" s="12" t="str">
        <x:v>構成概念の高い側を、日常の選択として測定。</x:v>
      </x:c>
      <x:c r="AC8" s="12" t="str">
        <x:v>RiskTolerance</x:v>
      </x:c>
      <x:c r="AD8" s="12" t="str">
        <x:v>正方向</x:v>
      </x:c>
      <x:c r="AE8" s="12" t="str">
        <x:v>R-A</x:v>
      </x:c>
      <x:c r="AF8" s="12" t="str">
        <x:v>短文・一文一概念・価値中立</x:v>
      </x:c>
    </x:row>
    <x:row r="9">
      <x:c r="A9" s="12" t="str">
        <x:v>Q04</x:v>
      </x:c>
      <x:c r="B9" s="12" t="str">
        <x:v>性格・行動傾向</x:v>
      </x:c>
      <x:c r="C9" s="12" t="str">
        <x:v>みんなで動くときは、自分のペースより周りに合わせることが多い。</x:v>
      </x:c>
      <x:c r="D9" s="12" t="str">
        <x:v>Cooperation</x:v>
      </x:c>
      <x:c r="E9" s="12" t="str">
        <x:v>正方向</x:v>
      </x:c>
      <x:c r="F9" s="57" t="n">
        <x:v>0</x:v>
      </x:c>
      <x:c r="G9" s="57" t="n">
        <x:v>0</x:v>
      </x:c>
      <x:c r="H9" s="57" t="n">
        <x:v>0.9</x:v>
      </x:c>
      <x:c r="I9" s="57" t="n">
        <x:v>0</x:v>
      </x:c>
      <x:c r="J9" s="57" t="n">
        <x:v>0</x:v>
      </x:c>
      <x:c r="K9" s="57" t="n">
        <x:v>0.1</x:v>
      </x:c>
      <x:c r="L9" s="57" t="n">
        <x:v>0</x:v>
      </x:c>
      <x:c r="M9" s="57" t="n">
        <x:v>0</x:v>
      </x:c>
      <x:c r="N9" s="57" t="n">
        <x:v>0</x:v>
      </x:c>
      <x:c r="O9" s="57" t="n">
        <x:v>0</x:v>
      </x:c>
      <x:c r="P9" s="57" t="n">
        <x:v>0</x:v>
      </x:c>
      <x:c r="Q9" s="57" t="n">
        <x:v>0</x:v>
      </x:c>
      <x:c r="R9" s="57" t="n">
        <x:v>0</x:v>
      </x:c>
      <x:c r="S9" s="57" t="n">
        <x:v>0</x:v>
      </x:c>
      <x:c r="T9" s="57" t="n">
        <x:v>0</x:v>
      </x:c>
      <x:c r="U9" s="57" t="n">
        <x:v>0</x:v>
      </x:c>
      <x:c r="V9" s="57" t="n">
        <x:v>0</x:v>
      </x:c>
      <x:c r="W9" s="57" t="n">
        <x:v>0</x:v>
      </x:c>
      <x:c r="X9" s="57" t="n">
        <x:v>0</x:v>
      </x:c>
      <x:c r="Y9" s="57" t="n">
        <x:v>0</x:v>
      </x:c>
      <x:c r="Z9" s="57" t="n">
        <x:v>0</x:v>
      </x:c>
      <x:c r="AA9" s="57" t="n">
        <x:v>0</x:v>
      </x:c>
      <x:c r="AB9" s="12" t="str">
        <x:v>構成概念の高い側を、日常の選択として測定。</x:v>
      </x:c>
      <x:c r="AC9" s="12" t="str">
        <x:v>Cooperation</x:v>
      </x:c>
      <x:c r="AD9" s="12" t="str">
        <x:v>正方向</x:v>
      </x:c>
      <x:c r="AE9" s="12" t="str">
        <x:v>C-A</x:v>
      </x:c>
      <x:c r="AF9" s="12" t="str">
        <x:v>短文・一文一概念・価値中立</x:v>
      </x:c>
    </x:row>
    <x:row r="10">
      <x:c r="A10" s="12" t="str">
        <x:v>Q05</x:v>
      </x:c>
      <x:c r="B10" s="12" t="str">
        <x:v>性格・行動傾向</x:v>
      </x:c>
      <x:c r="C10" s="12" t="str">
        <x:v>困ったときは、まず自分で試してから誰かに聞く。</x:v>
      </x:c>
      <x:c r="D10" s="12" t="str">
        <x:v>SelfReliance</x:v>
      </x:c>
      <x:c r="E10" s="12" t="str">
        <x:v>正方向</x:v>
      </x:c>
      <x:c r="F10" s="57" t="n">
        <x:v>0</x:v>
      </x:c>
      <x:c r="G10" s="57" t="n">
        <x:v>0</x:v>
      </x:c>
      <x:c r="H10" s="57" t="n">
        <x:v>0</x:v>
      </x:c>
      <x:c r="I10" s="57" t="n">
        <x:v>0.9</x:v>
      </x:c>
      <x:c r="J10" s="57" t="n">
        <x:v>0</x:v>
      </x:c>
      <x:c r="K10" s="57" t="n">
        <x:v>0</x:v>
      </x:c>
      <x:c r="L10" s="57" t="n">
        <x:v>0</x:v>
      </x:c>
      <x:c r="M10" s="57" t="n">
        <x:v>0</x:v>
      </x:c>
      <x:c r="N10" s="57" t="n">
        <x:v>0</x:v>
      </x:c>
      <x:c r="O10" s="57" t="n">
        <x:v>0</x:v>
      </x:c>
      <x:c r="P10" s="57" t="n">
        <x:v>0</x:v>
      </x:c>
      <x:c r="Q10" s="57" t="n">
        <x:v>0</x:v>
      </x:c>
      <x:c r="R10" s="57" t="n">
        <x:v>0</x:v>
      </x:c>
      <x:c r="S10" s="57" t="n">
        <x:v>0</x:v>
      </x:c>
      <x:c r="T10" s="57" t="n">
        <x:v>0</x:v>
      </x:c>
      <x:c r="U10" s="57" t="n">
        <x:v>0</x:v>
      </x:c>
      <x:c r="V10" s="57" t="n">
        <x:v>0</x:v>
      </x:c>
      <x:c r="W10" s="57" t="n">
        <x:v>0</x:v>
      </x:c>
      <x:c r="X10" s="57" t="n">
        <x:v>0</x:v>
      </x:c>
      <x:c r="Y10" s="57" t="n">
        <x:v>0</x:v>
      </x:c>
      <x:c r="Z10" s="57" t="n">
        <x:v>0</x:v>
      </x:c>
      <x:c r="AA10" s="57" t="n">
        <x:v>0</x:v>
      </x:c>
      <x:c r="AB10" s="12" t="str">
        <x:v>構成概念の高い側を、日常の選択として測定。</x:v>
      </x:c>
      <x:c r="AC10" s="12" t="str">
        <x:v>SelfReliance</x:v>
      </x:c>
      <x:c r="AD10" s="12" t="str">
        <x:v>正方向</x:v>
      </x:c>
      <x:c r="AE10" s="12" t="str">
        <x:v>S-A</x:v>
      </x:c>
      <x:c r="AF10" s="12" t="str">
        <x:v>短文・一文一概念・価値中立</x:v>
      </x:c>
    </x:row>
    <x:row r="11">
      <x:c r="A11" s="12" t="str">
        <x:v>Q06</x:v>
      </x:c>
      <x:c r="B11" s="12" t="str">
        <x:v>性格・行動傾向</x:v>
      </x:c>
      <x:c r="C11" s="12" t="str">
        <x:v>うまくいったやり方は、状況が少し変わってもそのまま使いたい。</x:v>
      </x:c>
      <x:c r="D11" s="12" t="str">
        <x:v>Adaptability</x:v>
      </x:c>
      <x:c r="E11" s="12" t="str">
        <x:v>反対極</x:v>
      </x:c>
      <x:c r="F11" s="57" t="n">
        <x:v>0</x:v>
      </x:c>
      <x:c r="G11" s="57" t="n">
        <x:v>0</x:v>
      </x:c>
      <x:c r="H11" s="57" t="n">
        <x:v>0</x:v>
      </x:c>
      <x:c r="I11" s="57" t="n">
        <x:v>0</x:v>
      </x:c>
      <x:c r="J11" s="57" t="n">
        <x:v>0.1</x:v>
      </x:c>
      <x:c r="K11" s="57" t="n">
        <x:v>-0.9</x:v>
      </x:c>
      <x:c r="L11" s="57" t="n">
        <x:v>0.1</x:v>
      </x:c>
      <x:c r="M11" s="57" t="n">
        <x:v>0</x:v>
      </x:c>
      <x:c r="N11" s="57" t="n">
        <x:v>0</x:v>
      </x:c>
      <x:c r="O11" s="57" t="n">
        <x:v>0</x:v>
      </x:c>
      <x:c r="P11" s="57" t="n">
        <x:v>0</x:v>
      </x:c>
      <x:c r="Q11" s="57" t="n">
        <x:v>0</x:v>
      </x:c>
      <x:c r="R11" s="57" t="n">
        <x:v>0</x:v>
      </x:c>
      <x:c r="S11" s="57" t="n">
        <x:v>0</x:v>
      </x:c>
      <x:c r="T11" s="57" t="n">
        <x:v>0</x:v>
      </x:c>
      <x:c r="U11" s="57" t="n">
        <x:v>0</x:v>
      </x:c>
      <x:c r="V11" s="57" t="n">
        <x:v>0</x:v>
      </x:c>
      <x:c r="W11" s="57" t="n">
        <x:v>0</x:v>
      </x:c>
      <x:c r="X11" s="57" t="n">
        <x:v>0</x:v>
      </x:c>
      <x:c r="Y11" s="57" t="n">
        <x:v>0</x:v>
      </x:c>
      <x:c r="Z11" s="57" t="n">
        <x:v>0</x:v>
      </x:c>
      <x:c r="AA11" s="57" t="n">
        <x:v>0</x:v>
      </x:c>
      <x:c r="AB11" s="12" t="str">
        <x:v>反対側の行動を自然な肯定文で測定。</x:v>
      </x:c>
      <x:c r="AC11" s="12" t="str">
        <x:v>Adaptability</x:v>
      </x:c>
      <x:c r="AD11" s="12" t="str">
        <x:v>反対極</x:v>
      </x:c>
      <x:c r="AE11" s="12" t="str">
        <x:v>A-A</x:v>
      </x:c>
      <x:c r="AF11" s="12" t="str">
        <x:v>短文・一文一概念・価値中立</x:v>
      </x:c>
    </x:row>
    <x:row r="12">
      <x:c r="A12" s="12" t="str">
        <x:v>Q07</x:v>
      </x:c>
      <x:c r="B12" s="12" t="str">
        <x:v>性格・行動傾向</x:v>
      </x:c>
      <x:c r="C12" s="12" t="str">
        <x:v>一度ハマったことは、コツや細かい違いまで知りたくなる。</x:v>
      </x:c>
      <x:c r="D12" s="12" t="str">
        <x:v>Mastery</x:v>
      </x:c>
      <x:c r="E12" s="12" t="str">
        <x:v>正方向</x:v>
      </x:c>
      <x:c r="F12" s="57" t="n">
        <x:v>0</x:v>
      </x:c>
      <x:c r="G12" s="57" t="n">
        <x:v>0</x:v>
      </x:c>
      <x:c r="H12" s="57" t="n">
        <x:v>0</x:v>
      </x:c>
      <x:c r="I12" s="57" t="n">
        <x:v>0</x:v>
      </x:c>
      <x:c r="J12" s="57" t="n">
        <x:v>0.1</x:v>
      </x:c>
      <x:c r="K12" s="57" t="n">
        <x:v>0</x:v>
      </x:c>
      <x:c r="L12" s="57" t="n">
        <x:v>0.9</x:v>
      </x:c>
      <x:c r="M12" s="57" t="n">
        <x:v>0</x:v>
      </x:c>
      <x:c r="N12" s="57" t="n">
        <x:v>0</x:v>
      </x:c>
      <x:c r="O12" s="57" t="n">
        <x:v>0</x:v>
      </x:c>
      <x:c r="P12" s="57" t="n">
        <x:v>0</x:v>
      </x:c>
      <x:c r="Q12" s="57" t="n">
        <x:v>0</x:v>
      </x:c>
      <x:c r="R12" s="57" t="n">
        <x:v>0</x:v>
      </x:c>
      <x:c r="S12" s="57" t="n">
        <x:v>0</x:v>
      </x:c>
      <x:c r="T12" s="57" t="n">
        <x:v>0</x:v>
      </x:c>
      <x:c r="U12" s="57" t="n">
        <x:v>0</x:v>
      </x:c>
      <x:c r="V12" s="57" t="n">
        <x:v>0</x:v>
      </x:c>
      <x:c r="W12" s="57" t="n">
        <x:v>0</x:v>
      </x:c>
      <x:c r="X12" s="57" t="n">
        <x:v>0</x:v>
      </x:c>
      <x:c r="Y12" s="57" t="n">
        <x:v>0</x:v>
      </x:c>
      <x:c r="Z12" s="57" t="n">
        <x:v>0</x:v>
      </x:c>
      <x:c r="AA12" s="57" t="n">
        <x:v>0</x:v>
      </x:c>
      <x:c r="AB12" s="12" t="str">
        <x:v>構成概念の高い側を、日常の選択として測定。</x:v>
      </x:c>
      <x:c r="AC12" s="12" t="str">
        <x:v>Mastery</x:v>
      </x:c>
      <x:c r="AD12" s="12" t="str">
        <x:v>正方向</x:v>
      </x:c>
      <x:c r="AE12" s="12" t="str">
        <x:v>M-A</x:v>
      </x:c>
      <x:c r="AF12" s="12" t="str">
        <x:v>短文・一文一概念・価値中立</x:v>
      </x:c>
    </x:row>
    <x:row r="13">
      <x:c r="A13" s="12" t="str">
        <x:v>Q08</x:v>
      </x:c>
      <x:c r="B13" s="12" t="str">
        <x:v>性格・行動傾向</x:v>
      </x:c>
      <x:c r="C13" s="12" t="str">
        <x:v>誰かが決めてくれるなら、自分から前に出なくても気にならない。</x:v>
      </x:c>
      <x:c r="D13" s="12" t="str">
        <x:v>Initiative</x:v>
      </x:c>
      <x:c r="E13" s="12" t="str">
        <x:v>反対極</x:v>
      </x:c>
      <x:c r="F13" s="57" t="n">
        <x:v>-0.9</x:v>
      </x:c>
      <x:c r="G13" s="57" t="n">
        <x:v>0</x:v>
      </x:c>
      <x:c r="H13" s="57" t="n">
        <x:v>0</x:v>
      </x:c>
      <x:c r="I13" s="57" t="n">
        <x:v>0</x:v>
      </x:c>
      <x:c r="J13" s="57" t="n">
        <x:v>0</x:v>
      </x:c>
      <x:c r="K13" s="57" t="n">
        <x:v>0</x:v>
      </x:c>
      <x:c r="L13" s="57" t="n">
        <x:v>0</x:v>
      </x:c>
      <x:c r="M13" s="57" t="n">
        <x:v>0</x:v>
      </x:c>
      <x:c r="N13" s="57" t="n">
        <x:v>0</x:v>
      </x:c>
      <x:c r="O13" s="57" t="n">
        <x:v>0</x:v>
      </x:c>
      <x:c r="P13" s="57" t="n">
        <x:v>0</x:v>
      </x:c>
      <x:c r="Q13" s="57" t="n">
        <x:v>0</x:v>
      </x:c>
      <x:c r="R13" s="57" t="n">
        <x:v>0</x:v>
      </x:c>
      <x:c r="S13" s="57" t="n">
        <x:v>0</x:v>
      </x:c>
      <x:c r="T13" s="57" t="n">
        <x:v>0</x:v>
      </x:c>
      <x:c r="U13" s="57" t="n">
        <x:v>0</x:v>
      </x:c>
      <x:c r="V13" s="57" t="n">
        <x:v>0</x:v>
      </x:c>
      <x:c r="W13" s="57" t="n">
        <x:v>0</x:v>
      </x:c>
      <x:c r="X13" s="57" t="n">
        <x:v>0</x:v>
      </x:c>
      <x:c r="Y13" s="57" t="n">
        <x:v>0</x:v>
      </x:c>
      <x:c r="Z13" s="57" t="n">
        <x:v>0</x:v>
      </x:c>
      <x:c r="AA13" s="57" t="n">
        <x:v>0</x:v>
      </x:c>
      <x:c r="AB13" s="12" t="str">
        <x:v>反対側の行動を自然な肯定文で測定。</x:v>
      </x:c>
      <x:c r="AC13" s="12" t="str">
        <x:v>Initiative</x:v>
      </x:c>
      <x:c r="AD13" s="12" t="str">
        <x:v>反対極</x:v>
      </x:c>
      <x:c r="AE13" s="12" t="str">
        <x:v>I-A</x:v>
      </x:c>
      <x:c r="AF13" s="12" t="str">
        <x:v>短文・一文一概念・価値中立</x:v>
      </x:c>
    </x:row>
    <x:row r="14">
      <x:c r="A14" s="12" t="str">
        <x:v>Q09</x:v>
      </x:c>
      <x:c r="B14" s="12" t="str">
        <x:v>性格・行動傾向</x:v>
      </x:c>
      <x:c r="C14" s="12" t="str">
        <x:v>迷うくらいなら、少し得を逃しても安全な方を選ぶ。</x:v>
      </x:c>
      <x:c r="D14" s="12" t="str">
        <x:v>RiskTolerance</x:v>
      </x:c>
      <x:c r="E14" s="12" t="str">
        <x:v>反対極</x:v>
      </x:c>
      <x:c r="F14" s="57" t="n">
        <x:v>0</x:v>
      </x:c>
      <x:c r="G14" s="57" t="n">
        <x:v>-0.9</x:v>
      </x:c>
      <x:c r="H14" s="57" t="n">
        <x:v>0</x:v>
      </x:c>
      <x:c r="I14" s="57" t="n">
        <x:v>0</x:v>
      </x:c>
      <x:c r="J14" s="57" t="n">
        <x:v>0.1</x:v>
      </x:c>
      <x:c r="K14" s="57" t="n">
        <x:v>0</x:v>
      </x:c>
      <x:c r="L14" s="57" t="n">
        <x:v>0</x:v>
      </x:c>
      <x:c r="M14" s="57" t="n">
        <x:v>0</x:v>
      </x:c>
      <x:c r="N14" s="57" t="n">
        <x:v>0</x:v>
      </x:c>
      <x:c r="O14" s="57" t="n">
        <x:v>0</x:v>
      </x:c>
      <x:c r="P14" s="57" t="n">
        <x:v>0</x:v>
      </x:c>
      <x:c r="Q14" s="57" t="n">
        <x:v>0</x:v>
      </x:c>
      <x:c r="R14" s="57" t="n">
        <x:v>0</x:v>
      </x:c>
      <x:c r="S14" s="57" t="n">
        <x:v>0</x:v>
      </x:c>
      <x:c r="T14" s="57" t="n">
        <x:v>0</x:v>
      </x:c>
      <x:c r="U14" s="57" t="n">
        <x:v>0</x:v>
      </x:c>
      <x:c r="V14" s="57" t="n">
        <x:v>0</x:v>
      </x:c>
      <x:c r="W14" s="57" t="n">
        <x:v>0</x:v>
      </x:c>
      <x:c r="X14" s="57" t="n">
        <x:v>0</x:v>
      </x:c>
      <x:c r="Y14" s="57" t="n">
        <x:v>0</x:v>
      </x:c>
      <x:c r="Z14" s="57" t="n">
        <x:v>0</x:v>
      </x:c>
      <x:c r="AA14" s="57" t="n">
        <x:v>0</x:v>
      </x:c>
      <x:c r="AB14" s="12" t="str">
        <x:v>反対側の行動を自然な肯定文で測定。</x:v>
      </x:c>
      <x:c r="AC14" s="12" t="str">
        <x:v>RiskTolerance</x:v>
      </x:c>
      <x:c r="AD14" s="12" t="str">
        <x:v>反対極</x:v>
      </x:c>
      <x:c r="AE14" s="12" t="str">
        <x:v>R-A</x:v>
      </x:c>
      <x:c r="AF14" s="12" t="str">
        <x:v>短文・一文一概念・価値中立</x:v>
      </x:c>
    </x:row>
    <x:row r="15">
      <x:c r="A15" s="12" t="str">
        <x:v>Q10</x:v>
      </x:c>
      <x:c r="B15" s="12" t="str">
        <x:v>性格・行動傾向</x:v>
      </x:c>
      <x:c r="C15" s="12" t="str">
        <x:v>細かく予定を決めるより、まず始めてから考える方が楽だ。</x:v>
      </x:c>
      <x:c r="D15" s="12" t="str">
        <x:v>Planning</x:v>
      </x:c>
      <x:c r="E15" s="12" t="str">
        <x:v>反対極</x:v>
      </x:c>
      <x:c r="F15" s="57" t="n">
        <x:v>0.1</x:v>
      </x:c>
      <x:c r="G15" s="57" t="n">
        <x:v>0</x:v>
      </x:c>
      <x:c r="H15" s="57" t="n">
        <x:v>0</x:v>
      </x:c>
      <x:c r="I15" s="57" t="n">
        <x:v>0</x:v>
      </x:c>
      <x:c r="J15" s="57" t="n">
        <x:v>-0.9</x:v>
      </x:c>
      <x:c r="K15" s="57" t="n">
        <x:v>0</x:v>
      </x:c>
      <x:c r="L15" s="57" t="n">
        <x:v>0</x:v>
      </x:c>
      <x:c r="M15" s="57" t="n">
        <x:v>0</x:v>
      </x:c>
      <x:c r="N15" s="57" t="n">
        <x:v>0</x:v>
      </x:c>
      <x:c r="O15" s="57" t="n">
        <x:v>0</x:v>
      </x:c>
      <x:c r="P15" s="57" t="n">
        <x:v>0</x:v>
      </x:c>
      <x:c r="Q15" s="57" t="n">
        <x:v>0</x:v>
      </x:c>
      <x:c r="R15" s="57" t="n">
        <x:v>0</x:v>
      </x:c>
      <x:c r="S15" s="57" t="n">
        <x:v>0</x:v>
      </x:c>
      <x:c r="T15" s="57" t="n">
        <x:v>0</x:v>
      </x:c>
      <x:c r="U15" s="57" t="n">
        <x:v>0</x:v>
      </x:c>
      <x:c r="V15" s="57" t="n">
        <x:v>0</x:v>
      </x:c>
      <x:c r="W15" s="57" t="n">
        <x:v>0</x:v>
      </x:c>
      <x:c r="X15" s="57" t="n">
        <x:v>0</x:v>
      </x:c>
      <x:c r="Y15" s="57" t="n">
        <x:v>0</x:v>
      </x:c>
      <x:c r="Z15" s="57" t="n">
        <x:v>0</x:v>
      </x:c>
      <x:c r="AA15" s="57" t="n">
        <x:v>0</x:v>
      </x:c>
      <x:c r="AB15" s="12" t="str">
        <x:v>反対側の行動を自然な肯定文で測定。</x:v>
      </x:c>
      <x:c r="AC15" s="12" t="str">
        <x:v>Planning</x:v>
      </x:c>
      <x:c r="AD15" s="12" t="str">
        <x:v>反対極</x:v>
      </x:c>
      <x:c r="AE15" s="12" t="str">
        <x:v>P-A</x:v>
      </x:c>
      <x:c r="AF15" s="12" t="str">
        <x:v>短文・一文一概念・価値中立</x:v>
      </x:c>
    </x:row>
    <x:row r="16">
      <x:c r="A16" s="12" t="str">
        <x:v>Q11</x:v>
      </x:c>
      <x:c r="B16" s="12" t="str">
        <x:v>性格・行動傾向</x:v>
      </x:c>
      <x:c r="C16" s="12" t="str">
        <x:v>役割が決まっていれば、途中であまり相談せず各自で進めたい。</x:v>
      </x:c>
      <x:c r="D16" s="12" t="str">
        <x:v>Cooperation</x:v>
      </x:c>
      <x:c r="E16" s="12" t="str">
        <x:v>反対極</x:v>
      </x:c>
      <x:c r="F16" s="57" t="n">
        <x:v>0</x:v>
      </x:c>
      <x:c r="G16" s="57" t="n">
        <x:v>0</x:v>
      </x:c>
      <x:c r="H16" s="57" t="n">
        <x:v>-0.9</x:v>
      </x:c>
      <x:c r="I16" s="57" t="n">
        <x:v>0.1</x:v>
      </x:c>
      <x:c r="J16" s="57" t="n">
        <x:v>0</x:v>
      </x:c>
      <x:c r="K16" s="57" t="n">
        <x:v>0</x:v>
      </x:c>
      <x:c r="L16" s="57" t="n">
        <x:v>0</x:v>
      </x:c>
      <x:c r="M16" s="57" t="n">
        <x:v>0</x:v>
      </x:c>
      <x:c r="N16" s="57" t="n">
        <x:v>0</x:v>
      </x:c>
      <x:c r="O16" s="57" t="n">
        <x:v>0</x:v>
      </x:c>
      <x:c r="P16" s="57" t="n">
        <x:v>0</x:v>
      </x:c>
      <x:c r="Q16" s="57" t="n">
        <x:v>0</x:v>
      </x:c>
      <x:c r="R16" s="57" t="n">
        <x:v>0</x:v>
      </x:c>
      <x:c r="S16" s="57" t="n">
        <x:v>0</x:v>
      </x:c>
      <x:c r="T16" s="57" t="n">
        <x:v>0</x:v>
      </x:c>
      <x:c r="U16" s="57" t="n">
        <x:v>0</x:v>
      </x:c>
      <x:c r="V16" s="57" t="n">
        <x:v>0</x:v>
      </x:c>
      <x:c r="W16" s="57" t="n">
        <x:v>0</x:v>
      </x:c>
      <x:c r="X16" s="57" t="n">
        <x:v>0</x:v>
      </x:c>
      <x:c r="Y16" s="57" t="n">
        <x:v>0</x:v>
      </x:c>
      <x:c r="Z16" s="57" t="n">
        <x:v>0</x:v>
      </x:c>
      <x:c r="AA16" s="57" t="n">
        <x:v>0</x:v>
      </x:c>
      <x:c r="AB16" s="12" t="str">
        <x:v>反対側の行動を自然な肯定文で測定。</x:v>
      </x:c>
      <x:c r="AC16" s="12" t="str">
        <x:v>Cooperation</x:v>
      </x:c>
      <x:c r="AD16" s="12" t="str">
        <x:v>反対極</x:v>
      </x:c>
      <x:c r="AE16" s="12" t="str">
        <x:v>C-A</x:v>
      </x:c>
      <x:c r="AF16" s="12" t="str">
        <x:v>短文・一文一概念・価値中立</x:v>
      </x:c>
    </x:row>
    <x:row r="17">
      <x:c r="A17" s="12" t="str">
        <x:v>Q12</x:v>
      </x:c>
      <x:c r="B17" s="12" t="str">
        <x:v>性格・行動傾向</x:v>
      </x:c>
      <x:c r="C17" s="12" t="str">
        <x:v>一人で決められることでも、一度誰かに聞いてから決める方が安心する。</x:v>
      </x:c>
      <x:c r="D17" s="12" t="str">
        <x:v>SelfReliance</x:v>
      </x:c>
      <x:c r="E17" s="12" t="str">
        <x:v>反対極</x:v>
      </x:c>
      <x:c r="F17" s="57" t="n">
        <x:v>0</x:v>
      </x:c>
      <x:c r="G17" s="57" t="n">
        <x:v>0</x:v>
      </x:c>
      <x:c r="H17" s="57" t="n">
        <x:v>0.1</x:v>
      </x:c>
      <x:c r="I17" s="57" t="n">
        <x:v>-0.9</x:v>
      </x:c>
      <x:c r="J17" s="57" t="n">
        <x:v>0</x:v>
      </x:c>
      <x:c r="K17" s="57" t="n">
        <x:v>0</x:v>
      </x:c>
      <x:c r="L17" s="57" t="n">
        <x:v>0</x:v>
      </x:c>
      <x:c r="M17" s="57" t="n">
        <x:v>0</x:v>
      </x:c>
      <x:c r="N17" s="57" t="n">
        <x:v>0</x:v>
      </x:c>
      <x:c r="O17" s="57" t="n">
        <x:v>0</x:v>
      </x:c>
      <x:c r="P17" s="57" t="n">
        <x:v>0</x:v>
      </x:c>
      <x:c r="Q17" s="57" t="n">
        <x:v>0</x:v>
      </x:c>
      <x:c r="R17" s="57" t="n">
        <x:v>0</x:v>
      </x:c>
      <x:c r="S17" s="57" t="n">
        <x:v>0</x:v>
      </x:c>
      <x:c r="T17" s="57" t="n">
        <x:v>0</x:v>
      </x:c>
      <x:c r="U17" s="57" t="n">
        <x:v>0</x:v>
      </x:c>
      <x:c r="V17" s="57" t="n">
        <x:v>0</x:v>
      </x:c>
      <x:c r="W17" s="57" t="n">
        <x:v>0</x:v>
      </x:c>
      <x:c r="X17" s="57" t="n">
        <x:v>0</x:v>
      </x:c>
      <x:c r="Y17" s="57" t="n">
        <x:v>0</x:v>
      </x:c>
      <x:c r="Z17" s="57" t="n">
        <x:v>0</x:v>
      </x:c>
      <x:c r="AA17" s="57" t="n">
        <x:v>0</x:v>
      </x:c>
      <x:c r="AB17" s="12" t="str">
        <x:v>反対側の行動を自然な肯定文で測定。</x:v>
      </x:c>
      <x:c r="AC17" s="12" t="str">
        <x:v>SelfReliance</x:v>
      </x:c>
      <x:c r="AD17" s="12" t="str">
        <x:v>反対極</x:v>
      </x:c>
      <x:c r="AE17" s="12" t="str">
        <x:v>S-A</x:v>
      </x:c>
      <x:c r="AF17" s="12" t="str">
        <x:v>短文・一文一概念・価値中立</x:v>
      </x:c>
    </x:row>
    <x:row r="18">
      <x:c r="A18" s="12" t="str">
        <x:v>Q13</x:v>
      </x:c>
      <x:c r="B18" s="12" t="str">
        <x:v>性格・行動傾向</x:v>
      </x:c>
      <x:c r="C18" s="12" t="str">
        <x:v>やり方が通じなければ、早めに別の方法へ切り替える方だ。</x:v>
      </x:c>
      <x:c r="D18" s="12" t="str">
        <x:v>Adaptability</x:v>
      </x:c>
      <x:c r="E18" s="12" t="str">
        <x:v>正方向</x:v>
      </x:c>
      <x:c r="F18" s="57" t="n">
        <x:v>0</x:v>
      </x:c>
      <x:c r="G18" s="57" t="n">
        <x:v>0</x:v>
      </x:c>
      <x:c r="H18" s="57" t="n">
        <x:v>0</x:v>
      </x:c>
      <x:c r="I18" s="57" t="n">
        <x:v>0</x:v>
      </x:c>
      <x:c r="J18" s="57" t="n">
        <x:v>0</x:v>
      </x:c>
      <x:c r="K18" s="57" t="n">
        <x:v>0.9</x:v>
      </x:c>
      <x:c r="L18" s="57" t="n">
        <x:v>0</x:v>
      </x:c>
      <x:c r="M18" s="57" t="n">
        <x:v>0</x:v>
      </x:c>
      <x:c r="N18" s="57" t="n">
        <x:v>0</x:v>
      </x:c>
      <x:c r="O18" s="57" t="n">
        <x:v>0</x:v>
      </x:c>
      <x:c r="P18" s="57" t="n">
        <x:v>0</x:v>
      </x:c>
      <x:c r="Q18" s="57" t="n">
        <x:v>0</x:v>
      </x:c>
      <x:c r="R18" s="57" t="n">
        <x:v>0</x:v>
      </x:c>
      <x:c r="S18" s="57" t="n">
        <x:v>0</x:v>
      </x:c>
      <x:c r="T18" s="57" t="n">
        <x:v>0</x:v>
      </x:c>
      <x:c r="U18" s="57" t="n">
        <x:v>0</x:v>
      </x:c>
      <x:c r="V18" s="57" t="n">
        <x:v>0</x:v>
      </x:c>
      <x:c r="W18" s="57" t="n">
        <x:v>0</x:v>
      </x:c>
      <x:c r="X18" s="57" t="n">
        <x:v>0</x:v>
      </x:c>
      <x:c r="Y18" s="57" t="n">
        <x:v>0</x:v>
      </x:c>
      <x:c r="Z18" s="57" t="n">
        <x:v>0</x:v>
      </x:c>
      <x:c r="AA18" s="57" t="n">
        <x:v>0</x:v>
      </x:c>
      <x:c r="AB18" s="12" t="str">
        <x:v>構成概念の高い側を、日常の選択として測定。</x:v>
      </x:c>
      <x:c r="AC18" s="12" t="str">
        <x:v>Adaptability</x:v>
      </x:c>
      <x:c r="AD18" s="12" t="str">
        <x:v>正方向</x:v>
      </x:c>
      <x:c r="AE18" s="12" t="str">
        <x:v>A-A</x:v>
      </x:c>
      <x:c r="AF18" s="12" t="str">
        <x:v>短文・一文一概念・価値中立</x:v>
      </x:c>
    </x:row>
    <x:row r="19">
      <x:c r="A19" s="12" t="str">
        <x:v>Q14</x:v>
      </x:c>
      <x:c r="B19" s="12" t="str">
        <x:v>性格・行動傾向</x:v>
      </x:c>
      <x:c r="C19" s="12" t="str">
        <x:v>難しいものを覚えるより、すぐ使えるものを選びやすい。</x:v>
      </x:c>
      <x:c r="D19" s="12" t="str">
        <x:v>Mastery</x:v>
      </x:c>
      <x:c r="E19" s="12" t="str">
        <x:v>反対極</x:v>
      </x:c>
      <x:c r="F19" s="57" t="n">
        <x:v>0</x:v>
      </x:c>
      <x:c r="G19" s="57" t="n">
        <x:v>0</x:v>
      </x:c>
      <x:c r="H19" s="57" t="n">
        <x:v>0</x:v>
      </x:c>
      <x:c r="I19" s="57" t="n">
        <x:v>0</x:v>
      </x:c>
      <x:c r="J19" s="57" t="n">
        <x:v>0</x:v>
      </x:c>
      <x:c r="K19" s="57" t="n">
        <x:v>0</x:v>
      </x:c>
      <x:c r="L19" s="57" t="n">
        <x:v>-0.9</x:v>
      </x:c>
      <x:c r="M19" s="57" t="n">
        <x:v>0</x:v>
      </x:c>
      <x:c r="N19" s="57" t="n">
        <x:v>0</x:v>
      </x:c>
      <x:c r="O19" s="57" t="n">
        <x:v>0</x:v>
      </x:c>
      <x:c r="P19" s="57" t="n">
        <x:v>0</x:v>
      </x:c>
      <x:c r="Q19" s="57" t="n">
        <x:v>0</x:v>
      </x:c>
      <x:c r="R19" s="57" t="n">
        <x:v>0</x:v>
      </x:c>
      <x:c r="S19" s="57" t="n">
        <x:v>0</x:v>
      </x:c>
      <x:c r="T19" s="57" t="n">
        <x:v>0</x:v>
      </x:c>
      <x:c r="U19" s="57" t="n">
        <x:v>0</x:v>
      </x:c>
      <x:c r="V19" s="57" t="n">
        <x:v>0</x:v>
      </x:c>
      <x:c r="W19" s="57" t="n">
        <x:v>0</x:v>
      </x:c>
      <x:c r="X19" s="57" t="n">
        <x:v>0</x:v>
      </x:c>
      <x:c r="Y19" s="57" t="n">
        <x:v>0</x:v>
      </x:c>
      <x:c r="Z19" s="57" t="n">
        <x:v>0</x:v>
      </x:c>
      <x:c r="AA19" s="57" t="n">
        <x:v>0</x:v>
      </x:c>
      <x:c r="AB19" s="12" t="str">
        <x:v>反対側の行動を自然な肯定文で測定。</x:v>
      </x:c>
      <x:c r="AC19" s="12" t="str">
        <x:v>Mastery</x:v>
      </x:c>
      <x:c r="AD19" s="12" t="str">
        <x:v>反対極</x:v>
      </x:c>
      <x:c r="AE19" s="12" t="str">
        <x:v>M-A</x:v>
      </x:c>
      <x:c r="AF19" s="12" t="str">
        <x:v>短文・一文一概念・価値中立</x:v>
      </x:c>
    </x:row>
    <x:row r="20">
      <x:c r="A20" s="12" t="str">
        <x:v>Q15</x:v>
      </x:c>
      <x:c r="B20" s="12" t="str">
        <x:v>性格・行動傾向</x:v>
      </x:c>
      <x:c r="C20" s="12" t="str">
        <x:v>誰がやるか決まっていないことがあれば、自分から引き受けることがある。</x:v>
      </x:c>
      <x:c r="D20" s="12" t="str">
        <x:v>Initiative</x:v>
      </x:c>
      <x:c r="E20" s="12" t="str">
        <x:v>正方向</x:v>
      </x:c>
      <x:c r="F20" s="57" t="n">
        <x:v>0.9</x:v>
      </x:c>
      <x:c r="G20" s="57" t="n">
        <x:v>0</x:v>
      </x:c>
      <x:c r="H20" s="57" t="n">
        <x:v>0</x:v>
      </x:c>
      <x:c r="I20" s="57" t="n">
        <x:v>0</x:v>
      </x:c>
      <x:c r="J20" s="57" t="n">
        <x:v>0</x:v>
      </x:c>
      <x:c r="K20" s="57" t="n">
        <x:v>0</x:v>
      </x:c>
      <x:c r="L20" s="57" t="n">
        <x:v>0</x:v>
      </x:c>
      <x:c r="M20" s="57" t="n">
        <x:v>0</x:v>
      </x:c>
      <x:c r="N20" s="57" t="n">
        <x:v>0</x:v>
      </x:c>
      <x:c r="O20" s="57" t="n">
        <x:v>0</x:v>
      </x:c>
      <x:c r="P20" s="57" t="n">
        <x:v>0</x:v>
      </x:c>
      <x:c r="Q20" s="57" t="n">
        <x:v>0</x:v>
      </x:c>
      <x:c r="R20" s="57" t="n">
        <x:v>0</x:v>
      </x:c>
      <x:c r="S20" s="57" t="n">
        <x:v>0</x:v>
      </x:c>
      <x:c r="T20" s="57" t="n">
        <x:v>0</x:v>
      </x:c>
      <x:c r="U20" s="57" t="n">
        <x:v>0</x:v>
      </x:c>
      <x:c r="V20" s="57" t="n">
        <x:v>0</x:v>
      </x:c>
      <x:c r="W20" s="57" t="n">
        <x:v>0</x:v>
      </x:c>
      <x:c r="X20" s="57" t="n">
        <x:v>0</x:v>
      </x:c>
      <x:c r="Y20" s="57" t="n">
        <x:v>0</x:v>
      </x:c>
      <x:c r="Z20" s="57" t="n">
        <x:v>0</x:v>
      </x:c>
      <x:c r="AA20" s="57" t="n">
        <x:v>0</x:v>
      </x:c>
      <x:c r="AB20" s="12" t="str">
        <x:v>構成概念の高い側を、日常の選択として測定。</x:v>
      </x:c>
      <x:c r="AC20" s="12" t="str">
        <x:v>Initiative</x:v>
      </x:c>
      <x:c r="AD20" s="12" t="str">
        <x:v>正方向</x:v>
      </x:c>
      <x:c r="AE20" s="12" t="str">
        <x:v>I-B</x:v>
      </x:c>
      <x:c r="AF20" s="12" t="str">
        <x:v>短文・一文一概念・価値中立</x:v>
      </x:c>
    </x:row>
    <x:row r="21">
      <x:c r="A21" s="12" t="str">
        <x:v>Q16</x:v>
      </x:c>
      <x:c r="B21" s="12" t="str">
        <x:v>性格・行動傾向</x:v>
      </x:c>
      <x:c r="C21" s="12" t="str">
        <x:v>チャンスが一度きりなら、準備が十分でなくても動くことがある。</x:v>
      </x:c>
      <x:c r="D21" s="12" t="str">
        <x:v>RiskTolerance</x:v>
      </x:c>
      <x:c r="E21" s="12" t="str">
        <x:v>正方向</x:v>
      </x:c>
      <x:c r="F21" s="57" t="n">
        <x:v>0.1</x:v>
      </x:c>
      <x:c r="G21" s="57" t="n">
        <x:v>0.9</x:v>
      </x:c>
      <x:c r="H21" s="57" t="n">
        <x:v>0</x:v>
      </x:c>
      <x:c r="I21" s="57" t="n">
        <x:v>0</x:v>
      </x:c>
      <x:c r="J21" s="57" t="n">
        <x:v>0</x:v>
      </x:c>
      <x:c r="K21" s="57" t="n">
        <x:v>0</x:v>
      </x:c>
      <x:c r="L21" s="57" t="n">
        <x:v>0</x:v>
      </x:c>
      <x:c r="M21" s="57" t="n">
        <x:v>0</x:v>
      </x:c>
      <x:c r="N21" s="57" t="n">
        <x:v>0</x:v>
      </x:c>
      <x:c r="O21" s="57" t="n">
        <x:v>0</x:v>
      </x:c>
      <x:c r="P21" s="57" t="n">
        <x:v>0</x:v>
      </x:c>
      <x:c r="Q21" s="57" t="n">
        <x:v>0</x:v>
      </x:c>
      <x:c r="R21" s="57" t="n">
        <x:v>0</x:v>
      </x:c>
      <x:c r="S21" s="57" t="n">
        <x:v>0</x:v>
      </x:c>
      <x:c r="T21" s="57" t="n">
        <x:v>0</x:v>
      </x:c>
      <x:c r="U21" s="57" t="n">
        <x:v>0</x:v>
      </x:c>
      <x:c r="V21" s="57" t="n">
        <x:v>0</x:v>
      </x:c>
      <x:c r="W21" s="57" t="n">
        <x:v>0</x:v>
      </x:c>
      <x:c r="X21" s="57" t="n">
        <x:v>0</x:v>
      </x:c>
      <x:c r="Y21" s="57" t="n">
        <x:v>0</x:v>
      </x:c>
      <x:c r="Z21" s="57" t="n">
        <x:v>0</x:v>
      </x:c>
      <x:c r="AA21" s="57" t="n">
        <x:v>0</x:v>
      </x:c>
      <x:c r="AB21" s="12" t="str">
        <x:v>構成概念の高い側を、日常の選択として測定。</x:v>
      </x:c>
      <x:c r="AC21" s="12" t="str">
        <x:v>RiskTolerance</x:v>
      </x:c>
      <x:c r="AD21" s="12" t="str">
        <x:v>正方向</x:v>
      </x:c>
      <x:c r="AE21" s="12" t="str">
        <x:v>R-B</x:v>
      </x:c>
      <x:c r="AF21" s="12" t="str">
        <x:v>短文・一文一概念・価値中立</x:v>
      </x:c>
    </x:row>
    <x:row r="22">
      <x:c r="A22" s="12" t="str">
        <x:v>Q17</x:v>
      </x:c>
      <x:c r="B22" s="12" t="str">
        <x:v>性格・行動傾向</x:v>
      </x:c>
      <x:c r="C22" s="12" t="str">
        <x:v>大事なことは、一度ほかの選択肢も比べてから決めたい。</x:v>
      </x:c>
      <x:c r="D22" s="12" t="str">
        <x:v>Planning</x:v>
      </x:c>
      <x:c r="E22" s="12" t="str">
        <x:v>正方向</x:v>
      </x:c>
      <x:c r="F22" s="57" t="n">
        <x:v>0</x:v>
      </x:c>
      <x:c r="G22" s="57" t="n">
        <x:v>0</x:v>
      </x:c>
      <x:c r="H22" s="57" t="n">
        <x:v>0</x:v>
      </x:c>
      <x:c r="I22" s="57" t="n">
        <x:v>0</x:v>
      </x:c>
      <x:c r="J22" s="57" t="n">
        <x:v>0.9</x:v>
      </x:c>
      <x:c r="K22" s="57" t="n">
        <x:v>0</x:v>
      </x:c>
      <x:c r="L22" s="57" t="n">
        <x:v>0</x:v>
      </x:c>
      <x:c r="M22" s="57" t="n">
        <x:v>0</x:v>
      </x:c>
      <x:c r="N22" s="57" t="n">
        <x:v>0</x:v>
      </x:c>
      <x:c r="O22" s="57" t="n">
        <x:v>0</x:v>
      </x:c>
      <x:c r="P22" s="57" t="n">
        <x:v>0</x:v>
      </x:c>
      <x:c r="Q22" s="57" t="n">
        <x:v>0</x:v>
      </x:c>
      <x:c r="R22" s="57" t="n">
        <x:v>0</x:v>
      </x:c>
      <x:c r="S22" s="57" t="n">
        <x:v>0</x:v>
      </x:c>
      <x:c r="T22" s="57" t="n">
        <x:v>0</x:v>
      </x:c>
      <x:c r="U22" s="57" t="n">
        <x:v>0</x:v>
      </x:c>
      <x:c r="V22" s="57" t="n">
        <x:v>0</x:v>
      </x:c>
      <x:c r="W22" s="57" t="n">
        <x:v>0</x:v>
      </x:c>
      <x:c r="X22" s="57" t="n">
        <x:v>0</x:v>
      </x:c>
      <x:c r="Y22" s="57" t="n">
        <x:v>0</x:v>
      </x:c>
      <x:c r="Z22" s="57" t="n">
        <x:v>0</x:v>
      </x:c>
      <x:c r="AA22" s="57" t="n">
        <x:v>0</x:v>
      </x:c>
      <x:c r="AB22" s="12" t="str">
        <x:v>構成概念の高い側を、日常の選択として測定。</x:v>
      </x:c>
      <x:c r="AC22" s="12" t="str">
        <x:v>Planning</x:v>
      </x:c>
      <x:c r="AD22" s="12" t="str">
        <x:v>正方向</x:v>
      </x:c>
      <x:c r="AE22" s="12" t="str">
        <x:v>P-B</x:v>
      </x:c>
      <x:c r="AF22" s="12" t="str">
        <x:v>短文・一文一概念・価値中立</x:v>
      </x:c>
    </x:row>
    <x:row r="23">
      <x:c r="A23" s="12" t="str">
        <x:v>Q18</x:v>
      </x:c>
      <x:c r="B23" s="12" t="str">
        <x:v>性格・行動傾向</x:v>
      </x:c>
      <x:c r="C23" s="12" t="str">
        <x:v>みんなが動きやすくなるなら、自分の担当を変えるのは気にならない。</x:v>
      </x:c>
      <x:c r="D23" s="12" t="str">
        <x:v>Cooperation</x:v>
      </x:c>
      <x:c r="E23" s="12" t="str">
        <x:v>正方向</x:v>
      </x:c>
      <x:c r="F23" s="57" t="n">
        <x:v>0</x:v>
      </x:c>
      <x:c r="G23" s="57" t="n">
        <x:v>0</x:v>
      </x:c>
      <x:c r="H23" s="57" t="n">
        <x:v>0.8</x:v>
      </x:c>
      <x:c r="I23" s="57" t="n">
        <x:v>0</x:v>
      </x:c>
      <x:c r="J23" s="57" t="n">
        <x:v>0</x:v>
      </x:c>
      <x:c r="K23" s="57" t="n">
        <x:v>0.2</x:v>
      </x:c>
      <x:c r="L23" s="57" t="n">
        <x:v>0</x:v>
      </x:c>
      <x:c r="M23" s="57" t="n">
        <x:v>0</x:v>
      </x:c>
      <x:c r="N23" s="57" t="n">
        <x:v>0</x:v>
      </x:c>
      <x:c r="O23" s="57" t="n">
        <x:v>0</x:v>
      </x:c>
      <x:c r="P23" s="57" t="n">
        <x:v>0</x:v>
      </x:c>
      <x:c r="Q23" s="57" t="n">
        <x:v>0</x:v>
      </x:c>
      <x:c r="R23" s="57" t="n">
        <x:v>0</x:v>
      </x:c>
      <x:c r="S23" s="57" t="n">
        <x:v>0</x:v>
      </x:c>
      <x:c r="T23" s="57" t="n">
        <x:v>0</x:v>
      </x:c>
      <x:c r="U23" s="57" t="n">
        <x:v>0</x:v>
      </x:c>
      <x:c r="V23" s="57" t="n">
        <x:v>0</x:v>
      </x:c>
      <x:c r="W23" s="57" t="n">
        <x:v>0</x:v>
      </x:c>
      <x:c r="X23" s="57" t="n">
        <x:v>0</x:v>
      </x:c>
      <x:c r="Y23" s="57" t="n">
        <x:v>0</x:v>
      </x:c>
      <x:c r="Z23" s="57" t="n">
        <x:v>0</x:v>
      </x:c>
      <x:c r="AA23" s="57" t="n">
        <x:v>0</x:v>
      </x:c>
      <x:c r="AB23" s="12" t="str">
        <x:v>構成概念の高い側を、日常の選択として測定。</x:v>
      </x:c>
      <x:c r="AC23" s="12" t="str">
        <x:v>Cooperation</x:v>
      </x:c>
      <x:c r="AD23" s="12" t="str">
        <x:v>正方向</x:v>
      </x:c>
      <x:c r="AE23" s="12" t="str">
        <x:v>C-B</x:v>
      </x:c>
      <x:c r="AF23" s="12" t="str">
        <x:v>短文・一文一概念・価値中立</x:v>
      </x:c>
    </x:row>
    <x:row r="24">
      <x:c r="A24" s="12" t="str">
        <x:v>Q19</x:v>
      </x:c>
      <x:c r="B24" s="12" t="str">
        <x:v>性格・行動傾向</x:v>
      </x:c>
      <x:c r="C24" s="12" t="str">
        <x:v>やり方を任されるなら、細かく決められるより自分で決めたい。</x:v>
      </x:c>
      <x:c r="D24" s="12" t="str">
        <x:v>SelfReliance</x:v>
      </x:c>
      <x:c r="E24" s="12" t="str">
        <x:v>正方向</x:v>
      </x:c>
      <x:c r="F24" s="57" t="n">
        <x:v>0</x:v>
      </x:c>
      <x:c r="G24" s="57" t="n">
        <x:v>0</x:v>
      </x:c>
      <x:c r="H24" s="57" t="n">
        <x:v>0</x:v>
      </x:c>
      <x:c r="I24" s="57" t="n">
        <x:v>0.9</x:v>
      </x:c>
      <x:c r="J24" s="57" t="n">
        <x:v>0</x:v>
      </x:c>
      <x:c r="K24" s="57" t="n">
        <x:v>0</x:v>
      </x:c>
      <x:c r="L24" s="57" t="n">
        <x:v>0</x:v>
      </x:c>
      <x:c r="M24" s="57" t="n">
        <x:v>0</x:v>
      </x:c>
      <x:c r="N24" s="57" t="n">
        <x:v>0</x:v>
      </x:c>
      <x:c r="O24" s="57" t="n">
        <x:v>0</x:v>
      </x:c>
      <x:c r="P24" s="57" t="n">
        <x:v>0</x:v>
      </x:c>
      <x:c r="Q24" s="57" t="n">
        <x:v>0</x:v>
      </x:c>
      <x:c r="R24" s="57" t="n">
        <x:v>0</x:v>
      </x:c>
      <x:c r="S24" s="57" t="n">
        <x:v>0</x:v>
      </x:c>
      <x:c r="T24" s="57" t="n">
        <x:v>0</x:v>
      </x:c>
      <x:c r="U24" s="57" t="n">
        <x:v>0</x:v>
      </x:c>
      <x:c r="V24" s="57" t="n">
        <x:v>0</x:v>
      </x:c>
      <x:c r="W24" s="57" t="n">
        <x:v>0</x:v>
      </x:c>
      <x:c r="X24" s="57" t="n">
        <x:v>0</x:v>
      </x:c>
      <x:c r="Y24" s="57" t="n">
        <x:v>0</x:v>
      </x:c>
      <x:c r="Z24" s="57" t="n">
        <x:v>0</x:v>
      </x:c>
      <x:c r="AA24" s="57" t="n">
        <x:v>0</x:v>
      </x:c>
      <x:c r="AB24" s="12" t="str">
        <x:v>構成概念の高い側を、日常の選択として測定。</x:v>
      </x:c>
      <x:c r="AC24" s="12" t="str">
        <x:v>SelfReliance</x:v>
      </x:c>
      <x:c r="AD24" s="12" t="str">
        <x:v>正方向</x:v>
      </x:c>
      <x:c r="AE24" s="12" t="str">
        <x:v>S-B</x:v>
      </x:c>
      <x:c r="AF24" s="12" t="str">
        <x:v>短文・一文一概念・価値中立</x:v>
      </x:c>
    </x:row>
    <x:row r="25">
      <x:c r="A25" s="12" t="str">
        <x:v>Q20</x:v>
      </x:c>
      <x:c r="B25" s="12" t="str">
        <x:v>性格・行動傾向</x:v>
      </x:c>
      <x:c r="C25" s="12" t="str">
        <x:v>予定が崩れたときは、新しいやり方を考えるより元の予定に戻したくなる。</x:v>
      </x:c>
      <x:c r="D25" s="12" t="str">
        <x:v>Adaptability</x:v>
      </x:c>
      <x:c r="E25" s="12" t="str">
        <x:v>反対極</x:v>
      </x:c>
      <x:c r="F25" s="57" t="n">
        <x:v>0</x:v>
      </x:c>
      <x:c r="G25" s="57" t="n">
        <x:v>0</x:v>
      </x:c>
      <x:c r="H25" s="57" t="n">
        <x:v>0</x:v>
      </x:c>
      <x:c r="I25" s="57" t="n">
        <x:v>0</x:v>
      </x:c>
      <x:c r="J25" s="57" t="n">
        <x:v>0.1</x:v>
      </x:c>
      <x:c r="K25" s="57" t="n">
        <x:v>-0.9</x:v>
      </x:c>
      <x:c r="L25" s="57" t="n">
        <x:v>0</x:v>
      </x:c>
      <x:c r="M25" s="57" t="n">
        <x:v>0</x:v>
      </x:c>
      <x:c r="N25" s="57" t="n">
        <x:v>0</x:v>
      </x:c>
      <x:c r="O25" s="57" t="n">
        <x:v>0</x:v>
      </x:c>
      <x:c r="P25" s="57" t="n">
        <x:v>0</x:v>
      </x:c>
      <x:c r="Q25" s="57" t="n">
        <x:v>0</x:v>
      </x:c>
      <x:c r="R25" s="57" t="n">
        <x:v>0</x:v>
      </x:c>
      <x:c r="S25" s="57" t="n">
        <x:v>0</x:v>
      </x:c>
      <x:c r="T25" s="57" t="n">
        <x:v>0</x:v>
      </x:c>
      <x:c r="U25" s="57" t="n">
        <x:v>0</x:v>
      </x:c>
      <x:c r="V25" s="57" t="n">
        <x:v>0</x:v>
      </x:c>
      <x:c r="W25" s="57" t="n">
        <x:v>0</x:v>
      </x:c>
      <x:c r="X25" s="57" t="n">
        <x:v>0</x:v>
      </x:c>
      <x:c r="Y25" s="57" t="n">
        <x:v>0</x:v>
      </x:c>
      <x:c r="Z25" s="57" t="n">
        <x:v>0</x:v>
      </x:c>
      <x:c r="AA25" s="57" t="n">
        <x:v>0</x:v>
      </x:c>
      <x:c r="AB25" s="12" t="str">
        <x:v>反対側の行動を自然な肯定文で測定。</x:v>
      </x:c>
      <x:c r="AC25" s="12" t="str">
        <x:v>Adaptability</x:v>
      </x:c>
      <x:c r="AD25" s="12" t="str">
        <x:v>反対極</x:v>
      </x:c>
      <x:c r="AE25" s="12" t="str">
        <x:v>A-B</x:v>
      </x:c>
      <x:c r="AF25" s="12" t="str">
        <x:v>短文・一文一概念・価値中立</x:v>
      </x:c>
    </x:row>
    <x:row r="26">
      <x:c r="A26" s="12" t="str">
        <x:v>Q21</x:v>
      </x:c>
      <x:c r="B26" s="12" t="str">
        <x:v>性格・行動傾向</x:v>
      </x:c>
      <x:c r="C26" s="12" t="str">
        <x:v>慣れてきたことでも、もっと上手いやり方がないか試したくなる。</x:v>
      </x:c>
      <x:c r="D26" s="12" t="str">
        <x:v>Mastery</x:v>
      </x:c>
      <x:c r="E26" s="12" t="str">
        <x:v>正方向</x:v>
      </x:c>
      <x:c r="F26" s="57" t="n">
        <x:v>0</x:v>
      </x:c>
      <x:c r="G26" s="57" t="n">
        <x:v>0</x:v>
      </x:c>
      <x:c r="H26" s="57" t="n">
        <x:v>0</x:v>
      </x:c>
      <x:c r="I26" s="57" t="n">
        <x:v>0</x:v>
      </x:c>
      <x:c r="J26" s="57" t="n">
        <x:v>0.1</x:v>
      </x:c>
      <x:c r="K26" s="57" t="n">
        <x:v>0</x:v>
      </x:c>
      <x:c r="L26" s="57" t="n">
        <x:v>0.9</x:v>
      </x:c>
      <x:c r="M26" s="57" t="n">
        <x:v>0</x:v>
      </x:c>
      <x:c r="N26" s="57" t="n">
        <x:v>0</x:v>
      </x:c>
      <x:c r="O26" s="57" t="n">
        <x:v>0</x:v>
      </x:c>
      <x:c r="P26" s="57" t="n">
        <x:v>0</x:v>
      </x:c>
      <x:c r="Q26" s="57" t="n">
        <x:v>0</x:v>
      </x:c>
      <x:c r="R26" s="57" t="n">
        <x:v>0</x:v>
      </x:c>
      <x:c r="S26" s="57" t="n">
        <x:v>0</x:v>
      </x:c>
      <x:c r="T26" s="57" t="n">
        <x:v>0</x:v>
      </x:c>
      <x:c r="U26" s="57" t="n">
        <x:v>0</x:v>
      </x:c>
      <x:c r="V26" s="57" t="n">
        <x:v>0</x:v>
      </x:c>
      <x:c r="W26" s="57" t="n">
        <x:v>0</x:v>
      </x:c>
      <x:c r="X26" s="57" t="n">
        <x:v>0</x:v>
      </x:c>
      <x:c r="Y26" s="57" t="n">
        <x:v>0</x:v>
      </x:c>
      <x:c r="Z26" s="57" t="n">
        <x:v>0.7</x:v>
      </x:c>
      <x:c r="AA26" s="57" t="n">
        <x:v>0.4</x:v>
      </x:c>
      <x:c r="AB26" s="12" t="str">
        <x:v>構成概念の高い側を、日常の選択として測定。</x:v>
      </x:c>
      <x:c r="AC26" s="12" t="str">
        <x:v>Mastery</x:v>
      </x:c>
      <x:c r="AD26" s="12" t="str">
        <x:v>正方向</x:v>
      </x:c>
      <x:c r="AE26" s="12" t="str">
        <x:v>M-B</x:v>
      </x:c>
      <x:c r="AF26" s="12" t="str">
        <x:v>短文・一文一概念・価値中立</x:v>
      </x:c>
    </x:row>
    <x:row r="27">
      <x:c r="A27" s="12" t="str">
        <x:v>Q22</x:v>
      </x:c>
      <x:c r="B27" s="12" t="str">
        <x:v>性格・行動傾向</x:v>
      </x:c>
      <x:c r="C27" s="12" t="str">
        <x:v>話が進まないときでも、自分から流れを変えるより少し様子を見ることが多い。</x:v>
      </x:c>
      <x:c r="D27" s="12" t="str">
        <x:v>Initiative</x:v>
      </x:c>
      <x:c r="E27" s="12" t="str">
        <x:v>反対極</x:v>
      </x:c>
      <x:c r="F27" s="57" t="n">
        <x:v>-0.9</x:v>
      </x:c>
      <x:c r="G27" s="57" t="n">
        <x:v>0</x:v>
      </x:c>
      <x:c r="H27" s="57" t="n">
        <x:v>0</x:v>
      </x:c>
      <x:c r="I27" s="57" t="n">
        <x:v>0</x:v>
      </x:c>
      <x:c r="J27" s="57" t="n">
        <x:v>0.05</x:v>
      </x:c>
      <x:c r="K27" s="57" t="n">
        <x:v>0</x:v>
      </x:c>
      <x:c r="L27" s="57" t="n">
        <x:v>0</x:v>
      </x:c>
      <x:c r="M27" s="57" t="n">
        <x:v>-0.7</x:v>
      </x:c>
      <x:c r="N27" s="57" t="n">
        <x:v>-0.3</x:v>
      </x:c>
      <x:c r="O27" s="57" t="n">
        <x:v>0</x:v>
      </x:c>
      <x:c r="P27" s="57" t="n">
        <x:v>0</x:v>
      </x:c>
      <x:c r="Q27" s="57" t="n">
        <x:v>0</x:v>
      </x:c>
      <x:c r="R27" s="57" t="n">
        <x:v>0</x:v>
      </x:c>
      <x:c r="S27" s="57" t="n">
        <x:v>0</x:v>
      </x:c>
      <x:c r="T27" s="57" t="n">
        <x:v>0</x:v>
      </x:c>
      <x:c r="U27" s="57" t="n">
        <x:v>0</x:v>
      </x:c>
      <x:c r="V27" s="57" t="n">
        <x:v>0</x:v>
      </x:c>
      <x:c r="W27" s="57" t="n">
        <x:v>0</x:v>
      </x:c>
      <x:c r="X27" s="57" t="n">
        <x:v>0</x:v>
      </x:c>
      <x:c r="Y27" s="57" t="n">
        <x:v>0</x:v>
      </x:c>
      <x:c r="Z27" s="57" t="n">
        <x:v>0</x:v>
      </x:c>
      <x:c r="AA27" s="57" t="n">
        <x:v>0</x:v>
      </x:c>
      <x:c r="AB27" s="12" t="str">
        <x:v>反対側の行動を自然な肯定文で測定。</x:v>
      </x:c>
      <x:c r="AC27" s="12" t="str">
        <x:v>Initiative</x:v>
      </x:c>
      <x:c r="AD27" s="12" t="str">
        <x:v>反対極</x:v>
      </x:c>
      <x:c r="AE27" s="12" t="str">
        <x:v>I-B</x:v>
      </x:c>
      <x:c r="AF27" s="12" t="str">
        <x:v>短文・一文一概念・価値中立</x:v>
      </x:c>
    </x:row>
    <x:row r="28">
      <x:c r="A28" s="12" t="str">
        <x:v>Q23</x:v>
      </x:c>
      <x:c r="B28" s="12" t="str">
        <x:v>性格・行動傾向</x:v>
      </x:c>
      <x:c r="C28" s="12" t="str">
        <x:v>判断に迷うなら、チャンスを逃しても様子を見る方を選びやすい。</x:v>
      </x:c>
      <x:c r="D28" s="12" t="str">
        <x:v>RiskTolerance</x:v>
      </x:c>
      <x:c r="E28" s="12" t="str">
        <x:v>反対極</x:v>
      </x:c>
      <x:c r="F28" s="57" t="n">
        <x:v>0</x:v>
      </x:c>
      <x:c r="G28" s="57" t="n">
        <x:v>-0.9</x:v>
      </x:c>
      <x:c r="H28" s="57" t="n">
        <x:v>0</x:v>
      </x:c>
      <x:c r="I28" s="57" t="n">
        <x:v>0</x:v>
      </x:c>
      <x:c r="J28" s="57" t="n">
        <x:v>0.15</x:v>
      </x:c>
      <x:c r="K28" s="57" t="n">
        <x:v>0</x:v>
      </x:c>
      <x:c r="L28" s="57" t="n">
        <x:v>0</x:v>
      </x:c>
      <x:c r="M28" s="57" t="n">
        <x:v>0</x:v>
      </x:c>
      <x:c r="N28" s="57" t="n">
        <x:v>-0.5</x:v>
      </x:c>
      <x:c r="O28" s="57" t="n">
        <x:v>0</x:v>
      </x:c>
      <x:c r="P28" s="57" t="n">
        <x:v>0</x:v>
      </x:c>
      <x:c r="Q28" s="57" t="n">
        <x:v>0.25</x:v>
      </x:c>
      <x:c r="R28" s="57" t="n">
        <x:v>0.25</x:v>
      </x:c>
      <x:c r="S28" s="57" t="n">
        <x:v>0</x:v>
      </x:c>
      <x:c r="T28" s="57" t="n">
        <x:v>0</x:v>
      </x:c>
      <x:c r="U28" s="57" t="n">
        <x:v>0</x:v>
      </x:c>
      <x:c r="V28" s="57" t="n">
        <x:v>0</x:v>
      </x:c>
      <x:c r="W28" s="57" t="n">
        <x:v>0</x:v>
      </x:c>
      <x:c r="X28" s="57" t="n">
        <x:v>0</x:v>
      </x:c>
      <x:c r="Y28" s="57" t="n">
        <x:v>0</x:v>
      </x:c>
      <x:c r="Z28" s="57" t="n">
        <x:v>0</x:v>
      </x:c>
      <x:c r="AA28" s="57" t="n">
        <x:v>0</x:v>
      </x:c>
      <x:c r="AB28" s="12" t="str">
        <x:v>反対側の行動を自然な肯定文で測定。</x:v>
      </x:c>
      <x:c r="AC28" s="12" t="str">
        <x:v>RiskTolerance</x:v>
      </x:c>
      <x:c r="AD28" s="12" t="str">
        <x:v>反対極</x:v>
      </x:c>
      <x:c r="AE28" s="12" t="str">
        <x:v>R-B</x:v>
      </x:c>
      <x:c r="AF28" s="12" t="str">
        <x:v>短文・一文一概念・価値中立</x:v>
      </x:c>
    </x:row>
    <x:row r="29">
      <x:c r="A29" s="12" t="str">
        <x:v>Q24</x:v>
      </x:c>
      <x:c r="B29" s="12" t="str">
        <x:v>性格・行動傾向</x:v>
      </x:c>
      <x:c r="C29" s="12" t="str">
        <x:v>予定は大枠だけ決めて、細かいことはその場で合わせたい。</x:v>
      </x:c>
      <x:c r="D29" s="12" t="str">
        <x:v>Planning</x:v>
      </x:c>
      <x:c r="E29" s="12" t="str">
        <x:v>反対極</x:v>
      </x:c>
      <x:c r="F29" s="57" t="n">
        <x:v>0</x:v>
      </x:c>
      <x:c r="G29" s="57" t="n">
        <x:v>0</x:v>
      </x:c>
      <x:c r="H29" s="57" t="n">
        <x:v>0</x:v>
      </x:c>
      <x:c r="I29" s="57" t="n">
        <x:v>0</x:v>
      </x:c>
      <x:c r="J29" s="57" t="n">
        <x:v>-0.8</x:v>
      </x:c>
      <x:c r="K29" s="57" t="n">
        <x:v>0.2</x:v>
      </x:c>
      <x:c r="L29" s="57" t="n">
        <x:v>0</x:v>
      </x:c>
      <x:c r="M29" s="57" t="n">
        <x:v>0</x:v>
      </x:c>
      <x:c r="N29" s="57" t="n">
        <x:v>0</x:v>
      </x:c>
      <x:c r="O29" s="57" t="n">
        <x:v>0</x:v>
      </x:c>
      <x:c r="P29" s="57" t="n">
        <x:v>0</x:v>
      </x:c>
      <x:c r="Q29" s="57" t="n">
        <x:v>0</x:v>
      </x:c>
      <x:c r="R29" s="57" t="n">
        <x:v>0</x:v>
      </x:c>
      <x:c r="S29" s="57" t="n">
        <x:v>0</x:v>
      </x:c>
      <x:c r="T29" s="57" t="n">
        <x:v>0</x:v>
      </x:c>
      <x:c r="U29" s="57" t="n">
        <x:v>0.25</x:v>
      </x:c>
      <x:c r="V29" s="57" t="n">
        <x:v>0</x:v>
      </x:c>
      <x:c r="W29" s="57" t="n">
        <x:v>-0.15</x:v>
      </x:c>
      <x:c r="X29" s="57" t="n">
        <x:v>0</x:v>
      </x:c>
      <x:c r="Y29" s="57" t="n">
        <x:v>0</x:v>
      </x:c>
      <x:c r="Z29" s="57" t="n">
        <x:v>0</x:v>
      </x:c>
      <x:c r="AA29" s="57" t="n">
        <x:v>-0.2</x:v>
      </x:c>
      <x:c r="AB29" s="12" t="str">
        <x:v>反対側の行動を自然な肯定文で測定。</x:v>
      </x:c>
      <x:c r="AC29" s="12" t="str">
        <x:v>Planning</x:v>
      </x:c>
      <x:c r="AD29" s="12" t="str">
        <x:v>反対極</x:v>
      </x:c>
      <x:c r="AE29" s="12" t="str">
        <x:v>P-B</x:v>
      </x:c>
      <x:c r="AF29" s="12" t="str">
        <x:v>短文・一文一概念・価値中立</x:v>
      </x:c>
    </x:row>
    <x:row r="30">
      <x:c r="A30" s="12" t="str">
        <x:v>Q25</x:v>
      </x:c>
      <x:c r="B30" s="12" t="str">
        <x:v>性格・行動傾向</x:v>
      </x:c>
      <x:c r="C30" s="12" t="str">
        <x:v>みんなで動く場面でも、自分のペースを崩さない方が楽だ。</x:v>
      </x:c>
      <x:c r="D30" s="12" t="str">
        <x:v>Cooperation</x:v>
      </x:c>
      <x:c r="E30" s="12" t="str">
        <x:v>反対極</x:v>
      </x:c>
      <x:c r="F30" s="57" t="n">
        <x:v>0</x:v>
      </x:c>
      <x:c r="G30" s="57" t="n">
        <x:v>0</x:v>
      </x:c>
      <x:c r="H30" s="57" t="n">
        <x:v>-0.8</x:v>
      </x:c>
      <x:c r="I30" s="57" t="n">
        <x:v>0.2</x:v>
      </x:c>
      <x:c r="J30" s="57" t="n">
        <x:v>0</x:v>
      </x:c>
      <x:c r="K30" s="57" t="n">
        <x:v>0</x:v>
      </x:c>
      <x:c r="L30" s="57" t="n">
        <x:v>0</x:v>
      </x:c>
      <x:c r="M30" s="57" t="n">
        <x:v>0</x:v>
      </x:c>
      <x:c r="N30" s="57" t="n">
        <x:v>0</x:v>
      </x:c>
      <x:c r="O30" s="57" t="n">
        <x:v>-0.4</x:v>
      </x:c>
      <x:c r="P30" s="57" t="n">
        <x:v>0</x:v>
      </x:c>
      <x:c r="Q30" s="57" t="n">
        <x:v>0</x:v>
      </x:c>
      <x:c r="R30" s="57" t="n">
        <x:v>0</x:v>
      </x:c>
      <x:c r="S30" s="57" t="n">
        <x:v>0</x:v>
      </x:c>
      <x:c r="T30" s="57" t="n">
        <x:v>-0.5</x:v>
      </x:c>
      <x:c r="U30" s="57" t="n">
        <x:v>0</x:v>
      </x:c>
      <x:c r="V30" s="57" t="n">
        <x:v>0.3</x:v>
      </x:c>
      <x:c r="W30" s="57" t="n">
        <x:v>0</x:v>
      </x:c>
      <x:c r="X30" s="57" t="n">
        <x:v>0</x:v>
      </x:c>
      <x:c r="Y30" s="57" t="n">
        <x:v>0.2</x:v>
      </x:c>
      <x:c r="Z30" s="57" t="n">
        <x:v>0</x:v>
      </x:c>
      <x:c r="AA30" s="57" t="n">
        <x:v>0</x:v>
      </x:c>
      <x:c r="AB30" s="12" t="str">
        <x:v>反対側の行動を自然な肯定文で測定。</x:v>
      </x:c>
      <x:c r="AC30" s="12" t="str">
        <x:v>Cooperation</x:v>
      </x:c>
      <x:c r="AD30" s="12" t="str">
        <x:v>反対極</x:v>
      </x:c>
      <x:c r="AE30" s="12" t="str">
        <x:v>C-B</x:v>
      </x:c>
      <x:c r="AF30" s="12" t="str">
        <x:v>短文・一文一概念・価値中立</x:v>
      </x:c>
    </x:row>
    <x:row r="31">
      <x:c r="A31" s="12" t="str">
        <x:v>Q26</x:v>
      </x:c>
      <x:c r="B31" s="12" t="str">
        <x:v>性格・行動傾向</x:v>
      </x:c>
      <x:c r="C31" s="12" t="str">
        <x:v>自由に任されるより、「ここまでは決まっている」方が動きやすい。</x:v>
      </x:c>
      <x:c r="D31" s="12" t="str">
        <x:v>SelfReliance</x:v>
      </x:c>
      <x:c r="E31" s="12" t="str">
        <x:v>反対極</x:v>
      </x:c>
      <x:c r="F31" s="57" t="n">
        <x:v>0</x:v>
      </x:c>
      <x:c r="G31" s="57" t="n">
        <x:v>0</x:v>
      </x:c>
      <x:c r="H31" s="57" t="n">
        <x:v>0</x:v>
      </x:c>
      <x:c r="I31" s="57" t="n">
        <x:v>-0.8</x:v>
      </x:c>
      <x:c r="J31" s="57" t="n">
        <x:v>0.2</x:v>
      </x:c>
      <x:c r="K31" s="57" t="n">
        <x:v>0</x:v>
      </x:c>
      <x:c r="L31" s="57" t="n">
        <x:v>0</x:v>
      </x:c>
      <x:c r="M31" s="57" t="n">
        <x:v>0</x:v>
      </x:c>
      <x:c r="N31" s="57" t="n">
        <x:v>0</x:v>
      </x:c>
      <x:c r="O31" s="57" t="n">
        <x:v>0</x:v>
      </x:c>
      <x:c r="P31" s="57" t="n">
        <x:v>0</x:v>
      </x:c>
      <x:c r="Q31" s="57" t="n">
        <x:v>0</x:v>
      </x:c>
      <x:c r="R31" s="57" t="n">
        <x:v>0</x:v>
      </x:c>
      <x:c r="S31" s="57" t="n">
        <x:v>0</x:v>
      </x:c>
      <x:c r="T31" s="57" t="n">
        <x:v>0.2</x:v>
      </x:c>
      <x:c r="U31" s="57" t="n">
        <x:v>0</x:v>
      </x:c>
      <x:c r="V31" s="57" t="n">
        <x:v>-0.5</x:v>
      </x:c>
      <x:c r="W31" s="57" t="n">
        <x:v>0</x:v>
      </x:c>
      <x:c r="X31" s="57" t="n">
        <x:v>0</x:v>
      </x:c>
      <x:c r="Y31" s="57" t="n">
        <x:v>0</x:v>
      </x:c>
      <x:c r="Z31" s="57" t="n">
        <x:v>0</x:v>
      </x:c>
      <x:c r="AA31" s="57" t="n">
        <x:v>-0.2</x:v>
      </x:c>
      <x:c r="AB31" s="12" t="str">
        <x:v>反対側の行動を自然な肯定文で測定。</x:v>
      </x:c>
      <x:c r="AC31" s="12" t="str">
        <x:v>SelfReliance</x:v>
      </x:c>
      <x:c r="AD31" s="12" t="str">
        <x:v>反対極</x:v>
      </x:c>
      <x:c r="AE31" s="12" t="str">
        <x:v>S-B</x:v>
      </x:c>
      <x:c r="AF31" s="12" t="str">
        <x:v>短文・一文一概念・価値中立</x:v>
      </x:c>
    </x:row>
    <x:row r="32">
      <x:c r="A32" s="12" t="str">
        <x:v>Q27</x:v>
      </x:c>
      <x:c r="B32" s="12" t="str">
        <x:v>性格・行動傾向</x:v>
      </x:c>
      <x:c r="C32" s="12" t="str">
        <x:v>初めてのことは、試しながら自分に合うやり方を探す。</x:v>
      </x:c>
      <x:c r="D32" s="12" t="str">
        <x:v>Adaptability</x:v>
      </x:c>
      <x:c r="E32" s="12" t="str">
        <x:v>正方向</x:v>
      </x:c>
      <x:c r="F32" s="57" t="n">
        <x:v>0</x:v>
      </x:c>
      <x:c r="G32" s="57" t="n">
        <x:v>0</x:v>
      </x:c>
      <x:c r="H32" s="57" t="n">
        <x:v>0</x:v>
      </x:c>
      <x:c r="I32" s="57" t="n">
        <x:v>0</x:v>
      </x:c>
      <x:c r="J32" s="57" t="n">
        <x:v>0</x:v>
      </x:c>
      <x:c r="K32" s="57" t="n">
        <x:v>0.9</x:v>
      </x:c>
      <x:c r="L32" s="57" t="n">
        <x:v>0.1</x:v>
      </x:c>
      <x:c r="M32" s="57" t="n">
        <x:v>0</x:v>
      </x:c>
      <x:c r="N32" s="57" t="n">
        <x:v>0</x:v>
      </x:c>
      <x:c r="O32" s="57" t="n">
        <x:v>0</x:v>
      </x:c>
      <x:c r="P32" s="57" t="n">
        <x:v>0</x:v>
      </x:c>
      <x:c r="Q32" s="57" t="n">
        <x:v>0</x:v>
      </x:c>
      <x:c r="R32" s="57" t="n">
        <x:v>0</x:v>
      </x:c>
      <x:c r="S32" s="57" t="n">
        <x:v>0.2</x:v>
      </x:c>
      <x:c r="T32" s="57" t="n">
        <x:v>0</x:v>
      </x:c>
      <x:c r="U32" s="57" t="n">
        <x:v>0.35</x:v>
      </x:c>
      <x:c r="V32" s="57" t="n">
        <x:v>0</x:v>
      </x:c>
      <x:c r="W32" s="57" t="n">
        <x:v>0</x:v>
      </x:c>
      <x:c r="X32" s="57" t="n">
        <x:v>0</x:v>
      </x:c>
      <x:c r="Y32" s="57" t="n">
        <x:v>0</x:v>
      </x:c>
      <x:c r="Z32" s="57" t="n">
        <x:v>0</x:v>
      </x:c>
      <x:c r="AA32" s="57" t="n">
        <x:v>0.5</x:v>
      </x:c>
      <x:c r="AB32" s="12" t="str">
        <x:v>構成概念の高い側を、日常の選択として測定。</x:v>
      </x:c>
      <x:c r="AC32" s="12" t="str">
        <x:v>Adaptability</x:v>
      </x:c>
      <x:c r="AD32" s="12" t="str">
        <x:v>正方向</x:v>
      </x:c>
      <x:c r="AE32" s="12" t="str">
        <x:v>A-B</x:v>
      </x:c>
      <x:c r="AF32" s="12" t="str">
        <x:v>短文・一文一概念・価値中立</x:v>
      </x:c>
    </x:row>
    <x:row r="33">
      <x:c r="A33" s="12" t="str">
        <x:v>Q28</x:v>
      </x:c>
      <x:c r="B33" s="12" t="str">
        <x:v>性格・行動傾向</x:v>
      </x:c>
      <x:c r="C33" s="12" t="str">
        <x:v>ある程度できるようになれば、それ以上細かく極めなくても満足できる。</x:v>
      </x:c>
      <x:c r="D33" s="12" t="str">
        <x:v>Mastery</x:v>
      </x:c>
      <x:c r="E33" s="12" t="str">
        <x:v>反対極</x:v>
      </x:c>
      <x:c r="F33" s="57" t="n">
        <x:v>0</x:v>
      </x:c>
      <x:c r="G33" s="57" t="n">
        <x:v>0</x:v>
      </x:c>
      <x:c r="H33" s="57" t="n">
        <x:v>0</x:v>
      </x:c>
      <x:c r="I33" s="57" t="n">
        <x:v>0</x:v>
      </x:c>
      <x:c r="J33" s="57" t="n">
        <x:v>0</x:v>
      </x:c>
      <x:c r="K33" s="57" t="n">
        <x:v>0</x:v>
      </x:c>
      <x:c r="L33" s="57" t="n">
        <x:v>-0.9</x:v>
      </x:c>
      <x:c r="M33" s="57" t="n">
        <x:v>0</x:v>
      </x:c>
      <x:c r="N33" s="57" t="n">
        <x:v>0</x:v>
      </x:c>
      <x:c r="O33" s="57" t="n">
        <x:v>0</x:v>
      </x:c>
      <x:c r="P33" s="57" t="n">
        <x:v>0</x:v>
      </x:c>
      <x:c r="Q33" s="57" t="n">
        <x:v>0</x:v>
      </x:c>
      <x:c r="R33" s="57" t="n">
        <x:v>0</x:v>
      </x:c>
      <x:c r="S33" s="57" t="n">
        <x:v>0</x:v>
      </x:c>
      <x:c r="T33" s="57" t="n">
        <x:v>0</x:v>
      </x:c>
      <x:c r="U33" s="57" t="n">
        <x:v>0</x:v>
      </x:c>
      <x:c r="V33" s="57" t="n">
        <x:v>0</x:v>
      </x:c>
      <x:c r="W33" s="57" t="n">
        <x:v>0</x:v>
      </x:c>
      <x:c r="X33" s="57" t="n">
        <x:v>0</x:v>
      </x:c>
      <x:c r="Y33" s="57" t="n">
        <x:v>0</x:v>
      </x:c>
      <x:c r="Z33" s="57" t="n">
        <x:v>-0.8</x:v>
      </x:c>
      <x:c r="AA33" s="57" t="n">
        <x:v>-0.2</x:v>
      </x:c>
      <x:c r="AB33" s="12" t="str">
        <x:v>反対側の行動を自然な肯定文で測定。</x:v>
      </x:c>
      <x:c r="AC33" s="12" t="str">
        <x:v>Mastery</x:v>
      </x:c>
      <x:c r="AD33" s="12" t="str">
        <x:v>反対極</x:v>
      </x:c>
      <x:c r="AE33" s="12" t="str">
        <x:v>M-B</x:v>
      </x:c>
      <x:c r="AF33" s="12" t="str">
        <x:v>短文・一文一概念・価値中立</x:v>
      </x:c>
    </x:row>
    <x:row r="34">
      <x:c r="A34" s="12" t="str">
        <x:v>Q29</x:v>
      </x:c>
      <x:c r="B34" s="12" t="str">
        <x:v>性格・行動傾向</x:v>
      </x:c>
      <x:c r="C34" s="12" t="str">
        <x:v>予定が崩れたら、元に戻すよりその場で予定を組み直す方だ。</x:v>
      </x:c>
      <x:c r="D34" s="12" t="str">
        <x:v>Adaptability / Planning</x:v>
      </x:c>
      <x:c r="E34" s="12" t="str">
        <x:v>統合</x:v>
      </x:c>
      <x:c r="F34" s="57" t="n">
        <x:v>0</x:v>
      </x:c>
      <x:c r="G34" s="57" t="n">
        <x:v>0</x:v>
      </x:c>
      <x:c r="H34" s="57" t="n">
        <x:v>0</x:v>
      </x:c>
      <x:c r="I34" s="57" t="n">
        <x:v>0</x:v>
      </x:c>
      <x:c r="J34" s="57" t="n">
        <x:v>-0.35</x:v>
      </x:c>
      <x:c r="K34" s="57" t="n">
        <x:v>0.65</x:v>
      </x:c>
      <x:c r="L34" s="57" t="n">
        <x:v>0</x:v>
      </x:c>
      <x:c r="M34" s="57" t="n">
        <x:v>0</x:v>
      </x:c>
      <x:c r="N34" s="57" t="n">
        <x:v>0</x:v>
      </x:c>
      <x:c r="O34" s="57" t="n">
        <x:v>0</x:v>
      </x:c>
      <x:c r="P34" s="57" t="n">
        <x:v>0</x:v>
      </x:c>
      <x:c r="Q34" s="57" t="n">
        <x:v>0</x:v>
      </x:c>
      <x:c r="R34" s="57" t="n">
        <x:v>0</x:v>
      </x:c>
      <x:c r="S34" s="57" t="n">
        <x:v>0.15</x:v>
      </x:c>
      <x:c r="T34" s="57" t="n">
        <x:v>0</x:v>
      </x:c>
      <x:c r="U34" s="57" t="n">
        <x:v>0.35</x:v>
      </x:c>
      <x:c r="V34" s="57" t="n">
        <x:v>0</x:v>
      </x:c>
      <x:c r="W34" s="57" t="n">
        <x:v>0</x:v>
      </x:c>
      <x:c r="X34" s="57" t="n">
        <x:v>0</x:v>
      </x:c>
      <x:c r="Y34" s="57" t="n">
        <x:v>0</x:v>
      </x:c>
      <x:c r="Z34" s="57" t="n">
        <x:v>0</x:v>
      </x:c>
      <x:c r="AA34" s="57" t="n">
        <x:v>0.45</x:v>
      </x:c>
      <x:c r="AB34" s="12" t="str">
        <x:v>隣接する2軸のトレードオフを測定。</x:v>
      </x:c>
      <x:c r="AC34" s="12" t="str">
        <x:v>Adaptability+Planning</x:v>
      </x:c>
      <x:c r="AD34" s="12" t="str">
        <x:v>統合</x:v>
      </x:c>
      <x:c r="AE34" s="12" t="str">
        <x:v>AP-X</x:v>
      </x:c>
      <x:c r="AF34" s="12" t="str">
        <x:v>短文・一文一概念・価値中立</x:v>
      </x:c>
    </x:row>
    <x:row r="35">
      <x:c r="A35" s="12" t="str">
        <x:v>Q30</x:v>
      </x:c>
      <x:c r="B35" s="12" t="str">
        <x:v>性格・行動傾向</x:v>
      </x:c>
      <x:c r="C35" s="12" t="str">
        <x:v>自分で決められる場面でも、誰かと一度話してから進める方が落ち着く。</x:v>
      </x:c>
      <x:c r="D35" s="12" t="str">
        <x:v>Cooperation / SelfReliance</x:v>
      </x:c>
      <x:c r="E35" s="12" t="str">
        <x:v>統合</x:v>
      </x:c>
      <x:c r="F35" s="57" t="n">
        <x:v>0</x:v>
      </x:c>
      <x:c r="G35" s="57" t="n">
        <x:v>0</x:v>
      </x:c>
      <x:c r="H35" s="57" t="n">
        <x:v>0.55</x:v>
      </x:c>
      <x:c r="I35" s="57" t="n">
        <x:v>-0.45</x:v>
      </x:c>
      <x:c r="J35" s="57" t="n">
        <x:v>0</x:v>
      </x:c>
      <x:c r="K35" s="57" t="n">
        <x:v>0</x:v>
      </x:c>
      <x:c r="L35" s="57" t="n">
        <x:v>0</x:v>
      </x:c>
      <x:c r="M35" s="57" t="n">
        <x:v>0</x:v>
      </x:c>
      <x:c r="N35" s="57" t="n">
        <x:v>0</x:v>
      </x:c>
      <x:c r="O35" s="57" t="n">
        <x:v>0.4</x:v>
      </x:c>
      <x:c r="P35" s="57" t="n">
        <x:v>0</x:v>
      </x:c>
      <x:c r="Q35" s="57" t="n">
        <x:v>0</x:v>
      </x:c>
      <x:c r="R35" s="57" t="n">
        <x:v>0</x:v>
      </x:c>
      <x:c r="S35" s="57" t="n">
        <x:v>0</x:v>
      </x:c>
      <x:c r="T35" s="57" t="n">
        <x:v>0.5</x:v>
      </x:c>
      <x:c r="U35" s="57" t="n">
        <x:v>0</x:v>
      </x:c>
      <x:c r="V35" s="57" t="n">
        <x:v>-0.35</x:v>
      </x:c>
      <x:c r="W35" s="57" t="n">
        <x:v>0</x:v>
      </x:c>
      <x:c r="X35" s="57" t="n">
        <x:v>0</x:v>
      </x:c>
      <x:c r="Y35" s="57" t="n">
        <x:v>-0.2</x:v>
      </x:c>
      <x:c r="Z35" s="57" t="n">
        <x:v>0</x:v>
      </x:c>
      <x:c r="AA35" s="57" t="n">
        <x:v>0</x:v>
      </x:c>
      <x:c r="AB35" s="12" t="str">
        <x:v>隣接する2軸のトレードオフを測定。</x:v>
      </x:c>
      <x:c r="AC35" s="12" t="str">
        <x:v>Cooperation+SelfReliance</x:v>
      </x:c>
      <x:c r="AD35" s="12" t="str">
        <x:v>統合</x:v>
      </x:c>
      <x:c r="AE35" s="12" t="str">
        <x:v>CS-X</x:v>
      </x:c>
      <x:c r="AF35" s="12" t="str">
        <x:v>短文・一文一概念・価値中立</x:v>
      </x:c>
    </x:row>
  </x:sheetData>
  <x:mergeCells>
    <x:mergeCell ref="A1:AF2"/>
    <x:mergeCell ref="A3:AF3"/>
  </x:mergeCells>
  <x:conditionalFormatting sqref="F6:L35">
    <x:cfRule type="colorScale" priority="5">
      <x:colorScale>
        <x:cfvo type="min"/>
        <x:cfvo type="percentile" val="50"/>
        <x:cfvo type="max"/>
        <x:color rgb="FFFECACA"/>
        <x:color rgb="FFFFFFFF"/>
        <x:color rgb="FFA7F3D0"/>
      </x:colorScale>
    </x:cfRule>
  </x:conditionalFormatting>
  <x:conditionalFormatting sqref="M6:AA35">
    <x:cfRule type="colorScale" priority="6">
      <x:colorScale>
        <x:cfvo type="min"/>
        <x:cfvo type="percentile" val="50"/>
        <x:cfvo type="max"/>
        <x:color rgb="FFFECACA"/>
        <x:color rgb="FFFFFFFF"/>
        <x:color rgb="FFC4B5FD"/>
      </x:colorScale>
    </x:cfRule>
  </x:conditionalFormatting>
  <x:pageMargins left="0.7" right="0.7" top="0.75" bottom="0.75" header="0.3" footer="0.3"/>
  <x:tableParts count="1">
    <x:tablePart xmlns:r="http://schemas.openxmlformats.org/officeDocument/2006/relationships" r:id="Re268f6f2989a4156"/>
  </x:tableParts>
</x:worksheet>
</file>

<file path=xl/worksheets/sheet9.xml><?xml version="1.0" encoding="utf-8"?>
<x:worksheet xmlns:x="http://schemas.openxmlformats.org/spreadsheetml/2006/main">
  <x:sheetFormatPr defaultRowHeight="15"/>
  <x:cols>
    <x:col min="1" max="1" width="24" hidden="0" customWidth="1"/>
    <x:col min="2" max="2" width="62" hidden="0" customWidth="1"/>
    <x:col min="3" max="3" width="78" hidden="0" customWidth="1"/>
    <x:col min="4" max="4" width="14" hidden="0" customWidth="1"/>
    <x:col min="5" max="5" width="24" hidden="0" customWidth="1"/>
    <x:col min="6" max="6" width="14" hidden="0" customWidth="1"/>
    <x:col min="7" max="7" width="14" hidden="0" customWidth="1"/>
    <x:col min="8" max="8" width="24" hidden="0" customWidth="1"/>
    <x:col min="9" max="9" width="14" hidden="0" customWidth="1"/>
    <x:col min="10" max="10" width="46" hidden="0" customWidth="1"/>
    <x:col min="12" max="12" width="22" hidden="0" customWidth="1"/>
    <x:col min="13" max="13" width="14" hidden="0" customWidth="1"/>
    <x:col min="14" max="14" width="18" hidden="0" customWidth="1"/>
    <x:col min="15" max="15" width="17" hidden="0" customWidth="1"/>
  </x:cols>
  <x:sheetData>
    <x:row r="1">
      <x:c r="A1" s="165" t="str">
        <x:v>診断モデル：7つの気質 → 15プレイ軸 → Empirical Percentile Matching</x:v>
      </x:c>
      <x:c r="B1" s="165"/>
      <x:c r="C1" s="165"/>
      <x:c r="D1" s="165"/>
      <x:c r="E1" s="165"/>
      <x:c r="F1" s="165"/>
      <x:c r="G1" s="165"/>
      <x:c r="H1" s="165"/>
      <x:c r="I1" s="165"/>
      <x:c r="J1" s="165"/>
      <x:c r="K1" s="165"/>
      <x:c r="L1" s="165"/>
      <x:c r="M1" s="165"/>
      <x:c r="N1" s="165"/>
      <x:c r="O1" s="165"/>
    </x:row>
    <x:row r="2">
      <x:c r="A2" s="165"/>
      <x:c r="B2" s="165"/>
      <x:c r="C2" s="165"/>
      <x:c r="D2" s="165"/>
      <x:c r="E2" s="165"/>
      <x:c r="F2" s="165"/>
      <x:c r="G2" s="165"/>
      <x:c r="H2" s="165"/>
      <x:c r="I2" s="165"/>
      <x:c r="J2" s="165"/>
      <x:c r="K2" s="165"/>
      <x:c r="L2" s="165"/>
      <x:c r="M2" s="165"/>
      <x:c r="N2" s="165"/>
      <x:c r="O2" s="165"/>
    </x:row>
    <x:row r="4">
      <x:c r="A4" s="162" t="str">
        <x:v>回答値</x:v>
      </x:c>
      <x:c r="B4" s="162" t="str">
        <x:v>正規化係数</x:v>
      </x:c>
      <x:c r="C4" s="162" t="str">
        <x:v>表示ラベル</x:v>
      </x:c>
      <x:c r="E4" s="162" t="str">
        <x:v>GlobalSetting</x:v>
      </x:c>
      <x:c r="F4" s="162" t="str">
        <x:v>Value</x:v>
      </x:c>
      <x:c r="H4" s="162" t="str">
        <x:v>DisplaySetting</x:v>
      </x:c>
      <x:c r="I4" s="162" t="str">
        <x:v>Value</x:v>
      </x:c>
      <x:c r="K4" t="str">
        <x:v>ResponseStyle</x:v>
      </x:c>
      <x:c r="L4" t="str">
        <x:v>Value</x:v>
      </x:c>
    </x:row>
    <x:row r="5">
      <x:c r="A5" t="n">
        <x:v>1</x:v>
      </x:c>
      <x:c r="B5" t="n">
        <x:v>-1</x:v>
      </x:c>
      <x:c r="C5" t="str">
        <x:v>まったく当てはまらない</x:v>
      </x:c>
      <x:c r="E5" t="str">
        <x:v>PersonalityScale</x:v>
      </x:c>
      <x:c r="F5" t="n">
        <x:v>64</x:v>
      </x:c>
      <x:c r="H5" t="str">
        <x:v>DisplayBase</x:v>
      </x:c>
      <x:c r="I5" t="n">
        <x:v>42</x:v>
      </x:c>
      <x:c r="K5" t="str">
        <x:v>ResponseStyleEnabled</x:v>
      </x:c>
      <x:c r="L5" t="n">
        <x:v>1</x:v>
      </x:c>
    </x:row>
    <x:row r="6">
      <x:c r="A6" t="n">
        <x:v>2</x:v>
      </x:c>
      <x:c r="B6" t="n">
        <x:v>-0.5</x:v>
      </x:c>
      <x:c r="C6" t="str">
        <x:v>あまり当てはまらない</x:v>
      </x:c>
      <x:c r="E6" t="str">
        <x:v>TranslationScale</x:v>
      </x:c>
      <x:c r="F6" t="n">
        <x:v>72</x:v>
      </x:c>
      <x:c r="H6" t="str">
        <x:v>DisplayRange</x:v>
      </x:c>
      <x:c r="I6" t="n">
        <x:v>55</x:v>
      </x:c>
      <x:c r="K6" t="str">
        <x:v>ResponseTarget</x:v>
      </x:c>
      <x:c r="L6" t="n">
        <x:v>0.425</x:v>
      </x:c>
    </x:row>
    <x:row r="7">
      <x:c r="A7" t="n">
        <x:v>3</x:v>
      </x:c>
      <x:c r="B7" t="n">
        <x:v>0</x:v>
      </x:c>
      <x:c r="C7" t="str">
        <x:v>どちらともいえない</x:v>
      </x:c>
      <x:c r="E7" t="str">
        <x:v>PreferenceScale</x:v>
      </x:c>
      <x:c r="F7" t="n">
        <x:v>58</x:v>
      </x:c>
      <x:c r="H7" t="str">
        <x:v>DisplayPower</x:v>
      </x:c>
      <x:c r="I7" t="n">
        <x:v>3</x:v>
      </x:c>
      <x:c r="K7" t="str">
        <x:v>ResponseStrength</x:v>
      </x:c>
      <x:c r="L7" t="n">
        <x:v>1</x:v>
      </x:c>
    </x:row>
    <x:row r="8">
      <x:c r="A8" t="n">
        <x:v>4</x:v>
      </x:c>
      <x:c r="B8" t="n">
        <x:v>0.5</x:v>
      </x:c>
      <x:c r="C8" t="str">
        <x:v>やや当てはまる</x:v>
      </x:c>
      <x:c r="E8" t="str">
        <x:v>BaseShapeWeight</x:v>
      </x:c>
      <x:c r="F8" t="n">
        <x:v>0.4</x:v>
      </x:c>
      <x:c r="H8" t="str">
        <x:v>RankPercentileWeight</x:v>
      </x:c>
      <x:c r="I8" t="n">
        <x:v>0.8</x:v>
      </x:c>
      <x:c r="K8" t="str">
        <x:v>ResponseMinScale</x:v>
      </x:c>
      <x:c r="L8" t="n">
        <x:v>0.8</x:v>
      </x:c>
    </x:row>
    <x:row r="9">
      <x:c r="A9" t="n">
        <x:v>5</x:v>
      </x:c>
      <x:c r="B9" t="n">
        <x:v>1</x:v>
      </x:c>
      <x:c r="C9" t="str">
        <x:v>とても当てはまる</x:v>
      </x:c>
      <x:c r="E9" t="str">
        <x:v>SignalReference</x:v>
      </x:c>
      <x:c r="F9" t="n">
        <x:v>18</x:v>
      </x:c>
      <x:c r="H9" t="str">
        <x:v>DisplayMin</x:v>
      </x:c>
      <x:c r="I9" t="n">
        <x:v>55</x:v>
      </x:c>
      <x:c r="K9" t="str">
        <x:v>ResponseMaxScale</x:v>
      </x:c>
      <x:c r="L9" t="n">
        <x:v>1.6</x:v>
      </x:c>
    </x:row>
    <x:row r="10">
      <x:c r="E10" t="str">
        <x:v>SpecificityCorrection</x:v>
      </x:c>
      <x:c r="F10" t="n">
        <x:v>0.45</x:v>
      </x:c>
      <x:c r="K10" t="str">
        <x:v>ResponseRampExtremity</x:v>
      </x:c>
      <x:c r="L10" t="n">
        <x:v>0.2</x:v>
      </x:c>
    </x:row>
    <x:row r="11">
      <x:c r="A11" s="54" t="str">
        <x:v>7性格軸 → 15ゲーム軸 翻訳係数</x:v>
      </x:c>
      <x:c r="B11" s="54"/>
      <x:c r="C11" s="54"/>
      <x:c r="D11" s="54"/>
      <x:c r="E11" s="54" t="str">
        <x:v>SpecificityCap</x:v>
      </x:c>
      <x:c r="F11" s="54" t="n">
        <x:v>5</x:v>
      </x:c>
      <x:c r="G11" s="54"/>
      <x:c r="H11" s="54"/>
      <x:c r="I11" s="54"/>
      <x:c r="J11" s="54"/>
      <x:c r="L11" s="54" t="str">
        <x:v>15軸マッチング設定</x:v>
      </x:c>
      <x:c r="M11" s="54"/>
      <x:c r="N11" s="54"/>
      <x:c r="O11" s="54"/>
    </x:row>
    <x:row r="12">
      <x:c r="A12" s="162" t="str">
        <x:v>GameAxis</x:v>
      </x:c>
      <x:c r="B12" s="162" t="str">
        <x:v>Initiative</x:v>
      </x:c>
      <x:c r="C12" s="162" t="str">
        <x:v>RiskTolerance</x:v>
      </x:c>
      <x:c r="D12" s="162" t="str">
        <x:v>Cooperation</x:v>
      </x:c>
      <x:c r="E12" s="162" t="str">
        <x:v>SelfReliance</x:v>
      </x:c>
      <x:c r="F12" s="162" t="str">
        <x:v>Planning</x:v>
      </x:c>
      <x:c r="G12" s="162" t="str">
        <x:v>Adaptability</x:v>
      </x:c>
      <x:c r="H12" s="162" t="str">
        <x:v>Mastery</x:v>
      </x:c>
      <x:c r="I12" s="162" t="str">
        <x:v>AbsCoeffSum</x:v>
      </x:c>
      <x:c r="J12" s="162" t="str">
        <x:v>式</x:v>
      </x:c>
      <x:c r="L12" s="162" t="str">
        <x:v>GameAxis</x:v>
      </x:c>
      <x:c r="M12" s="162" t="str">
        <x:v>Weight</x:v>
      </x:c>
      <x:c r="N12" s="162" t="str">
        <x:v>OverReqPenalty</x:v>
      </x:c>
      <x:c r="O12" s="162" t="str">
        <x:v>PreferenceBlend</x:v>
      </x:c>
    </x:row>
    <x:row r="13">
      <x:c r="A13" s="12" t="str">
        <x:v>Engage</x:v>
      </x:c>
      <x:c r="B13" s="57" t="n">
        <x:v>0.45</x:v>
      </x:c>
      <x:c r="C13" s="57" t="n">
        <x:v>0.15</x:v>
      </x:c>
      <x:c r="D13" s="57" t="n">
        <x:v>0.1</x:v>
      </x:c>
      <x:c r="E13" s="57" t="n">
        <x:v>0</x:v>
      </x:c>
      <x:c r="F13" s="57" t="n">
        <x:v>-0.05</x:v>
      </x:c>
      <x:c r="G13" s="57" t="n">
        <x:v>0.2</x:v>
      </x:c>
      <x:c r="H13" s="57" t="n">
        <x:v>0</x:v>
      </x:c>
      <x:c r="I13" s="12" t="n">
        <x:f>SUMIF(B13:H13,"&gt;0",B13:H13)-SUMIF(B13:H13,"&lt;0",B13:H13)</x:f>
        <x:v>0.95</x:v>
      </x:c>
      <x:c r="J13" s="12" t="str">
        <x:v>50 + TranslationScale×Linear + InteractionBonus</x:v>
      </x:c>
      <x:c r="L13" t="str">
        <x:v>Engage</x:v>
      </x:c>
      <x:c r="M13" s="60" t="n">
        <x:v>1</x:v>
      </x:c>
      <x:c r="N13" s="60" t="n">
        <x:v>0</x:v>
      </x:c>
      <x:c r="O13" s="60" t="n">
        <x:v>0.15</x:v>
      </x:c>
    </x:row>
    <x:row r="14">
      <x:c r="A14" s="12" t="str">
        <x:v>Dive</x:v>
      </x:c>
      <x:c r="B14" s="57" t="n">
        <x:v>0.25</x:v>
      </x:c>
      <x:c r="C14" s="57" t="n">
        <x:v>0.4</x:v>
      </x:c>
      <x:c r="D14" s="57" t="n">
        <x:v>-0.1</x:v>
      </x:c>
      <x:c r="E14" s="57" t="n">
        <x:v>0.25</x:v>
      </x:c>
      <x:c r="F14" s="57" t="n">
        <x:v>-0.1</x:v>
      </x:c>
      <x:c r="G14" s="57" t="n">
        <x:v>0.1</x:v>
      </x:c>
      <x:c r="H14" s="57" t="n">
        <x:v>0.05</x:v>
      </x:c>
      <x:c r="I14" s="12" t="n">
        <x:f>SUMIF(B14:H14,"&gt;0",B14:H14)-SUMIF(B14:H14,"&lt;0",B14:H14)</x:f>
        <x:v>1.25</x:v>
      </x:c>
      <x:c r="J14" s="12" t="str">
        <x:v>50 + TranslationScale×Linear + InteractionBonus</x:v>
      </x:c>
      <x:c r="L14" t="str">
        <x:v>Dive</x:v>
      </x:c>
      <x:c r="M14" s="60" t="n">
        <x:v>1.05</x:v>
      </x:c>
      <x:c r="N14" s="60" t="n">
        <x:v>0</x:v>
      </x:c>
      <x:c r="O14" s="60" t="n">
        <x:v>0.15</x:v>
      </x:c>
    </x:row>
    <x:row r="15">
      <x:c r="A15" s="12" t="str">
        <x:v>Peel</x:v>
      </x:c>
      <x:c r="B15" s="57" t="n">
        <x:v>0.3</x:v>
      </x:c>
      <x:c r="C15" s="57" t="n">
        <x:v>-0.05</x:v>
      </x:c>
      <x:c r="D15" s="57" t="n">
        <x:v>0.35</x:v>
      </x:c>
      <x:c r="E15" s="57" t="n">
        <x:v>-0.05</x:v>
      </x:c>
      <x:c r="F15" s="57" t="n">
        <x:v>0.1</x:v>
      </x:c>
      <x:c r="G15" s="57" t="n">
        <x:v>0.1</x:v>
      </x:c>
      <x:c r="H15" s="57" t="n">
        <x:v>0</x:v>
      </x:c>
      <x:c r="I15" s="12" t="n">
        <x:f>SUMIF(B15:H15,"&gt;0",B15:H15)-SUMIF(B15:H15,"&lt;0",B15:H15)</x:f>
        <x:v>0.9499999999999998</x:v>
      </x:c>
      <x:c r="J15" s="12" t="str">
        <x:v>50 + TranslationScale×Linear + InteractionBonus</x:v>
      </x:c>
      <x:c r="L15" t="str">
        <x:v>Peel</x:v>
      </x:c>
      <x:c r="M15" s="60" t="n">
        <x:v>1</x:v>
      </x:c>
      <x:c r="N15" s="60" t="n">
        <x:v>0</x:v>
      </x:c>
      <x:c r="O15" s="60" t="n">
        <x:v>0.16</x:v>
      </x:c>
    </x:row>
    <x:row r="16">
      <x:c r="A16" s="12" t="str">
        <x:v>Frontline</x:v>
      </x:c>
      <x:c r="B16" s="57" t="n">
        <x:v>0.15</x:v>
      </x:c>
      <x:c r="C16" s="57" t="n">
        <x:v>-0.05</x:v>
      </x:c>
      <x:c r="D16" s="57" t="n">
        <x:v>0.3</x:v>
      </x:c>
      <x:c r="E16" s="57" t="n">
        <x:v>0.05</x:v>
      </x:c>
      <x:c r="F16" s="57" t="n">
        <x:v>0.2</x:v>
      </x:c>
      <x:c r="G16" s="57" t="n">
        <x:v>0.05</x:v>
      </x:c>
      <x:c r="H16" s="57" t="n">
        <x:v>0.1</x:v>
      </x:c>
      <x:c r="I16" s="12" t="n">
        <x:f>SUMIF(B16:H16,"&gt;0",B16:H16)-SUMIF(B16:H16,"&lt;0",B16:H16)</x:f>
        <x:v>0.9</x:v>
      </x:c>
      <x:c r="J16" s="12" t="str">
        <x:v>50 + TranslationScale×Linear + InteractionBonus</x:v>
      </x:c>
      <x:c r="L16" t="str">
        <x:v>Frontline</x:v>
      </x:c>
      <x:c r="M16" s="60" t="n">
        <x:v>1</x:v>
      </x:c>
      <x:c r="N16" s="60" t="n">
        <x:v>0</x:v>
      </x:c>
      <x:c r="O16" s="60" t="n">
        <x:v>0.1</x:v>
      </x:c>
    </x:row>
    <x:row r="17">
      <x:c r="A17" s="12" t="str">
        <x:v>Poke</x:v>
      </x:c>
      <x:c r="B17" s="57" t="n">
        <x:v>-0.05</x:v>
      </x:c>
      <x:c r="C17" s="57" t="n">
        <x:v>-0.2</x:v>
      </x:c>
      <x:c r="D17" s="57" t="n">
        <x:v>0</x:v>
      </x:c>
      <x:c r="E17" s="57" t="n">
        <x:v>0.1</x:v>
      </x:c>
      <x:c r="F17" s="57" t="n">
        <x:v>0.35</x:v>
      </x:c>
      <x:c r="G17" s="57" t="n">
        <x:v>0.1</x:v>
      </x:c>
      <x:c r="H17" s="57" t="n">
        <x:v>0.2</x:v>
      </x:c>
      <x:c r="I17" s="12" t="n">
        <x:f>SUMIF(B17:H17,"&gt;0",B17:H17)-SUMIF(B17:H17,"&lt;0",B17:H17)</x:f>
        <x:v>1</x:v>
      </x:c>
      <x:c r="J17" s="12" t="str">
        <x:v>50 + TranslationScale×Linear + InteractionBonus</x:v>
      </x:c>
      <x:c r="L17" t="str">
        <x:v>Poke</x:v>
      </x:c>
      <x:c r="M17" s="60" t="n">
        <x:v>1</x:v>
      </x:c>
      <x:c r="N17" s="60" t="n">
        <x:v>0</x:v>
      </x:c>
      <x:c r="O17" s="60" t="n">
        <x:v>0.12</x:v>
      </x:c>
    </x:row>
    <x:row r="18">
      <x:c r="A18" s="12" t="str">
        <x:v>FightTempo</x:v>
      </x:c>
      <x:c r="B18" s="57" t="n">
        <x:v>-0.15</x:v>
      </x:c>
      <x:c r="C18" s="57" t="n">
        <x:v>-0.25</x:v>
      </x:c>
      <x:c r="D18" s="57" t="n">
        <x:v>0</x:v>
      </x:c>
      <x:c r="E18" s="57" t="n">
        <x:v>0.15</x:v>
      </x:c>
      <x:c r="F18" s="57" t="n">
        <x:v>0.15</x:v>
      </x:c>
      <x:c r="G18" s="57" t="n">
        <x:v>0.1</x:v>
      </x:c>
      <x:c r="H18" s="57" t="n">
        <x:v>0.2</x:v>
      </x:c>
      <x:c r="I18" s="12" t="n">
        <x:f>SUMIF(B18:H18,"&gt;0",B18:H18)-SUMIF(B18:H18,"&lt;0",B18:H18)</x:f>
        <x:v>1</x:v>
      </x:c>
      <x:c r="J18" s="12" t="str">
        <x:v>50 + TranslationScale×Linear + InteractionBonus</x:v>
      </x:c>
      <x:c r="L18" t="str">
        <x:v>FightTempo</x:v>
      </x:c>
      <x:c r="M18" s="60" t="n">
        <x:v>0.9</x:v>
      </x:c>
      <x:c r="N18" s="60" t="n">
        <x:v>0</x:v>
      </x:c>
      <x:c r="O18" s="60" t="n">
        <x:v>0.1</x:v>
      </x:c>
    </x:row>
    <x:row r="19">
      <x:c r="A19" s="12" t="str">
        <x:v>Control</x:v>
      </x:c>
      <x:c r="B19" s="57" t="n">
        <x:v>0.05</x:v>
      </x:c>
      <x:c r="C19" s="57" t="n">
        <x:v>-0.1</x:v>
      </x:c>
      <x:c r="D19" s="57" t="n">
        <x:v>0.25</x:v>
      </x:c>
      <x:c r="E19" s="57" t="n">
        <x:v>-0.05</x:v>
      </x:c>
      <x:c r="F19" s="57" t="n">
        <x:v>0.3</x:v>
      </x:c>
      <x:c r="G19" s="57" t="n">
        <x:v>0.25</x:v>
      </x:c>
      <x:c r="H19" s="57" t="n">
        <x:v>0.1</x:v>
      </x:c>
      <x:c r="I19" s="12" t="n">
        <x:f>SUMIF(B19:H19,"&gt;0",B19:H19)-SUMIF(B19:H19,"&lt;0",B19:H19)</x:f>
        <x:v>1.1</x:v>
      </x:c>
      <x:c r="J19" s="12" t="str">
        <x:v>50 + TranslationScale×Linear + InteractionBonus</x:v>
      </x:c>
      <x:c r="L19" t="str">
        <x:v>Control</x:v>
      </x:c>
      <x:c r="M19" s="60" t="n">
        <x:v>1</x:v>
      </x:c>
      <x:c r="N19" s="60" t="n">
        <x:v>0</x:v>
      </x:c>
      <x:c r="O19" s="60" t="n">
        <x:v>0.12</x:v>
      </x:c>
    </x:row>
    <x:row r="20">
      <x:c r="A20" s="12" t="str">
        <x:v>Support</x:v>
      </x:c>
      <x:c r="B20" s="57" t="n">
        <x:v>-0.25</x:v>
      </x:c>
      <x:c r="C20" s="57" t="n">
        <x:v>-0.15</x:v>
      </x:c>
      <x:c r="D20" s="57" t="n">
        <x:v>0.45</x:v>
      </x:c>
      <x:c r="E20" s="57" t="n">
        <x:v>-0.15</x:v>
      </x:c>
      <x:c r="F20" s="57" t="n">
        <x:v>0.15</x:v>
      </x:c>
      <x:c r="G20" s="57" t="n">
        <x:v>0.15</x:v>
      </x:c>
      <x:c r="H20" s="57" t="n">
        <x:v>0</x:v>
      </x:c>
      <x:c r="I20" s="12" t="n">
        <x:f>SUMIF(B20:H20,"&gt;0",B20:H20)-SUMIF(B20:H20,"&lt;0",B20:H20)</x:f>
        <x:v>1.3</x:v>
      </x:c>
      <x:c r="J20" s="12" t="str">
        <x:v>50 + TranslationScale×Linear + InteractionBonus</x:v>
      </x:c>
      <x:c r="L20" t="str">
        <x:v>Support</x:v>
      </x:c>
      <x:c r="M20" s="60" t="n">
        <x:v>1</x:v>
      </x:c>
      <x:c r="N20" s="60" t="n">
        <x:v>0</x:v>
      </x:c>
      <x:c r="O20" s="60" t="n">
        <x:v>0.18</x:v>
      </x:c>
    </x:row>
    <x:row r="21">
      <x:c r="A21" s="12" t="str">
        <x:v>Mobility</x:v>
      </x:c>
      <x:c r="B21" s="57" t="n">
        <x:v>0.15</x:v>
      </x:c>
      <x:c r="C21" s="57" t="n">
        <x:v>0.15</x:v>
      </x:c>
      <x:c r="D21" s="57" t="n">
        <x:v>-0.05</x:v>
      </x:c>
      <x:c r="E21" s="57" t="n">
        <x:v>0.15</x:v>
      </x:c>
      <x:c r="F21" s="57" t="n">
        <x:v>-0.05</x:v>
      </x:c>
      <x:c r="G21" s="57" t="n">
        <x:v>0.3</x:v>
      </x:c>
      <x:c r="H21" s="57" t="n">
        <x:v>0.2</x:v>
      </x:c>
      <x:c r="I21" s="12" t="n">
        <x:f>SUMIF(B21:H21,"&gt;0",B21:H21)-SUMIF(B21:H21,"&lt;0",B21:H21)</x:f>
        <x:v>1.05</x:v>
      </x:c>
      <x:c r="J21" s="12" t="str">
        <x:v>50 + TranslationScale×Linear + InteractionBonus</x:v>
      </x:c>
      <x:c r="L21" t="str">
        <x:v>Mobility</x:v>
      </x:c>
      <x:c r="M21" s="60" t="n">
        <x:v>1</x:v>
      </x:c>
      <x:c r="N21" s="60" t="n">
        <x:v>0</x:v>
      </x:c>
      <x:c r="O21" s="60" t="n">
        <x:v>0.18</x:v>
      </x:c>
    </x:row>
    <x:row r="22">
      <x:c r="A22" s="12" t="str">
        <x:v>SelfSufficiency</x:v>
      </x:c>
      <x:c r="B22" s="57" t="n">
        <x:v>0.05</x:v>
      </x:c>
      <x:c r="C22" s="57" t="n">
        <x:v>0.1</x:v>
      </x:c>
      <x:c r="D22" s="57" t="n">
        <x:v>-0.2</x:v>
      </x:c>
      <x:c r="E22" s="57" t="n">
        <x:v>0.55</x:v>
      </x:c>
      <x:c r="F22" s="57" t="n">
        <x:v>-0.05</x:v>
      </x:c>
      <x:c r="G22" s="57" t="n">
        <x:v>0.15</x:v>
      </x:c>
      <x:c r="H22" s="57" t="n">
        <x:v>0.1</x:v>
      </x:c>
      <x:c r="I22" s="12" t="n">
        <x:f>SUMIF(B22:H22,"&gt;0",B22:H22)-SUMIF(B22:H22,"&lt;0",B22:H22)</x:f>
        <x:v>1.2000000000000002</x:v>
      </x:c>
      <x:c r="J22" s="12" t="str">
        <x:v>50 + TranslationScale×Linear + InteractionBonus</x:v>
      </x:c>
      <x:c r="L22" t="str">
        <x:v>SelfSufficiency</x:v>
      </x:c>
      <x:c r="M22" s="60" t="n">
        <x:v>1</x:v>
      </x:c>
      <x:c r="N22" s="60" t="n">
        <x:v>0</x:v>
      </x:c>
      <x:c r="O22" s="60" t="n">
        <x:v>0.18</x:v>
      </x:c>
    </x:row>
    <x:row r="23">
      <x:c r="A23" s="12" t="str">
        <x:v>FarmScaling</x:v>
      </x:c>
      <x:c r="B23" s="57" t="n">
        <x:v>-0.15</x:v>
      </x:c>
      <x:c r="C23" s="57" t="n">
        <x:v>-0.05</x:v>
      </x:c>
      <x:c r="D23" s="57" t="n">
        <x:v>-0.05</x:v>
      </x:c>
      <x:c r="E23" s="57" t="n">
        <x:v>0.15</x:v>
      </x:c>
      <x:c r="F23" s="57" t="n">
        <x:v>0.35</x:v>
      </x:c>
      <x:c r="G23" s="57" t="n">
        <x:v>0.05</x:v>
      </x:c>
      <x:c r="H23" s="57" t="n">
        <x:v>0.2</x:v>
      </x:c>
      <x:c r="I23" s="12" t="n">
        <x:f>SUMIF(B23:H23,"&gt;0",B23:H23)-SUMIF(B23:H23,"&lt;0",B23:H23)</x:f>
        <x:v>1</x:v>
      </x:c>
      <x:c r="J23" s="12" t="str">
        <x:v>50 + TranslationScale×Linear + InteractionBonus</x:v>
      </x:c>
      <x:c r="L23" t="str">
        <x:v>FarmScaling</x:v>
      </x:c>
      <x:c r="M23" s="60" t="n">
        <x:v>0.45</x:v>
      </x:c>
      <x:c r="N23" s="60" t="n">
        <x:v>0</x:v>
      </x:c>
      <x:c r="O23" s="60" t="n">
        <x:v>0.1</x:v>
      </x:c>
    </x:row>
    <x:row r="24">
      <x:c r="A24" s="12" t="str">
        <x:v>ObjectiveSecure</x:v>
      </x:c>
      <x:c r="B24" s="57" t="n">
        <x:v>0.1</x:v>
      </x:c>
      <x:c r="C24" s="57" t="n">
        <x:v>0.15</x:v>
      </x:c>
      <x:c r="D24" s="57" t="n">
        <x:v>0</x:v>
      </x:c>
      <x:c r="E24" s="57" t="n">
        <x:v>0.25</x:v>
      </x:c>
      <x:c r="F24" s="57" t="n">
        <x:v>0.15</x:v>
      </x:c>
      <x:c r="G24" s="57" t="n">
        <x:v>0.1</x:v>
      </x:c>
      <x:c r="H24" s="57" t="n">
        <x:v>0.25</x:v>
      </x:c>
      <x:c r="I24" s="12" t="n">
        <x:f>SUMIF(B24:H24,"&gt;0",B24:H24)-SUMIF(B24:H24,"&lt;0",B24:H24)</x:f>
        <x:v>1</x:v>
      </x:c>
      <x:c r="J24" s="12" t="str">
        <x:v>50 + TranslationScale×Linear + InteractionBonus</x:v>
      </x:c>
      <x:c r="L24" t="str">
        <x:v>ObjectiveSecure</x:v>
      </x:c>
      <x:c r="M24" s="60" t="n">
        <x:v>0.4</x:v>
      </x:c>
      <x:c r="N24" s="60" t="n">
        <x:v>0</x:v>
      </x:c>
      <x:c r="O24" s="60" t="n">
        <x:v>0.1</x:v>
      </x:c>
    </x:row>
    <x:row r="25">
      <x:c r="A25" s="12" t="str">
        <x:v>ScoringSide</x:v>
      </x:c>
      <x:c r="B25" s="57" t="n">
        <x:v>0.1</x:v>
      </x:c>
      <x:c r="C25" s="57" t="n">
        <x:v>0.2</x:v>
      </x:c>
      <x:c r="D25" s="57" t="n">
        <x:v>-0.2</x:v>
      </x:c>
      <x:c r="E25" s="57" t="n">
        <x:v>0.25</x:v>
      </x:c>
      <x:c r="F25" s="57" t="n">
        <x:v>0.1</x:v>
      </x:c>
      <x:c r="G25" s="57" t="n">
        <x:v>0.25</x:v>
      </x:c>
      <x:c r="H25" s="57" t="n">
        <x:v>0.1</x:v>
      </x:c>
      <x:c r="I25" s="12" t="n">
        <x:f>SUMIF(B25:H25,"&gt;0",B25:H25)-SUMIF(B25:H25,"&lt;0",B25:H25)</x:f>
        <x:v>1.2</x:v>
      </x:c>
      <x:c r="J25" s="12" t="str">
        <x:v>50 + TranslationScale×Linear + InteractionBonus</x:v>
      </x:c>
      <x:c r="L25" t="str">
        <x:v>ScoringSide</x:v>
      </x:c>
      <x:c r="M25" s="60" t="n">
        <x:v>0.45</x:v>
      </x:c>
      <x:c r="N25" s="60" t="n">
        <x:v>0</x:v>
      </x:c>
      <x:c r="O25" s="60" t="n">
        <x:v>0.18</x:v>
      </x:c>
    </x:row>
    <x:row r="26">
      <x:c r="A26" s="12" t="str">
        <x:v>Execution</x:v>
      </x:c>
      <x:c r="B26" s="57" t="n">
        <x:v>0</x:v>
      </x:c>
      <x:c r="C26" s="57" t="n">
        <x:v>0.05</x:v>
      </x:c>
      <x:c r="D26" s="57" t="n">
        <x:v>0</x:v>
      </x:c>
      <x:c r="E26" s="57" t="n">
        <x:v>0.05</x:v>
      </x:c>
      <x:c r="F26" s="57" t="n">
        <x:v>0.05</x:v>
      </x:c>
      <x:c r="G26" s="57" t="n">
        <x:v>0.2</x:v>
      </x:c>
      <x:c r="H26" s="57" t="n">
        <x:v>0.65</x:v>
      </x:c>
      <x:c r="I26" s="12" t="n">
        <x:f>SUMIF(B26:H26,"&gt;0",B26:H26)-SUMIF(B26:H26,"&lt;0",B26:H26)</x:f>
        <x:v>1</x:v>
      </x:c>
      <x:c r="J26" s="12" t="str">
        <x:v>50 + TranslationScale×Linear + InteractionBonus</x:v>
      </x:c>
      <x:c r="L26" t="str">
        <x:v>Execution</x:v>
      </x:c>
      <x:c r="M26" s="60" t="n">
        <x:v>1.1</x:v>
      </x:c>
      <x:c r="N26" s="60" t="n">
        <x:v>0.35</x:v>
      </x:c>
      <x:c r="O26" s="60" t="n">
        <x:v>0.22</x:v>
      </x:c>
    </x:row>
    <x:row r="27">
      <x:c r="A27" s="12" t="str">
        <x:v>Decision</x:v>
      </x:c>
      <x:c r="B27" s="57" t="n">
        <x:v>0.1</x:v>
      </x:c>
      <x:c r="C27" s="57" t="n">
        <x:v>-0.05</x:v>
      </x:c>
      <x:c r="D27" s="57" t="n">
        <x:v>0.1</x:v>
      </x:c>
      <x:c r="E27" s="57" t="n">
        <x:v>0</x:v>
      </x:c>
      <x:c r="F27" s="57" t="n">
        <x:v>0.3</x:v>
      </x:c>
      <x:c r="G27" s="57" t="n">
        <x:v>0.35</x:v>
      </x:c>
      <x:c r="H27" s="57" t="n">
        <x:v>0.2</x:v>
      </x:c>
      <x:c r="I27" s="12" t="n">
        <x:f>SUMIF(B27:H27,"&gt;0",B27:H27)-SUMIF(B27:H27,"&lt;0",B27:H27)</x:f>
        <x:v>1.1</x:v>
      </x:c>
      <x:c r="J27" s="12" t="str">
        <x:v>50 + TranslationScale×Linear + InteractionBonus</x:v>
      </x:c>
      <x:c r="L27" t="str">
        <x:v>Decision</x:v>
      </x:c>
      <x:c r="M27" s="60" t="n">
        <x:v>1.05</x:v>
      </x:c>
      <x:c r="N27" s="60" t="n">
        <x:v>0.15</x:v>
      </x:c>
      <x:c r="O27" s="60" t="n">
        <x:v>0.2</x:v>
      </x:c>
    </x:row>
    <x:row r="30">
      <x:c r="A30" s="162" t="str">
        <x:v>項目</x:v>
      </x:c>
      <x:c r="B30" s="162" t="str">
        <x:v>式/考え方</x:v>
      </x:c>
      <x:c r="C30" s="162" t="str">
        <x:v>用途</x:v>
      </x:c>
      <x:c r="D30" s="54"/>
      <x:c r="E30" s="54"/>
      <x:c r="F30" s="54"/>
      <x:c r="G30" s="54"/>
      <x:c r="H30" s="54"/>
      <x:c r="I30" s="54"/>
      <x:c r="J30" s="54"/>
      <x:c r="K30" s="54"/>
      <x:c r="L30" s="54"/>
      <x:c r="M30" s="54"/>
      <x:c r="N30" s="54"/>
      <x:c r="O30" s="54"/>
    </x:row>
    <x:row r="31">
      <x:c r="A31" s="85" t="str">
        <x:v>性格7軸</x:v>
      </x:c>
      <x:c r="B31" s="85" t="str">
        <x:v>30問すべてから0〜100化</x:v>
      </x:c>
      <x:c r="C31" s="85" t="str">
        <x:v>表側では『様子を見る←→自分から動く』のような両端ラベルで表示。</x:v>
      </x:c>
    </x:row>
    <x:row r="32">
      <x:c r="A32" s="12" t="str">
        <x:v>7→15線形変換</x:v>
      </x:c>
      <x:c r="B32" s="12" t="str">
        <x:v>50 + TranslationScale×Σ(norm性格×係数)/Σ|係数|</x:v>
      </x:c>
      <x:c r="C32" s="12" t="str">
        <x:v>基本となるプレイ傾向。</x:v>
      </x:c>
    </x:row>
    <x:row r="33">
      <x:c r="A33" s="12" t="str">
        <x:v>組み合わせ効果</x:v>
      </x:c>
      <x:c r="B33" s="12" t="str">
        <x:v>高い性格同士の積×InteractionBonus</x:v>
      </x:c>
      <x:c r="C33" s="12" t="str">
        <x:v>『主導性もリスクも高い→切り込み型』のように、平均化されにくくする。</x:v>
      </x:c>
    </x:row>
    <x:row r="34">
      <x:c r="A34" s="12" t="str">
        <x:v>補助嗜好</x:v>
      </x:c>
      <x:c r="B34" s="12" t="str">
        <x:v>Q21〜Q30の一部を15軸へ弱く反映</x:v>
      </x:c>
      <x:c r="C34" s="12" t="str">
        <x:v>直接ゲームの好みを聞きすぎず、性格推定を主役にする。</x:v>
      </x:c>
    </x:row>
    <x:row r="35">
      <x:c r="A35" s="12" t="str">
        <x:v>FightTempo</x:v>
      </x:c>
      <x:c r="B35" s="12" t="str">
        <x:v>0=瞬間決着 / 100=継続戦</x:v>
      </x:c>
      <x:c r="C35" s="12" t="str">
        <x:v>BurstとSustainDPSを統合し、同じ意味の重複を削減。</x:v>
      </x:c>
    </x:row>
    <x:row r="36">
      <x:c r="A36" s="12" t="str">
        <x:v>SelfSufficiency</x:v>
      </x:c>
      <x:c r="B36" s="12" t="str">
        <x:v>0=味方との依存が大きい / 100=自己完結しやすい</x:v>
      </x:c>
      <x:c r="C36" s="12" t="str">
        <x:v>サポートとアサシン等を分ける上で重要な新軸。</x:v>
      </x:c>
    </x:row>
    <x:row r="37">
      <x:c r="A37" s="12" t="str">
        <x:v>RawMatch</x:v>
      </x:c>
      <x:c r="B37" s="12" t="str">
        <x:v>AbsoluteScore＋ShapeScore＋SpecificityCorrection</x:v>
      </x:c>
      <x:c r="C37" s="12" t="str">
        <x:v>15軸の近さと『高低の形』を評価。</x:v>
      </x:c>
    </x:row>
    <x:row r="38">
      <x:c r="A38" s="12" t="str">
        <x:v>Empirical Percentile</x:v>
      </x:c>
      <x:c r="B38" s="12" t="str">
        <x:v>20,000疑似回答で各プロファイルのRawMatch分布を作り、その中での位置を評価</x:v>
      </x:c>
      <x:c r="C38" s="12" t="str">
        <x:v>『このポケモンにここまで合う人は珍しい』を比較可能にする。</x:v>
      </x:c>
    </x:row>
    <x:row r="39">
      <x:c r="A39" s="12" t="str">
        <x:v>DisplayScore</x:v>
      </x:c>
      <x:c r="B39" s="12" t="str">
        <x:v>MAX(DisplayMin, DisplayBase + DisplayRange×Percentile^DisplayPower)</x:v>
      </x:c>
      <x:c r="C39" s="12" t="str">
        <x:v>中間値の75付近へ固まらず、刺さった時は90台まで伸びる表示用スコア。</x:v>
      </x:c>
    </x:row>
    <x:row r="40">
      <x:c r="A40" s="12" t="str">
        <x:v>RankScore</x:v>
      </x:c>
      <x:c r="B40" s="12" t="str">
        <x:v>PercentileWeight×Percentile×100 + 残り×RawMatch + RankBias</x:v>
      </x:c>
      <x:c r="C40" s="12" t="str">
        <x:v>順位用。ポケモンごとの出やすさは小さなRankBiasだけで校正。</x:v>
      </x:c>
    </x:row>
    <x:row r="41">
      <x:c r="A41" s="12" t="str">
        <x:v>補助3軸</x:v>
      </x:c>
      <x:c r="B41" s="12" t="str">
        <x:v>FarmScaling / ObjectiveSecure / ScoringSide</x:v>
      </x:c>
      <x:c r="C41" s="12" t="str">
        <x:v>パッチ影響を受けやすいためWeightを0.4〜0.45に抑える。</x:v>
      </x:c>
    </x:row>
    <x:row r="42">
      <x:c r="A42" s="12" t="str">
        <x:v>注意</x:v>
      </x:c>
      <x:c r="B42" s="12" t="str">
        <x:v>DisplayScoreは勝率・確率ではない</x:v>
      </x:c>
      <x:c r="C42" s="12" t="str">
        <x:v>『相性 / 100』として表示する。</x:v>
      </x:c>
    </x:row>
  </x:sheetData>
  <x:mergeCells>
    <x:mergeCell ref="A1:O2"/>
    <x:mergeCell ref="A11:D11"/>
    <x:mergeCell ref="L11:O11"/>
    <x:mergeCell ref="A30:O30"/>
  </x:mergeCells>
  <x:conditionalFormatting sqref="M13:M27">
    <x:cfRule type="dataBar" priority="6">
      <x:dataBar>
        <x:cfvo type="min"/>
        <x:cfvo type="max"/>
        <x:color rgb="FFA02B93"/>
      </x:dataBar>
      <x:extLst>
        <x:ext xmlns:x14="http://schemas.microsoft.com/office/spreadsheetml/2009/9/main" uri="{B025F937-C7B1-47D3-B67F-A62EFF666E3E}">
          <x14:id>{7B7B289A-090C-3430-A977-D3C97E3FCA30}</x14:id>
        </x:ext>
      </x:extLst>
    </x:cfRule>
  </x:conditionalFormatting>
  <x:conditionalFormatting sqref="N13:N27">
    <x:cfRule type="dataBar" priority="7">
      <x:dataBar>
        <x:cfvo type="min"/>
        <x:cfvo type="max"/>
        <x:color rgb="FF0F9ED5"/>
      </x:dataBar>
      <x:extLst>
        <x:ext xmlns:x14="http://schemas.microsoft.com/office/spreadsheetml/2009/9/main" uri="{B025F937-C7B1-47D3-B67F-A62EFF666E3E}">
          <x14:id>{CB475C5B-1866-34FC-44D8-5ABAFB4546CB}</x14:id>
        </x:ext>
      </x:extLst>
    </x:cfRule>
  </x:conditionalFormatting>
  <x:conditionalFormatting sqref="O13:O27">
    <x:cfRule type="dataBar" priority="8">
      <x:dataBar>
        <x:cfvo type="min"/>
        <x:cfvo type="max"/>
        <x:color rgb="FF196B24"/>
      </x:dataBar>
      <x:extLst>
        <x:ext xmlns:x14="http://schemas.microsoft.com/office/spreadsheetml/2009/9/main" uri="{B025F937-C7B1-47D3-B67F-A62EFF666E3E}">
          <x14:id>{3CA53FAF-3638-155B-A208-D9C55CA1A014}</x14:id>
        </x:ext>
      </x:extLst>
    </x:cfRule>
  </x:conditionalFormatting>
  <x:conditionalFormatting sqref="B13:H27">
    <x:cfRule type="colorScale" priority="9">
      <x:colorScale>
        <x:cfvo type="min"/>
        <x:cfvo type="percentile" val="50"/>
        <x:cfvo type="max"/>
        <x:color rgb="FFFECACA"/>
        <x:color rgb="FFFFFFFF"/>
        <x:color rgb="FFBFDBFE"/>
      </x:colorScale>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6" id="{7B7B289A-090C-3430-A977-D3C97E3FCA30}">
            <x14:dataBar gradient="1">
              <x14:cfvo type="min"/>
              <x14:cfvo type="max"/>
              <x14:fillColor rgb="FFA02B93"/>
            </x14:dataBar>
          </x14:cfRule>
          <xm:sqref>M13:M27</xm:sqref>
        </x14:conditionalFormatting>
        <x14:conditionalFormatting>
          <x14:cfRule type="dataBar" priority="7" id="{CB475C5B-1866-34FC-44D8-5ABAFB4546CB}">
            <x14:dataBar gradient="1">
              <x14:cfvo type="min"/>
              <x14:cfvo type="max"/>
              <x14:fillColor rgb="FF0F9ED5"/>
            </x14:dataBar>
          </x14:cfRule>
          <xm:sqref>N13:N27</xm:sqref>
        </x14:conditionalFormatting>
        <x14:conditionalFormatting>
          <x14:cfRule type="dataBar" priority="8" id="{3CA53FAF-3638-155B-A208-D9C55CA1A014}">
            <x14:dataBar gradient="1">
              <x14:cfvo type="min"/>
              <x14:cfvo type="max"/>
              <x14:fillColor rgb="FF196B24"/>
            </x14:dataBar>
          </x14:cfRule>
          <xm:sqref>O13:O27</xm:sqref>
        </x14:conditionalFormatting>
      </x14:conditionalFormattings>
    </x:ext>
  </x:extLst>
</x:worksheet>
</file>

<file path=xl/worksheets/sheet10.xml><?xml version="1.0" encoding="utf-8"?>
<x:worksheet xmlns:x="http://schemas.openxmlformats.org/spreadsheetml/2006/main">
  <x:sheetFormatPr defaultRowHeight="15"/>
  <x:cols>
    <x:col min="1" max="1" width="8" hidden="0" customWidth="1"/>
    <x:col min="2" max="2" width="16" hidden="0" customWidth="1"/>
    <x:col min="3" max="3" width="50" hidden="0" customWidth="1"/>
    <x:col min="4" max="4" width="13" hidden="0" customWidth="1"/>
    <x:col min="5" max="5" width="13" hidden="0" customWidth="1"/>
    <x:col min="7" max="7" width="20" hidden="0" customWidth="1"/>
    <x:col min="8" max="8" width="18" hidden="0" customWidth="1"/>
    <x:col min="9" max="9" width="14" hidden="0" customWidth="1"/>
    <x:col min="10" max="10" width="14" hidden="0" customWidth="1"/>
    <x:col min="11" max="11" width="11" hidden="0" customWidth="1"/>
    <x:col min="12" max="12" width="13" hidden="0" customWidth="1"/>
    <x:col min="13" max="13" width="28" hidden="0" customWidth="1"/>
    <x:col min="6" max="6" width="13" hidden="0" customWidth="1"/>
  </x:cols>
  <x:sheetData>
    <x:row r="1">
      <x:c r="A1" s="174" t="str">
        <x:v>診断シミュレーター：30問 → 7つの気質 → 15軸 → Percentile Match</x:v>
      </x:c>
      <x:c r="B1" s="174"/>
      <x:c r="C1" s="174"/>
      <x:c r="D1" s="174"/>
      <x:c r="E1" s="174"/>
      <x:c r="F1" s="174"/>
      <x:c r="G1" s="174"/>
      <x:c r="H1" s="174"/>
      <x:c r="I1" s="174"/>
      <x:c r="J1" s="174"/>
      <x:c r="K1" s="174"/>
      <x:c r="L1" s="174"/>
      <x:c r="M1" s="174"/>
    </x:row>
    <x:row r="2">
      <x:c r="A2" s="174"/>
      <x:c r="B2" s="174"/>
      <x:c r="C2" s="174"/>
      <x:c r="D2" s="174"/>
      <x:c r="E2" s="174"/>
      <x:c r="F2" s="174"/>
      <x:c r="G2" s="174"/>
      <x:c r="H2" s="174"/>
      <x:c r="I2" s="174"/>
      <x:c r="J2" s="174"/>
      <x:c r="K2" s="174"/>
      <x:c r="L2" s="174"/>
      <x:c r="M2" s="174"/>
    </x:row>
    <x:row r="3">
      <x:c r="A3" s="167" t="str">
        <x:v>D列に1〜5を入力。質問文は短めにし、結果側では7軸を両端ラベルで見せます。</x:v>
      </x:c>
      <x:c r="B3" s="167"/>
      <x:c r="C3" s="167"/>
      <x:c r="D3" s="167"/>
      <x:c r="E3" s="167"/>
      <x:c r="F3" s="12"/>
      <x:c r="G3" s="162" t="str">
        <x:v>あなたの7つのプレイ気質</x:v>
      </x:c>
      <x:c r="H3" s="162"/>
      <x:c r="I3" s="162"/>
      <x:c r="J3" s="162"/>
      <x:c r="K3" s="162"/>
      <x:c r="L3" s="162"/>
      <x:c r="M3" s="162"/>
    </x:row>
    <x:row r="4">
      <x:c r="A4" s="162" t="str">
        <x:v>QID</x:v>
      </x:c>
      <x:c r="B4" s="162" t="str">
        <x:v>区分</x:v>
      </x:c>
      <x:c r="C4" s="162" t="str">
        <x:v>質問</x:v>
      </x:c>
      <x:c r="D4" s="162" t="str">
        <x:v>回答(1-5)</x:v>
      </x:c>
      <x:c r="E4" s="162" t="str">
        <x:v>正規化</x:v>
      </x:c>
      <x:c r="F4" s="162" t="str">
        <x:v>指標</x:v>
      </x:c>
      <x:c r="G4" s="171" t="str">
        <x:v>自分から動く</x:v>
      </x:c>
      <x:c r="H4" s="171" t="str">
        <x:v>勝負に出る</x:v>
      </x:c>
      <x:c r="I4" s="171" t="str">
        <x:v>味方に合わせる</x:v>
      </x:c>
      <x:c r="J4" s="171" t="str">
        <x:v>自分で決める</x:v>
      </x:c>
      <x:c r="K4" s="171" t="str">
        <x:v>先に考える</x:v>
      </x:c>
      <x:c r="L4" s="171" t="str">
        <x:v>状況で変える</x:v>
      </x:c>
      <x:c r="M4" s="171" t="str">
        <x:v>やり込んで極める</x:v>
      </x:c>
      <x:c r="N4" t="str">
        <x:v>補正後</x:v>
      </x:c>
      <x:c r="O4" t="str">
        <x:v>回答スタイル補正</x:v>
      </x:c>
    </x:row>
    <x:row r="5">
      <x:c r="A5" s="12" t="str">
        <x:v>Q01</x:v>
      </x:c>
      <x:c r="B5" s="12" t="str">
        <x:v>性格・行動傾向</x:v>
      </x:c>
      <x:c r="C5" s="12" t="str">
        <x:f>Questions_30!C6</x:f>
        <x:v>みんなで何か決めるとき、案が出なければ自分から候補を出す。</x:v>
      </x:c>
      <x:c r="D5" s="175" t="n">
        <x:v>3</x:v>
      </x:c>
      <x:c r="E5" s="12" t="n">
        <x:f>(D5-3)/2</x:f>
        <x:v>0</x:v>
      </x:c>
      <x:c r="F5" s="176" t="str">
        <x:v>Score</x:v>
      </x:c>
      <x:c r="G5" s="57" t="n">
        <x:f>MAX(0,MIN(100,50+Model_Formula!$F$5*SUMPRODUCT($N$5:$N$34,Questions_30!$F$6:$F$35)/(SUMIF(Questions_30!$F$6:$F$35,"&gt;0",Questions_30!$F$6:$F$35)-SUMIF(Questions_30!$F$6:$F$35,"&lt;0",Questions_30!$F$6:$F$35))))</x:f>
        <x:v>50</x:v>
      </x:c>
      <x:c r="H5" s="57" t="n">
        <x:f>MAX(0,MIN(100,50+Model_Formula!$F$5*SUMPRODUCT($N$5:$N$34,Questions_30!$G$6:$G$35)/(SUMIF(Questions_30!$G$6:$G$35,"&gt;0",Questions_30!$G$6:$G$35)-SUMIF(Questions_30!$G$6:$G$35,"&lt;0",Questions_30!$G$6:$G$35))))</x:f>
        <x:v>50</x:v>
      </x:c>
      <x:c r="I5" s="57" t="n">
        <x:f>MAX(0,MIN(100,50+Model_Formula!$F$5*SUMPRODUCT($N$5:$N$34,Questions_30!$H$6:$H$35)/(SUMIF(Questions_30!$H$6:$H$35,"&gt;0",Questions_30!$H$6:$H$35)-SUMIF(Questions_30!$H$6:$H$35,"&lt;0",Questions_30!$H$6:$H$35))))</x:f>
        <x:v>50</x:v>
      </x:c>
      <x:c r="J5" s="57" t="n">
        <x:f>MAX(0,MIN(100,50+Model_Formula!$F$5*SUMPRODUCT($N$5:$N$34,Questions_30!$I$6:$I$35)/(SUMIF(Questions_30!$I$6:$I$35,"&gt;0",Questions_30!$I$6:$I$35)-SUMIF(Questions_30!$I$6:$I$35,"&lt;0",Questions_30!$I$6:$I$35))))</x:f>
        <x:v>50</x:v>
      </x:c>
      <x:c r="K5" s="57" t="n">
        <x:f>MAX(0,MIN(100,50+Model_Formula!$F$5*SUMPRODUCT($N$5:$N$34,Questions_30!$J$6:$J$35)/(SUMIF(Questions_30!$J$6:$J$35,"&gt;0",Questions_30!$J$6:$J$35)-SUMIF(Questions_30!$J$6:$J$35,"&lt;0",Questions_30!$J$6:$J$35))))</x:f>
        <x:v>50</x:v>
      </x:c>
      <x:c r="L5" s="57" t="n">
        <x:f>MAX(0,MIN(100,50+Model_Formula!$F$5*SUMPRODUCT($N$5:$N$34,Questions_30!$K$6:$K$35)/(SUMIF(Questions_30!$K$6:$K$35,"&gt;0",Questions_30!$K$6:$K$35)-SUMIF(Questions_30!$K$6:$K$35,"&lt;0",Questions_30!$K$6:$K$35))))</x:f>
        <x:v>50</x:v>
      </x:c>
      <x:c r="M5" s="57" t="n">
        <x:f>MAX(0,MIN(100,50+Model_Formula!$F$5*SUMPRODUCT($N$5:$N$34,Questions_30!$L$6:$L$35)/(SUMIF(Questions_30!$L$6:$L$35,"&gt;0",Questions_30!$L$6:$L$35)-SUMIF(Questions_30!$L$6:$L$35,"&lt;0",Questions_30!$L$6:$L$35))))</x:f>
        <x:v>50</x:v>
      </x:c>
      <x:c r="N5" t="n">
        <x:f>MAX(-1,MIN(1,E5*$P$7))</x:f>
        <x:v>0</x:v>
      </x:c>
      <x:c r="O5" t="str">
        <x:v>ResponseExtremity（平均|正規化|）</x:v>
      </x:c>
      <x:c r="P5" t="n">
        <x:f>SUMPRODUCT(ABS(E5:E34))/COUNT(D5:D34)</x:f>
        <x:v>0</x:v>
      </x:c>
    </x:row>
    <x:row r="6">
      <x:c r="A6" s="12" t="str">
        <x:v>Q02</x:v>
      </x:c>
      <x:c r="B6" s="12" t="str">
        <x:v>性格・行動傾向</x:v>
      </x:c>
      <x:c r="C6" s="12" t="str">
        <x:f>Questions_30!C7</x:f>
        <x:v>出かける予定などは、その場で決めるより前もって決めておきたい。</x:v>
      </x:c>
      <x:c r="D6" s="175" t="n">
        <x:v>3</x:v>
      </x:c>
      <x:c r="E6" s="12" t="n">
        <x:f>(D6-3)/2</x:f>
        <x:v>0</x:v>
      </x:c>
      <x:c r="F6" s="176" t="str">
        <x:v>Norm</x:v>
      </x:c>
      <x:c r="G6" s="57" t="n">
        <x:f>(G5-50)/50</x:f>
        <x:v>0</x:v>
      </x:c>
      <x:c r="H6" s="57" t="n">
        <x:f>(H5-50)/50</x:f>
        <x:v>0</x:v>
      </x:c>
      <x:c r="I6" s="57" t="n">
        <x:f>(I5-50)/50</x:f>
        <x:v>0</x:v>
      </x:c>
      <x:c r="J6" s="57" t="n">
        <x:f>(J5-50)/50</x:f>
        <x:v>0</x:v>
      </x:c>
      <x:c r="K6" s="57" t="n">
        <x:f>(K5-50)/50</x:f>
        <x:v>0</x:v>
      </x:c>
      <x:c r="L6" s="57" t="n">
        <x:f>(L5-50)/50</x:f>
        <x:v>0</x:v>
      </x:c>
      <x:c r="M6" s="57" t="n">
        <x:f>(M5-50)/50</x:f>
        <x:v>0</x:v>
      </x:c>
      <x:c r="N6" t="n">
        <x:f>MAX(-1,MIN(1,E6*$P$7))</x:f>
        <x:v>0</x:v>
      </x:c>
      <x:c r="O6" t="str">
        <x:v>補正倍率（上限・下限つき）</x:v>
      </x:c>
      <x:c r="P6" t="n">
        <x:f>IF(OR(Model_Formula!$L$5=0,P5=0),1,MIN(Model_Formula!$L$9,MAX(Model_Formula!$L$8,(Model_Formula!$L$6/P5)^Model_Formula!$L$7)))</x:f>
        <x:v>1</x:v>
      </x:c>
    </x:row>
    <x:row r="7">
      <x:c r="A7" s="12" t="str">
        <x:v>Q03</x:v>
      </x:c>
      <x:c r="B7" s="12" t="str">
        <x:v>性格・行動傾向</x:v>
      </x:c>
      <x:c r="C7" s="12" t="str">
        <x:f>Questions_30!C8</x:f>
        <x:v>迷ったとき、失敗してもやり直せるなら、とりあえず試す方だ。</x:v>
      </x:c>
      <x:c r="D7" s="175" t="n">
        <x:v>3</x:v>
      </x:c>
      <x:c r="E7" s="12" t="n">
        <x:f>(D7-3)/2</x:f>
        <x:v>0</x:v>
      </x:c>
      <x:c r="F7" s="176" t="str">
        <x:v>0側</x:v>
      </x:c>
      <x:c r="G7" s="111" t="str">
        <x:v>様子を見る</x:v>
      </x:c>
      <x:c r="H7" s="111" t="str">
        <x:v>堅実に行く</x:v>
      </x:c>
      <x:c r="I7" s="111" t="str">
        <x:v>自分のペース</x:v>
      </x:c>
      <x:c r="J7" s="111" t="str">
        <x:v>相談して決める</x:v>
      </x:c>
      <x:c r="K7" s="111" t="str">
        <x:v>動きながら考える</x:v>
      </x:c>
      <x:c r="L7" s="111" t="str">
        <x:v>型を貫く</x:v>
      </x:c>
      <x:c r="M7" s="111" t="str">
        <x:v>手軽さ重視</x:v>
      </x:c>
      <x:c r="N7" t="n">
        <x:f>MAX(-1,MIN(1,E7*$P$7))</x:f>
        <x:v>0</x:v>
      </x:c>
      <x:c r="O7" t="str">
        <x:v>補正倍率（情報の少ない回答では強めない）</x:v>
      </x:c>
      <x:c r="P7" t="n">
        <x:f>IF(AND(P6&gt;1,Model_Formula!$L$10&gt;0,P5&lt;Model_Formula!$L$10),1+(P6-1)*P5/Model_Formula!$L$10,P6)</x:f>
        <x:v>1</x:v>
      </x:c>
    </x:row>
    <x:row r="8">
      <x:c r="A8" s="12" t="str">
        <x:v>Q04</x:v>
      </x:c>
      <x:c r="B8" s="12" t="str">
        <x:v>性格・行動傾向</x:v>
      </x:c>
      <x:c r="C8" s="12" t="str">
        <x:f>Questions_30!C9</x:f>
        <x:v>みんなで動くときは、自分のペースより周りに合わせることが多い。</x:v>
      </x:c>
      <x:c r="D8" s="175" t="n">
        <x:v>3</x:v>
      </x:c>
      <x:c r="E8" s="12" t="n">
        <x:f>(D8-3)/2</x:f>
        <x:v>0</x:v>
      </x:c>
      <x:c r="F8" s="12"/>
      <x:c r="G8" s="12"/>
      <x:c r="H8" s="12"/>
      <x:c r="I8" s="12"/>
      <x:c r="J8" s="12"/>
      <x:c r="K8" s="12"/>
      <x:c r="L8" s="12"/>
      <x:c r="M8" s="12"/>
      <x:c r="N8" t="n">
        <x:f>MAX(-1,MIN(1,E8*$P$7))</x:f>
        <x:v>0</x:v>
      </x:c>
    </x:row>
    <x:row r="9">
      <x:c r="A9" s="12" t="str">
        <x:v>Q05</x:v>
      </x:c>
      <x:c r="B9" s="12" t="str">
        <x:v>性格・行動傾向</x:v>
      </x:c>
      <x:c r="C9" s="12" t="str">
        <x:f>Questions_30!C10</x:f>
        <x:v>困ったときは、まず自分で試してから誰かに聞く。</x:v>
      </x:c>
      <x:c r="D9" s="175" t="n">
        <x:v>3</x:v>
      </x:c>
      <x:c r="E9" s="12" t="n">
        <x:f>(D9-3)/2</x:f>
        <x:v>0</x:v>
      </x:c>
      <x:c r="F9" s="12"/>
      <x:c r="G9" s="162" t="str">
        <x:v>最終15プレイ軸（コア12＋補助3）</x:v>
      </x:c>
      <x:c r="H9" s="162"/>
      <x:c r="I9" s="162"/>
      <x:c r="J9" s="162"/>
      <x:c r="K9" s="162"/>
      <x:c r="L9" s="162"/>
      <x:c r="M9" s="162"/>
      <x:c r="N9" t="n">
        <x:f>MAX(-1,MIN(1,E9*$P$7))</x:f>
        <x:v>0</x:v>
      </x:c>
    </x:row>
    <x:row r="10">
      <x:c r="A10" s="12" t="str">
        <x:v>Q06</x:v>
      </x:c>
      <x:c r="B10" s="12" t="str">
        <x:v>性格・行動傾向</x:v>
      </x:c>
      <x:c r="C10" s="12" t="str">
        <x:f>Questions_30!C11</x:f>
        <x:v>うまくいったやり方は、状況が少し変わってもそのまま使いたい。</x:v>
      </x:c>
      <x:c r="D10" s="175" t="n">
        <x:v>3</x:v>
      </x:c>
      <x:c r="E10" s="12" t="n">
        <x:f>(D10-3)/2</x:f>
        <x:v>0</x:v>
      </x:c>
      <x:c r="F10" s="12"/>
      <x:c r="G10" s="162" t="str">
        <x:v>GameAxis</x:v>
      </x:c>
      <x:c r="H10" s="162" t="str">
        <x:v>表示名</x:v>
      </x:c>
      <x:c r="I10" s="162" t="str">
        <x:v>性格→15</x:v>
      </x:c>
      <x:c r="J10" s="162" t="str">
        <x:v>補助嗜好</x:v>
      </x:c>
      <x:c r="K10" s="162" t="str">
        <x:v>Blend</x:v>
      </x:c>
      <x:c r="L10" s="162" t="str">
        <x:v>Final</x:v>
      </x:c>
      <x:c r="M10" s="162" t="str">
        <x:v>メモ</x:v>
      </x:c>
      <x:c r="N10" t="n">
        <x:f>MAX(-1,MIN(1,E10*$P$7))</x:f>
        <x:v>0</x:v>
      </x:c>
    </x:row>
    <x:row r="11">
      <x:c r="A11" s="12" t="str">
        <x:v>Q07</x:v>
      </x:c>
      <x:c r="B11" s="12" t="str">
        <x:v>性格・行動傾向</x:v>
      </x:c>
      <x:c r="C11" s="12" t="str">
        <x:f>Questions_30!C12</x:f>
        <x:v>一度ハマったことは、コツや細かい違いまで知りたくなる。</x:v>
      </x:c>
      <x:c r="D11" s="175" t="n">
        <x:v>3</x:v>
      </x:c>
      <x:c r="E11" s="12" t="n">
        <x:f>(D11-3)/2</x:f>
        <x:v>0</x:v>
      </x:c>
      <x:c r="F11" s="12"/>
      <x:c r="G11" s="12" t="str">
        <x:v>Engage</x:v>
      </x:c>
      <x:c r="H11" s="12" t="str">
        <x:v>仕掛け</x:v>
      </x:c>
      <x:c r="I11" s="67" t="n">
        <x:f>MAX(0,MIN(100,50+Model_Formula!$F$6*SUMPRODUCT($G$6:$M$6,Model_Formula!$B$13:$H$13)/Model_Formula!$I$13+MAX(0,$G$6)*MAX(0,$H$6)*Interaction_Model!$F$2+MAX(0,$K$6)*MAX(0,-$H$6)*Interaction_Model!$F$3+MAX(0,$I$6)*MAX(0,$K$6)*Interaction_Model!$F$4+MAX(0,$J$6)*MAX(0,$L$6)*Interaction_Model!$F$5+MAX(0,$M$6)*MAX(0,$L$6)*Interaction_Model!$F$6+MAX(0,$J$6)*MAX(0,$H$6)*Interaction_Model!$F$7))</x:f>
        <x:v>50</x:v>
      </x:c>
      <x:c r="J11" s="67" t="n">
        <x:f>IF((SUMIF(Questions_30!$M$26:$M$35,"&gt;0",Questions_30!$M$26:$M$35)-SUMIF(Questions_30!$M$26:$M$35,"&lt;0",Questions_30!$M$26:$M$35))=0,50,MAX(0,MIN(100,50+Model_Formula!$F$7*SUMPRODUCT($N$25:$N$34,Questions_30!$M$26:$M$35)/(SUMIF(Questions_30!$M$26:$M$35,"&gt;0",Questions_30!$M$26:$M$35)-SUMIF(Questions_30!$M$26:$M$35,"&lt;0",Questions_30!$M$26:$M$35)))))</x:f>
        <x:v>50</x:v>
      </x:c>
      <x:c r="K11" s="67" t="n">
        <x:f>Model_Formula!$O$13</x:f>
        <x:v>0.15</x:v>
      </x:c>
      <x:c r="L11" s="67" t="n">
        <x:f>MAX(0,MIN(100,I11*(1-K11)+J11*K11))</x:f>
        <x:v>50</x:v>
      </x:c>
      <x:c r="M11" s="12" t="str">
        <x:v>コア</x:v>
      </x:c>
      <x:c r="N11" t="n">
        <x:f>MAX(-1,MIN(1,E11*$P$7))</x:f>
        <x:v>0</x:v>
      </x:c>
    </x:row>
    <x:row r="12">
      <x:c r="A12" s="12" t="str">
        <x:v>Q08</x:v>
      </x:c>
      <x:c r="B12" s="12" t="str">
        <x:v>性格・行動傾向</x:v>
      </x:c>
      <x:c r="C12" s="12" t="str">
        <x:f>Questions_30!C13</x:f>
        <x:v>誰かが決めてくれるなら、自分から前に出なくても気にならない。</x:v>
      </x:c>
      <x:c r="D12" s="175" t="n">
        <x:v>3</x:v>
      </x:c>
      <x:c r="E12" s="12" t="n">
        <x:f>(D12-3)/2</x:f>
        <x:v>0</x:v>
      </x:c>
      <x:c r="F12" s="12"/>
      <x:c r="G12" s="12" t="str">
        <x:v>Dive</x:v>
      </x:c>
      <x:c r="H12" s="12" t="str">
        <x:v>踏み込み</x:v>
      </x:c>
      <x:c r="I12" s="67" t="n">
        <x:f>MAX(0,MIN(100,50+Model_Formula!$F$6*SUMPRODUCT($G$6:$M$6,Model_Formula!$B$14:$H$14)/Model_Formula!$I$14+MAX(0,$G$6)*MAX(0,$H$6)*Interaction_Model!$G$2+MAX(0,$K$6)*MAX(0,-$H$6)*Interaction_Model!$G$3+MAX(0,$I$6)*MAX(0,$K$6)*Interaction_Model!$G$4+MAX(0,$J$6)*MAX(0,$L$6)*Interaction_Model!$G$5+MAX(0,$M$6)*MAX(0,$L$6)*Interaction_Model!$G$6+MAX(0,$J$6)*MAX(0,$H$6)*Interaction_Model!$G$7))</x:f>
        <x:v>50</x:v>
      </x:c>
      <x:c r="J12" s="67" t="n">
        <x:f>IF((SUMIF(Questions_30!$N$26:$N$35,"&gt;0",Questions_30!$N$26:$N$35)-SUMIF(Questions_30!$N$26:$N$35,"&lt;0",Questions_30!$N$26:$N$35))=0,50,MAX(0,MIN(100,50+Model_Formula!$F$7*SUMPRODUCT($N$25:$N$34,Questions_30!$N$26:$N$35)/(SUMIF(Questions_30!$N$26:$N$35,"&gt;0",Questions_30!$N$26:$N$35)-SUMIF(Questions_30!$N$26:$N$35,"&lt;0",Questions_30!$N$26:$N$35)))))</x:f>
        <x:v>50</x:v>
      </x:c>
      <x:c r="K12" s="67" t="n">
        <x:f>Model_Formula!$O$14</x:f>
        <x:v>0.15</x:v>
      </x:c>
      <x:c r="L12" s="67" t="n">
        <x:f>MAX(0,MIN(100,I12*(1-K12)+J12*K12))</x:f>
        <x:v>50</x:v>
      </x:c>
      <x:c r="M12" s="12" t="str">
        <x:v>コア</x:v>
      </x:c>
      <x:c r="N12" t="n">
        <x:f>MAX(-1,MIN(1,E12*$P$7))</x:f>
        <x:v>0</x:v>
      </x:c>
    </x:row>
    <x:row r="13">
      <x:c r="A13" s="12" t="str">
        <x:v>Q09</x:v>
      </x:c>
      <x:c r="B13" s="12" t="str">
        <x:v>性格・行動傾向</x:v>
      </x:c>
      <x:c r="C13" s="12" t="str">
        <x:f>Questions_30!C14</x:f>
        <x:v>迷うくらいなら、少し得を逃しても安全な方を選ぶ。</x:v>
      </x:c>
      <x:c r="D13" s="175" t="n">
        <x:v>3</x:v>
      </x:c>
      <x:c r="E13" s="12" t="n">
        <x:f>(D13-3)/2</x:f>
        <x:v>0</x:v>
      </x:c>
      <x:c r="F13" s="12"/>
      <x:c r="G13" s="12" t="str">
        <x:v>Peel</x:v>
      </x:c>
      <x:c r="H13" s="12" t="str">
        <x:v>味方保護</x:v>
      </x:c>
      <x:c r="I13" s="67" t="n">
        <x:f>MAX(0,MIN(100,50+Model_Formula!$F$6*SUMPRODUCT($G$6:$M$6,Model_Formula!$B$15:$H$15)/Model_Formula!$I$15+MAX(0,$G$6)*MAX(0,$H$6)*Interaction_Model!$H$2+MAX(0,$K$6)*MAX(0,-$H$6)*Interaction_Model!$H$3+MAX(0,$I$6)*MAX(0,$K$6)*Interaction_Model!$H$4+MAX(0,$J$6)*MAX(0,$L$6)*Interaction_Model!$H$5+MAX(0,$M$6)*MAX(0,$L$6)*Interaction_Model!$H$6+MAX(0,$J$6)*MAX(0,$H$6)*Interaction_Model!$H$7))</x:f>
        <x:v>50</x:v>
      </x:c>
      <x:c r="J13" s="67" t="n">
        <x:f>IF((SUMIF(Questions_30!$O$26:$O$35,"&gt;0",Questions_30!$O$26:$O$35)-SUMIF(Questions_30!$O$26:$O$35,"&lt;0",Questions_30!$O$26:$O$35))=0,50,MAX(0,MIN(100,50+Model_Formula!$F$7*SUMPRODUCT($N$25:$N$34,Questions_30!$O$26:$O$35)/(SUMIF(Questions_30!$O$26:$O$35,"&gt;0",Questions_30!$O$26:$O$35)-SUMIF(Questions_30!$O$26:$O$35,"&lt;0",Questions_30!$O$26:$O$35)))))</x:f>
        <x:v>50</x:v>
      </x:c>
      <x:c r="K13" s="67" t="n">
        <x:f>Model_Formula!$O$15</x:f>
        <x:v>0.16</x:v>
      </x:c>
      <x:c r="L13" s="67" t="n">
        <x:f>MAX(0,MIN(100,I13*(1-K13)+J13*K13))</x:f>
        <x:v>50</x:v>
      </x:c>
      <x:c r="M13" s="12" t="str">
        <x:v>コア</x:v>
      </x:c>
      <x:c r="N13" t="n">
        <x:f>MAX(-1,MIN(1,E13*$P$7))</x:f>
        <x:v>0</x:v>
      </x:c>
    </x:row>
    <x:row r="14">
      <x:c r="A14" s="12" t="str">
        <x:v>Q10</x:v>
      </x:c>
      <x:c r="B14" s="12" t="str">
        <x:v>性格・行動傾向</x:v>
      </x:c>
      <x:c r="C14" s="12" t="str">
        <x:f>Questions_30!C15</x:f>
        <x:v>細かく予定を決めるより、まず始めてから考える方が楽だ。</x:v>
      </x:c>
      <x:c r="D14" s="175" t="n">
        <x:v>3</x:v>
      </x:c>
      <x:c r="E14" s="12" t="n">
        <x:f>(D14-3)/2</x:f>
        <x:v>0</x:v>
      </x:c>
      <x:c r="F14" s="12"/>
      <x:c r="G14" s="12" t="str">
        <x:v>Frontline</x:v>
      </x:c>
      <x:c r="H14" s="12" t="str">
        <x:v>前線維持</x:v>
      </x:c>
      <x:c r="I14" s="67" t="n">
        <x:f>MAX(0,MIN(100,50+Model_Formula!$F$6*SUMPRODUCT($G$6:$M$6,Model_Formula!$B$16:$H$16)/Model_Formula!$I$16+MAX(0,$G$6)*MAX(0,$H$6)*Interaction_Model!$I$2+MAX(0,$K$6)*MAX(0,-$H$6)*Interaction_Model!$I$3+MAX(0,$I$6)*MAX(0,$K$6)*Interaction_Model!$I$4+MAX(0,$J$6)*MAX(0,$L$6)*Interaction_Model!$I$5+MAX(0,$M$6)*MAX(0,$L$6)*Interaction_Model!$I$6+MAX(0,$J$6)*MAX(0,$H$6)*Interaction_Model!$I$7))</x:f>
        <x:v>50</x:v>
      </x:c>
      <x:c r="J14" s="67" t="n">
        <x:f>IF((SUMIF(Questions_30!$P$26:$P$35,"&gt;0",Questions_30!$P$26:$P$35)-SUMIF(Questions_30!$P$26:$P$35,"&lt;0",Questions_30!$P$26:$P$35))=0,50,MAX(0,MIN(100,50+Model_Formula!$F$7*SUMPRODUCT($N$25:$N$34,Questions_30!$P$26:$P$35)/(SUMIF(Questions_30!$P$26:$P$35,"&gt;0",Questions_30!$P$26:$P$35)-SUMIF(Questions_30!$P$26:$P$35,"&lt;0",Questions_30!$P$26:$P$35)))))</x:f>
        <x:v>50</x:v>
      </x:c>
      <x:c r="K14" s="67" t="n">
        <x:f>Model_Formula!$O$16</x:f>
        <x:v>0.1</x:v>
      </x:c>
      <x:c r="L14" s="67" t="n">
        <x:f>MAX(0,MIN(100,I14*(1-K14)+J14*K14))</x:f>
        <x:v>50</x:v>
      </x:c>
      <x:c r="M14" s="12" t="str">
        <x:v>コア</x:v>
      </x:c>
      <x:c r="N14" t="n">
        <x:f>MAX(-1,MIN(1,E14*$P$7))</x:f>
        <x:v>0</x:v>
      </x:c>
    </x:row>
    <x:row r="15">
      <x:c r="A15" s="12" t="str">
        <x:v>Q11</x:v>
      </x:c>
      <x:c r="B15" s="12" t="str">
        <x:v>性格・行動傾向</x:v>
      </x:c>
      <x:c r="C15" s="12" t="str">
        <x:f>Questions_30!C16</x:f>
        <x:v>役割が決まっていれば、途中であまり相談せず各自で進めたい。</x:v>
      </x:c>
      <x:c r="D15" s="175" t="n">
        <x:v>3</x:v>
      </x:c>
      <x:c r="E15" s="12" t="n">
        <x:f>(D15-3)/2</x:f>
        <x:v>0</x:v>
      </x:c>
      <x:c r="F15" s="12"/>
      <x:c r="G15" s="12" t="str">
        <x:v>Poke</x:v>
      </x:c>
      <x:c r="H15" s="12" t="str">
        <x:v>間合い管理</x:v>
      </x:c>
      <x:c r="I15" s="67" t="n">
        <x:f>MAX(0,MIN(100,50+Model_Formula!$F$6*SUMPRODUCT($G$6:$M$6,Model_Formula!$B$17:$H$17)/Model_Formula!$I$17+MAX(0,$G$6)*MAX(0,$H$6)*Interaction_Model!$J$2+MAX(0,$K$6)*MAX(0,-$H$6)*Interaction_Model!$J$3+MAX(0,$I$6)*MAX(0,$K$6)*Interaction_Model!$J$4+MAX(0,$J$6)*MAX(0,$L$6)*Interaction_Model!$J$5+MAX(0,$M$6)*MAX(0,$L$6)*Interaction_Model!$J$6+MAX(0,$J$6)*MAX(0,$H$6)*Interaction_Model!$J$7))</x:f>
        <x:v>50</x:v>
      </x:c>
      <x:c r="J15" s="67" t="n">
        <x:f>IF((SUMIF(Questions_30!$Q$26:$Q$35,"&gt;0",Questions_30!$Q$26:$Q$35)-SUMIF(Questions_30!$Q$26:$Q$35,"&lt;0",Questions_30!$Q$26:$Q$35))=0,50,MAX(0,MIN(100,50+Model_Formula!$F$7*SUMPRODUCT($N$25:$N$34,Questions_30!$Q$26:$Q$35)/(SUMIF(Questions_30!$Q$26:$Q$35,"&gt;0",Questions_30!$Q$26:$Q$35)-SUMIF(Questions_30!$Q$26:$Q$35,"&lt;0",Questions_30!$Q$26:$Q$35)))))</x:f>
        <x:v>50</x:v>
      </x:c>
      <x:c r="K15" s="67" t="n">
        <x:f>Model_Formula!$O$17</x:f>
        <x:v>0.12</x:v>
      </x:c>
      <x:c r="L15" s="67" t="n">
        <x:f>MAX(0,MIN(100,I15*(1-K15)+J15*K15))</x:f>
        <x:v>50</x:v>
      </x:c>
      <x:c r="M15" s="12" t="str">
        <x:v>コア</x:v>
      </x:c>
      <x:c r="N15" t="n">
        <x:f>MAX(-1,MIN(1,E15*$P$7))</x:f>
        <x:v>0</x:v>
      </x:c>
    </x:row>
    <x:row r="16">
      <x:c r="A16" s="12" t="str">
        <x:v>Q12</x:v>
      </x:c>
      <x:c r="B16" s="12" t="str">
        <x:v>性格・行動傾向</x:v>
      </x:c>
      <x:c r="C16" s="12" t="str">
        <x:f>Questions_30!C17</x:f>
        <x:v>一人で決められることでも、一度誰かに聞いてから決める方が安心する。</x:v>
      </x:c>
      <x:c r="D16" s="175" t="n">
        <x:v>3</x:v>
      </x:c>
      <x:c r="E16" s="12" t="n">
        <x:f>(D16-3)/2</x:f>
        <x:v>0</x:v>
      </x:c>
      <x:c r="F16" s="12"/>
      <x:c r="G16" s="12" t="str">
        <x:v>FightTempo</x:v>
      </x:c>
      <x:c r="H16" s="12" t="str">
        <x:v>戦闘テンポ</x:v>
      </x:c>
      <x:c r="I16" s="67" t="n">
        <x:f>MAX(0,MIN(100,50+Model_Formula!$F$6*SUMPRODUCT($G$6:$M$6,Model_Formula!$B$18:$H$18)/Model_Formula!$I$18+MAX(0,$G$6)*MAX(0,$H$6)*Interaction_Model!$K$2+MAX(0,$K$6)*MAX(0,-$H$6)*Interaction_Model!$K$3+MAX(0,$I$6)*MAX(0,$K$6)*Interaction_Model!$K$4+MAX(0,$J$6)*MAX(0,$L$6)*Interaction_Model!$K$5+MAX(0,$M$6)*MAX(0,$L$6)*Interaction_Model!$K$6+MAX(0,$J$6)*MAX(0,$H$6)*Interaction_Model!$K$7))</x:f>
        <x:v>50</x:v>
      </x:c>
      <x:c r="J16" s="67" t="n">
        <x:f>IF((SUMIF(Questions_30!$R$26:$R$35,"&gt;0",Questions_30!$R$26:$R$35)-SUMIF(Questions_30!$R$26:$R$35,"&lt;0",Questions_30!$R$26:$R$35))=0,50,MAX(0,MIN(100,50+Model_Formula!$F$7*SUMPRODUCT($N$25:$N$34,Questions_30!$R$26:$R$35)/(SUMIF(Questions_30!$R$26:$R$35,"&gt;0",Questions_30!$R$26:$R$35)-SUMIF(Questions_30!$R$26:$R$35,"&lt;0",Questions_30!$R$26:$R$35)))))</x:f>
        <x:v>50</x:v>
      </x:c>
      <x:c r="K16" s="67" t="n">
        <x:f>Model_Formula!$O$18</x:f>
        <x:v>0.1</x:v>
      </x:c>
      <x:c r="L16" s="67" t="n">
        <x:f>MAX(0,MIN(100,I16*(1-K16)+J16*K16))</x:f>
        <x:v>50</x:v>
      </x:c>
      <x:c r="M16" s="12" t="str">
        <x:v>0=瞬間 / 100=継続</x:v>
      </x:c>
      <x:c r="N16" t="n">
        <x:f>MAX(-1,MIN(1,E16*$P$7))</x:f>
        <x:v>0</x:v>
      </x:c>
    </x:row>
    <x:row r="17">
      <x:c r="A17" s="12" t="str">
        <x:v>Q13</x:v>
      </x:c>
      <x:c r="B17" s="12" t="str">
        <x:v>性格・行動傾向</x:v>
      </x:c>
      <x:c r="C17" s="12" t="str">
        <x:f>Questions_30!C18</x:f>
        <x:v>やり方が通じなければ、早めに別の方法へ切り替える方だ。</x:v>
      </x:c>
      <x:c r="D17" s="175" t="n">
        <x:v>3</x:v>
      </x:c>
      <x:c r="E17" s="12" t="n">
        <x:f>(D17-3)/2</x:f>
        <x:v>0</x:v>
      </x:c>
      <x:c r="F17" s="12"/>
      <x:c r="G17" s="12" t="str">
        <x:v>Control</x:v>
      </x:c>
      <x:c r="H17" s="12" t="str">
        <x:v>盤面制御</x:v>
      </x:c>
      <x:c r="I17" s="67" t="n">
        <x:f>MAX(0,MIN(100,50+Model_Formula!$F$6*SUMPRODUCT($G$6:$M$6,Model_Formula!$B$19:$H$19)/Model_Formula!$I$19+MAX(0,$G$6)*MAX(0,$H$6)*Interaction_Model!$L$2+MAX(0,$K$6)*MAX(0,-$H$6)*Interaction_Model!$L$3+MAX(0,$I$6)*MAX(0,$K$6)*Interaction_Model!$L$4+MAX(0,$J$6)*MAX(0,$L$6)*Interaction_Model!$L$5+MAX(0,$M$6)*MAX(0,$L$6)*Interaction_Model!$L$6+MAX(0,$J$6)*MAX(0,$H$6)*Interaction_Model!$L$7))</x:f>
        <x:v>50</x:v>
      </x:c>
      <x:c r="J17" s="67" t="n">
        <x:f>IF((SUMIF(Questions_30!$S$26:$S$35,"&gt;0",Questions_30!$S$26:$S$35)-SUMIF(Questions_30!$S$26:$S$35,"&lt;0",Questions_30!$S$26:$S$35))=0,50,MAX(0,MIN(100,50+Model_Formula!$F$7*SUMPRODUCT($N$25:$N$34,Questions_30!$S$26:$S$35)/(SUMIF(Questions_30!$S$26:$S$35,"&gt;0",Questions_30!$S$26:$S$35)-SUMIF(Questions_30!$S$26:$S$35,"&lt;0",Questions_30!$S$26:$S$35)))))</x:f>
        <x:v>50</x:v>
      </x:c>
      <x:c r="K17" s="67" t="n">
        <x:f>Model_Formula!$O$19</x:f>
        <x:v>0.12</x:v>
      </x:c>
      <x:c r="L17" s="67" t="n">
        <x:f>MAX(0,MIN(100,I17*(1-K17)+J17*K17))</x:f>
        <x:v>50</x:v>
      </x:c>
      <x:c r="M17" s="12" t="str">
        <x:v>コア</x:v>
      </x:c>
      <x:c r="N17" t="n">
        <x:f>MAX(-1,MIN(1,E17*$P$7))</x:f>
        <x:v>0</x:v>
      </x:c>
    </x:row>
    <x:row r="18">
      <x:c r="A18" s="12" t="str">
        <x:v>Q14</x:v>
      </x:c>
      <x:c r="B18" s="12" t="str">
        <x:v>性格・行動傾向</x:v>
      </x:c>
      <x:c r="C18" s="12" t="str">
        <x:f>Questions_30!C19</x:f>
        <x:v>難しいものを覚えるより、すぐ使えるものを選びやすい。</x:v>
      </x:c>
      <x:c r="D18" s="175" t="n">
        <x:v>3</x:v>
      </x:c>
      <x:c r="E18" s="12" t="n">
        <x:f>(D18-3)/2</x:f>
        <x:v>0</x:v>
      </x:c>
      <x:c r="F18" s="12"/>
      <x:c r="G18" s="12" t="str">
        <x:v>Support</x:v>
      </x:c>
      <x:c r="H18" s="12" t="str">
        <x:v>直接支援</x:v>
      </x:c>
      <x:c r="I18" s="67" t="n">
        <x:f>MAX(0,MIN(100,50+Model_Formula!$F$6*SUMPRODUCT($G$6:$M$6,Model_Formula!$B$20:$H$20)/Model_Formula!$I$20+MAX(0,$G$6)*MAX(0,$H$6)*Interaction_Model!$M$2+MAX(0,$K$6)*MAX(0,-$H$6)*Interaction_Model!$M$3+MAX(0,$I$6)*MAX(0,$K$6)*Interaction_Model!$M$4+MAX(0,$J$6)*MAX(0,$L$6)*Interaction_Model!$M$5+MAX(0,$M$6)*MAX(0,$L$6)*Interaction_Model!$M$6+MAX(0,$J$6)*MAX(0,$H$6)*Interaction_Model!$M$7))</x:f>
        <x:v>50</x:v>
      </x:c>
      <x:c r="J18" s="67" t="n">
        <x:f>IF((SUMIF(Questions_30!$T$26:$T$35,"&gt;0",Questions_30!$T$26:$T$35)-SUMIF(Questions_30!$T$26:$T$35,"&lt;0",Questions_30!$T$26:$T$35))=0,50,MAX(0,MIN(100,50+Model_Formula!$F$7*SUMPRODUCT($N$25:$N$34,Questions_30!$T$26:$T$35)/(SUMIF(Questions_30!$T$26:$T$35,"&gt;0",Questions_30!$T$26:$T$35)-SUMIF(Questions_30!$T$26:$T$35,"&lt;0",Questions_30!$T$26:$T$35)))))</x:f>
        <x:v>50</x:v>
      </x:c>
      <x:c r="K18" s="67" t="n">
        <x:f>Model_Formula!$O$20</x:f>
        <x:v>0.18</x:v>
      </x:c>
      <x:c r="L18" s="67" t="n">
        <x:f>MAX(0,MIN(100,I18*(1-K18)+J18*K18))</x:f>
        <x:v>50</x:v>
      </x:c>
      <x:c r="M18" s="12" t="str">
        <x:v>コア</x:v>
      </x:c>
      <x:c r="N18" t="n">
        <x:f>MAX(-1,MIN(1,E18*$P$7))</x:f>
        <x:v>0</x:v>
      </x:c>
    </x:row>
    <x:row r="19">
      <x:c r="A19" s="12" t="str">
        <x:v>Q15</x:v>
      </x:c>
      <x:c r="B19" s="12" t="str">
        <x:v>性格・行動傾向</x:v>
      </x:c>
      <x:c r="C19" s="12" t="str">
        <x:f>Questions_30!C20</x:f>
        <x:v>誰がやるか決まっていないことがあれば、自分から引き受けることがある。</x:v>
      </x:c>
      <x:c r="D19" s="175" t="n">
        <x:v>3</x:v>
      </x:c>
      <x:c r="E19" s="12" t="n">
        <x:f>(D19-3)/2</x:f>
        <x:v>0</x:v>
      </x:c>
      <x:c r="F19" s="12"/>
      <x:c r="G19" s="12" t="str">
        <x:v>Mobility</x:v>
      </x:c>
      <x:c r="H19" s="12" t="str">
        <x:v>機動力</x:v>
      </x:c>
      <x:c r="I19" s="67" t="n">
        <x:f>MAX(0,MIN(100,50+Model_Formula!$F$6*SUMPRODUCT($G$6:$M$6,Model_Formula!$B$21:$H$21)/Model_Formula!$I$21+MAX(0,$G$6)*MAX(0,$H$6)*Interaction_Model!$N$2+MAX(0,$K$6)*MAX(0,-$H$6)*Interaction_Model!$N$3+MAX(0,$I$6)*MAX(0,$K$6)*Interaction_Model!$N$4+MAX(0,$J$6)*MAX(0,$L$6)*Interaction_Model!$N$5+MAX(0,$M$6)*MAX(0,$L$6)*Interaction_Model!$N$6+MAX(0,$J$6)*MAX(0,$H$6)*Interaction_Model!$N$7))</x:f>
        <x:v>50</x:v>
      </x:c>
      <x:c r="J19" s="67" t="n">
        <x:f>IF((SUMIF(Questions_30!$U$26:$U$35,"&gt;0",Questions_30!$U$26:$U$35)-SUMIF(Questions_30!$U$26:$U$35,"&lt;0",Questions_30!$U$26:$U$35))=0,50,MAX(0,MIN(100,50+Model_Formula!$F$7*SUMPRODUCT($N$25:$N$34,Questions_30!$U$26:$U$35)/(SUMIF(Questions_30!$U$26:$U$35,"&gt;0",Questions_30!$U$26:$U$35)-SUMIF(Questions_30!$U$26:$U$35,"&lt;0",Questions_30!$U$26:$U$35)))))</x:f>
        <x:v>50</x:v>
      </x:c>
      <x:c r="K19" s="67" t="n">
        <x:f>Model_Formula!$O$21</x:f>
        <x:v>0.18</x:v>
      </x:c>
      <x:c r="L19" s="67" t="n">
        <x:f>MAX(0,MIN(100,I19*(1-K19)+J19*K19))</x:f>
        <x:v>50</x:v>
      </x:c>
      <x:c r="M19" s="12" t="str">
        <x:v>コア</x:v>
      </x:c>
      <x:c r="N19" t="n">
        <x:f>MAX(-1,MIN(1,E19*$P$7))</x:f>
        <x:v>0</x:v>
      </x:c>
    </x:row>
    <x:row r="20">
      <x:c r="A20" s="12" t="str">
        <x:v>Q16</x:v>
      </x:c>
      <x:c r="B20" s="12" t="str">
        <x:v>性格・行動傾向</x:v>
      </x:c>
      <x:c r="C20" s="12" t="str">
        <x:f>Questions_30!C21</x:f>
        <x:v>チャンスが一度きりなら、準備が十分でなくても動くことがある。</x:v>
      </x:c>
      <x:c r="D20" s="175" t="n">
        <x:v>3</x:v>
      </x:c>
      <x:c r="E20" s="12" t="n">
        <x:f>(D20-3)/2</x:f>
        <x:v>0</x:v>
      </x:c>
      <x:c r="F20" s="12"/>
      <x:c r="G20" s="12" t="str">
        <x:v>SelfSufficiency</x:v>
      </x:c>
      <x:c r="H20" s="12" t="str">
        <x:v>自己完結性</x:v>
      </x:c>
      <x:c r="I20" s="67" t="n">
        <x:f>MAX(0,MIN(100,50+Model_Formula!$F$6*SUMPRODUCT($G$6:$M$6,Model_Formula!$B$22:$H$22)/Model_Formula!$I$22+MAX(0,$G$6)*MAX(0,$H$6)*Interaction_Model!$O$2+MAX(0,$K$6)*MAX(0,-$H$6)*Interaction_Model!$O$3+MAX(0,$I$6)*MAX(0,$K$6)*Interaction_Model!$O$4+MAX(0,$J$6)*MAX(0,$L$6)*Interaction_Model!$O$5+MAX(0,$M$6)*MAX(0,$L$6)*Interaction_Model!$O$6+MAX(0,$J$6)*MAX(0,$H$6)*Interaction_Model!$O$7))</x:f>
        <x:v>50</x:v>
      </x:c>
      <x:c r="J20" s="67" t="n">
        <x:f>IF((SUMIF(Questions_30!$V$26:$V$35,"&gt;0",Questions_30!$V$26:$V$35)-SUMIF(Questions_30!$V$26:$V$35,"&lt;0",Questions_30!$V$26:$V$35))=0,50,MAX(0,MIN(100,50+Model_Formula!$F$7*SUMPRODUCT($N$25:$N$34,Questions_30!$V$26:$V$35)/(SUMIF(Questions_30!$V$26:$V$35,"&gt;0",Questions_30!$V$26:$V$35)-SUMIF(Questions_30!$V$26:$V$35,"&lt;0",Questions_30!$V$26:$V$35)))))</x:f>
        <x:v>50</x:v>
      </x:c>
      <x:c r="K20" s="67" t="n">
        <x:f>Model_Formula!$O$22</x:f>
        <x:v>0.18</x:v>
      </x:c>
      <x:c r="L20" s="67" t="n">
        <x:f>MAX(0,MIN(100,I20*(1-K20)+J20*K20))</x:f>
        <x:v>50</x:v>
      </x:c>
      <x:c r="M20" s="12" t="str">
        <x:v>高いほど単独で完結</x:v>
      </x:c>
      <x:c r="N20" t="n">
        <x:f>MAX(-1,MIN(1,E20*$P$7))</x:f>
        <x:v>0</x:v>
      </x:c>
    </x:row>
    <x:row r="21">
      <x:c r="A21" s="12" t="str">
        <x:v>Q17</x:v>
      </x:c>
      <x:c r="B21" s="12" t="str">
        <x:v>性格・行動傾向</x:v>
      </x:c>
      <x:c r="C21" s="12" t="str">
        <x:f>Questions_30!C22</x:f>
        <x:v>大事なことは、一度ほかの選択肢も比べてから決めたい。</x:v>
      </x:c>
      <x:c r="D21" s="175" t="n">
        <x:v>3</x:v>
      </x:c>
      <x:c r="E21" s="12" t="n">
        <x:f>(D21-3)/2</x:f>
        <x:v>0</x:v>
      </x:c>
      <x:c r="F21" s="12"/>
      <x:c r="G21" s="12" t="str">
        <x:v>FarmScaling</x:v>
      </x:c>
      <x:c r="H21" s="12" t="str">
        <x:v>成長・スケール</x:v>
      </x:c>
      <x:c r="I21" s="67" t="n">
        <x:f>MAX(0,MIN(100,50+Model_Formula!$F$6*SUMPRODUCT($G$6:$M$6,Model_Formula!$B$23:$H$23)/Model_Formula!$I$23+MAX(0,$G$6)*MAX(0,$H$6)*Interaction_Model!$P$2+MAX(0,$K$6)*MAX(0,-$H$6)*Interaction_Model!$P$3+MAX(0,$I$6)*MAX(0,$K$6)*Interaction_Model!$P$4+MAX(0,$J$6)*MAX(0,$L$6)*Interaction_Model!$P$5+MAX(0,$M$6)*MAX(0,$L$6)*Interaction_Model!$P$6+MAX(0,$J$6)*MAX(0,$H$6)*Interaction_Model!$P$7))</x:f>
        <x:v>50</x:v>
      </x:c>
      <x:c r="J21" s="67" t="n">
        <x:f>IF((SUMIF(Questions_30!$W$26:$W$35,"&gt;0",Questions_30!$W$26:$W$35)-SUMIF(Questions_30!$W$26:$W$35,"&lt;0",Questions_30!$W$26:$W$35))=0,50,MAX(0,MIN(100,50+Model_Formula!$F$7*SUMPRODUCT($N$25:$N$34,Questions_30!$W$26:$W$35)/(SUMIF(Questions_30!$W$26:$W$35,"&gt;0",Questions_30!$W$26:$W$35)-SUMIF(Questions_30!$W$26:$W$35,"&lt;0",Questions_30!$W$26:$W$35)))))</x:f>
        <x:v>50</x:v>
      </x:c>
      <x:c r="K21" s="67" t="n">
        <x:f>Model_Formula!$O$23</x:f>
        <x:v>0.1</x:v>
      </x:c>
      <x:c r="L21" s="67" t="n">
        <x:f>MAX(0,MIN(100,I21*(1-K21)+J21*K21))</x:f>
        <x:v>50</x:v>
      </x:c>
      <x:c r="M21" s="12" t="str">
        <x:v>補助</x:v>
      </x:c>
      <x:c r="N21" t="n">
        <x:f>MAX(-1,MIN(1,E21*$P$7))</x:f>
        <x:v>0</x:v>
      </x:c>
    </x:row>
    <x:row r="22">
      <x:c r="A22" s="12" t="str">
        <x:v>Q18</x:v>
      </x:c>
      <x:c r="B22" s="12" t="str">
        <x:v>性格・行動傾向</x:v>
      </x:c>
      <x:c r="C22" s="12" t="str">
        <x:f>Questions_30!C23</x:f>
        <x:v>みんなが動きやすくなるなら、自分の担当を変えるのは気にならない。</x:v>
      </x:c>
      <x:c r="D22" s="175" t="n">
        <x:v>3</x:v>
      </x:c>
      <x:c r="E22" s="12" t="n">
        <x:f>(D22-3)/2</x:f>
        <x:v>0</x:v>
      </x:c>
      <x:c r="F22" s="12"/>
      <x:c r="G22" s="12" t="str">
        <x:v>ObjectiveSecure</x:v>
      </x:c>
      <x:c r="H22" s="12" t="str">
        <x:v>取り切り</x:v>
      </x:c>
      <x:c r="I22" s="67" t="n">
        <x:f>MAX(0,MIN(100,50+Model_Formula!$F$6*SUMPRODUCT($G$6:$M$6,Model_Formula!$B$24:$H$24)/Model_Formula!$I$24+MAX(0,$G$6)*MAX(0,$H$6)*Interaction_Model!$Q$2+MAX(0,$K$6)*MAX(0,-$H$6)*Interaction_Model!$Q$3+MAX(0,$I$6)*MAX(0,$K$6)*Interaction_Model!$Q$4+MAX(0,$J$6)*MAX(0,$L$6)*Interaction_Model!$Q$5+MAX(0,$M$6)*MAX(0,$L$6)*Interaction_Model!$Q$6+MAX(0,$J$6)*MAX(0,$H$6)*Interaction_Model!$Q$7))</x:f>
        <x:v>50</x:v>
      </x:c>
      <x:c r="J22" s="67" t="n">
        <x:f>IF((SUMIF(Questions_30!$X$26:$X$35,"&gt;0",Questions_30!$X$26:$X$35)-SUMIF(Questions_30!$X$26:$X$35,"&lt;0",Questions_30!$X$26:$X$35))=0,50,MAX(0,MIN(100,50+Model_Formula!$F$7*SUMPRODUCT($N$25:$N$34,Questions_30!$X$26:$X$35)/(SUMIF(Questions_30!$X$26:$X$35,"&gt;0",Questions_30!$X$26:$X$35)-SUMIF(Questions_30!$X$26:$X$35,"&lt;0",Questions_30!$X$26:$X$35)))))</x:f>
        <x:v>50</x:v>
      </x:c>
      <x:c r="K22" s="67" t="n">
        <x:f>Model_Formula!$O$24</x:f>
        <x:v>0.1</x:v>
      </x:c>
      <x:c r="L22" s="67" t="n">
        <x:f>MAX(0,MIN(100,I22*(1-K22)+J22*K22))</x:f>
        <x:v>50</x:v>
      </x:c>
      <x:c r="M22" s="12" t="str">
        <x:v>補助</x:v>
      </x:c>
      <x:c r="N22" t="n">
        <x:f>MAX(-1,MIN(1,E22*$P$7))</x:f>
        <x:v>0</x:v>
      </x:c>
    </x:row>
    <x:row r="23">
      <x:c r="A23" s="12" t="str">
        <x:v>Q19</x:v>
      </x:c>
      <x:c r="B23" s="12" t="str">
        <x:v>性格・行動傾向</x:v>
      </x:c>
      <x:c r="C23" s="12" t="str">
        <x:f>Questions_30!C24</x:f>
        <x:v>やり方を任されるなら、細かく決められるより自分で決めたい。</x:v>
      </x:c>
      <x:c r="D23" s="175" t="n">
        <x:v>3</x:v>
      </x:c>
      <x:c r="E23" s="12" t="n">
        <x:f>(D23-3)/2</x:f>
        <x:v>0</x:v>
      </x:c>
      <x:c r="F23" s="12"/>
      <x:c r="G23" s="12" t="str">
        <x:v>ScoringSide</x:v>
      </x:c>
      <x:c r="H23" s="12" t="str">
        <x:v>サイド・得点</x:v>
      </x:c>
      <x:c r="I23" s="67" t="n">
        <x:f>MAX(0,MIN(100,50+Model_Formula!$F$6*SUMPRODUCT($G$6:$M$6,Model_Formula!$B$25:$H$25)/Model_Formula!$I$25+MAX(0,$G$6)*MAX(0,$H$6)*Interaction_Model!$R$2+MAX(0,$K$6)*MAX(0,-$H$6)*Interaction_Model!$R$3+MAX(0,$I$6)*MAX(0,$K$6)*Interaction_Model!$R$4+MAX(0,$J$6)*MAX(0,$L$6)*Interaction_Model!$R$5+MAX(0,$M$6)*MAX(0,$L$6)*Interaction_Model!$R$6+MAX(0,$J$6)*MAX(0,$H$6)*Interaction_Model!$R$7))</x:f>
        <x:v>50</x:v>
      </x:c>
      <x:c r="J23" s="67" t="n">
        <x:f>IF((SUMIF(Questions_30!$Y$26:$Y$35,"&gt;0",Questions_30!$Y$26:$Y$35)-SUMIF(Questions_30!$Y$26:$Y$35,"&lt;0",Questions_30!$Y$26:$Y$35))=0,50,MAX(0,MIN(100,50+Model_Formula!$F$7*SUMPRODUCT($N$25:$N$34,Questions_30!$Y$26:$Y$35)/(SUMIF(Questions_30!$Y$26:$Y$35,"&gt;0",Questions_30!$Y$26:$Y$35)-SUMIF(Questions_30!$Y$26:$Y$35,"&lt;0",Questions_30!$Y$26:$Y$35)))))</x:f>
        <x:v>50</x:v>
      </x:c>
      <x:c r="K23" s="67" t="n">
        <x:f>Model_Formula!$O$25</x:f>
        <x:v>0.18</x:v>
      </x:c>
      <x:c r="L23" s="67" t="n">
        <x:f>MAX(0,MIN(100,I23*(1-K23)+J23*K23))</x:f>
        <x:v>50</x:v>
      </x:c>
      <x:c r="M23" s="12" t="str">
        <x:v>補助</x:v>
      </x:c>
      <x:c r="N23" t="n">
        <x:f>MAX(-1,MIN(1,E23*$P$7))</x:f>
        <x:v>0</x:v>
      </x:c>
    </x:row>
    <x:row r="24">
      <x:c r="A24" s="12" t="str">
        <x:v>Q20</x:v>
      </x:c>
      <x:c r="B24" s="12" t="str">
        <x:v>性格・行動傾向</x:v>
      </x:c>
      <x:c r="C24" s="12" t="str">
        <x:f>Questions_30!C25</x:f>
        <x:v>予定が崩れたときは、新しいやり方を考えるより元の予定に戻したくなる。</x:v>
      </x:c>
      <x:c r="D24" s="175" t="n">
        <x:v>3</x:v>
      </x:c>
      <x:c r="E24" s="12" t="n">
        <x:f>(D24-3)/2</x:f>
        <x:v>0</x:v>
      </x:c>
      <x:c r="F24" s="12"/>
      <x:c r="G24" s="12" t="str">
        <x:v>Execution</x:v>
      </x:c>
      <x:c r="H24" s="12" t="str">
        <x:v>操作精度</x:v>
      </x:c>
      <x:c r="I24" s="67" t="n">
        <x:f>MAX(0,MIN(100,50+Model_Formula!$F$6*SUMPRODUCT($G$6:$M$6,Model_Formula!$B$26:$H$26)/Model_Formula!$I$26+MAX(0,$G$6)*MAX(0,$H$6)*Interaction_Model!$S$2+MAX(0,$K$6)*MAX(0,-$H$6)*Interaction_Model!$S$3+MAX(0,$I$6)*MAX(0,$K$6)*Interaction_Model!$S$4+MAX(0,$J$6)*MAX(0,$L$6)*Interaction_Model!$S$5+MAX(0,$M$6)*MAX(0,$L$6)*Interaction_Model!$S$6+MAX(0,$J$6)*MAX(0,$H$6)*Interaction_Model!$S$7))</x:f>
        <x:v>50</x:v>
      </x:c>
      <x:c r="J24" s="67" t="n">
        <x:f>IF((SUMIF(Questions_30!$Z$26:$Z$35,"&gt;0",Questions_30!$Z$26:$Z$35)-SUMIF(Questions_30!$Z$26:$Z$35,"&lt;0",Questions_30!$Z$26:$Z$35))=0,50,MAX(0,MIN(100,50+Model_Formula!$F$7*SUMPRODUCT($N$25:$N$34,Questions_30!$Z$26:$Z$35)/(SUMIF(Questions_30!$Z$26:$Z$35,"&gt;0",Questions_30!$Z$26:$Z$35)-SUMIF(Questions_30!$Z$26:$Z$35,"&lt;0",Questions_30!$Z$26:$Z$35)))))</x:f>
        <x:v>50</x:v>
      </x:c>
      <x:c r="K24" s="67" t="n">
        <x:f>Model_Formula!$O$26</x:f>
        <x:v>0.22</x:v>
      </x:c>
      <x:c r="L24" s="67" t="n">
        <x:f>MAX(0,MIN(100,I24*(1-K24)+J24*K24))</x:f>
        <x:v>50</x:v>
      </x:c>
      <x:c r="M24" s="12" t="str">
        <x:v>コア</x:v>
      </x:c>
      <x:c r="N24" t="n">
        <x:f>MAX(-1,MIN(1,E24*$P$7))</x:f>
        <x:v>0</x:v>
      </x:c>
    </x:row>
    <x:row r="25">
      <x:c r="A25" s="12" t="str">
        <x:v>Q21</x:v>
      </x:c>
      <x:c r="B25" s="12" t="str">
        <x:v>性格・行動傾向</x:v>
      </x:c>
      <x:c r="C25" s="12" t="str">
        <x:f>Questions_30!C26</x:f>
        <x:v>慣れてきたことでも、もっと上手いやり方がないか試したくなる。</x:v>
      </x:c>
      <x:c r="D25" s="175" t="n">
        <x:v>3</x:v>
      </x:c>
      <x:c r="E25" s="12" t="n">
        <x:f>(D25-3)/2</x:f>
        <x:v>0</x:v>
      </x:c>
      <x:c r="F25" s="12"/>
      <x:c r="G25" s="12" t="str">
        <x:v>Decision</x:v>
      </x:c>
      <x:c r="H25" s="12" t="str">
        <x:v>状況判断</x:v>
      </x:c>
      <x:c r="I25" s="67" t="n">
        <x:f>MAX(0,MIN(100,50+Model_Formula!$F$6*SUMPRODUCT($G$6:$M$6,Model_Formula!$B$27:$H$27)/Model_Formula!$I$27+MAX(0,$G$6)*MAX(0,$H$6)*Interaction_Model!$T$2+MAX(0,$K$6)*MAX(0,-$H$6)*Interaction_Model!$T$3+MAX(0,$I$6)*MAX(0,$K$6)*Interaction_Model!$T$4+MAX(0,$J$6)*MAX(0,$L$6)*Interaction_Model!$T$5+MAX(0,$M$6)*MAX(0,$L$6)*Interaction_Model!$T$6+MAX(0,$J$6)*MAX(0,$H$6)*Interaction_Model!$T$7))</x:f>
        <x:v>50</x:v>
      </x:c>
      <x:c r="J25" s="67" t="n">
        <x:f>IF((SUMIF(Questions_30!$AA$26:$AA$35,"&gt;0",Questions_30!$AA$26:$AA$35)-SUMIF(Questions_30!$AA$26:$AA$35,"&lt;0",Questions_30!$AA$26:$AA$35))=0,50,MAX(0,MIN(100,50+Model_Formula!$F$7*SUMPRODUCT($N$25:$N$34,Questions_30!$AA$26:$AA$35)/(SUMIF(Questions_30!$AA$26:$AA$35,"&gt;0",Questions_30!$AA$26:$AA$35)-SUMIF(Questions_30!$AA$26:$AA$35,"&lt;0",Questions_30!$AA$26:$AA$35)))))</x:f>
        <x:v>50</x:v>
      </x:c>
      <x:c r="K25" s="67" t="n">
        <x:f>Model_Formula!$O$27</x:f>
        <x:v>0.2</x:v>
      </x:c>
      <x:c r="L25" s="67" t="n">
        <x:f>MAX(0,MIN(100,I25*(1-K25)+J25*K25))</x:f>
        <x:v>50</x:v>
      </x:c>
      <x:c r="M25" s="12" t="str">
        <x:v>コア</x:v>
      </x:c>
      <x:c r="N25" t="n">
        <x:f>MAX(-1,MIN(1,E25*$P$7))</x:f>
        <x:v>0</x:v>
      </x:c>
    </x:row>
    <x:row r="26">
      <x:c r="A26" s="12" t="str">
        <x:v>Q22</x:v>
      </x:c>
      <x:c r="B26" s="12" t="str">
        <x:v>性格・行動傾向</x:v>
      </x:c>
      <x:c r="C26" s="12" t="str">
        <x:f>Questions_30!C27</x:f>
        <x:v>話が進まないときでも、自分から流れを変えるより少し様子を見ることが多い。</x:v>
      </x:c>
      <x:c r="D26" s="175" t="n">
        <x:v>3</x:v>
      </x:c>
      <x:c r="E26" s="12" t="n">
        <x:f>(D26-3)/2</x:f>
        <x:v>0</x:v>
      </x:c>
      <x:c r="F26" s="12"/>
      <x:c r="G26" s="12"/>
      <x:c r="H26" s="12"/>
      <x:c r="I26" s="12"/>
      <x:c r="J26" s="12"/>
      <x:c r="K26" s="12"/>
      <x:c r="L26" s="12"/>
      <x:c r="M26" s="12"/>
      <x:c r="N26" t="n">
        <x:f>MAX(-1,MIN(1,E26*$P$7))</x:f>
        <x:v>0</x:v>
      </x:c>
    </x:row>
    <x:row r="27">
      <x:c r="A27" s="12" t="str">
        <x:v>Q23</x:v>
      </x:c>
      <x:c r="B27" s="12" t="str">
        <x:v>性格・行動傾向</x:v>
      </x:c>
      <x:c r="C27" s="12" t="str">
        <x:f>Questions_30!C28</x:f>
        <x:v>判断に迷うなら、チャンスを逃しても様子を見る方を選びやすい。</x:v>
      </x:c>
      <x:c r="D27" s="175" t="n">
        <x:v>3</x:v>
      </x:c>
      <x:c r="E27" s="12" t="n">
        <x:f>(D27-3)/2</x:f>
        <x:v>0</x:v>
      </x:c>
      <x:c r="F27" s="12"/>
      <x:c r="G27" s="12"/>
      <x:c r="H27" s="12"/>
      <x:c r="I27" s="12"/>
      <x:c r="J27" s="12"/>
      <x:c r="K27" s="12"/>
      <x:c r="L27" s="12"/>
      <x:c r="M27" s="12"/>
      <x:c r="N27" t="n">
        <x:f>MAX(-1,MIN(1,E27*$P$7))</x:f>
        <x:v>0</x:v>
      </x:c>
    </x:row>
    <x:row r="28">
      <x:c r="A28" s="12" t="str">
        <x:v>Q24</x:v>
      </x:c>
      <x:c r="B28" s="12" t="str">
        <x:v>性格・行動傾向</x:v>
      </x:c>
      <x:c r="C28" s="12" t="str">
        <x:f>Questions_30!C29</x:f>
        <x:v>予定は大枠だけ決めて、細かいことはその場で合わせたい。</x:v>
      </x:c>
      <x:c r="D28" s="175" t="n">
        <x:v>3</x:v>
      </x:c>
      <x:c r="E28" s="12" t="n">
        <x:f>(D28-3)/2</x:f>
        <x:v>0</x:v>
      </x:c>
      <x:c r="F28" s="12"/>
      <x:c r="G28" s="162" t="str">
        <x:v>おすすめ上位10プロファイル（Percentile Match）</x:v>
      </x:c>
      <x:c r="H28" s="162"/>
      <x:c r="I28" s="162"/>
      <x:c r="J28" s="162"/>
      <x:c r="K28" s="162"/>
      <x:c r="L28" s="162"/>
      <x:c r="M28" s="162"/>
      <x:c r="N28" t="n">
        <x:f>MAX(-1,MIN(1,E28*$P$7))</x:f>
        <x:v>0</x:v>
      </x:c>
    </x:row>
    <x:row r="29">
      <x:c r="A29" s="12" t="str">
        <x:v>Q25</x:v>
      </x:c>
      <x:c r="B29" s="12" t="str">
        <x:v>性格・行動傾向</x:v>
      </x:c>
      <x:c r="C29" s="12" t="str">
        <x:f>Questions_30!C30</x:f>
        <x:v>みんなで動く場面でも、自分のペースを崩さない方が楽だ。</x:v>
      </x:c>
      <x:c r="D29" s="175" t="n">
        <x:v>3</x:v>
      </x:c>
      <x:c r="E29" s="12" t="n">
        <x:f>(D29-3)/2</x:f>
        <x:v>0</x:v>
      </x:c>
      <x:c r="F29" s="12"/>
      <x:c r="G29" s="162" t="str">
        <x:v>Rank</x:v>
      </x:c>
      <x:c r="H29" s="162" t="str">
        <x:v>Pokemon</x:v>
      </x:c>
      <x:c r="I29" s="162" t="str">
        <x:v>Profile</x:v>
      </x:c>
      <x:c r="J29" s="162" t="str">
        <x:v>Role</x:v>
      </x:c>
      <x:c r="K29" s="162" t="str">
        <x:v>相性/100</x:v>
      </x:c>
      <x:c r="L29" s="162" t="str">
        <x:v>ProfileID</x:v>
      </x:c>
      <x:c r="M29" s="162" t="str">
        <x:v>Percentile</x:v>
      </x:c>
      <x:c r="N29" t="n">
        <x:f>MAX(-1,MIN(1,E29*$P$7))</x:f>
        <x:v>0</x:v>
      </x:c>
    </x:row>
    <x:row r="30">
      <x:c r="A30" s="12" t="str">
        <x:v>Q26</x:v>
      </x:c>
      <x:c r="B30" s="12" t="str">
        <x:v>性格・行動傾向</x:v>
      </x:c>
      <x:c r="C30" s="12" t="str">
        <x:f>Questions_30!C31</x:f>
        <x:v>自由に任されるより、「ここまでは決まっている」方が動きやすい。</x:v>
      </x:c>
      <x:c r="D30" s="175" t="n">
        <x:v>3</x:v>
      </x:c>
      <x:c r="E30" s="12" t="n">
        <x:f>(D30-3)/2</x:f>
        <x:v>0</x:v>
      </x:c>
      <x:c r="F30" s="12"/>
      <x:c r="G30" s="12" t="n">
        <x:v>1</x:v>
      </x:c>
      <x:c r="H30" s="12" t="str">
        <x:f>INDEX(Match_140!$A$6:$A$135,MATCH(G30,Match_140!$AI$6:$AI$135,0))</x:f>
        <x:v>ミュウツー(X)</x:v>
      </x:c>
      <x:c r="I30" s="12" t="str">
        <x:f>INDEX(Match_140!$C$6:$C$135,MATCH(G30,Match_140!$AI$6:$AI$135,0))</x:f>
        <x:v>共通</x:v>
      </x:c>
      <x:c r="J30" s="12" t="str">
        <x:f>INDEX(Match_140!$D$6:$D$135,MATCH(G30,Match_140!$AI$6:$AI$135,0))</x:f>
        <x:v>バランス型</x:v>
      </x:c>
      <x:c r="K30" s="110" t="n">
        <x:f>INDEX(Match_140!$AF$6:$AF$135,MATCH(G30,Match_140!$AI$6:$AI$135,0))</x:f>
        <x:v>95</x:v>
      </x:c>
      <x:c r="L30" s="12" t="str">
        <x:f>INDEX(Match_140!$B$6:$B$135,MATCH(G30,Match_140!$AI$6:$AI$135,0))</x:f>
        <x:v>ミュウツー(X)-1</x:v>
      </x:c>
      <x:c r="M30" s="181" t="n">
        <x:f>INDEX(Match_140!$AE$6:$AE$135,MATCH(G30,Match_140!$AI$6:$AI$135,0))</x:f>
        <x:v>0.99</x:v>
      </x:c>
      <x:c r="N30" t="n">
        <x:f>MAX(-1,MIN(1,E30*$P$7))</x:f>
        <x:v>0</x:v>
      </x:c>
    </x:row>
    <x:row r="31">
      <x:c r="A31" s="12" t="str">
        <x:v>Q27</x:v>
      </x:c>
      <x:c r="B31" s="12" t="str">
        <x:v>性格・行動傾向</x:v>
      </x:c>
      <x:c r="C31" s="12" t="str">
        <x:f>Questions_30!C32</x:f>
        <x:v>初めてのことは、試しながら自分に合うやり方を探す。</x:v>
      </x:c>
      <x:c r="D31" s="175" t="n">
        <x:v>3</x:v>
      </x:c>
      <x:c r="E31" s="12" t="n">
        <x:f>(D31-3)/2</x:f>
        <x:v>0</x:v>
      </x:c>
      <x:c r="F31" s="12"/>
      <x:c r="G31" s="12" t="n">
        <x:v>2</x:v>
      </x:c>
      <x:c r="H31" s="12" t="str">
        <x:f>INDEX(Match_140!$A$6:$A$135,MATCH(G31,Match_140!$AI$6:$AI$135,0))</x:f>
        <x:v>ソルガレオ</x:v>
      </x:c>
      <x:c r="I31" s="12" t="str">
        <x:f>INDEX(Match_140!$C$6:$C$135,MATCH(G31,Match_140!$AI$6:$AI$135,0))</x:f>
        <x:v>共通</x:v>
      </x:c>
      <x:c r="J31" s="12" t="str">
        <x:f>INDEX(Match_140!$D$6:$D$135,MATCH(G31,Match_140!$AI$6:$AI$135,0))</x:f>
        <x:v>バランス型</x:v>
      </x:c>
      <x:c r="K31" s="110" t="n">
        <x:f>INDEX(Match_140!$AF$6:$AF$135,MATCH(G31,Match_140!$AI$6:$AI$135,0))</x:f>
        <x:v>95</x:v>
      </x:c>
      <x:c r="L31" s="12" t="str">
        <x:f>INDEX(Match_140!$B$6:$B$135,MATCH(G31,Match_140!$AI$6:$AI$135,0))</x:f>
        <x:v>ソルガレオ-1</x:v>
      </x:c>
      <x:c r="M31" s="181" t="n">
        <x:f>INDEX(Match_140!$AE$6:$AE$135,MATCH(G31,Match_140!$AI$6:$AI$135,0))</x:f>
        <x:v>0.99</x:v>
      </x:c>
      <x:c r="N31" t="n">
        <x:f>MAX(-1,MIN(1,E31*$P$7))</x:f>
        <x:v>0</x:v>
      </x:c>
    </x:row>
    <x:row r="32">
      <x:c r="A32" s="12" t="str">
        <x:v>Q28</x:v>
      </x:c>
      <x:c r="B32" s="12" t="str">
        <x:v>性格・行動傾向</x:v>
      </x:c>
      <x:c r="C32" s="12" t="str">
        <x:f>Questions_30!C33</x:f>
        <x:v>ある程度できるようになれば、それ以上細かく極めなくても満足できる。</x:v>
      </x:c>
      <x:c r="D32" s="175" t="n">
        <x:v>3</x:v>
      </x:c>
      <x:c r="E32" s="12" t="n">
        <x:f>(D32-3)/2</x:f>
        <x:v>0</x:v>
      </x:c>
      <x:c r="F32" s="12"/>
      <x:c r="G32" s="12" t="n">
        <x:v>3</x:v>
      </x:c>
      <x:c r="H32" s="12" t="str">
        <x:f>INDEX(Match_140!$A$6:$A$135,MATCH(G32,Match_140!$AI$6:$AI$135,0))</x:f>
        <x:v>カビゴン</x:v>
      </x:c>
      <x:c r="I32" s="12" t="str">
        <x:f>INDEX(Match_140!$C$6:$C$135,MATCH(G32,Match_140!$AI$6:$AI$135,0))</x:f>
        <x:v>じたばた</x:v>
      </x:c>
      <x:c r="J32" s="12" t="str">
        <x:f>INDEX(Match_140!$D$6:$D$135,MATCH(G32,Match_140!$AI$6:$AI$135,0))</x:f>
        <x:v>ディフェンス型</x:v>
      </x:c>
      <x:c r="K32" s="110" t="n">
        <x:f>INDEX(Match_140!$AF$6:$AF$135,MATCH(G32,Match_140!$AI$6:$AI$135,0))</x:f>
        <x:v>94</x:v>
      </x:c>
      <x:c r="L32" s="12" t="str">
        <x:f>INDEX(Match_140!$B$6:$B$135,MATCH(G32,Match_140!$AI$6:$AI$135,0))</x:f>
        <x:v>カビゴン-2</x:v>
      </x:c>
      <x:c r="M32" s="181" t="n">
        <x:f>INDEX(Match_140!$AE$6:$AE$135,MATCH(G32,Match_140!$AI$6:$AI$135,0))</x:f>
        <x:v>0.98</x:v>
      </x:c>
      <x:c r="N32" t="n">
        <x:f>MAX(-1,MIN(1,E32*$P$7))</x:f>
        <x:v>0</x:v>
      </x:c>
    </x:row>
    <x:row r="33">
      <x:c r="A33" s="12" t="str">
        <x:v>Q29</x:v>
      </x:c>
      <x:c r="B33" s="12" t="str">
        <x:v>性格・行動傾向</x:v>
      </x:c>
      <x:c r="C33" s="12" t="str">
        <x:f>Questions_30!C34</x:f>
        <x:v>予定が崩れたら、元に戻すよりその場で予定を組み直す方だ。</x:v>
      </x:c>
      <x:c r="D33" s="175" t="n">
        <x:v>3</x:v>
      </x:c>
      <x:c r="E33" s="12" t="n">
        <x:f>(D33-3)/2</x:f>
        <x:v>0</x:v>
      </x:c>
      <x:c r="F33" s="12"/>
      <x:c r="G33" s="12" t="n">
        <x:v>4</x:v>
      </x:c>
      <x:c r="H33" s="12" t="str">
        <x:f>INDEX(Match_140!$A$6:$A$135,MATCH(G33,Match_140!$AI$6:$AI$135,0))</x:f>
        <x:v>ハッサム</x:v>
      </x:c>
      <x:c r="I33" s="12" t="str">
        <x:f>INDEX(Match_140!$C$6:$C$135,MATCH(G33,Match_140!$AI$6:$AI$135,0))</x:f>
        <x:v>ハッサム</x:v>
      </x:c>
      <x:c r="J33" s="12" t="str">
        <x:f>INDEX(Match_140!$D$6:$D$135,MATCH(G33,Match_140!$AI$6:$AI$135,0))</x:f>
        <x:v>バランス型</x:v>
      </x:c>
      <x:c r="K33" s="110" t="n">
        <x:f>INDEX(Match_140!$AF$6:$AF$135,MATCH(G33,Match_140!$AI$6:$AI$135,0))</x:f>
        <x:v>94</x:v>
      </x:c>
      <x:c r="L33" s="12" t="str">
        <x:f>INDEX(Match_140!$B$6:$B$135,MATCH(G33,Match_140!$AI$6:$AI$135,0))</x:f>
        <x:v>ハッサム-2</x:v>
      </x:c>
      <x:c r="M33" s="181" t="n">
        <x:f>INDEX(Match_140!$AE$6:$AE$135,MATCH(G33,Match_140!$AI$6:$AI$135,0))</x:f>
        <x:v>0.98</x:v>
      </x:c>
      <x:c r="N33" t="n">
        <x:f>MAX(-1,MIN(1,E33*$P$7))</x:f>
        <x:v>0</x:v>
      </x:c>
    </x:row>
    <x:row r="34">
      <x:c r="A34" s="12" t="str">
        <x:v>Q30</x:v>
      </x:c>
      <x:c r="B34" s="12" t="str">
        <x:v>性格・行動傾向</x:v>
      </x:c>
      <x:c r="C34" s="12" t="str">
        <x:f>Questions_30!C35</x:f>
        <x:v>自分で決められる場面でも、誰かと一度話してから進める方が落ち着く。</x:v>
      </x:c>
      <x:c r="D34" s="175" t="n">
        <x:v>3</x:v>
      </x:c>
      <x:c r="E34" s="12" t="n">
        <x:f>(D34-3)/2</x:f>
        <x:v>0</x:v>
      </x:c>
      <x:c r="F34" s="12"/>
      <x:c r="G34" s="12" t="n">
        <x:v>5</x:v>
      </x:c>
      <x:c r="H34" s="12" t="str">
        <x:f>INDEX(Match_140!$A$6:$A$135,MATCH(G34,Match_140!$AI$6:$AI$135,0))</x:f>
        <x:v>オーロット</x:v>
      </x:c>
      <x:c r="I34" s="12" t="str">
        <x:f>INDEX(Match_140!$C$6:$C$135,MATCH(G34,Match_140!$AI$6:$AI$135,0))</x:f>
        <x:v>のろい</x:v>
      </x:c>
      <x:c r="J34" s="12" t="str">
        <x:f>INDEX(Match_140!$D$6:$D$135,MATCH(G34,Match_140!$AI$6:$AI$135,0))</x:f>
        <x:v>ディフェンス型</x:v>
      </x:c>
      <x:c r="K34" s="110" t="n">
        <x:f>INDEX(Match_140!$AF$6:$AF$135,MATCH(G34,Match_140!$AI$6:$AI$135,0))</x:f>
        <x:v>94</x:v>
      </x:c>
      <x:c r="L34" s="12" t="str">
        <x:f>INDEX(Match_140!$B$6:$B$135,MATCH(G34,Match_140!$AI$6:$AI$135,0))</x:f>
        <x:v>オーロット-2</x:v>
      </x:c>
      <x:c r="M34" s="181" t="n">
        <x:f>INDEX(Match_140!$AE$6:$AE$135,MATCH(G34,Match_140!$AI$6:$AI$135,0))</x:f>
        <x:v>0.98</x:v>
      </x:c>
      <x:c r="N34" t="n">
        <x:f>MAX(-1,MIN(1,E34*$P$7))</x:f>
        <x:v>0</x:v>
      </x:c>
    </x:row>
    <x:row r="35">
      <x:c r="A35" s="12"/>
      <x:c r="B35" s="12"/>
      <x:c r="C35" s="12"/>
      <x:c r="D35" s="12"/>
      <x:c r="E35" s="12"/>
      <x:c r="F35" s="12"/>
      <x:c r="G35" s="12" t="n">
        <x:v>6</x:v>
      </x:c>
      <x:c r="H35" s="12" t="str">
        <x:f>INDEX(Match_140!$A$6:$A$135,MATCH(G35,Match_140!$AI$6:$AI$135,0))</x:f>
        <x:v>フシギバナ</x:v>
      </x:c>
      <x:c r="I35" s="12" t="str">
        <x:f>INDEX(Match_140!$C$6:$C$135,MATCH(G35,Match_140!$AI$6:$AI$135,0))</x:f>
        <x:v>はなびらのまい</x:v>
      </x:c>
      <x:c r="J35" s="12" t="str">
        <x:f>INDEX(Match_140!$D$6:$D$135,MATCH(G35,Match_140!$AI$6:$AI$135,0))</x:f>
        <x:v>アタック型</x:v>
      </x:c>
      <x:c r="K35" s="110" t="n">
        <x:f>INDEX(Match_140!$AF$6:$AF$135,MATCH(G35,Match_140!$AI$6:$AI$135,0))</x:f>
        <x:v>92</x:v>
      </x:c>
      <x:c r="L35" s="12" t="str">
        <x:f>INDEX(Match_140!$B$6:$B$135,MATCH(G35,Match_140!$AI$6:$AI$135,0))</x:f>
        <x:v>フシギバナ-2</x:v>
      </x:c>
      <x:c r="M35" s="181" t="n">
        <x:f>INDEX(Match_140!$AE$6:$AE$135,MATCH(G35,Match_140!$AI$6:$AI$135,0))</x:f>
        <x:v>0.97</x:v>
      </x:c>
    </x:row>
    <x:row r="36">
      <x:c r="A36" s="12"/>
      <x:c r="B36" s="12"/>
      <x:c r="C36" s="12"/>
      <x:c r="D36" s="12"/>
      <x:c r="E36" s="12"/>
      <x:c r="F36" s="12"/>
      <x:c r="G36" s="12" t="n">
        <x:v>7</x:v>
      </x:c>
      <x:c r="H36" s="12" t="str">
        <x:f>INDEX(Match_140!$A$6:$A$135,MATCH(G36,Match_140!$AI$6:$AI$135,0))</x:f>
        <x:v>ホウオウ</x:v>
      </x:c>
      <x:c r="I36" s="12" t="str">
        <x:f>INDEX(Match_140!$C$6:$C$135,MATCH(G36,Match_140!$AI$6:$AI$135,0))</x:f>
        <x:v>ゴッドバード</x:v>
      </x:c>
      <x:c r="J36" s="12" t="str">
        <x:f>INDEX(Match_140!$D$6:$D$135,MATCH(G36,Match_140!$AI$6:$AI$135,0))</x:f>
        <x:v>ディフェンス型</x:v>
      </x:c>
      <x:c r="K36" s="110" t="n">
        <x:f>INDEX(Match_140!$AF$6:$AF$135,MATCH(G36,Match_140!$AI$6:$AI$135,0))</x:f>
        <x:v>92</x:v>
      </x:c>
      <x:c r="L36" s="12" t="str">
        <x:f>INDEX(Match_140!$B$6:$B$135,MATCH(G36,Match_140!$AI$6:$AI$135,0))</x:f>
        <x:v>ホウオウ-2</x:v>
      </x:c>
      <x:c r="M36" s="181" t="n">
        <x:f>INDEX(Match_140!$AE$6:$AE$135,MATCH(G36,Match_140!$AI$6:$AI$135,0))</x:f>
        <x:v>0.97</x:v>
      </x:c>
    </x:row>
    <x:row r="37">
      <x:c r="A37" s="12"/>
      <x:c r="B37" s="12"/>
      <x:c r="C37" s="12"/>
      <x:c r="D37" s="12"/>
      <x:c r="E37" s="12"/>
      <x:c r="F37" s="12"/>
      <x:c r="G37" s="12" t="n">
        <x:v>8</x:v>
      </x:c>
      <x:c r="H37" s="12" t="str">
        <x:f>INDEX(Match_140!$A$6:$A$135,MATCH(G37,Match_140!$AI$6:$AI$135,0))</x:f>
        <x:v>ファイヤー</x:v>
      </x:c>
      <x:c r="I37" s="12" t="str">
        <x:f>INDEX(Match_140!$C$6:$C$135,MATCH(G37,Match_140!$AI$6:$AI$135,0))</x:f>
        <x:v>共通</x:v>
      </x:c>
      <x:c r="J37" s="12" t="str">
        <x:f>INDEX(Match_140!$D$6:$D$135,MATCH(G37,Match_140!$AI$6:$AI$135,0))</x:f>
        <x:v>バランス型</x:v>
      </x:c>
      <x:c r="K37" s="110" t="n">
        <x:f>INDEX(Match_140!$AF$6:$AF$135,MATCH(G37,Match_140!$AI$6:$AI$135,0))</x:f>
        <x:v>92</x:v>
      </x:c>
      <x:c r="L37" s="12" t="str">
        <x:f>INDEX(Match_140!$B$6:$B$135,MATCH(G37,Match_140!$AI$6:$AI$135,0))</x:f>
        <x:v>ファイヤー-1</x:v>
      </x:c>
      <x:c r="M37" s="181" t="n">
        <x:f>INDEX(Match_140!$AE$6:$AE$135,MATCH(G37,Match_140!$AI$6:$AI$135,0))</x:f>
        <x:v>0.97</x:v>
      </x:c>
    </x:row>
    <x:row r="38">
      <x:c r="A38" s="12"/>
      <x:c r="B38" s="12"/>
      <x:c r="C38" s="12"/>
      <x:c r="D38" s="12"/>
      <x:c r="E38" s="12"/>
      <x:c r="F38" s="12"/>
      <x:c r="G38" s="12" t="n">
        <x:v>9</x:v>
      </x:c>
      <x:c r="H38" s="12" t="str">
        <x:f>INDEX(Match_140!$A$6:$A$135,MATCH(G38,Match_140!$AI$6:$AI$135,0))</x:f>
        <x:v>タイレーツ</x:v>
      </x:c>
      <x:c r="I38" s="12" t="str">
        <x:f>INDEX(Match_140!$C$6:$C$135,MATCH(G38,Match_140!$AI$6:$AI$135,0))</x:f>
        <x:v>はいすいのじん</x:v>
      </x:c>
      <x:c r="J38" s="12" t="str">
        <x:f>INDEX(Match_140!$D$6:$D$135,MATCH(G38,Match_140!$AI$6:$AI$135,0))</x:f>
        <x:v>バランス型</x:v>
      </x:c>
      <x:c r="K38" s="110" t="n">
        <x:f>INDEX(Match_140!$AF$6:$AF$135,MATCH(G38,Match_140!$AI$6:$AI$135,0))</x:f>
        <x:v>92</x:v>
      </x:c>
      <x:c r="L38" s="12" t="str">
        <x:f>INDEX(Match_140!$B$6:$B$135,MATCH(G38,Match_140!$AI$6:$AI$135,0))</x:f>
        <x:v>タイレーツ-1</x:v>
      </x:c>
      <x:c r="M38" s="181" t="n">
        <x:f>INDEX(Match_140!$AE$6:$AE$135,MATCH(G38,Match_140!$AI$6:$AI$135,0))</x:f>
        <x:v>0.97</x:v>
      </x:c>
    </x:row>
    <x:row r="39">
      <x:c r="A39" s="12"/>
      <x:c r="B39" s="12"/>
      <x:c r="C39" s="12"/>
      <x:c r="D39" s="12"/>
      <x:c r="E39" s="12"/>
      <x:c r="F39" s="12"/>
      <x:c r="G39" s="12" t="n">
        <x:v>10</x:v>
      </x:c>
      <x:c r="H39" s="12" t="str">
        <x:f>INDEX(Match_140!$A$6:$A$135,MATCH(G39,Match_140!$AI$6:$AI$135,0))</x:f>
        <x:v>デカヌチャン</x:v>
      </x:c>
      <x:c r="I39" s="12" t="str">
        <x:f>INDEX(Match_140!$C$6:$C$135,MATCH(G39,Match_140!$AI$6:$AI$135,0))</x:f>
        <x:v>共通</x:v>
      </x:c>
      <x:c r="J39" s="12" t="str">
        <x:f>INDEX(Match_140!$D$6:$D$135,MATCH(G39,Match_140!$AI$6:$AI$135,0))</x:f>
        <x:v>バランス型</x:v>
      </x:c>
      <x:c r="K39" s="110" t="n">
        <x:f>INDEX(Match_140!$AF$6:$AF$135,MATCH(G39,Match_140!$AI$6:$AI$135,0))</x:f>
        <x:v>92</x:v>
      </x:c>
      <x:c r="L39" s="12" t="str">
        <x:f>INDEX(Match_140!$B$6:$B$135,MATCH(G39,Match_140!$AI$6:$AI$135,0))</x:f>
        <x:v>デカヌチャン-1</x:v>
      </x:c>
      <x:c r="M39" s="181" t="n">
        <x:f>INDEX(Match_140!$AE$6:$AE$135,MATCH(G39,Match_140!$AI$6:$AI$135,0))</x:f>
        <x:v>0.97</x:v>
      </x:c>
    </x:row>
  </x:sheetData>
  <x:mergeCells>
    <x:mergeCell ref="A1:M2"/>
    <x:mergeCell ref="A3:E3"/>
    <x:mergeCell ref="G3:M3"/>
    <x:mergeCell ref="G9:M9"/>
    <x:mergeCell ref="G28:M28"/>
  </x:mergeCells>
  <x:conditionalFormatting sqref="D5:D34">
    <x:cfRule type="colorScale" priority="1">
      <x:colorScale>
        <x:cfvo type="min"/>
        <x:cfvo type="percentile" val="50"/>
        <x:cfvo type="max"/>
        <x:color rgb="FFFEE2E2"/>
        <x:color rgb="FFFEF3C7"/>
        <x:color rgb="FFDCFCE7"/>
      </x:colorScale>
    </x:cfRule>
  </x:conditionalFormatting>
  <x:conditionalFormatting sqref="G5:M5">
    <x:cfRule type="dataBar" priority="4">
      <x:dataBar>
        <x:cfvo type="min"/>
        <x:cfvo type="max"/>
        <x:color rgb="FFA02B93"/>
      </x:dataBar>
      <x:extLst>
        <x:ext xmlns:x14="http://schemas.microsoft.com/office/spreadsheetml/2009/9/main" uri="{B025F937-C7B1-47D3-B67F-A62EFF666E3E}">
          <x14:id>{57B5D4C0-D36D-1819-16E8-A5996F05A974}</x14:id>
        </x:ext>
      </x:extLst>
    </x:cfRule>
  </x:conditionalFormatting>
  <x:conditionalFormatting sqref="L11:L25">
    <x:cfRule type="dataBar" priority="5">
      <x:dataBar>
        <x:cfvo type="min"/>
        <x:cfvo type="max"/>
        <x:color rgb="FFA02B93"/>
      </x:dataBar>
      <x:extLst>
        <x:ext xmlns:x14="http://schemas.microsoft.com/office/spreadsheetml/2009/9/main" uri="{B025F937-C7B1-47D3-B67F-A62EFF666E3E}">
          <x14:id>{091D6CEA-86ED-9DCF-A6C0-6B6D60E6EE3D}</x14:id>
        </x:ext>
      </x:extLst>
    </x:cfRule>
  </x:conditionalFormatting>
  <x:dataValidations count="1">
    <x:dataValidation type="list" sqref="D5:D34">
      <x:formula1>"1,2,3,4,5"</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57B5D4C0-D36D-1819-16E8-A5996F05A974}">
            <x14:dataBar gradient="1">
              <x14:cfvo type="min"/>
              <x14:cfvo type="max"/>
              <x14:fillColor rgb="FFA02B93"/>
            </x14:dataBar>
          </x14:cfRule>
          <xm:sqref>G5:M5</xm:sqref>
        </x14:conditionalFormatting>
        <x14:conditionalFormatting>
          <x14:cfRule type="dataBar" priority="5" id="{091D6CEA-86ED-9DCF-A6C0-6B6D60E6EE3D}">
            <x14:dataBar gradient="1">
              <x14:cfvo type="min"/>
              <x14:cfvo type="max"/>
              <x14:fillColor rgb="FFA02B93"/>
            </x14:dataBar>
          </x14:cfRule>
          <xm:sqref>L11:L25</xm:sqref>
        </x14:conditionalFormatting>
      </x14:conditionalFormattings>
    </x:ext>
  </x:extLst>
</x:worksheet>
</file>

<file path=xl/worksheets/sheet11.xml><?xml version="1.0" encoding="utf-8"?>
<x:worksheet xmlns:x="http://schemas.openxmlformats.org/spreadsheetml/2006/main">
  <x:sheetFormatPr defaultRowHeight="15"/>
  <x:cols>
    <x:col min="1" max="1" width="18" hidden="0" customWidth="1"/>
    <x:col min="2" max="2" width="22" hidden="0" customWidth="1"/>
    <x:col min="3" max="3" width="18" hidden="0" customWidth="1"/>
    <x:col min="4" max="4" width="14"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3" hidden="0" customWidth="1"/>
    <x:col min="22" max="22" width="11" hidden="0" customWidth="1"/>
    <x:col min="23" max="23" width="13" hidden="0" customWidth="1"/>
    <x:col min="24" max="24" width="13" hidden="0" customWidth="1"/>
    <x:col min="25" max="25" width="13" hidden="0" customWidth="1"/>
    <x:col min="26" max="26" width="12" hidden="0" customWidth="1"/>
    <x:col min="27" max="27" width="13" hidden="0" customWidth="1"/>
    <x:col min="28" max="28" width="16" hidden="0" customWidth="1"/>
    <x:col min="29" max="29" width="16" hidden="0" customWidth="1"/>
    <x:col min="30" max="30" width="12" hidden="0" customWidth="1"/>
    <x:col min="31" max="31" width="13" hidden="0" customWidth="1"/>
    <x:col min="32" max="32" width="13" hidden="0" customWidth="1"/>
    <x:col min="33" max="33" width="11" hidden="0" customWidth="1"/>
    <x:col min="34" max="34" width="13" hidden="0" customWidth="1"/>
    <x:col min="35" max="35" width="9" hidden="0" customWidth="1"/>
  </x:cols>
  <x:sheetData>
    <x:row r="1">
      <x:c r="A1" s="165" t="str">
        <x:v>130プロファイル：Raw Match → Empirical Percentile → 表示相性 / 順位</x:v>
      </x:c>
      <x:c r="B1" s="165"/>
      <x:c r="C1" s="165"/>
      <x:c r="D1" s="165"/>
      <x:c r="E1" s="165"/>
      <x:c r="F1" s="165"/>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row>
    <x:row r="2">
      <x:c r="A2" s="165"/>
      <x:c r="B2" s="165"/>
      <x:c r="C2" s="165"/>
      <x:c r="D2" s="165"/>
      <x:c r="E2" s="165"/>
      <x:c r="F2" s="180" t="str">
        <x:v>Engage</x:v>
      </x:c>
      <x:c r="G2" s="180" t="str">
        <x:v>Dive</x:v>
      </x:c>
      <x:c r="H2" s="180" t="str">
        <x:v>Peel</x:v>
      </x:c>
      <x:c r="I2" s="180" t="str">
        <x:v>Frontline</x:v>
      </x:c>
      <x:c r="J2" s="180" t="str">
        <x:v>Poke</x:v>
      </x:c>
      <x:c r="K2" s="180" t="str">
        <x:v>FightTempo</x:v>
      </x:c>
      <x:c r="L2" s="180" t="str">
        <x:v>Control</x:v>
      </x:c>
      <x:c r="M2" s="180" t="str">
        <x:v>Support</x:v>
      </x:c>
      <x:c r="N2" s="180" t="str">
        <x:v>Mobility</x:v>
      </x:c>
      <x:c r="O2" s="180" t="str">
        <x:v>SelfSufficiency</x:v>
      </x:c>
      <x:c r="P2" s="180" t="str">
        <x:v>FarmScaling</x:v>
      </x:c>
      <x:c r="Q2" s="180" t="str">
        <x:v>ObjectiveSecure</x:v>
      </x:c>
      <x:c r="R2" s="180" t="str">
        <x:v>ScoringSide</x:v>
      </x:c>
      <x:c r="S2" s="180" t="str">
        <x:v>Execution</x:v>
      </x:c>
      <x:c r="T2" s="180" t="str">
        <x:v>Decision</x:v>
      </x:c>
      <x:c r="U2" s="165"/>
      <x:c r="V2" s="165"/>
      <x:c r="W2" s="165"/>
      <x:c r="X2" s="165"/>
      <x:c r="Y2" s="165"/>
      <x:c r="Z2" s="165"/>
      <x:c r="AA2" s="165"/>
      <x:c r="AB2" s="165"/>
      <x:c r="AC2" s="165"/>
      <x:c r="AD2" s="165"/>
      <x:c r="AE2" s="165"/>
      <x:c r="AF2" s="165"/>
      <x:c r="AG2" s="165"/>
      <x:c r="AH2" s="165"/>
      <x:c r="AI2" s="165"/>
    </x:row>
    <x:row r="3">
      <x:c r="A3" s="48" t="str">
        <x:v>Helper</x:v>
      </x:c>
      <x:c r="B3" s="48" t="str">
        <x:v>Value</x:v>
      </x:c>
      <x:c r="C3" s="48"/>
      <x:c r="D3" s="48"/>
      <x:c r="E3" s="48"/>
      <x:c r="F3" s="48" t="n">
        <x:f>Simulator!$L$11</x:f>
        <x:v>50</x:v>
      </x:c>
      <x:c r="G3" s="48" t="n">
        <x:f>Simulator!$L$12</x:f>
        <x:v>50</x:v>
      </x:c>
      <x:c r="H3" s="48" t="n">
        <x:f>Simulator!$L$13</x:f>
        <x:v>50</x:v>
      </x:c>
      <x:c r="I3" s="48" t="n">
        <x:f>Simulator!$L$14</x:f>
        <x:v>50</x:v>
      </x:c>
      <x:c r="J3" s="48" t="n">
        <x:f>Simulator!$L$15</x:f>
        <x:v>50</x:v>
      </x:c>
      <x:c r="K3" s="48" t="n">
        <x:f>Simulator!$L$16</x:f>
        <x:v>50</x:v>
      </x:c>
      <x:c r="L3" s="48" t="n">
        <x:f>Simulator!$L$17</x:f>
        <x:v>50</x:v>
      </x:c>
      <x:c r="M3" s="48" t="n">
        <x:f>Simulator!$L$18</x:f>
        <x:v>50</x:v>
      </x:c>
      <x:c r="N3" s="48" t="n">
        <x:f>Simulator!$L$19</x:f>
        <x:v>50</x:v>
      </x:c>
      <x:c r="O3" s="48" t="n">
        <x:f>Simulator!$L$20</x:f>
        <x:v>50</x:v>
      </x:c>
      <x:c r="P3" s="48" t="n">
        <x:f>Simulator!$L$21</x:f>
        <x:v>50</x:v>
      </x:c>
      <x:c r="Q3" s="48" t="n">
        <x:f>Simulator!$L$22</x:f>
        <x:v>50</x:v>
      </x:c>
      <x:c r="R3" s="48" t="n">
        <x:f>Simulator!$L$23</x:f>
        <x:v>50</x:v>
      </x:c>
      <x:c r="S3" s="48" t="n">
        <x:f>Simulator!$L$24</x:f>
        <x:v>50</x:v>
      </x:c>
      <x:c r="T3" s="48" t="n">
        <x:f>Simulator!$L$25</x:f>
        <x:v>50</x:v>
      </x:c>
      <x:c r="U3" s="48"/>
      <x:c r="V3" s="48"/>
      <x:c r="W3" s="48" t="str">
        <x:v>PlayerMean</x:v>
      </x:c>
      <x:c r="X3" s="48" t="n">
        <x:f>SUMPRODUCT(F3:T3,F4:T4)/SUM(F4:T4)</x:f>
        <x:v>50.00000000000001</x:v>
      </x:c>
      <x:c r="Y3" t="str">
        <x:v>PlayerSignal</x:v>
      </x:c>
      <x:c r="Z3" t="n">
        <x:f>MIN(1,SQRT(SUMPRODUCT((F3:T3-X3)^2,F4:T4)/SUM(F4:T4))/Model_Formula!$F$9)</x:f>
        <x:v>3.9474596431116675e-16</x:v>
      </x:c>
      <x:c r="AA3"/>
      <x:c r="AB3"/>
      <x:c r="AC3"/>
      <x:c r="AD3"/>
      <x:c r="AE3"/>
      <x:c r="AF3"/>
      <x:c r="AG3"/>
      <x:c r="AH3"/>
      <x:c r="AI3"/>
    </x:row>
    <x:row r="4">
      <x:c r="A4" t="str">
        <x:v>説明</x:v>
      </x:c>
      <x:c r="B4" t="str">
        <x:v>F3:T3=Player Final axes / F4:T4=Axis weights</x:v>
      </x:c>
      <x:c r="C4"/>
      <x:c r="D4"/>
      <x:c r="E4"/>
      <x:c r="F4" t="n">
        <x:f>Model_Formula!$M$13</x:f>
        <x:v>1</x:v>
      </x:c>
      <x:c r="G4" t="n">
        <x:f>Model_Formula!$M$14</x:f>
        <x:v>1.05</x:v>
      </x:c>
      <x:c r="H4" t="n">
        <x:f>Model_Formula!$M$15</x:f>
        <x:v>1</x:v>
      </x:c>
      <x:c r="I4" t="n">
        <x:f>Model_Formula!$M$16</x:f>
        <x:v>1</x:v>
      </x:c>
      <x:c r="J4" t="n">
        <x:f>Model_Formula!$M$17</x:f>
        <x:v>1</x:v>
      </x:c>
      <x:c r="K4" t="n">
        <x:f>Model_Formula!$M$18</x:f>
        <x:v>0.9</x:v>
      </x:c>
      <x:c r="L4" t="n">
        <x:f>Model_Formula!$M$19</x:f>
        <x:v>1</x:v>
      </x:c>
      <x:c r="M4" t="n">
        <x:f>Model_Formula!$M$20</x:f>
        <x:v>1</x:v>
      </x:c>
      <x:c r="N4" t="n">
        <x:f>Model_Formula!$M$21</x:f>
        <x:v>1</x:v>
      </x:c>
      <x:c r="O4" t="n">
        <x:f>Model_Formula!$M$22</x:f>
        <x:v>1</x:v>
      </x:c>
      <x:c r="P4" t="n">
        <x:f>Model_Formula!$M$23</x:f>
        <x:v>0.45</x:v>
      </x:c>
      <x:c r="Q4" t="n">
        <x:f>Model_Formula!$M$24</x:f>
        <x:v>0.4</x:v>
      </x:c>
      <x:c r="R4" t="n">
        <x:f>Model_Formula!$M$25</x:f>
        <x:v>0.45</x:v>
      </x:c>
      <x:c r="S4" t="n">
        <x:f>Model_Formula!$M$26</x:f>
        <x:v>1.1</x:v>
      </x:c>
      <x:c r="T4" t="n">
        <x:f>Model_Formula!$M$27</x:f>
        <x:v>1.05</x:v>
      </x:c>
      <x:c r="U4"/>
      <x:c r="V4"/>
      <x:c r="W4"/>
      <x:c r="X4"/>
      <x:c r="Y4"/>
      <x:c r="Z4"/>
      <x:c r="AA4"/>
      <x:c r="AB4"/>
      <x:c r="AC4"/>
      <x:c r="AD4"/>
      <x:c r="AE4"/>
      <x:c r="AF4"/>
      <x:c r="AG4"/>
      <x:c r="AH4"/>
      <x:c r="AI4"/>
    </x:row>
    <x:row r="5">
      <x:c r="A5" s="162" t="str">
        <x:v>Pokemon</x:v>
      </x:c>
      <x:c r="B5" s="162" t="str">
        <x:v>ProfileID</x:v>
      </x:c>
      <x:c r="C5" s="162" t="str">
        <x:v>ProfileName</x:v>
      </x:c>
      <x:c r="D5" s="162" t="str">
        <x:v>OfficialRole</x:v>
      </x:c>
      <x:c r="E5" s="162" t="str">
        <x:v>Confidence</x:v>
      </x:c>
      <x:c r="F5" s="162" t="str">
        <x:v>Err_Engage</x:v>
      </x:c>
      <x:c r="G5" s="162" t="str">
        <x:v>Err_Dive</x:v>
      </x:c>
      <x:c r="H5" s="162" t="str">
        <x:v>Err_Peel</x:v>
      </x:c>
      <x:c r="I5" s="162" t="str">
        <x:v>Err_Frontline</x:v>
      </x:c>
      <x:c r="J5" s="162" t="str">
        <x:v>Err_Poke</x:v>
      </x:c>
      <x:c r="K5" s="162" t="str">
        <x:v>Err_FightTempo</x:v>
      </x:c>
      <x:c r="L5" s="162" t="str">
        <x:v>Err_Control</x:v>
      </x:c>
      <x:c r="M5" s="162" t="str">
        <x:v>Err_Support</x:v>
      </x:c>
      <x:c r="N5" s="162" t="str">
        <x:v>Err_Mobility</x:v>
      </x:c>
      <x:c r="O5" s="162" t="str">
        <x:v>Err_SelfSufficiency</x:v>
      </x:c>
      <x:c r="P5" s="162" t="str">
        <x:v>Err_FarmScaling</x:v>
      </x:c>
      <x:c r="Q5" s="162" t="str">
        <x:v>Err_ObjectiveSecure</x:v>
      </x:c>
      <x:c r="R5" s="162" t="str">
        <x:v>Err_ScoringSide</x:v>
      </x:c>
      <x:c r="S5" s="162" t="str">
        <x:v>Err_Execution</x:v>
      </x:c>
      <x:c r="T5" s="162" t="str">
        <x:v>Err_Decision</x:v>
      </x:c>
      <x:c r="U5" s="162" t="str">
        <x:v>WeightedMSE</x:v>
      </x:c>
      <x:c r="V5" s="162" t="str">
        <x:v>RMSE</x:v>
      </x:c>
      <x:c r="W5" s="162" t="str">
        <x:v>AbsoluteScore</x:v>
      </x:c>
      <x:c r="X5" s="162" t="str">
        <x:v>ProfileMean</x:v>
      </x:c>
      <x:c r="Y5" s="162" t="str">
        <x:v>ShapeScore</x:v>
      </x:c>
      <x:c r="Z5" s="162" t="str">
        <x:v>PlayerSignal</x:v>
      </x:c>
      <x:c r="AA5" s="162" t="str">
        <x:v>HybridScore</x:v>
      </x:c>
      <x:c r="AB5" s="162" t="str">
        <x:v>ProfileSpecificity</x:v>
      </x:c>
      <x:c r="AC5" s="162" t="str">
        <x:v>SpecificityCorrection</x:v>
      </x:c>
      <x:c r="AD5" s="162" t="str">
        <x:v>RawMatch</x:v>
      </x:c>
      <x:c r="AE5" s="162" t="str">
        <x:v>PercentileFit</x:v>
      </x:c>
      <x:c r="AF5" s="162" t="str">
        <x:v>DisplayScore</x:v>
      </x:c>
      <x:c r="AG5" s="162" t="str">
        <x:v>RankBias</x:v>
      </x:c>
      <x:c r="AH5" s="162" t="str">
        <x:v>RankScore</x:v>
      </x:c>
      <x:c r="AI5" s="162" t="str">
        <x:v>Rank</x:v>
      </x:c>
    </x:row>
    <x:row r="6">
      <x:c r="A6" t="str">
        <x:f>Profiles_140!A2</x:f>
        <x:v>アローラキュウコン</x:v>
      </x:c>
      <x:c r="B6" t="str">
        <x:f>Profiles_140!C2</x:f>
        <x:v>アローラキュウコン-1</x:v>
      </x:c>
      <x:c r="C6" t="str">
        <x:f>Profiles_140!D2</x:f>
        <x:v>ふぶき</x:v>
      </x:c>
      <x:c r="D6" t="str">
        <x:f>Profiles_140!B2</x:f>
        <x:v>アタック型</x:v>
      </x:c>
      <x:c r="E6" t="str">
        <x:f>Profiles_140!I2</x:f>
        <x:v>高</x:v>
      </x:c>
      <x:c r="F6" s="66" t="n">
        <x:f>Model_Formula!$M$13*(Profiles_140!K2-Simulator!$L$11)^2*IF(Profiles_140!K2&gt;Simulator!$L$11,1+Model_Formula!$N$13,1)</x:f>
        <x:v>400</x:v>
      </x:c>
      <x:c r="G6" s="66" t="n">
        <x:f>Model_Formula!$M$14*(Profiles_140!L2-Simulator!$L$12)^2*IF(Profiles_140!L2&gt;Simulator!$L$12,1+Model_Formula!$N$14,1)</x:f>
        <x:v>2126.25</x:v>
      </x:c>
      <x:c r="H6" s="66" t="n">
        <x:f>Model_Formula!$M$15*(Profiles_140!M2-Simulator!$L$13)^2*IF(Profiles_140!M2&gt;Simulator!$L$13,1+Model_Formula!$N$15,1)</x:f>
        <x:v>225</x:v>
      </x:c>
      <x:c r="I6" s="66" t="n">
        <x:f>Model_Formula!$M$16*(Profiles_140!N2-Simulator!$L$14)^2*IF(Profiles_140!N2&gt;Simulator!$L$14,1+Model_Formula!$N$16,1)</x:f>
        <x:v>2500</x:v>
      </x:c>
      <x:c r="J6" s="66" t="n">
        <x:f>Model_Formula!$M$17*(Profiles_140!O2-Simulator!$L$15)^2*IF(Profiles_140!O2&gt;Simulator!$L$15,1+Model_Formula!$N$17,1)</x:f>
        <x:v>2500</x:v>
      </x:c>
      <x:c r="K6" s="66" t="n">
        <x:f>Model_Formula!$M$18*(Profiles_140!P2-Simulator!$L$16)^2*IF(Profiles_140!P2&gt;Simulator!$L$16,1+Model_Formula!$N$18,1)</x:f>
        <x:v>1440</x:v>
      </x:c>
      <x:c r="L6" s="66" t="n">
        <x:f>Model_Formula!$M$19*(Profiles_140!Q2-Simulator!$L$17)^2*IF(Profiles_140!Q2&gt;Simulator!$L$17,1+Model_Formula!$N$19,1)</x:f>
        <x:v>1225</x:v>
      </x:c>
      <x:c r="M6" s="66" t="n">
        <x:f>Model_Formula!$M$20*(Profiles_140!R2-Simulator!$L$18)^2*IF(Profiles_140!R2&gt;Simulator!$L$18,1+Model_Formula!$N$20,1)</x:f>
        <x:v>2500</x:v>
      </x:c>
      <x:c r="N6" s="66" t="n">
        <x:f>Model_Formula!$M$21*(Profiles_140!S2-Simulator!$L$19)^2*IF(Profiles_140!S2&gt;Simulator!$L$19,1+Model_Formula!$N$21,1)</x:f>
        <x:v>400</x:v>
      </x:c>
      <x:c r="O6" s="66" t="n">
        <x:f>Model_Formula!$M$22*(Profiles_140!T2-Simulator!$L$20)^2*IF(Profiles_140!T2&gt;Simulator!$L$20,1+Model_Formula!$N$22,1)</x:f>
        <x:v>0</x:v>
      </x:c>
      <x:c r="P6" s="66" t="n">
        <x:f>Model_Formula!$M$23*(Profiles_140!U2-Simulator!$L$21)^2*IF(Profiles_140!U2&gt;Simulator!$L$21,1+Model_Formula!$N$23,1)</x:f>
        <x:v>11.25</x:v>
      </x:c>
      <x:c r="Q6" s="66" t="n">
        <x:f>Model_Formula!$M$24*(Profiles_140!V2-Simulator!$L$22)^2*IF(Profiles_140!V2&gt;Simulator!$L$22,1+Model_Formula!$N$24,1)</x:f>
        <x:v>40</x:v>
      </x:c>
      <x:c r="R6" s="66" t="n">
        <x:f>Model_Formula!$M$25*(Profiles_140!W2-Simulator!$L$23)^2*IF(Profiles_140!W2&gt;Simulator!$L$23,1+Model_Formula!$N$25,1)</x:f>
        <x:v>281.25</x:v>
      </x:c>
      <x:c r="S6" s="66" t="n">
        <x:f>Model_Formula!$M$26*(Profiles_140!X2-Simulator!$L$24)^2*IF(Profiles_140!X2&gt;Simulator!$L$24,1+Model_Formula!$N$26,1)</x:f>
        <x:v>148.50000000000003</x:v>
      </x:c>
      <x:c r="T6" s="66" t="n">
        <x:f>Model_Formula!$M$27*(Profiles_140!Y2-Simulator!$L$25)^2*IF(Profiles_140!Y2&gt;Simulator!$L$25,1+Model_Formula!$N$27,1)</x:f>
        <x:v>482.99999999999994</x:v>
      </x:c>
      <x:c r="U6" s="60" t="n">
        <x:f>SUM(F6:T6)/SUM($F$4:$T$4)</x:f>
        <x:v>1065.6902985074628</x:v>
      </x:c>
      <x:c r="V6" s="60" t="n">
        <x:f>SQRT(U6)</x:f>
        <x:v>32.644912291312146</x:v>
      </x:c>
      <x:c r="W6" s="60" t="n">
        <x:f>MAX(0,100-V6)</x:f>
        <x:v>67.35508770868785</x:v>
      </x:c>
      <x:c r="X6" s="60" t="n">
        <x:f>SUMPRODUCT(Profiles_140!K2:Y2,$F$4:$T$4)/SUM($F$4:$T$4)</x:f>
        <x:v>40.57835820895523</x:v>
      </x:c>
      <x:c r="Y6" s="60" t="n">
        <x:f>IFERROR(50+50*SUMPRODUCT(($F$3:$T$3-$X$3)*(Profiles_140!K2:Y2-X6),$F$4:$T$4)/SQRT(SUMPRODUCT(($F$3:$T$3-$X$3)^2,$F$4:$T$4)*SUMPRODUCT((Profiles_140!K2:Y2-X6)^2,$F$4:$T$4)),50)</x:f>
        <x:v>50.00000000000001</x:v>
      </x:c>
      <x:c r="Z6" s="60" t="n">
        <x:f>$Z$3</x:f>
        <x:v>3.9474596431116675e-16</x:v>
      </x:c>
      <x:c r="AA6" s="60" t="n">
        <x:f>W6*(1-Model_Formula!$F$8*Z6)+Y6*(Model_Formula!$F$8*Z6)</x:f>
        <x:v>67.35508770868785</x:v>
      </x:c>
      <x:c r="AB6" s="60" t="n">
        <x:f>SQRT(SUMPRODUCT((Profiles_140!K2:Y2-50)^2,$F$4:$T$4)/SUM($F$4:$T$4))</x:f>
        <x:v>32.52868997733833</x:v>
      </x:c>
      <x:c r="AC6" s="60" t="n">
        <x:f>MAX(-Model_Formula!$F$11,MIN(Model_Formula!$F$11,Model_Formula!$F$10*(AB6-AVERAGE($AB$6:$AB$135))))</x:f>
        <x:v>1.7358863463542809</x:v>
      </x:c>
      <x:c r="AD6" s="60" t="n">
        <x:f>MAX(0,MIN(100,AA6+AC6))</x:f>
        <x:v>69.09097405504212</x:v>
      </x:c>
      <x:c r="AE6" s="60" t="n">
        <x:f>MAX(0,MIN(1,IFERROR((MATCH(AD6,Percentile_Calibration!$F2:$DB2,1)-1)/100,0)))</x:f>
        <x:v>0.87</x:v>
      </x:c>
      <x:c r="AF6" s="62" t="n">
        <x:f>ROUND(MAX(Model_Formula!$I$9,Model_Formula!$I$5+Model_Formula!$I$6*POWER(AE6,Model_Formula!$I$7)),0)</x:f>
        <x:v>78</x:v>
      </x:c>
      <x:c r="AG6" t="n">
        <x:f>Profiles_140!AJ2</x:f>
        <x:v>0</x:v>
      </x:c>
      <x:c r="AH6" s="60" t="n">
        <x:f>Model_Formula!$I$8*(AE6*100)+(1-Model_Formula!$I$8)*AD6+AG6</x:f>
        <x:v>83.41819481100843</x:v>
      </x:c>
      <x:c r="AI6" t="n">
        <x:f>RANK.EQ(AH6,$AH$6:$AH$135,0)+COUNTIF($AH$6:AH6,AH6)-1</x:f>
        <x:v>41</x:v>
      </x:c>
    </x:row>
    <x:row r="7">
      <x:c r="A7" t="str">
        <x:f>Profiles_140!A3</x:f>
        <x:v>アローラキュウコン</x:v>
      </x:c>
      <x:c r="B7" t="str">
        <x:f>Profiles_140!C3</x:f>
        <x:v>アローラキュウコン-2</x:v>
      </x:c>
      <x:c r="C7" t="str">
        <x:f>Profiles_140!D3</x:f>
        <x:v>オーロラベール</x:v>
      </x:c>
      <x:c r="D7" t="str">
        <x:f>Profiles_140!B3</x:f>
        <x:v>アタック型</x:v>
      </x:c>
      <x:c r="E7" t="str">
        <x:f>Profiles_140!I3</x:f>
        <x:v>高</x:v>
      </x:c>
      <x:c r="F7" s="66" t="n">
        <x:f>Model_Formula!$M$13*(Profiles_140!K3-Simulator!$L$11)^2*IF(Profiles_140!K3&gt;Simulator!$L$11,1+Model_Formula!$N$13,1)</x:f>
        <x:v>400</x:v>
      </x:c>
      <x:c r="G7" s="66" t="n">
        <x:f>Model_Formula!$M$14*(Profiles_140!L3-Simulator!$L$12)^2*IF(Profiles_140!L3&gt;Simulator!$L$12,1+Model_Formula!$N$14,1)</x:f>
        <x:v>2126.25</x:v>
      </x:c>
      <x:c r="H7" s="66" t="n">
        <x:f>Model_Formula!$M$15*(Profiles_140!M3-Simulator!$L$13)^2*IF(Profiles_140!M3&gt;Simulator!$L$13,1+Model_Formula!$N$15,1)</x:f>
        <x:v>25</x:v>
      </x:c>
      <x:c r="I7" s="66" t="n">
        <x:f>Model_Formula!$M$16*(Profiles_140!N3-Simulator!$L$14)^2*IF(Profiles_140!N3&gt;Simulator!$L$14,1+Model_Formula!$N$16,1)</x:f>
        <x:v>100</x:v>
      </x:c>
      <x:c r="J7" s="66" t="n">
        <x:f>Model_Formula!$M$17*(Profiles_140!O3-Simulator!$L$15)^2*IF(Profiles_140!O3&gt;Simulator!$L$15,1+Model_Formula!$N$17,1)</x:f>
        <x:v>25</x:v>
      </x:c>
      <x:c r="K7" s="66" t="n">
        <x:f>Model_Formula!$M$18*(Profiles_140!P3-Simulator!$L$16)^2*IF(Profiles_140!P3&gt;Simulator!$L$16,1+Model_Formula!$N$18,1)</x:f>
        <x:v>810</x:v>
      </x:c>
      <x:c r="L7" s="66" t="n">
        <x:f>Model_Formula!$M$19*(Profiles_140!Q3-Simulator!$L$17)^2*IF(Profiles_140!Q3&gt;Simulator!$L$17,1+Model_Formula!$N$19,1)</x:f>
        <x:v>25</x:v>
      </x:c>
      <x:c r="M7" s="66" t="n">
        <x:f>Model_Formula!$M$20*(Profiles_140!R3-Simulator!$L$18)^2*IF(Profiles_140!R3&gt;Simulator!$L$18,1+Model_Formula!$N$20,1)</x:f>
        <x:v>100</x:v>
      </x:c>
      <x:c r="N7" s="66" t="n">
        <x:f>Model_Formula!$M$21*(Profiles_140!S3-Simulator!$L$19)^2*IF(Profiles_140!S3&gt;Simulator!$L$19,1+Model_Formula!$N$21,1)</x:f>
        <x:v>400</x:v>
      </x:c>
      <x:c r="O7" s="66" t="n">
        <x:f>Model_Formula!$M$22*(Profiles_140!T3-Simulator!$L$20)^2*IF(Profiles_140!T3&gt;Simulator!$L$20,1+Model_Formula!$N$22,1)</x:f>
        <x:v>25</x:v>
      </x:c>
      <x:c r="P7" s="66" t="n">
        <x:f>Model_Formula!$M$23*(Profiles_140!U3-Simulator!$L$21)^2*IF(Profiles_140!U3&gt;Simulator!$L$21,1+Model_Formula!$N$23,1)</x:f>
        <x:v>11.25</x:v>
      </x:c>
      <x:c r="Q7" s="66" t="n">
        <x:f>Model_Formula!$M$24*(Profiles_140!V3-Simulator!$L$22)^2*IF(Profiles_140!V3&gt;Simulator!$L$22,1+Model_Formula!$N$24,1)</x:f>
        <x:v>90</x:v>
      </x:c>
      <x:c r="R7" s="66" t="n">
        <x:f>Model_Formula!$M$25*(Profiles_140!W3-Simulator!$L$23)^2*IF(Profiles_140!W3&gt;Simulator!$L$23,1+Model_Formula!$N$25,1)</x:f>
        <x:v>180</x:v>
      </x:c>
      <x:c r="S7" s="66" t="n">
        <x:f>Model_Formula!$M$26*(Profiles_140!X3-Simulator!$L$24)^2*IF(Profiles_140!X3&gt;Simulator!$L$24,1+Model_Formula!$N$26,1)</x:f>
        <x:v>0</x:v>
      </x:c>
      <x:c r="T7" s="66" t="n">
        <x:f>Model_Formula!$M$27*(Profiles_140!Y3-Simulator!$L$25)^2*IF(Profiles_140!Y3&gt;Simulator!$L$25,1+Model_Formula!$N$27,1)</x:f>
        <x:v>754.6874999999999</x:v>
      </x:c>
      <x:c r="U7" s="60" t="n">
        <x:f>SUM(F7:T7)/SUM($F$4:$T$4)</x:f>
        <x:v>378.52145522388065</x:v>
      </x:c>
      <x:c r="V7" s="60" t="n">
        <x:f>SQRT(U7)</x:f>
        <x:v>19.45562785478486</x:v>
      </x:c>
      <x:c r="W7" s="60" t="n">
        <x:f>MAX(0,100-V7)</x:f>
        <x:v>80.54437214521514</x:v>
      </x:c>
      <x:c r="X7" s="60" t="n">
        <x:f>SUMPRODUCT(Profiles_140!K3:Y3,$F$4:$T$4)/SUM($F$4:$T$4)</x:f>
        <x:v>45.1679104477612</x:v>
      </x:c>
      <x:c r="Y7" s="60" t="n">
        <x:f>IFERROR(50+50*SUMPRODUCT(($F$3:$T$3-$X$3)*(Profiles_140!K3:Y3-X7),$F$4:$T$4)/SQRT(SUMPRODUCT(($F$3:$T$3-$X$3)^2,$F$4:$T$4)*SUMPRODUCT((Profiles_140!K3:Y3-X7)^2,$F$4:$T$4)),50)</x:f>
        <x:v>50.00000000000002</x:v>
      </x:c>
      <x:c r="Z7" s="60" t="n">
        <x:f>$Z$3</x:f>
        <x:v>3.9474596431116675e-16</x:v>
      </x:c>
      <x:c r="AA7" s="60" t="n">
        <x:f>W7*(1-Model_Formula!$F$8*Z7)+Y7*(Model_Formula!$F$8*Z7)</x:f>
        <x:v>80.54437214521514</x:v>
      </x:c>
      <x:c r="AB7" s="60" t="n">
        <x:f>SQRT(SUMPRODUCT((Profiles_140!K3:Y3-50)^2,$F$4:$T$4)/SUM($F$4:$T$4))</x:f>
        <x:v>19.265912206130505</x:v>
      </x:c>
      <x:c r="AC7" s="60" t="n">
        <x:f>MAX(-Model_Formula!$F$11,MIN(Model_Formula!$F$11,Model_Formula!$F$10*(AB7-AVERAGE($AB$6:$AB$135))))</x:f>
        <x:v>-4.2323636506892415</x:v>
      </x:c>
      <x:c r="AD7" s="60" t="n">
        <x:f>MAX(0,MIN(100,AA7+AC7))</x:f>
        <x:v>76.3120084945259</x:v>
      </x:c>
      <x:c r="AE7" s="60" t="n">
        <x:f>MAX(0,MIN(1,IFERROR((MATCH(AD7,Percentile_Calibration!$F3:$DB3,1)-1)/100,0)))</x:f>
        <x:v>0.94</x:v>
      </x:c>
      <x:c r="AF7" s="62" t="n">
        <x:f>ROUND(MAX(Model_Formula!$I$9,Model_Formula!$I$5+Model_Formula!$I$6*POWER(AE7,Model_Formula!$I$7)),0)</x:f>
        <x:v>88</x:v>
      </x:c>
      <x:c r="AG7" t="n">
        <x:f>Profiles_140!AJ3</x:f>
        <x:v>0</x:v>
      </x:c>
      <x:c r="AH7" s="60" t="n">
        <x:f>Model_Formula!$I$8*(AE7*100)+(1-Model_Formula!$I$8)*AD7+AG7</x:f>
        <x:v>90.46240169890518</x:v>
      </x:c>
      <x:c r="AI7" t="n">
        <x:f>RANK.EQ(AH7,$AH$6:$AH$135,0)+COUNTIF($AH$6:AH7,AH7)-1</x:f>
        <x:v>19</x:v>
      </x:c>
    </x:row>
    <x:row r="8">
      <x:c r="A8" t="str">
        <x:f>Profiles_140!A4</x:f>
        <x:v>アローラライチュウ</x:v>
      </x:c>
      <x:c r="B8" t="str">
        <x:f>Profiles_140!C4</x:f>
        <x:v>アローラライチュウ-1</x:v>
      </x:c>
      <x:c r="C8" t="str">
        <x:f>Profiles_140!D4</x:f>
        <x:v>共通</x:v>
      </x:c>
      <x:c r="D8" t="str">
        <x:f>Profiles_140!B4</x:f>
        <x:v>アタック型</x:v>
      </x:c>
      <x:c r="E8" t="str">
        <x:f>Profiles_140!I4</x:f>
        <x:v>高</x:v>
      </x:c>
      <x:c r="F8" s="66" t="n">
        <x:f>Model_Formula!$M$13*(Profiles_140!K4-Simulator!$L$11)^2*IF(Profiles_140!K4&gt;Simulator!$L$11,1+Model_Formula!$N$13,1)</x:f>
        <x:v>0</x:v>
      </x:c>
      <x:c r="G8" s="66" t="n">
        <x:f>Model_Formula!$M$14*(Profiles_140!L4-Simulator!$L$12)^2*IF(Profiles_140!L4&gt;Simulator!$L$12,1+Model_Formula!$N$14,1)</x:f>
        <x:v>236.25</x:v>
      </x:c>
      <x:c r="H8" s="66" t="n">
        <x:f>Model_Formula!$M$15*(Profiles_140!M4-Simulator!$L$13)^2*IF(Profiles_140!M4&gt;Simulator!$L$13,1+Model_Formula!$N$15,1)</x:f>
        <x:v>400</x:v>
      </x:c>
      <x:c r="I8" s="66" t="n">
        <x:f>Model_Formula!$M$16*(Profiles_140!N4-Simulator!$L$14)^2*IF(Profiles_140!N4&gt;Simulator!$L$14,1+Model_Formula!$N$16,1)</x:f>
        <x:v>400</x:v>
      </x:c>
      <x:c r="J8" s="66" t="n">
        <x:f>Model_Formula!$M$17*(Profiles_140!O4-Simulator!$L$15)^2*IF(Profiles_140!O4&gt;Simulator!$L$15,1+Model_Formula!$N$17,1)</x:f>
        <x:v>225</x:v>
      </x:c>
      <x:c r="K8" s="66" t="n">
        <x:f>Model_Formula!$M$18*(Profiles_140!P4-Simulator!$L$16)^2*IF(Profiles_140!P4&gt;Simulator!$L$16,1+Model_Formula!$N$18,1)</x:f>
        <x:v>360</x:v>
      </x:c>
      <x:c r="L8" s="66" t="n">
        <x:f>Model_Formula!$M$19*(Profiles_140!Q4-Simulator!$L$17)^2*IF(Profiles_140!Q4&gt;Simulator!$L$17,1+Model_Formula!$N$19,1)</x:f>
        <x:v>0</x:v>
      </x:c>
      <x:c r="M8" s="66" t="n">
        <x:f>Model_Formula!$M$20*(Profiles_140!R4-Simulator!$L$18)^2*IF(Profiles_140!R4&gt;Simulator!$L$18,1+Model_Formula!$N$20,1)</x:f>
        <x:v>1600</x:v>
      </x:c>
      <x:c r="N8" s="66" t="n">
        <x:f>Model_Formula!$M$21*(Profiles_140!S4-Simulator!$L$19)^2*IF(Profiles_140!S4&gt;Simulator!$L$19,1+Model_Formula!$N$21,1)</x:f>
        <x:v>100</x:v>
      </x:c>
      <x:c r="O8" s="66" t="n">
        <x:f>Model_Formula!$M$22*(Profiles_140!T4-Simulator!$L$20)^2*IF(Profiles_140!T4&gt;Simulator!$L$20,1+Model_Formula!$N$22,1)</x:f>
        <x:v>100</x:v>
      </x:c>
      <x:c r="P8" s="66" t="n">
        <x:f>Model_Formula!$M$23*(Profiles_140!U4-Simulator!$L$21)^2*IF(Profiles_140!U4&gt;Simulator!$L$21,1+Model_Formula!$N$23,1)</x:f>
        <x:v>11.25</x:v>
      </x:c>
      <x:c r="Q8" s="66" t="n">
        <x:f>Model_Formula!$M$24*(Profiles_140!V4-Simulator!$L$22)^2*IF(Profiles_140!V4&gt;Simulator!$L$22,1+Model_Formula!$N$24,1)</x:f>
        <x:v>10</x:v>
      </x:c>
      <x:c r="R8" s="66" t="n">
        <x:f>Model_Formula!$M$25*(Profiles_140!W4-Simulator!$L$23)^2*IF(Profiles_140!W4&gt;Simulator!$L$23,1+Model_Formula!$N$25,1)</x:f>
        <x:v>11.25</x:v>
      </x:c>
      <x:c r="S8" s="66" t="n">
        <x:f>Model_Formula!$M$26*(Profiles_140!X4-Simulator!$L$24)^2*IF(Profiles_140!X4&gt;Simulator!$L$24,1+Model_Formula!$N$26,1)</x:f>
        <x:v>148.50000000000003</x:v>
      </x:c>
      <x:c r="T8" s="66" t="n">
        <x:f>Model_Formula!$M$27*(Profiles_140!Y4-Simulator!$L$25)^2*IF(Profiles_140!Y4&gt;Simulator!$L$25,1+Model_Formula!$N$27,1)</x:f>
        <x:v>271.6875</x:v>
      </x:c>
      <x:c r="U8" s="60" t="n">
        <x:f>SUM(F8:T8)/SUM($F$4:$T$4)</x:f>
        <x:v>289.09981343283584</x:v>
      </x:c>
      <x:c r="V8" s="60" t="n">
        <x:f>SQRT(U8)</x:f>
        <x:v>17.002935435766258</x:v>
      </x:c>
      <x:c r="W8" s="60" t="n">
        <x:f>MAX(0,100-V8)</x:f>
        <x:v>82.99706456423374</x:v>
      </x:c>
      <x:c r="X8" s="60" t="n">
        <x:f>SUMPRODUCT(Profiles_140!K4:Y4,$F$4:$T$4)/SUM($F$4:$T$4)</x:f>
        <x:v>48.95522388059702</x:v>
      </x:c>
      <x:c r="Y8" s="60" t="n">
        <x:f>IFERROR(50+50*SUMPRODUCT(($F$3:$T$3-$X$3)*(Profiles_140!K4:Y4-X8),$F$4:$T$4)/SQRT(SUMPRODUCT(($F$3:$T$3-$X$3)^2,$F$4:$T$4)*SUMPRODUCT((Profiles_140!K4:Y4-X8)^2,$F$4:$T$4)),50)</x:f>
        <x:v>50.00000000000001</x:v>
      </x:c>
      <x:c r="Z8" s="60" t="n">
        <x:f>$Z$3</x:f>
        <x:v>3.9474596431116675e-16</x:v>
      </x:c>
      <x:c r="AA8" s="60" t="n">
        <x:f>W8*(1-Model_Formula!$F$8*Z8)+Y8*(Model_Formula!$F$8*Z8)</x:f>
        <x:v>82.99706456423374</x:v>
      </x:c>
      <x:c r="AB8" s="60" t="n">
        <x:f>SQRT(SUMPRODUCT((Profiles_140!K4:Y4-50)^2,$F$4:$T$4)/SUM($F$4:$T$4))</x:f>
        <x:v>16.839895770230846</x:v>
      </x:c>
      <x:c r="AC8" s="60" t="n">
        <x:f>MAX(-Model_Formula!$F$11,MIN(Model_Formula!$F$11,Model_Formula!$F$10*(AB8-AVERAGE($AB$6:$AB$135))))</x:f>
        <x:v>-5</x:v>
      </x:c>
      <x:c r="AD8" s="60" t="n">
        <x:f>MAX(0,MIN(100,AA8+AC8))</x:f>
        <x:v>77.99706456423374</x:v>
      </x:c>
      <x:c r="AE8" s="60" t="n">
        <x:f>MAX(0,MIN(1,IFERROR((MATCH(AD8,Percentile_Calibration!$F4:$DB4,1)-1)/100,0)))</x:f>
        <x:v>0.93</x:v>
      </x:c>
      <x:c r="AF8" s="62" t="n">
        <x:f>ROUND(MAX(Model_Formula!$I$9,Model_Formula!$I$5+Model_Formula!$I$6*POWER(AE8,Model_Formula!$I$7)),0)</x:f>
        <x:v>86</x:v>
      </x:c>
      <x:c r="AG8" t="n">
        <x:f>Profiles_140!AJ4</x:f>
        <x:v>0</x:v>
      </x:c>
      <x:c r="AH8" s="60" t="n">
        <x:f>Model_Formula!$I$8*(AE8*100)+(1-Model_Formula!$I$8)*AD8+AG8</x:f>
        <x:v>89.99941291284675</x:v>
      </x:c>
      <x:c r="AI8" t="n">
        <x:f>RANK.EQ(AH8,$AH$6:$AH$135,0)+COUNTIF($AH$6:AH8,AH8)-1</x:f>
        <x:v>22</x:v>
      </x:c>
    </x:row>
    <x:row r="9">
      <x:c r="A9" t="str">
        <x:f>Profiles_140!A5</x:f>
        <x:v>イベルタル</x:v>
      </x:c>
      <x:c r="B9" t="str">
        <x:f>Profiles_140!C5</x:f>
        <x:v>イベルタル-1</x:v>
      </x:c>
      <x:c r="C9" t="str">
        <x:f>Profiles_140!D5</x:f>
        <x:v>共通</x:v>
      </x:c>
      <x:c r="D9" t="str">
        <x:f>Profiles_140!B5</x:f>
        <x:v>アタック型</x:v>
      </x:c>
      <x:c r="E9" t="str">
        <x:f>Profiles_140!I5</x:f>
        <x:v>高</x:v>
      </x:c>
      <x:c r="F9" s="66" t="n">
        <x:f>Model_Formula!$M$13*(Profiles_140!K5-Simulator!$L$11)^2*IF(Profiles_140!K5&gt;Simulator!$L$11,1+Model_Formula!$N$13,1)</x:f>
        <x:v>400</x:v>
      </x:c>
      <x:c r="G9" s="66" t="n">
        <x:f>Model_Formula!$M$14*(Profiles_140!L5-Simulator!$L$12)^2*IF(Profiles_140!L5&gt;Simulator!$L$12,1+Model_Formula!$N$14,1)</x:f>
        <x:v>2126.25</x:v>
      </x:c>
      <x:c r="H9" s="66" t="n">
        <x:f>Model_Formula!$M$15*(Profiles_140!M5-Simulator!$L$13)^2*IF(Profiles_140!M5&gt;Simulator!$L$13,1+Model_Formula!$N$15,1)</x:f>
        <x:v>225</x:v>
      </x:c>
      <x:c r="I9" s="66" t="n">
        <x:f>Model_Formula!$M$16*(Profiles_140!N5-Simulator!$L$14)^2*IF(Profiles_140!N5&gt;Simulator!$L$14,1+Model_Formula!$N$16,1)</x:f>
        <x:v>1225</x:v>
      </x:c>
      <x:c r="J9" s="66" t="n">
        <x:f>Model_Formula!$M$17*(Profiles_140!O5-Simulator!$L$15)^2*IF(Profiles_140!O5&gt;Simulator!$L$15,1+Model_Formula!$N$17,1)</x:f>
        <x:v>1600</x:v>
      </x:c>
      <x:c r="K9" s="66" t="n">
        <x:f>Model_Formula!$M$18*(Profiles_140!P5-Simulator!$L$16)^2*IF(Profiles_140!P5&gt;Simulator!$L$16,1+Model_Formula!$N$18,1)</x:f>
        <x:v>1440</x:v>
      </x:c>
      <x:c r="L9" s="66" t="n">
        <x:f>Model_Formula!$M$19*(Profiles_140!Q5-Simulator!$L$17)^2*IF(Profiles_140!Q5&gt;Simulator!$L$17,1+Model_Formula!$N$19,1)</x:f>
        <x:v>225</x:v>
      </x:c>
      <x:c r="M9" s="66" t="n">
        <x:f>Model_Formula!$M$20*(Profiles_140!R5-Simulator!$L$18)^2*IF(Profiles_140!R5&gt;Simulator!$L$18,1+Model_Formula!$N$20,1)</x:f>
        <x:v>1600</x:v>
      </x:c>
      <x:c r="N9" s="66" t="n">
        <x:f>Model_Formula!$M$21*(Profiles_140!S5-Simulator!$L$19)^2*IF(Profiles_140!S5&gt;Simulator!$L$19,1+Model_Formula!$N$21,1)</x:f>
        <x:v>900</x:v>
      </x:c>
      <x:c r="O9" s="66" t="n">
        <x:f>Model_Formula!$M$22*(Profiles_140!T5-Simulator!$L$20)^2*IF(Profiles_140!T5&gt;Simulator!$L$20,1+Model_Formula!$N$22,1)</x:f>
        <x:v>0</x:v>
      </x:c>
      <x:c r="P9" s="66" t="n">
        <x:f>Model_Formula!$M$23*(Profiles_140!U5-Simulator!$L$21)^2*IF(Profiles_140!U5&gt;Simulator!$L$21,1+Model_Formula!$N$23,1)</x:f>
        <x:v>11.25</x:v>
      </x:c>
      <x:c r="Q9" s="66" t="n">
        <x:f>Model_Formula!$M$24*(Profiles_140!V5-Simulator!$L$22)^2*IF(Profiles_140!V5&gt;Simulator!$L$22,1+Model_Formula!$N$24,1)</x:f>
        <x:v>360</x:v>
      </x:c>
      <x:c r="R9" s="66" t="n">
        <x:f>Model_Formula!$M$25*(Profiles_140!W5-Simulator!$L$23)^2*IF(Profiles_140!W5&gt;Simulator!$L$23,1+Model_Formula!$N$25,1)</x:f>
        <x:v>281.25</x:v>
      </x:c>
      <x:c r="S9" s="66" t="n">
        <x:f>Model_Formula!$M$26*(Profiles_140!X5-Simulator!$L$24)^2*IF(Profiles_140!X5&gt;Simulator!$L$24,1+Model_Formula!$N$26,1)</x:f>
        <x:v>148.50000000000003</x:v>
      </x:c>
      <x:c r="T9" s="66" t="n">
        <x:f>Model_Formula!$M$27*(Profiles_140!Y5-Simulator!$L$25)^2*IF(Profiles_140!Y5&gt;Simulator!$L$25,1+Model_Formula!$N$27,1)</x:f>
        <x:v>482.99999999999994</x:v>
      </x:c>
      <x:c r="U9" s="60" t="n">
        <x:f>SUM(F9:T9)/SUM($F$4:$T$4)</x:f>
        <x:v>822.7798507462687</x:v>
      </x:c>
      <x:c r="V9" s="60" t="n">
        <x:f>SQRT(U9)</x:f>
        <x:v>28.68413935864677</x:v>
      </x:c>
      <x:c r="W9" s="60" t="n">
        <x:f>MAX(0,100-V9)</x:f>
        <x:v>71.31586064135323</x:v>
      </x:c>
      <x:c r="X9" s="60" t="n">
        <x:f>SUMPRODUCT(Profiles_140!K5:Y5,$F$4:$T$4)/SUM($F$4:$T$4)</x:f>
        <x:v>40.05597014925374</x:v>
      </x:c>
      <x:c r="Y9" s="60" t="n">
        <x:f>IFERROR(50+50*SUMPRODUCT(($F$3:$T$3-$X$3)*(Profiles_140!K5:Y5-X9),$F$4:$T$4)/SQRT(SUMPRODUCT(($F$3:$T$3-$X$3)^2,$F$4:$T$4)*SUMPRODUCT((Profiles_140!K5:Y5-X9)^2,$F$4:$T$4)),50)</x:f>
        <x:v>50.000000000000014</x:v>
      </x:c>
      <x:c r="Z9" s="60" t="n">
        <x:f>$Z$3</x:f>
        <x:v>3.9474596431116675e-16</x:v>
      </x:c>
      <x:c r="AA9" s="60" t="n">
        <x:f>W9*(1-Model_Formula!$F$8*Z9)+Y9*(Model_Formula!$F$8*Z9)</x:f>
        <x:v>71.31586064135323</x:v>
      </x:c>
      <x:c r="AB9" s="60" t="n">
        <x:f>SQRT(SUMPRODUCT((Profiles_140!K5:Y5-50)^2,$F$4:$T$4)/SUM($F$4:$T$4))</x:f>
        <x:v>28.551798960496292</x:v>
      </x:c>
      <x:c r="AC9" s="60" t="n">
        <x:f>MAX(-Model_Formula!$F$11,MIN(Model_Formula!$F$11,Model_Formula!$F$10*(AB9-AVERAGE($AB$6:$AB$135))))</x:f>
        <x:v>-0.05371461122463668</x:v>
      </x:c>
      <x:c r="AD9" s="60" t="n">
        <x:f>MAX(0,MIN(100,AA9+AC9))</x:f>
        <x:v>71.26214603012859</x:v>
      </x:c>
      <x:c r="AE9" s="60" t="n">
        <x:f>MAX(0,MIN(1,IFERROR((MATCH(AD9,Percentile_Calibration!$F5:$DB5,1)-1)/100,0)))</x:f>
        <x:v>0.92</x:v>
      </x:c>
      <x:c r="AF9" s="62" t="n">
        <x:f>ROUND(MAX(Model_Formula!$I$9,Model_Formula!$I$5+Model_Formula!$I$6*POWER(AE9,Model_Formula!$I$7)),0)</x:f>
        <x:v>85</x:v>
      </x:c>
      <x:c r="AG9" t="n">
        <x:f>Profiles_140!AJ5</x:f>
        <x:v>0</x:v>
      </x:c>
      <x:c r="AH9" s="60" t="n">
        <x:f>Model_Formula!$I$8*(AE9*100)+(1-Model_Formula!$I$8)*AD9+AG9</x:f>
        <x:v>87.85242920602572</x:v>
      </x:c>
      <x:c r="AI9" t="n">
        <x:f>RANK.EQ(AH9,$AH$6:$AH$135,0)+COUNTIF($AH$6:AH9,AH9)-1</x:f>
        <x:v>30</x:v>
      </x:c>
    </x:row>
    <x:row r="10">
      <x:c r="A10" t="str">
        <x:f>Profiles_140!A6</x:f>
        <x:v>インテレオン</x:v>
      </x:c>
      <x:c r="B10" t="str">
        <x:f>Profiles_140!C6</x:f>
        <x:v>インテレオン-1</x:v>
      </x:c>
      <x:c r="C10" t="str">
        <x:f>Profiles_140!D6</x:f>
        <x:v>ねらいうち</x:v>
      </x:c>
      <x:c r="D10" t="str">
        <x:f>Profiles_140!B6</x:f>
        <x:v>アタック型</x:v>
      </x:c>
      <x:c r="E10" t="str">
        <x:f>Profiles_140!I6</x:f>
        <x:v>高</x:v>
      </x:c>
      <x:c r="F10" s="66" t="n">
        <x:f>Model_Formula!$M$13*(Profiles_140!K6-Simulator!$L$11)^2*IF(Profiles_140!K6&gt;Simulator!$L$11,1+Model_Formula!$N$13,1)</x:f>
        <x:v>1225</x:v>
      </x:c>
      <x:c r="G10" s="66" t="n">
        <x:f>Model_Formula!$M$14*(Profiles_140!L6-Simulator!$L$12)^2*IF(Profiles_140!L6&gt;Simulator!$L$12,1+Model_Formula!$N$14,1)</x:f>
        <x:v>2126.25</x:v>
      </x:c>
      <x:c r="H10" s="66" t="n">
        <x:f>Model_Formula!$M$15*(Profiles_140!M6-Simulator!$L$13)^2*IF(Profiles_140!M6&gt;Simulator!$L$13,1+Model_Formula!$N$15,1)</x:f>
        <x:v>1225</x:v>
      </x:c>
      <x:c r="I10" s="66" t="n">
        <x:f>Model_Formula!$M$16*(Profiles_140!N6-Simulator!$L$14)^2*IF(Profiles_140!N6&gt;Simulator!$L$14,1+Model_Formula!$N$16,1)</x:f>
        <x:v>2025</x:v>
      </x:c>
      <x:c r="J10" s="66" t="n">
        <x:f>Model_Formula!$M$17*(Profiles_140!O6-Simulator!$L$15)^2*IF(Profiles_140!O6&gt;Simulator!$L$15,1+Model_Formula!$N$17,1)</x:f>
        <x:v>2500</x:v>
      </x:c>
      <x:c r="K10" s="66" t="n">
        <x:f>Model_Formula!$M$18*(Profiles_140!P6-Simulator!$L$16)^2*IF(Profiles_140!P6&gt;Simulator!$L$16,1+Model_Formula!$N$18,1)</x:f>
        <x:v>1440</x:v>
      </x:c>
      <x:c r="L10" s="66" t="n">
        <x:f>Model_Formula!$M$19*(Profiles_140!Q6-Simulator!$L$17)^2*IF(Profiles_140!Q6&gt;Simulator!$L$17,1+Model_Formula!$N$19,1)</x:f>
        <x:v>225</x:v>
      </x:c>
      <x:c r="M10" s="66" t="n">
        <x:f>Model_Formula!$M$20*(Profiles_140!R6-Simulator!$L$18)^2*IF(Profiles_140!R6&gt;Simulator!$L$18,1+Model_Formula!$N$20,1)</x:f>
        <x:v>2025</x:v>
      </x:c>
      <x:c r="N10" s="66" t="n">
        <x:f>Model_Formula!$M$21*(Profiles_140!S6-Simulator!$L$19)^2*IF(Profiles_140!S6&gt;Simulator!$L$19,1+Model_Formula!$N$21,1)</x:f>
        <x:v>625</x:v>
      </x:c>
      <x:c r="O10" s="66" t="n">
        <x:f>Model_Formula!$M$22*(Profiles_140!T6-Simulator!$L$20)^2*IF(Profiles_140!T6&gt;Simulator!$L$20,1+Model_Formula!$N$22,1)</x:f>
        <x:v>25</x:v>
      </x:c>
      <x:c r="P10" s="66" t="n">
        <x:f>Model_Formula!$M$23*(Profiles_140!U6-Simulator!$L$21)^2*IF(Profiles_140!U6&gt;Simulator!$L$21,1+Model_Formula!$N$23,1)</x:f>
        <x:v>101.25</x:v>
      </x:c>
      <x:c r="Q10" s="66" t="n">
        <x:f>Model_Formula!$M$24*(Profiles_140!V6-Simulator!$L$22)^2*IF(Profiles_140!V6&gt;Simulator!$L$22,1+Model_Formula!$N$24,1)</x:f>
        <x:v>360</x:v>
      </x:c>
      <x:c r="R10" s="66" t="n">
        <x:f>Model_Formula!$M$25*(Profiles_140!W6-Simulator!$L$23)^2*IF(Profiles_140!W6&gt;Simulator!$L$23,1+Model_Formula!$N$25,1)</x:f>
        <x:v>405</x:v>
      </x:c>
      <x:c r="S10" s="66" t="n">
        <x:f>Model_Formula!$M$26*(Profiles_140!X6-Simulator!$L$24)^2*IF(Profiles_140!X6&gt;Simulator!$L$24,1+Model_Formula!$N$26,1)</x:f>
        <x:v>3712.5000000000005</x:v>
      </x:c>
      <x:c r="T10" s="66" t="n">
        <x:f>Model_Formula!$M$27*(Profiles_140!Y6-Simulator!$L$25)^2*IF(Profiles_140!Y6&gt;Simulator!$L$25,1+Model_Formula!$N$27,1)</x:f>
        <x:v>1086.75</x:v>
      </x:c>
      <x:c r="U10" s="60" t="n">
        <x:f>SUM(F10:T10)/SUM($F$4:$T$4)</x:f>
        <x:v>1425.876865671642</x:v>
      </x:c>
      <x:c r="V10" s="60" t="n">
        <x:f>SQRT(U10)</x:f>
        <x:v>37.76078475974304</x:v>
      </x:c>
      <x:c r="W10" s="60" t="n">
        <x:f>MAX(0,100-V10)</x:f>
        <x:v>62.23921524025696</x:v>
      </x:c>
      <x:c r="X10" s="60" t="n">
        <x:f>SUMPRODUCT(Profiles_140!K6:Y6,$F$4:$T$4)/SUM($F$4:$T$4)</x:f>
        <x:v>39.06716417910448</x:v>
      </x:c>
      <x:c r="Y10" s="60" t="n">
        <x:f>IFERROR(50+50*SUMPRODUCT(($F$3:$T$3-$X$3)*(Profiles_140!K6:Y6-X10),$F$4:$T$4)/SQRT(SUMPRODUCT(($F$3:$T$3-$X$3)^2,$F$4:$T$4)*SUMPRODUCT((Profiles_140!K6:Y6-X10)^2,$F$4:$T$4)),50)</x:f>
        <x:v>50.00000000000001</x:v>
      </x:c>
      <x:c r="Z10" s="60" t="n">
        <x:f>$Z$3</x:f>
        <x:v>3.9474596431116675e-16</x:v>
      </x:c>
      <x:c r="AA10" s="60" t="n">
        <x:f>W10*(1-Model_Formula!$F$8*Z10)+Y10*(Model_Formula!$F$8*Z10)</x:f>
        <x:v>62.23921524025696</x:v>
      </x:c>
      <x:c r="AB10" s="60" t="n">
        <x:f>SQRT(SUMPRODUCT((Profiles_140!K6:Y6-50)^2,$F$4:$T$4)/SUM($F$4:$T$4))</x:f>
        <x:v>36.653378415280244</x:v>
      </x:c>
      <x:c r="AC10" s="60" t="n">
        <x:f>MAX(-Model_Formula!$F$11,MIN(Model_Formula!$F$11,Model_Formula!$F$10*(AB10-AVERAGE($AB$6:$AB$135))))</x:f>
        <x:v>3.5919961434281418</x:v>
      </x:c>
      <x:c r="AD10" s="60" t="n">
        <x:f>MAX(0,MIN(100,AA10+AC10))</x:f>
        <x:v>65.8312113836851</x:v>
      </x:c>
      <x:c r="AE10" s="60" t="n">
        <x:f>MAX(0,MIN(1,IFERROR((MATCH(AD10,Percentile_Calibration!$F6:$DB6,1)-1)/100,0)))</x:f>
        <x:v>0.7</x:v>
      </x:c>
      <x:c r="AF10" s="62" t="n">
        <x:f>ROUND(MAX(Model_Formula!$I$9,Model_Formula!$I$5+Model_Formula!$I$6*POWER(AE10,Model_Formula!$I$7)),0)</x:f>
        <x:v>61</x:v>
      </x:c>
      <x:c r="AG10" t="n">
        <x:f>Profiles_140!AJ6</x:f>
        <x:v>0</x:v>
      </x:c>
      <x:c r="AH10" s="60" t="n">
        <x:f>Model_Formula!$I$8*(AE10*100)+(1-Model_Formula!$I$8)*AD10+AG10</x:f>
        <x:v>69.16624227673702</x:v>
      </x:c>
      <x:c r="AI10" t="n">
        <x:f>RANK.EQ(AH10,$AH$6:$AH$135,0)+COUNTIF($AH$6:AH10,AH10)-1</x:f>
        <x:v>112</x:v>
      </x:c>
    </x:row>
    <x:row r="11">
      <x:c r="A11" t="str">
        <x:f>Profiles_140!A7</x:f>
        <x:v>インテレオン</x:v>
      </x:c>
      <x:c r="B11" t="str">
        <x:f>Profiles_140!C7</x:f>
        <x:v>インテレオン-2</x:v>
      </x:c>
      <x:c r="C11" t="str">
        <x:f>Profiles_140!D7</x:f>
        <x:v>アクアブレイク</x:v>
      </x:c>
      <x:c r="D11" t="str">
        <x:f>Profiles_140!B7</x:f>
        <x:v>アタック型</x:v>
      </x:c>
      <x:c r="E11" t="str">
        <x:f>Profiles_140!I7</x:f>
        <x:v>高</x:v>
      </x:c>
      <x:c r="F11" s="66" t="n">
        <x:f>Model_Formula!$M$13*(Profiles_140!K7-Simulator!$L$11)^2*IF(Profiles_140!K7&gt;Simulator!$L$11,1+Model_Formula!$N$13,1)</x:f>
        <x:v>625</x:v>
      </x:c>
      <x:c r="G11" s="66" t="n">
        <x:f>Model_Formula!$M$14*(Profiles_140!L7-Simulator!$L$12)^2*IF(Profiles_140!L7&gt;Simulator!$L$12,1+Model_Formula!$N$14,1)</x:f>
        <x:v>656.25</x:v>
      </x:c>
      <x:c r="H11" s="66" t="n">
        <x:f>Model_Formula!$M$15*(Profiles_140!M7-Simulator!$L$13)^2*IF(Profiles_140!M7&gt;Simulator!$L$13,1+Model_Formula!$N$15,1)</x:f>
        <x:v>900</x:v>
      </x:c>
      <x:c r="I11" s="66" t="n">
        <x:f>Model_Formula!$M$16*(Profiles_140!N7-Simulator!$L$14)^2*IF(Profiles_140!N7&gt;Simulator!$L$14,1+Model_Formula!$N$16,1)</x:f>
        <x:v>900</x:v>
      </x:c>
      <x:c r="J11" s="66" t="n">
        <x:f>Model_Formula!$M$17*(Profiles_140!O7-Simulator!$L$15)^2*IF(Profiles_140!O7&gt;Simulator!$L$15,1+Model_Formula!$N$17,1)</x:f>
        <x:v>100</x:v>
      </x:c>
      <x:c r="K11" s="66" t="n">
        <x:f>Model_Formula!$M$18*(Profiles_140!P7-Simulator!$L$16)^2*IF(Profiles_140!P7&gt;Simulator!$L$16,1+Model_Formula!$N$18,1)</x:f>
        <x:v>810</x:v>
      </x:c>
      <x:c r="L11" s="66" t="n">
        <x:f>Model_Formula!$M$19*(Profiles_140!Q7-Simulator!$L$17)^2*IF(Profiles_140!Q7&gt;Simulator!$L$17,1+Model_Formula!$N$19,1)</x:f>
        <x:v>625</x:v>
      </x:c>
      <x:c r="M11" s="66" t="n">
        <x:f>Model_Formula!$M$20*(Profiles_140!R7-Simulator!$L$18)^2*IF(Profiles_140!R7&gt;Simulator!$L$18,1+Model_Formula!$N$20,1)</x:f>
        <x:v>2500</x:v>
      </x:c>
      <x:c r="N11" s="66" t="n">
        <x:f>Model_Formula!$M$21*(Profiles_140!S7-Simulator!$L$19)^2*IF(Profiles_140!S7&gt;Simulator!$L$19,1+Model_Formula!$N$21,1)</x:f>
        <x:v>100</x:v>
      </x:c>
      <x:c r="O11" s="66" t="n">
        <x:f>Model_Formula!$M$22*(Profiles_140!T7-Simulator!$L$20)^2*IF(Profiles_140!T7&gt;Simulator!$L$20,1+Model_Formula!$N$22,1)</x:f>
        <x:v>100</x:v>
      </x:c>
      <x:c r="P11" s="66" t="n">
        <x:f>Model_Formula!$M$23*(Profiles_140!U7-Simulator!$L$21)^2*IF(Profiles_140!U7&gt;Simulator!$L$21,1+Model_Formula!$N$23,1)</x:f>
        <x:v>180</x:v>
      </x:c>
      <x:c r="Q11" s="66" t="n">
        <x:f>Model_Formula!$M$24*(Profiles_140!V7-Simulator!$L$22)^2*IF(Profiles_140!V7&gt;Simulator!$L$22,1+Model_Formula!$N$24,1)</x:f>
        <x:v>250</x:v>
      </x:c>
      <x:c r="R11" s="66" t="n">
        <x:f>Model_Formula!$M$25*(Profiles_140!W7-Simulator!$L$23)^2*IF(Profiles_140!W7&gt;Simulator!$L$23,1+Model_Formula!$N$25,1)</x:f>
        <x:v>11.25</x:v>
      </x:c>
      <x:c r="S11" s="66" t="n">
        <x:f>Model_Formula!$M$26*(Profiles_140!X7-Simulator!$L$24)^2*IF(Profiles_140!X7&gt;Simulator!$L$24,1+Model_Formula!$N$26,1)</x:f>
        <x:v>928.1250000000001</x:v>
      </x:c>
      <x:c r="T11" s="66" t="n">
        <x:f>Model_Formula!$M$27*(Profiles_140!Y7-Simulator!$L$25)^2*IF(Profiles_140!Y7&gt;Simulator!$L$25,1+Model_Formula!$N$27,1)</x:f>
        <x:v>271.6875</x:v>
      </x:c>
      <x:c r="U11" s="60" t="n">
        <x:f>SUM(F11:T11)/SUM($F$4:$T$4)</x:f>
        <x:v>668.456156716418</x:v>
      </x:c>
      <x:c r="V11" s="60" t="n">
        <x:f>SQRT(U11)</x:f>
        <x:v>25.854519077260324</x:v>
      </x:c>
      <x:c r="W11" s="60" t="n">
        <x:f>MAX(0,100-V11)</x:f>
        <x:v>74.14548092273968</x:v>
      </x:c>
      <x:c r="X11" s="60" t="n">
        <x:f>SUMPRODUCT(Profiles_140!K7:Y7,$F$4:$T$4)/SUM($F$4:$T$4)</x:f>
        <x:v>43.33955223880597</x:v>
      </x:c>
      <x:c r="Y11" s="60" t="n">
        <x:f>IFERROR(50+50*SUMPRODUCT(($F$3:$T$3-$X$3)*(Profiles_140!K7:Y7-X11),$F$4:$T$4)/SQRT(SUMPRODUCT(($F$3:$T$3-$X$3)^2,$F$4:$T$4)*SUMPRODUCT((Profiles_140!K7:Y7-X11)^2,$F$4:$T$4)),50)</x:f>
        <x:v>50</x:v>
      </x:c>
      <x:c r="Z11" s="60" t="n">
        <x:f>$Z$3</x:f>
        <x:v>3.9474596431116675e-16</x:v>
      </x:c>
      <x:c r="AA11" s="60" t="n">
        <x:f>W11*(1-Model_Formula!$F$8*Z11)+Y11*(Model_Formula!$F$8*Z11)</x:f>
        <x:v>74.14548092273968</x:v>
      </x:c>
      <x:c r="AB11" s="60" t="n">
        <x:f>SQRT(SUMPRODUCT((Profiles_140!K7:Y7-50)^2,$F$4:$T$4)/SUM($F$4:$T$4))</x:f>
        <x:v>25.452985632572467</x:v>
      </x:c>
      <x:c r="AC11" s="60" t="n">
        <x:f>MAX(-Model_Formula!$F$11,MIN(Model_Formula!$F$11,Model_Formula!$F$10*(AB11-AVERAGE($AB$6:$AB$135))))</x:f>
        <x:v>-1.448180608790358</x:v>
      </x:c>
      <x:c r="AD11" s="60" t="n">
        <x:f>MAX(0,MIN(100,AA11+AC11))</x:f>
        <x:v>72.69730031394933</x:v>
      </x:c>
      <x:c r="AE11" s="60" t="n">
        <x:f>MAX(0,MIN(1,IFERROR((MATCH(AD11,Percentile_Calibration!$F7:$DB7,1)-1)/100,0)))</x:f>
        <x:v>0.8</x:v>
      </x:c>
      <x:c r="AF11" s="62" t="n">
        <x:f>ROUND(MAX(Model_Formula!$I$9,Model_Formula!$I$5+Model_Formula!$I$6*POWER(AE11,Model_Formula!$I$7)),0)</x:f>
        <x:v>70</x:v>
      </x:c>
      <x:c r="AG11" t="n">
        <x:f>Profiles_140!AJ7</x:f>
        <x:v>0</x:v>
      </x:c>
      <x:c r="AH11" s="60" t="n">
        <x:f>Model_Formula!$I$8*(AE11*100)+(1-Model_Formula!$I$8)*AD11+AG11</x:f>
        <x:v>78.53946006278986</x:v>
      </x:c>
      <x:c r="AI11" t="n">
        <x:f>RANK.EQ(AH11,$AH$6:$AH$135,0)+COUNTIF($AH$6:AH11,AH11)-1</x:f>
        <x:v>56</x:v>
      </x:c>
    </x:row>
    <x:row r="12">
      <x:c r="A12" t="str">
        <x:f>Profiles_140!A8</x:f>
        <x:v>ウッウ</x:v>
      </x:c>
      <x:c r="B12" t="str">
        <x:f>Profiles_140!C8</x:f>
        <x:v>ウッウ-1</x:v>
      </x:c>
      <x:c r="C12" t="str">
        <x:f>Profiles_140!D8</x:f>
        <x:v>なみのり</x:v>
      </x:c>
      <x:c r="D12" t="str">
        <x:f>Profiles_140!B8</x:f>
        <x:v>アタック型</x:v>
      </x:c>
      <x:c r="E12" t="str">
        <x:f>Profiles_140!I8</x:f>
        <x:v>高</x:v>
      </x:c>
      <x:c r="F12" s="66" t="n">
        <x:f>Model_Formula!$M$13*(Profiles_140!K8-Simulator!$L$11)^2*IF(Profiles_140!K8&gt;Simulator!$L$11,1+Model_Formula!$N$13,1)</x:f>
        <x:v>400</x:v>
      </x:c>
      <x:c r="G12" s="66" t="n">
        <x:f>Model_Formula!$M$14*(Profiles_140!L8-Simulator!$L$12)^2*IF(Profiles_140!L8&gt;Simulator!$L$12,1+Model_Formula!$N$14,1)</x:f>
        <x:v>2126.25</x:v>
      </x:c>
      <x:c r="H12" s="66" t="n">
        <x:f>Model_Formula!$M$15*(Profiles_140!M8-Simulator!$L$13)^2*IF(Profiles_140!M8&gt;Simulator!$L$13,1+Model_Formula!$N$15,1)</x:f>
        <x:v>225</x:v>
      </x:c>
      <x:c r="I12" s="66" t="n">
        <x:f>Model_Formula!$M$16*(Profiles_140!N8-Simulator!$L$14)^2*IF(Profiles_140!N8&gt;Simulator!$L$14,1+Model_Formula!$N$16,1)</x:f>
        <x:v>2500</x:v>
      </x:c>
      <x:c r="J12" s="66" t="n">
        <x:f>Model_Formula!$M$17*(Profiles_140!O8-Simulator!$L$15)^2*IF(Profiles_140!O8&gt;Simulator!$L$15,1+Model_Formula!$N$17,1)</x:f>
        <x:v>2500</x:v>
      </x:c>
      <x:c r="K12" s="66" t="n">
        <x:f>Model_Formula!$M$18*(Profiles_140!P8-Simulator!$L$16)^2*IF(Profiles_140!P8&gt;Simulator!$L$16,1+Model_Formula!$N$18,1)</x:f>
        <x:v>1440</x:v>
      </x:c>
      <x:c r="L12" s="66" t="n">
        <x:f>Model_Formula!$M$19*(Profiles_140!Q8-Simulator!$L$17)^2*IF(Profiles_140!Q8&gt;Simulator!$L$17,1+Model_Formula!$N$19,1)</x:f>
        <x:v>2025</x:v>
      </x:c>
      <x:c r="M12" s="66" t="n">
        <x:f>Model_Formula!$M$20*(Profiles_140!R8-Simulator!$L$18)^2*IF(Profiles_140!R8&gt;Simulator!$L$18,1+Model_Formula!$N$20,1)</x:f>
        <x:v>1600</x:v>
      </x:c>
      <x:c r="N12" s="66" t="n">
        <x:f>Model_Formula!$M$21*(Profiles_140!S8-Simulator!$L$19)^2*IF(Profiles_140!S8&gt;Simulator!$L$19,1+Model_Formula!$N$21,1)</x:f>
        <x:v>2025</x:v>
      </x:c>
      <x:c r="O12" s="66" t="n">
        <x:f>Model_Formula!$M$22*(Profiles_140!T8-Simulator!$L$20)^2*IF(Profiles_140!T8&gt;Simulator!$L$20,1+Model_Formula!$N$22,1)</x:f>
        <x:v>225</x:v>
      </x:c>
      <x:c r="P12" s="66" t="n">
        <x:f>Model_Formula!$M$23*(Profiles_140!U8-Simulator!$L$21)^2*IF(Profiles_140!U8&gt;Simulator!$L$21,1+Model_Formula!$N$23,1)</x:f>
        <x:v>45</x:v>
      </x:c>
      <x:c r="Q12" s="66" t="n">
        <x:f>Model_Formula!$M$24*(Profiles_140!V8-Simulator!$L$22)^2*IF(Profiles_140!V8&gt;Simulator!$L$22,1+Model_Formula!$N$24,1)</x:f>
        <x:v>40</x:v>
      </x:c>
      <x:c r="R12" s="66" t="n">
        <x:f>Model_Formula!$M$25*(Profiles_140!W8-Simulator!$L$23)^2*IF(Profiles_140!W8&gt;Simulator!$L$23,1+Model_Formula!$N$25,1)</x:f>
        <x:v>281.25</x:v>
      </x:c>
      <x:c r="S12" s="66" t="n">
        <x:f>Model_Formula!$M$26*(Profiles_140!X8-Simulator!$L$24)^2*IF(Profiles_140!X8&gt;Simulator!$L$24,1+Model_Formula!$N$26,1)</x:f>
        <x:v>594.0000000000001</x:v>
      </x:c>
      <x:c r="T12" s="66" t="n">
        <x:f>Model_Formula!$M$27*(Profiles_140!Y8-Simulator!$L$25)^2*IF(Profiles_140!Y8&gt;Simulator!$L$25,1+Model_Formula!$N$27,1)</x:f>
        <x:v>482.99999999999994</x:v>
      </x:c>
      <x:c r="U12" s="60" t="n">
        <x:f>SUM(F12:T12)/SUM($F$4:$T$4)</x:f>
        <x:v>1232.0522388059703</x:v>
      </x:c>
      <x:c r="V12" s="60" t="n">
        <x:f>SQRT(U12)</x:f>
        <x:v>35.10060168723565</x:v>
      </x:c>
      <x:c r="W12" s="60" t="n">
        <x:f>MAX(0,100-V12)</x:f>
        <x:v>64.89939831276435</x:v>
      </x:c>
      <x:c r="X12" s="60" t="n">
        <x:f>SUMPRODUCT(Profiles_140!K8:Y8,$F$4:$T$4)/SUM($F$4:$T$4)</x:f>
        <x:v>39.40298507462687</x:v>
      </x:c>
      <x:c r="Y12" s="60" t="n">
        <x:f>IFERROR(50+50*SUMPRODUCT(($F$3:$T$3-$X$3)*(Profiles_140!K8:Y8-X12),$F$4:$T$4)/SQRT(SUMPRODUCT(($F$3:$T$3-$X$3)^2,$F$4:$T$4)*SUMPRODUCT((Profiles_140!K8:Y8-X12)^2,$F$4:$T$4)),50)</x:f>
        <x:v>50.00000000000001</x:v>
      </x:c>
      <x:c r="Z12" s="60" t="n">
        <x:f>$Z$3</x:f>
        <x:v>3.9474596431116675e-16</x:v>
      </x:c>
      <x:c r="AA12" s="60" t="n">
        <x:f>W12*(1-Model_Formula!$F$8*Z12)+Y12*(Model_Formula!$F$8*Z12)</x:f>
        <x:v>64.89939831276435</x:v>
      </x:c>
      <x:c r="AB12" s="60" t="n">
        <x:f>SQRT(SUMPRODUCT((Profiles_140!K8:Y8-50)^2,$F$4:$T$4)/SUM($F$4:$T$4))</x:f>
        <x:v>34.86915842051861</x:v>
      </x:c>
      <x:c r="AC12" s="60" t="n">
        <x:f>MAX(-Model_Formula!$F$11,MIN(Model_Formula!$F$11,Model_Formula!$F$10*(AB12-AVERAGE($AB$6:$AB$135))))</x:f>
        <x:v>2.789097145785406</x:v>
      </x:c>
      <x:c r="AD12" s="60" t="n">
        <x:f>MAX(0,MIN(100,AA12+AC12))</x:f>
        <x:v>67.68849545854975</x:v>
      </x:c>
      <x:c r="AE12" s="60" t="n">
        <x:f>MAX(0,MIN(1,IFERROR((MATCH(AD12,Percentile_Calibration!$F8:$DB8,1)-1)/100,0)))</x:f>
        <x:v>0.82</x:v>
      </x:c>
      <x:c r="AF12" s="62" t="n">
        <x:f>ROUND(MAX(Model_Formula!$I$9,Model_Formula!$I$5+Model_Formula!$I$6*POWER(AE12,Model_Formula!$I$7)),0)</x:f>
        <x:v>72</x:v>
      </x:c>
      <x:c r="AG12" t="n">
        <x:f>Profiles_140!AJ8</x:f>
        <x:v>0</x:v>
      </x:c>
      <x:c r="AH12" s="60" t="n">
        <x:f>Model_Formula!$I$8*(AE12*100)+(1-Model_Formula!$I$8)*AD12+AG12</x:f>
        <x:v>79.13769909170996</x:v>
      </x:c>
      <x:c r="AI12" t="n">
        <x:f>RANK.EQ(AH12,$AH$6:$AH$135,0)+COUNTIF($AH$6:AH12,AH12)-1</x:f>
        <x:v>55</x:v>
      </x:c>
    </x:row>
    <x:row r="13">
      <x:c r="A13" t="str">
        <x:f>Profiles_140!A9</x:f>
        <x:v>ウッウ</x:v>
      </x:c>
      <x:c r="B13" t="str">
        <x:f>Profiles_140!C9</x:f>
        <x:v>ウッウ-2</x:v>
      </x:c>
      <x:c r="C13" t="str">
        <x:f>Profiles_140!D9</x:f>
        <x:v>ダイビング</x:v>
      </x:c>
      <x:c r="D13" t="str">
        <x:f>Profiles_140!B9</x:f>
        <x:v>アタック型</x:v>
      </x:c>
      <x:c r="E13" t="str">
        <x:f>Profiles_140!I9</x:f>
        <x:v>高</x:v>
      </x:c>
      <x:c r="F13" s="66" t="n">
        <x:f>Model_Formula!$M$13*(Profiles_140!K9-Simulator!$L$11)^2*IF(Profiles_140!K9&gt;Simulator!$L$11,1+Model_Formula!$N$13,1)</x:f>
        <x:v>0</x:v>
      </x:c>
      <x:c r="G13" s="66" t="n">
        <x:f>Model_Formula!$M$14*(Profiles_140!L9-Simulator!$L$12)^2*IF(Profiles_140!L9&gt;Simulator!$L$12,1+Model_Formula!$N$14,1)</x:f>
        <x:v>26.25</x:v>
      </x:c>
      <x:c r="H13" s="66" t="n">
        <x:f>Model_Formula!$M$15*(Profiles_140!M9-Simulator!$L$13)^2*IF(Profiles_140!M9&gt;Simulator!$L$13,1+Model_Formula!$N$15,1)</x:f>
        <x:v>400</x:v>
      </x:c>
      <x:c r="I13" s="66" t="n">
        <x:f>Model_Formula!$M$16*(Profiles_140!N9-Simulator!$L$14)^2*IF(Profiles_140!N9&gt;Simulator!$L$14,1+Model_Formula!$N$16,1)</x:f>
        <x:v>400</x:v>
      </x:c>
      <x:c r="J13" s="66" t="n">
        <x:f>Model_Formula!$M$17*(Profiles_140!O9-Simulator!$L$15)^2*IF(Profiles_140!O9&gt;Simulator!$L$15,1+Model_Formula!$N$17,1)</x:f>
        <x:v>100</x:v>
      </x:c>
      <x:c r="K13" s="66" t="n">
        <x:f>Model_Formula!$M$18*(Profiles_140!P9-Simulator!$L$16)^2*IF(Profiles_140!P9&gt;Simulator!$L$16,1+Model_Formula!$N$18,1)</x:f>
        <x:v>360</x:v>
      </x:c>
      <x:c r="L13" s="66" t="n">
        <x:f>Model_Formula!$M$19*(Profiles_140!Q9-Simulator!$L$17)^2*IF(Profiles_140!Q9&gt;Simulator!$L$17,1+Model_Formula!$N$19,1)</x:f>
        <x:v>0</x:v>
      </x:c>
      <x:c r="M13" s="66" t="n">
        <x:f>Model_Formula!$M$20*(Profiles_140!R9-Simulator!$L$18)^2*IF(Profiles_140!R9&gt;Simulator!$L$18,1+Model_Formula!$N$20,1)</x:f>
        <x:v>1600</x:v>
      </x:c>
      <x:c r="N13" s="66" t="n">
        <x:f>Model_Formula!$M$21*(Profiles_140!S9-Simulator!$L$19)^2*IF(Profiles_140!S9&gt;Simulator!$L$19,1+Model_Formula!$N$21,1)</x:f>
        <x:v>400</x:v>
      </x:c>
      <x:c r="O13" s="66" t="n">
        <x:f>Model_Formula!$M$22*(Profiles_140!T9-Simulator!$L$20)^2*IF(Profiles_140!T9&gt;Simulator!$L$20,1+Model_Formula!$N$22,1)</x:f>
        <x:v>100</x:v>
      </x:c>
      <x:c r="P13" s="66" t="n">
        <x:f>Model_Formula!$M$23*(Profiles_140!U9-Simulator!$L$21)^2*IF(Profiles_140!U9&gt;Simulator!$L$21,1+Model_Formula!$N$23,1)</x:f>
        <x:v>11.25</x:v>
      </x:c>
      <x:c r="Q13" s="66" t="n">
        <x:f>Model_Formula!$M$24*(Profiles_140!V9-Simulator!$L$22)^2*IF(Profiles_140!V9&gt;Simulator!$L$22,1+Model_Formula!$N$24,1)</x:f>
        <x:v>90</x:v>
      </x:c>
      <x:c r="R13" s="66" t="n">
        <x:f>Model_Formula!$M$25*(Profiles_140!W9-Simulator!$L$23)^2*IF(Profiles_140!W9&gt;Simulator!$L$23,1+Model_Formula!$N$25,1)</x:f>
        <x:v>11.25</x:v>
      </x:c>
      <x:c r="S13" s="66" t="n">
        <x:f>Model_Formula!$M$26*(Profiles_140!X9-Simulator!$L$24)^2*IF(Profiles_140!X9&gt;Simulator!$L$24,1+Model_Formula!$N$26,1)</x:f>
        <x:v>928.1250000000001</x:v>
      </x:c>
      <x:c r="T13" s="66" t="n">
        <x:f>Model_Formula!$M$27*(Profiles_140!Y9-Simulator!$L$25)^2*IF(Profiles_140!Y9&gt;Simulator!$L$25,1+Model_Formula!$N$27,1)</x:f>
        <x:v>271.6875</x:v>
      </x:c>
      <x:c r="U13" s="60" t="n">
        <x:f>SUM(F13:T13)/SUM($F$4:$T$4)</x:f>
        <x:v>350.63899253731347</x:v>
      </x:c>
      <x:c r="V13" s="60" t="n">
        <x:f>SQRT(U13)</x:f>
        <x:v>18.725356940184437</x:v>
      </x:c>
      <x:c r="W13" s="60" t="n">
        <x:f>MAX(0,100-V13)</x:f>
        <x:v>81.27464305981556</x:v>
      </x:c>
      <x:c r="X13" s="60" t="n">
        <x:f>SUMPRODUCT(Profiles_140!K9:Y9,$F$4:$T$4)/SUM($F$4:$T$4)</x:f>
        <x:v>50.149253731343286</x:v>
      </x:c>
      <x:c r="Y13" s="60" t="n">
        <x:f>IFERROR(50+50*SUMPRODUCT(($F$3:$T$3-$X$3)*(Profiles_140!K9:Y9-X13),$F$4:$T$4)/SQRT(SUMPRODUCT(($F$3:$T$3-$X$3)^2,$F$4:$T$4)*SUMPRODUCT((Profiles_140!K9:Y9-X13)^2,$F$4:$T$4)),50)</x:f>
        <x:v>50.00000000000001</x:v>
      </x:c>
      <x:c r="Z13" s="60" t="n">
        <x:f>$Z$3</x:f>
        <x:v>3.9474596431116675e-16</x:v>
      </x:c>
      <x:c r="AA13" s="60" t="n">
        <x:f>W13*(1-Model_Formula!$F$8*Z13)+Y13*(Model_Formula!$F$8*Z13)</x:f>
        <x:v>81.27464305981556</x:v>
      </x:c>
      <x:c r="AB13" s="60" t="n">
        <x:f>SQRT(SUMPRODUCT((Profiles_140!K9:Y9-50)^2,$F$4:$T$4)/SUM($F$4:$T$4))</x:f>
        <x:v>18.16692911399271</x:v>
      </x:c>
      <x:c r="AC13" s="60" t="n">
        <x:f>MAX(-Model_Formula!$F$11,MIN(Model_Formula!$F$11,Model_Formula!$F$10*(AB13-AVERAGE($AB$6:$AB$135))))</x:f>
        <x:v>-4.726906042151249</x:v>
      </x:c>
      <x:c r="AD13" s="60" t="n">
        <x:f>MAX(0,MIN(100,AA13+AC13))</x:f>
        <x:v>76.5477370176643</x:v>
      </x:c>
      <x:c r="AE13" s="60" t="n">
        <x:f>MAX(0,MIN(1,IFERROR((MATCH(AD13,Percentile_Calibration!$F9:$DB9,1)-1)/100,0)))</x:f>
        <x:v>0.89</x:v>
      </x:c>
      <x:c r="AF13" s="62" t="n">
        <x:f>ROUND(MAX(Model_Formula!$I$9,Model_Formula!$I$5+Model_Formula!$I$6*POWER(AE13,Model_Formula!$I$7)),0)</x:f>
        <x:v>81</x:v>
      </x:c>
      <x:c r="AG13" t="n">
        <x:f>Profiles_140!AJ9</x:f>
        <x:v>0</x:v>
      </x:c>
      <x:c r="AH13" s="60" t="n">
        <x:f>Model_Formula!$I$8*(AE13*100)+(1-Model_Formula!$I$8)*AD13+AG13</x:f>
        <x:v>86.50954740353286</x:v>
      </x:c>
      <x:c r="AI13" t="n">
        <x:f>RANK.EQ(AH13,$AH$6:$AH$135,0)+COUNTIF($AH$6:AH13,AH13)-1</x:f>
        <x:v>33</x:v>
      </x:c>
    </x:row>
    <x:row r="14">
      <x:c r="A14" t="str">
        <x:f>Profiles_140!A10</x:f>
        <x:v>エースバーン</x:v>
      </x:c>
      <x:c r="B14" t="str">
        <x:f>Profiles_140!C10</x:f>
        <x:v>エースバーン-1</x:v>
      </x:c>
      <x:c r="C14" t="str">
        <x:f>Profiles_140!D10</x:f>
        <x:v>共通</x:v>
      </x:c>
      <x:c r="D14" t="str">
        <x:f>Profiles_140!B10</x:f>
        <x:v>アタック型</x:v>
      </x:c>
      <x:c r="E14" t="str">
        <x:f>Profiles_140!I10</x:f>
        <x:v>高</x:v>
      </x:c>
      <x:c r="F14" s="66" t="n">
        <x:f>Model_Formula!$M$13*(Profiles_140!K10-Simulator!$L$11)^2*IF(Profiles_140!K10&gt;Simulator!$L$11,1+Model_Formula!$N$13,1)</x:f>
        <x:v>2025</x:v>
      </x:c>
      <x:c r="G14" s="66" t="n">
        <x:f>Model_Formula!$M$14*(Profiles_140!L10-Simulator!$L$12)^2*IF(Profiles_140!L10&gt;Simulator!$L$12,1+Model_Formula!$N$14,1)</x:f>
        <x:v>2625</x:v>
      </x:c>
      <x:c r="H14" s="66" t="n">
        <x:f>Model_Formula!$M$15*(Profiles_140!M10-Simulator!$L$13)^2*IF(Profiles_140!M10&gt;Simulator!$L$13,1+Model_Formula!$N$15,1)</x:f>
        <x:v>1600</x:v>
      </x:c>
      <x:c r="I14" s="66" t="n">
        <x:f>Model_Formula!$M$16*(Profiles_140!N10-Simulator!$L$14)^2*IF(Profiles_140!N10&gt;Simulator!$L$14,1+Model_Formula!$N$16,1)</x:f>
        <x:v>2500</x:v>
      </x:c>
      <x:c r="J14" s="66" t="n">
        <x:f>Model_Formula!$M$17*(Profiles_140!O10-Simulator!$L$15)^2*IF(Profiles_140!O10&gt;Simulator!$L$15,1+Model_Formula!$N$17,1)</x:f>
        <x:v>625</x:v>
      </x:c>
      <x:c r="K14" s="66" t="n">
        <x:f>Model_Formula!$M$18*(Profiles_140!P10-Simulator!$L$16)^2*IF(Profiles_140!P10&gt;Simulator!$L$16,1+Model_Formula!$N$18,1)</x:f>
        <x:v>1822.5</x:v>
      </x:c>
      <x:c r="L14" s="66" t="n">
        <x:f>Model_Formula!$M$19*(Profiles_140!Q10-Simulator!$L$17)^2*IF(Profiles_140!Q10&gt;Simulator!$L$17,1+Model_Formula!$N$19,1)</x:f>
        <x:v>2025</x:v>
      </x:c>
      <x:c r="M14" s="66" t="n">
        <x:f>Model_Formula!$M$20*(Profiles_140!R10-Simulator!$L$18)^2*IF(Profiles_140!R10&gt;Simulator!$L$18,1+Model_Formula!$N$20,1)</x:f>
        <x:v>2025</x:v>
      </x:c>
      <x:c r="N14" s="66" t="n">
        <x:f>Model_Formula!$M$21*(Profiles_140!S10-Simulator!$L$19)^2*IF(Profiles_140!S10&gt;Simulator!$L$19,1+Model_Formula!$N$21,1)</x:f>
        <x:v>100</x:v>
      </x:c>
      <x:c r="O14" s="66" t="n">
        <x:f>Model_Formula!$M$22*(Profiles_140!T10-Simulator!$L$20)^2*IF(Profiles_140!T10&gt;Simulator!$L$20,1+Model_Formula!$N$22,1)</x:f>
        <x:v>0</x:v>
      </x:c>
      <x:c r="P14" s="66" t="n">
        <x:f>Model_Formula!$M$23*(Profiles_140!U10-Simulator!$L$21)^2*IF(Profiles_140!U10&gt;Simulator!$L$21,1+Model_Formula!$N$23,1)</x:f>
        <x:v>551.25</x:v>
      </x:c>
      <x:c r="Q14" s="66" t="n">
        <x:f>Model_Formula!$M$24*(Profiles_140!V10-Simulator!$L$22)^2*IF(Profiles_140!V10&gt;Simulator!$L$22,1+Model_Formula!$N$24,1)</x:f>
        <x:v>1000</x:v>
      </x:c>
      <x:c r="R14" s="66" t="n">
        <x:f>Model_Formula!$M$25*(Profiles_140!W10-Simulator!$L$23)^2*IF(Profiles_140!W10&gt;Simulator!$L$23,1+Model_Formula!$N$25,1)</x:f>
        <x:v>11.25</x:v>
      </x:c>
      <x:c r="S14" s="66" t="n">
        <x:f>Model_Formula!$M$26*(Profiles_140!X10-Simulator!$L$24)^2*IF(Profiles_140!X10&gt;Simulator!$L$24,1+Model_Formula!$N$26,1)</x:f>
        <x:v>334.12500000000006</x:v>
      </x:c>
      <x:c r="T14" s="66" t="n">
        <x:f>Model_Formula!$M$27*(Profiles_140!Y10-Simulator!$L$25)^2*IF(Profiles_140!Y10&gt;Simulator!$L$25,1+Model_Formula!$N$27,1)</x:f>
        <x:v>271.6875</x:v>
      </x:c>
      <x:c r="U14" s="60" t="n">
        <x:f>SUM(F14:T14)/SUM($F$4:$T$4)</x:f>
        <x:v>1307.1501865671644</x:v>
      </x:c>
      <x:c r="V14" s="60" t="n">
        <x:f>SQRT(U14)</x:f>
        <x:v>36.154532033580026</x:v>
      </x:c>
      <x:c r="W14" s="60" t="n">
        <x:f>MAX(0,100-V14)</x:f>
        <x:v>63.845467966419974</x:v>
      </x:c>
      <x:c r="X14" s="60" t="n">
        <x:f>SUMPRODUCT(Profiles_140!K10:Y10,$F$4:$T$4)/SUM($F$4:$T$4)</x:f>
        <x:v>40.1679104477612</x:v>
      </x:c>
      <x:c r="Y14" s="60" t="n">
        <x:f>IFERROR(50+50*SUMPRODUCT(($F$3:$T$3-$X$3)*(Profiles_140!K10:Y10-X14),$F$4:$T$4)/SQRT(SUMPRODUCT(($F$3:$T$3-$X$3)^2,$F$4:$T$4)*SUMPRODUCT((Profiles_140!K10:Y10-X14)^2,$F$4:$T$4)),50)</x:f>
        <x:v>50.000000000000014</x:v>
      </x:c>
      <x:c r="Z14" s="60" t="n">
        <x:f>$Z$3</x:f>
        <x:v>3.9474596431116675e-16</x:v>
      </x:c>
      <x:c r="AA14" s="60" t="n">
        <x:f>W14*(1-Model_Formula!$F$8*Z14)+Y14*(Model_Formula!$F$8*Z14)</x:f>
        <x:v>63.845467966419974</x:v>
      </x:c>
      <x:c r="AB14" s="60" t="n">
        <x:f>SQRT(SUMPRODUCT((Profiles_140!K10:Y10-50)^2,$F$4:$T$4)/SUM($F$4:$T$4))</x:f>
        <x:v>36.02833669177804</x:v>
      </x:c>
      <x:c r="AC14" s="60" t="n">
        <x:f>MAX(-Model_Formula!$F$11,MIN(Model_Formula!$F$11,Model_Formula!$F$10*(AB14-AVERAGE($AB$6:$AB$135))))</x:f>
        <x:v>3.3107273678521487</x:v>
      </x:c>
      <x:c r="AD14" s="60" t="n">
        <x:f>MAX(0,MIN(100,AA14+AC14))</x:f>
        <x:v>67.15619533427213</x:v>
      </x:c>
      <x:c r="AE14" s="60" t="n">
        <x:f>MAX(0,MIN(1,IFERROR((MATCH(AD14,Percentile_Calibration!$F10:$DB10,1)-1)/100,0)))</x:f>
        <x:v>0.69</x:v>
      </x:c>
      <x:c r="AF14" s="62" t="n">
        <x:f>ROUND(MAX(Model_Formula!$I$9,Model_Formula!$I$5+Model_Formula!$I$6*POWER(AE14,Model_Formula!$I$7)),0)</x:f>
        <x:v>60</x:v>
      </x:c>
      <x:c r="AG14" t="n">
        <x:f>Profiles_140!AJ10</x:f>
        <x:v>0</x:v>
      </x:c>
      <x:c r="AH14" s="60" t="n">
        <x:f>Model_Formula!$I$8*(AE14*100)+(1-Model_Formula!$I$8)*AD14+AG14</x:f>
        <x:v>68.63123906685442</x:v>
      </x:c>
      <x:c r="AI14" t="n">
        <x:f>RANK.EQ(AH14,$AH$6:$AH$135,0)+COUNTIF($AH$6:AH14,AH14)-1</x:f>
        <x:v>117</x:v>
      </x:c>
    </x:row>
    <x:row r="15">
      <x:c r="A15" t="str">
        <x:f>Profiles_140!A11</x:f>
        <x:v>エーフィ</x:v>
      </x:c>
      <x:c r="B15" t="str">
        <x:f>Profiles_140!C11</x:f>
        <x:v>エーフィ-1</x:v>
      </x:c>
      <x:c r="C15" t="str">
        <x:f>Profiles_140!D11</x:f>
        <x:v>共通</x:v>
      </x:c>
      <x:c r="D15" t="str">
        <x:f>Profiles_140!B11</x:f>
        <x:v>アタック型</x:v>
      </x:c>
      <x:c r="E15" t="str">
        <x:f>Profiles_140!I11</x:f>
        <x:v>高</x:v>
      </x:c>
      <x:c r="F15" s="66" t="n">
        <x:f>Model_Formula!$M$13*(Profiles_140!K11-Simulator!$L$11)^2*IF(Profiles_140!K11&gt;Simulator!$L$11,1+Model_Formula!$N$13,1)</x:f>
        <x:v>100</x:v>
      </x:c>
      <x:c r="G15" s="66" t="n">
        <x:f>Model_Formula!$M$14*(Profiles_140!L11-Simulator!$L$12)^2*IF(Profiles_140!L11&gt;Simulator!$L$12,1+Model_Formula!$N$14,1)</x:f>
        <x:v>656.25</x:v>
      </x:c>
      <x:c r="H15" s="66" t="n">
        <x:f>Model_Formula!$M$15*(Profiles_140!M11-Simulator!$L$13)^2*IF(Profiles_140!M11&gt;Simulator!$L$13,1+Model_Formula!$N$15,1)</x:f>
        <x:v>625</x:v>
      </x:c>
      <x:c r="I15" s="66" t="n">
        <x:f>Model_Formula!$M$16*(Profiles_140!N11-Simulator!$L$14)^2*IF(Profiles_140!N11&gt;Simulator!$L$14,1+Model_Formula!$N$16,1)</x:f>
        <x:v>625</x:v>
      </x:c>
      <x:c r="J15" s="66" t="n">
        <x:f>Model_Formula!$M$17*(Profiles_140!O11-Simulator!$L$15)^2*IF(Profiles_140!O11&gt;Simulator!$L$15,1+Model_Formula!$N$17,1)</x:f>
        <x:v>400</x:v>
      </x:c>
      <x:c r="K15" s="66" t="n">
        <x:f>Model_Formula!$M$18*(Profiles_140!P11-Simulator!$L$16)^2*IF(Profiles_140!P11&gt;Simulator!$L$16,1+Model_Formula!$N$18,1)</x:f>
        <x:v>22.5</x:v>
      </x:c>
      <x:c r="L15" s="66" t="n">
        <x:f>Model_Formula!$M$19*(Profiles_140!Q11-Simulator!$L$17)^2*IF(Profiles_140!Q11&gt;Simulator!$L$17,1+Model_Formula!$N$19,1)</x:f>
        <x:v>25</x:v>
      </x:c>
      <x:c r="M15" s="66" t="n">
        <x:f>Model_Formula!$M$20*(Profiles_140!R11-Simulator!$L$18)^2*IF(Profiles_140!R11&gt;Simulator!$L$18,1+Model_Formula!$N$20,1)</x:f>
        <x:v>1600</x:v>
      </x:c>
      <x:c r="N15" s="66" t="n">
        <x:f>Model_Formula!$M$21*(Profiles_140!S11-Simulator!$L$19)^2*IF(Profiles_140!S11&gt;Simulator!$L$19,1+Model_Formula!$N$21,1)</x:f>
        <x:v>25</x:v>
      </x:c>
      <x:c r="O15" s="66" t="n">
        <x:f>Model_Formula!$M$22*(Profiles_140!T11-Simulator!$L$20)^2*IF(Profiles_140!T11&gt;Simulator!$L$20,1+Model_Formula!$N$22,1)</x:f>
        <x:v>100</x:v>
      </x:c>
      <x:c r="P15" s="66" t="n">
        <x:f>Model_Formula!$M$23*(Profiles_140!U11-Simulator!$L$21)^2*IF(Profiles_140!U11&gt;Simulator!$L$21,1+Model_Formula!$N$23,1)</x:f>
        <x:v>11.25</x:v>
      </x:c>
      <x:c r="Q15" s="66" t="n">
        <x:f>Model_Formula!$M$24*(Profiles_140!V11-Simulator!$L$22)^2*IF(Profiles_140!V11&gt;Simulator!$L$22,1+Model_Formula!$N$24,1)</x:f>
        <x:v>40</x:v>
      </x:c>
      <x:c r="R15" s="66" t="n">
        <x:f>Model_Formula!$M$25*(Profiles_140!W11-Simulator!$L$23)^2*IF(Profiles_140!W11&gt;Simulator!$L$23,1+Model_Formula!$N$25,1)</x:f>
        <x:v>101.25</x:v>
      </x:c>
      <x:c r="S15" s="66" t="n">
        <x:f>Model_Formula!$M$26*(Profiles_140!X11-Simulator!$L$24)^2*IF(Profiles_140!X11&gt;Simulator!$L$24,1+Model_Formula!$N$26,1)</x:f>
        <x:v>148.50000000000003</x:v>
      </x:c>
      <x:c r="T15" s="66" t="n">
        <x:f>Model_Formula!$M$27*(Profiles_140!Y11-Simulator!$L$25)^2*IF(Profiles_140!Y11&gt;Simulator!$L$25,1+Model_Formula!$N$27,1)</x:f>
        <x:v>482.99999999999994</x:v>
      </x:c>
      <x:c r="U15" s="60" t="n">
        <x:f>SUM(F15:T15)/SUM($F$4:$T$4)</x:f>
        <x:v>370.35447761194035</x:v>
      </x:c>
      <x:c r="V15" s="60" t="n">
        <x:f>SQRT(U15)</x:f>
        <x:v>19.244596062581838</x:v>
      </x:c>
      <x:c r="W15" s="60" t="n">
        <x:f>MAX(0,100-V15)</x:f>
        <x:v>80.75540393741817</x:v>
      </x:c>
      <x:c r="X15" s="60" t="n">
        <x:f>SUMPRODUCT(Profiles_140!K11:Y11,$F$4:$T$4)/SUM($F$4:$T$4)</x:f>
        <x:v>44.83208955223881</x:v>
      </x:c>
      <x:c r="Y15" s="60" t="n">
        <x:f>IFERROR(50+50*SUMPRODUCT(($F$3:$T$3-$X$3)*(Profiles_140!K11:Y11-X15),$F$4:$T$4)/SQRT(SUMPRODUCT(($F$3:$T$3-$X$3)^2,$F$4:$T$4)*SUMPRODUCT((Profiles_140!K11:Y11-X15)^2,$F$4:$T$4)),50)</x:f>
        <x:v>50.00000000000002</x:v>
      </x:c>
      <x:c r="Z15" s="60" t="n">
        <x:f>$Z$3</x:f>
        <x:v>3.9474596431116675e-16</x:v>
      </x:c>
      <x:c r="AA15" s="60" t="n">
        <x:f>W15*(1-Model_Formula!$F$8*Z15)+Y15*(Model_Formula!$F$8*Z15)</x:f>
        <x:v>80.75540393741817</x:v>
      </x:c>
      <x:c r="AB15" s="60" t="n">
        <x:f>SQRT(SUMPRODUCT((Profiles_140!K11:Y11-50)^2,$F$4:$T$4)/SUM($F$4:$T$4))</x:f>
        <x:v>19.04678058744492</x:v>
      </x:c>
      <x:c r="AC15" s="60" t="n">
        <x:f>MAX(-Model_Formula!$F$11,MIN(Model_Formula!$F$11,Model_Formula!$F$10*(AB15-AVERAGE($AB$6:$AB$135))))</x:f>
        <x:v>-4.330972879097754</x:v>
      </x:c>
      <x:c r="AD15" s="60" t="n">
        <x:f>MAX(0,MIN(100,AA15+AC15))</x:f>
        <x:v>76.42443105832041</x:v>
      </x:c>
      <x:c r="AE15" s="60" t="n">
        <x:f>MAX(0,MIN(1,IFERROR((MATCH(AD15,Percentile_Calibration!$F11:$DB11,1)-1)/100,0)))</x:f>
        <x:v>0.94</x:v>
      </x:c>
      <x:c r="AF15" s="62" t="n">
        <x:f>ROUND(MAX(Model_Formula!$I$9,Model_Formula!$I$5+Model_Formula!$I$6*POWER(AE15,Model_Formula!$I$7)),0)</x:f>
        <x:v>88</x:v>
      </x:c>
      <x:c r="AG15" t="n">
        <x:f>Profiles_140!AJ11</x:f>
        <x:v>0</x:v>
      </x:c>
      <x:c r="AH15" s="60" t="n">
        <x:f>Model_Formula!$I$8*(AE15*100)+(1-Model_Formula!$I$8)*AD15+AG15</x:f>
        <x:v>90.48488621166408</x:v>
      </x:c>
      <x:c r="AI15" t="n">
        <x:f>RANK.EQ(AH15,$AH$6:$AH$135,0)+COUNTIF($AH$6:AH15,AH15)-1</x:f>
        <x:v>18</x:v>
      </x:c>
    </x:row>
    <x:row r="16">
      <x:c r="A16" t="str">
        <x:f>Profiles_140!A12</x:f>
        <x:v>グレイシア</x:v>
      </x:c>
      <x:c r="B16" t="str">
        <x:f>Profiles_140!C12</x:f>
        <x:v>グレイシア-1</x:v>
      </x:c>
      <x:c r="C16" t="str">
        <x:f>Profiles_140!D12</x:f>
        <x:v>共通</x:v>
      </x:c>
      <x:c r="D16" t="str">
        <x:f>Profiles_140!B12</x:f>
        <x:v>アタック型</x:v>
      </x:c>
      <x:c r="E16" t="str">
        <x:f>Profiles_140!I12</x:f>
        <x:v>高</x:v>
      </x:c>
      <x:c r="F16" s="66" t="n">
        <x:f>Model_Formula!$M$13*(Profiles_140!K12-Simulator!$L$11)^2*IF(Profiles_140!K12&gt;Simulator!$L$11,1+Model_Formula!$N$13,1)</x:f>
        <x:v>400</x:v>
      </x:c>
      <x:c r="G16" s="66" t="n">
        <x:f>Model_Formula!$M$14*(Profiles_140!L12-Simulator!$L$12)^2*IF(Profiles_140!L12&gt;Simulator!$L$12,1+Model_Formula!$N$14,1)</x:f>
        <x:v>945</x:v>
      </x:c>
      <x:c r="H16" s="66" t="n">
        <x:f>Model_Formula!$M$15*(Profiles_140!M12-Simulator!$L$13)^2*IF(Profiles_140!M12&gt;Simulator!$L$13,1+Model_Formula!$N$15,1)</x:f>
        <x:v>900</x:v>
      </x:c>
      <x:c r="I16" s="66" t="n">
        <x:f>Model_Formula!$M$16*(Profiles_140!N12-Simulator!$L$14)^2*IF(Profiles_140!N12&gt;Simulator!$L$14,1+Model_Formula!$N$16,1)</x:f>
        <x:v>900</x:v>
      </x:c>
      <x:c r="J16" s="66" t="n">
        <x:f>Model_Formula!$M$17*(Profiles_140!O12-Simulator!$L$15)^2*IF(Profiles_140!O12&gt;Simulator!$L$15,1+Model_Formula!$N$17,1)</x:f>
        <x:v>225</x:v>
      </x:c>
      <x:c r="K16" s="66" t="n">
        <x:f>Model_Formula!$M$18*(Profiles_140!P12-Simulator!$L$16)^2*IF(Profiles_140!P12&gt;Simulator!$L$16,1+Model_Formula!$N$18,1)</x:f>
        <x:v>360</x:v>
      </x:c>
      <x:c r="L16" s="66" t="n">
        <x:f>Model_Formula!$M$19*(Profiles_140!Q12-Simulator!$L$17)^2*IF(Profiles_140!Q12&gt;Simulator!$L$17,1+Model_Formula!$N$19,1)</x:f>
        <x:v>400</x:v>
      </x:c>
      <x:c r="M16" s="66" t="n">
        <x:f>Model_Formula!$M$20*(Profiles_140!R12-Simulator!$L$18)^2*IF(Profiles_140!R12&gt;Simulator!$L$18,1+Model_Formula!$N$20,1)</x:f>
        <x:v>2025</x:v>
      </x:c>
      <x:c r="N16" s="66" t="n">
        <x:f>Model_Formula!$M$21*(Profiles_140!S12-Simulator!$L$19)^2*IF(Profiles_140!S12&gt;Simulator!$L$19,1+Model_Formula!$N$21,1)</x:f>
        <x:v>100</x:v>
      </x:c>
      <x:c r="O16" s="66" t="n">
        <x:f>Model_Formula!$M$22*(Profiles_140!T12-Simulator!$L$20)^2*IF(Profiles_140!T12&gt;Simulator!$L$20,1+Model_Formula!$N$22,1)</x:f>
        <x:v>225</x:v>
      </x:c>
      <x:c r="P16" s="66" t="n">
        <x:f>Model_Formula!$M$23*(Profiles_140!U12-Simulator!$L$21)^2*IF(Profiles_140!U12&gt;Simulator!$L$21,1+Model_Formula!$N$23,1)</x:f>
        <x:v>281.25</x:v>
      </x:c>
      <x:c r="Q16" s="66" t="n">
        <x:f>Model_Formula!$M$24*(Profiles_140!V12-Simulator!$L$22)^2*IF(Profiles_140!V12&gt;Simulator!$L$22,1+Model_Formula!$N$24,1)</x:f>
        <x:v>250</x:v>
      </x:c>
      <x:c r="R16" s="66" t="n">
        <x:f>Model_Formula!$M$25*(Profiles_140!W12-Simulator!$L$23)^2*IF(Profiles_140!W12&gt;Simulator!$L$23,1+Model_Formula!$N$25,1)</x:f>
        <x:v>45</x:v>
      </x:c>
      <x:c r="S16" s="66" t="n">
        <x:f>Model_Formula!$M$26*(Profiles_140!X12-Simulator!$L$24)^2*IF(Profiles_140!X12&gt;Simulator!$L$24,1+Model_Formula!$N$26,1)</x:f>
        <x:v>928.1250000000001</x:v>
      </x:c>
      <x:c r="T16" s="66" t="n">
        <x:f>Model_Formula!$M$27*(Profiles_140!Y12-Simulator!$L$25)^2*IF(Profiles_140!Y12&gt;Simulator!$L$25,1+Model_Formula!$N$27,1)</x:f>
        <x:v>271.6875</x:v>
      </x:c>
      <x:c r="U16" s="60" t="n">
        <x:f>SUM(F16:T16)/SUM($F$4:$T$4)</x:f>
        <x:v>616.1240671641792</x:v>
      </x:c>
      <x:c r="V16" s="60" t="n">
        <x:f>SQRT(U16)</x:f>
        <x:v>24.821846570393976</x:v>
      </x:c>
      <x:c r="W16" s="60" t="n">
        <x:f>MAX(0,100-V16)</x:f>
        <x:v>75.17815342960603</x:v>
      </x:c>
      <x:c r="X16" s="60" t="n">
        <x:f>SUMPRODUCT(Profiles_140!K12:Y12,$F$4:$T$4)/SUM($F$4:$T$4)</x:f>
        <x:v>45.63432835820896</x:v>
      </x:c>
      <x:c r="Y16" s="60" t="n">
        <x:f>IFERROR(50+50*SUMPRODUCT(($F$3:$T$3-$X$3)*(Profiles_140!K12:Y12-X16),$F$4:$T$4)/SQRT(SUMPRODUCT(($F$3:$T$3-$X$3)^2,$F$4:$T$4)*SUMPRODUCT((Profiles_140!K12:Y12-X16)^2,$F$4:$T$4)),50)</x:f>
        <x:v>50.000000000000014</x:v>
      </x:c>
      <x:c r="Z16" s="60" t="n">
        <x:f>$Z$3</x:f>
        <x:v>3.9474596431116675e-16</x:v>
      </x:c>
      <x:c r="AA16" s="60" t="n">
        <x:f>W16*(1-Model_Formula!$F$8*Z16)+Y16*(Model_Formula!$F$8*Z16)</x:f>
        <x:v>75.17815342960603</x:v>
      </x:c>
      <x:c r="AB16" s="60" t="n">
        <x:f>SQRT(SUMPRODUCT((Profiles_140!K12:Y12-50)^2,$F$4:$T$4)/SUM($F$4:$T$4))</x:f>
        <x:v>24.403327397297723</x:v>
      </x:c>
      <x:c r="AC16" s="60" t="n">
        <x:f>MAX(-Model_Formula!$F$11,MIN(Model_Formula!$F$11,Model_Formula!$F$10*(AB16-AVERAGE($AB$6:$AB$135))))</x:f>
        <x:v>-1.9205268146639929</x:v>
      </x:c>
      <x:c r="AD16" s="60" t="n">
        <x:f>MAX(0,MIN(100,AA16+AC16))</x:f>
        <x:v>73.25762661494204</x:v>
      </x:c>
      <x:c r="AE16" s="60" t="n">
        <x:f>MAX(0,MIN(1,IFERROR((MATCH(AD16,Percentile_Calibration!$F12:$DB12,1)-1)/100,0)))</x:f>
        <x:v>0.79</x:v>
      </x:c>
      <x:c r="AF16" s="62" t="n">
        <x:f>ROUND(MAX(Model_Formula!$I$9,Model_Formula!$I$5+Model_Formula!$I$6*POWER(AE16,Model_Formula!$I$7)),0)</x:f>
        <x:v>69</x:v>
      </x:c>
      <x:c r="AG16" t="n">
        <x:f>Profiles_140!AJ12</x:f>
        <x:v>0</x:v>
      </x:c>
      <x:c r="AH16" s="60" t="n">
        <x:f>Model_Formula!$I$8*(AE16*100)+(1-Model_Formula!$I$8)*AD16+AG16</x:f>
        <x:v>77.85152532298841</x:v>
      </x:c>
      <x:c r="AI16" t="n">
        <x:f>RANK.EQ(AH16,$AH$6:$AH$135,0)+COUNTIF($AH$6:AH16,AH16)-1</x:f>
        <x:v>58</x:v>
      </x:c>
    </x:row>
    <x:row r="17">
      <x:c r="A17" t="str">
        <x:f>Profiles_140!A13</x:f>
        <x:v>グレンアルマ</x:v>
      </x:c>
      <x:c r="B17" t="str">
        <x:f>Profiles_140!C13</x:f>
        <x:v>グレンアルマ-1</x:v>
      </x:c>
      <x:c r="C17" t="str">
        <x:f>Profiles_140!D13</x:f>
        <x:v>ほのおのうず</x:v>
      </x:c>
      <x:c r="D17" t="str">
        <x:f>Profiles_140!B13</x:f>
        <x:v>アタック型</x:v>
      </x:c>
      <x:c r="E17" t="str">
        <x:f>Profiles_140!I13</x:f>
        <x:v>高</x:v>
      </x:c>
      <x:c r="F17" s="66" t="n">
        <x:f>Model_Formula!$M$13*(Profiles_140!K13-Simulator!$L$11)^2*IF(Profiles_140!K13&gt;Simulator!$L$11,1+Model_Formula!$N$13,1)</x:f>
        <x:v>25</x:v>
      </x:c>
      <x:c r="G17" s="66" t="n">
        <x:f>Model_Formula!$M$14*(Profiles_140!L13-Simulator!$L$12)^2*IF(Profiles_140!L13&gt;Simulator!$L$12,1+Model_Formula!$N$14,1)</x:f>
        <x:v>236.25</x:v>
      </x:c>
      <x:c r="H17" s="66" t="n">
        <x:f>Model_Formula!$M$15*(Profiles_140!M13-Simulator!$L$13)^2*IF(Profiles_140!M13&gt;Simulator!$L$13,1+Model_Formula!$N$15,1)</x:f>
        <x:v>900</x:v>
      </x:c>
      <x:c r="I17" s="66" t="n">
        <x:f>Model_Formula!$M$16*(Profiles_140!N13-Simulator!$L$14)^2*IF(Profiles_140!N13&gt;Simulator!$L$14,1+Model_Formula!$N$16,1)</x:f>
        <x:v>625</x:v>
      </x:c>
      <x:c r="J17" s="66" t="n">
        <x:f>Model_Formula!$M$17*(Profiles_140!O13-Simulator!$L$15)^2*IF(Profiles_140!O13&gt;Simulator!$L$15,1+Model_Formula!$N$17,1)</x:f>
        <x:v>900</x:v>
      </x:c>
      <x:c r="K17" s="66" t="n">
        <x:f>Model_Formula!$M$18*(Profiles_140!P13-Simulator!$L$16)^2*IF(Profiles_140!P13&gt;Simulator!$L$16,1+Model_Formula!$N$18,1)</x:f>
        <x:v>562.5</x:v>
      </x:c>
      <x:c r="L17" s="66" t="n">
        <x:f>Model_Formula!$M$19*(Profiles_140!Q13-Simulator!$L$17)^2*IF(Profiles_140!Q13&gt;Simulator!$L$17,1+Model_Formula!$N$19,1)</x:f>
        <x:v>225</x:v>
      </x:c>
      <x:c r="M17" s="66" t="n">
        <x:f>Model_Formula!$M$20*(Profiles_140!R13-Simulator!$L$18)^2*IF(Profiles_140!R13&gt;Simulator!$L$18,1+Model_Formula!$N$20,1)</x:f>
        <x:v>2025</x:v>
      </x:c>
      <x:c r="N17" s="66" t="n">
        <x:f>Model_Formula!$M$21*(Profiles_140!S13-Simulator!$L$19)^2*IF(Profiles_140!S13&gt;Simulator!$L$19,1+Model_Formula!$N$21,1)</x:f>
        <x:v>0</x:v>
      </x:c>
      <x:c r="O17" s="66" t="n">
        <x:f>Model_Formula!$M$22*(Profiles_140!T13-Simulator!$L$20)^2*IF(Profiles_140!T13&gt;Simulator!$L$20,1+Model_Formula!$N$22,1)</x:f>
        <x:v>400</x:v>
      </x:c>
      <x:c r="P17" s="66" t="n">
        <x:f>Model_Formula!$M$23*(Profiles_140!U13-Simulator!$L$21)^2*IF(Profiles_140!U13&gt;Simulator!$L$21,1+Model_Formula!$N$23,1)</x:f>
        <x:v>180</x:v>
      </x:c>
      <x:c r="Q17" s="66" t="n">
        <x:f>Model_Formula!$M$24*(Profiles_140!V13-Simulator!$L$22)^2*IF(Profiles_140!V13&gt;Simulator!$L$22,1+Model_Formula!$N$24,1)</x:f>
        <x:v>250</x:v>
      </x:c>
      <x:c r="R17" s="66" t="n">
        <x:f>Model_Formula!$M$25*(Profiles_140!W13-Simulator!$L$23)^2*IF(Profiles_140!W13&gt;Simulator!$L$23,1+Model_Formula!$N$25,1)</x:f>
        <x:v>45</x:v>
      </x:c>
      <x:c r="S17" s="66" t="n">
        <x:f>Model_Formula!$M$26*(Profiles_140!X13-Simulator!$L$24)^2*IF(Profiles_140!X13&gt;Simulator!$L$24,1+Model_Formula!$N$26,1)</x:f>
        <x:v>148.50000000000003</x:v>
      </x:c>
      <x:c r="T17" s="66" t="n">
        <x:f>Model_Formula!$M$27*(Profiles_140!Y13-Simulator!$L$25)^2*IF(Profiles_140!Y13&gt;Simulator!$L$25,1+Model_Formula!$N$27,1)</x:f>
        <x:v>120.74999999999999</x:v>
      </x:c>
      <x:c r="U17" s="60" t="n">
        <x:f>SUM(F17:T17)/SUM($F$4:$T$4)</x:f>
        <x:v>495.7462686567165</x:v>
      </x:c>
      <x:c r="V17" s="60" t="n">
        <x:f>SQRT(U17)</x:f>
        <x:v>22.265360285805315</x:v>
      </x:c>
      <x:c r="W17" s="60" t="n">
        <x:f>MAX(0,100-V17)</x:f>
        <x:v>77.73463971419469</x:v>
      </x:c>
      <x:c r="X17" s="60" t="n">
        <x:f>SUMPRODUCT(Profiles_140!K13:Y13,$F$4:$T$4)/SUM($F$4:$T$4)</x:f>
        <x:v>47.22014925373135</x:v>
      </x:c>
      <x:c r="Y17" s="60" t="n">
        <x:f>IFERROR(50+50*SUMPRODUCT(($F$3:$T$3-$X$3)*(Profiles_140!K13:Y13-X17),$F$4:$T$4)/SQRT(SUMPRODUCT(($F$3:$T$3-$X$3)^2,$F$4:$T$4)*SUMPRODUCT((Profiles_140!K13:Y13-X17)^2,$F$4:$T$4)),50)</x:f>
        <x:v>50.000000000000014</x:v>
      </x:c>
      <x:c r="Z17" s="60" t="n">
        <x:f>$Z$3</x:f>
        <x:v>3.9474596431116675e-16</x:v>
      </x:c>
      <x:c r="AA17" s="60" t="n">
        <x:f>W17*(1-Model_Formula!$F$8*Z17)+Y17*(Model_Formula!$F$8*Z17)</x:f>
        <x:v>77.73463971419469</x:v>
      </x:c>
      <x:c r="AB17" s="60" t="n">
        <x:f>SQRT(SUMPRODUCT((Profiles_140!K13:Y13-50)^2,$F$4:$T$4)/SUM($F$4:$T$4))</x:f>
        <x:v>22.174258977337438</x:v>
      </x:c>
      <x:c r="AC17" s="60" t="n">
        <x:f>MAX(-Model_Formula!$F$11,MIN(Model_Formula!$F$11,Model_Formula!$F$10*(AB17-AVERAGE($AB$6:$AB$135))))</x:f>
        <x:v>-2.923607603646121</x:v>
      </x:c>
      <x:c r="AD17" s="60" t="n">
        <x:f>MAX(0,MIN(100,AA17+AC17))</x:f>
        <x:v>74.81103211054857</x:v>
      </x:c>
      <x:c r="AE17" s="60" t="n">
        <x:f>MAX(0,MIN(1,IFERROR((MATCH(AD17,Percentile_Calibration!$F13:$DB13,1)-1)/100,0)))</x:f>
        <x:v>0.96</x:v>
      </x:c>
      <x:c r="AF17" s="62" t="n">
        <x:f>ROUND(MAX(Model_Formula!$I$9,Model_Formula!$I$5+Model_Formula!$I$6*POWER(AE17,Model_Formula!$I$7)),0)</x:f>
        <x:v>91</x:v>
      </x:c>
      <x:c r="AG17" t="n">
        <x:f>Profiles_140!AJ13</x:f>
        <x:v>0</x:v>
      </x:c>
      <x:c r="AH17" s="60" t="n">
        <x:f>Model_Formula!$I$8*(AE17*100)+(1-Model_Formula!$I$8)*AD17+AG17</x:f>
        <x:v>91.76220642210973</x:v>
      </x:c>
      <x:c r="AI17" t="n">
        <x:f>RANK.EQ(AH17,$AH$6:$AH$135,0)+COUNTIF($AH$6:AH17,AH17)-1</x:f>
        <x:v>12</x:v>
      </x:c>
    </x:row>
    <x:row r="18">
      <x:c r="A18" t="str">
        <x:f>Profiles_140!A14</x:f>
        <x:v>グレンアルマ</x:v>
      </x:c>
      <x:c r="B18" t="str">
        <x:f>Profiles_140!C14</x:f>
        <x:v>グレンアルマ-2</x:v>
      </x:c>
      <x:c r="C18" t="str">
        <x:f>Profiles_140!D14</x:f>
        <x:v>アーマーキャノン</x:v>
      </x:c>
      <x:c r="D18" t="str">
        <x:f>Profiles_140!B14</x:f>
        <x:v>アタック型</x:v>
      </x:c>
      <x:c r="E18" t="str">
        <x:f>Profiles_140!I14</x:f>
        <x:v>高</x:v>
      </x:c>
      <x:c r="F18" s="66" t="n">
        <x:f>Model_Formula!$M$13*(Profiles_140!K14-Simulator!$L$11)^2*IF(Profiles_140!K14&gt;Simulator!$L$11,1+Model_Formula!$N$13,1)</x:f>
        <x:v>400</x:v>
      </x:c>
      <x:c r="G18" s="66" t="n">
        <x:f>Model_Formula!$M$14*(Profiles_140!L14-Simulator!$L$12)^2*IF(Profiles_140!L14&gt;Simulator!$L$12,1+Model_Formula!$N$14,1)</x:f>
        <x:v>2126.25</x:v>
      </x:c>
      <x:c r="H18" s="66" t="n">
        <x:f>Model_Formula!$M$15*(Profiles_140!M14-Simulator!$L$13)^2*IF(Profiles_140!M14&gt;Simulator!$L$13,1+Model_Formula!$N$15,1)</x:f>
        <x:v>225</x:v>
      </x:c>
      <x:c r="I18" s="66" t="n">
        <x:f>Model_Formula!$M$16*(Profiles_140!N14-Simulator!$L$14)^2*IF(Profiles_140!N14&gt;Simulator!$L$14,1+Model_Formula!$N$16,1)</x:f>
        <x:v>1600</x:v>
      </x:c>
      <x:c r="J18" s="66" t="n">
        <x:f>Model_Formula!$M$17*(Profiles_140!O14-Simulator!$L$15)^2*IF(Profiles_140!O14&gt;Simulator!$L$15,1+Model_Formula!$N$17,1)</x:f>
        <x:v>2500</x:v>
      </x:c>
      <x:c r="K18" s="66" t="n">
        <x:f>Model_Formula!$M$18*(Profiles_140!P14-Simulator!$L$16)^2*IF(Profiles_140!P14&gt;Simulator!$L$16,1+Model_Formula!$N$18,1)</x:f>
        <x:v>1440</x:v>
      </x:c>
      <x:c r="L18" s="66" t="n">
        <x:f>Model_Formula!$M$19*(Profiles_140!Q14-Simulator!$L$17)^2*IF(Profiles_140!Q14&gt;Simulator!$L$17,1+Model_Formula!$N$19,1)</x:f>
        <x:v>1600</x:v>
      </x:c>
      <x:c r="M18" s="66" t="n">
        <x:f>Model_Formula!$M$20*(Profiles_140!R14-Simulator!$L$18)^2*IF(Profiles_140!R14&gt;Simulator!$L$18,1+Model_Formula!$N$20,1)</x:f>
        <x:v>1600</x:v>
      </x:c>
      <x:c r="N18" s="66" t="n">
        <x:f>Model_Formula!$M$21*(Profiles_140!S14-Simulator!$L$19)^2*IF(Profiles_140!S14&gt;Simulator!$L$19,1+Model_Formula!$N$21,1)</x:f>
        <x:v>900</x:v>
      </x:c>
      <x:c r="O18" s="66" t="n">
        <x:f>Model_Formula!$M$22*(Profiles_140!T14-Simulator!$L$20)^2*IF(Profiles_140!T14&gt;Simulator!$L$20,1+Model_Formula!$N$22,1)</x:f>
        <x:v>25</x:v>
      </x:c>
      <x:c r="P18" s="66" t="n">
        <x:f>Model_Formula!$M$23*(Profiles_140!U14-Simulator!$L$21)^2*IF(Profiles_140!U14&gt;Simulator!$L$21,1+Model_Formula!$N$23,1)</x:f>
        <x:v>11.25</x:v>
      </x:c>
      <x:c r="Q18" s="66" t="n">
        <x:f>Model_Formula!$M$24*(Profiles_140!V14-Simulator!$L$22)^2*IF(Profiles_140!V14&gt;Simulator!$L$22,1+Model_Formula!$N$24,1)</x:f>
        <x:v>40</x:v>
      </x:c>
      <x:c r="R18" s="66" t="n">
        <x:f>Model_Formula!$M$25*(Profiles_140!W14-Simulator!$L$23)^2*IF(Profiles_140!W14&gt;Simulator!$L$23,1+Model_Formula!$N$25,1)</x:f>
        <x:v>281.25</x:v>
      </x:c>
      <x:c r="S18" s="66" t="n">
        <x:f>Model_Formula!$M$26*(Profiles_140!X14-Simulator!$L$24)^2*IF(Profiles_140!X14&gt;Simulator!$L$24,1+Model_Formula!$N$26,1)</x:f>
        <x:v>148.50000000000003</x:v>
      </x:c>
      <x:c r="T18" s="66" t="n">
        <x:f>Model_Formula!$M$27*(Profiles_140!Y14-Simulator!$L$25)^2*IF(Profiles_140!Y14&gt;Simulator!$L$25,1+Model_Formula!$N$27,1)</x:f>
        <x:v>482.99999999999994</x:v>
      </x:c>
      <x:c r="U18" s="60" t="n">
        <x:f>SUM(F18:T18)/SUM($F$4:$T$4)</x:f>
        <x:v>998.5261194029852</x:v>
      </x:c>
      <x:c r="V18" s="60" t="n">
        <x:f>SQRT(U18)</x:f>
        <x:v>31.599463910056848</x:v>
      </x:c>
      <x:c r="W18" s="60" t="n">
        <x:f>MAX(0,100-V18)</x:f>
        <x:v>68.40053608994316</x:v>
      </x:c>
      <x:c r="X18" s="60" t="n">
        <x:f>SUMPRODUCT(Profiles_140!K14:Y14,$F$4:$T$4)/SUM($F$4:$T$4)</x:f>
        <x:v>41.32462686567165</x:v>
      </x:c>
      <x:c r="Y18" s="60" t="n">
        <x:f>IFERROR(50+50*SUMPRODUCT(($F$3:$T$3-$X$3)*(Profiles_140!K14:Y14-X18),$F$4:$T$4)/SQRT(SUMPRODUCT(($F$3:$T$3-$X$3)^2,$F$4:$T$4)*SUMPRODUCT((Profiles_140!K14:Y14-X18)^2,$F$4:$T$4)),50)</x:f>
        <x:v>50.00000000000001</x:v>
      </x:c>
      <x:c r="Z18" s="60" t="n">
        <x:f>$Z$3</x:f>
        <x:v>3.9474596431116675e-16</x:v>
      </x:c>
      <x:c r="AA18" s="60" t="n">
        <x:f>W18*(1-Model_Formula!$F$8*Z18)+Y18*(Model_Formula!$F$8*Z18)</x:f>
        <x:v>68.40053608994316</x:v>
      </x:c>
      <x:c r="AB18" s="60" t="n">
        <x:f>SQRT(SUMPRODUCT((Profiles_140!K14:Y14-50)^2,$F$4:$T$4)/SUM($F$4:$T$4))</x:f>
        <x:v>31.479382022798884</x:v>
      </x:c>
      <x:c r="AC18" s="60" t="n">
        <x:f>MAX(-Model_Formula!$F$11,MIN(Model_Formula!$F$11,Model_Formula!$F$10*(AB18-AVERAGE($AB$6:$AB$135))))</x:f>
        <x:v>1.2636977668115297</x:v>
      </x:c>
      <x:c r="AD18" s="60" t="n">
        <x:f>MAX(0,MIN(100,AA18+AC18))</x:f>
        <x:v>69.66423385675469</x:v>
      </x:c>
      <x:c r="AE18" s="60" t="n">
        <x:f>MAX(0,MIN(1,IFERROR((MATCH(AD18,Percentile_Calibration!$F14:$DB14,1)-1)/100,0)))</x:f>
        <x:v>0.87</x:v>
      </x:c>
      <x:c r="AF18" s="62" t="n">
        <x:f>ROUND(MAX(Model_Formula!$I$9,Model_Formula!$I$5+Model_Formula!$I$6*POWER(AE18,Model_Formula!$I$7)),0)</x:f>
        <x:v>78</x:v>
      </x:c>
      <x:c r="AG18" t="n">
        <x:f>Profiles_140!AJ14</x:f>
        <x:v>0</x:v>
      </x:c>
      <x:c r="AH18" s="60" t="n">
        <x:f>Model_Formula!$I$8*(AE18*100)+(1-Model_Formula!$I$8)*AD18+AG18</x:f>
        <x:v>83.53284677135095</x:v>
      </x:c>
      <x:c r="AI18" t="n">
        <x:f>RANK.EQ(AH18,$AH$6:$AH$135,0)+COUNTIF($AH$6:AH18,AH18)-1</x:f>
        <x:v>40</x:v>
      </x:c>
    </x:row>
    <x:row r="19">
      <x:c r="A19" t="str">
        <x:f>Profiles_140!A15</x:f>
        <x:v>ゲッコウガ</x:v>
      </x:c>
      <x:c r="B19" t="str">
        <x:f>Profiles_140!C15</x:f>
        <x:v>ゲッコウガ-1</x:v>
      </x:c>
      <x:c r="C19" t="str">
        <x:f>Profiles_140!D15</x:f>
        <x:v>みずしゅりけん</x:v>
      </x:c>
      <x:c r="D19" t="str">
        <x:f>Profiles_140!B15</x:f>
        <x:v>アタック型</x:v>
      </x:c>
      <x:c r="E19" t="str">
        <x:f>Profiles_140!I15</x:f>
        <x:v>高</x:v>
      </x:c>
      <x:c r="F19" s="66" t="n">
        <x:f>Model_Formula!$M$13*(Profiles_140!K15-Simulator!$L$11)^2*IF(Profiles_140!K15&gt;Simulator!$L$11,1+Model_Formula!$N$13,1)</x:f>
        <x:v>2025</x:v>
      </x:c>
      <x:c r="G19" s="66" t="n">
        <x:f>Model_Formula!$M$14*(Profiles_140!L15-Simulator!$L$12)^2*IF(Profiles_140!L15&gt;Simulator!$L$12,1+Model_Formula!$N$14,1)</x:f>
        <x:v>2625</x:v>
      </x:c>
      <x:c r="H19" s="66" t="n">
        <x:f>Model_Formula!$M$15*(Profiles_140!M15-Simulator!$L$13)^2*IF(Profiles_140!M15&gt;Simulator!$L$13,1+Model_Formula!$N$15,1)</x:f>
        <x:v>1600</x:v>
      </x:c>
      <x:c r="I19" s="66" t="n">
        <x:f>Model_Formula!$M$16*(Profiles_140!N15-Simulator!$L$14)^2*IF(Profiles_140!N15&gt;Simulator!$L$14,1+Model_Formula!$N$16,1)</x:f>
        <x:v>2500</x:v>
      </x:c>
      <x:c r="J19" s="66" t="n">
        <x:f>Model_Formula!$M$17*(Profiles_140!O15-Simulator!$L$15)^2*IF(Profiles_140!O15&gt;Simulator!$L$15,1+Model_Formula!$N$17,1)</x:f>
        <x:v>625</x:v>
      </x:c>
      <x:c r="K19" s="66" t="n">
        <x:f>Model_Formula!$M$18*(Profiles_140!P15-Simulator!$L$16)^2*IF(Profiles_140!P15&gt;Simulator!$L$16,1+Model_Formula!$N$18,1)</x:f>
        <x:v>2250</x:v>
      </x:c>
      <x:c r="L19" s="66" t="n">
        <x:f>Model_Formula!$M$19*(Profiles_140!Q15-Simulator!$L$17)^2*IF(Profiles_140!Q15&gt;Simulator!$L$17,1+Model_Formula!$N$19,1)</x:f>
        <x:v>2025</x:v>
      </x:c>
      <x:c r="M19" s="66" t="n">
        <x:f>Model_Formula!$M$20*(Profiles_140!R15-Simulator!$L$18)^2*IF(Profiles_140!R15&gt;Simulator!$L$18,1+Model_Formula!$N$20,1)</x:f>
        <x:v>2025</x:v>
      </x:c>
      <x:c r="N19" s="66" t="n">
        <x:f>Model_Formula!$M$21*(Profiles_140!S15-Simulator!$L$19)^2*IF(Profiles_140!S15&gt;Simulator!$L$19,1+Model_Formula!$N$21,1)</x:f>
        <x:v>100</x:v>
      </x:c>
      <x:c r="O19" s="66" t="n">
        <x:f>Model_Formula!$M$22*(Profiles_140!T15-Simulator!$L$20)^2*IF(Profiles_140!T15&gt;Simulator!$L$20,1+Model_Formula!$N$22,1)</x:f>
        <x:v>25</x:v>
      </x:c>
      <x:c r="P19" s="66" t="n">
        <x:f>Model_Formula!$M$23*(Profiles_140!U15-Simulator!$L$21)^2*IF(Profiles_140!U15&gt;Simulator!$L$21,1+Model_Formula!$N$23,1)</x:f>
        <x:v>551.25</x:v>
      </x:c>
      <x:c r="Q19" s="66" t="n">
        <x:f>Model_Formula!$M$24*(Profiles_140!V15-Simulator!$L$22)^2*IF(Profiles_140!V15&gt;Simulator!$L$22,1+Model_Formula!$N$24,1)</x:f>
        <x:v>810</x:v>
      </x:c>
      <x:c r="R19" s="66" t="n">
        <x:f>Model_Formula!$M$25*(Profiles_140!W15-Simulator!$L$23)^2*IF(Profiles_140!W15&gt;Simulator!$L$23,1+Model_Formula!$N$25,1)</x:f>
        <x:v>11.25</x:v>
      </x:c>
      <x:c r="S19" s="66" t="n">
        <x:f>Model_Formula!$M$26*(Profiles_140!X15-Simulator!$L$24)^2*IF(Profiles_140!X15&gt;Simulator!$L$24,1+Model_Formula!$N$26,1)</x:f>
        <x:v>928.1250000000001</x:v>
      </x:c>
      <x:c r="T19" s="66" t="n">
        <x:f>Model_Formula!$M$27*(Profiles_140!Y15-Simulator!$L$25)^2*IF(Profiles_140!Y15&gt;Simulator!$L$25,1+Model_Formula!$N$27,1)</x:f>
        <x:v>271.6875</x:v>
      </x:c>
      <x:c r="U19" s="60" t="n">
        <x:f>SUM(F19:T19)/SUM($F$4:$T$4)</x:f>
        <x:v>1371.0680970149256</x:v>
      </x:c>
      <x:c r="V19" s="60" t="n">
        <x:f>SQRT(U19)</x:f>
        <x:v>37.027936710204706</x:v>
      </x:c>
      <x:c r="W19" s="60" t="n">
        <x:f>MAX(0,100-V19)</x:f>
        <x:v>62.972063289795294</x:v>
      </x:c>
      <x:c r="X19" s="60" t="n">
        <x:f>SUMPRODUCT(Profiles_140!K15:Y15,$F$4:$T$4)/SUM($F$4:$T$4)</x:f>
        <x:v>41.54850746268657</x:v>
      </x:c>
      <x:c r="Y19" s="60" t="n">
        <x:f>IFERROR(50+50*SUMPRODUCT(($F$3:$T$3-$X$3)*(Profiles_140!K15:Y15-X19),$F$4:$T$4)/SQRT(SUMPRODUCT(($F$3:$T$3-$X$3)^2,$F$4:$T$4)*SUMPRODUCT((Profiles_140!K15:Y15-X19)^2,$F$4:$T$4)),50)</x:f>
        <x:v>50.00000000000001</x:v>
      </x:c>
      <x:c r="Z19" s="60" t="n">
        <x:f>$Z$3</x:f>
        <x:v>3.9474596431116675e-16</x:v>
      </x:c>
      <x:c r="AA19" s="60" t="n">
        <x:f>W19*(1-Model_Formula!$F$8*Z19)+Y19*(Model_Formula!$F$8*Z19)</x:f>
        <x:v>62.972063289795294</x:v>
      </x:c>
      <x:c r="AB19" s="60" t="n">
        <x:f>SQRT(SUMPRODUCT((Profiles_140!K15:Y15-50)^2,$F$4:$T$4)/SUM($F$4:$T$4))</x:f>
        <x:v>36.74869273743555</x:v>
      </x:c>
      <x:c r="AC19" s="60" t="n">
        <x:f>MAX(-Model_Formula!$F$11,MIN(Model_Formula!$F$11,Model_Formula!$F$10*(AB19-AVERAGE($AB$6:$AB$135))))</x:f>
        <x:v>3.6348875883980285</x:v>
      </x:c>
      <x:c r="AD19" s="60" t="n">
        <x:f>MAX(0,MIN(100,AA19+AC19))</x:f>
        <x:v>66.60695087819332</x:v>
      </x:c>
      <x:c r="AE19" s="60" t="n">
        <x:f>MAX(0,MIN(1,IFERROR((MATCH(AD19,Percentile_Calibration!$F15:$DB15,1)-1)/100,0)))</x:f>
        <x:v>0.67</x:v>
      </x:c>
      <x:c r="AF19" s="62" t="n">
        <x:f>ROUND(MAX(Model_Formula!$I$9,Model_Formula!$I$5+Model_Formula!$I$6*POWER(AE19,Model_Formula!$I$7)),0)</x:f>
        <x:v>59</x:v>
      </x:c>
      <x:c r="AG19" t="n">
        <x:f>Profiles_140!AJ15</x:f>
        <x:v>0</x:v>
      </x:c>
      <x:c r="AH19" s="60" t="n">
        <x:f>Model_Formula!$I$8*(AE19*100)+(1-Model_Formula!$I$8)*AD19+AG19</x:f>
        <x:v>66.92139017563866</x:v>
      </x:c>
      <x:c r="AI19" t="n">
        <x:f>RANK.EQ(AH19,$AH$6:$AH$135,0)+COUNTIF($AH$6:AH19,AH19)-1</x:f>
        <x:v>123</x:v>
      </x:c>
    </x:row>
    <x:row r="20">
      <x:c r="A20" t="str">
        <x:f>Profiles_140!A16</x:f>
        <x:v>ゲッコウガ</x:v>
      </x:c>
      <x:c r="B20" t="str">
        <x:f>Profiles_140!C16</x:f>
        <x:v>ゲッコウガ-2</x:v>
      </x:c>
      <x:c r="C20" t="str">
        <x:f>Profiles_140!D16</x:f>
        <x:v>なみのり</x:v>
      </x:c>
      <x:c r="D20" t="str">
        <x:f>Profiles_140!B16</x:f>
        <x:v>アタック型</x:v>
      </x:c>
      <x:c r="E20" t="str">
        <x:f>Profiles_140!I16</x:f>
        <x:v>高</x:v>
      </x:c>
      <x:c r="F20" s="66" t="n">
        <x:f>Model_Formula!$M$13*(Profiles_140!K16-Simulator!$L$11)^2*IF(Profiles_140!K16&gt;Simulator!$L$11,1+Model_Formula!$N$13,1)</x:f>
        <x:v>25</x:v>
      </x:c>
      <x:c r="G20" s="66" t="n">
        <x:f>Model_Formula!$M$14*(Profiles_140!L16-Simulator!$L$12)^2*IF(Profiles_140!L16&gt;Simulator!$L$12,1+Model_Formula!$N$14,1)</x:f>
        <x:v>2126.25</x:v>
      </x:c>
      <x:c r="H20" s="66" t="n">
        <x:f>Model_Formula!$M$15*(Profiles_140!M16-Simulator!$L$13)^2*IF(Profiles_140!M16&gt;Simulator!$L$13,1+Model_Formula!$N$15,1)</x:f>
        <x:v>2500</x:v>
      </x:c>
      <x:c r="I20" s="66" t="n">
        <x:f>Model_Formula!$M$16*(Profiles_140!N16-Simulator!$L$14)^2*IF(Profiles_140!N16&gt;Simulator!$L$14,1+Model_Formula!$N$16,1)</x:f>
        <x:v>1600</x:v>
      </x:c>
      <x:c r="J20" s="66" t="n">
        <x:f>Model_Formula!$M$17*(Profiles_140!O16-Simulator!$L$15)^2*IF(Profiles_140!O16&gt;Simulator!$L$15,1+Model_Formula!$N$17,1)</x:f>
        <x:v>1225</x:v>
      </x:c>
      <x:c r="K20" s="66" t="n">
        <x:f>Model_Formula!$M$18*(Profiles_140!P16-Simulator!$L$16)^2*IF(Profiles_140!P16&gt;Simulator!$L$16,1+Model_Formula!$N$18,1)</x:f>
        <x:v>2250</x:v>
      </x:c>
      <x:c r="L20" s="66" t="n">
        <x:f>Model_Formula!$M$19*(Profiles_140!Q16-Simulator!$L$17)^2*IF(Profiles_140!Q16&gt;Simulator!$L$17,1+Model_Formula!$N$19,1)</x:f>
        <x:v>625</x:v>
      </x:c>
      <x:c r="M20" s="66" t="n">
        <x:f>Model_Formula!$M$20*(Profiles_140!R16-Simulator!$L$18)^2*IF(Profiles_140!R16&gt;Simulator!$L$18,1+Model_Formula!$N$20,1)</x:f>
        <x:v>2025</x:v>
      </x:c>
      <x:c r="N20" s="66" t="n">
        <x:f>Model_Formula!$M$21*(Profiles_140!S16-Simulator!$L$19)^2*IF(Profiles_140!S16&gt;Simulator!$L$19,1+Model_Formula!$N$21,1)</x:f>
        <x:v>2500</x:v>
      </x:c>
      <x:c r="O20" s="66" t="n">
        <x:f>Model_Formula!$M$22*(Profiles_140!T16-Simulator!$L$20)^2*IF(Profiles_140!T16&gt;Simulator!$L$20,1+Model_Formula!$N$22,1)</x:f>
        <x:v>100</x:v>
      </x:c>
      <x:c r="P20" s="66" t="n">
        <x:f>Model_Formula!$M$23*(Profiles_140!U16-Simulator!$L$21)^2*IF(Profiles_140!U16&gt;Simulator!$L$21,1+Model_Formula!$N$23,1)</x:f>
        <x:v>11.25</x:v>
      </x:c>
      <x:c r="Q20" s="66" t="n">
        <x:f>Model_Formula!$M$24*(Profiles_140!V16-Simulator!$L$22)^2*IF(Profiles_140!V16&gt;Simulator!$L$22,1+Model_Formula!$N$24,1)</x:f>
        <x:v>640</x:v>
      </x:c>
      <x:c r="R20" s="66" t="n">
        <x:f>Model_Formula!$M$25*(Profiles_140!W16-Simulator!$L$23)^2*IF(Profiles_140!W16&gt;Simulator!$L$23,1+Model_Formula!$N$25,1)</x:f>
        <x:v>551.25</x:v>
      </x:c>
      <x:c r="S20" s="66" t="n">
        <x:f>Model_Formula!$M$26*(Profiles_140!X16-Simulator!$L$24)^2*IF(Profiles_140!X16&gt;Simulator!$L$24,1+Model_Formula!$N$26,1)</x:f>
        <x:v>2376.0000000000005</x:v>
      </x:c>
      <x:c r="T20" s="66" t="n">
        <x:f>Model_Formula!$M$27*(Profiles_140!Y16-Simulator!$L$25)^2*IF(Profiles_140!Y16&gt;Simulator!$L$25,1+Model_Formula!$N$27,1)</x:f>
        <x:v>754.6874999999999</x:v>
      </x:c>
      <x:c r="U20" s="60" t="n">
        <x:f>SUM(F20:T20)/SUM($F$4:$T$4)</x:f>
        <x:v>1441.0027985074628</x:v>
      </x:c>
      <x:c r="V20" s="60" t="n">
        <x:f>SQRT(U20)</x:f>
        <x:v>37.96054265296352</x:v>
      </x:c>
      <x:c r="W20" s="60" t="n">
        <x:f>MAX(0,100-V20)</x:f>
        <x:v>62.03945734703648</x:v>
      </x:c>
      <x:c r="X20" s="60" t="n">
        <x:f>SUMPRODUCT(Profiles_140!K16:Y16,$F$4:$T$4)/SUM($F$4:$T$4)</x:f>
        <x:v>48.246268656716424</x:v>
      </x:c>
      <x:c r="Y20" s="60" t="n">
        <x:f>IFERROR(50+50*SUMPRODUCT(($F$3:$T$3-$X$3)*(Profiles_140!K16:Y16-X20),$F$4:$T$4)/SQRT(SUMPRODUCT(($F$3:$T$3-$X$3)^2,$F$4:$T$4)*SUMPRODUCT((Profiles_140!K16:Y16-X20)^2,$F$4:$T$4)),50)</x:f>
        <x:v>50.00000000000001</x:v>
      </x:c>
      <x:c r="Z20" s="60" t="n">
        <x:f>$Z$3</x:f>
        <x:v>3.9474596431116675e-16</x:v>
      </x:c>
      <x:c r="AA20" s="60" t="n">
        <x:f>W20*(1-Model_Formula!$F$8*Z20)+Y20*(Model_Formula!$F$8*Z20)</x:f>
        <x:v>62.03945734703648</x:v>
      </x:c>
      <x:c r="AB20" s="60" t="n">
        <x:f>SQRT(SUMPRODUCT((Profiles_140!K16:Y16-50)^2,$F$4:$T$4)/SUM($F$4:$T$4))</x:f>
        <x:v>37.2516652938386</x:v>
      </x:c>
      <x:c r="AC20" s="60" t="n">
        <x:f>MAX(-Model_Formula!$F$11,MIN(Model_Formula!$F$11,Model_Formula!$F$10*(AB20-AVERAGE($AB$6:$AB$135))))</x:f>
        <x:v>3.8612252387794013</x:v>
      </x:c>
      <x:c r="AD20" s="60" t="n">
        <x:f>MAX(0,MIN(100,AA20+AC20))</x:f>
        <x:v>65.90068258581589</x:v>
      </x:c>
      <x:c r="AE20" s="60" t="n">
        <x:f>MAX(0,MIN(1,IFERROR((MATCH(AD20,Percentile_Calibration!$F16:$DB16,1)-1)/100,0)))</x:f>
        <x:v>0.64</x:v>
      </x:c>
      <x:c r="AF20" s="62" t="n">
        <x:f>ROUND(MAX(Model_Formula!$I$9,Model_Formula!$I$5+Model_Formula!$I$6*POWER(AE20,Model_Formula!$I$7)),0)</x:f>
        <x:v>56</x:v>
      </x:c>
      <x:c r="AG20" t="n">
        <x:f>Profiles_140!AJ16</x:f>
        <x:v>0</x:v>
      </x:c>
      <x:c r="AH20" s="60" t="n">
        <x:f>Model_Formula!$I$8*(AE20*100)+(1-Model_Formula!$I$8)*AD20+AG20</x:f>
        <x:v>64.38013651716318</x:v>
      </x:c>
      <x:c r="AI20" t="n">
        <x:f>RANK.EQ(AH20,$AH$6:$AH$135,0)+COUNTIF($AH$6:AH20,AH20)-1</x:f>
        <x:v>128</x:v>
      </x:c>
    </x:row>
    <x:row r="21">
      <x:c r="A21" t="str">
        <x:f>Profiles_140!A17</x:f>
        <x:v>サンダー</x:v>
      </x:c>
      <x:c r="B21" t="str">
        <x:f>Profiles_140!C17</x:f>
        <x:v>サンダー-1</x:v>
      </x:c>
      <x:c r="C21" t="str">
        <x:f>Profiles_140!D17</x:f>
        <x:v>共通</x:v>
      </x:c>
      <x:c r="D21" t="str">
        <x:f>Profiles_140!B17</x:f>
        <x:v>アタック型</x:v>
      </x:c>
      <x:c r="E21" t="str">
        <x:f>Profiles_140!I17</x:f>
        <x:v>中</x:v>
      </x:c>
      <x:c r="F21" s="66" t="n">
        <x:f>Model_Formula!$M$13*(Profiles_140!K17-Simulator!$L$11)^2*IF(Profiles_140!K17&gt;Simulator!$L$11,1+Model_Formula!$N$13,1)</x:f>
        <x:v>400</x:v>
      </x:c>
      <x:c r="G21" s="66" t="n">
        <x:f>Model_Formula!$M$14*(Profiles_140!L17-Simulator!$L$12)^2*IF(Profiles_140!L17&gt;Simulator!$L$12,1+Model_Formula!$N$14,1)</x:f>
        <x:v>2126.25</x:v>
      </x:c>
      <x:c r="H21" s="66" t="n">
        <x:f>Model_Formula!$M$15*(Profiles_140!M17-Simulator!$L$13)^2*IF(Profiles_140!M17&gt;Simulator!$L$13,1+Model_Formula!$N$15,1)</x:f>
        <x:v>225</x:v>
      </x:c>
      <x:c r="I21" s="66" t="n">
        <x:f>Model_Formula!$M$16*(Profiles_140!N17-Simulator!$L$14)^2*IF(Profiles_140!N17&gt;Simulator!$L$14,1+Model_Formula!$N$16,1)</x:f>
        <x:v>2500</x:v>
      </x:c>
      <x:c r="J21" s="66" t="n">
        <x:f>Model_Formula!$M$17*(Profiles_140!O17-Simulator!$L$15)^2*IF(Profiles_140!O17&gt;Simulator!$L$15,1+Model_Formula!$N$17,1)</x:f>
        <x:v>2500</x:v>
      </x:c>
      <x:c r="K21" s="66" t="n">
        <x:f>Model_Formula!$M$18*(Profiles_140!P17-Simulator!$L$16)^2*IF(Profiles_140!P17&gt;Simulator!$L$16,1+Model_Formula!$N$18,1)</x:f>
        <x:v>1440</x:v>
      </x:c>
      <x:c r="L21" s="66" t="n">
        <x:f>Model_Formula!$M$19*(Profiles_140!Q17-Simulator!$L$17)^2*IF(Profiles_140!Q17&gt;Simulator!$L$17,1+Model_Formula!$N$19,1)</x:f>
        <x:v>625</x:v>
      </x:c>
      <x:c r="M21" s="66" t="n">
        <x:f>Model_Formula!$M$20*(Profiles_140!R17-Simulator!$L$18)^2*IF(Profiles_140!R17&gt;Simulator!$L$18,1+Model_Formula!$N$20,1)</x:f>
        <x:v>1600</x:v>
      </x:c>
      <x:c r="N21" s="66" t="n">
        <x:f>Model_Formula!$M$21*(Profiles_140!S17-Simulator!$L$19)^2*IF(Profiles_140!S17&gt;Simulator!$L$19,1+Model_Formula!$N$21,1)</x:f>
        <x:v>2025</x:v>
      </x:c>
      <x:c r="O21" s="66" t="n">
        <x:f>Model_Formula!$M$22*(Profiles_140!T17-Simulator!$L$20)^2*IF(Profiles_140!T17&gt;Simulator!$L$20,1+Model_Formula!$N$22,1)</x:f>
        <x:v>225</x:v>
      </x:c>
      <x:c r="P21" s="66" t="n">
        <x:f>Model_Formula!$M$23*(Profiles_140!U17-Simulator!$L$21)^2*IF(Profiles_140!U17&gt;Simulator!$L$21,1+Model_Formula!$N$23,1)</x:f>
        <x:v>11.25</x:v>
      </x:c>
      <x:c r="Q21" s="66" t="n">
        <x:f>Model_Formula!$M$24*(Profiles_140!V17-Simulator!$L$22)^2*IF(Profiles_140!V17&gt;Simulator!$L$22,1+Model_Formula!$N$24,1)</x:f>
        <x:v>40</x:v>
      </x:c>
      <x:c r="R21" s="66" t="n">
        <x:f>Model_Formula!$M$25*(Profiles_140!W17-Simulator!$L$23)^2*IF(Profiles_140!W17&gt;Simulator!$L$23,1+Model_Formula!$N$25,1)</x:f>
        <x:v>281.25</x:v>
      </x:c>
      <x:c r="S21" s="66" t="n">
        <x:f>Model_Formula!$M$26*(Profiles_140!X17-Simulator!$L$24)^2*IF(Profiles_140!X17&gt;Simulator!$L$24,1+Model_Formula!$N$26,1)</x:f>
        <x:v>148.50000000000003</x:v>
      </x:c>
      <x:c r="T21" s="66" t="n">
        <x:f>Model_Formula!$M$27*(Profiles_140!Y17-Simulator!$L$25)^2*IF(Profiles_140!Y17&gt;Simulator!$L$25,1+Model_Formula!$N$27,1)</x:f>
        <x:v>482.99999999999994</x:v>
      </x:c>
      <x:c r="U21" s="60" t="n">
        <x:f>SUM(F21:T21)/SUM($F$4:$T$4)</x:f>
        <x:v>1091.8097014925374</x:v>
      </x:c>
      <x:c r="V21" s="60" t="n">
        <x:f>SQRT(U21)</x:f>
        <x:v>33.042543810859016</x:v>
      </x:c>
      <x:c r="W21" s="60" t="n">
        <x:f>MAX(0,100-V21)</x:f>
        <x:v>66.95745618914098</x:v>
      </x:c>
      <x:c r="X21" s="60" t="n">
        <x:f>SUMPRODUCT(Profiles_140!K17:Y17,$F$4:$T$4)/SUM($F$4:$T$4)</x:f>
        <x:v>37.593283582089555</x:v>
      </x:c>
      <x:c r="Y21" s="60" t="n">
        <x:f>IFERROR(50+50*SUMPRODUCT(($F$3:$T$3-$X$3)*(Profiles_140!K17:Y17-X21),$F$4:$T$4)/SQRT(SUMPRODUCT(($F$3:$T$3-$X$3)^2,$F$4:$T$4)*SUMPRODUCT((Profiles_140!K17:Y17-X21)^2,$F$4:$T$4)),50)</x:f>
        <x:v>50</x:v>
      </x:c>
      <x:c r="Z21" s="60" t="n">
        <x:f>$Z$3</x:f>
        <x:v>3.9474596431116675e-16</x:v>
      </x:c>
      <x:c r="AA21" s="60" t="n">
        <x:f>W21*(1-Model_Formula!$F$8*Z21)+Y21*(Model_Formula!$F$8*Z21)</x:f>
        <x:v>66.95745618914098</x:v>
      </x:c>
      <x:c r="AB21" s="60" t="n">
        <x:f>SQRT(SUMPRODUCT((Profiles_140!K17:Y17-50)^2,$F$4:$T$4)/SUM($F$4:$T$4))</x:f>
        <x:v>32.92772501444438</x:v>
      </x:c>
      <x:c r="AC21" s="60" t="n">
        <x:f>MAX(-Model_Formula!$F$11,MIN(Model_Formula!$F$11,Model_Formula!$F$10*(AB21-AVERAGE($AB$6:$AB$135))))</x:f>
        <x:v>1.9154521130520015</x:v>
      </x:c>
      <x:c r="AD21" s="60" t="n">
        <x:f>MAX(0,MIN(100,AA21+AC21))</x:f>
        <x:v>68.87290830219298</x:v>
      </x:c>
      <x:c r="AE21" s="60" t="n">
        <x:f>MAX(0,MIN(1,IFERROR((MATCH(AD21,Percentile_Calibration!$F17:$DB17,1)-1)/100,0)))</x:f>
        <x:v>0.85</x:v>
      </x:c>
      <x:c r="AF21" s="62" t="n">
        <x:f>ROUND(MAX(Model_Formula!$I$9,Model_Formula!$I$5+Model_Formula!$I$6*POWER(AE21,Model_Formula!$I$7)),0)</x:f>
        <x:v>76</x:v>
      </x:c>
      <x:c r="AG21" t="n">
        <x:f>Profiles_140!AJ17</x:f>
        <x:v>0</x:v>
      </x:c>
      <x:c r="AH21" s="60" t="n">
        <x:f>Model_Formula!$I$8*(AE21*100)+(1-Model_Formula!$I$8)*AD21+AG21</x:f>
        <x:v>81.7745816604386</x:v>
      </x:c>
      <x:c r="AI21" t="n">
        <x:f>RANK.EQ(AH21,$AH$6:$AH$135,0)+COUNTIF($AH$6:AH21,AH21)-1</x:f>
        <x:v>45</x:v>
      </x:c>
    </x:row>
    <x:row r="22">
      <x:c r="A22" t="str">
        <x:f>Profiles_140!A18</x:f>
        <x:v>サーナイト</x:v>
      </x:c>
      <x:c r="B22" t="str">
        <x:f>Profiles_140!C18</x:f>
        <x:v>サーナイト-1</x:v>
      </x:c>
      <x:c r="C22" t="str">
        <x:f>Profiles_140!D18</x:f>
        <x:v>共通</x:v>
      </x:c>
      <x:c r="D22" t="str">
        <x:f>Profiles_140!B18</x:f>
        <x:v>アタック型</x:v>
      </x:c>
      <x:c r="E22" t="str">
        <x:f>Profiles_140!I18</x:f>
        <x:v>高</x:v>
      </x:c>
      <x:c r="F22" s="66" t="n">
        <x:f>Model_Formula!$M$13*(Profiles_140!K18-Simulator!$L$11)^2*IF(Profiles_140!K18&gt;Simulator!$L$11,1+Model_Formula!$N$13,1)</x:f>
        <x:v>400</x:v>
      </x:c>
      <x:c r="G22" s="66" t="n">
        <x:f>Model_Formula!$M$14*(Profiles_140!L18-Simulator!$L$12)^2*IF(Profiles_140!L18&gt;Simulator!$L$12,1+Model_Formula!$N$14,1)</x:f>
        <x:v>2126.25</x:v>
      </x:c>
      <x:c r="H22" s="66" t="n">
        <x:f>Model_Formula!$M$15*(Profiles_140!M18-Simulator!$L$13)^2*IF(Profiles_140!M18&gt;Simulator!$L$13,1+Model_Formula!$N$15,1)</x:f>
        <x:v>225</x:v>
      </x:c>
      <x:c r="I22" s="66" t="n">
        <x:f>Model_Formula!$M$16*(Profiles_140!N18-Simulator!$L$14)^2*IF(Profiles_140!N18&gt;Simulator!$L$14,1+Model_Formula!$N$16,1)</x:f>
        <x:v>2500</x:v>
      </x:c>
      <x:c r="J22" s="66" t="n">
        <x:f>Model_Formula!$M$17*(Profiles_140!O18-Simulator!$L$15)^2*IF(Profiles_140!O18&gt;Simulator!$L$15,1+Model_Formula!$N$17,1)</x:f>
        <x:v>2500</x:v>
      </x:c>
      <x:c r="K22" s="66" t="n">
        <x:f>Model_Formula!$M$18*(Profiles_140!P18-Simulator!$L$16)^2*IF(Profiles_140!P18&gt;Simulator!$L$16,1+Model_Formula!$N$18,1)</x:f>
        <x:v>2250</x:v>
      </x:c>
      <x:c r="L22" s="66" t="n">
        <x:f>Model_Formula!$M$19*(Profiles_140!Q18-Simulator!$L$17)^2*IF(Profiles_140!Q18&gt;Simulator!$L$17,1+Model_Formula!$N$19,1)</x:f>
        <x:v>900</x:v>
      </x:c>
      <x:c r="M22" s="66" t="n">
        <x:f>Model_Formula!$M$20*(Profiles_140!R18-Simulator!$L$18)^2*IF(Profiles_140!R18&gt;Simulator!$L$18,1+Model_Formula!$N$20,1)</x:f>
        <x:v>1600</x:v>
      </x:c>
      <x:c r="N22" s="66" t="n">
        <x:f>Model_Formula!$M$21*(Profiles_140!S18-Simulator!$L$19)^2*IF(Profiles_140!S18&gt;Simulator!$L$19,1+Model_Formula!$N$21,1)</x:f>
        <x:v>900</x:v>
      </x:c>
      <x:c r="O22" s="66" t="n">
        <x:f>Model_Formula!$M$22*(Profiles_140!T18-Simulator!$L$20)^2*IF(Profiles_140!T18&gt;Simulator!$L$20,1+Model_Formula!$N$22,1)</x:f>
        <x:v>625</x:v>
      </x:c>
      <x:c r="P22" s="66" t="n">
        <x:f>Model_Formula!$M$23*(Profiles_140!U18-Simulator!$L$21)^2*IF(Profiles_140!U18&gt;Simulator!$L$21,1+Model_Formula!$N$23,1)</x:f>
        <x:v>101.25</x:v>
      </x:c>
      <x:c r="Q22" s="66" t="n">
        <x:f>Model_Formula!$M$24*(Profiles_140!V18-Simulator!$L$22)^2*IF(Profiles_140!V18&gt;Simulator!$L$22,1+Model_Formula!$N$24,1)</x:f>
        <x:v>40</x:v>
      </x:c>
      <x:c r="R22" s="66" t="n">
        <x:f>Model_Formula!$M$25*(Profiles_140!W18-Simulator!$L$23)^2*IF(Profiles_140!W18&gt;Simulator!$L$23,1+Model_Formula!$N$25,1)</x:f>
        <x:v>281.25</x:v>
      </x:c>
      <x:c r="S22" s="66" t="n">
        <x:f>Model_Formula!$M$26*(Profiles_140!X18-Simulator!$L$24)^2*IF(Profiles_140!X18&gt;Simulator!$L$24,1+Model_Formula!$N$26,1)</x:f>
        <x:v>148.50000000000003</x:v>
      </x:c>
      <x:c r="T22" s="66" t="n">
        <x:f>Model_Formula!$M$27*(Profiles_140!Y18-Simulator!$L$25)^2*IF(Profiles_140!Y18&gt;Simulator!$L$25,1+Model_Formula!$N$27,1)</x:f>
        <x:v>482.99999999999994</x:v>
      </x:c>
      <x:c r="U22" s="60" t="n">
        <x:f>SUM(F22:T22)/SUM($F$4:$T$4)</x:f>
        <x:v>1125.3917910447763</x:v>
      </x:c>
      <x:c r="V22" s="60" t="n">
        <x:f>SQRT(U22)</x:f>
        <x:v>33.54685963014685</x:v>
      </x:c>
      <x:c r="W22" s="60" t="n">
        <x:f>MAX(0,100-V22)</x:f>
        <x:v>66.45314036985314</x:v>
      </x:c>
      <x:c r="X22" s="60" t="n">
        <x:f>SUMPRODUCT(Profiles_140!K18:Y18,$F$4:$T$4)/SUM($F$4:$T$4)</x:f>
        <x:v>38.00373134328358</x:v>
      </x:c>
      <x:c r="Y22" s="60" t="n">
        <x:f>IFERROR(50+50*SUMPRODUCT(($F$3:$T$3-$X$3)*(Profiles_140!K18:Y18-X22),$F$4:$T$4)/SQRT(SUMPRODUCT(($F$3:$T$3-$X$3)^2,$F$4:$T$4)*SUMPRODUCT((Profiles_140!K18:Y18-X22)^2,$F$4:$T$4)),50)</x:f>
        <x:v>50</x:v>
      </x:c>
      <x:c r="Z22" s="60" t="n">
        <x:f>$Z$3</x:f>
        <x:v>3.9474596431116675e-16</x:v>
      </x:c>
      <x:c r="AA22" s="60" t="n">
        <x:f>W22*(1-Model_Formula!$F$8*Z22)+Y22*(Model_Formula!$F$8*Z22)</x:f>
        <x:v>66.45314036985314</x:v>
      </x:c>
      <x:c r="AB22" s="60" t="n">
        <x:f>SQRT(SUMPRODUCT((Profiles_140!K18:Y18-50)^2,$F$4:$T$4)/SUM($F$4:$T$4))</x:f>
        <x:v>33.43377280803207</x:v>
      </x:c>
      <x:c r="AC22" s="60" t="n">
        <x:f>MAX(-Model_Formula!$F$11,MIN(Model_Formula!$F$11,Model_Formula!$F$10*(AB22-AVERAGE($AB$6:$AB$135))))</x:f>
        <x:v>2.143173620166462</x:v>
      </x:c>
      <x:c r="AD22" s="60" t="n">
        <x:f>MAX(0,MIN(100,AA22+AC22))</x:f>
        <x:v>68.59631399001961</x:v>
      </x:c>
      <x:c r="AE22" s="60" t="n">
        <x:f>MAX(0,MIN(1,IFERROR((MATCH(AD22,Percentile_Calibration!$F18:$DB18,1)-1)/100,0)))</x:f>
        <x:v>0.86</x:v>
      </x:c>
      <x:c r="AF22" s="62" t="n">
        <x:f>ROUND(MAX(Model_Formula!$I$9,Model_Formula!$I$5+Model_Formula!$I$6*POWER(AE22,Model_Formula!$I$7)),0)</x:f>
        <x:v>77</x:v>
      </x:c>
      <x:c r="AG22" t="n">
        <x:f>Profiles_140!AJ18</x:f>
        <x:v>0</x:v>
      </x:c>
      <x:c r="AH22" s="60" t="n">
        <x:f>Model_Formula!$I$8*(AE22*100)+(1-Model_Formula!$I$8)*AD22+AG22</x:f>
        <x:v>82.51926279800392</x:v>
      </x:c>
      <x:c r="AI22" t="n">
        <x:f>RANK.EQ(AH22,$AH$6:$AH$135,0)+COUNTIF($AH$6:AH22,AH22)-1</x:f>
        <x:v>42</x:v>
      </x:c>
    </x:row>
    <x:row r="23">
      <x:c r="A23" t="str">
        <x:f>Profiles_140!A19</x:f>
        <x:v>シャンデラ</x:v>
      </x:c>
      <x:c r="B23" t="str">
        <x:f>Profiles_140!C19</x:f>
        <x:v>シャンデラ-1</x:v>
      </x:c>
      <x:c r="C23" t="str">
        <x:f>Profiles_140!D19</x:f>
        <x:v>共通</x:v>
      </x:c>
      <x:c r="D23" t="str">
        <x:f>Profiles_140!B19</x:f>
        <x:v>アタック型</x:v>
      </x:c>
      <x:c r="E23" t="str">
        <x:f>Profiles_140!I19</x:f>
        <x:v>高</x:v>
      </x:c>
      <x:c r="F23" s="66" t="n">
        <x:f>Model_Formula!$M$13*(Profiles_140!K19-Simulator!$L$11)^2*IF(Profiles_140!K19&gt;Simulator!$L$11,1+Model_Formula!$N$13,1)</x:f>
        <x:v>400</x:v>
      </x:c>
      <x:c r="G23" s="66" t="n">
        <x:f>Model_Formula!$M$14*(Profiles_140!L19-Simulator!$L$12)^2*IF(Profiles_140!L19&gt;Simulator!$L$12,1+Model_Formula!$N$14,1)</x:f>
        <x:v>2126.25</x:v>
      </x:c>
      <x:c r="H23" s="66" t="n">
        <x:f>Model_Formula!$M$15*(Profiles_140!M19-Simulator!$L$13)^2*IF(Profiles_140!M19&gt;Simulator!$L$13,1+Model_Formula!$N$15,1)</x:f>
        <x:v>225</x:v>
      </x:c>
      <x:c r="I23" s="66" t="n">
        <x:f>Model_Formula!$M$16*(Profiles_140!N19-Simulator!$L$14)^2*IF(Profiles_140!N19&gt;Simulator!$L$14,1+Model_Formula!$N$16,1)</x:f>
        <x:v>2500</x:v>
      </x:c>
      <x:c r="J23" s="66" t="n">
        <x:f>Model_Formula!$M$17*(Profiles_140!O19-Simulator!$L$15)^2*IF(Profiles_140!O19&gt;Simulator!$L$15,1+Model_Formula!$N$17,1)</x:f>
        <x:v>2500</x:v>
      </x:c>
      <x:c r="K23" s="66" t="n">
        <x:f>Model_Formula!$M$18*(Profiles_140!P19-Simulator!$L$16)^2*IF(Profiles_140!P19&gt;Simulator!$L$16,1+Model_Formula!$N$18,1)</x:f>
        <x:v>562.5</x:v>
      </x:c>
      <x:c r="L23" s="66" t="n">
        <x:f>Model_Formula!$M$19*(Profiles_140!Q19-Simulator!$L$17)^2*IF(Profiles_140!Q19&gt;Simulator!$L$17,1+Model_Formula!$N$19,1)</x:f>
        <x:v>1600</x:v>
      </x:c>
      <x:c r="M23" s="66" t="n">
        <x:f>Model_Formula!$M$20*(Profiles_140!R19-Simulator!$L$18)^2*IF(Profiles_140!R19&gt;Simulator!$L$18,1+Model_Formula!$N$20,1)</x:f>
        <x:v>1600</x:v>
      </x:c>
      <x:c r="N23" s="66" t="n">
        <x:f>Model_Formula!$M$21*(Profiles_140!S19-Simulator!$L$19)^2*IF(Profiles_140!S19&gt;Simulator!$L$19,1+Model_Formula!$N$21,1)</x:f>
        <x:v>900</x:v>
      </x:c>
      <x:c r="O23" s="66" t="n">
        <x:f>Model_Formula!$M$22*(Profiles_140!T19-Simulator!$L$20)^2*IF(Profiles_140!T19&gt;Simulator!$L$20,1+Model_Formula!$N$22,1)</x:f>
        <x:v>625</x:v>
      </x:c>
      <x:c r="P23" s="66" t="n">
        <x:f>Model_Formula!$M$23*(Profiles_140!U19-Simulator!$L$21)^2*IF(Profiles_140!U19&gt;Simulator!$L$21,1+Model_Formula!$N$23,1)</x:f>
        <x:v>11.25</x:v>
      </x:c>
      <x:c r="Q23" s="66" t="n">
        <x:f>Model_Formula!$M$24*(Profiles_140!V19-Simulator!$L$22)^2*IF(Profiles_140!V19&gt;Simulator!$L$22,1+Model_Formula!$N$24,1)</x:f>
        <x:v>40</x:v>
      </x:c>
      <x:c r="R23" s="66" t="n">
        <x:f>Model_Formula!$M$25*(Profiles_140!W19-Simulator!$L$23)^2*IF(Profiles_140!W19&gt;Simulator!$L$23,1+Model_Formula!$N$25,1)</x:f>
        <x:v>281.25</x:v>
      </x:c>
      <x:c r="S23" s="66" t="n">
        <x:f>Model_Formula!$M$26*(Profiles_140!X19-Simulator!$L$24)^2*IF(Profiles_140!X19&gt;Simulator!$L$24,1+Model_Formula!$N$26,1)</x:f>
        <x:v>148.50000000000003</x:v>
      </x:c>
      <x:c r="T23" s="66" t="n">
        <x:f>Model_Formula!$M$27*(Profiles_140!Y19-Simulator!$L$25)^2*IF(Profiles_140!Y19&gt;Simulator!$L$25,1+Model_Formula!$N$27,1)</x:f>
        <x:v>754.6874999999999</x:v>
      </x:c>
      <x:c r="U23" s="60" t="n">
        <x:f>SUM(F23:T23)/SUM($F$4:$T$4)</x:f>
        <x:v>1065.2565298507463</x:v>
      </x:c>
      <x:c r="V23" s="60" t="n">
        <x:f>SQRT(U23)</x:f>
        <x:v>32.638267874547914</x:v>
      </x:c>
      <x:c r="W23" s="60" t="n">
        <x:f>MAX(0,100-V23)</x:f>
        <x:v>67.36173212545208</x:v>
      </x:c>
      <x:c r="X23" s="60" t="n">
        <x:f>SUMPRODUCT(Profiles_140!K19:Y19,$F$4:$T$4)/SUM($F$4:$T$4)</x:f>
        <x:v>40.485074626865675</x:v>
      </x:c>
      <x:c r="Y23" s="60" t="n">
        <x:f>IFERROR(50+50*SUMPRODUCT(($F$3:$T$3-$X$3)*(Profiles_140!K19:Y19-X23),$F$4:$T$4)/SQRT(SUMPRODUCT(($F$3:$T$3-$X$3)^2,$F$4:$T$4)*SUMPRODUCT((Profiles_140!K19:Y19-X23)^2,$F$4:$T$4)),50)</x:f>
        <x:v>50.00000000000001</x:v>
      </x:c>
      <x:c r="Z23" s="60" t="n">
        <x:f>$Z$3</x:f>
        <x:v>3.9474596431116675e-16</x:v>
      </x:c>
      <x:c r="AA23" s="60" t="n">
        <x:f>W23*(1-Model_Formula!$F$8*Z23)+Y23*(Model_Formula!$F$8*Z23)</x:f>
        <x:v>67.36173212545208</x:v>
      </x:c>
      <x:c r="AB23" s="60" t="n">
        <x:f>SQRT(SUMPRODUCT((Profiles_140!K19:Y19-50)^2,$F$4:$T$4)/SUM($F$4:$T$4))</x:f>
        <x:v>32.48133792553558</x:v>
      </x:c>
      <x:c r="AC23" s="60" t="n">
        <x:f>MAX(-Model_Formula!$F$11,MIN(Model_Formula!$F$11,Model_Formula!$F$10*(AB23-AVERAGE($AB$6:$AB$135))))</x:f>
        <x:v>1.7145779230430416</x:v>
      </x:c>
      <x:c r="AD23" s="60" t="n">
        <x:f>MAX(0,MIN(100,AA23+AC23))</x:f>
        <x:v>69.07631004849512</x:v>
      </x:c>
      <x:c r="AE23" s="60" t="n">
        <x:f>MAX(0,MIN(1,IFERROR((MATCH(AD23,Percentile_Calibration!$F19:$DB19,1)-1)/100,0)))</x:f>
        <x:v>0.82</x:v>
      </x:c>
      <x:c r="AF23" s="62" t="n">
        <x:f>ROUND(MAX(Model_Formula!$I$9,Model_Formula!$I$5+Model_Formula!$I$6*POWER(AE23,Model_Formula!$I$7)),0)</x:f>
        <x:v>72</x:v>
      </x:c>
      <x:c r="AG23" t="n">
        <x:f>Profiles_140!AJ19</x:f>
        <x:v>0</x:v>
      </x:c>
      <x:c r="AH23" s="60" t="n">
        <x:f>Model_Formula!$I$8*(AE23*100)+(1-Model_Formula!$I$8)*AD23+AG23</x:f>
        <x:v>79.41526200969903</x:v>
      </x:c>
      <x:c r="AI23" t="n">
        <x:f>RANK.EQ(AH23,$AH$6:$AH$135,0)+COUNTIF($AH$6:AH23,AH23)-1</x:f>
        <x:v>53</x:v>
      </x:c>
    </x:row>
    <x:row r="24">
      <x:c r="A24" t="str">
        <x:f>Profiles_140!A20</x:f>
        <x:v>ジュナイパー</x:v>
      </x:c>
      <x:c r="B24" t="str">
        <x:f>Profiles_140!C20</x:f>
        <x:v>ジュナイパー-1</x:v>
      </x:c>
      <x:c r="C24" t="str">
        <x:f>Profiles_140!D20</x:f>
        <x:v>かげぬい</x:v>
      </x:c>
      <x:c r="D24" t="str">
        <x:f>Profiles_140!B20</x:f>
        <x:v>アタック型</x:v>
      </x:c>
      <x:c r="E24" t="str">
        <x:f>Profiles_140!I20</x:f>
        <x:v>高</x:v>
      </x:c>
      <x:c r="F24" s="66" t="n">
        <x:f>Model_Formula!$M$13*(Profiles_140!K20-Simulator!$L$11)^2*IF(Profiles_140!K20&gt;Simulator!$L$11,1+Model_Formula!$N$13,1)</x:f>
        <x:v>1225</x:v>
      </x:c>
      <x:c r="G24" s="66" t="n">
        <x:f>Model_Formula!$M$14*(Profiles_140!L20-Simulator!$L$12)^2*IF(Profiles_140!L20&gt;Simulator!$L$12,1+Model_Formula!$N$14,1)</x:f>
        <x:v>2126.25</x:v>
      </x:c>
      <x:c r="H24" s="66" t="n">
        <x:f>Model_Formula!$M$15*(Profiles_140!M20-Simulator!$L$13)^2*IF(Profiles_140!M20&gt;Simulator!$L$13,1+Model_Formula!$N$15,1)</x:f>
        <x:v>1225</x:v>
      </x:c>
      <x:c r="I24" s="66" t="n">
        <x:f>Model_Formula!$M$16*(Profiles_140!N20-Simulator!$L$14)^2*IF(Profiles_140!N20&gt;Simulator!$L$14,1+Model_Formula!$N$16,1)</x:f>
        <x:v>2025</x:v>
      </x:c>
      <x:c r="J24" s="66" t="n">
        <x:f>Model_Formula!$M$17*(Profiles_140!O20-Simulator!$L$15)^2*IF(Profiles_140!O20&gt;Simulator!$L$15,1+Model_Formula!$N$17,1)</x:f>
        <x:v>2500</x:v>
      </x:c>
      <x:c r="K24" s="66" t="n">
        <x:f>Model_Formula!$M$18*(Profiles_140!P20-Simulator!$L$16)^2*IF(Profiles_140!P20&gt;Simulator!$L$16,1+Model_Formula!$N$18,1)</x:f>
        <x:v>810</x:v>
      </x:c>
      <x:c r="L24" s="66" t="n">
        <x:f>Model_Formula!$M$19*(Profiles_140!Q20-Simulator!$L$17)^2*IF(Profiles_140!Q20&gt;Simulator!$L$17,1+Model_Formula!$N$19,1)</x:f>
        <x:v>25</x:v>
      </x:c>
      <x:c r="M24" s="66" t="n">
        <x:f>Model_Formula!$M$20*(Profiles_140!R20-Simulator!$L$18)^2*IF(Profiles_140!R20&gt;Simulator!$L$18,1+Model_Formula!$N$20,1)</x:f>
        <x:v>2025</x:v>
      </x:c>
      <x:c r="N24" s="66" t="n">
        <x:f>Model_Formula!$M$21*(Profiles_140!S20-Simulator!$L$19)^2*IF(Profiles_140!S20&gt;Simulator!$L$19,1+Model_Formula!$N$21,1)</x:f>
        <x:v>2025</x:v>
      </x:c>
      <x:c r="O24" s="66" t="n">
        <x:f>Model_Formula!$M$22*(Profiles_140!T20-Simulator!$L$20)^2*IF(Profiles_140!T20&gt;Simulator!$L$20,1+Model_Formula!$N$22,1)</x:f>
        <x:v>225</x:v>
      </x:c>
      <x:c r="P24" s="66" t="n">
        <x:f>Model_Formula!$M$23*(Profiles_140!U20-Simulator!$L$21)^2*IF(Profiles_140!U20&gt;Simulator!$L$21,1+Model_Formula!$N$23,1)</x:f>
        <x:v>281.25</x:v>
      </x:c>
      <x:c r="Q24" s="66" t="n">
        <x:f>Model_Formula!$M$24*(Profiles_140!V20-Simulator!$L$22)^2*IF(Profiles_140!V20&gt;Simulator!$L$22,1+Model_Formula!$N$24,1)</x:f>
        <x:v>810</x:v>
      </x:c>
      <x:c r="R24" s="66" t="n">
        <x:f>Model_Formula!$M$25*(Profiles_140!W20-Simulator!$L$23)^2*IF(Profiles_140!W20&gt;Simulator!$L$23,1+Model_Formula!$N$25,1)</x:f>
        <x:v>405</x:v>
      </x:c>
      <x:c r="S24" s="66" t="n">
        <x:f>Model_Formula!$M$26*(Profiles_140!X20-Simulator!$L$24)^2*IF(Profiles_140!X20&gt;Simulator!$L$24,1+Model_Formula!$N$26,1)</x:f>
        <x:v>3712.5000000000005</x:v>
      </x:c>
      <x:c r="T24" s="66" t="n">
        <x:f>Model_Formula!$M$27*(Profiles_140!Y20-Simulator!$L$25)^2*IF(Profiles_140!Y20&gt;Simulator!$L$25,1+Model_Formula!$N$27,1)</x:f>
        <x:v>1086.75</x:v>
      </x:c>
      <x:c r="U24" s="60" t="n">
        <x:f>SUM(F24:T24)/SUM($F$4:$T$4)</x:f>
        <x:v>1530.3544776119404</x:v>
      </x:c>
      <x:c r="V24" s="60" t="n">
        <x:f>SQRT(U24)</x:f>
        <x:v>39.11974536742207</x:v>
      </x:c>
      <x:c r="W24" s="60" t="n">
        <x:f>MAX(0,100-V24)</x:f>
        <x:v>60.88025463257793</x:v>
      </x:c>
      <x:c r="X24" s="60" t="n">
        <x:f>SUMPRODUCT(Profiles_140!K20:Y20,$F$4:$T$4)/SUM($F$4:$T$4)</x:f>
        <x:v>39.029850746268664</x:v>
      </x:c>
      <x:c r="Y24" s="60" t="n">
        <x:f>IFERROR(50+50*SUMPRODUCT(($F$3:$T$3-$X$3)*(Profiles_140!K20:Y20-X24),$F$4:$T$4)/SQRT(SUMPRODUCT(($F$3:$T$3-$X$3)^2,$F$4:$T$4)*SUMPRODUCT((Profiles_140!K20:Y20-X24)^2,$F$4:$T$4)),50)</x:f>
        <x:v>50.000000000000014</x:v>
      </x:c>
      <x:c r="Z24" s="60" t="n">
        <x:f>$Z$3</x:f>
        <x:v>3.9474596431116675e-16</x:v>
      </x:c>
      <x:c r="AA24" s="60" t="n">
        <x:f>W24*(1-Model_Formula!$F$8*Z24)+Y24*(Model_Formula!$F$8*Z24)</x:f>
        <x:v>60.88025463257793</x:v>
      </x:c>
      <x:c r="AB24" s="60" t="n">
        <x:f>SQRT(SUMPRODUCT((Profiles_140!K20:Y20-50)^2,$F$4:$T$4)/SUM($F$4:$T$4))</x:f>
        <x:v>38.05190877201865</x:v>
      </x:c>
      <x:c r="AC24" s="60" t="n">
        <x:f>MAX(-Model_Formula!$F$11,MIN(Model_Formula!$F$11,Model_Formula!$F$10*(AB24-AVERAGE($AB$6:$AB$135))))</x:f>
        <x:v>4.221334803960424</x:v>
      </x:c>
      <x:c r="AD24" s="60" t="n">
        <x:f>MAX(0,MIN(100,AA24+AC24))</x:f>
        <x:v>65.10158943653835</x:v>
      </x:c>
      <x:c r="AE24" s="60" t="n">
        <x:f>MAX(0,MIN(1,IFERROR((MATCH(AD24,Percentile_Calibration!$F20:$DB20,1)-1)/100,0)))</x:f>
        <x:v>0.68</x:v>
      </x:c>
      <x:c r="AF24" s="62" t="n">
        <x:f>ROUND(MAX(Model_Formula!$I$9,Model_Formula!$I$5+Model_Formula!$I$6*POWER(AE24,Model_Formula!$I$7)),0)</x:f>
        <x:v>59</x:v>
      </x:c>
      <x:c r="AG24" t="n">
        <x:f>Profiles_140!AJ20</x:f>
        <x:v>0</x:v>
      </x:c>
      <x:c r="AH24" s="60" t="n">
        <x:f>Model_Formula!$I$8*(AE24*100)+(1-Model_Formula!$I$8)*AD24+AG24</x:f>
        <x:v>67.42031788730768</x:v>
      </x:c>
      <x:c r="AI24" t="n">
        <x:f>RANK.EQ(AH24,$AH$6:$AH$135,0)+COUNTIF($AH$6:AH24,AH24)-1</x:f>
        <x:v>119</x:v>
      </x:c>
    </x:row>
    <x:row r="25">
      <x:c r="A25" t="str">
        <x:f>Profiles_140!A21</x:f>
        <x:v>ジュナイパー</x:v>
      </x:c>
      <x:c r="B25" t="str">
        <x:f>Profiles_140!C21</x:f>
        <x:v>ジュナイパー-2</x:v>
      </x:c>
      <x:c r="C25" t="str">
        <x:f>Profiles_140!D21</x:f>
        <x:v>はっぱカッター</x:v>
      </x:c>
      <x:c r="D25" t="str">
        <x:f>Profiles_140!B21</x:f>
        <x:v>アタック型</x:v>
      </x:c>
      <x:c r="E25" t="str">
        <x:f>Profiles_140!I21</x:f>
        <x:v>高</x:v>
      </x:c>
      <x:c r="F25" s="66" t="n">
        <x:f>Model_Formula!$M$13*(Profiles_140!K21-Simulator!$L$11)^2*IF(Profiles_140!K21&gt;Simulator!$L$11,1+Model_Formula!$N$13,1)</x:f>
        <x:v>2025</x:v>
      </x:c>
      <x:c r="G25" s="66" t="n">
        <x:f>Model_Formula!$M$14*(Profiles_140!L21-Simulator!$L$12)^2*IF(Profiles_140!L21&gt;Simulator!$L$12,1+Model_Formula!$N$14,1)</x:f>
        <x:v>2625</x:v>
      </x:c>
      <x:c r="H25" s="66" t="n">
        <x:f>Model_Formula!$M$15*(Profiles_140!M21-Simulator!$L$13)^2*IF(Profiles_140!M21&gt;Simulator!$L$13,1+Model_Formula!$N$15,1)</x:f>
        <x:v>1600</x:v>
      </x:c>
      <x:c r="I25" s="66" t="n">
        <x:f>Model_Formula!$M$16*(Profiles_140!N21-Simulator!$L$14)^2*IF(Profiles_140!N21&gt;Simulator!$L$14,1+Model_Formula!$N$16,1)</x:f>
        <x:v>2500</x:v>
      </x:c>
      <x:c r="J25" s="66" t="n">
        <x:f>Model_Formula!$M$17*(Profiles_140!O21-Simulator!$L$15)^2*IF(Profiles_140!O21&gt;Simulator!$L$15,1+Model_Formula!$N$17,1)</x:f>
        <x:v>25</x:v>
      </x:c>
      <x:c r="K25" s="66" t="n">
        <x:f>Model_Formula!$M$18*(Profiles_140!P21-Simulator!$L$16)^2*IF(Profiles_140!P21&gt;Simulator!$L$16,1+Model_Formula!$N$18,1)</x:f>
        <x:v>1822.5</x:v>
      </x:c>
      <x:c r="L25" s="66" t="n">
        <x:f>Model_Formula!$M$19*(Profiles_140!Q21-Simulator!$L$17)^2*IF(Profiles_140!Q21&gt;Simulator!$L$17,1+Model_Formula!$N$19,1)</x:f>
        <x:v>2025</x:v>
      </x:c>
      <x:c r="M25" s="66" t="n">
        <x:f>Model_Formula!$M$20*(Profiles_140!R21-Simulator!$L$18)^2*IF(Profiles_140!R21&gt;Simulator!$L$18,1+Model_Formula!$N$20,1)</x:f>
        <x:v>2025</x:v>
      </x:c>
      <x:c r="N25" s="66" t="n">
        <x:f>Model_Formula!$M$21*(Profiles_140!S21-Simulator!$L$19)^2*IF(Profiles_140!S21&gt;Simulator!$L$19,1+Model_Formula!$N$21,1)</x:f>
        <x:v>400</x:v>
      </x:c>
      <x:c r="O25" s="66" t="n">
        <x:f>Model_Formula!$M$22*(Profiles_140!T21-Simulator!$L$20)^2*IF(Profiles_140!T21&gt;Simulator!$L$20,1+Model_Formula!$N$22,1)</x:f>
        <x:v>25</x:v>
      </x:c>
      <x:c r="P25" s="66" t="n">
        <x:f>Model_Formula!$M$23*(Profiles_140!U21-Simulator!$L$21)^2*IF(Profiles_140!U21&gt;Simulator!$L$21,1+Model_Formula!$N$23,1)</x:f>
        <x:v>551.25</x:v>
      </x:c>
      <x:c r="Q25" s="66" t="n">
        <x:f>Model_Formula!$M$24*(Profiles_140!V21-Simulator!$L$22)^2*IF(Profiles_140!V21&gt;Simulator!$L$22,1+Model_Formula!$N$24,1)</x:f>
        <x:v>1000</x:v>
      </x:c>
      <x:c r="R25" s="66" t="n">
        <x:f>Model_Formula!$M$25*(Profiles_140!W21-Simulator!$L$23)^2*IF(Profiles_140!W21&gt;Simulator!$L$23,1+Model_Formula!$N$25,1)</x:f>
        <x:v>11.25</x:v>
      </x:c>
      <x:c r="S25" s="66" t="n">
        <x:f>Model_Formula!$M$26*(Profiles_140!X21-Simulator!$L$24)^2*IF(Profiles_140!X21&gt;Simulator!$L$24,1+Model_Formula!$N$26,1)</x:f>
        <x:v>334.12500000000006</x:v>
      </x:c>
      <x:c r="T25" s="66" t="n">
        <x:f>Model_Formula!$M$27*(Profiles_140!Y21-Simulator!$L$25)^2*IF(Profiles_140!Y21&gt;Simulator!$L$25,1+Model_Formula!$N$27,1)</x:f>
        <x:v>271.6875</x:v>
      </x:c>
      <x:c r="U25" s="60" t="n">
        <x:f>SUM(F25:T25)/SUM($F$4:$T$4)</x:f>
        <x:v>1286.6277985074628</x:v>
      </x:c>
      <x:c r="V25" s="60" t="n">
        <x:f>SQRT(U25)</x:f>
        <x:v>35.869594345454516</x:v>
      </x:c>
      <x:c r="W25" s="60" t="n">
        <x:f>MAX(0,100-V25)</x:f>
        <x:v>64.13040565454548</x:v>
      </x:c>
      <x:c r="X25" s="60" t="n">
        <x:f>SUMPRODUCT(Profiles_140!K21:Y21,$F$4:$T$4)/SUM($F$4:$T$4)</x:f>
        <x:v>36.0634328358209</x:v>
      </x:c>
      <x:c r="Y25" s="60" t="n">
        <x:f>IFERROR(50+50*SUMPRODUCT(($F$3:$T$3-$X$3)*(Profiles_140!K21:Y21-X25),$F$4:$T$4)/SQRT(SUMPRODUCT(($F$3:$T$3-$X$3)^2,$F$4:$T$4)*SUMPRODUCT((Profiles_140!K21:Y21-X25)^2,$F$4:$T$4)),50)</x:f>
        <x:v>50.00000000000001</x:v>
      </x:c>
      <x:c r="Z25" s="60" t="n">
        <x:f>$Z$3</x:f>
        <x:v>3.9474596431116675e-16</x:v>
      </x:c>
      <x:c r="AA25" s="60" t="n">
        <x:f>W25*(1-Model_Formula!$F$8*Z25)+Y25*(Model_Formula!$F$8*Z25)</x:f>
        <x:v>64.13040565454548</x:v>
      </x:c>
      <x:c r="AB25" s="60" t="n">
        <x:f>SQRT(SUMPRODUCT((Profiles_140!K21:Y21-50)^2,$F$4:$T$4)/SUM($F$4:$T$4))</x:f>
        <x:v>35.74239299090672</x:v>
      </x:c>
      <x:c r="AC25" s="60" t="n">
        <x:f>MAX(-Model_Formula!$F$11,MIN(Model_Formula!$F$11,Model_Formula!$F$10*(AB25-AVERAGE($AB$6:$AB$135))))</x:f>
        <x:v>3.1820527024600573</x:v>
      </x:c>
      <x:c r="AD25" s="60" t="n">
        <x:f>MAX(0,MIN(100,AA25+AC25))</x:f>
        <x:v>67.31245835700554</x:v>
      </x:c>
      <x:c r="AE25" s="60" t="n">
        <x:f>MAX(0,MIN(1,IFERROR((MATCH(AD25,Percentile_Calibration!$F21:$DB21,1)-1)/100,0)))</x:f>
        <x:v>0.7</x:v>
      </x:c>
      <x:c r="AF25" s="62" t="n">
        <x:f>ROUND(MAX(Model_Formula!$I$9,Model_Formula!$I$5+Model_Formula!$I$6*POWER(AE25,Model_Formula!$I$7)),0)</x:f>
        <x:v>61</x:v>
      </x:c>
      <x:c r="AG25" t="n">
        <x:f>Profiles_140!AJ21</x:f>
        <x:v>0</x:v>
      </x:c>
      <x:c r="AH25" s="60" t="n">
        <x:f>Model_Formula!$I$8*(AE25*100)+(1-Model_Formula!$I$8)*AD25+AG25</x:f>
        <x:v>69.46249167140111</x:v>
      </x:c>
      <x:c r="AI25" t="n">
        <x:f>RANK.EQ(AH25,$AH$6:$AH$135,0)+COUNTIF($AH$6:AH25,AH25)-1</x:f>
        <x:v>110</x:v>
      </x:c>
    </x:row>
    <x:row r="26">
      <x:c r="A26" t="str">
        <x:f>Profiles_140!A22</x:f>
        <x:v>ジュラルドン</x:v>
      </x:c>
      <x:c r="B26" t="str">
        <x:f>Profiles_140!C22</x:f>
        <x:v>ジュラルドン-1</x:v>
      </x:c>
      <x:c r="C26" t="str">
        <x:f>Profiles_140!D22</x:f>
        <x:v>共通</x:v>
      </x:c>
      <x:c r="D26" t="str">
        <x:f>Profiles_140!B22</x:f>
        <x:v>アタック型</x:v>
      </x:c>
      <x:c r="E26" t="str">
        <x:f>Profiles_140!I22</x:f>
        <x:v>高</x:v>
      </x:c>
      <x:c r="F26" s="66" t="n">
        <x:f>Model_Formula!$M$13*(Profiles_140!K22-Simulator!$L$11)^2*IF(Profiles_140!K22&gt;Simulator!$L$11,1+Model_Formula!$N$13,1)</x:f>
        <x:v>900</x:v>
      </x:c>
      <x:c r="G26" s="66" t="n">
        <x:f>Model_Formula!$M$14*(Profiles_140!L22-Simulator!$L$12)^2*IF(Profiles_140!L22&gt;Simulator!$L$12,1+Model_Formula!$N$14,1)</x:f>
        <x:v>2126.25</x:v>
      </x:c>
      <x:c r="H26" s="66" t="n">
        <x:f>Model_Formula!$M$15*(Profiles_140!M22-Simulator!$L$13)^2*IF(Profiles_140!M22&gt;Simulator!$L$13,1+Model_Formula!$N$15,1)</x:f>
        <x:v>900</x:v>
      </x:c>
      <x:c r="I26" s="66" t="n">
        <x:f>Model_Formula!$M$16*(Profiles_140!N22-Simulator!$L$14)^2*IF(Profiles_140!N22&gt;Simulator!$L$14,1+Model_Formula!$N$16,1)</x:f>
        <x:v>2500</x:v>
      </x:c>
      <x:c r="J26" s="66" t="n">
        <x:f>Model_Formula!$M$17*(Profiles_140!O22-Simulator!$L$15)^2*IF(Profiles_140!O22&gt;Simulator!$L$15,1+Model_Formula!$N$17,1)</x:f>
        <x:v>1225</x:v>
      </x:c>
      <x:c r="K26" s="66" t="n">
        <x:f>Model_Formula!$M$18*(Profiles_140!P22-Simulator!$L$16)^2*IF(Profiles_140!P22&gt;Simulator!$L$16,1+Model_Formula!$N$18,1)</x:f>
        <x:v>22.5</x:v>
      </x:c>
      <x:c r="L26" s="66" t="n">
        <x:f>Model_Formula!$M$19*(Profiles_140!Q22-Simulator!$L$17)^2*IF(Profiles_140!Q22&gt;Simulator!$L$17,1+Model_Formula!$N$19,1)</x:f>
        <x:v>100</x:v>
      </x:c>
      <x:c r="M26" s="66" t="n">
        <x:f>Model_Formula!$M$20*(Profiles_140!R22-Simulator!$L$18)^2*IF(Profiles_140!R22&gt;Simulator!$L$18,1+Model_Formula!$N$20,1)</x:f>
        <x:v>2025</x:v>
      </x:c>
      <x:c r="N26" s="66" t="n">
        <x:f>Model_Formula!$M$21*(Profiles_140!S22-Simulator!$L$19)^2*IF(Profiles_140!S22&gt;Simulator!$L$19,1+Model_Formula!$N$21,1)</x:f>
        <x:v>400</x:v>
      </x:c>
      <x:c r="O26" s="66" t="n">
        <x:f>Model_Formula!$M$22*(Profiles_140!T22-Simulator!$L$20)^2*IF(Profiles_140!T22&gt;Simulator!$L$20,1+Model_Formula!$N$22,1)</x:f>
        <x:v>25</x:v>
      </x:c>
      <x:c r="P26" s="66" t="n">
        <x:f>Model_Formula!$M$23*(Profiles_140!U22-Simulator!$L$21)^2*IF(Profiles_140!U22&gt;Simulator!$L$21,1+Model_Formula!$N$23,1)</x:f>
        <x:v>281.25</x:v>
      </x:c>
      <x:c r="Q26" s="66" t="n">
        <x:f>Model_Formula!$M$24*(Profiles_140!V22-Simulator!$L$22)^2*IF(Profiles_140!V22&gt;Simulator!$L$22,1+Model_Formula!$N$24,1)</x:f>
        <x:v>490</x:v>
      </x:c>
      <x:c r="R26" s="66" t="n">
        <x:f>Model_Formula!$M$25*(Profiles_140!W22-Simulator!$L$23)^2*IF(Profiles_140!W22&gt;Simulator!$L$23,1+Model_Formula!$N$25,1)</x:f>
        <x:v>180</x:v>
      </x:c>
      <x:c r="S26" s="66" t="n">
        <x:f>Model_Formula!$M$26*(Profiles_140!X22-Simulator!$L$24)^2*IF(Profiles_140!X22&gt;Simulator!$L$24,1+Model_Formula!$N$26,1)</x:f>
        <x:v>1819.1250000000002</x:v>
      </x:c>
      <x:c r="T26" s="66" t="n">
        <x:f>Model_Formula!$M$27*(Profiles_140!Y22-Simulator!$L$25)^2*IF(Profiles_140!Y22&gt;Simulator!$L$25,1+Model_Formula!$N$27,1)</x:f>
        <x:v>754.6874999999999</x:v>
      </x:c>
      <x:c r="U26" s="60" t="n">
        <x:f>SUM(F26:T26)/SUM($F$4:$T$4)</x:f>
        <x:v>1026.0307835820897</x:v>
      </x:c>
      <x:c r="V26" s="60" t="n">
        <x:f>SQRT(U26)</x:f>
        <x:v>32.03171527692655</x:v>
      </x:c>
      <x:c r="W26" s="60" t="n">
        <x:f>MAX(0,100-V26)</x:f>
        <x:v>67.96828472307345</x:v>
      </x:c>
      <x:c r="X26" s="60" t="n">
        <x:f>SUMPRODUCT(Profiles_140!K22:Y22,$F$4:$T$4)/SUM($F$4:$T$4)</x:f>
        <x:v>41.28731343283582</x:v>
      </x:c>
      <x:c r="Y26" s="60" t="n">
        <x:f>IFERROR(50+50*SUMPRODUCT(($F$3:$T$3-$X$3)*(Profiles_140!K22:Y22-X26),$F$4:$T$4)/SQRT(SUMPRODUCT(($F$3:$T$3-$X$3)^2,$F$4:$T$4)*SUMPRODUCT((Profiles_140!K22:Y22-X26)^2,$F$4:$T$4)),50)</x:f>
        <x:v>50</x:v>
      </x:c>
      <x:c r="Z26" s="60" t="n">
        <x:f>$Z$3</x:f>
        <x:v>3.9474596431116675e-16</x:v>
      </x:c>
      <x:c r="AA26" s="60" t="n">
        <x:f>W26*(1-Model_Formula!$F$8*Z26)+Y26*(Model_Formula!$F$8*Z26)</x:f>
        <x:v>67.96828472307345</x:v>
      </x:c>
      <x:c r="AB26" s="60" t="n">
        <x:f>SQRT(SUMPRODUCT((Profiles_140!K22:Y22-50)^2,$F$4:$T$4)/SUM($F$4:$T$4))</x:f>
        <x:v>31.36062508895748</x:v>
      </x:c>
      <x:c r="AC26" s="60" t="n">
        <x:f>MAX(-Model_Formula!$F$11,MIN(Model_Formula!$F$11,Model_Formula!$F$10*(AB26-AVERAGE($AB$6:$AB$135))))</x:f>
        <x:v>1.210257146582898</x:v>
      </x:c>
      <x:c r="AD26" s="60" t="n">
        <x:f>MAX(0,MIN(100,AA26+AC26))</x:f>
        <x:v>69.17854186965636</x:v>
      </x:c>
      <x:c r="AE26" s="60" t="n">
        <x:f>MAX(0,MIN(1,IFERROR((MATCH(AD26,Percentile_Calibration!$F22:$DB22,1)-1)/100,0)))</x:f>
        <x:v>0.74</x:v>
      </x:c>
      <x:c r="AF26" s="62" t="n">
        <x:f>ROUND(MAX(Model_Formula!$I$9,Model_Formula!$I$5+Model_Formula!$I$6*POWER(AE26,Model_Formula!$I$7)),0)</x:f>
        <x:v>64</x:v>
      </x:c>
      <x:c r="AG26" t="n">
        <x:f>Profiles_140!AJ22</x:f>
        <x:v>0</x:v>
      </x:c>
      <x:c r="AH26" s="60" t="n">
        <x:f>Model_Formula!$I$8*(AE26*100)+(1-Model_Formula!$I$8)*AD26+AG26</x:f>
        <x:v>73.03570837393127</x:v>
      </x:c>
      <x:c r="AI26" t="n">
        <x:f>RANK.EQ(AH26,$AH$6:$AH$135,0)+COUNTIF($AH$6:AH26,AH26)-1</x:f>
        <x:v>89</x:v>
      </x:c>
    </x:row>
    <x:row r="27">
      <x:c r="A27" t="str">
        <x:f>Profiles_140!A23</x:f>
        <x:v>ドラパルト</x:v>
      </x:c>
      <x:c r="B27" t="str">
        <x:f>Profiles_140!C23</x:f>
        <x:v>ドラパルト-1</x:v>
      </x:c>
      <x:c r="C27" t="str">
        <x:f>Profiles_140!D23</x:f>
        <x:v>りゅうのまい</x:v>
      </x:c>
      <x:c r="D27" t="str">
        <x:f>Profiles_140!B23</x:f>
        <x:v>アタック型</x:v>
      </x:c>
      <x:c r="E27" t="str">
        <x:f>Profiles_140!I23</x:f>
        <x:v>高</x:v>
      </x:c>
      <x:c r="F27" s="66" t="n">
        <x:f>Model_Formula!$M$13*(Profiles_140!K23-Simulator!$L$11)^2*IF(Profiles_140!K23&gt;Simulator!$L$11,1+Model_Formula!$N$13,1)</x:f>
        <x:v>25</x:v>
      </x:c>
      <x:c r="G27" s="66" t="n">
        <x:f>Model_Formula!$M$14*(Profiles_140!L23-Simulator!$L$12)^2*IF(Profiles_140!L23&gt;Simulator!$L$12,1+Model_Formula!$N$14,1)</x:f>
        <x:v>26.25</x:v>
      </x:c>
      <x:c r="H27" s="66" t="n">
        <x:f>Model_Formula!$M$15*(Profiles_140!M23-Simulator!$L$13)^2*IF(Profiles_140!M23&gt;Simulator!$L$13,1+Model_Formula!$N$15,1)</x:f>
        <x:v>1600</x:v>
      </x:c>
      <x:c r="I27" s="66" t="n">
        <x:f>Model_Formula!$M$16*(Profiles_140!N23-Simulator!$L$14)^2*IF(Profiles_140!N23&gt;Simulator!$L$14,1+Model_Formula!$N$16,1)</x:f>
        <x:v>400</x:v>
      </x:c>
      <x:c r="J27" s="66" t="n">
        <x:f>Model_Formula!$M$17*(Profiles_140!O23-Simulator!$L$15)^2*IF(Profiles_140!O23&gt;Simulator!$L$15,1+Model_Formula!$N$17,1)</x:f>
        <x:v>25</x:v>
      </x:c>
      <x:c r="K27" s="66" t="n">
        <x:f>Model_Formula!$M$18*(Profiles_140!P23-Simulator!$L$16)^2*IF(Profiles_140!P23&gt;Simulator!$L$16,1+Model_Formula!$N$18,1)</x:f>
        <x:v>810</x:v>
      </x:c>
      <x:c r="L27" s="66" t="n">
        <x:f>Model_Formula!$M$19*(Profiles_140!Q23-Simulator!$L$17)^2*IF(Profiles_140!Q23&gt;Simulator!$L$17,1+Model_Formula!$N$19,1)</x:f>
        <x:v>900</x:v>
      </x:c>
      <x:c r="M27" s="66" t="n">
        <x:f>Model_Formula!$M$20*(Profiles_140!R23-Simulator!$L$18)^2*IF(Profiles_140!R23&gt;Simulator!$L$18,1+Model_Formula!$N$20,1)</x:f>
        <x:v>2025</x:v>
      </x:c>
      <x:c r="N27" s="66" t="n">
        <x:f>Model_Formula!$M$21*(Profiles_140!S23-Simulator!$L$19)^2*IF(Profiles_140!S23&gt;Simulator!$L$19,1+Model_Formula!$N$21,1)</x:f>
        <x:v>625</x:v>
      </x:c>
      <x:c r="O27" s="66" t="n">
        <x:f>Model_Formula!$M$22*(Profiles_140!T23-Simulator!$L$20)^2*IF(Profiles_140!T23&gt;Simulator!$L$20,1+Model_Formula!$N$22,1)</x:f>
        <x:v>225</x:v>
      </x:c>
      <x:c r="P27" s="66" t="n">
        <x:f>Model_Formula!$M$23*(Profiles_140!U23-Simulator!$L$21)^2*IF(Profiles_140!U23&gt;Simulator!$L$21,1+Model_Formula!$N$23,1)</x:f>
        <x:v>281.25</x:v>
      </x:c>
      <x:c r="Q27" s="66" t="n">
        <x:f>Model_Formula!$M$24*(Profiles_140!V23-Simulator!$L$22)^2*IF(Profiles_140!V23&gt;Simulator!$L$22,1+Model_Formula!$N$24,1)</x:f>
        <x:v>250</x:v>
      </x:c>
      <x:c r="R27" s="66" t="n">
        <x:f>Model_Formula!$M$25*(Profiles_140!W23-Simulator!$L$23)^2*IF(Profiles_140!W23&gt;Simulator!$L$23,1+Model_Formula!$N$25,1)</x:f>
        <x:v>11.25</x:v>
      </x:c>
      <x:c r="S27" s="66" t="n">
        <x:f>Model_Formula!$M$26*(Profiles_140!X23-Simulator!$L$24)^2*IF(Profiles_140!X23&gt;Simulator!$L$24,1+Model_Formula!$N$26,1)</x:f>
        <x:v>928.1250000000001</x:v>
      </x:c>
      <x:c r="T27" s="66" t="n">
        <x:f>Model_Formula!$M$27*(Profiles_140!Y23-Simulator!$L$25)^2*IF(Profiles_140!Y23&gt;Simulator!$L$25,1+Model_Formula!$N$27,1)</x:f>
        <x:v>271.6875</x:v>
      </x:c>
      <x:c r="U27" s="60" t="n">
        <x:f>SUM(F27:T27)/SUM($F$4:$T$4)</x:f>
        <x:v>627.1315298507463</x:v>
      </x:c>
      <x:c r="V27" s="60" t="n">
        <x:f>SQRT(U27)</x:f>
        <x:v>25.04259431150747</x:v>
      </x:c>
      <x:c r="W27" s="60" t="n">
        <x:f>MAX(0,100-V27)</x:f>
        <x:v>74.95740568849253</x:v>
      </x:c>
      <x:c r="X27" s="60" t="n">
        <x:f>SUMPRODUCT(Profiles_140!K23:Y23,$F$4:$T$4)/SUM($F$4:$T$4)</x:f>
        <x:v>48.768656716417915</x:v>
      </x:c>
      <x:c r="Y27" s="60" t="n">
        <x:f>IFERROR(50+50*SUMPRODUCT(($F$3:$T$3-$X$3)*(Profiles_140!K23:Y23-X27),$F$4:$T$4)/SQRT(SUMPRODUCT(($F$3:$T$3-$X$3)^2,$F$4:$T$4)*SUMPRODUCT((Profiles_140!K23:Y23-X27)^2,$F$4:$T$4)),50)</x:f>
        <x:v>50.00000000000001</x:v>
      </x:c>
      <x:c r="Z27" s="60" t="n">
        <x:f>$Z$3</x:f>
        <x:v>3.9474596431116675e-16</x:v>
      </x:c>
      <x:c r="AA27" s="60" t="n">
        <x:f>W27*(1-Model_Formula!$F$8*Z27)+Y27*(Model_Formula!$F$8*Z27)</x:f>
        <x:v>74.95740568849253</x:v>
      </x:c>
      <x:c r="AB27" s="60" t="n">
        <x:f>SQRT(SUMPRODUCT((Profiles_140!K23:Y23-50)^2,$F$4:$T$4)/SUM($F$4:$T$4))</x:f>
        <x:v>24.62782675646125</x:v>
      </x:c>
      <x:c r="AC27" s="60" t="n">
        <x:f>MAX(-Model_Formula!$F$11,MIN(Model_Formula!$F$11,Model_Formula!$F$10*(AB27-AVERAGE($AB$6:$AB$135))))</x:f>
        <x:v>-1.8195021030404057</x:v>
      </x:c>
      <x:c r="AD27" s="60" t="n">
        <x:f>MAX(0,MIN(100,AA27+AC27))</x:f>
        <x:v>73.13790358545212</x:v>
      </x:c>
      <x:c r="AE27" s="60" t="n">
        <x:f>MAX(0,MIN(1,IFERROR((MATCH(AD27,Percentile_Calibration!$F23:$DB23,1)-1)/100,0)))</x:f>
        <x:v>0.79</x:v>
      </x:c>
      <x:c r="AF27" s="62" t="n">
        <x:f>ROUND(MAX(Model_Formula!$I$9,Model_Formula!$I$5+Model_Formula!$I$6*POWER(AE27,Model_Formula!$I$7)),0)</x:f>
        <x:v>69</x:v>
      </x:c>
      <x:c r="AG27" t="n">
        <x:f>Profiles_140!AJ23</x:f>
        <x:v>0</x:v>
      </x:c>
      <x:c r="AH27" s="60" t="n">
        <x:f>Model_Formula!$I$8*(AE27*100)+(1-Model_Formula!$I$8)*AD27+AG27</x:f>
        <x:v>77.82758071709043</x:v>
      </x:c>
      <x:c r="AI27" t="n">
        <x:f>RANK.EQ(AH27,$AH$6:$AH$135,0)+COUNTIF($AH$6:AH27,AH27)-1</x:f>
        <x:v>59</x:v>
      </x:c>
    </x:row>
    <x:row r="28">
      <x:c r="A28" t="str">
        <x:f>Profiles_140!A24</x:f>
        <x:v>ドラパルト</x:v>
      </x:c>
      <x:c r="B28" t="str">
        <x:f>Profiles_140!C24</x:f>
        <x:v>ドラパルト-2</x:v>
      </x:c>
      <x:c r="C28" t="str">
        <x:f>Profiles_140!D24</x:f>
        <x:v>ゴーストダイブ</x:v>
      </x:c>
      <x:c r="D28" t="str">
        <x:f>Profiles_140!B24</x:f>
        <x:v>アタック型</x:v>
      </x:c>
      <x:c r="E28" t="str">
        <x:f>Profiles_140!I24</x:f>
        <x:v>高</x:v>
      </x:c>
      <x:c r="F28" s="66" t="n">
        <x:f>Model_Formula!$M$13*(Profiles_140!K24-Simulator!$L$11)^2*IF(Profiles_140!K24&gt;Simulator!$L$11,1+Model_Formula!$N$13,1)</x:f>
        <x:v>225</x:v>
      </x:c>
      <x:c r="G28" s="66" t="n">
        <x:f>Model_Formula!$M$14*(Profiles_140!L24-Simulator!$L$12)^2*IF(Profiles_140!L24&gt;Simulator!$L$12,1+Model_Formula!$N$14,1)</x:f>
        <x:v>236.25</x:v>
      </x:c>
      <x:c r="H28" s="66" t="n">
        <x:f>Model_Formula!$M$15*(Profiles_140!M24-Simulator!$L$13)^2*IF(Profiles_140!M24&gt;Simulator!$L$13,1+Model_Formula!$N$15,1)</x:f>
        <x:v>1225</x:v>
      </x:c>
      <x:c r="I28" s="66" t="n">
        <x:f>Model_Formula!$M$16*(Profiles_140!N24-Simulator!$L$14)^2*IF(Profiles_140!N24&gt;Simulator!$L$14,1+Model_Formula!$N$16,1)</x:f>
        <x:v>2500</x:v>
      </x:c>
      <x:c r="J28" s="66" t="n">
        <x:f>Model_Formula!$M$17*(Profiles_140!O24-Simulator!$L$15)^2*IF(Profiles_140!O24&gt;Simulator!$L$15,1+Model_Formula!$N$17,1)</x:f>
        <x:v>100</x:v>
      </x:c>
      <x:c r="K28" s="66" t="n">
        <x:f>Model_Formula!$M$18*(Profiles_140!P24-Simulator!$L$16)^2*IF(Profiles_140!P24&gt;Simulator!$L$16,1+Model_Formula!$N$18,1)</x:f>
        <x:v>90</x:v>
      </x:c>
      <x:c r="L28" s="66" t="n">
        <x:f>Model_Formula!$M$19*(Profiles_140!Q24-Simulator!$L$17)^2*IF(Profiles_140!Q24&gt;Simulator!$L$17,1+Model_Formula!$N$19,1)</x:f>
        <x:v>2025</x:v>
      </x:c>
      <x:c r="M28" s="66" t="n">
        <x:f>Model_Formula!$M$20*(Profiles_140!R24-Simulator!$L$18)^2*IF(Profiles_140!R24&gt;Simulator!$L$18,1+Model_Formula!$N$20,1)</x:f>
        <x:v>2025</x:v>
      </x:c>
      <x:c r="N28" s="66" t="n">
        <x:f>Model_Formula!$M$21*(Profiles_140!S24-Simulator!$L$19)^2*IF(Profiles_140!S24&gt;Simulator!$L$19,1+Model_Formula!$N$21,1)</x:f>
        <x:v>900</x:v>
      </x:c>
      <x:c r="O28" s="66" t="n">
        <x:f>Model_Formula!$M$22*(Profiles_140!T24-Simulator!$L$20)^2*IF(Profiles_140!T24&gt;Simulator!$L$20,1+Model_Formula!$N$22,1)</x:f>
        <x:v>100</x:v>
      </x:c>
      <x:c r="P28" s="66" t="n">
        <x:f>Model_Formula!$M$23*(Profiles_140!U24-Simulator!$L$21)^2*IF(Profiles_140!U24&gt;Simulator!$L$21,1+Model_Formula!$N$23,1)</x:f>
        <x:v>101.25</x:v>
      </x:c>
      <x:c r="Q28" s="66" t="n">
        <x:f>Model_Formula!$M$24*(Profiles_140!V24-Simulator!$L$22)^2*IF(Profiles_140!V24&gt;Simulator!$L$22,1+Model_Formula!$N$24,1)</x:f>
        <x:v>640</x:v>
      </x:c>
      <x:c r="R28" s="66" t="n">
        <x:f>Model_Formula!$M$25*(Profiles_140!W24-Simulator!$L$23)^2*IF(Profiles_140!W24&gt;Simulator!$L$23,1+Model_Formula!$N$25,1)</x:f>
        <x:v>281.25</x:v>
      </x:c>
      <x:c r="S28" s="66" t="n">
        <x:f>Model_Formula!$M$26*(Profiles_140!X24-Simulator!$L$24)^2*IF(Profiles_140!X24&gt;Simulator!$L$24,1+Model_Formula!$N$26,1)</x:f>
        <x:v>334.12500000000006</x:v>
      </x:c>
      <x:c r="T28" s="66" t="n">
        <x:f>Model_Formula!$M$27*(Profiles_140!Y24-Simulator!$L$25)^2*IF(Profiles_140!Y24&gt;Simulator!$L$25,1+Model_Formula!$N$27,1)</x:f>
        <x:v>754.6874999999999</x:v>
      </x:c>
      <x:c r="U28" s="60" t="n">
        <x:f>SUM(F28:T28)/SUM($F$4:$T$4)</x:f>
        <x:v>861.0121268656717</x:v>
      </x:c>
      <x:c r="V28" s="60" t="n">
        <x:f>SQRT(U28)</x:f>
        <x:v>29.34300814275305</x:v>
      </x:c>
      <x:c r="W28" s="60" t="n">
        <x:f>MAX(0,100-V28)</x:f>
        <x:v>70.65699185724695</x:v>
      </x:c>
      <x:c r="X28" s="60" t="n">
        <x:f>SUMPRODUCT(Profiles_140!K24:Y24,$F$4:$T$4)/SUM($F$4:$T$4)</x:f>
        <x:v>44.291044776119406</x:v>
      </x:c>
      <x:c r="Y28" s="60" t="n">
        <x:f>IFERROR(50+50*SUMPRODUCT(($F$3:$T$3-$X$3)*(Profiles_140!K24:Y24-X28),$F$4:$T$4)/SQRT(SUMPRODUCT(($F$3:$T$3-$X$3)^2,$F$4:$T$4)*SUMPRODUCT((Profiles_140!K24:Y24-X28)^2,$F$4:$T$4)),50)</x:f>
        <x:v>50</x:v>
      </x:c>
      <x:c r="Z28" s="60" t="n">
        <x:f>$Z$3</x:f>
        <x:v>3.9474596431116675e-16</x:v>
      </x:c>
      <x:c r="AA28" s="60" t="n">
        <x:f>W28*(1-Model_Formula!$F$8*Z28)+Y28*(Model_Formula!$F$8*Z28)</x:f>
        <x:v>70.65699185724695</x:v>
      </x:c>
      <x:c r="AB28" s="60" t="n">
        <x:f>SQRT(SUMPRODUCT((Profiles_140!K24:Y24-50)^2,$F$4:$T$4)/SUM($F$4:$T$4))</x:f>
        <x:v>29.106725898618578</x:v>
      </x:c>
      <x:c r="AC28" s="60" t="n">
        <x:f>MAX(-Model_Formula!$F$11,MIN(Model_Formula!$F$11,Model_Formula!$F$10*(AB28-AVERAGE($AB$6:$AB$135))))</x:f>
        <x:v>0.19600251093039187</x:v>
      </x:c>
      <x:c r="AD28" s="60" t="n">
        <x:f>MAX(0,MIN(100,AA28+AC28))</x:f>
        <x:v>70.85299436817735</x:v>
      </x:c>
      <x:c r="AE28" s="60" t="n">
        <x:f>MAX(0,MIN(1,IFERROR((MATCH(AD28,Percentile_Calibration!$F24:$DB24,1)-1)/100,0)))</x:f>
        <x:v>0.74</x:v>
      </x:c>
      <x:c r="AF28" s="62" t="n">
        <x:f>ROUND(MAX(Model_Formula!$I$9,Model_Formula!$I$5+Model_Formula!$I$6*POWER(AE28,Model_Formula!$I$7)),0)</x:f>
        <x:v>64</x:v>
      </x:c>
      <x:c r="AG28" t="n">
        <x:f>Profiles_140!AJ24</x:f>
        <x:v>0</x:v>
      </x:c>
      <x:c r="AH28" s="60" t="n">
        <x:f>Model_Formula!$I$8*(AE28*100)+(1-Model_Formula!$I$8)*AD28+AG28</x:f>
        <x:v>73.37059887363547</x:v>
      </x:c>
      <x:c r="AI28" t="n">
        <x:f>RANK.EQ(AH28,$AH$6:$AH$135,0)+COUNTIF($AH$6:AH28,AH28)-1</x:f>
        <x:v>87</x:v>
      </x:c>
    </x:row>
    <x:row r="29">
      <x:c r="A29" t="str">
        <x:f>Profiles_140!A25</x:f>
        <x:v>ニンフィア</x:v>
      </x:c>
      <x:c r="B29" t="str">
        <x:f>Profiles_140!C25</x:f>
        <x:v>ニンフィア-1</x:v>
      </x:c>
      <x:c r="C29" t="str">
        <x:f>Profiles_140!D25</x:f>
        <x:v>共通</x:v>
      </x:c>
      <x:c r="D29" t="str">
        <x:f>Profiles_140!B25</x:f>
        <x:v>アタック型</x:v>
      </x:c>
      <x:c r="E29" t="str">
        <x:f>Profiles_140!I25</x:f>
        <x:v>高</x:v>
      </x:c>
      <x:c r="F29" s="66" t="n">
        <x:f>Model_Formula!$M$13*(Profiles_140!K25-Simulator!$L$11)^2*IF(Profiles_140!K25&gt;Simulator!$L$11,1+Model_Formula!$N$13,1)</x:f>
        <x:v>0</x:v>
      </x:c>
      <x:c r="G29" s="66" t="n">
        <x:f>Model_Formula!$M$14*(Profiles_140!L25-Simulator!$L$12)^2*IF(Profiles_140!L25&gt;Simulator!$L$12,1+Model_Formula!$N$14,1)</x:f>
        <x:v>26.25</x:v>
      </x:c>
      <x:c r="H29" s="66" t="n">
        <x:f>Model_Formula!$M$15*(Profiles_140!M25-Simulator!$L$13)^2*IF(Profiles_140!M25&gt;Simulator!$L$13,1+Model_Formula!$N$15,1)</x:f>
        <x:v>400</x:v>
      </x:c>
      <x:c r="I29" s="66" t="n">
        <x:f>Model_Formula!$M$16*(Profiles_140!N25-Simulator!$L$14)^2*IF(Profiles_140!N25&gt;Simulator!$L$14,1+Model_Formula!$N$16,1)</x:f>
        <x:v>0</x:v>
      </x:c>
      <x:c r="J29" s="66" t="n">
        <x:f>Model_Formula!$M$17*(Profiles_140!O25-Simulator!$L$15)^2*IF(Profiles_140!O25&gt;Simulator!$L$15,1+Model_Formula!$N$17,1)</x:f>
        <x:v>100</x:v>
      </x:c>
      <x:c r="K29" s="66" t="n">
        <x:f>Model_Formula!$M$18*(Profiles_140!P25-Simulator!$L$16)^2*IF(Profiles_140!P25&gt;Simulator!$L$16,1+Model_Formula!$N$18,1)</x:f>
        <x:v>90</x:v>
      </x:c>
      <x:c r="L29" s="66" t="n">
        <x:f>Model_Formula!$M$19*(Profiles_140!Q25-Simulator!$L$17)^2*IF(Profiles_140!Q25&gt;Simulator!$L$17,1+Model_Formula!$N$19,1)</x:f>
        <x:v>0</x:v>
      </x:c>
      <x:c r="M29" s="66" t="n">
        <x:f>Model_Formula!$M$20*(Profiles_140!R25-Simulator!$L$18)^2*IF(Profiles_140!R25&gt;Simulator!$L$18,1+Model_Formula!$N$20,1)</x:f>
        <x:v>1600</x:v>
      </x:c>
      <x:c r="N29" s="66" t="n">
        <x:f>Model_Formula!$M$21*(Profiles_140!S25-Simulator!$L$19)^2*IF(Profiles_140!S25&gt;Simulator!$L$19,1+Model_Formula!$N$21,1)</x:f>
        <x:v>400</x:v>
      </x:c>
      <x:c r="O29" s="66" t="n">
        <x:f>Model_Formula!$M$22*(Profiles_140!T25-Simulator!$L$20)^2*IF(Profiles_140!T25&gt;Simulator!$L$20,1+Model_Formula!$N$22,1)</x:f>
        <x:v>400</x:v>
      </x:c>
      <x:c r="P29" s="66" t="n">
        <x:f>Model_Formula!$M$23*(Profiles_140!U25-Simulator!$L$21)^2*IF(Profiles_140!U25&gt;Simulator!$L$21,1+Model_Formula!$N$23,1)</x:f>
        <x:v>11.25</x:v>
      </x:c>
      <x:c r="Q29" s="66" t="n">
        <x:f>Model_Formula!$M$24*(Profiles_140!V25-Simulator!$L$22)^2*IF(Profiles_140!V25&gt;Simulator!$L$22,1+Model_Formula!$N$24,1)</x:f>
        <x:v>90</x:v>
      </x:c>
      <x:c r="R29" s="66" t="n">
        <x:f>Model_Formula!$M$25*(Profiles_140!W25-Simulator!$L$23)^2*IF(Profiles_140!W25&gt;Simulator!$L$23,1+Model_Formula!$N$25,1)</x:f>
        <x:v>11.25</x:v>
      </x:c>
      <x:c r="S29" s="66" t="n">
        <x:f>Model_Formula!$M$26*(Profiles_140!X25-Simulator!$L$24)^2*IF(Profiles_140!X25&gt;Simulator!$L$24,1+Model_Formula!$N$26,1)</x:f>
        <x:v>148.50000000000003</x:v>
      </x:c>
      <x:c r="T29" s="66" t="n">
        <x:f>Model_Formula!$M$27*(Profiles_140!Y25-Simulator!$L$25)^2*IF(Profiles_140!Y25&gt;Simulator!$L$25,1+Model_Formula!$N$27,1)</x:f>
        <x:v>271.6875</x:v>
      </x:c>
      <x:c r="U29" s="60" t="n">
        <x:f>SUM(F29:T29)/SUM($F$4:$T$4)</x:f>
        <x:v>264.8460820895523</x:v>
      </x:c>
      <x:c r="V29" s="60" t="n">
        <x:f>SQRT(U29)</x:f>
        <x:v>16.27409235839444</x:v>
      </x:c>
      <x:c r="W29" s="60" t="n">
        <x:f>MAX(0,100-V29)</x:f>
        <x:v>83.72590764160556</x:v>
      </x:c>
      <x:c r="X29" s="60" t="n">
        <x:f>SUMPRODUCT(Profiles_140!K25:Y25,$F$4:$T$4)/SUM($F$4:$T$4)</x:f>
        <x:v>51.604477611940304</x:v>
      </x:c>
      <x:c r="Y29" s="60" t="n">
        <x:f>IFERROR(50+50*SUMPRODUCT(($F$3:$T$3-$X$3)*(Profiles_140!K25:Y25-X29),$F$4:$T$4)/SQRT(SUMPRODUCT(($F$3:$T$3-$X$3)^2,$F$4:$T$4)*SUMPRODUCT((Profiles_140!K25:Y25-X29)^2,$F$4:$T$4)),50)</x:f>
        <x:v>50.000000000000014</x:v>
      </x:c>
      <x:c r="Z29" s="60" t="n">
        <x:f>$Z$3</x:f>
        <x:v>3.9474596431116675e-16</x:v>
      </x:c>
      <x:c r="AA29" s="60" t="n">
        <x:f>W29*(1-Model_Formula!$F$8*Z29)+Y29*(Model_Formula!$F$8*Z29)</x:f>
        <x:v>83.72590764160556</x:v>
      </x:c>
      <x:c r="AB29" s="60" t="n">
        <x:f>SQRT(SUMPRODUCT((Profiles_140!K25:Y25-50)^2,$F$4:$T$4)/SUM($F$4:$T$4))</x:f>
        <x:v>16.103675301276887</x:v>
      </x:c>
      <x:c r="AC29" s="60" t="n">
        <x:f>MAX(-Model_Formula!$F$11,MIN(Model_Formula!$F$11,Model_Formula!$F$10*(AB29-AVERAGE($AB$6:$AB$135))))</x:f>
        <x:v>-5</x:v>
      </x:c>
      <x:c r="AD29" s="60" t="n">
        <x:f>MAX(0,MIN(100,AA29+AC29))</x:f>
        <x:v>78.72590764160556</x:v>
      </x:c>
      <x:c r="AE29" s="60" t="n">
        <x:f>MAX(0,MIN(1,IFERROR((MATCH(AD29,Percentile_Calibration!$F25:$DB25,1)-1)/100,0)))</x:f>
        <x:v>0.91</x:v>
      </x:c>
      <x:c r="AF29" s="62" t="n">
        <x:f>ROUND(MAX(Model_Formula!$I$9,Model_Formula!$I$5+Model_Formula!$I$6*POWER(AE29,Model_Formula!$I$7)),0)</x:f>
        <x:v>83</x:v>
      </x:c>
      <x:c r="AG29" t="n">
        <x:f>Profiles_140!AJ25</x:f>
        <x:v>0</x:v>
      </x:c>
      <x:c r="AH29" s="60" t="n">
        <x:f>Model_Formula!$I$8*(AE29*100)+(1-Model_Formula!$I$8)*AD29+AG29</x:f>
        <x:v>88.54518152832111</x:v>
      </x:c>
      <x:c r="AI29" t="n">
        <x:f>RANK.EQ(AH29,$AH$6:$AH$135,0)+COUNTIF($AH$6:AH29,AH29)-1</x:f>
        <x:v>28</x:v>
      </x:c>
    </x:row>
    <x:row r="30">
      <x:c r="A30" t="str">
        <x:f>Profiles_140!A26</x:f>
        <x:v>バクフーン</x:v>
      </x:c>
      <x:c r="B30" t="str">
        <x:f>Profiles_140!C26</x:f>
        <x:v>バクフーン-1</x:v>
      </x:c>
      <x:c r="C30" t="str">
        <x:f>Profiles_140!D26</x:f>
        <x:v>共通</x:v>
      </x:c>
      <x:c r="D30" t="str">
        <x:f>Profiles_140!B26</x:f>
        <x:v>アタック型</x:v>
      </x:c>
      <x:c r="E30" t="str">
        <x:f>Profiles_140!I26</x:f>
        <x:v>中</x:v>
      </x:c>
      <x:c r="F30" s="66" t="n">
        <x:f>Model_Formula!$M$13*(Profiles_140!K26-Simulator!$L$11)^2*IF(Profiles_140!K26&gt;Simulator!$L$11,1+Model_Formula!$N$13,1)</x:f>
        <x:v>900</x:v>
      </x:c>
      <x:c r="G30" s="66" t="n">
        <x:f>Model_Formula!$M$14*(Profiles_140!L26-Simulator!$L$12)^2*IF(Profiles_140!L26&gt;Simulator!$L$12,1+Model_Formula!$N$14,1)</x:f>
        <x:v>1680</x:v>
      </x:c>
      <x:c r="H30" s="66" t="n">
        <x:f>Model_Formula!$M$15*(Profiles_140!M26-Simulator!$L$13)^2*IF(Profiles_140!M26&gt;Simulator!$L$13,1+Model_Formula!$N$15,1)</x:f>
        <x:v>900</x:v>
      </x:c>
      <x:c r="I30" s="66" t="n">
        <x:f>Model_Formula!$M$16*(Profiles_140!N26-Simulator!$L$14)^2*IF(Profiles_140!N26&gt;Simulator!$L$14,1+Model_Formula!$N$16,1)</x:f>
        <x:v>25</x:v>
      </x:c>
      <x:c r="J30" s="66" t="n">
        <x:f>Model_Formula!$M$17*(Profiles_140!O26-Simulator!$L$15)^2*IF(Profiles_140!O26&gt;Simulator!$L$15,1+Model_Formula!$N$17,1)</x:f>
        <x:v>900</x:v>
      </x:c>
      <x:c r="K30" s="66" t="n">
        <x:f>Model_Formula!$M$18*(Profiles_140!P26-Simulator!$L$16)^2*IF(Profiles_140!P26&gt;Simulator!$L$16,1+Model_Formula!$N$18,1)</x:f>
        <x:v>202.5</x:v>
      </x:c>
      <x:c r="L30" s="66" t="n">
        <x:f>Model_Formula!$M$19*(Profiles_140!Q26-Simulator!$L$17)^2*IF(Profiles_140!Q26&gt;Simulator!$L$17,1+Model_Formula!$N$19,1)</x:f>
        <x:v>25</x:v>
      </x:c>
      <x:c r="M30" s="66" t="n">
        <x:f>Model_Formula!$M$20*(Profiles_140!R26-Simulator!$L$18)^2*IF(Profiles_140!R26&gt;Simulator!$L$18,1+Model_Formula!$N$20,1)</x:f>
        <x:v>2025</x:v>
      </x:c>
      <x:c r="N30" s="66" t="n">
        <x:f>Model_Formula!$M$21*(Profiles_140!S26-Simulator!$L$19)^2*IF(Profiles_140!S26&gt;Simulator!$L$19,1+Model_Formula!$N$21,1)</x:f>
        <x:v>900</x:v>
      </x:c>
      <x:c r="O30" s="66" t="n">
        <x:f>Model_Formula!$M$22*(Profiles_140!T26-Simulator!$L$20)^2*IF(Profiles_140!T26&gt;Simulator!$L$20,1+Model_Formula!$N$22,1)</x:f>
        <x:v>400</x:v>
      </x:c>
      <x:c r="P30" s="66" t="n">
        <x:f>Model_Formula!$M$23*(Profiles_140!U26-Simulator!$L$21)^2*IF(Profiles_140!U26&gt;Simulator!$L$21,1+Model_Formula!$N$23,1)</x:f>
        <x:v>0</x:v>
      </x:c>
      <x:c r="Q30" s="66" t="n">
        <x:f>Model_Formula!$M$24*(Profiles_140!V26-Simulator!$L$22)^2*IF(Profiles_140!V26&gt;Simulator!$L$22,1+Model_Formula!$N$24,1)</x:f>
        <x:v>160</x:v>
      </x:c>
      <x:c r="R30" s="66" t="n">
        <x:f>Model_Formula!$M$25*(Profiles_140!W26-Simulator!$L$23)^2*IF(Profiles_140!W26&gt;Simulator!$L$23,1+Model_Formula!$N$25,1)</x:f>
        <x:v>11.25</x:v>
      </x:c>
      <x:c r="S30" s="66" t="n">
        <x:f>Model_Formula!$M$26*(Profiles_140!X26-Simulator!$L$24)^2*IF(Profiles_140!X26&gt;Simulator!$L$24,1+Model_Formula!$N$26,1)</x:f>
        <x:v>334.12500000000006</x:v>
      </x:c>
      <x:c r="T30" s="66" t="n">
        <x:f>Model_Formula!$M$27*(Profiles_140!Y26-Simulator!$L$25)^2*IF(Profiles_140!Y26&gt;Simulator!$L$25,1+Model_Formula!$N$27,1)</x:f>
        <x:v>482.99999999999994</x:v>
      </x:c>
      <x:c r="U30" s="60" t="n">
        <x:f>SUM(F30:T30)/SUM($F$4:$T$4)</x:f>
        <x:v>667.6026119402986</x:v>
      </x:c>
      <x:c r="V30" s="60" t="n">
        <x:f>SQRT(U30)</x:f>
        <x:v>25.838007120137934</x:v>
      </x:c>
      <x:c r="W30" s="60" t="n">
        <x:f>MAX(0,100-V30)</x:f>
        <x:v>74.16199287986207</x:v>
      </x:c>
      <x:c r="X30" s="60" t="n">
        <x:f>SUMPRODUCT(Profiles_140!K26:Y26,$F$4:$T$4)/SUM($F$4:$T$4)</x:f>
        <x:v>53.07835820895523</x:v>
      </x:c>
      <x:c r="Y30" s="60" t="n">
        <x:f>IFERROR(50+50*SUMPRODUCT(($F$3:$T$3-$X$3)*(Profiles_140!K26:Y26-X30),$F$4:$T$4)/SQRT(SUMPRODUCT(($F$3:$T$3-$X$3)^2,$F$4:$T$4)*SUMPRODUCT((Profiles_140!K26:Y26-X30)^2,$F$4:$T$4)),50)</x:f>
        <x:v>50.00000000000001</x:v>
      </x:c>
      <x:c r="Z30" s="60" t="n">
        <x:f>$Z$3</x:f>
        <x:v>3.9474596431116675e-16</x:v>
      </x:c>
      <x:c r="AA30" s="60" t="n">
        <x:f>W30*(1-Model_Formula!$F$8*Z30)+Y30*(Model_Formula!$F$8*Z30)</x:f>
        <x:v>74.16199287986207</x:v>
      </x:c>
      <x:c r="AB30" s="60" t="n">
        <x:f>SQRT(SUMPRODUCT((Profiles_140!K26:Y26-50)^2,$F$4:$T$4)/SUM($F$4:$T$4))</x:f>
        <x:v>25.621018074311163</x:v>
      </x:c>
      <x:c r="AC30" s="60" t="n">
        <x:f>MAX(-Model_Formula!$F$11,MIN(Model_Formula!$F$11,Model_Formula!$F$10*(AB30-AVERAGE($AB$6:$AB$135))))</x:f>
        <x:v>-1.3725660100079449</x:v>
      </x:c>
      <x:c r="AD30" s="60" t="n">
        <x:f>MAX(0,MIN(100,AA30+AC30))</x:f>
        <x:v>72.78942686985413</x:v>
      </x:c>
      <x:c r="AE30" s="60" t="n">
        <x:f>MAX(0,MIN(1,IFERROR((MATCH(AD30,Percentile_Calibration!$F26:$DB26,1)-1)/100,0)))</x:f>
        <x:v>0.74</x:v>
      </x:c>
      <x:c r="AF30" s="62" t="n">
        <x:f>ROUND(MAX(Model_Formula!$I$9,Model_Formula!$I$5+Model_Formula!$I$6*POWER(AE30,Model_Formula!$I$7)),0)</x:f>
        <x:v>64</x:v>
      </x:c>
      <x:c r="AG30" t="n">
        <x:f>Profiles_140!AJ26</x:f>
        <x:v>0</x:v>
      </x:c>
      <x:c r="AH30" s="60" t="n">
        <x:f>Model_Formula!$I$8*(AE30*100)+(1-Model_Formula!$I$8)*AD30+AG30</x:f>
        <x:v>73.75788537397082</x:v>
      </x:c>
      <x:c r="AI30" t="n">
        <x:f>RANK.EQ(AH30,$AH$6:$AH$135,0)+COUNTIF($AH$6:AH30,AH30)-1</x:f>
        <x:v>83</x:v>
      </x:c>
    </x:row>
    <x:row r="31">
      <x:c r="A31" t="str">
        <x:f>Profiles_140!A27</x:f>
        <x:v>ピカチュウ</x:v>
      </x:c>
      <x:c r="B31" t="str">
        <x:f>Profiles_140!C27</x:f>
        <x:v>ピカチュウ-1</x:v>
      </x:c>
      <x:c r="C31" t="str">
        <x:f>Profiles_140!D27</x:f>
        <x:v>共通</x:v>
      </x:c>
      <x:c r="D31" t="str">
        <x:f>Profiles_140!B27</x:f>
        <x:v>アタック型</x:v>
      </x:c>
      <x:c r="E31" t="str">
        <x:f>Profiles_140!I27</x:f>
        <x:v>高</x:v>
      </x:c>
      <x:c r="F31" s="66" t="n">
        <x:f>Model_Formula!$M$13*(Profiles_140!K27-Simulator!$L$11)^2*IF(Profiles_140!K27&gt;Simulator!$L$11,1+Model_Formula!$N$13,1)</x:f>
        <x:v>100</x:v>
      </x:c>
      <x:c r="G31" s="66" t="n">
        <x:f>Model_Formula!$M$14*(Profiles_140!L27-Simulator!$L$12)^2*IF(Profiles_140!L27&gt;Simulator!$L$12,1+Model_Formula!$N$14,1)</x:f>
        <x:v>1286.25</x:v>
      </x:c>
      <x:c r="H31" s="66" t="n">
        <x:f>Model_Formula!$M$15*(Profiles_140!M27-Simulator!$L$13)^2*IF(Profiles_140!M27&gt;Simulator!$L$13,1+Model_Formula!$N$15,1)</x:f>
        <x:v>225</x:v>
      </x:c>
      <x:c r="I31" s="66" t="n">
        <x:f>Model_Formula!$M$16*(Profiles_140!N27-Simulator!$L$14)^2*IF(Profiles_140!N27&gt;Simulator!$L$14,1+Model_Formula!$N$16,1)</x:f>
        <x:v>1225</x:v>
      </x:c>
      <x:c r="J31" s="66" t="n">
        <x:f>Model_Formula!$M$17*(Profiles_140!O27-Simulator!$L$15)^2*IF(Profiles_140!O27&gt;Simulator!$L$15,1+Model_Formula!$N$17,1)</x:f>
        <x:v>625</x:v>
      </x:c>
      <x:c r="K31" s="66" t="n">
        <x:f>Model_Formula!$M$18*(Profiles_140!P27-Simulator!$L$16)^2*IF(Profiles_140!P27&gt;Simulator!$L$16,1+Model_Formula!$N$18,1)</x:f>
        <x:v>202.5</x:v>
      </x:c>
      <x:c r="L31" s="66" t="n">
        <x:f>Model_Formula!$M$19*(Profiles_140!Q27-Simulator!$L$17)^2*IF(Profiles_140!Q27&gt;Simulator!$L$17,1+Model_Formula!$N$19,1)</x:f>
        <x:v>1225</x:v>
      </x:c>
      <x:c r="M31" s="66" t="n">
        <x:f>Model_Formula!$M$20*(Profiles_140!R27-Simulator!$L$18)^2*IF(Profiles_140!R27&gt;Simulator!$L$18,1+Model_Formula!$N$20,1)</x:f>
        <x:v>1600</x:v>
      </x:c>
      <x:c r="N31" s="66" t="n">
        <x:f>Model_Formula!$M$21*(Profiles_140!S27-Simulator!$L$19)^2*IF(Profiles_140!S27&gt;Simulator!$L$19,1+Model_Formula!$N$21,1)</x:f>
        <x:v>400</x:v>
      </x:c>
      <x:c r="O31" s="66" t="n">
        <x:f>Model_Formula!$M$22*(Profiles_140!T27-Simulator!$L$20)^2*IF(Profiles_140!T27&gt;Simulator!$L$20,1+Model_Formula!$N$22,1)</x:f>
        <x:v>0</x:v>
      </x:c>
      <x:c r="P31" s="66" t="n">
        <x:f>Model_Formula!$M$23*(Profiles_140!U27-Simulator!$L$21)^2*IF(Profiles_140!U27&gt;Simulator!$L$21,1+Model_Formula!$N$23,1)</x:f>
        <x:v>11.25</x:v>
      </x:c>
      <x:c r="Q31" s="66" t="n">
        <x:f>Model_Formula!$M$24*(Profiles_140!V27-Simulator!$L$22)^2*IF(Profiles_140!V27&gt;Simulator!$L$22,1+Model_Formula!$N$24,1)</x:f>
        <x:v>40</x:v>
      </x:c>
      <x:c r="R31" s="66" t="n">
        <x:f>Model_Formula!$M$25*(Profiles_140!W27-Simulator!$L$23)^2*IF(Profiles_140!W27&gt;Simulator!$L$23,1+Model_Formula!$N$25,1)</x:f>
        <x:v>281.25</x:v>
      </x:c>
      <x:c r="S31" s="66" t="n">
        <x:f>Model_Formula!$M$26*(Profiles_140!X27-Simulator!$L$24)^2*IF(Profiles_140!X27&gt;Simulator!$L$24,1+Model_Formula!$N$26,1)</x:f>
        <x:v>594.0000000000001</x:v>
      </x:c>
      <x:c r="T31" s="66" t="n">
        <x:f>Model_Formula!$M$27*(Profiles_140!Y27-Simulator!$L$25)^2*IF(Profiles_140!Y27&gt;Simulator!$L$25,1+Model_Formula!$N$27,1)</x:f>
        <x:v>1086.75</x:v>
      </x:c>
      <x:c r="U31" s="60" t="n">
        <x:f>SUM(F31:T31)/SUM($F$4:$T$4)</x:f>
        <x:v>664.3283582089553</x:v>
      </x:c>
      <x:c r="V31" s="60" t="n">
        <x:f>SQRT(U31)</x:f>
        <x:v>25.774568050870517</x:v>
      </x:c>
      <x:c r="W31" s="60" t="n">
        <x:f>MAX(0,100-V31)</x:f>
        <x:v>74.22543194912949</x:v>
      </x:c>
      <x:c r="X31" s="60" t="n">
        <x:f>SUMPRODUCT(Profiles_140!K27:Y27,$F$4:$T$4)/SUM($F$4:$T$4)</x:f>
        <x:v>45.05597014925374</x:v>
      </x:c>
      <x:c r="Y31" s="60" t="n">
        <x:f>IFERROR(50+50*SUMPRODUCT(($F$3:$T$3-$X$3)*(Profiles_140!K27:Y27-X31),$F$4:$T$4)/SQRT(SUMPRODUCT(($F$3:$T$3-$X$3)^2,$F$4:$T$4)*SUMPRODUCT((Profiles_140!K27:Y27-X31)^2,$F$4:$T$4)),50)</x:f>
        <x:v>50.000000000000014</x:v>
      </x:c>
      <x:c r="Z31" s="60" t="n">
        <x:f>$Z$3</x:f>
        <x:v>3.9474596431116675e-16</x:v>
      </x:c>
      <x:c r="AA31" s="60" t="n">
        <x:f>W31*(1-Model_Formula!$F$8*Z31)+Y31*(Model_Formula!$F$8*Z31)</x:f>
        <x:v>74.22543194912949</x:v>
      </x:c>
      <x:c r="AB31" s="60" t="n">
        <x:f>SQRT(SUMPRODUCT((Profiles_140!K27:Y27-50)^2,$F$4:$T$4)/SUM($F$4:$T$4))</x:f>
        <x:v>25.34279903022883</x:v>
      </x:c>
      <x:c r="AC31" s="60" t="n">
        <x:f>MAX(-Model_Formula!$F$11,MIN(Model_Formula!$F$11,Model_Formula!$F$10*(AB31-AVERAGE($AB$6:$AB$135))))</x:f>
        <x:v>-1.4977645798449952</x:v>
      </x:c>
      <x:c r="AD31" s="60" t="n">
        <x:f>MAX(0,MIN(100,AA31+AC31))</x:f>
        <x:v>72.72766736928449</x:v>
      </x:c>
      <x:c r="AE31" s="60" t="n">
        <x:f>MAX(0,MIN(1,IFERROR((MATCH(AD31,Percentile_Calibration!$F27:$DB27,1)-1)/100,0)))</x:f>
        <x:v>0.93</x:v>
      </x:c>
      <x:c r="AF31" s="62" t="n">
        <x:f>ROUND(MAX(Model_Formula!$I$9,Model_Formula!$I$5+Model_Formula!$I$6*POWER(AE31,Model_Formula!$I$7)),0)</x:f>
        <x:v>86</x:v>
      </x:c>
      <x:c r="AG31" t="n">
        <x:f>Profiles_140!AJ27</x:f>
        <x:v>0</x:v>
      </x:c>
      <x:c r="AH31" s="60" t="n">
        <x:f>Model_Formula!$I$8*(AE31*100)+(1-Model_Formula!$I$8)*AD31+AG31</x:f>
        <x:v>88.9455334738569</x:v>
      </x:c>
      <x:c r="AI31" t="n">
        <x:f>RANK.EQ(AH31,$AH$6:$AH$135,0)+COUNTIF($AH$6:AH31,AH31)-1</x:f>
        <x:v>26</x:v>
      </x:c>
    </x:row>
    <x:row r="32">
      <x:c r="A32" t="str">
        <x:f>Profiles_140!A28</x:f>
        <x:v>フシギバナ</x:v>
      </x:c>
      <x:c r="B32" t="str">
        <x:f>Profiles_140!C28</x:f>
        <x:v>フシギバナ-1</x:v>
      </x:c>
      <x:c r="C32" t="str">
        <x:f>Profiles_140!D28</x:f>
        <x:v>ソーラービーム</x:v>
      </x:c>
      <x:c r="D32" t="str">
        <x:f>Profiles_140!B28</x:f>
        <x:v>アタック型</x:v>
      </x:c>
      <x:c r="E32" t="str">
        <x:f>Profiles_140!I28</x:f>
        <x:v>高</x:v>
      </x:c>
      <x:c r="F32" s="66" t="n">
        <x:f>Model_Formula!$M$13*(Profiles_140!K28-Simulator!$L$11)^2*IF(Profiles_140!K28&gt;Simulator!$L$11,1+Model_Formula!$N$13,1)</x:f>
        <x:v>1225</x:v>
      </x:c>
      <x:c r="G32" s="66" t="n">
        <x:f>Model_Formula!$M$14*(Profiles_140!L28-Simulator!$L$12)^2*IF(Profiles_140!L28&gt;Simulator!$L$12,1+Model_Formula!$N$14,1)</x:f>
        <x:v>2126.25</x:v>
      </x:c>
      <x:c r="H32" s="66" t="n">
        <x:f>Model_Formula!$M$15*(Profiles_140!M28-Simulator!$L$13)^2*IF(Profiles_140!M28&gt;Simulator!$L$13,1+Model_Formula!$N$15,1)</x:f>
        <x:v>1225</x:v>
      </x:c>
      <x:c r="I32" s="66" t="n">
        <x:f>Model_Formula!$M$16*(Profiles_140!N28-Simulator!$L$14)^2*IF(Profiles_140!N28&gt;Simulator!$L$14,1+Model_Formula!$N$16,1)</x:f>
        <x:v>2025</x:v>
      </x:c>
      <x:c r="J32" s="66" t="n">
        <x:f>Model_Formula!$M$17*(Profiles_140!O28-Simulator!$L$15)^2*IF(Profiles_140!O28&gt;Simulator!$L$15,1+Model_Formula!$N$17,1)</x:f>
        <x:v>2500</x:v>
      </x:c>
      <x:c r="K32" s="66" t="n">
        <x:f>Model_Formula!$M$18*(Profiles_140!P28-Simulator!$L$16)^2*IF(Profiles_140!P28&gt;Simulator!$L$16,1+Model_Formula!$N$18,1)</x:f>
        <x:v>810</x:v>
      </x:c>
      <x:c r="L32" s="66" t="n">
        <x:f>Model_Formula!$M$19*(Profiles_140!Q28-Simulator!$L$17)^2*IF(Profiles_140!Q28&gt;Simulator!$L$17,1+Model_Formula!$N$19,1)</x:f>
        <x:v>0</x:v>
      </x:c>
      <x:c r="M32" s="66" t="n">
        <x:f>Model_Formula!$M$20*(Profiles_140!R28-Simulator!$L$18)^2*IF(Profiles_140!R28&gt;Simulator!$L$18,1+Model_Formula!$N$20,1)</x:f>
        <x:v>2025</x:v>
      </x:c>
      <x:c r="N32" s="66" t="n">
        <x:f>Model_Formula!$M$21*(Profiles_140!S28-Simulator!$L$19)^2*IF(Profiles_140!S28&gt;Simulator!$L$19,1+Model_Formula!$N$21,1)</x:f>
        <x:v>400</x:v>
      </x:c>
      <x:c r="O32" s="66" t="n">
        <x:f>Model_Formula!$M$22*(Profiles_140!T28-Simulator!$L$20)^2*IF(Profiles_140!T28&gt;Simulator!$L$20,1+Model_Formula!$N$22,1)</x:f>
        <x:v>25</x:v>
      </x:c>
      <x:c r="P32" s="66" t="n">
        <x:f>Model_Formula!$M$23*(Profiles_140!U28-Simulator!$L$21)^2*IF(Profiles_140!U28&gt;Simulator!$L$21,1+Model_Formula!$N$23,1)</x:f>
        <x:v>101.25</x:v>
      </x:c>
      <x:c r="Q32" s="66" t="n">
        <x:f>Model_Formula!$M$24*(Profiles_140!V28-Simulator!$L$22)^2*IF(Profiles_140!V28&gt;Simulator!$L$22,1+Model_Formula!$N$24,1)</x:f>
        <x:v>1000</x:v>
      </x:c>
      <x:c r="R32" s="66" t="n">
        <x:f>Model_Formula!$M$25*(Profiles_140!W28-Simulator!$L$23)^2*IF(Profiles_140!W28&gt;Simulator!$L$23,1+Model_Formula!$N$25,1)</x:f>
        <x:v>405</x:v>
      </x:c>
      <x:c r="S32" s="66" t="n">
        <x:f>Model_Formula!$M$26*(Profiles_140!X28-Simulator!$L$24)^2*IF(Profiles_140!X28&gt;Simulator!$L$24,1+Model_Formula!$N$26,1)</x:f>
        <x:v>1336.5000000000002</x:v>
      </x:c>
      <x:c r="T32" s="66" t="n">
        <x:f>Model_Formula!$M$27*(Profiles_140!Y28-Simulator!$L$25)^2*IF(Profiles_140!Y28&gt;Simulator!$L$25,1+Model_Formula!$N$27,1)</x:f>
        <x:v>1086.75</x:v>
      </x:c>
      <x:c r="U32" s="60" t="n">
        <x:f>SUM(F32:T32)/SUM($F$4:$T$4)</x:f>
        <x:v>1215.7276119402986</x:v>
      </x:c>
      <x:c r="V32" s="60" t="n">
        <x:f>SQRT(U32)</x:f>
        <x:v>34.86728569791888</x:v>
      </x:c>
      <x:c r="W32" s="60" t="n">
        <x:f>MAX(0,100-V32)</x:f>
        <x:v>65.13271430208113</x:v>
      </x:c>
      <x:c r="X32" s="60" t="n">
        <x:f>SUMPRODUCT(Profiles_140!K28:Y28,$F$4:$T$4)/SUM($F$4:$T$4)</x:f>
        <x:v>40.18656716417911</x:v>
      </x:c>
      <x:c r="Y32" s="60" t="n">
        <x:f>IFERROR(50+50*SUMPRODUCT(($F$3:$T$3-$X$3)*(Profiles_140!K28:Y28-X32),$F$4:$T$4)/SQRT(SUMPRODUCT(($F$3:$T$3-$X$3)^2,$F$4:$T$4)*SUMPRODUCT((Profiles_140!K28:Y28-X32)^2,$F$4:$T$4)),50)</x:f>
        <x:v>50.00000000000001</x:v>
      </x:c>
      <x:c r="Z32" s="60" t="n">
        <x:f>$Z$3</x:f>
        <x:v>3.9474596431116675e-16</x:v>
      </x:c>
      <x:c r="AA32" s="60" t="n">
        <x:f>W32*(1-Model_Formula!$F$8*Z32)+Y32*(Model_Formula!$F$8*Z32)</x:f>
        <x:v>65.13271430208113</x:v>
      </x:c>
      <x:c r="AB32" s="60" t="n">
        <x:f>SQRT(SUMPRODUCT((Profiles_140!K28:Y28-50)^2,$F$4:$T$4)/SUM($F$4:$T$4))</x:f>
        <x:v>34.3408072819513</x:v>
      </x:c>
      <x:c r="AC32" s="60" t="n">
        <x:f>MAX(-Model_Formula!$F$11,MIN(Model_Formula!$F$11,Model_Formula!$F$10*(AB32-AVERAGE($AB$6:$AB$135))))</x:f>
        <x:v>2.5513391334301168</x:v>
      </x:c>
      <x:c r="AD32" s="60" t="n">
        <x:f>MAX(0,MIN(100,AA32+AC32))</x:f>
        <x:v>67.68405343551125</x:v>
      </x:c>
      <x:c r="AE32" s="60" t="n">
        <x:f>MAX(0,MIN(1,IFERROR((MATCH(AD32,Percentile_Calibration!$F28:$DB28,1)-1)/100,0)))</x:f>
        <x:v>0.74</x:v>
      </x:c>
      <x:c r="AF32" s="62" t="n">
        <x:f>ROUND(MAX(Model_Formula!$I$9,Model_Formula!$I$5+Model_Formula!$I$6*POWER(AE32,Model_Formula!$I$7)),0)</x:f>
        <x:v>64</x:v>
      </x:c>
      <x:c r="AG32" t="n">
        <x:f>Profiles_140!AJ28</x:f>
        <x:v>0</x:v>
      </x:c>
      <x:c r="AH32" s="60" t="n">
        <x:f>Model_Formula!$I$8*(AE32*100)+(1-Model_Formula!$I$8)*AD32+AG32</x:f>
        <x:v>72.73681068710225</x:v>
      </x:c>
      <x:c r="AI32" t="n">
        <x:f>RANK.EQ(AH32,$AH$6:$AH$135,0)+COUNTIF($AH$6:AH32,AH32)-1</x:f>
        <x:v>92</x:v>
      </x:c>
    </x:row>
    <x:row r="33">
      <x:c r="A33" t="str">
        <x:f>Profiles_140!A29</x:f>
        <x:v>フシギバナ</x:v>
      </x:c>
      <x:c r="B33" t="str">
        <x:f>Profiles_140!C29</x:f>
        <x:v>フシギバナ-2</x:v>
      </x:c>
      <x:c r="C33" t="str">
        <x:f>Profiles_140!D29</x:f>
        <x:v>はなびらのまい</x:v>
      </x:c>
      <x:c r="D33" t="str">
        <x:f>Profiles_140!B29</x:f>
        <x:v>アタック型</x:v>
      </x:c>
      <x:c r="E33" t="str">
        <x:f>Profiles_140!I29</x:f>
        <x:v>高</x:v>
      </x:c>
      <x:c r="F33" s="66" t="n">
        <x:f>Model_Formula!$M$13*(Profiles_140!K29-Simulator!$L$11)^2*IF(Profiles_140!K29&gt;Simulator!$L$11,1+Model_Formula!$N$13,1)</x:f>
        <x:v>25</x:v>
      </x:c>
      <x:c r="G33" s="66" t="n">
        <x:f>Model_Formula!$M$14*(Profiles_140!L29-Simulator!$L$12)^2*IF(Profiles_140!L29&gt;Simulator!$L$12,1+Model_Formula!$N$14,1)</x:f>
        <x:v>236.25</x:v>
      </x:c>
      <x:c r="H33" s="66" t="n">
        <x:f>Model_Formula!$M$15*(Profiles_140!M29-Simulator!$L$13)^2*IF(Profiles_140!M29&gt;Simulator!$L$13,1+Model_Formula!$N$15,1)</x:f>
        <x:v>900</x:v>
      </x:c>
      <x:c r="I33" s="66" t="n">
        <x:f>Model_Formula!$M$16*(Profiles_140!N29-Simulator!$L$14)^2*IF(Profiles_140!N29&gt;Simulator!$L$14,1+Model_Formula!$N$16,1)</x:f>
        <x:v>625</x:v>
      </x:c>
      <x:c r="J33" s="66" t="n">
        <x:f>Model_Formula!$M$17*(Profiles_140!O29-Simulator!$L$15)^2*IF(Profiles_140!O29&gt;Simulator!$L$15,1+Model_Formula!$N$17,1)</x:f>
        <x:v>1600</x:v>
      </x:c>
      <x:c r="K33" s="66" t="n">
        <x:f>Model_Formula!$M$18*(Profiles_140!P29-Simulator!$L$16)^2*IF(Profiles_140!P29&gt;Simulator!$L$16,1+Model_Formula!$N$18,1)</x:f>
        <x:v>562.5</x:v>
      </x:c>
      <x:c r="L33" s="66" t="n">
        <x:f>Model_Formula!$M$19*(Profiles_140!Q29-Simulator!$L$17)^2*IF(Profiles_140!Q29&gt;Simulator!$L$17,1+Model_Formula!$N$19,1)</x:f>
        <x:v>225</x:v>
      </x:c>
      <x:c r="M33" s="66" t="n">
        <x:f>Model_Formula!$M$20*(Profiles_140!R29-Simulator!$L$18)^2*IF(Profiles_140!R29&gt;Simulator!$L$18,1+Model_Formula!$N$20,1)</x:f>
        <x:v>2025</x:v>
      </x:c>
      <x:c r="N33" s="66" t="n">
        <x:f>Model_Formula!$M$21*(Profiles_140!S29-Simulator!$L$19)^2*IF(Profiles_140!S29&gt;Simulator!$L$19,1+Model_Formula!$N$21,1)</x:f>
        <x:v>25</x:v>
      </x:c>
      <x:c r="O33" s="66" t="n">
        <x:f>Model_Formula!$M$22*(Profiles_140!T29-Simulator!$L$20)^2*IF(Profiles_140!T29&gt;Simulator!$L$20,1+Model_Formula!$N$22,1)</x:f>
        <x:v>400</x:v>
      </x:c>
      <x:c r="P33" s="66" t="n">
        <x:f>Model_Formula!$M$23*(Profiles_140!U29-Simulator!$L$21)^2*IF(Profiles_140!U29&gt;Simulator!$L$21,1+Model_Formula!$N$23,1)</x:f>
        <x:v>180</x:v>
      </x:c>
      <x:c r="Q33" s="66" t="n">
        <x:f>Model_Formula!$M$24*(Profiles_140!V29-Simulator!$L$22)^2*IF(Profiles_140!V29&gt;Simulator!$L$22,1+Model_Formula!$N$24,1)</x:f>
        <x:v>250</x:v>
      </x:c>
      <x:c r="R33" s="66" t="n">
        <x:f>Model_Formula!$M$25*(Profiles_140!W29-Simulator!$L$23)^2*IF(Profiles_140!W29&gt;Simulator!$L$23,1+Model_Formula!$N$25,1)</x:f>
        <x:v>45</x:v>
      </x:c>
      <x:c r="S33" s="66" t="n">
        <x:f>Model_Formula!$M$26*(Profiles_140!X29-Simulator!$L$24)^2*IF(Profiles_140!X29&gt;Simulator!$L$24,1+Model_Formula!$N$26,1)</x:f>
        <x:v>148.50000000000003</x:v>
      </x:c>
      <x:c r="T33" s="66" t="n">
        <x:f>Model_Formula!$M$27*(Profiles_140!Y29-Simulator!$L$25)^2*IF(Profiles_140!Y29&gt;Simulator!$L$25,1+Model_Formula!$N$27,1)</x:f>
        <x:v>120.74999999999999</x:v>
      </x:c>
      <x:c r="U33" s="60" t="n">
        <x:f>SUM(F33:T33)/SUM($F$4:$T$4)</x:f>
        <x:v>549.8507462686567</x:v>
      </x:c>
      <x:c r="V33" s="60" t="n">
        <x:f>SQRT(U33)</x:f>
        <x:v>23.448896482961768</x:v>
      </x:c>
      <x:c r="W33" s="60" t="n">
        <x:f>MAX(0,100-V33)</x:f>
        <x:v>76.55110351703823</x:v>
      </x:c>
      <x:c r="X33" s="60" t="n">
        <x:f>SUMPRODUCT(Profiles_140!K29:Y29,$F$4:$T$4)/SUM($F$4:$T$4)</x:f>
        <x:v>46.84701492537314</x:v>
      </x:c>
      <x:c r="Y33" s="60" t="n">
        <x:f>IFERROR(50+50*SUMPRODUCT(($F$3:$T$3-$X$3)*(Profiles_140!K29:Y29-X33),$F$4:$T$4)/SQRT(SUMPRODUCT(($F$3:$T$3-$X$3)^2,$F$4:$T$4)*SUMPRODUCT((Profiles_140!K29:Y29-X33)^2,$F$4:$T$4)),50)</x:f>
        <x:v>50.00000000000001</x:v>
      </x:c>
      <x:c r="Z33" s="60" t="n">
        <x:f>$Z$3</x:f>
        <x:v>3.9474596431116675e-16</x:v>
      </x:c>
      <x:c r="AA33" s="60" t="n">
        <x:f>W33*(1-Model_Formula!$F$8*Z33)+Y33*(Model_Formula!$F$8*Z33)</x:f>
        <x:v>76.55110351703823</x:v>
      </x:c>
      <x:c r="AB33" s="60" t="n">
        <x:f>SQRT(SUMPRODUCT((Profiles_140!K29:Y29-50)^2,$F$4:$T$4)/SUM($F$4:$T$4))</x:f>
        <x:v>23.362410808946287</x:v>
      </x:c>
      <x:c r="AC33" s="60" t="n">
        <x:f>MAX(-Model_Formula!$F$11,MIN(Model_Formula!$F$11,Model_Formula!$F$10*(AB33-AVERAGE($AB$6:$AB$135))))</x:f>
        <x:v>-2.3889392794221394</x:v>
      </x:c>
      <x:c r="AD33" s="60" t="n">
        <x:f>MAX(0,MIN(100,AA33+AC33))</x:f>
        <x:v>74.16216423761608</x:v>
      </x:c>
      <x:c r="AE33" s="60" t="n">
        <x:f>MAX(0,MIN(1,IFERROR((MATCH(AD33,Percentile_Calibration!$F29:$DB29,1)-1)/100,0)))</x:f>
        <x:v>0.97</x:v>
      </x:c>
      <x:c r="AF33" s="62" t="n">
        <x:f>ROUND(MAX(Model_Formula!$I$9,Model_Formula!$I$5+Model_Formula!$I$6*POWER(AE33,Model_Formula!$I$7)),0)</x:f>
        <x:v>92</x:v>
      </x:c>
      <x:c r="AG33" t="n">
        <x:f>Profiles_140!AJ29</x:f>
        <x:v>0</x:v>
      </x:c>
      <x:c r="AH33" s="60" t="n">
        <x:f>Model_Formula!$I$8*(AE33*100)+(1-Model_Formula!$I$8)*AD33+AG33</x:f>
        <x:v>92.43243284752322</x:v>
      </x:c>
      <x:c r="AI33" t="n">
        <x:f>RANK.EQ(AH33,$AH$6:$AH$135,0)+COUNTIF($AH$6:AH33,AH33)-1</x:f>
        <x:v>6</x:v>
      </x:c>
    </x:row>
    <x:row r="34">
      <x:c r="A34" t="str">
        <x:f>Profiles_140!A30</x:f>
        <x:v>マフォクシー</x:v>
      </x:c>
      <x:c r="B34" t="str">
        <x:f>Profiles_140!C30</x:f>
        <x:v>マフォクシー-1</x:v>
      </x:c>
      <x:c r="C34" t="str">
        <x:f>Profiles_140!D30</x:f>
        <x:v>ほのおのうず</x:v>
      </x:c>
      <x:c r="D34" t="str">
        <x:f>Profiles_140!B30</x:f>
        <x:v>アタック型</x:v>
      </x:c>
      <x:c r="E34" t="str">
        <x:f>Profiles_140!I30</x:f>
        <x:v>高</x:v>
      </x:c>
      <x:c r="F34" s="66" t="n">
        <x:f>Model_Formula!$M$13*(Profiles_140!K30-Simulator!$L$11)^2*IF(Profiles_140!K30&gt;Simulator!$L$11,1+Model_Formula!$N$13,1)</x:f>
        <x:v>400</x:v>
      </x:c>
      <x:c r="G34" s="66" t="n">
        <x:f>Model_Formula!$M$14*(Profiles_140!L30-Simulator!$L$12)^2*IF(Profiles_140!L30&gt;Simulator!$L$12,1+Model_Formula!$N$14,1)</x:f>
        <x:v>2126.25</x:v>
      </x:c>
      <x:c r="H34" s="66" t="n">
        <x:f>Model_Formula!$M$15*(Profiles_140!M30-Simulator!$L$13)^2*IF(Profiles_140!M30&gt;Simulator!$L$13,1+Model_Formula!$N$15,1)</x:f>
        <x:v>225</x:v>
      </x:c>
      <x:c r="I34" s="66" t="n">
        <x:f>Model_Formula!$M$16*(Profiles_140!N30-Simulator!$L$14)^2*IF(Profiles_140!N30&gt;Simulator!$L$14,1+Model_Formula!$N$16,1)</x:f>
        <x:v>2500</x:v>
      </x:c>
      <x:c r="J34" s="66" t="n">
        <x:f>Model_Formula!$M$17*(Profiles_140!O30-Simulator!$L$15)^2*IF(Profiles_140!O30&gt;Simulator!$L$15,1+Model_Formula!$N$17,1)</x:f>
        <x:v>2500</x:v>
      </x:c>
      <x:c r="K34" s="66" t="n">
        <x:f>Model_Formula!$M$18*(Profiles_140!P30-Simulator!$L$16)^2*IF(Profiles_140!P30&gt;Simulator!$L$16,1+Model_Formula!$N$18,1)</x:f>
        <x:v>1440</x:v>
      </x:c>
      <x:c r="L34" s="66" t="n">
        <x:f>Model_Formula!$M$19*(Profiles_140!Q30-Simulator!$L$17)^2*IF(Profiles_140!Q30&gt;Simulator!$L$17,1+Model_Formula!$N$19,1)</x:f>
        <x:v>2025</x:v>
      </x:c>
      <x:c r="M34" s="66" t="n">
        <x:f>Model_Formula!$M$20*(Profiles_140!R30-Simulator!$L$18)^2*IF(Profiles_140!R30&gt;Simulator!$L$18,1+Model_Formula!$N$20,1)</x:f>
        <x:v>1600</x:v>
      </x:c>
      <x:c r="N34" s="66" t="n">
        <x:f>Model_Formula!$M$21*(Profiles_140!S30-Simulator!$L$19)^2*IF(Profiles_140!S30&gt;Simulator!$L$19,1+Model_Formula!$N$21,1)</x:f>
        <x:v>900</x:v>
      </x:c>
      <x:c r="O34" s="66" t="n">
        <x:f>Model_Formula!$M$22*(Profiles_140!T30-Simulator!$L$20)^2*IF(Profiles_140!T30&gt;Simulator!$L$20,1+Model_Formula!$N$22,1)</x:f>
        <x:v>225</x:v>
      </x:c>
      <x:c r="P34" s="66" t="n">
        <x:f>Model_Formula!$M$23*(Profiles_140!U30-Simulator!$L$21)^2*IF(Profiles_140!U30&gt;Simulator!$L$21,1+Model_Formula!$N$23,1)</x:f>
        <x:v>101.25</x:v>
      </x:c>
      <x:c r="Q34" s="66" t="n">
        <x:f>Model_Formula!$M$24*(Profiles_140!V30-Simulator!$L$22)^2*IF(Profiles_140!V30&gt;Simulator!$L$22,1+Model_Formula!$N$24,1)</x:f>
        <x:v>40</x:v>
      </x:c>
      <x:c r="R34" s="66" t="n">
        <x:f>Model_Formula!$M$25*(Profiles_140!W30-Simulator!$L$23)^2*IF(Profiles_140!W30&gt;Simulator!$L$23,1+Model_Formula!$N$25,1)</x:f>
        <x:v>281.25</x:v>
      </x:c>
      <x:c r="S34" s="66" t="n">
        <x:f>Model_Formula!$M$26*(Profiles_140!X30-Simulator!$L$24)^2*IF(Profiles_140!X30&gt;Simulator!$L$24,1+Model_Formula!$N$26,1)</x:f>
        <x:v>148.50000000000003</x:v>
      </x:c>
      <x:c r="T34" s="66" t="n">
        <x:f>Model_Formula!$M$27*(Profiles_140!Y30-Simulator!$L$25)^2*IF(Profiles_140!Y30&gt;Simulator!$L$25,1+Model_Formula!$N$27,1)</x:f>
        <x:v>1086.75</x:v>
      </x:c>
      <x:c r="U34" s="60" t="n">
        <x:f>SUM(F34:T34)/SUM($F$4:$T$4)</x:f>
        <x:v>1164.1044776119404</x:v>
      </x:c>
      <x:c r="V34" s="60" t="n">
        <x:f>SQRT(U34)</x:f>
        <x:v>34.118975330627094</x:v>
      </x:c>
      <x:c r="W34" s="60" t="n">
        <x:f>MAX(0,100-V34)</x:f>
        <x:v>65.8810246693729</x:v>
      </x:c>
      <x:c r="X34" s="60" t="n">
        <x:f>SUMPRODUCT(Profiles_140!K30:Y30,$F$4:$T$4)/SUM($F$4:$T$4)</x:f>
        <x:v>41.32462686567165</x:v>
      </x:c>
      <x:c r="Y34" s="60" t="n">
        <x:f>IFERROR(50+50*SUMPRODUCT(($F$3:$T$3-$X$3)*(Profiles_140!K30:Y30-X34),$F$4:$T$4)/SQRT(SUMPRODUCT(($F$3:$T$3-$X$3)^2,$F$4:$T$4)*SUMPRODUCT((Profiles_140!K30:Y30-X34)^2,$F$4:$T$4)),50)</x:f>
        <x:v>50.00000000000001</x:v>
      </x:c>
      <x:c r="Z34" s="60" t="n">
        <x:f>$Z$3</x:f>
        <x:v>3.9474596431116675e-16</x:v>
      </x:c>
      <x:c r="AA34" s="60" t="n">
        <x:f>W34*(1-Model_Formula!$F$8*Z34)+Y34*(Model_Formula!$F$8*Z34)</x:f>
        <x:v>65.8810246693729</x:v>
      </x:c>
      <x:c r="AB34" s="60" t="n">
        <x:f>SQRT(SUMPRODUCT((Profiles_140!K30:Y30-50)^2,$F$4:$T$4)/SUM($F$4:$T$4))</x:f>
        <x:v>33.92127628899931</x:v>
      </x:c>
      <x:c r="AC34" s="60" t="n">
        <x:f>MAX(-Model_Formula!$F$11,MIN(Model_Formula!$F$11,Model_Formula!$F$10*(AB34-AVERAGE($AB$6:$AB$135))))</x:f>
        <x:v>2.362550186601721</x:v>
      </x:c>
      <x:c r="AD34" s="60" t="n">
        <x:f>MAX(0,MIN(100,AA34+AC34))</x:f>
        <x:v>68.24357485597463</x:v>
      </x:c>
      <x:c r="AE34" s="60" t="n">
        <x:f>MAX(0,MIN(1,IFERROR((MATCH(AD34,Percentile_Calibration!$F30:$DB30,1)-1)/100,0)))</x:f>
        <x:v>0.83</x:v>
      </x:c>
      <x:c r="AF34" s="62" t="n">
        <x:f>ROUND(MAX(Model_Formula!$I$9,Model_Formula!$I$5+Model_Formula!$I$6*POWER(AE34,Model_Formula!$I$7)),0)</x:f>
        <x:v>73</x:v>
      </x:c>
      <x:c r="AG34" t="n">
        <x:f>Profiles_140!AJ30</x:f>
        <x:v>0</x:v>
      </x:c>
      <x:c r="AH34" s="60" t="n">
        <x:f>Model_Formula!$I$8*(AE34*100)+(1-Model_Formula!$I$8)*AD34+AG34</x:f>
        <x:v>80.04871497119493</x:v>
      </x:c>
      <x:c r="AI34" t="n">
        <x:f>RANK.EQ(AH34,$AH$6:$AH$135,0)+COUNTIF($AH$6:AH34,AH34)-1</x:f>
        <x:v>49</x:v>
      </x:c>
    </x:row>
    <x:row r="35">
      <x:c r="A35" t="str">
        <x:f>Profiles_140!A31</x:f>
        <x:v>マフォクシー</x:v>
      </x:c>
      <x:c r="B35" t="str">
        <x:f>Profiles_140!C31</x:f>
        <x:v>マフォクシー-2</x:v>
      </x:c>
      <x:c r="C35" t="str">
        <x:f>Profiles_140!D31</x:f>
        <x:v>ニトロチャージ</x:v>
      </x:c>
      <x:c r="D35" t="str">
        <x:f>Profiles_140!B31</x:f>
        <x:v>アタック型</x:v>
      </x:c>
      <x:c r="E35" t="str">
        <x:f>Profiles_140!I31</x:f>
        <x:v>高</x:v>
      </x:c>
      <x:c r="F35" s="66" t="n">
        <x:f>Model_Formula!$M$13*(Profiles_140!K31-Simulator!$L$11)^2*IF(Profiles_140!K31&gt;Simulator!$L$11,1+Model_Formula!$N$13,1)</x:f>
        <x:v>0</x:v>
      </x:c>
      <x:c r="G35" s="66" t="n">
        <x:f>Model_Formula!$M$14*(Profiles_140!L31-Simulator!$L$12)^2*IF(Profiles_140!L31&gt;Simulator!$L$12,1+Model_Formula!$N$14,1)</x:f>
        <x:v>236.25</x:v>
      </x:c>
      <x:c r="H35" s="66" t="n">
        <x:f>Model_Formula!$M$15*(Profiles_140!M31-Simulator!$L$13)^2*IF(Profiles_140!M31&gt;Simulator!$L$13,1+Model_Formula!$N$15,1)</x:f>
        <x:v>400</x:v>
      </x:c>
      <x:c r="I35" s="66" t="n">
        <x:f>Model_Formula!$M$16*(Profiles_140!N31-Simulator!$L$14)^2*IF(Profiles_140!N31&gt;Simulator!$L$14,1+Model_Formula!$N$16,1)</x:f>
        <x:v>400</x:v>
      </x:c>
      <x:c r="J35" s="66" t="n">
        <x:f>Model_Formula!$M$17*(Profiles_140!O31-Simulator!$L$15)^2*IF(Profiles_140!O31&gt;Simulator!$L$15,1+Model_Formula!$N$17,1)</x:f>
        <x:v>225</x:v>
      </x:c>
      <x:c r="K35" s="66" t="n">
        <x:f>Model_Formula!$M$18*(Profiles_140!P31-Simulator!$L$16)^2*IF(Profiles_140!P31&gt;Simulator!$L$16,1+Model_Formula!$N$18,1)</x:f>
        <x:v>360</x:v>
      </x:c>
      <x:c r="L35" s="66" t="n">
        <x:f>Model_Formula!$M$19*(Profiles_140!Q31-Simulator!$L$17)^2*IF(Profiles_140!Q31&gt;Simulator!$L$17,1+Model_Formula!$N$19,1)</x:f>
        <x:v>100</x:v>
      </x:c>
      <x:c r="M35" s="66" t="n">
        <x:f>Model_Formula!$M$20*(Profiles_140!R31-Simulator!$L$18)^2*IF(Profiles_140!R31&gt;Simulator!$L$18,1+Model_Formula!$N$20,1)</x:f>
        <x:v>1600</x:v>
      </x:c>
      <x:c r="N35" s="66" t="n">
        <x:f>Model_Formula!$M$21*(Profiles_140!S31-Simulator!$L$19)^2*IF(Profiles_140!S31&gt;Simulator!$L$19,1+Model_Formula!$N$21,1)</x:f>
        <x:v>400</x:v>
      </x:c>
      <x:c r="O35" s="66" t="n">
        <x:f>Model_Formula!$M$22*(Profiles_140!T31-Simulator!$L$20)^2*IF(Profiles_140!T31&gt;Simulator!$L$20,1+Model_Formula!$N$22,1)</x:f>
        <x:v>100</x:v>
      </x:c>
      <x:c r="P35" s="66" t="n">
        <x:f>Model_Formula!$M$23*(Profiles_140!U31-Simulator!$L$21)^2*IF(Profiles_140!U31&gt;Simulator!$L$21,1+Model_Formula!$N$23,1)</x:f>
        <x:v>11.25</x:v>
      </x:c>
      <x:c r="Q35" s="66" t="n">
        <x:f>Model_Formula!$M$24*(Profiles_140!V31-Simulator!$L$22)^2*IF(Profiles_140!V31&gt;Simulator!$L$22,1+Model_Formula!$N$24,1)</x:f>
        <x:v>90</x:v>
      </x:c>
      <x:c r="R35" s="66" t="n">
        <x:f>Model_Formula!$M$25*(Profiles_140!W31-Simulator!$L$23)^2*IF(Profiles_140!W31&gt;Simulator!$L$23,1+Model_Formula!$N$25,1)</x:f>
        <x:v>11.25</x:v>
      </x:c>
      <x:c r="S35" s="66" t="n">
        <x:f>Model_Formula!$M$26*(Profiles_140!X31-Simulator!$L$24)^2*IF(Profiles_140!X31&gt;Simulator!$L$24,1+Model_Formula!$N$26,1)</x:f>
        <x:v>928.1250000000001</x:v>
      </x:c>
      <x:c r="T35" s="66" t="n">
        <x:f>Model_Formula!$M$27*(Profiles_140!Y31-Simulator!$L$25)^2*IF(Profiles_140!Y31&gt;Simulator!$L$25,1+Model_Formula!$N$27,1)</x:f>
        <x:v>271.6875</x:v>
      </x:c>
      <x:c r="U35" s="60" t="n">
        <x:f>SUM(F35:T35)/SUM($F$4:$T$4)</x:f>
        <x:v>383.1016791044776</x:v>
      </x:c>
      <x:c r="V35" s="60" t="n">
        <x:f>SQRT(U35)</x:f>
        <x:v>19.572983398155674</x:v>
      </x:c>
      <x:c r="W35" s="60" t="n">
        <x:f>MAX(0,100-V35)</x:f>
        <x:v>80.42701660184433</x:v>
      </x:c>
      <x:c r="X35" s="60" t="n">
        <x:f>SUMPRODUCT(Profiles_140!K31:Y31,$F$4:$T$4)/SUM($F$4:$T$4)</x:f>
        <x:v>50.485074626865675</x:v>
      </x:c>
      <x:c r="Y35" s="60" t="n">
        <x:f>IFERROR(50+50*SUMPRODUCT(($F$3:$T$3-$X$3)*(Profiles_140!K31:Y31-X35),$F$4:$T$4)/SQRT(SUMPRODUCT(($F$3:$T$3-$X$3)^2,$F$4:$T$4)*SUMPRODUCT((Profiles_140!K31:Y31-X35)^2,$F$4:$T$4)),50)</x:f>
        <x:v>50.00000000000001</x:v>
      </x:c>
      <x:c r="Z35" s="60" t="n">
        <x:f>$Z$3</x:f>
        <x:v>3.9474596431116675e-16</x:v>
      </x:c>
      <x:c r="AA35" s="60" t="n">
        <x:f>W35*(1-Model_Formula!$F$8*Z35)+Y35*(Model_Formula!$F$8*Z35)</x:f>
        <x:v>80.42701660184433</x:v>
      </x:c>
      <x:c r="AB35" s="60" t="n">
        <x:f>SQRT(SUMPRODUCT((Profiles_140!K31:Y31-50)^2,$F$4:$T$4)/SUM($F$4:$T$4))</x:f>
        <x:v>19.03943276465977</x:v>
      </x:c>
      <x:c r="AC35" s="60" t="n">
        <x:f>MAX(-Model_Formula!$F$11,MIN(Model_Formula!$F$11,Model_Formula!$F$10*(AB35-AVERAGE($AB$6:$AB$135))))</x:f>
        <x:v>-4.334279399351071</x:v>
      </x:c>
      <x:c r="AD35" s="60" t="n">
        <x:f>MAX(0,MIN(100,AA35+AC35))</x:f>
        <x:v>76.09273720249325</x:v>
      </x:c>
      <x:c r="AE35" s="60" t="n">
        <x:f>MAX(0,MIN(1,IFERROR((MATCH(AD35,Percentile_Calibration!$F31:$DB31,1)-1)/100,0)))</x:f>
        <x:v>0.87</x:v>
      </x:c>
      <x:c r="AF35" s="62" t="n">
        <x:f>ROUND(MAX(Model_Formula!$I$9,Model_Formula!$I$5+Model_Formula!$I$6*POWER(AE35,Model_Formula!$I$7)),0)</x:f>
        <x:v>78</x:v>
      </x:c>
      <x:c r="AG35" t="n">
        <x:f>Profiles_140!AJ31</x:f>
        <x:v>0</x:v>
      </x:c>
      <x:c r="AH35" s="60" t="n">
        <x:f>Model_Formula!$I$8*(AE35*100)+(1-Model_Formula!$I$8)*AD35+AG35</x:f>
        <x:v>84.81854744049866</x:v>
      </x:c>
      <x:c r="AI35" t="n">
        <x:f>RANK.EQ(AH35,$AH$6:$AH$135,0)+COUNTIF($AH$6:AH35,AH35)-1</x:f>
        <x:v>38</x:v>
      </x:c>
    </x:row>
    <x:row r="36">
      <x:c r="A36" t="str">
        <x:f>Profiles_140!A32</x:f>
        <x:v>ミュウ</x:v>
      </x:c>
      <x:c r="B36" t="str">
        <x:f>Profiles_140!C32</x:f>
        <x:v>ミュウ-1</x:v>
      </x:c>
      <x:c r="C36" t="str">
        <x:f>Profiles_140!D32</x:f>
        <x:v>共通</x:v>
      </x:c>
      <x:c r="D36" t="str">
        <x:f>Profiles_140!B32</x:f>
        <x:v>アタック型</x:v>
      </x:c>
      <x:c r="E36" t="str">
        <x:f>Profiles_140!I32</x:f>
        <x:v>高</x:v>
      </x:c>
      <x:c r="F36" s="66" t="n">
        <x:f>Model_Formula!$M$13*(Profiles_140!K32-Simulator!$L$11)^2*IF(Profiles_140!K32&gt;Simulator!$L$11,1+Model_Formula!$N$13,1)</x:f>
        <x:v>900</x:v>
      </x:c>
      <x:c r="G36" s="66" t="n">
        <x:f>Model_Formula!$M$14*(Profiles_140!L32-Simulator!$L$12)^2*IF(Profiles_140!L32&gt;Simulator!$L$12,1+Model_Formula!$N$14,1)</x:f>
        <x:v>1680</x:v>
      </x:c>
      <x:c r="H36" s="66" t="n">
        <x:f>Model_Formula!$M$15*(Profiles_140!M32-Simulator!$L$13)^2*IF(Profiles_140!M32&gt;Simulator!$L$13,1+Model_Formula!$N$15,1)</x:f>
        <x:v>625</x:v>
      </x:c>
      <x:c r="I36" s="66" t="n">
        <x:f>Model_Formula!$M$16*(Profiles_140!N32-Simulator!$L$14)^2*IF(Profiles_140!N32&gt;Simulator!$L$14,1+Model_Formula!$N$16,1)</x:f>
        <x:v>2500</x:v>
      </x:c>
      <x:c r="J36" s="66" t="n">
        <x:f>Model_Formula!$M$17*(Profiles_140!O32-Simulator!$L$15)^2*IF(Profiles_140!O32&gt;Simulator!$L$15,1+Model_Formula!$N$17,1)</x:f>
        <x:v>2025</x:v>
      </x:c>
      <x:c r="K36" s="66" t="n">
        <x:f>Model_Formula!$M$18*(Profiles_140!P32-Simulator!$L$16)^2*IF(Profiles_140!P32&gt;Simulator!$L$16,1+Model_Formula!$N$18,1)</x:f>
        <x:v>202.5</x:v>
      </x:c>
      <x:c r="L36" s="66" t="n">
        <x:f>Model_Formula!$M$19*(Profiles_140!Q32-Simulator!$L$17)^2*IF(Profiles_140!Q32&gt;Simulator!$L$17,1+Model_Formula!$N$19,1)</x:f>
        <x:v>400</x:v>
      </x:c>
      <x:c r="M36" s="66" t="n">
        <x:f>Model_Formula!$M$20*(Profiles_140!R32-Simulator!$L$18)^2*IF(Profiles_140!R32&gt;Simulator!$L$18,1+Model_Formula!$N$20,1)</x:f>
        <x:v>625</x:v>
      </x:c>
      <x:c r="N36" s="66" t="n">
        <x:f>Model_Formula!$M$21*(Profiles_140!S32-Simulator!$L$19)^2*IF(Profiles_140!S32&gt;Simulator!$L$19,1+Model_Formula!$N$21,1)</x:f>
        <x:v>0</x:v>
      </x:c>
      <x:c r="O36" s="66" t="n">
        <x:f>Model_Formula!$M$22*(Profiles_140!T32-Simulator!$L$20)^2*IF(Profiles_140!T32&gt;Simulator!$L$20,1+Model_Formula!$N$22,1)</x:f>
        <x:v>100</x:v>
      </x:c>
      <x:c r="P36" s="66" t="n">
        <x:f>Model_Formula!$M$23*(Profiles_140!U32-Simulator!$L$21)^2*IF(Profiles_140!U32&gt;Simulator!$L$21,1+Model_Formula!$N$23,1)</x:f>
        <x:v>11.25</x:v>
      </x:c>
      <x:c r="Q36" s="66" t="n">
        <x:f>Model_Formula!$M$24*(Profiles_140!V32-Simulator!$L$22)^2*IF(Profiles_140!V32&gt;Simulator!$L$22,1+Model_Formula!$N$24,1)</x:f>
        <x:v>90</x:v>
      </x:c>
      <x:c r="R36" s="66" t="n">
        <x:f>Model_Formula!$M$25*(Profiles_140!W32-Simulator!$L$23)^2*IF(Profiles_140!W32&gt;Simulator!$L$23,1+Model_Formula!$N$25,1)</x:f>
        <x:v>180</x:v>
      </x:c>
      <x:c r="S36" s="66" t="n">
        <x:f>Model_Formula!$M$26*(Profiles_140!X32-Simulator!$L$24)^2*IF(Profiles_140!X32&gt;Simulator!$L$24,1+Model_Formula!$N$26,1)</x:f>
        <x:v>3712.5000000000005</x:v>
      </x:c>
      <x:c r="T36" s="66" t="n">
        <x:f>Model_Formula!$M$27*(Profiles_140!Y32-Simulator!$L$25)^2*IF(Profiles_140!Y32&gt;Simulator!$L$25,1+Model_Formula!$N$27,1)</x:f>
        <x:v>3018.7499999999995</x:v>
      </x:c>
      <x:c r="U36" s="60" t="n">
        <x:f>SUM(F36:T36)/SUM($F$4:$T$4)</x:f>
        <x:v>1199.2537313432838</x:v>
      </x:c>
      <x:c r="V36" s="60" t="n">
        <x:f>SQRT(U36)</x:f>
        <x:v>34.630243015943215</x:v>
      </x:c>
      <x:c r="W36" s="60" t="n">
        <x:f>MAX(0,100-V36)</x:f>
        <x:v>65.36975698405678</x:v>
      </x:c>
      <x:c r="X36" s="60" t="n">
        <x:f>SUMPRODUCT(Profiles_140!K32:Y32,$F$4:$T$4)/SUM($F$4:$T$4)</x:f>
        <x:v>49.72014925373135</x:v>
      </x:c>
      <x:c r="Y36" s="60" t="n">
        <x:f>IFERROR(50+50*SUMPRODUCT(($F$3:$T$3-$X$3)*(Profiles_140!K32:Y32-X36),$F$4:$T$4)/SQRT(SUMPRODUCT(($F$3:$T$3-$X$3)^2,$F$4:$T$4)*SUMPRODUCT((Profiles_140!K32:Y32-X36)^2,$F$4:$T$4)),50)</x:f>
        <x:v>50.000000000000014</x:v>
      </x:c>
      <x:c r="Z36" s="60" t="n">
        <x:f>$Z$3</x:f>
        <x:v>3.9474596431116675e-16</x:v>
      </x:c>
      <x:c r="AA36" s="60" t="n">
        <x:f>W36*(1-Model_Formula!$F$8*Z36)+Y36*(Model_Formula!$F$8*Z36)</x:f>
        <x:v>65.36975698405678</x:v>
      </x:c>
      <x:c r="AB36" s="60" t="n">
        <x:f>SQRT(SUMPRODUCT((Profiles_140!K32:Y32-50)^2,$F$4:$T$4)/SUM($F$4:$T$4))</x:f>
        <x:v>33.13670238234516</x:v>
      </x:c>
      <x:c r="AC36" s="60" t="n">
        <x:f>MAX(-Model_Formula!$F$11,MIN(Model_Formula!$F$11,Model_Formula!$F$10*(AB36-AVERAGE($AB$6:$AB$135))))</x:f>
        <x:v>2.0094919286073556</x:v>
      </x:c>
      <x:c r="AD36" s="60" t="n">
        <x:f>MAX(0,MIN(100,AA36+AC36))</x:f>
        <x:v>67.37924891266414</x:v>
      </x:c>
      <x:c r="AE36" s="60" t="n">
        <x:f>MAX(0,MIN(1,IFERROR((MATCH(AD36,Percentile_Calibration!$F32:$DB32,1)-1)/100,0)))</x:f>
        <x:v>0.71</x:v>
      </x:c>
      <x:c r="AF36" s="62" t="n">
        <x:f>ROUND(MAX(Model_Formula!$I$9,Model_Formula!$I$5+Model_Formula!$I$6*POWER(AE36,Model_Formula!$I$7)),0)</x:f>
        <x:v>62</x:v>
      </x:c>
      <x:c r="AG36" t="n">
        <x:f>Profiles_140!AJ32</x:f>
        <x:v>0</x:v>
      </x:c>
      <x:c r="AH36" s="60" t="n">
        <x:f>Model_Formula!$I$8*(AE36*100)+(1-Model_Formula!$I$8)*AD36+AG36</x:f>
        <x:v>70.27584978253283</x:v>
      </x:c>
      <x:c r="AI36" t="n">
        <x:f>RANK.EQ(AH36,$AH$6:$AH$135,0)+COUNTIF($AH$6:AH36,AH36)-1</x:f>
        <x:v>104</x:v>
      </x:c>
    </x:row>
    <x:row r="37">
      <x:c r="A37" t="str">
        <x:f>Profiles_140!A33</x:f>
        <x:v>ミュウツー(Y)</x:v>
      </x:c>
      <x:c r="B37" t="str">
        <x:f>Profiles_140!C33</x:f>
        <x:v>ミュウツー(Y)-1</x:v>
      </x:c>
      <x:c r="C37" t="str">
        <x:f>Profiles_140!D33</x:f>
        <x:v>共通</x:v>
      </x:c>
      <x:c r="D37" t="str">
        <x:f>Profiles_140!B33</x:f>
        <x:v>アタック型</x:v>
      </x:c>
      <x:c r="E37" t="str">
        <x:f>Profiles_140!I33</x:f>
        <x:v>高</x:v>
      </x:c>
      <x:c r="F37" s="66" t="n">
        <x:f>Model_Formula!$M$13*(Profiles_140!K33-Simulator!$L$11)^2*IF(Profiles_140!K33&gt;Simulator!$L$11,1+Model_Formula!$N$13,1)</x:f>
        <x:v>400</x:v>
      </x:c>
      <x:c r="G37" s="66" t="n">
        <x:f>Model_Formula!$M$14*(Profiles_140!L33-Simulator!$L$12)^2*IF(Profiles_140!L33&gt;Simulator!$L$12,1+Model_Formula!$N$14,1)</x:f>
        <x:v>945</x:v>
      </x:c>
      <x:c r="H37" s="66" t="n">
        <x:f>Model_Formula!$M$15*(Profiles_140!M33-Simulator!$L$13)^2*IF(Profiles_140!M33&gt;Simulator!$L$13,1+Model_Formula!$N$15,1)</x:f>
        <x:v>1600</x:v>
      </x:c>
      <x:c r="I37" s="66" t="n">
        <x:f>Model_Formula!$M$16*(Profiles_140!N33-Simulator!$L$14)^2*IF(Profiles_140!N33&gt;Simulator!$L$14,1+Model_Formula!$N$16,1)</x:f>
        <x:v>1600</x:v>
      </x:c>
      <x:c r="J37" s="66" t="n">
        <x:f>Model_Formula!$M$17*(Profiles_140!O33-Simulator!$L$15)^2*IF(Profiles_140!O33&gt;Simulator!$L$15,1+Model_Formula!$N$17,1)</x:f>
        <x:v>225</x:v>
      </x:c>
      <x:c r="K37" s="66" t="n">
        <x:f>Model_Formula!$M$18*(Profiles_140!P33-Simulator!$L$16)^2*IF(Profiles_140!P33&gt;Simulator!$L$16,1+Model_Formula!$N$18,1)</x:f>
        <x:v>1822.5</x:v>
      </x:c>
      <x:c r="L37" s="66" t="n">
        <x:f>Model_Formula!$M$19*(Profiles_140!Q33-Simulator!$L$17)^2*IF(Profiles_140!Q33&gt;Simulator!$L$17,1+Model_Formula!$N$19,1)</x:f>
        <x:v>100</x:v>
      </x:c>
      <x:c r="M37" s="66" t="n">
        <x:f>Model_Formula!$M$20*(Profiles_140!R33-Simulator!$L$18)^2*IF(Profiles_140!R33&gt;Simulator!$L$18,1+Model_Formula!$N$20,1)</x:f>
        <x:v>2025</x:v>
      </x:c>
      <x:c r="N37" s="66" t="n">
        <x:f>Model_Formula!$M$21*(Profiles_140!S33-Simulator!$L$19)^2*IF(Profiles_140!S33&gt;Simulator!$L$19,1+Model_Formula!$N$21,1)</x:f>
        <x:v>0</x:v>
      </x:c>
      <x:c r="O37" s="66" t="n">
        <x:f>Model_Formula!$M$22*(Profiles_140!T33-Simulator!$L$20)^2*IF(Profiles_140!T33&gt;Simulator!$L$20,1+Model_Formula!$N$22,1)</x:f>
        <x:v>100</x:v>
      </x:c>
      <x:c r="P37" s="66" t="n">
        <x:f>Model_Formula!$M$23*(Profiles_140!U33-Simulator!$L$21)^2*IF(Profiles_140!U33&gt;Simulator!$L$21,1+Model_Formula!$N$23,1)</x:f>
        <x:v>281.25</x:v>
      </x:c>
      <x:c r="Q37" s="66" t="n">
        <x:f>Model_Formula!$M$24*(Profiles_140!V33-Simulator!$L$22)^2*IF(Profiles_140!V33&gt;Simulator!$L$22,1+Model_Formula!$N$24,1)</x:f>
        <x:v>490</x:v>
      </x:c>
      <x:c r="R37" s="66" t="n">
        <x:f>Model_Formula!$M$25*(Profiles_140!W33-Simulator!$L$23)^2*IF(Profiles_140!W33&gt;Simulator!$L$23,1+Model_Formula!$N$25,1)</x:f>
        <x:v>11.25</x:v>
      </x:c>
      <x:c r="S37" s="66" t="n">
        <x:f>Model_Formula!$M$26*(Profiles_140!X33-Simulator!$L$24)^2*IF(Profiles_140!X33&gt;Simulator!$L$24,1+Model_Formula!$N$26,1)</x:f>
        <x:v>27.500000000000004</x:v>
      </x:c>
      <x:c r="T37" s="66" t="n">
        <x:f>Model_Formula!$M$27*(Profiles_140!Y33-Simulator!$L$25)^2*IF(Profiles_140!Y33&gt;Simulator!$L$25,1+Model_Formula!$N$27,1)</x:f>
        <x:v>271.6875</x:v>
      </x:c>
      <x:c r="U37" s="60" t="n">
        <x:f>SUM(F37:T37)/SUM($F$4:$T$4)</x:f>
        <x:v>738.7453358208955</x:v>
      </x:c>
      <x:c r="V37" s="60" t="n">
        <x:f>SQRT(U37)</x:f>
        <x:v>27.179870047903016</x:v>
      </x:c>
      <x:c r="W37" s="60" t="n">
        <x:f>MAX(0,100-V37)</x:f>
        <x:v>72.82012995209698</x:v>
      </x:c>
      <x:c r="X37" s="60" t="n">
        <x:f>SUMPRODUCT(Profiles_140!K33:Y33,$F$4:$T$4)/SUM($F$4:$T$4)</x:f>
        <x:v>43.78731343283582</x:v>
      </x:c>
      <x:c r="Y37" s="60" t="n">
        <x:f>IFERROR(50+50*SUMPRODUCT(($F$3:$T$3-$X$3)*(Profiles_140!K33:Y33-X37),$F$4:$T$4)/SQRT(SUMPRODUCT(($F$3:$T$3-$X$3)^2,$F$4:$T$4)*SUMPRODUCT((Profiles_140!K33:Y33-X37)^2,$F$4:$T$4)),50)</x:f>
        <x:v>50.00000000000001</x:v>
      </x:c>
      <x:c r="Z37" s="60" t="n">
        <x:f>$Z$3</x:f>
        <x:v>3.9474596431116675e-16</x:v>
      </x:c>
      <x:c r="AA37" s="60" t="n">
        <x:f>W37*(1-Model_Formula!$F$8*Z37)+Y37*(Model_Formula!$F$8*Z37)</x:f>
        <x:v>72.82012995209698</x:v>
      </x:c>
      <x:c r="AB37" s="60" t="n">
        <x:f>SQRT(SUMPRODUCT((Profiles_140!K33:Y33-50)^2,$F$4:$T$4)/SUM($F$4:$T$4))</x:f>
        <x:v>27.13117664733059</x:v>
      </x:c>
      <x:c r="AC37" s="60" t="n">
        <x:f>MAX(-Model_Formula!$F$11,MIN(Model_Formula!$F$11,Model_Formula!$F$10*(AB37-AVERAGE($AB$6:$AB$135))))</x:f>
        <x:v>-0.6929946521492022</x:v>
      </x:c>
      <x:c r="AD37" s="60" t="n">
        <x:f>MAX(0,MIN(100,AA37+AC37))</x:f>
        <x:v>72.12713529994778</x:v>
      </x:c>
      <x:c r="AE37" s="60" t="n">
        <x:f>MAX(0,MIN(1,IFERROR((MATCH(AD37,Percentile_Calibration!$F33:$DB33,1)-1)/100,0)))</x:f>
        <x:v>0.79</x:v>
      </x:c>
      <x:c r="AF37" s="62" t="n">
        <x:f>ROUND(MAX(Model_Formula!$I$9,Model_Formula!$I$5+Model_Formula!$I$6*POWER(AE37,Model_Formula!$I$7)),0)</x:f>
        <x:v>69</x:v>
      </x:c>
      <x:c r="AG37" t="n">
        <x:f>Profiles_140!AJ33</x:f>
        <x:v>0</x:v>
      </x:c>
      <x:c r="AH37" s="60" t="n">
        <x:f>Model_Formula!$I$8*(AE37*100)+(1-Model_Formula!$I$8)*AD37+AG37</x:f>
        <x:v>77.62542705998956</x:v>
      </x:c>
      <x:c r="AI37" t="n">
        <x:f>RANK.EQ(AH37,$AH$6:$AH$135,0)+COUNTIF($AH$6:AH37,AH37)-1</x:f>
        <x:v>61</x:v>
      </x:c>
    </x:row>
    <x:row r="38">
      <x:c r="A38" t="str">
        <x:f>Profiles_140!A34</x:f>
        <x:v>ミライドン</x:v>
      </x:c>
      <x:c r="B38" t="str">
        <x:f>Profiles_140!C34</x:f>
        <x:v>ミライドン-1</x:v>
      </x:c>
      <x:c r="C38" t="str">
        <x:f>Profiles_140!D34</x:f>
        <x:v>チャージビーム</x:v>
      </x:c>
      <x:c r="D38" t="str">
        <x:f>Profiles_140!B34</x:f>
        <x:v>アタック型</x:v>
      </x:c>
      <x:c r="E38" t="str">
        <x:f>Profiles_140!I34</x:f>
        <x:v>高</x:v>
      </x:c>
      <x:c r="F38" s="66" t="n">
        <x:f>Model_Formula!$M$13*(Profiles_140!K34-Simulator!$L$11)^2*IF(Profiles_140!K34&gt;Simulator!$L$11,1+Model_Formula!$N$13,1)</x:f>
        <x:v>1225</x:v>
      </x:c>
      <x:c r="G38" s="66" t="n">
        <x:f>Model_Formula!$M$14*(Profiles_140!L34-Simulator!$L$12)^2*IF(Profiles_140!L34&gt;Simulator!$L$12,1+Model_Formula!$N$14,1)</x:f>
        <x:v>2126.25</x:v>
      </x:c>
      <x:c r="H38" s="66" t="n">
        <x:f>Model_Formula!$M$15*(Profiles_140!M34-Simulator!$L$13)^2*IF(Profiles_140!M34&gt;Simulator!$L$13,1+Model_Formula!$N$15,1)</x:f>
        <x:v>1225</x:v>
      </x:c>
      <x:c r="I38" s="66" t="n">
        <x:f>Model_Formula!$M$16*(Profiles_140!N34-Simulator!$L$14)^2*IF(Profiles_140!N34&gt;Simulator!$L$14,1+Model_Formula!$N$16,1)</x:f>
        <x:v>2025</x:v>
      </x:c>
      <x:c r="J38" s="66" t="n">
        <x:f>Model_Formula!$M$17*(Profiles_140!O34-Simulator!$L$15)^2*IF(Profiles_140!O34&gt;Simulator!$L$15,1+Model_Formula!$N$17,1)</x:f>
        <x:v>2500</x:v>
      </x:c>
      <x:c r="K38" s="66" t="n">
        <x:f>Model_Formula!$M$18*(Profiles_140!P34-Simulator!$L$16)^2*IF(Profiles_140!P34&gt;Simulator!$L$16,1+Model_Formula!$N$18,1)</x:f>
        <x:v>90</x:v>
      </x:c>
      <x:c r="L38" s="66" t="n">
        <x:f>Model_Formula!$M$19*(Profiles_140!Q34-Simulator!$L$17)^2*IF(Profiles_140!Q34&gt;Simulator!$L$17,1+Model_Formula!$N$19,1)</x:f>
        <x:v>25</x:v>
      </x:c>
      <x:c r="M38" s="66" t="n">
        <x:f>Model_Formula!$M$20*(Profiles_140!R34-Simulator!$L$18)^2*IF(Profiles_140!R34&gt;Simulator!$L$18,1+Model_Formula!$N$20,1)</x:f>
        <x:v>2025</x:v>
      </x:c>
      <x:c r="N38" s="66" t="n">
        <x:f>Model_Formula!$M$21*(Profiles_140!S34-Simulator!$L$19)^2*IF(Profiles_140!S34&gt;Simulator!$L$19,1+Model_Formula!$N$21,1)</x:f>
        <x:v>1225</x:v>
      </x:c>
      <x:c r="O38" s="66" t="n">
        <x:f>Model_Formula!$M$22*(Profiles_140!T34-Simulator!$L$20)^2*IF(Profiles_140!T34&gt;Simulator!$L$20,1+Model_Formula!$N$22,1)</x:f>
        <x:v>25</x:v>
      </x:c>
      <x:c r="P38" s="66" t="n">
        <x:f>Model_Formula!$M$23*(Profiles_140!U34-Simulator!$L$21)^2*IF(Profiles_140!U34&gt;Simulator!$L$21,1+Model_Formula!$N$23,1)</x:f>
        <x:v>101.25</x:v>
      </x:c>
      <x:c r="Q38" s="66" t="n">
        <x:f>Model_Formula!$M$24*(Profiles_140!V34-Simulator!$L$22)^2*IF(Profiles_140!V34&gt;Simulator!$L$22,1+Model_Formula!$N$24,1)</x:f>
        <x:v>360</x:v>
      </x:c>
      <x:c r="R38" s="66" t="n">
        <x:f>Model_Formula!$M$25*(Profiles_140!W34-Simulator!$L$23)^2*IF(Profiles_140!W34&gt;Simulator!$L$23,1+Model_Formula!$N$25,1)</x:f>
        <x:v>405</x:v>
      </x:c>
      <x:c r="S38" s="66" t="n">
        <x:f>Model_Formula!$M$26*(Profiles_140!X34-Simulator!$L$24)^2*IF(Profiles_140!X34&gt;Simulator!$L$24,1+Model_Formula!$N$26,1)</x:f>
        <x:v>1336.5000000000002</x:v>
      </x:c>
      <x:c r="T38" s="66" t="n">
        <x:f>Model_Formula!$M$27*(Profiles_140!Y34-Simulator!$L$25)^2*IF(Profiles_140!Y34&gt;Simulator!$L$25,1+Model_Formula!$N$27,1)</x:f>
        <x:v>1086.75</x:v>
      </x:c>
      <x:c r="U38" s="60" t="n">
        <x:f>SUM(F38:T38)/SUM($F$4:$T$4)</x:f>
        <x:v>1177.6679104477614</x:v>
      </x:c>
      <x:c r="V38" s="60" t="n">
        <x:f>SQRT(U38)</x:f>
        <x:v>34.3171664105264</x:v>
      </x:c>
      <x:c r="W38" s="60" t="n">
        <x:f>MAX(0,100-V38)</x:f>
        <x:v>65.6828335894736</x:v>
      </x:c>
      <x:c r="X38" s="60" t="n">
        <x:f>SUMPRODUCT(Profiles_140!K34:Y34,$F$4:$T$4)/SUM($F$4:$T$4)</x:f>
        <x:v>40.18656716417911</x:v>
      </x:c>
      <x:c r="Y38" s="60" t="n">
        <x:f>IFERROR(50+50*SUMPRODUCT(($F$3:$T$3-$X$3)*(Profiles_140!K34:Y34-X38),$F$4:$T$4)/SQRT(SUMPRODUCT(($F$3:$T$3-$X$3)^2,$F$4:$T$4)*SUMPRODUCT((Profiles_140!K34:Y34-X38)^2,$F$4:$T$4)),50)</x:f>
        <x:v>50.00000000000001</x:v>
      </x:c>
      <x:c r="Z38" s="60" t="n">
        <x:f>$Z$3</x:f>
        <x:v>3.9474596431116675e-16</x:v>
      </x:c>
      <x:c r="AA38" s="60" t="n">
        <x:f>W38*(1-Model_Formula!$F$8*Z38)+Y38*(Model_Formula!$F$8*Z38)</x:f>
        <x:v>65.6828335894736</x:v>
      </x:c>
      <x:c r="AB38" s="60" t="n">
        <x:f>SQRT(SUMPRODUCT((Profiles_140!K34:Y34-50)^2,$F$4:$T$4)/SUM($F$4:$T$4))</x:f>
        <x:v>33.7821157313094</x:v>
      </x:c>
      <x:c r="AC38" s="60" t="n">
        <x:f>MAX(-Model_Formula!$F$11,MIN(Model_Formula!$F$11,Model_Formula!$F$10*(AB38-AVERAGE($AB$6:$AB$135))))</x:f>
        <x:v>2.2999279356412634</x:v>
      </x:c>
      <x:c r="AD38" s="60" t="n">
        <x:f>MAX(0,MIN(100,AA38+AC38))</x:f>
        <x:v>67.98276152511487</x:v>
      </x:c>
      <x:c r="AE38" s="60" t="n">
        <x:f>MAX(0,MIN(1,IFERROR((MATCH(AD38,Percentile_Calibration!$F34:$DB34,1)-1)/100,0)))</x:f>
        <x:v>0.72</x:v>
      </x:c>
      <x:c r="AF38" s="62" t="n">
        <x:f>ROUND(MAX(Model_Formula!$I$9,Model_Formula!$I$5+Model_Formula!$I$6*POWER(AE38,Model_Formula!$I$7)),0)</x:f>
        <x:v>63</x:v>
      </x:c>
      <x:c r="AG38" t="n">
        <x:f>Profiles_140!AJ34</x:f>
        <x:v>0</x:v>
      </x:c>
      <x:c r="AH38" s="60" t="n">
        <x:f>Model_Formula!$I$8*(AE38*100)+(1-Model_Formula!$I$8)*AD38+AG38</x:f>
        <x:v>71.19655230502298</x:v>
      </x:c>
      <x:c r="AI38" t="n">
        <x:f>RANK.EQ(AH38,$AH$6:$AH$135,0)+COUNTIF($AH$6:AH38,AH38)-1</x:f>
        <x:v>99</x:v>
      </x:c>
    </x:row>
    <x:row r="39">
      <x:c r="A39" t="str">
        <x:f>Profiles_140!A35</x:f>
        <x:v>ミライドン</x:v>
      </x:c>
      <x:c r="B39" t="str">
        <x:f>Profiles_140!C35</x:f>
        <x:v>ミライドン-2</x:v>
      </x:c>
      <x:c r="C39" t="str">
        <x:f>Profiles_140!D35</x:f>
        <x:v>イナズマドライブ</x:v>
      </x:c>
      <x:c r="D39" t="str">
        <x:f>Profiles_140!B35</x:f>
        <x:v>アタック型</x:v>
      </x:c>
      <x:c r="E39" t="str">
        <x:f>Profiles_140!I35</x:f>
        <x:v>高</x:v>
      </x:c>
      <x:c r="F39" s="66" t="n">
        <x:f>Model_Formula!$M$13*(Profiles_140!K35-Simulator!$L$11)^2*IF(Profiles_140!K35&gt;Simulator!$L$11,1+Model_Formula!$N$13,1)</x:f>
        <x:v>100</x:v>
      </x:c>
      <x:c r="G39" s="66" t="n">
        <x:f>Model_Formula!$M$14*(Profiles_140!L35-Simulator!$L$12)^2*IF(Profiles_140!L35&gt;Simulator!$L$12,1+Model_Formula!$N$14,1)</x:f>
        <x:v>1680</x:v>
      </x:c>
      <x:c r="H39" s="66" t="n">
        <x:f>Model_Formula!$M$15*(Profiles_140!M35-Simulator!$L$13)^2*IF(Profiles_140!M35&gt;Simulator!$L$13,1+Model_Formula!$N$15,1)</x:f>
        <x:v>1225</x:v>
      </x:c>
      <x:c r="I39" s="66" t="n">
        <x:f>Model_Formula!$M$16*(Profiles_140!N35-Simulator!$L$14)^2*IF(Profiles_140!N35&gt;Simulator!$L$14,1+Model_Formula!$N$16,1)</x:f>
        <x:v>25</x:v>
      </x:c>
      <x:c r="J39" s="66" t="n">
        <x:f>Model_Formula!$M$17*(Profiles_140!O35-Simulator!$L$15)^2*IF(Profiles_140!O35&gt;Simulator!$L$15,1+Model_Formula!$N$17,1)</x:f>
        <x:v>2500</x:v>
      </x:c>
      <x:c r="K39" s="66" t="n">
        <x:f>Model_Formula!$M$18*(Profiles_140!P35-Simulator!$L$16)^2*IF(Profiles_140!P35&gt;Simulator!$L$16,1+Model_Formula!$N$18,1)</x:f>
        <x:v>22.5</x:v>
      </x:c>
      <x:c r="L39" s="66" t="n">
        <x:f>Model_Formula!$M$19*(Profiles_140!Q35-Simulator!$L$17)^2*IF(Profiles_140!Q35&gt;Simulator!$L$17,1+Model_Formula!$N$19,1)</x:f>
        <x:v>625</x:v>
      </x:c>
      <x:c r="M39" s="66" t="n">
        <x:f>Model_Formula!$M$20*(Profiles_140!R35-Simulator!$L$18)^2*IF(Profiles_140!R35&gt;Simulator!$L$18,1+Model_Formula!$N$20,1)</x:f>
        <x:v>2025</x:v>
      </x:c>
      <x:c r="N39" s="66" t="n">
        <x:f>Model_Formula!$M$21*(Profiles_140!S35-Simulator!$L$19)^2*IF(Profiles_140!S35&gt;Simulator!$L$19,1+Model_Formula!$N$21,1)</x:f>
        <x:v>2500</x:v>
      </x:c>
      <x:c r="O39" s="66" t="n">
        <x:f>Model_Formula!$M$22*(Profiles_140!T35-Simulator!$L$20)^2*IF(Profiles_140!T35&gt;Simulator!$L$20,1+Model_Formula!$N$22,1)</x:f>
        <x:v>225</x:v>
      </x:c>
      <x:c r="P39" s="66" t="n">
        <x:f>Model_Formula!$M$23*(Profiles_140!U35-Simulator!$L$21)^2*IF(Profiles_140!U35&gt;Simulator!$L$21,1+Model_Formula!$N$23,1)</x:f>
        <x:v>11.25</x:v>
      </x:c>
      <x:c r="Q39" s="66" t="n">
        <x:f>Model_Formula!$M$24*(Profiles_140!V35-Simulator!$L$22)^2*IF(Profiles_140!V35&gt;Simulator!$L$22,1+Model_Formula!$N$24,1)</x:f>
        <x:v>250</x:v>
      </x:c>
      <x:c r="R39" s="66" t="n">
        <x:f>Model_Formula!$M$25*(Profiles_140!W35-Simulator!$L$23)^2*IF(Profiles_140!W35&gt;Simulator!$L$23,1+Model_Formula!$N$25,1)</x:f>
        <x:v>281.25</x:v>
      </x:c>
      <x:c r="S39" s="66" t="n">
        <x:f>Model_Formula!$M$26*(Profiles_140!X35-Simulator!$L$24)^2*IF(Profiles_140!X35&gt;Simulator!$L$24,1+Model_Formula!$N$26,1)</x:f>
        <x:v>1336.5000000000002</x:v>
      </x:c>
      <x:c r="T39" s="66" t="n">
        <x:f>Model_Formula!$M$27*(Profiles_140!Y35-Simulator!$L$25)^2*IF(Profiles_140!Y35&gt;Simulator!$L$25,1+Model_Formula!$N$27,1)</x:f>
        <x:v>754.6874999999999</x:v>
      </x:c>
      <x:c r="U39" s="60" t="n">
        <x:f>SUM(F39:T39)/SUM($F$4:$T$4)</x:f>
        <x:v>1012.0289179104478</x:v>
      </x:c>
      <x:c r="V39" s="60" t="n">
        <x:f>SQRT(U39)</x:f>
        <x:v>31.812401951290127</x:v>
      </x:c>
      <x:c r="W39" s="60" t="n">
        <x:f>MAX(0,100-V39)</x:f>
        <x:v>68.18759804870987</x:v>
      </x:c>
      <x:c r="X39" s="60" t="n">
        <x:f>SUMPRODUCT(Profiles_140!K35:Y35,$F$4:$T$4)/SUM($F$4:$T$4)</x:f>
        <x:v>52.63059701492538</x:v>
      </x:c>
      <x:c r="Y39" s="60" t="n">
        <x:f>IFERROR(50+50*SUMPRODUCT(($F$3:$T$3-$X$3)*(Profiles_140!K35:Y35-X39),$F$4:$T$4)/SQRT(SUMPRODUCT(($F$3:$T$3-$X$3)^2,$F$4:$T$4)*SUMPRODUCT((Profiles_140!K35:Y35-X39)^2,$F$4:$T$4)),50)</x:f>
        <x:v>50.00000000000001</x:v>
      </x:c>
      <x:c r="Z39" s="60" t="n">
        <x:f>$Z$3</x:f>
        <x:v>3.9474596431116675e-16</x:v>
      </x:c>
      <x:c r="AA39" s="60" t="n">
        <x:f>W39*(1-Model_Formula!$F$8*Z39)+Y39*(Model_Formula!$F$8*Z39)</x:f>
        <x:v>68.18759804870987</x:v>
      </x:c>
      <x:c r="AB39" s="60" t="n">
        <x:f>SQRT(SUMPRODUCT((Profiles_140!K35:Y35-50)^2,$F$4:$T$4)/SUM($F$4:$T$4))</x:f>
        <x:v>31.28617309396711</x:v>
      </x:c>
      <x:c r="AC39" s="60" t="n">
        <x:f>MAX(-Model_Formula!$F$11,MIN(Model_Formula!$F$11,Model_Formula!$F$10*(AB39-AVERAGE($AB$6:$AB$135))))</x:f>
        <x:v>1.176753748837232</x:v>
      </x:c>
      <x:c r="AD39" s="60" t="n">
        <x:f>MAX(0,MIN(100,AA39+AC39))</x:f>
        <x:v>69.3643517975471</x:v>
      </x:c>
      <x:c r="AE39" s="60" t="n">
        <x:f>MAX(0,MIN(1,IFERROR((MATCH(AD39,Percentile_Calibration!$F35:$DB35,1)-1)/100,0)))</x:f>
        <x:v>0.7</x:v>
      </x:c>
      <x:c r="AF39" s="62" t="n">
        <x:f>ROUND(MAX(Model_Formula!$I$9,Model_Formula!$I$5+Model_Formula!$I$6*POWER(AE39,Model_Formula!$I$7)),0)</x:f>
        <x:v>61</x:v>
      </x:c>
      <x:c r="AG39" t="n">
        <x:f>Profiles_140!AJ35</x:f>
        <x:v>0</x:v>
      </x:c>
      <x:c r="AH39" s="60" t="n">
        <x:f>Model_Formula!$I$8*(AE39*100)+(1-Model_Formula!$I$8)*AD39+AG39</x:f>
        <x:v>69.87287035950942</x:v>
      </x:c>
      <x:c r="AI39" t="n">
        <x:f>RANK.EQ(AH39,$AH$6:$AH$135,0)+COUNTIF($AH$6:AH39,AH39)-1</x:f>
        <x:v>108</x:v>
      </x:c>
    </x:row>
    <x:row r="40">
      <x:c r="A40" t="str">
        <x:f>Profiles_140!A36</x:f>
        <x:v>ラウドボーン</x:v>
      </x:c>
      <x:c r="B40" t="str">
        <x:f>Profiles_140!C36</x:f>
        <x:v>ラウドボーン-1</x:v>
      </x:c>
      <x:c r="C40" t="str">
        <x:f>Profiles_140!D36</x:f>
        <x:v>共通</x:v>
      </x:c>
      <x:c r="D40" t="str">
        <x:f>Profiles_140!B36</x:f>
        <x:v>アタック型</x:v>
      </x:c>
      <x:c r="E40" t="str">
        <x:f>Profiles_140!I36</x:f>
        <x:v>中</x:v>
      </x:c>
      <x:c r="F40" s="66" t="n">
        <x:f>Model_Formula!$M$13*(Profiles_140!K36-Simulator!$L$11)^2*IF(Profiles_140!K36&gt;Simulator!$L$11,1+Model_Formula!$N$13,1)</x:f>
        <x:v>1225</x:v>
      </x:c>
      <x:c r="G40" s="66" t="n">
        <x:f>Model_Formula!$M$14*(Profiles_140!L36-Simulator!$L$12)^2*IF(Profiles_140!L36&gt;Simulator!$L$12,1+Model_Formula!$N$14,1)</x:f>
        <x:v>2126.25</x:v>
      </x:c>
      <x:c r="H40" s="66" t="n">
        <x:f>Model_Formula!$M$15*(Profiles_140!M36-Simulator!$L$13)^2*IF(Profiles_140!M36&gt;Simulator!$L$13,1+Model_Formula!$N$15,1)</x:f>
        <x:v>1225</x:v>
      </x:c>
      <x:c r="I40" s="66" t="n">
        <x:f>Model_Formula!$M$16*(Profiles_140!N36-Simulator!$L$14)^2*IF(Profiles_140!N36&gt;Simulator!$L$14,1+Model_Formula!$N$16,1)</x:f>
        <x:v>2025</x:v>
      </x:c>
      <x:c r="J40" s="66" t="n">
        <x:f>Model_Formula!$M$17*(Profiles_140!O36-Simulator!$L$15)^2*IF(Profiles_140!O36&gt;Simulator!$L$15,1+Model_Formula!$N$17,1)</x:f>
        <x:v>2500</x:v>
      </x:c>
      <x:c r="K40" s="66" t="n">
        <x:f>Model_Formula!$M$18*(Profiles_140!P36-Simulator!$L$16)^2*IF(Profiles_140!P36&gt;Simulator!$L$16,1+Model_Formula!$N$18,1)</x:f>
        <x:v>1822.5</x:v>
      </x:c>
      <x:c r="L40" s="66" t="n">
        <x:f>Model_Formula!$M$19*(Profiles_140!Q36-Simulator!$L$17)^2*IF(Profiles_140!Q36&gt;Simulator!$L$17,1+Model_Formula!$N$19,1)</x:f>
        <x:v>25</x:v>
      </x:c>
      <x:c r="M40" s="66" t="n">
        <x:f>Model_Formula!$M$20*(Profiles_140!R36-Simulator!$L$18)^2*IF(Profiles_140!R36&gt;Simulator!$L$18,1+Model_Formula!$N$20,1)</x:f>
        <x:v>2025</x:v>
      </x:c>
      <x:c r="N40" s="66" t="n">
        <x:f>Model_Formula!$M$21*(Profiles_140!S36-Simulator!$L$19)^2*IF(Profiles_140!S36&gt;Simulator!$L$19,1+Model_Formula!$N$21,1)</x:f>
        <x:v>2500</x:v>
      </x:c>
      <x:c r="O40" s="66" t="n">
        <x:f>Model_Formula!$M$22*(Profiles_140!T36-Simulator!$L$20)^2*IF(Profiles_140!T36&gt;Simulator!$L$20,1+Model_Formula!$N$22,1)</x:f>
        <x:v>0</x:v>
      </x:c>
      <x:c r="P40" s="66" t="n">
        <x:f>Model_Formula!$M$23*(Profiles_140!U36-Simulator!$L$21)^2*IF(Profiles_140!U36&gt;Simulator!$L$21,1+Model_Formula!$N$23,1)</x:f>
        <x:v>45</x:v>
      </x:c>
      <x:c r="Q40" s="66" t="n">
        <x:f>Model_Formula!$M$24*(Profiles_140!V36-Simulator!$L$22)^2*IF(Profiles_140!V36&gt;Simulator!$L$22,1+Model_Formula!$N$24,1)</x:f>
        <x:v>360</x:v>
      </x:c>
      <x:c r="R40" s="66" t="n">
        <x:f>Model_Formula!$M$25*(Profiles_140!W36-Simulator!$L$23)^2*IF(Profiles_140!W36&gt;Simulator!$L$23,1+Model_Formula!$N$25,1)</x:f>
        <x:v>405</x:v>
      </x:c>
      <x:c r="S40" s="66" t="n">
        <x:f>Model_Formula!$M$26*(Profiles_140!X36-Simulator!$L$24)^2*IF(Profiles_140!X36&gt;Simulator!$L$24,1+Model_Formula!$N$26,1)</x:f>
        <x:v>1336.5000000000002</x:v>
      </x:c>
      <x:c r="T40" s="66" t="n">
        <x:f>Model_Formula!$M$27*(Profiles_140!Y36-Simulator!$L$25)^2*IF(Profiles_140!Y36&gt;Simulator!$L$25,1+Model_Formula!$N$27,1)</x:f>
        <x:v>1086.75</x:v>
      </x:c>
      <x:c r="U40" s="60" t="n">
        <x:f>SUM(F40:T40)/SUM($F$4:$T$4)</x:f>
        <x:v>1396.0447761194032</x:v>
      </x:c>
      <x:c r="V40" s="60" t="n">
        <x:f>SQRT(U40)</x:f>
        <x:v>37.363682582414214</x:v>
      </x:c>
      <x:c r="W40" s="60" t="n">
        <x:f>MAX(0,100-V40)</x:f>
        <x:v>62.636317417585786</x:v>
      </x:c>
      <x:c r="X40" s="60" t="n">
        <x:f>SUMPRODUCT(Profiles_140!K36:Y36,$F$4:$T$4)/SUM($F$4:$T$4)</x:f>
        <x:v>36.17537313432836</x:v>
      </x:c>
      <x:c r="Y40" s="60" t="n">
        <x:f>IFERROR(50+50*SUMPRODUCT(($F$3:$T$3-$X$3)*(Profiles_140!K36:Y36-X40),$F$4:$T$4)/SQRT(SUMPRODUCT(($F$3:$T$3-$X$3)^2,$F$4:$T$4)*SUMPRODUCT((Profiles_140!K36:Y36-X40)^2,$F$4:$T$4)),50)</x:f>
        <x:v>50</x:v>
      </x:c>
      <x:c r="Z40" s="60" t="n">
        <x:f>$Z$3</x:f>
        <x:v>3.9474596431116675e-16</x:v>
      </x:c>
      <x:c r="AA40" s="60" t="n">
        <x:f>W40*(1-Model_Formula!$F$8*Z40)+Y40*(Model_Formula!$F$8*Z40)</x:f>
        <x:v>62.636317417585786</x:v>
      </x:c>
      <x:c r="AB40" s="60" t="n">
        <x:f>SQRT(SUMPRODUCT((Profiles_140!K36:Y36-50)^2,$F$4:$T$4)/SUM($F$4:$T$4))</x:f>
        <x:v>36.87286548337712</x:v>
      </x:c>
      <x:c r="AC40" s="60" t="n">
        <x:f>MAX(-Model_Formula!$F$11,MIN(Model_Formula!$F$11,Model_Formula!$F$10*(AB40-AVERAGE($AB$6:$AB$135))))</x:f>
        <x:v>3.6907653240717355</x:v>
      </x:c>
      <x:c r="AD40" s="60" t="n">
        <x:f>MAX(0,MIN(100,AA40+AC40))</x:f>
        <x:v>66.32708274165752</x:v>
      </x:c>
      <x:c r="AE40" s="60" t="n">
        <x:f>MAX(0,MIN(1,IFERROR((MATCH(AD40,Percentile_Calibration!$F36:$DB36,1)-1)/100,0)))</x:f>
        <x:v>0.73</x:v>
      </x:c>
      <x:c r="AF40" s="62" t="n">
        <x:f>ROUND(MAX(Model_Formula!$I$9,Model_Formula!$I$5+Model_Formula!$I$6*POWER(AE40,Model_Formula!$I$7)),0)</x:f>
        <x:v>63</x:v>
      </x:c>
      <x:c r="AG40" t="n">
        <x:f>Profiles_140!AJ36</x:f>
        <x:v>0</x:v>
      </x:c>
      <x:c r="AH40" s="60" t="n">
        <x:f>Model_Formula!$I$8*(AE40*100)+(1-Model_Formula!$I$8)*AD40+AG40</x:f>
        <x:v>71.6654165483315</x:v>
      </x:c>
      <x:c r="AI40" t="n">
        <x:f>RANK.EQ(AH40,$AH$6:$AH$135,0)+COUNTIF($AH$6:AH40,AH40)-1</x:f>
        <x:v>96</x:v>
      </x:c>
    </x:row>
    <x:row r="41">
      <x:c r="A41" t="str">
        <x:f>Profiles_140!A37</x:f>
        <x:v>ラティオス</x:v>
      </x:c>
      <x:c r="B41" t="str">
        <x:f>Profiles_140!C37</x:f>
        <x:v>ラティオス-1</x:v>
      </x:c>
      <x:c r="C41" t="str">
        <x:f>Profiles_140!D37</x:f>
        <x:v>共通</x:v>
      </x:c>
      <x:c r="D41" t="str">
        <x:f>Profiles_140!B37</x:f>
        <x:v>アタック型</x:v>
      </x:c>
      <x:c r="E41" t="str">
        <x:f>Profiles_140!I37</x:f>
        <x:v>高</x:v>
      </x:c>
      <x:c r="F41" s="66" t="n">
        <x:f>Model_Formula!$M$13*(Profiles_140!K37-Simulator!$L$11)^2*IF(Profiles_140!K37&gt;Simulator!$L$11,1+Model_Formula!$N$13,1)</x:f>
        <x:v>400</x:v>
      </x:c>
      <x:c r="G41" s="66" t="n">
        <x:f>Model_Formula!$M$14*(Profiles_140!L37-Simulator!$L$12)^2*IF(Profiles_140!L37&gt;Simulator!$L$12,1+Model_Formula!$N$14,1)</x:f>
        <x:v>2126.25</x:v>
      </x:c>
      <x:c r="H41" s="66" t="n">
        <x:f>Model_Formula!$M$15*(Profiles_140!M37-Simulator!$L$13)^2*IF(Profiles_140!M37&gt;Simulator!$L$13,1+Model_Formula!$N$15,1)</x:f>
        <x:v>225</x:v>
      </x:c>
      <x:c r="I41" s="66" t="n">
        <x:f>Model_Formula!$M$16*(Profiles_140!N37-Simulator!$L$14)^2*IF(Profiles_140!N37&gt;Simulator!$L$14,1+Model_Formula!$N$16,1)</x:f>
        <x:v>2500</x:v>
      </x:c>
      <x:c r="J41" s="66" t="n">
        <x:f>Model_Formula!$M$17*(Profiles_140!O37-Simulator!$L$15)^2*IF(Profiles_140!O37&gt;Simulator!$L$15,1+Model_Formula!$N$17,1)</x:f>
        <x:v>1600</x:v>
      </x:c>
      <x:c r="K41" s="66" t="n">
        <x:f>Model_Formula!$M$18*(Profiles_140!P37-Simulator!$L$16)^2*IF(Profiles_140!P37&gt;Simulator!$L$16,1+Model_Formula!$N$18,1)</x:f>
        <x:v>1440</x:v>
      </x:c>
      <x:c r="L41" s="66" t="n">
        <x:f>Model_Formula!$M$19*(Profiles_140!Q37-Simulator!$L$17)^2*IF(Profiles_140!Q37&gt;Simulator!$L$17,1+Model_Formula!$N$19,1)</x:f>
        <x:v>225</x:v>
      </x:c>
      <x:c r="M41" s="66" t="n">
        <x:f>Model_Formula!$M$20*(Profiles_140!R37-Simulator!$L$18)^2*IF(Profiles_140!R37&gt;Simulator!$L$18,1+Model_Formula!$N$20,1)</x:f>
        <x:v>1600</x:v>
      </x:c>
      <x:c r="N41" s="66" t="n">
        <x:f>Model_Formula!$M$21*(Profiles_140!S37-Simulator!$L$19)^2*IF(Profiles_140!S37&gt;Simulator!$L$19,1+Model_Formula!$N$21,1)</x:f>
        <x:v>100</x:v>
      </x:c>
      <x:c r="O41" s="66" t="n">
        <x:f>Model_Formula!$M$22*(Profiles_140!T37-Simulator!$L$20)^2*IF(Profiles_140!T37&gt;Simulator!$L$20,1+Model_Formula!$N$22,1)</x:f>
        <x:v>0</x:v>
      </x:c>
      <x:c r="P41" s="66" t="n">
        <x:f>Model_Formula!$M$23*(Profiles_140!U37-Simulator!$L$21)^2*IF(Profiles_140!U37&gt;Simulator!$L$21,1+Model_Formula!$N$23,1)</x:f>
        <x:v>101.25</x:v>
      </x:c>
      <x:c r="Q41" s="66" t="n">
        <x:f>Model_Formula!$M$24*(Profiles_140!V37-Simulator!$L$22)^2*IF(Profiles_140!V37&gt;Simulator!$L$22,1+Model_Formula!$N$24,1)</x:f>
        <x:v>40</x:v>
      </x:c>
      <x:c r="R41" s="66" t="n">
        <x:f>Model_Formula!$M$25*(Profiles_140!W37-Simulator!$L$23)^2*IF(Profiles_140!W37&gt;Simulator!$L$23,1+Model_Formula!$N$25,1)</x:f>
        <x:v>281.25</x:v>
      </x:c>
      <x:c r="S41" s="66" t="n">
        <x:f>Model_Formula!$M$26*(Profiles_140!X37-Simulator!$L$24)^2*IF(Profiles_140!X37&gt;Simulator!$L$24,1+Model_Formula!$N$26,1)</x:f>
        <x:v>148.50000000000003</x:v>
      </x:c>
      <x:c r="T41" s="66" t="n">
        <x:f>Model_Formula!$M$27*(Profiles_140!Y37-Simulator!$L$25)^2*IF(Profiles_140!Y37&gt;Simulator!$L$25,1+Model_Formula!$N$27,1)</x:f>
        <x:v>482.99999999999994</x:v>
      </x:c>
      <x:c r="U41" s="60" t="n">
        <x:f>SUM(F41:T41)/SUM($F$4:$T$4)</x:f>
        <x:v>841.063432835821</x:v>
      </x:c>
      <x:c r="V41" s="60" t="n">
        <x:f>SQRT(U41)</x:f>
        <x:v>29.00109364896126</x:v>
      </x:c>
      <x:c r="W41" s="60" t="n">
        <x:f>MAX(0,100-V41)</x:f>
        <x:v>70.99890635103874</x:v>
      </x:c>
      <x:c r="X41" s="60" t="n">
        <x:f>SUMPRODUCT(Profiles_140!K37:Y37,$F$4:$T$4)/SUM($F$4:$T$4)</x:f>
        <x:v>40.1679104477612</x:v>
      </x:c>
      <x:c r="Y41" s="60" t="n">
        <x:f>IFERROR(50+50*SUMPRODUCT(($F$3:$T$3-$X$3)*(Profiles_140!K37:Y37-X41),$F$4:$T$4)/SQRT(SUMPRODUCT(($F$3:$T$3-$X$3)^2,$F$4:$T$4)*SUMPRODUCT((Profiles_140!K37:Y37-X41)^2,$F$4:$T$4)),50)</x:f>
        <x:v>50.000000000000014</x:v>
      </x:c>
      <x:c r="Z41" s="60" t="n">
        <x:f>$Z$3</x:f>
        <x:v>3.9474596431116675e-16</x:v>
      </x:c>
      <x:c r="AA41" s="60" t="n">
        <x:f>W41*(1-Model_Formula!$F$8*Z41)+Y41*(Model_Formula!$F$8*Z41)</x:f>
        <x:v>70.99890635103874</x:v>
      </x:c>
      <x:c r="AB41" s="60" t="n">
        <x:f>SQRT(SUMPRODUCT((Profiles_140!K37:Y37-50)^2,$F$4:$T$4)/SUM($F$4:$T$4))</x:f>
        <x:v>28.870206198954474</x:v>
      </x:c>
      <x:c r="AC41" s="60" t="n">
        <x:f>MAX(-Model_Formula!$F$11,MIN(Model_Formula!$F$11,Model_Formula!$F$10*(AB41-AVERAGE($AB$6:$AB$135))))</x:f>
        <x:v>0.08956864608154512</x:v>
      </x:c>
      <x:c r="AD41" s="60" t="n">
        <x:f>MAX(0,MIN(100,AA41+AC41))</x:f>
        <x:v>71.08847499712029</x:v>
      </x:c>
      <x:c r="AE41" s="60" t="n">
        <x:f>MAX(0,MIN(1,IFERROR((MATCH(AD41,Percentile_Calibration!$F37:$DB37,1)-1)/100,0)))</x:f>
        <x:v>0.92</x:v>
      </x:c>
      <x:c r="AF41" s="62" t="n">
        <x:f>ROUND(MAX(Model_Formula!$I$9,Model_Formula!$I$5+Model_Formula!$I$6*POWER(AE41,Model_Formula!$I$7)),0)</x:f>
        <x:v>85</x:v>
      </x:c>
      <x:c r="AG41" t="n">
        <x:f>Profiles_140!AJ37</x:f>
        <x:v>0</x:v>
      </x:c>
      <x:c r="AH41" s="60" t="n">
        <x:f>Model_Formula!$I$8*(AE41*100)+(1-Model_Formula!$I$8)*AD41+AG41</x:f>
        <x:v>87.81769499942406</x:v>
      </x:c>
      <x:c r="AI41" t="n">
        <x:f>RANK.EQ(AH41,$AH$6:$AH$135,0)+COUNTIF($AH$6:AH41,AH41)-1</x:f>
        <x:v>31</x:v>
      </x:c>
    </x:row>
    <x:row r="42">
      <x:c r="A42" t="str">
        <x:f>Profiles_140!A38</x:f>
        <x:v>レシラム</x:v>
      </x:c>
      <x:c r="B42" t="str">
        <x:f>Profiles_140!C38</x:f>
        <x:v>レシラム-1</x:v>
      </x:c>
      <x:c r="C42" t="str">
        <x:f>Profiles_140!D38</x:f>
        <x:v>共通</x:v>
      </x:c>
      <x:c r="D42" t="str">
        <x:f>Profiles_140!B38</x:f>
        <x:v>アタック型</x:v>
      </x:c>
      <x:c r="E42" t="str">
        <x:f>Profiles_140!I38</x:f>
        <x:v>低</x:v>
      </x:c>
      <x:c r="F42" s="66" t="n">
        <x:f>Model_Formula!$M$13*(Profiles_140!K38-Simulator!$L$11)^2*IF(Profiles_140!K38&gt;Simulator!$L$11,1+Model_Formula!$N$13,1)</x:f>
        <x:v>0</x:v>
      </x:c>
      <x:c r="G42" s="66" t="n">
        <x:f>Model_Formula!$M$14*(Profiles_140!L38-Simulator!$L$12)^2*IF(Profiles_140!L38&gt;Simulator!$L$12,1+Model_Formula!$N$14,1)</x:f>
        <x:v>236.25</x:v>
      </x:c>
      <x:c r="H42" s="66" t="n">
        <x:f>Model_Formula!$M$15*(Profiles_140!M38-Simulator!$L$13)^2*IF(Profiles_140!M38&gt;Simulator!$L$13,1+Model_Formula!$N$15,1)</x:f>
        <x:v>400</x:v>
      </x:c>
      <x:c r="I42" s="66" t="n">
        <x:f>Model_Formula!$M$16*(Profiles_140!N38-Simulator!$L$14)^2*IF(Profiles_140!N38&gt;Simulator!$L$14,1+Model_Formula!$N$16,1)</x:f>
        <x:v>400</x:v>
      </x:c>
      <x:c r="J42" s="66" t="n">
        <x:f>Model_Formula!$M$17*(Profiles_140!O38-Simulator!$L$15)^2*IF(Profiles_140!O38&gt;Simulator!$L$15,1+Model_Formula!$N$17,1)</x:f>
        <x:v>225</x:v>
      </x:c>
      <x:c r="K42" s="66" t="n">
        <x:f>Model_Formula!$M$18*(Profiles_140!P38-Simulator!$L$16)^2*IF(Profiles_140!P38&gt;Simulator!$L$16,1+Model_Formula!$N$18,1)</x:f>
        <x:v>360</x:v>
      </x:c>
      <x:c r="L42" s="66" t="n">
        <x:f>Model_Formula!$M$19*(Profiles_140!Q38-Simulator!$L$17)^2*IF(Profiles_140!Q38&gt;Simulator!$L$17,1+Model_Formula!$N$19,1)</x:f>
        <x:v>0</x:v>
      </x:c>
      <x:c r="M42" s="66" t="n">
        <x:f>Model_Formula!$M$20*(Profiles_140!R38-Simulator!$L$18)^2*IF(Profiles_140!R38&gt;Simulator!$L$18,1+Model_Formula!$N$20,1)</x:f>
        <x:v>1600</x:v>
      </x:c>
      <x:c r="N42" s="66" t="n">
        <x:f>Model_Formula!$M$21*(Profiles_140!S38-Simulator!$L$19)^2*IF(Profiles_140!S38&gt;Simulator!$L$19,1+Model_Formula!$N$21,1)</x:f>
        <x:v>0</x:v>
      </x:c>
      <x:c r="O42" s="66" t="n">
        <x:f>Model_Formula!$M$22*(Profiles_140!T38-Simulator!$L$20)^2*IF(Profiles_140!T38&gt;Simulator!$L$20,1+Model_Formula!$N$22,1)</x:f>
        <x:v>100</x:v>
      </x:c>
      <x:c r="P42" s="66" t="n">
        <x:f>Model_Formula!$M$23*(Profiles_140!U38-Simulator!$L$21)^2*IF(Profiles_140!U38&gt;Simulator!$L$21,1+Model_Formula!$N$23,1)</x:f>
        <x:v>180</x:v>
      </x:c>
      <x:c r="Q42" s="66" t="n">
        <x:f>Model_Formula!$M$24*(Profiles_140!V38-Simulator!$L$22)^2*IF(Profiles_140!V38&gt;Simulator!$L$22,1+Model_Formula!$N$24,1)</x:f>
        <x:v>90</x:v>
      </x:c>
      <x:c r="R42" s="66" t="n">
        <x:f>Model_Formula!$M$25*(Profiles_140!W38-Simulator!$L$23)^2*IF(Profiles_140!W38&gt;Simulator!$L$23,1+Model_Formula!$N$25,1)</x:f>
        <x:v>11.25</x:v>
      </x:c>
      <x:c r="S42" s="66" t="n">
        <x:f>Model_Formula!$M$26*(Profiles_140!X38-Simulator!$L$24)^2*IF(Profiles_140!X38&gt;Simulator!$L$24,1+Model_Formula!$N$26,1)</x:f>
        <x:v>148.50000000000003</x:v>
      </x:c>
      <x:c r="T42" s="66" t="n">
        <x:f>Model_Formula!$M$27*(Profiles_140!Y38-Simulator!$L$25)^2*IF(Profiles_140!Y38&gt;Simulator!$L$25,1+Model_Formula!$N$27,1)</x:f>
        <x:v>271.6875</x:v>
      </x:c>
      <x:c r="U42" s="60" t="n">
        <x:f>SUM(F42:T42)/SUM($F$4:$T$4)</x:f>
        <x:v>300.2005597014926</x:v>
      </x:c>
      <x:c r="V42" s="60" t="n">
        <x:f>SQRT(U42)</x:f>
        <x:v>17.32629676825064</x:v>
      </x:c>
      <x:c r="W42" s="60" t="n">
        <x:f>MAX(0,100-V42)</x:f>
        <x:v>82.67370323174936</x:v>
      </x:c>
      <x:c r="X42" s="60" t="n">
        <x:f>SUMPRODUCT(Profiles_140!K38:Y38,$F$4:$T$4)/SUM($F$4:$T$4)</x:f>
        <x:v>49.01119402985075</x:v>
      </x:c>
      <x:c r="Y42" s="60" t="n">
        <x:f>IFERROR(50+50*SUMPRODUCT(($F$3:$T$3-$X$3)*(Profiles_140!K38:Y38-X42),$F$4:$T$4)/SQRT(SUMPRODUCT(($F$3:$T$3-$X$3)^2,$F$4:$T$4)*SUMPRODUCT((Profiles_140!K38:Y38-X42)^2,$F$4:$T$4)),50)</x:f>
        <x:v>50.00000000000001</x:v>
      </x:c>
      <x:c r="Z42" s="60" t="n">
        <x:f>$Z$3</x:f>
        <x:v>3.9474596431116675e-16</x:v>
      </x:c>
      <x:c r="AA42" s="60" t="n">
        <x:f>W42*(1-Model_Formula!$F$8*Z42)+Y42*(Model_Formula!$F$8*Z42)</x:f>
        <x:v>82.67370323174936</x:v>
      </x:c>
      <x:c r="AB42" s="60" t="n">
        <x:f>SQRT(SUMPRODUCT((Profiles_140!K38:Y38-50)^2,$F$4:$T$4)/SUM($F$4:$T$4))</x:f>
        <x:v>17.16632854808784</x:v>
      </x:c>
      <x:c r="AC42" s="60" t="n">
        <x:f>MAX(-Model_Formula!$F$11,MIN(Model_Formula!$F$11,Model_Formula!$F$10*(AB42-AVERAGE($AB$6:$AB$135))))</x:f>
        <x:v>-5</x:v>
      </x:c>
      <x:c r="AD42" s="60" t="n">
        <x:f>MAX(0,MIN(100,AA42+AC42))</x:f>
        <x:v>77.67370323174936</x:v>
      </x:c>
      <x:c r="AE42" s="60" t="n">
        <x:f>MAX(0,MIN(1,IFERROR((MATCH(AD42,Percentile_Calibration!$F38:$DB38,1)-1)/100,0)))</x:f>
        <x:v>0.92</x:v>
      </x:c>
      <x:c r="AF42" s="62" t="n">
        <x:f>ROUND(MAX(Model_Formula!$I$9,Model_Formula!$I$5+Model_Formula!$I$6*POWER(AE42,Model_Formula!$I$7)),0)</x:f>
        <x:v>85</x:v>
      </x:c>
      <x:c r="AG42" t="n">
        <x:f>Profiles_140!AJ38</x:f>
        <x:v>0</x:v>
      </x:c>
      <x:c r="AH42" s="60" t="n">
        <x:f>Model_Formula!$I$8*(AE42*100)+(1-Model_Formula!$I$8)*AD42+AG42</x:f>
        <x:v>89.13474064634988</x:v>
      </x:c>
      <x:c r="AI42" t="n">
        <x:f>RANK.EQ(AH42,$AH$6:$AH$135,0)+COUNTIF($AH$6:AH42,AH42)-1</x:f>
        <x:v>25</x:v>
      </x:c>
    </x:row>
    <x:row r="43">
      <x:c r="A43" t="str">
        <x:f>Profiles_140!A39</x:f>
        <x:v>ストリンダー</x:v>
      </x:c>
      <x:c r="B43" t="str">
        <x:f>Profiles_140!C39</x:f>
        <x:v>ストリンダー-1</x:v>
      </x:c>
      <x:c r="C43" t="str">
        <x:f>Profiles_140!D39</x:f>
        <x:v>共通</x:v>
      </x:c>
      <x:c r="D43" t="str">
        <x:f>Profiles_140!B39</x:f>
        <x:v>アタック型</x:v>
      </x:c>
      <x:c r="E43" t="str">
        <x:f>Profiles_140!I39</x:f>
        <x:v>低</x:v>
      </x:c>
      <x:c r="F43" s="66" t="n">
        <x:f>Model_Formula!$M$13*(Profiles_140!K39-Simulator!$L$11)^2*IF(Profiles_140!K39&gt;Simulator!$L$11,1+Model_Formula!$N$13,1)</x:f>
        <x:v>400</x:v>
      </x:c>
      <x:c r="G43" s="66" t="n">
        <x:f>Model_Formula!$M$14*(Profiles_140!L39-Simulator!$L$12)^2*IF(Profiles_140!L39&gt;Simulator!$L$12,1+Model_Formula!$N$14,1)</x:f>
        <x:v>945</x:v>
      </x:c>
      <x:c r="H43" s="66" t="n">
        <x:f>Model_Formula!$M$15*(Profiles_140!M39-Simulator!$L$13)^2*IF(Profiles_140!M39&gt;Simulator!$L$13,1+Model_Formula!$N$15,1)</x:f>
        <x:v>1600</x:v>
      </x:c>
      <x:c r="I43" s="66" t="n">
        <x:f>Model_Formula!$M$16*(Profiles_140!N39-Simulator!$L$14)^2*IF(Profiles_140!N39&gt;Simulator!$L$14,1+Model_Formula!$N$16,1)</x:f>
        <x:v>1600</x:v>
      </x:c>
      <x:c r="J43" s="66" t="n">
        <x:f>Model_Formula!$M$17*(Profiles_140!O39-Simulator!$L$15)^2*IF(Profiles_140!O39&gt;Simulator!$L$15,1+Model_Formula!$N$17,1)</x:f>
        <x:v>625</x:v>
      </x:c>
      <x:c r="K43" s="66" t="n">
        <x:f>Model_Formula!$M$18*(Profiles_140!P39-Simulator!$L$16)^2*IF(Profiles_140!P39&gt;Simulator!$L$16,1+Model_Formula!$N$18,1)</x:f>
        <x:v>810</x:v>
      </x:c>
      <x:c r="L43" s="66" t="n">
        <x:f>Model_Formula!$M$19*(Profiles_140!Q39-Simulator!$L$17)^2*IF(Profiles_140!Q39&gt;Simulator!$L$17,1+Model_Formula!$N$19,1)</x:f>
        <x:v>400</x:v>
      </x:c>
      <x:c r="M43" s="66" t="n">
        <x:f>Model_Formula!$M$20*(Profiles_140!R39-Simulator!$L$18)^2*IF(Profiles_140!R39&gt;Simulator!$L$18,1+Model_Formula!$N$20,1)</x:f>
        <x:v>2025</x:v>
      </x:c>
      <x:c r="N43" s="66" t="n">
        <x:f>Model_Formula!$M$21*(Profiles_140!S39-Simulator!$L$19)^2*IF(Profiles_140!S39&gt;Simulator!$L$19,1+Model_Formula!$N$21,1)</x:f>
        <x:v>0</x:v>
      </x:c>
      <x:c r="O43" s="66" t="n">
        <x:f>Model_Formula!$M$22*(Profiles_140!T39-Simulator!$L$20)^2*IF(Profiles_140!T39&gt;Simulator!$L$20,1+Model_Formula!$N$22,1)</x:f>
        <x:v>25</x:v>
      </x:c>
      <x:c r="P43" s="66" t="n">
        <x:f>Model_Formula!$M$23*(Profiles_140!U39-Simulator!$L$21)^2*IF(Profiles_140!U39&gt;Simulator!$L$21,1+Model_Formula!$N$23,1)</x:f>
        <x:v>101.25</x:v>
      </x:c>
      <x:c r="Q43" s="66" t="n">
        <x:f>Model_Formula!$M$24*(Profiles_140!V39-Simulator!$L$22)^2*IF(Profiles_140!V39&gt;Simulator!$L$22,1+Model_Formula!$N$24,1)</x:f>
        <x:v>40</x:v>
      </x:c>
      <x:c r="R43" s="66" t="n">
        <x:f>Model_Formula!$M$25*(Profiles_140!W39-Simulator!$L$23)^2*IF(Profiles_140!W39&gt;Simulator!$L$23,1+Model_Formula!$N$25,1)</x:f>
        <x:v>11.25</x:v>
      </x:c>
      <x:c r="S43" s="66" t="n">
        <x:f>Model_Formula!$M$26*(Profiles_140!X39-Simulator!$L$24)^2*IF(Profiles_140!X39&gt;Simulator!$L$24,1+Model_Formula!$N$26,1)</x:f>
        <x:v>334.12500000000006</x:v>
      </x:c>
      <x:c r="T43" s="66" t="n">
        <x:f>Model_Formula!$M$27*(Profiles_140!Y39-Simulator!$L$25)^2*IF(Profiles_140!Y39&gt;Simulator!$L$25,1+Model_Formula!$N$27,1)</x:f>
        <x:v>754.6874999999999</x:v>
      </x:c>
      <x:c r="U43" s="60" t="n">
        <x:f>SUM(F43:T43)/SUM($F$4:$T$4)</x:f>
        <x:v>721.7397388059702</x:v>
      </x:c>
      <x:c r="V43" s="60" t="n">
        <x:f>SQRT(U43)</x:f>
        <x:v>26.865214289224834</x:v>
      </x:c>
      <x:c r="W43" s="60" t="n">
        <x:f>MAX(0,100-V43)</x:f>
        <x:v>73.13478571077516</x:v>
      </x:c>
      <x:c r="X43" s="60" t="n">
        <x:f>SUMPRODUCT(Profiles_140!K39:Y39,$F$4:$T$4)/SUM($F$4:$T$4)</x:f>
        <x:v>42.74253731343284</x:v>
      </x:c>
      <x:c r="Y43" s="60" t="n">
        <x:f>IFERROR(50+50*SUMPRODUCT(($F$3:$T$3-$X$3)*(Profiles_140!K39:Y39-X43),$F$4:$T$4)/SQRT(SUMPRODUCT(($F$3:$T$3-$X$3)^2,$F$4:$T$4)*SUMPRODUCT((Profiles_140!K39:Y39-X43)^2,$F$4:$T$4)),50)</x:f>
        <x:v>50.000000000000014</x:v>
      </x:c>
      <x:c r="Z43" s="60" t="n">
        <x:f>$Z$3</x:f>
        <x:v>3.9474596431116675e-16</x:v>
      </x:c>
      <x:c r="AA43" s="60" t="n">
        <x:f>W43*(1-Model_Formula!$F$8*Z43)+Y43*(Model_Formula!$F$8*Z43)</x:f>
        <x:v>73.13478571077516</x:v>
      </x:c>
      <x:c r="AB43" s="60" t="n">
        <x:f>SQRT(SUMPRODUCT((Profiles_140!K39:Y39-50)^2,$F$4:$T$4)/SUM($F$4:$T$4))</x:f>
        <x:v>26.60693714950317</x:v>
      </x:c>
      <x:c r="AC43" s="60" t="n">
        <x:f>MAX(-Model_Formula!$F$11,MIN(Model_Formula!$F$11,Model_Formula!$F$10*(AB43-AVERAGE($AB$6:$AB$135))))</x:f>
        <x:v>-0.9289024261715412</x:v>
      </x:c>
      <x:c r="AD43" s="60" t="n">
        <x:f>MAX(0,MIN(100,AA43+AC43))</x:f>
        <x:v>72.20588328460362</x:v>
      </x:c>
      <x:c r="AE43" s="60" t="n">
        <x:f>MAX(0,MIN(1,IFERROR((MATCH(AD43,Percentile_Calibration!$F39:$DB39,1)-1)/100,0)))</x:f>
        <x:v>0.79</x:v>
      </x:c>
      <x:c r="AF43" s="62" t="n">
        <x:f>ROUND(MAX(Model_Formula!$I$9,Model_Formula!$I$5+Model_Formula!$I$6*POWER(AE43,Model_Formula!$I$7)),0)</x:f>
        <x:v>69</x:v>
      </x:c>
      <x:c r="AG43" t="n">
        <x:f>Profiles_140!AJ39</x:f>
        <x:v>0</x:v>
      </x:c>
      <x:c r="AH43" s="60" t="n">
        <x:f>Model_Formula!$I$8*(AE43*100)+(1-Model_Formula!$I$8)*AD43+AG43</x:f>
        <x:v>77.64117665692072</x:v>
      </x:c>
      <x:c r="AI43" t="n">
        <x:f>RANK.EQ(AH43,$AH$6:$AH$135,0)+COUNTIF($AH$6:AH43,AH43)-1</x:f>
        <x:v>60</x:v>
      </x:c>
    </x:row>
    <x:row r="44">
      <x:c r="A44" t="str">
        <x:f>Profiles_140!A40</x:f>
        <x:v>アマージョ</x:v>
      </x:c>
      <x:c r="B44" t="str">
        <x:f>Profiles_140!C40</x:f>
        <x:v>アマージョ-1</x:v>
      </x:c>
      <x:c r="C44" t="str">
        <x:f>Profiles_140!D40</x:f>
        <x:v>共通</x:v>
      </x:c>
      <x:c r="D44" t="str">
        <x:f>Profiles_140!B40</x:f>
        <x:v>バランス型</x:v>
      </x:c>
      <x:c r="E44" t="str">
        <x:f>Profiles_140!I40</x:f>
        <x:v>高</x:v>
      </x:c>
      <x:c r="F44" s="66" t="n">
        <x:f>Model_Formula!$M$13*(Profiles_140!K40-Simulator!$L$11)^2*IF(Profiles_140!K40&gt;Simulator!$L$11,1+Model_Formula!$N$13,1)</x:f>
        <x:v>100</x:v>
      </x:c>
      <x:c r="G44" s="66" t="n">
        <x:f>Model_Formula!$M$14*(Profiles_140!L40-Simulator!$L$12)^2*IF(Profiles_140!L40&gt;Simulator!$L$12,1+Model_Formula!$N$14,1)</x:f>
        <x:v>945</x:v>
      </x:c>
      <x:c r="H44" s="66" t="n">
        <x:f>Model_Formula!$M$15*(Profiles_140!M40-Simulator!$L$13)^2*IF(Profiles_140!M40&gt;Simulator!$L$13,1+Model_Formula!$N$15,1)</x:f>
        <x:v>625</x:v>
      </x:c>
      <x:c r="I44" s="66" t="n">
        <x:f>Model_Formula!$M$16*(Profiles_140!N40-Simulator!$L$14)^2*IF(Profiles_140!N40&gt;Simulator!$L$14,1+Model_Formula!$N$16,1)</x:f>
        <x:v>625</x:v>
      </x:c>
      <x:c r="J44" s="66" t="n">
        <x:f>Model_Formula!$M$17*(Profiles_140!O40-Simulator!$L$15)^2*IF(Profiles_140!O40&gt;Simulator!$L$15,1+Model_Formula!$N$17,1)</x:f>
        <x:v>900</x:v>
      </x:c>
      <x:c r="K44" s="66" t="n">
        <x:f>Model_Formula!$M$18*(Profiles_140!P40-Simulator!$L$16)^2*IF(Profiles_140!P40&gt;Simulator!$L$16,1+Model_Formula!$N$18,1)</x:f>
        <x:v>360</x:v>
      </x:c>
      <x:c r="L44" s="66" t="n">
        <x:f>Model_Formula!$M$19*(Profiles_140!Q40-Simulator!$L$17)^2*IF(Profiles_140!Q40&gt;Simulator!$L$17,1+Model_Formula!$N$19,1)</x:f>
        <x:v>400</x:v>
      </x:c>
      <x:c r="M44" s="66" t="n">
        <x:f>Model_Formula!$M$20*(Profiles_140!R40-Simulator!$L$18)^2*IF(Profiles_140!R40&gt;Simulator!$L$18,1+Model_Formula!$N$20,1)</x:f>
        <x:v>2025</x:v>
      </x:c>
      <x:c r="N44" s="66" t="n">
        <x:f>Model_Formula!$M$21*(Profiles_140!S40-Simulator!$L$19)^2*IF(Profiles_140!S40&gt;Simulator!$L$19,1+Model_Formula!$N$21,1)</x:f>
        <x:v>1600</x:v>
      </x:c>
      <x:c r="O44" s="66" t="n">
        <x:f>Model_Formula!$M$22*(Profiles_140!T40-Simulator!$L$20)^2*IF(Profiles_140!T40&gt;Simulator!$L$20,1+Model_Formula!$N$22,1)</x:f>
        <x:v>900</x:v>
      </x:c>
      <x:c r="P44" s="66" t="n">
        <x:f>Model_Formula!$M$23*(Profiles_140!U40-Simulator!$L$21)^2*IF(Profiles_140!U40&gt;Simulator!$L$21,1+Model_Formula!$N$23,1)</x:f>
        <x:v>180</x:v>
      </x:c>
      <x:c r="Q44" s="66" t="n">
        <x:f>Model_Formula!$M$24*(Profiles_140!V40-Simulator!$L$22)^2*IF(Profiles_140!V40&gt;Simulator!$L$22,1+Model_Formula!$N$24,1)</x:f>
        <x:v>90</x:v>
      </x:c>
      <x:c r="R44" s="66" t="n">
        <x:f>Model_Formula!$M$25*(Profiles_140!W40-Simulator!$L$23)^2*IF(Profiles_140!W40&gt;Simulator!$L$23,1+Model_Formula!$N$25,1)</x:f>
        <x:v>101.25</x:v>
      </x:c>
      <x:c r="S44" s="66" t="n">
        <x:f>Model_Formula!$M$26*(Profiles_140!X40-Simulator!$L$24)^2*IF(Profiles_140!X40&gt;Simulator!$L$24,1+Model_Formula!$N$26,1)</x:f>
        <x:v>1819.1250000000002</x:v>
      </x:c>
      <x:c r="T44" s="66" t="n">
        <x:f>Model_Formula!$M$27*(Profiles_140!Y40-Simulator!$L$25)^2*IF(Profiles_140!Y40&gt;Simulator!$L$25,1+Model_Formula!$N$27,1)</x:f>
        <x:v>271.6875</x:v>
      </x:c>
      <x:c r="U44" s="60" t="n">
        <x:f>SUM(F44:T44)/SUM($F$4:$T$4)</x:f>
        <x:v>816.571828358209</x:v>
      </x:c>
      <x:c r="V44" s="60" t="n">
        <x:f>SQRT(U44)</x:f>
        <x:v>28.575720959552516</x:v>
      </x:c>
      <x:c r="W44" s="60" t="n">
        <x:f>MAX(0,100-V44)</x:f>
        <x:v>71.42427904044749</x:v>
      </x:c>
      <x:c r="X44" s="60" t="n">
        <x:f>SUMPRODUCT(Profiles_140!K40:Y40,$F$4:$T$4)/SUM($F$4:$T$4)</x:f>
        <x:v>58.246268656716424</x:v>
      </x:c>
      <x:c r="Y44" s="60" t="n">
        <x:f>IFERROR(50+50*SUMPRODUCT(($F$3:$T$3-$X$3)*(Profiles_140!K40:Y40-X44),$F$4:$T$4)/SQRT(SUMPRODUCT(($F$3:$T$3-$X$3)^2,$F$4:$T$4)*SUMPRODUCT((Profiles_140!K40:Y40-X44)^2,$F$4:$T$4)),50)</x:f>
        <x:v>50.00000000000001</x:v>
      </x:c>
      <x:c r="Z44" s="60" t="n">
        <x:f>$Z$3</x:f>
        <x:v>3.9474596431116675e-16</x:v>
      </x:c>
      <x:c r="AA44" s="60" t="n">
        <x:f>W44*(1-Model_Formula!$F$8*Z44)+Y44*(Model_Formula!$F$8*Z44)</x:f>
        <x:v>71.42427904044749</x:v>
      </x:c>
      <x:c r="AB44" s="60" t="n">
        <x:f>SQRT(SUMPRODUCT((Profiles_140!K40:Y40-50)^2,$F$4:$T$4)/SUM($F$4:$T$4))</x:f>
        <x:v>27.905758245988984</x:v>
      </x:c>
      <x:c r="AC44" s="60" t="n">
        <x:f>MAX(-Model_Formula!$F$11,MIN(Model_Formula!$F$11,Model_Formula!$F$10*(AB44-AVERAGE($AB$6:$AB$135))))</x:f>
        <x:v>-0.34443293275292514</x:v>
      </x:c>
      <x:c r="AD44" s="60" t="n">
        <x:f>MAX(0,MIN(100,AA44+AC44))</x:f>
        <x:v>71.07984610769456</x:v>
      </x:c>
      <x:c r="AE44" s="60" t="n">
        <x:f>MAX(0,MIN(1,IFERROR((MATCH(AD44,Percentile_Calibration!$F40:$DB40,1)-1)/100,0)))</x:f>
        <x:v>0.75</x:v>
      </x:c>
      <x:c r="AF44" s="62" t="n">
        <x:f>ROUND(MAX(Model_Formula!$I$9,Model_Formula!$I$5+Model_Formula!$I$6*POWER(AE44,Model_Formula!$I$7)),0)</x:f>
        <x:v>65</x:v>
      </x:c>
      <x:c r="AG44" t="n">
        <x:f>Profiles_140!AJ40</x:f>
        <x:v>0</x:v>
      </x:c>
      <x:c r="AH44" s="60" t="n">
        <x:f>Model_Formula!$I$8*(AE44*100)+(1-Model_Formula!$I$8)*AD44+AG44</x:f>
        <x:v>74.21596922153891</x:v>
      </x:c>
      <x:c r="AI44" t="n">
        <x:f>RANK.EQ(AH44,$AH$6:$AH$135,0)+COUNTIF($AH$6:AH44,AH44)-1</x:f>
        <x:v>80</x:v>
      </x:c>
    </x:row>
    <x:row r="45">
      <x:c r="A45" t="str">
        <x:f>Profiles_140!A41</x:f>
        <x:v>ウェーニバル</x:v>
      </x:c>
      <x:c r="B45" t="str">
        <x:f>Profiles_140!C41</x:f>
        <x:v>ウェーニバル-1</x:v>
      </x:c>
      <x:c r="C45" t="str">
        <x:f>Profiles_140!D41</x:f>
        <x:v>共通</x:v>
      </x:c>
      <x:c r="D45" t="str">
        <x:f>Profiles_140!B41</x:f>
        <x:v>バランス型</x:v>
      </x:c>
      <x:c r="E45" t="str">
        <x:f>Profiles_140!I41</x:f>
        <x:v>中</x:v>
      </x:c>
      <x:c r="F45" s="66" t="n">
        <x:f>Model_Formula!$M$13*(Profiles_140!K41-Simulator!$L$11)^2*IF(Profiles_140!K41&gt;Simulator!$L$11,1+Model_Formula!$N$13,1)</x:f>
        <x:v>100</x:v>
      </x:c>
      <x:c r="G45" s="66" t="n">
        <x:f>Model_Formula!$M$14*(Profiles_140!L41-Simulator!$L$12)^2*IF(Profiles_140!L41&gt;Simulator!$L$12,1+Model_Formula!$N$14,1)</x:f>
        <x:v>945</x:v>
      </x:c>
      <x:c r="H45" s="66" t="n">
        <x:f>Model_Formula!$M$15*(Profiles_140!M41-Simulator!$L$13)^2*IF(Profiles_140!M41&gt;Simulator!$L$13,1+Model_Formula!$N$15,1)</x:f>
        <x:v>625</x:v>
      </x:c>
      <x:c r="I45" s="66" t="n">
        <x:f>Model_Formula!$M$16*(Profiles_140!N41-Simulator!$L$14)^2*IF(Profiles_140!N41&gt;Simulator!$L$14,1+Model_Formula!$N$16,1)</x:f>
        <x:v>625</x:v>
      </x:c>
      <x:c r="J45" s="66" t="n">
        <x:f>Model_Formula!$M$17*(Profiles_140!O41-Simulator!$L$15)^2*IF(Profiles_140!O41&gt;Simulator!$L$15,1+Model_Formula!$N$17,1)</x:f>
        <x:v>900</x:v>
      </x:c>
      <x:c r="K45" s="66" t="n">
        <x:f>Model_Formula!$M$18*(Profiles_140!P41-Simulator!$L$16)^2*IF(Profiles_140!P41&gt;Simulator!$L$16,1+Model_Formula!$N$18,1)</x:f>
        <x:v>1440</x:v>
      </x:c>
      <x:c r="L45" s="66" t="n">
        <x:f>Model_Formula!$M$19*(Profiles_140!Q41-Simulator!$L$17)^2*IF(Profiles_140!Q41&gt;Simulator!$L$17,1+Model_Formula!$N$19,1)</x:f>
        <x:v>100</x:v>
      </x:c>
      <x:c r="M45" s="66" t="n">
        <x:f>Model_Formula!$M$20*(Profiles_140!R41-Simulator!$L$18)^2*IF(Profiles_140!R41&gt;Simulator!$L$18,1+Model_Formula!$N$20,1)</x:f>
        <x:v>2025</x:v>
      </x:c>
      <x:c r="N45" s="66" t="n">
        <x:f>Model_Formula!$M$21*(Profiles_140!S41-Simulator!$L$19)^2*IF(Profiles_140!S41&gt;Simulator!$L$19,1+Model_Formula!$N$21,1)</x:f>
        <x:v>2500</x:v>
      </x:c>
      <x:c r="O45" s="66" t="n">
        <x:f>Model_Formula!$M$22*(Profiles_140!T41-Simulator!$L$20)^2*IF(Profiles_140!T41&gt;Simulator!$L$20,1+Model_Formula!$N$22,1)</x:f>
        <x:v>1225</x:v>
      </x:c>
      <x:c r="P45" s="66" t="n">
        <x:f>Model_Formula!$M$23*(Profiles_140!U41-Simulator!$L$21)^2*IF(Profiles_140!U41&gt;Simulator!$L$21,1+Model_Formula!$N$23,1)</x:f>
        <x:v>180</x:v>
      </x:c>
      <x:c r="Q45" s="66" t="n">
        <x:f>Model_Formula!$M$24*(Profiles_140!V41-Simulator!$L$22)^2*IF(Profiles_140!V41&gt;Simulator!$L$22,1+Model_Formula!$N$24,1)</x:f>
        <x:v>90</x:v>
      </x:c>
      <x:c r="R45" s="66" t="n">
        <x:f>Model_Formula!$M$25*(Profiles_140!W41-Simulator!$L$23)^2*IF(Profiles_140!W41&gt;Simulator!$L$23,1+Model_Formula!$N$25,1)</x:f>
        <x:v>101.25</x:v>
      </x:c>
      <x:c r="S45" s="66" t="n">
        <x:f>Model_Formula!$M$26*(Profiles_140!X41-Simulator!$L$24)^2*IF(Profiles_140!X41&gt;Simulator!$L$24,1+Model_Formula!$N$26,1)</x:f>
        <x:v>594.0000000000001</x:v>
      </x:c>
      <x:c r="T45" s="66" t="n">
        <x:f>Model_Formula!$M$27*(Profiles_140!Y41-Simulator!$L$25)^2*IF(Profiles_140!Y41&gt;Simulator!$L$25,1+Model_Formula!$N$27,1)</x:f>
        <x:v>271.6875</x:v>
      </x:c>
      <x:c r="U45" s="60" t="n">
        <x:f>SUM(F45:T45)/SUM($F$4:$T$4)</x:f>
        <x:v>874.7714552238807</x:v>
      </x:c>
      <x:c r="V45" s="60" t="n">
        <x:f>SQRT(U45)</x:f>
        <x:v>29.576535551411034</x:v>
      </x:c>
      <x:c r="W45" s="60" t="n">
        <x:f>MAX(0,100-V45)</x:f>
        <x:v>70.42346444858896</x:v>
      </x:c>
      <x:c r="X45" s="60" t="n">
        <x:f>SUMPRODUCT(Profiles_140!K41:Y41,$F$4:$T$4)/SUM($F$4:$T$4)</x:f>
        <x:v>60.22388059701493</x:v>
      </x:c>
      <x:c r="Y45" s="60" t="n">
        <x:f>IFERROR(50+50*SUMPRODUCT(($F$3:$T$3-$X$3)*(Profiles_140!K41:Y41-X45),$F$4:$T$4)/SQRT(SUMPRODUCT(($F$3:$T$3-$X$3)^2,$F$4:$T$4)*SUMPRODUCT((Profiles_140!K41:Y41-X45)^2,$F$4:$T$4)),50)</x:f>
        <x:v>50.000000000000014</x:v>
      </x:c>
      <x:c r="Z45" s="60" t="n">
        <x:f>$Z$3</x:f>
        <x:v>3.9474596431116675e-16</x:v>
      </x:c>
      <x:c r="AA45" s="60" t="n">
        <x:f>W45*(1-Model_Formula!$F$8*Z45)+Y45*(Model_Formula!$F$8*Z45)</x:f>
        <x:v>70.42346444858896</x:v>
      </x:c>
      <x:c r="AB45" s="60" t="n">
        <x:f>SQRT(SUMPRODUCT((Profiles_140!K41:Y41-50)^2,$F$4:$T$4)/SUM($F$4:$T$4))</x:f>
        <x:v>29.336569812406648</x:v>
      </x:c>
      <x:c r="AC45" s="60" t="n">
        <x:f>MAX(-Model_Formula!$F$11,MIN(Model_Formula!$F$11,Model_Formula!$F$10*(AB45-AVERAGE($AB$6:$AB$135))))</x:f>
        <x:v>0.2994322721350233</x:v>
      </x:c>
      <x:c r="AD45" s="60" t="n">
        <x:f>MAX(0,MIN(100,AA45+AC45))</x:f>
        <x:v>70.72289672072398</x:v>
      </x:c>
      <x:c r="AE45" s="60" t="n">
        <x:f>MAX(0,MIN(1,IFERROR((MATCH(AD45,Percentile_Calibration!$F41:$DB41,1)-1)/100,0)))</x:f>
        <x:v>0.76</x:v>
      </x:c>
      <x:c r="AF45" s="62" t="n">
        <x:f>ROUND(MAX(Model_Formula!$I$9,Model_Formula!$I$5+Model_Formula!$I$6*POWER(AE45,Model_Formula!$I$7)),0)</x:f>
        <x:v>66</x:v>
      </x:c>
      <x:c r="AG45" t="n">
        <x:f>Profiles_140!AJ41</x:f>
        <x:v>0</x:v>
      </x:c>
      <x:c r="AH45" s="60" t="n">
        <x:f>Model_Formula!$I$8*(AE45*100)+(1-Model_Formula!$I$8)*AD45+AG45</x:f>
        <x:v>74.9445793441448</x:v>
      </x:c>
      <x:c r="AI45" t="n">
        <x:f>RANK.EQ(AH45,$AH$6:$AH$135,0)+COUNTIF($AH$6:AH45,AH45)-1</x:f>
        <x:v>76</x:v>
      </x:c>
    </x:row>
    <x:row r="46">
      <x:c r="A46" t="str">
        <x:f>Profiles_140!A42</x:f>
        <x:v>ウーラオス</x:v>
      </x:c>
      <x:c r="B46" t="str">
        <x:f>Profiles_140!C42</x:f>
        <x:v>ウーラオス-1</x:v>
      </x:c>
      <x:c r="C46" t="str">
        <x:f>Profiles_140!D42</x:f>
        <x:v>あんこくきょうだ</x:v>
      </x:c>
      <x:c r="D46" t="str">
        <x:f>Profiles_140!B42</x:f>
        <x:v>バランス型</x:v>
      </x:c>
      <x:c r="E46" t="str">
        <x:f>Profiles_140!I42</x:f>
        <x:v>高</x:v>
      </x:c>
      <x:c r="F46" s="66" t="n">
        <x:f>Model_Formula!$M$13*(Profiles_140!K42-Simulator!$L$11)^2*IF(Profiles_140!K42&gt;Simulator!$L$11,1+Model_Formula!$N$13,1)</x:f>
        <x:v>400</x:v>
      </x:c>
      <x:c r="G46" s="66" t="n">
        <x:f>Model_Formula!$M$14*(Profiles_140!L42-Simulator!$L$12)^2*IF(Profiles_140!L42&gt;Simulator!$L$12,1+Model_Formula!$N$14,1)</x:f>
        <x:v>2126.25</x:v>
      </x:c>
      <x:c r="H46" s="66" t="n">
        <x:f>Model_Formula!$M$15*(Profiles_140!M42-Simulator!$L$13)^2*IF(Profiles_140!M42&gt;Simulator!$L$13,1+Model_Formula!$N$15,1)</x:f>
        <x:v>1600</x:v>
      </x:c>
      <x:c r="I46" s="66" t="n">
        <x:f>Model_Formula!$M$16*(Profiles_140!N42-Simulator!$L$14)^2*IF(Profiles_140!N42&gt;Simulator!$L$14,1+Model_Formula!$N$16,1)</x:f>
        <x:v>100</x:v>
      </x:c>
      <x:c r="J46" s="66" t="n">
        <x:f>Model_Formula!$M$17*(Profiles_140!O42-Simulator!$L$15)^2*IF(Profiles_140!O42&gt;Simulator!$L$15,1+Model_Formula!$N$17,1)</x:f>
        <x:v>1600</x:v>
      </x:c>
      <x:c r="K46" s="66" t="n">
        <x:f>Model_Formula!$M$18*(Profiles_140!P42-Simulator!$L$16)^2*IF(Profiles_140!P42&gt;Simulator!$L$16,1+Model_Formula!$N$18,1)</x:f>
        <x:v>810</x:v>
      </x:c>
      <x:c r="L46" s="66" t="n">
        <x:f>Model_Formula!$M$19*(Profiles_140!Q42-Simulator!$L$17)^2*IF(Profiles_140!Q42&gt;Simulator!$L$17,1+Model_Formula!$N$19,1)</x:f>
        <x:v>225</x:v>
      </x:c>
      <x:c r="M46" s="66" t="n">
        <x:f>Model_Formula!$M$20*(Profiles_140!R42-Simulator!$L$18)^2*IF(Profiles_140!R42&gt;Simulator!$L$18,1+Model_Formula!$N$20,1)</x:f>
        <x:v>2025</x:v>
      </x:c>
      <x:c r="N46" s="66" t="n">
        <x:f>Model_Formula!$M$21*(Profiles_140!S42-Simulator!$L$19)^2*IF(Profiles_140!S42&gt;Simulator!$L$19,1+Model_Formula!$N$21,1)</x:f>
        <x:v>1600</x:v>
      </x:c>
      <x:c r="O46" s="66" t="n">
        <x:f>Model_Formula!$M$22*(Profiles_140!T42-Simulator!$L$20)^2*IF(Profiles_140!T42&gt;Simulator!$L$20,1+Model_Formula!$N$22,1)</x:f>
        <x:v>100</x:v>
      </x:c>
      <x:c r="P46" s="66" t="n">
        <x:f>Model_Formula!$M$23*(Profiles_140!U42-Simulator!$L$21)^2*IF(Profiles_140!U42&gt;Simulator!$L$21,1+Model_Formula!$N$23,1)</x:f>
        <x:v>45</x:v>
      </x:c>
      <x:c r="Q46" s="66" t="n">
        <x:f>Model_Formula!$M$24*(Profiles_140!V42-Simulator!$L$22)^2*IF(Profiles_140!V42&gt;Simulator!$L$22,1+Model_Formula!$N$24,1)</x:f>
        <x:v>160</x:v>
      </x:c>
      <x:c r="R46" s="66" t="n">
        <x:f>Model_Formula!$M$25*(Profiles_140!W42-Simulator!$L$23)^2*IF(Profiles_140!W42&gt;Simulator!$L$23,1+Model_Formula!$N$25,1)</x:f>
        <x:v>101.25</x:v>
      </x:c>
      <x:c r="S46" s="66" t="n">
        <x:f>Model_Formula!$M$26*(Profiles_140!X42-Simulator!$L$24)^2*IF(Profiles_140!X42&gt;Simulator!$L$24,1+Model_Formula!$N$26,1)</x:f>
        <x:v>928.1250000000001</x:v>
      </x:c>
      <x:c r="T46" s="66" t="n">
        <x:f>Model_Formula!$M$27*(Profiles_140!Y42-Simulator!$L$25)^2*IF(Profiles_140!Y42&gt;Simulator!$L$25,1+Model_Formula!$N$27,1)</x:f>
        <x:v>482.99999999999994</x:v>
      </x:c>
      <x:c r="U46" s="60" t="n">
        <x:f>SUM(F46:T46)/SUM($F$4:$T$4)</x:f>
        <x:v>918.1809701492539</x:v>
      </x:c>
      <x:c r="V46" s="60" t="n">
        <x:f>SQRT(U46)</x:f>
        <x:v>30.30150112039425</x:v>
      </x:c>
      <x:c r="W46" s="60" t="n">
        <x:f>MAX(0,100-V46)</x:f>
        <x:v>69.69849887960575</x:v>
      </x:c>
      <x:c r="X46" s="60" t="n">
        <x:f>SUMPRODUCT(Profiles_140!K42:Y42,$F$4:$T$4)/SUM($F$4:$T$4)</x:f>
        <x:v>50.59701492537314</x:v>
      </x:c>
      <x:c r="Y46" s="60" t="n">
        <x:f>IFERROR(50+50*SUMPRODUCT(($F$3:$T$3-$X$3)*(Profiles_140!K42:Y42-X46),$F$4:$T$4)/SQRT(SUMPRODUCT(($F$3:$T$3-$X$3)^2,$F$4:$T$4)*SUMPRODUCT((Profiles_140!K42:Y42-X46)^2,$F$4:$T$4)),50)</x:f>
        <x:v>50.00000000000001</x:v>
      </x:c>
      <x:c r="Z46" s="60" t="n">
        <x:f>$Z$3</x:f>
        <x:v>3.9474596431116675e-16</x:v>
      </x:c>
      <x:c r="AA46" s="60" t="n">
        <x:f>W46*(1-Model_Formula!$F$8*Z46)+Y46*(Model_Formula!$F$8*Z46)</x:f>
        <x:v>69.69849887960575</x:v>
      </x:c>
      <x:c r="AB46" s="60" t="n">
        <x:f>SQRT(SUMPRODUCT((Profiles_140!K42:Y42-50)^2,$F$4:$T$4)/SUM($F$4:$T$4))</x:f>
        <x:v>29.925280083228987</x:v>
      </x:c>
      <x:c r="AC46" s="60" t="n">
        <x:f>MAX(-Model_Formula!$F$11,MIN(Model_Formula!$F$11,Model_Formula!$F$10*(AB46-AVERAGE($AB$6:$AB$135))))</x:f>
        <x:v>0.5643518940050761</x:v>
      </x:c>
      <x:c r="AD46" s="60" t="n">
        <x:f>MAX(0,MIN(100,AA46+AC46))</x:f>
        <x:v>70.26285077361082</x:v>
      </x:c>
      <x:c r="AE46" s="60" t="n">
        <x:f>MAX(0,MIN(1,IFERROR((MATCH(AD46,Percentile_Calibration!$F42:$DB42,1)-1)/100,0)))</x:f>
        <x:v>0.7</x:v>
      </x:c>
      <x:c r="AF46" s="62" t="n">
        <x:f>ROUND(MAX(Model_Formula!$I$9,Model_Formula!$I$5+Model_Formula!$I$6*POWER(AE46,Model_Formula!$I$7)),0)</x:f>
        <x:v>61</x:v>
      </x:c>
      <x:c r="AG46" t="n">
        <x:f>Profiles_140!AJ42</x:f>
        <x:v>0</x:v>
      </x:c>
      <x:c r="AH46" s="60" t="n">
        <x:f>Model_Formula!$I$8*(AE46*100)+(1-Model_Formula!$I$8)*AD46+AG46</x:f>
        <x:v>70.05257015472216</x:v>
      </x:c>
      <x:c r="AI46" t="n">
        <x:f>RANK.EQ(AH46,$AH$6:$AH$135,0)+COUNTIF($AH$6:AH46,AH46)-1</x:f>
        <x:v>105</x:v>
      </x:c>
    </x:row>
    <x:row r="47">
      <x:c r="A47" t="str">
        <x:f>Profiles_140!A43</x:f>
        <x:v>ウーラオス</x:v>
      </x:c>
      <x:c r="B47" t="str">
        <x:f>Profiles_140!C43</x:f>
        <x:v>ウーラオス-2</x:v>
      </x:c>
      <x:c r="C47" t="str">
        <x:f>Profiles_140!D43</x:f>
        <x:v>すいりゅうれんだ</x:v>
      </x:c>
      <x:c r="D47" t="str">
        <x:f>Profiles_140!B43</x:f>
        <x:v>バランス型</x:v>
      </x:c>
      <x:c r="E47" t="str">
        <x:f>Profiles_140!I43</x:f>
        <x:v>高</x:v>
      </x:c>
      <x:c r="F47" s="66" t="n">
        <x:f>Model_Formula!$M$13*(Profiles_140!K43-Simulator!$L$11)^2*IF(Profiles_140!K43&gt;Simulator!$L$11,1+Model_Formula!$N$13,1)</x:f>
        <x:v>400</x:v>
      </x:c>
      <x:c r="G47" s="66" t="n">
        <x:f>Model_Formula!$M$14*(Profiles_140!L43-Simulator!$L$12)^2*IF(Profiles_140!L43&gt;Simulator!$L$12,1+Model_Formula!$N$14,1)</x:f>
        <x:v>1680</x:v>
      </x:c>
      <x:c r="H47" s="66" t="n">
        <x:f>Model_Formula!$M$15*(Profiles_140!M43-Simulator!$L$13)^2*IF(Profiles_140!M43&gt;Simulator!$L$13,1+Model_Formula!$N$15,1)</x:f>
        <x:v>625</x:v>
      </x:c>
      <x:c r="I47" s="66" t="n">
        <x:f>Model_Formula!$M$16*(Profiles_140!N43-Simulator!$L$14)^2*IF(Profiles_140!N43&gt;Simulator!$L$14,1+Model_Formula!$N$16,1)</x:f>
        <x:v>625</x:v>
      </x:c>
      <x:c r="J47" s="66" t="n">
        <x:f>Model_Formula!$M$17*(Profiles_140!O43-Simulator!$L$15)^2*IF(Profiles_140!O43&gt;Simulator!$L$15,1+Model_Formula!$N$17,1)</x:f>
        <x:v>1600</x:v>
      </x:c>
      <x:c r="K47" s="66" t="n">
        <x:f>Model_Formula!$M$18*(Profiles_140!P43-Simulator!$L$16)^2*IF(Profiles_140!P43&gt;Simulator!$L$16,1+Model_Formula!$N$18,1)</x:f>
        <x:v>1102.5</x:v>
      </x:c>
      <x:c r="L47" s="66" t="n">
        <x:f>Model_Formula!$M$19*(Profiles_140!Q43-Simulator!$L$17)^2*IF(Profiles_140!Q43&gt;Simulator!$L$17,1+Model_Formula!$N$19,1)</x:f>
        <x:v>25</x:v>
      </x:c>
      <x:c r="M47" s="66" t="n">
        <x:f>Model_Formula!$M$20*(Profiles_140!R43-Simulator!$L$18)^2*IF(Profiles_140!R43&gt;Simulator!$L$18,1+Model_Formula!$N$20,1)</x:f>
        <x:v>2025</x:v>
      </x:c>
      <x:c r="N47" s="66" t="n">
        <x:f>Model_Formula!$M$21*(Profiles_140!S43-Simulator!$L$19)^2*IF(Profiles_140!S43&gt;Simulator!$L$19,1+Model_Formula!$N$21,1)</x:f>
        <x:v>1600</x:v>
      </x:c>
      <x:c r="O47" s="66" t="n">
        <x:f>Model_Formula!$M$22*(Profiles_140!T43-Simulator!$L$20)^2*IF(Profiles_140!T43&gt;Simulator!$L$20,1+Model_Formula!$N$22,1)</x:f>
        <x:v>1225</x:v>
      </x:c>
      <x:c r="P47" s="66" t="n">
        <x:f>Model_Formula!$M$23*(Profiles_140!U43-Simulator!$L$21)^2*IF(Profiles_140!U43&gt;Simulator!$L$21,1+Model_Formula!$N$23,1)</x:f>
        <x:v>11.25</x:v>
      </x:c>
      <x:c r="Q47" s="66" t="n">
        <x:f>Model_Formula!$M$24*(Profiles_140!V43-Simulator!$L$22)^2*IF(Profiles_140!V43&gt;Simulator!$L$22,1+Model_Formula!$N$24,1)</x:f>
        <x:v>10</x:v>
      </x:c>
      <x:c r="R47" s="66" t="n">
        <x:f>Model_Formula!$M$25*(Profiles_140!W43-Simulator!$L$23)^2*IF(Profiles_140!W43&gt;Simulator!$L$23,1+Model_Formula!$N$25,1)</x:f>
        <x:v>11.25</x:v>
      </x:c>
      <x:c r="S47" s="66" t="n">
        <x:f>Model_Formula!$M$26*(Profiles_140!X43-Simulator!$L$24)^2*IF(Profiles_140!X43&gt;Simulator!$L$24,1+Model_Formula!$N$26,1)</x:f>
        <x:v>594.0000000000001</x:v>
      </x:c>
      <x:c r="T47" s="66" t="n">
        <x:f>Model_Formula!$M$27*(Profiles_140!Y43-Simulator!$L$25)^2*IF(Profiles_140!Y43&gt;Simulator!$L$25,1+Model_Formula!$N$27,1)</x:f>
        <x:v>271.6875</x:v>
      </x:c>
      <x:c r="U47" s="60" t="n">
        <x:f>SUM(F47:T47)/SUM($F$4:$T$4)</x:f>
        <x:v>881.0214552238807</x:v>
      </x:c>
      <x:c r="V47" s="60" t="n">
        <x:f>SQRT(U47)</x:f>
        <x:v>29.682005579540622</x:v>
      </x:c>
      <x:c r="W47" s="60" t="n">
        <x:f>MAX(0,100-V47)</x:f>
        <x:v>70.31799442045937</x:v>
      </x:c>
      <x:c r="X47" s="60" t="n">
        <x:f>SUMPRODUCT(Profiles_140!K43:Y43,$F$4:$T$4)/SUM($F$4:$T$4)</x:f>
        <x:v>59.160447761194035</x:v>
      </x:c>
      <x:c r="Y47" s="60" t="n">
        <x:f>IFERROR(50+50*SUMPRODUCT(($F$3:$T$3-$X$3)*(Profiles_140!K43:Y43-X47),$F$4:$T$4)/SQRT(SUMPRODUCT(($F$3:$T$3-$X$3)^2,$F$4:$T$4)*SUMPRODUCT((Profiles_140!K43:Y43-X47)^2,$F$4:$T$4)),50)</x:f>
        <x:v>50.00000000000001</x:v>
      </x:c>
      <x:c r="Z47" s="60" t="n">
        <x:f>$Z$3</x:f>
        <x:v>3.9474596431116675e-16</x:v>
      </x:c>
      <x:c r="AA47" s="60" t="n">
        <x:f>W47*(1-Model_Formula!$F$8*Z47)+Y47*(Model_Formula!$F$8*Z47)</x:f>
        <x:v>70.31799442045937</x:v>
      </x:c>
      <x:c r="AB47" s="60" t="n">
        <x:f>SQRT(SUMPRODUCT((Profiles_140!K43:Y43-50)^2,$F$4:$T$4)/SUM($F$4:$T$4))</x:f>
        <x:v>29.44289945569575</x:v>
      </x:c>
      <x:c r="AC47" s="60" t="n">
        <x:f>MAX(-Model_Formula!$F$11,MIN(Model_Formula!$F$11,Model_Formula!$F$10*(AB47-AVERAGE($AB$6:$AB$135))))</x:f>
        <x:v>0.3472806116151187</x:v>
      </x:c>
      <x:c r="AD47" s="60" t="n">
        <x:f>MAX(0,MIN(100,AA47+AC47))</x:f>
        <x:v>70.66527503207449</x:v>
      </x:c>
      <x:c r="AE47" s="60" t="n">
        <x:f>MAX(0,MIN(1,IFERROR((MATCH(AD47,Percentile_Calibration!$F43:$DB43,1)-1)/100,0)))</x:f>
        <x:v>0.75</x:v>
      </x:c>
      <x:c r="AF47" s="62" t="n">
        <x:f>ROUND(MAX(Model_Formula!$I$9,Model_Formula!$I$5+Model_Formula!$I$6*POWER(AE47,Model_Formula!$I$7)),0)</x:f>
        <x:v>65</x:v>
      </x:c>
      <x:c r="AG47" t="n">
        <x:f>Profiles_140!AJ43</x:f>
        <x:v>0</x:v>
      </x:c>
      <x:c r="AH47" s="60" t="n">
        <x:f>Model_Formula!$I$8*(AE47*100)+(1-Model_Formula!$I$8)*AD47+AG47</x:f>
        <x:v>74.13305500641489</x:v>
      </x:c>
      <x:c r="AI47" t="n">
        <x:f>RANK.EQ(AH47,$AH$6:$AH$135,0)+COUNTIF($AH$6:AH47,AH47)-1</x:f>
        <x:v>81</x:v>
      </x:c>
    </x:row>
    <x:row r="48">
      <x:c r="A48" t="str">
        <x:f>Profiles_140!A44</x:f>
        <x:v>エンペルト</x:v>
      </x:c>
      <x:c r="B48" t="str">
        <x:f>Profiles_140!C44</x:f>
        <x:v>エンペルト-1</x:v>
      </x:c>
      <x:c r="C48" t="str">
        <x:f>Profiles_140!D44</x:f>
        <x:v>共通</x:v>
      </x:c>
      <x:c r="D48" t="str">
        <x:f>Profiles_140!B44</x:f>
        <x:v>バランス型</x:v>
      </x:c>
      <x:c r="E48" t="str">
        <x:f>Profiles_140!I44</x:f>
        <x:v>高</x:v>
      </x:c>
      <x:c r="F48" s="66" t="n">
        <x:f>Model_Formula!$M$13*(Profiles_140!K44-Simulator!$L$11)^2*IF(Profiles_140!K44&gt;Simulator!$L$11,1+Model_Formula!$N$13,1)</x:f>
        <x:v>25</x:v>
      </x:c>
      <x:c r="G48" s="66" t="n">
        <x:f>Model_Formula!$M$14*(Profiles_140!L44-Simulator!$L$12)^2*IF(Profiles_140!L44&gt;Simulator!$L$12,1+Model_Formula!$N$14,1)</x:f>
        <x:v>26.25</x:v>
      </x:c>
      <x:c r="H48" s="66" t="n">
        <x:f>Model_Formula!$M$15*(Profiles_140!M44-Simulator!$L$13)^2*IF(Profiles_140!M44&gt;Simulator!$L$13,1+Model_Formula!$N$15,1)</x:f>
        <x:v>225</x:v>
      </x:c>
      <x:c r="I48" s="66" t="n">
        <x:f>Model_Formula!$M$16*(Profiles_140!N44-Simulator!$L$14)^2*IF(Profiles_140!N44&gt;Simulator!$L$14,1+Model_Formula!$N$16,1)</x:f>
        <x:v>2500</x:v>
      </x:c>
      <x:c r="J48" s="66" t="n">
        <x:f>Model_Formula!$M$17*(Profiles_140!O44-Simulator!$L$15)^2*IF(Profiles_140!O44&gt;Simulator!$L$15,1+Model_Formula!$N$17,1)</x:f>
        <x:v>1600</x:v>
      </x:c>
      <x:c r="K48" s="66" t="n">
        <x:f>Model_Formula!$M$18*(Profiles_140!P44-Simulator!$L$16)^2*IF(Profiles_140!P44&gt;Simulator!$L$16,1+Model_Formula!$N$18,1)</x:f>
        <x:v>1102.5</x:v>
      </x:c>
      <x:c r="L48" s="66" t="n">
        <x:f>Model_Formula!$M$19*(Profiles_140!Q44-Simulator!$L$17)^2*IF(Profiles_140!Q44&gt;Simulator!$L$17,1+Model_Formula!$N$19,1)</x:f>
        <x:v>225</x:v>
      </x:c>
      <x:c r="M48" s="66" t="n">
        <x:f>Model_Formula!$M$20*(Profiles_140!R44-Simulator!$L$18)^2*IF(Profiles_140!R44&gt;Simulator!$L$18,1+Model_Formula!$N$20,1)</x:f>
        <x:v>2025</x:v>
      </x:c>
      <x:c r="N48" s="66" t="n">
        <x:f>Model_Formula!$M$21*(Profiles_140!S44-Simulator!$L$19)^2*IF(Profiles_140!S44&gt;Simulator!$L$19,1+Model_Formula!$N$21,1)</x:f>
        <x:v>900</x:v>
      </x:c>
      <x:c r="O48" s="66" t="n">
        <x:f>Model_Formula!$M$22*(Profiles_140!T44-Simulator!$L$20)^2*IF(Profiles_140!T44&gt;Simulator!$L$20,1+Model_Formula!$N$22,1)</x:f>
        <x:v>900</x:v>
      </x:c>
      <x:c r="P48" s="66" t="n">
        <x:f>Model_Formula!$M$23*(Profiles_140!U44-Simulator!$L$21)^2*IF(Profiles_140!U44&gt;Simulator!$L$21,1+Model_Formula!$N$23,1)</x:f>
        <x:v>405</x:v>
      </x:c>
      <x:c r="Q48" s="66" t="n">
        <x:f>Model_Formula!$M$24*(Profiles_140!V44-Simulator!$L$22)^2*IF(Profiles_140!V44&gt;Simulator!$L$22,1+Model_Formula!$N$24,1)</x:f>
        <x:v>250</x:v>
      </x:c>
      <x:c r="R48" s="66" t="n">
        <x:f>Model_Formula!$M$25*(Profiles_140!W44-Simulator!$L$23)^2*IF(Profiles_140!W44&gt;Simulator!$L$23,1+Model_Formula!$N$25,1)</x:f>
        <x:v>45</x:v>
      </x:c>
      <x:c r="S48" s="66" t="n">
        <x:f>Model_Formula!$M$26*(Profiles_140!X44-Simulator!$L$24)^2*IF(Profiles_140!X44&gt;Simulator!$L$24,1+Model_Formula!$N$26,1)</x:f>
        <x:v>0</x:v>
      </x:c>
      <x:c r="T48" s="66" t="n">
        <x:f>Model_Formula!$M$27*(Profiles_140!Y44-Simulator!$L$25)^2*IF(Profiles_140!Y44&gt;Simulator!$L$25,1+Model_Formula!$N$27,1)</x:f>
        <x:v>120.74999999999999</x:v>
      </x:c>
      <x:c r="U48" s="60" t="n">
        <x:f>SUM(F48:T48)/SUM($F$4:$T$4)</x:f>
        <x:v>772.3507462686568</x:v>
      </x:c>
      <x:c r="V48" s="60" t="n">
        <x:f>SQRT(U48)</x:f>
        <x:v>27.791199079360663</x:v>
      </x:c>
      <x:c r="W48" s="60" t="n">
        <x:f>MAX(0,100-V48)</x:f>
        <x:v>72.20880092063933</x:v>
      </x:c>
      <x:c r="X48" s="60" t="n">
        <x:f>SUMPRODUCT(Profiles_140!K44:Y44,$F$4:$T$4)/SUM($F$4:$T$4)</x:f>
        <x:v>50.46641791044777</x:v>
      </x:c>
      <x:c r="Y48" s="60" t="n">
        <x:f>IFERROR(50+50*SUMPRODUCT(($F$3:$T$3-$X$3)*(Profiles_140!K44:Y44-X48),$F$4:$T$4)/SQRT(SUMPRODUCT(($F$3:$T$3-$X$3)^2,$F$4:$T$4)*SUMPRODUCT((Profiles_140!K44:Y44-X48)^2,$F$4:$T$4)),50)</x:f>
        <x:v>50.00000000000001</x:v>
      </x:c>
      <x:c r="Z48" s="60" t="n">
        <x:f>$Z$3</x:f>
        <x:v>3.9474596431116675e-16</x:v>
      </x:c>
      <x:c r="AA48" s="60" t="n">
        <x:f>W48*(1-Model_Formula!$F$8*Z48)+Y48*(Model_Formula!$F$8*Z48)</x:f>
        <x:v>72.20880092063933</x:v>
      </x:c>
      <x:c r="AB48" s="60" t="n">
        <x:f>SQRT(SUMPRODUCT((Profiles_140!K44:Y44-50)^2,$F$4:$T$4)/SUM($F$4:$T$4))</x:f>
        <x:v>27.7700445288503</x:v>
      </x:c>
      <x:c r="AC48" s="60" t="n">
        <x:f>MAX(-Model_Formula!$F$11,MIN(Model_Formula!$F$11,Model_Formula!$F$10*(AB48-AVERAGE($AB$6:$AB$135))))</x:f>
        <x:v>-0.40550410546533355</x:v>
      </x:c>
      <x:c r="AD48" s="60" t="n">
        <x:f>MAX(0,MIN(100,AA48+AC48))</x:f>
        <x:v>71.803296815174</x:v>
      </x:c>
      <x:c r="AE48" s="60" t="n">
        <x:f>MAX(0,MIN(1,IFERROR((MATCH(AD48,Percentile_Calibration!$F44:$DB44,1)-1)/100,0)))</x:f>
        <x:v>0.97</x:v>
      </x:c>
      <x:c r="AF48" s="62" t="n">
        <x:f>ROUND(MAX(Model_Formula!$I$9,Model_Formula!$I$5+Model_Formula!$I$6*POWER(AE48,Model_Formula!$I$7)),0)</x:f>
        <x:v>92</x:v>
      </x:c>
      <x:c r="AG48" t="n">
        <x:f>Profiles_140!AJ44</x:f>
        <x:v>0</x:v>
      </x:c>
      <x:c r="AH48" s="60" t="n">
        <x:f>Model_Formula!$I$8*(AE48*100)+(1-Model_Formula!$I$8)*AD48+AG48</x:f>
        <x:v>91.96065936303481</x:v>
      </x:c>
      <x:c r="AI48" t="n">
        <x:f>RANK.EQ(AH48,$AH$6:$AH$135,0)+COUNTIF($AH$6:AH48,AH48)-1</x:f>
        <x:v>11</x:v>
      </x:c>
    </x:row>
    <x:row r="49">
      <x:c r="A49" t="str">
        <x:f>Profiles_140!A45</x:f>
        <x:v>オーダイル</x:v>
      </x:c>
      <x:c r="B49" t="str">
        <x:f>Profiles_140!C45</x:f>
        <x:v>オーダイル-1</x:v>
      </x:c>
      <x:c r="C49" t="str">
        <x:f>Profiles_140!D45</x:f>
        <x:v>共通</x:v>
      </x:c>
      <x:c r="D49" t="str">
        <x:f>Profiles_140!B45</x:f>
        <x:v>バランス型</x:v>
      </x:c>
      <x:c r="E49" t="str">
        <x:f>Profiles_140!I45</x:f>
        <x:v>中</x:v>
      </x:c>
      <x:c r="F49" s="66" t="n">
        <x:f>Model_Formula!$M$13*(Profiles_140!K45-Simulator!$L$11)^2*IF(Profiles_140!K45&gt;Simulator!$L$11,1+Model_Formula!$N$13,1)</x:f>
        <x:v>900</x:v>
      </x:c>
      <x:c r="G49" s="66" t="n">
        <x:f>Model_Formula!$M$14*(Profiles_140!L45-Simulator!$L$12)^2*IF(Profiles_140!L45&gt;Simulator!$L$12,1+Model_Formula!$N$14,1)</x:f>
        <x:v>2126.25</x:v>
      </x:c>
      <x:c r="H49" s="66" t="n">
        <x:f>Model_Formula!$M$15*(Profiles_140!M45-Simulator!$L$13)^2*IF(Profiles_140!M45&gt;Simulator!$L$13,1+Model_Formula!$N$15,1)</x:f>
        <x:v>900</x:v>
      </x:c>
      <x:c r="I49" s="66" t="n">
        <x:f>Model_Formula!$M$16*(Profiles_140!N45-Simulator!$L$14)^2*IF(Profiles_140!N45&gt;Simulator!$L$14,1+Model_Formula!$N$16,1)</x:f>
        <x:v>25</x:v>
      </x:c>
      <x:c r="J49" s="66" t="n">
        <x:f>Model_Formula!$M$17*(Profiles_140!O45-Simulator!$L$15)^2*IF(Profiles_140!O45&gt;Simulator!$L$15,1+Model_Formula!$N$17,1)</x:f>
        <x:v>1600</x:v>
      </x:c>
      <x:c r="K49" s="66" t="n">
        <x:f>Model_Formula!$M$18*(Profiles_140!P45-Simulator!$L$16)^2*IF(Profiles_140!P45&gt;Simulator!$L$16,1+Model_Formula!$N$18,1)</x:f>
        <x:v>562.5</x:v>
      </x:c>
      <x:c r="L49" s="66" t="n">
        <x:f>Model_Formula!$M$19*(Profiles_140!Q45-Simulator!$L$17)^2*IF(Profiles_140!Q45&gt;Simulator!$L$17,1+Model_Formula!$N$19,1)</x:f>
        <x:v>225</x:v>
      </x:c>
      <x:c r="M49" s="66" t="n">
        <x:f>Model_Formula!$M$20*(Profiles_140!R45-Simulator!$L$18)^2*IF(Profiles_140!R45&gt;Simulator!$L$18,1+Model_Formula!$N$20,1)</x:f>
        <x:v>2025</x:v>
      </x:c>
      <x:c r="N49" s="66" t="n">
        <x:f>Model_Formula!$M$21*(Profiles_140!S45-Simulator!$L$19)^2*IF(Profiles_140!S45&gt;Simulator!$L$19,1+Model_Formula!$N$21,1)</x:f>
        <x:v>2500</x:v>
      </x:c>
      <x:c r="O49" s="66" t="n">
        <x:f>Model_Formula!$M$22*(Profiles_140!T45-Simulator!$L$20)^2*IF(Profiles_140!T45&gt;Simulator!$L$20,1+Model_Formula!$N$22,1)</x:f>
        <x:v>400</x:v>
      </x:c>
      <x:c r="P49" s="66" t="n">
        <x:f>Model_Formula!$M$23*(Profiles_140!U45-Simulator!$L$21)^2*IF(Profiles_140!U45&gt;Simulator!$L$21,1+Model_Formula!$N$23,1)</x:f>
        <x:v>11.25</x:v>
      </x:c>
      <x:c r="Q49" s="66" t="n">
        <x:f>Model_Formula!$M$24*(Profiles_140!V45-Simulator!$L$22)^2*IF(Profiles_140!V45&gt;Simulator!$L$22,1+Model_Formula!$N$24,1)</x:f>
        <x:v>40</x:v>
      </x:c>
      <x:c r="R49" s="66" t="n">
        <x:f>Model_Formula!$M$25*(Profiles_140!W45-Simulator!$L$23)^2*IF(Profiles_140!W45&gt;Simulator!$L$23,1+Model_Formula!$N$25,1)</x:f>
        <x:v>11.25</x:v>
      </x:c>
      <x:c r="S49" s="66" t="n">
        <x:f>Model_Formula!$M$26*(Profiles_140!X45-Simulator!$L$24)^2*IF(Profiles_140!X45&gt;Simulator!$L$24,1+Model_Formula!$N$26,1)</x:f>
        <x:v>334.12500000000006</x:v>
      </x:c>
      <x:c r="T49" s="66" t="n">
        <x:f>Model_Formula!$M$27*(Profiles_140!Y45-Simulator!$L$25)^2*IF(Profiles_140!Y45&gt;Simulator!$L$25,1+Model_Formula!$N$27,1)</x:f>
        <x:v>1086.75</x:v>
      </x:c>
      <x:c r="U49" s="60" t="n">
        <x:f>SUM(F49:T49)/SUM($F$4:$T$4)</x:f>
        <x:v>951.2779850746269</x:v>
      </x:c>
      <x:c r="V49" s="60" t="n">
        <x:f>SQRT(U49)</x:f>
        <x:v>30.84279470272801</x:v>
      </x:c>
      <x:c r="W49" s="60" t="n">
        <x:f>MAX(0,100-V49)</x:f>
        <x:v>69.15720529727199</x:v>
      </x:c>
      <x:c r="X49" s="60" t="n">
        <x:f>SUMPRODUCT(Profiles_140!K45:Y45,$F$4:$T$4)/SUM($F$4:$T$4)</x:f>
        <x:v>53.86194029850747</x:v>
      </x:c>
      <x:c r="Y49" s="60" t="n">
        <x:f>IFERROR(50+50*SUMPRODUCT(($F$3:$T$3-$X$3)*(Profiles_140!K45:Y45-X49),$F$4:$T$4)/SQRT(SUMPRODUCT(($F$3:$T$3-$X$3)^2,$F$4:$T$4)*SUMPRODUCT((Profiles_140!K45:Y45-X49)^2,$F$4:$T$4)),50)</x:f>
        <x:v>50.000000000000014</x:v>
      </x:c>
      <x:c r="Z49" s="60" t="n">
        <x:f>$Z$3</x:f>
        <x:v>3.9474596431116675e-16</x:v>
      </x:c>
      <x:c r="AA49" s="60" t="n">
        <x:f>W49*(1-Model_Formula!$F$8*Z49)+Y49*(Model_Formula!$F$8*Z49)</x:f>
        <x:v>69.15720529727199</x:v>
      </x:c>
      <x:c r="AB49" s="60" t="n">
        <x:f>SQRT(SUMPRODUCT((Profiles_140!K45:Y45-50)^2,$F$4:$T$4)/SUM($F$4:$T$4))</x:f>
        <x:v>30.565259276290554</x:v>
      </x:c>
      <x:c r="AC49" s="60" t="n">
        <x:f>MAX(-Model_Formula!$F$11,MIN(Model_Formula!$F$11,Model_Formula!$F$10*(AB49-AVERAGE($AB$6:$AB$135))))</x:f>
        <x:v>0.8523425308827813</x:v>
      </x:c>
      <x:c r="AD49" s="60" t="n">
        <x:f>MAX(0,MIN(100,AA49+AC49))</x:f>
        <x:v>70.00954782815477</x:v>
      </x:c>
      <x:c r="AE49" s="60" t="n">
        <x:f>MAX(0,MIN(1,IFERROR((MATCH(AD49,Percentile_Calibration!$F45:$DB45,1)-1)/100,0)))</x:f>
        <x:v>0.7</x:v>
      </x:c>
      <x:c r="AF49" s="62" t="n">
        <x:f>ROUND(MAX(Model_Formula!$I$9,Model_Formula!$I$5+Model_Formula!$I$6*POWER(AE49,Model_Formula!$I$7)),0)</x:f>
        <x:v>61</x:v>
      </x:c>
      <x:c r="AG49" t="n">
        <x:f>Profiles_140!AJ45</x:f>
        <x:v>0</x:v>
      </x:c>
      <x:c r="AH49" s="60" t="n">
        <x:f>Model_Formula!$I$8*(AE49*100)+(1-Model_Formula!$I$8)*AD49+AG49</x:f>
        <x:v>70.00190956563095</x:v>
      </x:c>
      <x:c r="AI49" t="n">
        <x:f>RANK.EQ(AH49,$AH$6:$AH$135,0)+COUNTIF($AH$6:AH49,AH49)-1</x:f>
        <x:v>106</x:v>
      </x:c>
    </x:row>
    <x:row r="50">
      <x:c r="A50" t="str">
        <x:f>Profiles_140!A46</x:f>
        <x:v>カイリキー</x:v>
      </x:c>
      <x:c r="B50" t="str">
        <x:f>Profiles_140!C46</x:f>
        <x:v>カイリキー-1</x:v>
      </x:c>
      <x:c r="C50" t="str">
        <x:f>Profiles_140!D46</x:f>
        <x:v>共通</x:v>
      </x:c>
      <x:c r="D50" t="str">
        <x:f>Profiles_140!B46</x:f>
        <x:v>バランス型</x:v>
      </x:c>
      <x:c r="E50" t="str">
        <x:f>Profiles_140!I46</x:f>
        <x:v>高</x:v>
      </x:c>
      <x:c r="F50" s="66" t="n">
        <x:f>Model_Formula!$M$13*(Profiles_140!K46-Simulator!$L$11)^2*IF(Profiles_140!K46&gt;Simulator!$L$11,1+Model_Formula!$N$13,1)</x:f>
        <x:v>900</x:v>
      </x:c>
      <x:c r="G50" s="66" t="n">
        <x:f>Model_Formula!$M$14*(Profiles_140!L46-Simulator!$L$12)^2*IF(Profiles_140!L46&gt;Simulator!$L$12,1+Model_Formula!$N$14,1)</x:f>
        <x:v>945</x:v>
      </x:c>
      <x:c r="H50" s="66" t="n">
        <x:f>Model_Formula!$M$15*(Profiles_140!M46-Simulator!$L$13)^2*IF(Profiles_140!M46&gt;Simulator!$L$13,1+Model_Formula!$N$15,1)</x:f>
        <x:v>900</x:v>
      </x:c>
      <x:c r="I50" s="66" t="n">
        <x:f>Model_Formula!$M$16*(Profiles_140!N46-Simulator!$L$14)^2*IF(Profiles_140!N46&gt;Simulator!$L$14,1+Model_Formula!$N$16,1)</x:f>
        <x:v>25</x:v>
      </x:c>
      <x:c r="J50" s="66" t="n">
        <x:f>Model_Formula!$M$17*(Profiles_140!O46-Simulator!$L$15)^2*IF(Profiles_140!O46&gt;Simulator!$L$15,1+Model_Formula!$N$17,1)</x:f>
        <x:v>1600</x:v>
      </x:c>
      <x:c r="K50" s="66" t="n">
        <x:f>Model_Formula!$M$18*(Profiles_140!P46-Simulator!$L$16)^2*IF(Profiles_140!P46&gt;Simulator!$L$16,1+Model_Formula!$N$18,1)</x:f>
        <x:v>562.5</x:v>
      </x:c>
      <x:c r="L50" s="66" t="n">
        <x:f>Model_Formula!$M$19*(Profiles_140!Q46-Simulator!$L$17)^2*IF(Profiles_140!Q46&gt;Simulator!$L$17,1+Model_Formula!$N$19,1)</x:f>
        <x:v>225</x:v>
      </x:c>
      <x:c r="M50" s="66" t="n">
        <x:f>Model_Formula!$M$20*(Profiles_140!R46-Simulator!$L$18)^2*IF(Profiles_140!R46&gt;Simulator!$L$18,1+Model_Formula!$N$20,1)</x:f>
        <x:v>2025</x:v>
      </x:c>
      <x:c r="N50" s="66" t="n">
        <x:f>Model_Formula!$M$21*(Profiles_140!S46-Simulator!$L$19)^2*IF(Profiles_140!S46&gt;Simulator!$L$19,1+Model_Formula!$N$21,1)</x:f>
        <x:v>900</x:v>
      </x:c>
      <x:c r="O50" s="66" t="n">
        <x:f>Model_Formula!$M$22*(Profiles_140!T46-Simulator!$L$20)^2*IF(Profiles_140!T46&gt;Simulator!$L$20,1+Model_Formula!$N$22,1)</x:f>
        <x:v>625</x:v>
      </x:c>
      <x:c r="P50" s="66" t="n">
        <x:f>Model_Formula!$M$23*(Profiles_140!U46-Simulator!$L$21)^2*IF(Profiles_140!U46&gt;Simulator!$L$21,1+Model_Formula!$N$23,1)</x:f>
        <x:v>45</x:v>
      </x:c>
      <x:c r="Q50" s="66" t="n">
        <x:f>Model_Formula!$M$24*(Profiles_140!V46-Simulator!$L$22)^2*IF(Profiles_140!V46&gt;Simulator!$L$22,1+Model_Formula!$N$24,1)</x:f>
        <x:v>40</x:v>
      </x:c>
      <x:c r="R50" s="66" t="n">
        <x:f>Model_Formula!$M$25*(Profiles_140!W46-Simulator!$L$23)^2*IF(Profiles_140!W46&gt;Simulator!$L$23,1+Model_Formula!$N$25,1)</x:f>
        <x:v>11.25</x:v>
      </x:c>
      <x:c r="S50" s="66" t="n">
        <x:f>Model_Formula!$M$26*(Profiles_140!X46-Simulator!$L$24)^2*IF(Profiles_140!X46&gt;Simulator!$L$24,1+Model_Formula!$N$26,1)</x:f>
        <x:v>334.12500000000006</x:v>
      </x:c>
      <x:c r="T50" s="66" t="n">
        <x:f>Model_Formula!$M$27*(Profiles_140!Y46-Simulator!$L$25)^2*IF(Profiles_140!Y46&gt;Simulator!$L$25,1+Model_Formula!$N$27,1)</x:f>
        <x:v>482.99999999999994</x:v>
      </x:c>
      <x:c r="U50" s="60" t="n">
        <x:f>SUM(F50:T50)/SUM($F$4:$T$4)</x:f>
        <x:v>717.9757462686568</x:v>
      </x:c>
      <x:c r="V50" s="60" t="n">
        <x:f>SQRT(U50)</x:f>
        <x:v>26.79506943951922</x:v>
      </x:c>
      <x:c r="W50" s="60" t="n">
        <x:f>MAX(0,100-V50)</x:f>
        <x:v>73.20493056048078</x:v>
      </x:c>
      <x:c r="X50" s="60" t="n">
        <x:f>SUMPRODUCT(Profiles_140!K46:Y46,$F$4:$T$4)/SUM($F$4:$T$4)</x:f>
        <x:v>53.52611940298508</x:v>
      </x:c>
      <x:c r="Y50" s="60" t="n">
        <x:f>IFERROR(50+50*SUMPRODUCT(($F$3:$T$3-$X$3)*(Profiles_140!K46:Y46-X50),$F$4:$T$4)/SQRT(SUMPRODUCT(($F$3:$T$3-$X$3)^2,$F$4:$T$4)*SUMPRODUCT((Profiles_140!K46:Y46-X50)^2,$F$4:$T$4)),50)</x:f>
        <x:v>50.000000000000014</x:v>
      </x:c>
      <x:c r="Z50" s="60" t="n">
        <x:f>$Z$3</x:f>
        <x:v>3.9474596431116675e-16</x:v>
      </x:c>
      <x:c r="AA50" s="60" t="n">
        <x:f>W50*(1-Model_Formula!$F$8*Z50)+Y50*(Model_Formula!$F$8*Z50)</x:f>
        <x:v>73.20493056048078</x:v>
      </x:c>
      <x:c r="AB50" s="60" t="n">
        <x:f>SQRT(SUMPRODUCT((Profiles_140!K46:Y46-50)^2,$F$4:$T$4)/SUM($F$4:$T$4))</x:f>
        <x:v>26.58589290380403</x:v>
      </x:c>
      <x:c r="AC50" s="60" t="n">
        <x:f>MAX(-Model_Formula!$F$11,MIN(Model_Formula!$F$11,Model_Formula!$F$10*(AB50-AVERAGE($AB$6:$AB$135))))</x:f>
        <x:v>-0.9383723367361546</x:v>
      </x:c>
      <x:c r="AD50" s="60" t="n">
        <x:f>MAX(0,MIN(100,AA50+AC50))</x:f>
        <x:v>72.26655822374462</x:v>
      </x:c>
      <x:c r="AE50" s="60" t="n">
        <x:f>MAX(0,MIN(1,IFERROR((MATCH(AD50,Percentile_Calibration!$F46:$DB46,1)-1)/100,0)))</x:f>
        <x:v>0.75</x:v>
      </x:c>
      <x:c r="AF50" s="62" t="n">
        <x:f>ROUND(MAX(Model_Formula!$I$9,Model_Formula!$I$5+Model_Formula!$I$6*POWER(AE50,Model_Formula!$I$7)),0)</x:f>
        <x:v>65</x:v>
      </x:c>
      <x:c r="AG50" t="n">
        <x:f>Profiles_140!AJ46</x:f>
        <x:v>0</x:v>
      </x:c>
      <x:c r="AH50" s="60" t="n">
        <x:f>Model_Formula!$I$8*(AE50*100)+(1-Model_Formula!$I$8)*AD50+AG50</x:f>
        <x:v>74.45331164474892</x:v>
      </x:c>
      <x:c r="AI50" t="n">
        <x:f>RANK.EQ(AH50,$AH$6:$AH$135,0)+COUNTIF($AH$6:AH50,AH50)-1</x:f>
        <x:v>78</x:v>
      </x:c>
    </x:row>
    <x:row r="51">
      <x:c r="A51" t="str">
        <x:f>Profiles_140!A47</x:f>
        <x:v>カイリュー</x:v>
      </x:c>
      <x:c r="B51" t="str">
        <x:f>Profiles_140!C47</x:f>
        <x:v>カイリュー-1</x:v>
      </x:c>
      <x:c r="C51" t="str">
        <x:f>Profiles_140!D47</x:f>
        <x:v>はかいこうせん</x:v>
      </x:c>
      <x:c r="D51" t="str">
        <x:f>Profiles_140!B47</x:f>
        <x:v>バランス型</x:v>
      </x:c>
      <x:c r="E51" t="str">
        <x:f>Profiles_140!I47</x:f>
        <x:v>高</x:v>
      </x:c>
      <x:c r="F51" s="66" t="n">
        <x:f>Model_Formula!$M$13*(Profiles_140!K47-Simulator!$L$11)^2*IF(Profiles_140!K47&gt;Simulator!$L$11,1+Model_Formula!$N$13,1)</x:f>
        <x:v>2025</x:v>
      </x:c>
      <x:c r="G51" s="66" t="n">
        <x:f>Model_Formula!$M$14*(Profiles_140!L47-Simulator!$L$12)^2*IF(Profiles_140!L47&gt;Simulator!$L$12,1+Model_Formula!$N$14,1)</x:f>
        <x:v>2126.25</x:v>
      </x:c>
      <x:c r="H51" s="66" t="n">
        <x:f>Model_Formula!$M$15*(Profiles_140!M47-Simulator!$L$13)^2*IF(Profiles_140!M47&gt;Simulator!$L$13,1+Model_Formula!$N$15,1)</x:f>
        <x:v>1600</x:v>
      </x:c>
      <x:c r="I51" s="66" t="n">
        <x:f>Model_Formula!$M$16*(Profiles_140!N47-Simulator!$L$14)^2*IF(Profiles_140!N47&gt;Simulator!$L$14,1+Model_Formula!$N$16,1)</x:f>
        <x:v>1600</x:v>
      </x:c>
      <x:c r="J51" s="66" t="n">
        <x:f>Model_Formula!$M$17*(Profiles_140!O47-Simulator!$L$15)^2*IF(Profiles_140!O47&gt;Simulator!$L$15,1+Model_Formula!$N$17,1)</x:f>
        <x:v>225</x:v>
      </x:c>
      <x:c r="K51" s="66" t="n">
        <x:f>Model_Formula!$M$18*(Profiles_140!P47-Simulator!$L$16)^2*IF(Profiles_140!P47&gt;Simulator!$L$16,1+Model_Formula!$N$18,1)</x:f>
        <x:v>810</x:v>
      </x:c>
      <x:c r="L51" s="66" t="n">
        <x:f>Model_Formula!$M$19*(Profiles_140!Q47-Simulator!$L$17)^2*IF(Profiles_140!Q47&gt;Simulator!$L$17,1+Model_Formula!$N$19,1)</x:f>
        <x:v>2025</x:v>
      </x:c>
      <x:c r="M51" s="66" t="n">
        <x:f>Model_Formula!$M$20*(Profiles_140!R47-Simulator!$L$18)^2*IF(Profiles_140!R47&gt;Simulator!$L$18,1+Model_Formula!$N$20,1)</x:f>
        <x:v>2025</x:v>
      </x:c>
      <x:c r="N51" s="66" t="n">
        <x:f>Model_Formula!$M$21*(Profiles_140!S47-Simulator!$L$19)^2*IF(Profiles_140!S47&gt;Simulator!$L$19,1+Model_Formula!$N$21,1)</x:f>
        <x:v>0</x:v>
      </x:c>
      <x:c r="O51" s="66" t="n">
        <x:f>Model_Formula!$M$22*(Profiles_140!T47-Simulator!$L$20)^2*IF(Profiles_140!T47&gt;Simulator!$L$20,1+Model_Formula!$N$22,1)</x:f>
        <x:v>25</x:v>
      </x:c>
      <x:c r="P51" s="66" t="n">
        <x:f>Model_Formula!$M$23*(Profiles_140!U47-Simulator!$L$21)^2*IF(Profiles_140!U47&gt;Simulator!$L$21,1+Model_Formula!$N$23,1)</x:f>
        <x:v>911.25</x:v>
      </x:c>
      <x:c r="Q51" s="66" t="n">
        <x:f>Model_Formula!$M$24*(Profiles_140!V47-Simulator!$L$22)^2*IF(Profiles_140!V47&gt;Simulator!$L$22,1+Model_Formula!$N$24,1)</x:f>
        <x:v>1000</x:v>
      </x:c>
      <x:c r="R51" s="66" t="n">
        <x:f>Model_Formula!$M$25*(Profiles_140!W47-Simulator!$L$23)^2*IF(Profiles_140!W47&gt;Simulator!$L$23,1+Model_Formula!$N$25,1)</x:f>
        <x:v>11.25</x:v>
      </x:c>
      <x:c r="S51" s="66" t="n">
        <x:f>Model_Formula!$M$26*(Profiles_140!X47-Simulator!$L$24)^2*IF(Profiles_140!X47&gt;Simulator!$L$24,1+Model_Formula!$N$26,1)</x:f>
        <x:v>334.12500000000006</x:v>
      </x:c>
      <x:c r="T51" s="66" t="n">
        <x:f>Model_Formula!$M$27*(Profiles_140!Y47-Simulator!$L$25)^2*IF(Profiles_140!Y47&gt;Simulator!$L$25,1+Model_Formula!$N$27,1)</x:f>
        <x:v>482.99999999999994</x:v>
      </x:c>
      <x:c r="U51" s="60" t="n">
        <x:f>SUM(F51:T51)/SUM($F$4:$T$4)</x:f>
        <x:v>1134.393656716418</x:v>
      </x:c>
      <x:c r="V51" s="60" t="n">
        <x:f>SQRT(U51)</x:f>
        <x:v>33.68076092840567</x:v>
      </x:c>
      <x:c r="W51" s="60" t="n">
        <x:f>MAX(0,100-V51)</x:f>
        <x:v>66.31923907159432</x:v>
      </x:c>
      <x:c r="X51" s="60" t="n">
        <x:f>SUMPRODUCT(Profiles_140!K47:Y47,$F$4:$T$4)/SUM($F$4:$T$4)</x:f>
        <x:v>39.90671641791045</x:v>
      </x:c>
      <x:c r="Y51" s="60" t="n">
        <x:f>IFERROR(50+50*SUMPRODUCT(($F$3:$T$3-$X$3)*(Profiles_140!K47:Y47-X51),$F$4:$T$4)/SQRT(SUMPRODUCT(($F$3:$T$3-$X$3)^2,$F$4:$T$4)*SUMPRODUCT((Profiles_140!K47:Y47-X51)^2,$F$4:$T$4)),50)</x:f>
        <x:v>50.00000000000001</x:v>
      </x:c>
      <x:c r="Z51" s="60" t="n">
        <x:f>$Z$3</x:f>
        <x:v>3.9474596431116675e-16</x:v>
      </x:c>
      <x:c r="AA51" s="60" t="n">
        <x:f>W51*(1-Model_Formula!$F$8*Z51)+Y51*(Model_Formula!$F$8*Z51)</x:f>
        <x:v>66.31923907159432</x:v>
      </x:c>
      <x:c r="AB51" s="60" t="n">
        <x:f>SQRT(SUMPRODUCT((Profiles_140!K47:Y47-50)^2,$F$4:$T$4)/SUM($F$4:$T$4))</x:f>
        <x:v>33.51458804670436</x:v>
      </x:c>
      <x:c r="AC51" s="60" t="n">
        <x:f>MAX(-Model_Formula!$F$11,MIN(Model_Formula!$F$11,Model_Formula!$F$10*(AB51-AVERAGE($AB$6:$AB$135))))</x:f>
        <x:v>2.1795404775689944</x:v>
      </x:c>
      <x:c r="AD51" s="60" t="n">
        <x:f>MAX(0,MIN(100,AA51+AC51))</x:f>
        <x:v>68.49877954916332</x:v>
      </x:c>
      <x:c r="AE51" s="60" t="n">
        <x:f>MAX(0,MIN(1,IFERROR((MATCH(AD51,Percentile_Calibration!$F47:$DB47,1)-1)/100,0)))</x:f>
        <x:v>0.71</x:v>
      </x:c>
      <x:c r="AF51" s="62" t="n">
        <x:f>ROUND(MAX(Model_Formula!$I$9,Model_Formula!$I$5+Model_Formula!$I$6*POWER(AE51,Model_Formula!$I$7)),0)</x:f>
        <x:v>62</x:v>
      </x:c>
      <x:c r="AG51" t="n">
        <x:f>Profiles_140!AJ47</x:f>
        <x:v>0</x:v>
      </x:c>
      <x:c r="AH51" s="60" t="n">
        <x:f>Model_Formula!$I$8*(AE51*100)+(1-Model_Formula!$I$8)*AD51+AG51</x:f>
        <x:v>70.49975590983266</x:v>
      </x:c>
      <x:c r="AI51" t="n">
        <x:f>RANK.EQ(AH51,$AH$6:$AH$135,0)+COUNTIF($AH$6:AH51,AH51)-1</x:f>
        <x:v>102</x:v>
      </x:c>
    </x:row>
    <x:row r="52">
      <x:c r="A52" t="str">
        <x:f>Profiles_140!A48</x:f>
        <x:v>カイリュー</x:v>
      </x:c>
      <x:c r="B52" t="str">
        <x:f>Profiles_140!C48</x:f>
        <x:v>カイリュー-2</x:v>
      </x:c>
      <x:c r="C52" t="str">
        <x:f>Profiles_140!D48</x:f>
        <x:v>げきりん</x:v>
      </x:c>
      <x:c r="D52" t="str">
        <x:f>Profiles_140!B48</x:f>
        <x:v>バランス型</x:v>
      </x:c>
      <x:c r="E52" t="str">
        <x:f>Profiles_140!I48</x:f>
        <x:v>高</x:v>
      </x:c>
      <x:c r="F52" s="66" t="n">
        <x:f>Model_Formula!$M$13*(Profiles_140!K48-Simulator!$L$11)^2*IF(Profiles_140!K48&gt;Simulator!$L$11,1+Model_Formula!$N$13,1)</x:f>
        <x:v>400</x:v>
      </x:c>
      <x:c r="G52" s="66" t="n">
        <x:f>Model_Formula!$M$14*(Profiles_140!L48-Simulator!$L$12)^2*IF(Profiles_140!L48&gt;Simulator!$L$12,1+Model_Formula!$N$14,1)</x:f>
        <x:v>656.25</x:v>
      </x:c>
      <x:c r="H52" s="66" t="n">
        <x:f>Model_Formula!$M$15*(Profiles_140!M48-Simulator!$L$13)^2*IF(Profiles_140!M48&gt;Simulator!$L$13,1+Model_Formula!$N$15,1)</x:f>
        <x:v>900</x:v>
      </x:c>
      <x:c r="I52" s="66" t="n">
        <x:f>Model_Formula!$M$16*(Profiles_140!N48-Simulator!$L$14)^2*IF(Profiles_140!N48&gt;Simulator!$L$14,1+Model_Formula!$N$16,1)</x:f>
        <x:v>2025</x:v>
      </x:c>
      <x:c r="J52" s="66" t="n">
        <x:f>Model_Formula!$M$17*(Profiles_140!O48-Simulator!$L$15)^2*IF(Profiles_140!O48&gt;Simulator!$L$15,1+Model_Formula!$N$17,1)</x:f>
        <x:v>2500</x:v>
      </x:c>
      <x:c r="K52" s="66" t="n">
        <x:f>Model_Formula!$M$18*(Profiles_140!P48-Simulator!$L$16)^2*IF(Profiles_140!P48&gt;Simulator!$L$16,1+Model_Formula!$N$18,1)</x:f>
        <x:v>22.5</x:v>
      </x:c>
      <x:c r="L52" s="66" t="n">
        <x:f>Model_Formula!$M$19*(Profiles_140!Q48-Simulator!$L$17)^2*IF(Profiles_140!Q48&gt;Simulator!$L$17,1+Model_Formula!$N$19,1)</x:f>
        <x:v>0</x:v>
      </x:c>
      <x:c r="M52" s="66" t="n">
        <x:f>Model_Formula!$M$20*(Profiles_140!R48-Simulator!$L$18)^2*IF(Profiles_140!R48&gt;Simulator!$L$18,1+Model_Formula!$N$20,1)</x:f>
        <x:v>2500</x:v>
      </x:c>
      <x:c r="N52" s="66" t="n">
        <x:f>Model_Formula!$M$21*(Profiles_140!S48-Simulator!$L$19)^2*IF(Profiles_140!S48&gt;Simulator!$L$19,1+Model_Formula!$N$21,1)</x:f>
        <x:v>25</x:v>
      </x:c>
      <x:c r="O52" s="66" t="n">
        <x:f>Model_Formula!$M$22*(Profiles_140!T48-Simulator!$L$20)^2*IF(Profiles_140!T48&gt;Simulator!$L$20,1+Model_Formula!$N$22,1)</x:f>
        <x:v>1225</x:v>
      </x:c>
      <x:c r="P52" s="66" t="n">
        <x:f>Model_Formula!$M$23*(Profiles_140!U48-Simulator!$L$21)^2*IF(Profiles_140!U48&gt;Simulator!$L$21,1+Model_Formula!$N$23,1)</x:f>
        <x:v>180</x:v>
      </x:c>
      <x:c r="Q52" s="66" t="n">
        <x:f>Model_Formula!$M$24*(Profiles_140!V48-Simulator!$L$22)^2*IF(Profiles_140!V48&gt;Simulator!$L$22,1+Model_Formula!$N$24,1)</x:f>
        <x:v>90</x:v>
      </x:c>
      <x:c r="R52" s="66" t="n">
        <x:f>Model_Formula!$M$25*(Profiles_140!W48-Simulator!$L$23)^2*IF(Profiles_140!W48&gt;Simulator!$L$23,1+Model_Formula!$N$25,1)</x:f>
        <x:v>11.25</x:v>
      </x:c>
      <x:c r="S52" s="66" t="n">
        <x:f>Model_Formula!$M$26*(Profiles_140!X48-Simulator!$L$24)^2*IF(Profiles_140!X48&gt;Simulator!$L$24,1+Model_Formula!$N$26,1)</x:f>
        <x:v>148.50000000000003</x:v>
      </x:c>
      <x:c r="T52" s="66" t="n">
        <x:f>Model_Formula!$M$27*(Profiles_140!Y48-Simulator!$L$25)^2*IF(Profiles_140!Y48&gt;Simulator!$L$25,1+Model_Formula!$N$27,1)</x:f>
        <x:v>120.74999999999999</x:v>
      </x:c>
      <x:c r="U52" s="60" t="n">
        <x:f>SUM(F52:T52)/SUM($F$4:$T$4)</x:f>
        <x:v>806.287313432836</x:v>
      </x:c>
      <x:c r="V52" s="60" t="n">
        <x:f>SQRT(U52)</x:f>
        <x:v>28.395198774314576</x:v>
      </x:c>
      <x:c r="W52" s="60" t="n">
        <x:f>MAX(0,100-V52)</x:f>
        <x:v>71.60480122568542</x:v>
      </x:c>
      <x:c r="X52" s="60" t="n">
        <x:f>SUMPRODUCT(Profiles_140!K48:Y48,$F$4:$T$4)/SUM($F$4:$T$4)</x:f>
        <x:v>53.320895522388064</x:v>
      </x:c>
      <x:c r="Y52" s="60" t="n">
        <x:f>IFERROR(50+50*SUMPRODUCT(($F$3:$T$3-$X$3)*(Profiles_140!K48:Y48-X52),$F$4:$T$4)/SQRT(SUMPRODUCT(($F$3:$T$3-$X$3)^2,$F$4:$T$4)*SUMPRODUCT((Profiles_140!K48:Y48-X52)^2,$F$4:$T$4)),50)</x:f>
        <x:v>50.00000000000001</x:v>
      </x:c>
      <x:c r="Z52" s="60" t="n">
        <x:f>$Z$3</x:f>
        <x:v>3.9474596431116675e-16</x:v>
      </x:c>
      <x:c r="AA52" s="60" t="n">
        <x:f>W52*(1-Model_Formula!$F$8*Z52)+Y52*(Model_Formula!$F$8*Z52)</x:f>
        <x:v>71.60480122568542</x:v>
      </x:c>
      <x:c r="AB52" s="60" t="n">
        <x:f>SQRT(SUMPRODUCT((Profiles_140!K48:Y48-50)^2,$F$4:$T$4)/SUM($F$4:$T$4))</x:f>
        <x:v>28.323820469176635</x:v>
      </x:c>
      <x:c r="AC52" s="60" t="n">
        <x:f>MAX(-Model_Formula!$F$11,MIN(Model_Formula!$F$11,Model_Formula!$F$10*(AB52-AVERAGE($AB$6:$AB$135))))</x:f>
        <x:v>-0.15630493231848241</x:v>
      </x:c>
      <x:c r="AD52" s="60" t="n">
        <x:f>MAX(0,MIN(100,AA52+AC52))</x:f>
        <x:v>71.44849629336694</x:v>
      </x:c>
      <x:c r="AE52" s="60" t="n">
        <x:f>MAX(0,MIN(1,IFERROR((MATCH(AD52,Percentile_Calibration!$F48:$DB48,1)-1)/100,0)))</x:f>
        <x:v>0.82</x:v>
      </x:c>
      <x:c r="AF52" s="62" t="n">
        <x:f>ROUND(MAX(Model_Formula!$I$9,Model_Formula!$I$5+Model_Formula!$I$6*POWER(AE52,Model_Formula!$I$7)),0)</x:f>
        <x:v>72</x:v>
      </x:c>
      <x:c r="AG52" t="n">
        <x:f>Profiles_140!AJ48</x:f>
        <x:v>0</x:v>
      </x:c>
      <x:c r="AH52" s="60" t="n">
        <x:f>Model_Formula!$I$8*(AE52*100)+(1-Model_Formula!$I$8)*AD52+AG52</x:f>
        <x:v>79.88969925867339</x:v>
      </x:c>
      <x:c r="AI52" t="n">
        <x:f>RANK.EQ(AH52,$AH$6:$AH$135,0)+COUNTIF($AH$6:AH52,AH52)-1</x:f>
        <x:v>51</x:v>
      </x:c>
    </x:row>
    <x:row r="53">
      <x:c r="A53" t="str">
        <x:f>Profiles_140!A49</x:f>
        <x:v>ガブリアス</x:v>
      </x:c>
      <x:c r="B53" t="str">
        <x:f>Profiles_140!C49</x:f>
        <x:v>ガブリアス-1</x:v>
      </x:c>
      <x:c r="C53" t="str">
        <x:f>Profiles_140!D49</x:f>
        <x:v>共通</x:v>
      </x:c>
      <x:c r="D53" t="str">
        <x:f>Profiles_140!B49</x:f>
        <x:v>バランス型</x:v>
      </x:c>
      <x:c r="E53" t="str">
        <x:f>Profiles_140!I49</x:f>
        <x:v>高</x:v>
      </x:c>
      <x:c r="F53" s="66" t="n">
        <x:f>Model_Formula!$M$13*(Profiles_140!K49-Simulator!$L$11)^2*IF(Profiles_140!K49&gt;Simulator!$L$11,1+Model_Formula!$N$13,1)</x:f>
        <x:v>25</x:v>
      </x:c>
      <x:c r="G53" s="66" t="n">
        <x:f>Model_Formula!$M$14*(Profiles_140!L49-Simulator!$L$12)^2*IF(Profiles_140!L49&gt;Simulator!$L$12,1+Model_Formula!$N$14,1)</x:f>
        <x:v>26.25</x:v>
      </x:c>
      <x:c r="H53" s="66" t="n">
        <x:f>Model_Formula!$M$15*(Profiles_140!M49-Simulator!$L$13)^2*IF(Profiles_140!M49&gt;Simulator!$L$13,1+Model_Formula!$N$15,1)</x:f>
        <x:v>225</x:v>
      </x:c>
      <x:c r="I53" s="66" t="n">
        <x:f>Model_Formula!$M$16*(Profiles_140!N49-Simulator!$L$14)^2*IF(Profiles_140!N49&gt;Simulator!$L$14,1+Model_Formula!$N$16,1)</x:f>
        <x:v>2500</x:v>
      </x:c>
      <x:c r="J53" s="66" t="n">
        <x:f>Model_Formula!$M$17*(Profiles_140!O49-Simulator!$L$15)^2*IF(Profiles_140!O49&gt;Simulator!$L$15,1+Model_Formula!$N$17,1)</x:f>
        <x:v>1600</x:v>
      </x:c>
      <x:c r="K53" s="66" t="n">
        <x:f>Model_Formula!$M$18*(Profiles_140!P49-Simulator!$L$16)^2*IF(Profiles_140!P49&gt;Simulator!$L$16,1+Model_Formula!$N$18,1)</x:f>
        <x:v>1822.5</x:v>
      </x:c>
      <x:c r="L53" s="66" t="n">
        <x:f>Model_Formula!$M$19*(Profiles_140!Q49-Simulator!$L$17)^2*IF(Profiles_140!Q49&gt;Simulator!$L$17,1+Model_Formula!$N$19,1)</x:f>
        <x:v>400</x:v>
      </x:c>
      <x:c r="M53" s="66" t="n">
        <x:f>Model_Formula!$M$20*(Profiles_140!R49-Simulator!$L$18)^2*IF(Profiles_140!R49&gt;Simulator!$L$18,1+Model_Formula!$N$20,1)</x:f>
        <x:v>2025</x:v>
      </x:c>
      <x:c r="N53" s="66" t="n">
        <x:f>Model_Formula!$M$21*(Profiles_140!S49-Simulator!$L$19)^2*IF(Profiles_140!S49&gt;Simulator!$L$19,1+Model_Formula!$N$21,1)</x:f>
        <x:v>1225</x:v>
      </x:c>
      <x:c r="O53" s="66" t="n">
        <x:f>Model_Formula!$M$22*(Profiles_140!T49-Simulator!$L$20)^2*IF(Profiles_140!T49&gt;Simulator!$L$20,1+Model_Formula!$N$22,1)</x:f>
        <x:v>900</x:v>
      </x:c>
      <x:c r="P53" s="66" t="n">
        <x:f>Model_Formula!$M$23*(Profiles_140!U49-Simulator!$L$21)^2*IF(Profiles_140!U49&gt;Simulator!$L$21,1+Model_Formula!$N$23,1)</x:f>
        <x:v>405</x:v>
      </x:c>
      <x:c r="Q53" s="66" t="n">
        <x:f>Model_Formula!$M$24*(Profiles_140!V49-Simulator!$L$22)^2*IF(Profiles_140!V49&gt;Simulator!$L$22,1+Model_Formula!$N$24,1)</x:f>
        <x:v>640</x:v>
      </x:c>
      <x:c r="R53" s="66" t="n">
        <x:f>Model_Formula!$M$25*(Profiles_140!W49-Simulator!$L$23)^2*IF(Profiles_140!W49&gt;Simulator!$L$23,1+Model_Formula!$N$25,1)</x:f>
        <x:v>45</x:v>
      </x:c>
      <x:c r="S53" s="66" t="n">
        <x:f>Model_Formula!$M$26*(Profiles_140!X49-Simulator!$L$24)^2*IF(Profiles_140!X49&gt;Simulator!$L$24,1+Model_Formula!$N$26,1)</x:f>
        <x:v>0</x:v>
      </x:c>
      <x:c r="T53" s="66" t="n">
        <x:f>Model_Formula!$M$27*(Profiles_140!Y49-Simulator!$L$25)^2*IF(Profiles_140!Y49&gt;Simulator!$L$25,1+Model_Formula!$N$27,1)</x:f>
        <x:v>0</x:v>
      </x:c>
      <x:c r="U53" s="60" t="n">
        <x:f>SUM(F53:T53)/SUM($F$4:$T$4)</x:f>
        <x:v>883.4888059701493</x:v>
      </x:c>
      <x:c r="V53" s="60" t="n">
        <x:f>SQRT(U53)</x:f>
        <x:v>29.723539593563707</x:v>
      </x:c>
      <x:c r="W53" s="60" t="n">
        <x:f>MAX(0,100-V53)</x:f>
        <x:v>70.27646040643629</x:v>
      </x:c>
      <x:c r="X53" s="60" t="n">
        <x:f>SUMPRODUCT(Profiles_140!K49:Y49,$F$4:$T$4)/SUM($F$4:$T$4)</x:f>
        <x:v>50.05597014925374</x:v>
      </x:c>
      <x:c r="Y53" s="60" t="n">
        <x:f>IFERROR(50+50*SUMPRODUCT(($F$3:$T$3-$X$3)*(Profiles_140!K49:Y49-X53),$F$4:$T$4)/SQRT(SUMPRODUCT(($F$3:$T$3-$X$3)^2,$F$4:$T$4)*SUMPRODUCT((Profiles_140!K49:Y49-X53)^2,$F$4:$T$4)),50)</x:f>
        <x:v>50.000000000000014</x:v>
      </x:c>
      <x:c r="Z53" s="60" t="n">
        <x:f>$Z$3</x:f>
        <x:v>3.9474596431116675e-16</x:v>
      </x:c>
      <x:c r="AA53" s="60" t="n">
        <x:f>W53*(1-Model_Formula!$F$8*Z53)+Y53*(Model_Formula!$F$8*Z53)</x:f>
        <x:v>70.27646040643629</x:v>
      </x:c>
      <x:c r="AB53" s="60" t="n">
        <x:f>SQRT(SUMPRODUCT((Profiles_140!K49:Y49-50)^2,$F$4:$T$4)/SUM($F$4:$T$4))</x:f>
        <x:v>29.723539593563707</x:v>
      </x:c>
      <x:c r="AC53" s="60" t="n">
        <x:f>MAX(-Model_Formula!$F$11,MIN(Model_Formula!$F$11,Model_Formula!$F$10*(AB53-AVERAGE($AB$6:$AB$135))))</x:f>
        <x:v>0.47356867365570016</x:v>
      </x:c>
      <x:c r="AD53" s="60" t="n">
        <x:f>MAX(0,MIN(100,AA53+AC53))</x:f>
        <x:v>70.75002908009199</x:v>
      </x:c>
      <x:c r="AE53" s="60" t="n">
        <x:f>MAX(0,MIN(1,IFERROR((MATCH(AD53,Percentile_Calibration!$F49:$DB49,1)-1)/100,0)))</x:f>
        <x:v>0.95</x:v>
      </x:c>
      <x:c r="AF53" s="62" t="n">
        <x:f>ROUND(MAX(Model_Formula!$I$9,Model_Formula!$I$5+Model_Formula!$I$6*POWER(AE53,Model_Formula!$I$7)),0)</x:f>
        <x:v>89</x:v>
      </x:c>
      <x:c r="AG53" t="n">
        <x:f>Profiles_140!AJ49</x:f>
        <x:v>0</x:v>
      </x:c>
      <x:c r="AH53" s="60" t="n">
        <x:f>Model_Formula!$I$8*(AE53*100)+(1-Model_Formula!$I$8)*AD53+AG53</x:f>
        <x:v>90.15000581601839</x:v>
      </x:c>
      <x:c r="AI53" t="n">
        <x:f>RANK.EQ(AH53,$AH$6:$AH$135,0)+COUNTIF($AH$6:AH53,AH53)-1</x:f>
        <x:v>20</x:v>
      </x:c>
    </x:row>
    <x:row r="54">
      <x:c r="A54" t="str">
        <x:f>Profiles_140!A50</x:f>
        <x:v>ギャラドス</x:v>
      </x:c>
      <x:c r="B54" t="str">
        <x:f>Profiles_140!C50</x:f>
        <x:v>ギャラドス-1</x:v>
      </x:c>
      <x:c r="C54" t="str">
        <x:f>Profiles_140!D50</x:f>
        <x:v>共通</x:v>
      </x:c>
      <x:c r="D54" t="str">
        <x:f>Profiles_140!B50</x:f>
        <x:v>バランス型</x:v>
      </x:c>
      <x:c r="E54" t="str">
        <x:f>Profiles_140!I50</x:f>
        <x:v>高</x:v>
      </x:c>
      <x:c r="F54" s="66" t="n">
        <x:f>Model_Formula!$M$13*(Profiles_140!K50-Simulator!$L$11)^2*IF(Profiles_140!K50&gt;Simulator!$L$11,1+Model_Formula!$N$13,1)</x:f>
        <x:v>2025</x:v>
      </x:c>
      <x:c r="G54" s="66" t="n">
        <x:f>Model_Formula!$M$14*(Profiles_140!L50-Simulator!$L$12)^2*IF(Profiles_140!L50&gt;Simulator!$L$12,1+Model_Formula!$N$14,1)</x:f>
        <x:v>1286.25</x:v>
      </x:c>
      <x:c r="H54" s="66" t="n">
        <x:f>Model_Formula!$M$15*(Profiles_140!M50-Simulator!$L$13)^2*IF(Profiles_140!M50&gt;Simulator!$L$13,1+Model_Formula!$N$15,1)</x:f>
        <x:v>900</x:v>
      </x:c>
      <x:c r="I54" s="66" t="n">
        <x:f>Model_Formula!$M$16*(Profiles_140!N50-Simulator!$L$14)^2*IF(Profiles_140!N50&gt;Simulator!$L$14,1+Model_Formula!$N$16,1)</x:f>
        <x:v>25</x:v>
      </x:c>
      <x:c r="J54" s="66" t="n">
        <x:f>Model_Formula!$M$17*(Profiles_140!O50-Simulator!$L$15)^2*IF(Profiles_140!O50&gt;Simulator!$L$15,1+Model_Formula!$N$17,1)</x:f>
        <x:v>1600</x:v>
      </x:c>
      <x:c r="K54" s="66" t="n">
        <x:f>Model_Formula!$M$18*(Profiles_140!P50-Simulator!$L$16)^2*IF(Profiles_140!P50&gt;Simulator!$L$16,1+Model_Formula!$N$18,1)</x:f>
        <x:v>202.5</x:v>
      </x:c>
      <x:c r="L54" s="66" t="n">
        <x:f>Model_Formula!$M$19*(Profiles_140!Q50-Simulator!$L$17)^2*IF(Profiles_140!Q50&gt;Simulator!$L$17,1+Model_Formula!$N$19,1)</x:f>
        <x:v>25</x:v>
      </x:c>
      <x:c r="M54" s="66" t="n">
        <x:f>Model_Formula!$M$20*(Profiles_140!R50-Simulator!$L$18)^2*IF(Profiles_140!R50&gt;Simulator!$L$18,1+Model_Formula!$N$20,1)</x:f>
        <x:v>2025</x:v>
      </x:c>
      <x:c r="N54" s="66" t="n">
        <x:f>Model_Formula!$M$21*(Profiles_140!S50-Simulator!$L$19)^2*IF(Profiles_140!S50&gt;Simulator!$L$19,1+Model_Formula!$N$21,1)</x:f>
        <x:v>900</x:v>
      </x:c>
      <x:c r="O54" s="66" t="n">
        <x:f>Model_Formula!$M$22*(Profiles_140!T50-Simulator!$L$20)^2*IF(Profiles_140!T50&gt;Simulator!$L$20,1+Model_Formula!$N$22,1)</x:f>
        <x:v>400</x:v>
      </x:c>
      <x:c r="P54" s="66" t="n">
        <x:f>Model_Formula!$M$23*(Profiles_140!U50-Simulator!$L$21)^2*IF(Profiles_140!U50&gt;Simulator!$L$21,1+Model_Formula!$N$23,1)</x:f>
        <x:v>45</x:v>
      </x:c>
      <x:c r="Q54" s="66" t="n">
        <x:f>Model_Formula!$M$24*(Profiles_140!V50-Simulator!$L$22)^2*IF(Profiles_140!V50&gt;Simulator!$L$22,1+Model_Formula!$N$24,1)</x:f>
        <x:v>40</x:v>
      </x:c>
      <x:c r="R54" s="66" t="n">
        <x:f>Model_Formula!$M$25*(Profiles_140!W50-Simulator!$L$23)^2*IF(Profiles_140!W50&gt;Simulator!$L$23,1+Model_Formula!$N$25,1)</x:f>
        <x:v>11.25</x:v>
      </x:c>
      <x:c r="S54" s="66" t="n">
        <x:f>Model_Formula!$M$26*(Profiles_140!X50-Simulator!$L$24)^2*IF(Profiles_140!X50&gt;Simulator!$L$24,1+Model_Formula!$N$26,1)</x:f>
        <x:v>334.12500000000006</x:v>
      </x:c>
      <x:c r="T54" s="66" t="n">
        <x:f>Model_Formula!$M$27*(Profiles_140!Y50-Simulator!$L$25)^2*IF(Profiles_140!Y50&gt;Simulator!$L$25,1+Model_Formula!$N$27,1)</x:f>
        <x:v>482.99999999999994</x:v>
      </x:c>
      <x:c r="U54" s="60" t="n">
        <x:f>SUM(F54:T54)/SUM($F$4:$T$4)</x:f>
        <x:v>768.8152985074628</x:v>
      </x:c>
      <x:c r="V54" s="60" t="n">
        <x:f>SQRT(U54)</x:f>
        <x:v>27.727518794646283</x:v>
      </x:c>
      <x:c r="W54" s="60" t="n">
        <x:f>MAX(0,100-V54)</x:f>
        <x:v>72.27248120535371</x:v>
      </x:c>
      <x:c r="X54" s="60" t="n">
        <x:f>SUMPRODUCT(Profiles_140!K50:Y50,$F$4:$T$4)/SUM($F$4:$T$4)</x:f>
        <x:v>53.843283582089555</x:v>
      </x:c>
      <x:c r="Y54" s="60" t="n">
        <x:f>IFERROR(50+50*SUMPRODUCT(($F$3:$T$3-$X$3)*(Profiles_140!K50:Y50-X54),$F$4:$T$4)/SQRT(SUMPRODUCT(($F$3:$T$3-$X$3)^2,$F$4:$T$4)*SUMPRODUCT((Profiles_140!K50:Y50-X54)^2,$F$4:$T$4)),50)</x:f>
        <x:v>50.00000000000001</x:v>
      </x:c>
      <x:c r="Z54" s="60" t="n">
        <x:f>$Z$3</x:f>
        <x:v>3.9474596431116675e-16</x:v>
      </x:c>
      <x:c r="AA54" s="60" t="n">
        <x:f>W54*(1-Model_Formula!$F$8*Z54)+Y54*(Model_Formula!$F$8*Z54)</x:f>
        <x:v>72.27248120535371</x:v>
      </x:c>
      <x:c r="AB54" s="60" t="n">
        <x:f>SQRT(SUMPRODUCT((Profiles_140!K50:Y50-50)^2,$F$4:$T$4)/SUM($F$4:$T$4))</x:f>
        <x:v>27.525429219747753</x:v>
      </x:c>
      <x:c r="AC54" s="60" t="n">
        <x:f>MAX(-Model_Formula!$F$11,MIN(Model_Formula!$F$11,Model_Formula!$F$10*(AB54-AVERAGE($AB$6:$AB$135))))</x:f>
        <x:v>-0.5155809945614792</x:v>
      </x:c>
      <x:c r="AD54" s="60" t="n">
        <x:f>MAX(0,MIN(100,AA54+AC54))</x:f>
        <x:v>71.75690021079224</x:v>
      </x:c>
      <x:c r="AE54" s="60" t="n">
        <x:f>MAX(0,MIN(1,IFERROR((MATCH(AD54,Percentile_Calibration!$F50:$DB50,1)-1)/100,0)))</x:f>
        <x:v>0.73</x:v>
      </x:c>
      <x:c r="AF54" s="62" t="n">
        <x:f>ROUND(MAX(Model_Formula!$I$9,Model_Formula!$I$5+Model_Formula!$I$6*POWER(AE54,Model_Formula!$I$7)),0)</x:f>
        <x:v>63</x:v>
      </x:c>
      <x:c r="AG54" t="n">
        <x:f>Profiles_140!AJ50</x:f>
        <x:v>0</x:v>
      </x:c>
      <x:c r="AH54" s="60" t="n">
        <x:f>Model_Formula!$I$8*(AE54*100)+(1-Model_Formula!$I$8)*AD54+AG54</x:f>
        <x:v>72.75138004215844</x:v>
      </x:c>
      <x:c r="AI54" t="n">
        <x:f>RANK.EQ(AH54,$AH$6:$AH$135,0)+COUNTIF($AH$6:AH54,AH54)-1</x:f>
        <x:v>91</x:v>
      </x:c>
    </x:row>
    <x:row r="55">
      <x:c r="A55" t="str">
        <x:f>Profiles_140!A51</x:f>
        <x:v>メガギャラドス</x:v>
      </x:c>
      <x:c r="B55" t="str">
        <x:f>Profiles_140!C51</x:f>
        <x:v>メガギャラドス-1</x:v>
      </x:c>
      <x:c r="C55" t="str">
        <x:f>Profiles_140!D51</x:f>
        <x:v>共通</x:v>
      </x:c>
      <x:c r="D55" t="str">
        <x:f>Profiles_140!B51</x:f>
        <x:v>バランス型</x:v>
      </x:c>
      <x:c r="E55" t="str">
        <x:f>Profiles_140!I51</x:f>
        <x:v>中</x:v>
      </x:c>
      <x:c r="F55" s="66" t="n">
        <x:f>Model_Formula!$M$13*(Profiles_140!K51-Simulator!$L$11)^2*IF(Profiles_140!K51&gt;Simulator!$L$11,1+Model_Formula!$N$13,1)</x:f>
        <x:v>900</x:v>
      </x:c>
      <x:c r="G55" s="66" t="n">
        <x:f>Model_Formula!$M$14*(Profiles_140!L51-Simulator!$L$12)^2*IF(Profiles_140!L51&gt;Simulator!$L$12,1+Model_Formula!$N$14,1)</x:f>
        <x:v>1680</x:v>
      </x:c>
      <x:c r="H55" s="66" t="n">
        <x:f>Model_Formula!$M$15*(Profiles_140!M51-Simulator!$L$13)^2*IF(Profiles_140!M51&gt;Simulator!$L$13,1+Model_Formula!$N$15,1)</x:f>
        <x:v>900</x:v>
      </x:c>
      <x:c r="I55" s="66" t="n">
        <x:f>Model_Formula!$M$16*(Profiles_140!N51-Simulator!$L$14)^2*IF(Profiles_140!N51&gt;Simulator!$L$14,1+Model_Formula!$N$16,1)</x:f>
        <x:v>900</x:v>
      </x:c>
      <x:c r="J55" s="66" t="n">
        <x:f>Model_Formula!$M$17*(Profiles_140!O51-Simulator!$L$15)^2*IF(Profiles_140!O51&gt;Simulator!$L$15,1+Model_Formula!$N$17,1)</x:f>
        <x:v>1600</x:v>
      </x:c>
      <x:c r="K55" s="66" t="n">
        <x:f>Model_Formula!$M$18*(Profiles_140!P51-Simulator!$L$16)^2*IF(Profiles_140!P51&gt;Simulator!$L$16,1+Model_Formula!$N$18,1)</x:f>
        <x:v>22.5</x:v>
      </x:c>
      <x:c r="L55" s="66" t="n">
        <x:f>Model_Formula!$M$19*(Profiles_140!Q51-Simulator!$L$17)^2*IF(Profiles_140!Q51&gt;Simulator!$L$17,1+Model_Formula!$N$19,1)</x:f>
        <x:v>25</x:v>
      </x:c>
      <x:c r="M55" s="66" t="n">
        <x:f>Model_Formula!$M$20*(Profiles_140!R51-Simulator!$L$18)^2*IF(Profiles_140!R51&gt;Simulator!$L$18,1+Model_Formula!$N$20,1)</x:f>
        <x:v>2025</x:v>
      </x:c>
      <x:c r="N55" s="66" t="n">
        <x:f>Model_Formula!$M$21*(Profiles_140!S51-Simulator!$L$19)^2*IF(Profiles_140!S51&gt;Simulator!$L$19,1+Model_Formula!$N$21,1)</x:f>
        <x:v>1600</x:v>
      </x:c>
      <x:c r="O55" s="66" t="n">
        <x:f>Model_Formula!$M$22*(Profiles_140!T51-Simulator!$L$20)^2*IF(Profiles_140!T51&gt;Simulator!$L$20,1+Model_Formula!$N$22,1)</x:f>
        <x:v>900</x:v>
      </x:c>
      <x:c r="P55" s="66" t="n">
        <x:f>Model_Formula!$M$23*(Profiles_140!U51-Simulator!$L$21)^2*IF(Profiles_140!U51&gt;Simulator!$L$21,1+Model_Formula!$N$23,1)</x:f>
        <x:v>45</x:v>
      </x:c>
      <x:c r="Q55" s="66" t="n">
        <x:f>Model_Formula!$M$24*(Profiles_140!V51-Simulator!$L$22)^2*IF(Profiles_140!V51&gt;Simulator!$L$22,1+Model_Formula!$N$24,1)</x:f>
        <x:v>40</x:v>
      </x:c>
      <x:c r="R55" s="66" t="n">
        <x:f>Model_Formula!$M$25*(Profiles_140!W51-Simulator!$L$23)^2*IF(Profiles_140!W51&gt;Simulator!$L$23,1+Model_Formula!$N$25,1)</x:f>
        <x:v>11.25</x:v>
      </x:c>
      <x:c r="S55" s="66" t="n">
        <x:f>Model_Formula!$M$26*(Profiles_140!X51-Simulator!$L$24)^2*IF(Profiles_140!X51&gt;Simulator!$L$24,1+Model_Formula!$N$26,1)</x:f>
        <x:v>334.12500000000006</x:v>
      </x:c>
      <x:c r="T55" s="66" t="n">
        <x:f>Model_Formula!$M$27*(Profiles_140!Y51-Simulator!$L$25)^2*IF(Profiles_140!Y51&gt;Simulator!$L$25,1+Model_Formula!$N$27,1)</x:f>
        <x:v>482.99999999999994</x:v>
      </x:c>
      <x:c r="U55" s="60" t="n">
        <x:f>SUM(F55:T55)/SUM($F$4:$T$4)</x:f>
        <x:v>855.662313432836</x:v>
      </x:c>
      <x:c r="V55" s="60" t="n">
        <x:f>SQRT(U55)</x:f>
        <x:v>29.251706162766574</x:v>
      </x:c>
      <x:c r="W55" s="60" t="n">
        <x:f>MAX(0,100-V55)</x:f>
        <x:v>70.74829383723343</x:v>
      </x:c>
      <x:c r="X55" s="60" t="n">
        <x:f>SUMPRODUCT(Profiles_140!K51:Y51,$F$4:$T$4)/SUM($F$4:$T$4)</x:f>
        <x:v>57.81716417910448</x:v>
      </x:c>
      <x:c r="Y55" s="60" t="n">
        <x:f>IFERROR(50+50*SUMPRODUCT(($F$3:$T$3-$X$3)*(Profiles_140!K51:Y51-X55),$F$4:$T$4)/SQRT(SUMPRODUCT(($F$3:$T$3-$X$3)^2,$F$4:$T$4)*SUMPRODUCT((Profiles_140!K51:Y51-X55)^2,$F$4:$T$4)),50)</x:f>
        <x:v>50.00000000000001</x:v>
      </x:c>
      <x:c r="Z55" s="60" t="n">
        <x:f>$Z$3</x:f>
        <x:v>3.9474596431116675e-16</x:v>
      </x:c>
      <x:c r="AA55" s="60" t="n">
        <x:f>W55*(1-Model_Formula!$F$8*Z55)+Y55*(Model_Formula!$F$8*Z55)</x:f>
        <x:v>70.74829383723343</x:v>
      </x:c>
      <x:c r="AB55" s="60" t="n">
        <x:f>SQRT(SUMPRODUCT((Profiles_140!K51:Y51-50)^2,$F$4:$T$4)/SUM($F$4:$T$4))</x:f>
        <x:v>29.060217973317346</x:v>
      </x:c>
      <x:c r="AC55" s="60" t="n">
        <x:f>MAX(-Model_Formula!$F$11,MIN(Model_Formula!$F$11,Model_Formula!$F$10*(AB55-AVERAGE($AB$6:$AB$135))))</x:f>
        <x:v>0.1750739445448378</x:v>
      </x:c>
      <x:c r="AD55" s="60" t="n">
        <x:f>MAX(0,MIN(100,AA55+AC55))</x:f>
        <x:v>70.92336778177827</x:v>
      </x:c>
      <x:c r="AE55" s="60" t="n">
        <x:f>MAX(0,MIN(1,IFERROR((MATCH(AD55,Percentile_Calibration!$F51:$DB51,1)-1)/100,0)))</x:f>
        <x:v>0.74</x:v>
      </x:c>
      <x:c r="AF55" s="62" t="n">
        <x:f>ROUND(MAX(Model_Formula!$I$9,Model_Formula!$I$5+Model_Formula!$I$6*POWER(AE55,Model_Formula!$I$7)),0)</x:f>
        <x:v>64</x:v>
      </x:c>
      <x:c r="AG55" t="n">
        <x:f>Profiles_140!AJ51</x:f>
        <x:v>0.5</x:v>
      </x:c>
      <x:c r="AH55" s="60" t="n">
        <x:f>Model_Formula!$I$8*(AE55*100)+(1-Model_Formula!$I$8)*AD55+AG55</x:f>
        <x:v>73.88467355635565</x:v>
      </x:c>
      <x:c r="AI55" t="n">
        <x:f>RANK.EQ(AH55,$AH$6:$AH$135,0)+COUNTIF($AH$6:AH55,AH55)-1</x:f>
        <x:v>82</x:v>
      </x:c>
    </x:row>
    <x:row r="56">
      <x:c r="A56" t="str">
        <x:f>Profiles_140!A52</x:f>
        <x:v>ギルガルド</x:v>
      </x:c>
      <x:c r="B56" t="str">
        <x:f>Profiles_140!C52</x:f>
        <x:v>ギルガルド-1</x:v>
      </x:c>
      <x:c r="C56" t="str">
        <x:f>Profiles_140!D52</x:f>
        <x:v>共通</x:v>
      </x:c>
      <x:c r="D56" t="str">
        <x:f>Profiles_140!B52</x:f>
        <x:v>バランス型</x:v>
      </x:c>
      <x:c r="E56" t="str">
        <x:f>Profiles_140!I52</x:f>
        <x:v>高</x:v>
      </x:c>
      <x:c r="F56" s="66" t="n">
        <x:f>Model_Formula!$M$13*(Profiles_140!K52-Simulator!$L$11)^2*IF(Profiles_140!K52&gt;Simulator!$L$11,1+Model_Formula!$N$13,1)</x:f>
        <x:v>100</x:v>
      </x:c>
      <x:c r="G56" s="66" t="n">
        <x:f>Model_Formula!$M$14*(Profiles_140!L52-Simulator!$L$12)^2*IF(Profiles_140!L52&gt;Simulator!$L$12,1+Model_Formula!$N$14,1)</x:f>
        <x:v>945</x:v>
      </x:c>
      <x:c r="H56" s="66" t="n">
        <x:f>Model_Formula!$M$15*(Profiles_140!M52-Simulator!$L$13)^2*IF(Profiles_140!M52&gt;Simulator!$L$13,1+Model_Formula!$N$15,1)</x:f>
        <x:v>625</x:v>
      </x:c>
      <x:c r="I56" s="66" t="n">
        <x:f>Model_Formula!$M$16*(Profiles_140!N52-Simulator!$L$14)^2*IF(Profiles_140!N52&gt;Simulator!$L$14,1+Model_Formula!$N$16,1)</x:f>
        <x:v>1225</x:v>
      </x:c>
      <x:c r="J56" s="66" t="n">
        <x:f>Model_Formula!$M$17*(Profiles_140!O52-Simulator!$L$15)^2*IF(Profiles_140!O52&gt;Simulator!$L$15,1+Model_Formula!$N$17,1)</x:f>
        <x:v>900</x:v>
      </x:c>
      <x:c r="K56" s="66" t="n">
        <x:f>Model_Formula!$M$18*(Profiles_140!P52-Simulator!$L$16)^2*IF(Profiles_140!P52&gt;Simulator!$L$16,1+Model_Formula!$N$18,1)</x:f>
        <x:v>360</x:v>
      </x:c>
      <x:c r="L56" s="66" t="n">
        <x:f>Model_Formula!$M$19*(Profiles_140!Q52-Simulator!$L$17)^2*IF(Profiles_140!Q52&gt;Simulator!$L$17,1+Model_Formula!$N$19,1)</x:f>
        <x:v>225</x:v>
      </x:c>
      <x:c r="M56" s="66" t="n">
        <x:f>Model_Formula!$M$20*(Profiles_140!R52-Simulator!$L$18)^2*IF(Profiles_140!R52&gt;Simulator!$L$18,1+Model_Formula!$N$20,1)</x:f>
        <x:v>2025</x:v>
      </x:c>
      <x:c r="N56" s="66" t="n">
        <x:f>Model_Formula!$M$21*(Profiles_140!S52-Simulator!$L$19)^2*IF(Profiles_140!S52&gt;Simulator!$L$19,1+Model_Formula!$N$21,1)</x:f>
        <x:v>400</x:v>
      </x:c>
      <x:c r="O56" s="66" t="n">
        <x:f>Model_Formula!$M$22*(Profiles_140!T52-Simulator!$L$20)^2*IF(Profiles_140!T52&gt;Simulator!$L$20,1+Model_Formula!$N$22,1)</x:f>
        <x:v>625</x:v>
      </x:c>
      <x:c r="P56" s="66" t="n">
        <x:f>Model_Formula!$M$23*(Profiles_140!U52-Simulator!$L$21)^2*IF(Profiles_140!U52&gt;Simulator!$L$21,1+Model_Formula!$N$23,1)</x:f>
        <x:v>180</x:v>
      </x:c>
      <x:c r="Q56" s="66" t="n">
        <x:f>Model_Formula!$M$24*(Profiles_140!V52-Simulator!$L$22)^2*IF(Profiles_140!V52&gt;Simulator!$L$22,1+Model_Formula!$N$24,1)</x:f>
        <x:v>90</x:v>
      </x:c>
      <x:c r="R56" s="66" t="n">
        <x:f>Model_Formula!$M$25*(Profiles_140!W52-Simulator!$L$23)^2*IF(Profiles_140!W52&gt;Simulator!$L$23,1+Model_Formula!$N$25,1)</x:f>
        <x:v>101.25</x:v>
      </x:c>
      <x:c r="S56" s="66" t="n">
        <x:f>Model_Formula!$M$26*(Profiles_140!X52-Simulator!$L$24)^2*IF(Profiles_140!X52&gt;Simulator!$L$24,1+Model_Formula!$N$26,1)</x:f>
        <x:v>2376.0000000000005</x:v>
      </x:c>
      <x:c r="T56" s="66" t="n">
        <x:f>Model_Formula!$M$27*(Profiles_140!Y52-Simulator!$L$25)^2*IF(Profiles_140!Y52&gt;Simulator!$L$25,1+Model_Formula!$N$27,1)</x:f>
        <x:v>271.6875</x:v>
      </x:c>
      <x:c r="U56" s="60" t="n">
        <x:f>SUM(F56:T56)/SUM($F$4:$T$4)</x:f>
        <x:v>779.7714552238807</x:v>
      </x:c>
      <x:c r="V56" s="60" t="n">
        <x:f>SQRT(U56)</x:f>
        <x:v>27.92438817993835</x:v>
      </x:c>
      <x:c r="W56" s="60" t="n">
        <x:f>MAX(0,100-V56)</x:f>
        <x:v>72.07561182006165</x:v>
      </x:c>
      <x:c r="X56" s="60" t="n">
        <x:f>SUMPRODUCT(Profiles_140!K52:Y52,$F$4:$T$4)/SUM($F$4:$T$4)</x:f>
        <x:v>57.910447761194035</x:v>
      </x:c>
      <x:c r="Y56" s="60" t="n">
        <x:f>IFERROR(50+50*SUMPRODUCT(($F$3:$T$3-$X$3)*(Profiles_140!K52:Y52-X56),$F$4:$T$4)/SQRT(SUMPRODUCT(($F$3:$T$3-$X$3)^2,$F$4:$T$4)*SUMPRODUCT((Profiles_140!K52:Y52-X56)^2,$F$4:$T$4)),50)</x:f>
        <x:v>50.00000000000001</x:v>
      </x:c>
      <x:c r="Z56" s="60" t="n">
        <x:f>$Z$3</x:f>
        <x:v>3.9474596431116675e-16</x:v>
      </x:c>
      <x:c r="AA56" s="60" t="n">
        <x:f>W56*(1-Model_Formula!$F$8*Z56)+Y56*(Model_Formula!$F$8*Z56)</x:f>
        <x:v>72.07561182006165</x:v>
      </x:c>
      <x:c r="AB56" s="60" t="n">
        <x:f>SQRT(SUMPRODUCT((Profiles_140!K52:Y52-50)^2,$F$4:$T$4)/SUM($F$4:$T$4))</x:f>
        <x:v>27.03990969692596</x:v>
      </x:c>
      <x:c r="AC56" s="60" t="n">
        <x:f>MAX(-Model_Formula!$F$11,MIN(Model_Formula!$F$11,Model_Formula!$F$10*(AB56-AVERAGE($AB$6:$AB$135))))</x:f>
        <x:v>-0.734064779831286</x:v>
      </x:c>
      <x:c r="AD56" s="60" t="n">
        <x:f>MAX(0,MIN(100,AA56+AC56))</x:f>
        <x:v>71.34154704023037</x:v>
      </x:c>
      <x:c r="AE56" s="60" t="n">
        <x:f>MAX(0,MIN(1,IFERROR((MATCH(AD56,Percentile_Calibration!$F52:$DB52,1)-1)/100,0)))</x:f>
        <x:v>0.78</x:v>
      </x:c>
      <x:c r="AF56" s="62" t="n">
        <x:f>ROUND(MAX(Model_Formula!$I$9,Model_Formula!$I$5+Model_Formula!$I$6*POWER(AE56,Model_Formula!$I$7)),0)</x:f>
        <x:v>68</x:v>
      </x:c>
      <x:c r="AG56" t="n">
        <x:f>Profiles_140!AJ52</x:f>
        <x:v>0</x:v>
      </x:c>
      <x:c r="AH56" s="60" t="n">
        <x:f>Model_Formula!$I$8*(AE56*100)+(1-Model_Formula!$I$8)*AD56+AG56</x:f>
        <x:v>76.66830940804607</x:v>
      </x:c>
      <x:c r="AI56" t="n">
        <x:f>RANK.EQ(AH56,$AH$6:$AH$135,0)+COUNTIF($AH$6:AH56,AH56)-1</x:f>
        <x:v>65</x:v>
      </x:c>
    </x:row>
    <x:row r="57">
      <x:c r="A57" t="str">
        <x:f>Profiles_140!A53</x:f>
        <x:v>ザシアン</x:v>
      </x:c>
      <x:c r="B57" t="str">
        <x:f>Profiles_140!C53</x:f>
        <x:v>ザシアン-1</x:v>
      </x:c>
      <x:c r="C57" t="str">
        <x:f>Profiles_140!D53</x:f>
        <x:v>共通</x:v>
      </x:c>
      <x:c r="D57" t="str">
        <x:f>Profiles_140!B53</x:f>
        <x:v>バランス型</x:v>
      </x:c>
      <x:c r="E57" t="str">
        <x:f>Profiles_140!I53</x:f>
        <x:v>高</x:v>
      </x:c>
      <x:c r="F57" s="66" t="n">
        <x:f>Model_Formula!$M$13*(Profiles_140!K53-Simulator!$L$11)^2*IF(Profiles_140!K53&gt;Simulator!$L$11,1+Model_Formula!$N$13,1)</x:f>
        <x:v>225</x:v>
      </x:c>
      <x:c r="G57" s="66" t="n">
        <x:f>Model_Formula!$M$14*(Profiles_140!L53-Simulator!$L$12)^2*IF(Profiles_140!L53&gt;Simulator!$L$12,1+Model_Formula!$N$14,1)</x:f>
        <x:v>945</x:v>
      </x:c>
      <x:c r="H57" s="66" t="n">
        <x:f>Model_Formula!$M$15*(Profiles_140!M53-Simulator!$L$13)^2*IF(Profiles_140!M53&gt;Simulator!$L$13,1+Model_Formula!$N$15,1)</x:f>
        <x:v>625</x:v>
      </x:c>
      <x:c r="I57" s="66" t="n">
        <x:f>Model_Formula!$M$16*(Profiles_140!N53-Simulator!$L$14)^2*IF(Profiles_140!N53&gt;Simulator!$L$14,1+Model_Formula!$N$16,1)</x:f>
        <x:v>625</x:v>
      </x:c>
      <x:c r="J57" s="66" t="n">
        <x:f>Model_Formula!$M$17*(Profiles_140!O53-Simulator!$L$15)^2*IF(Profiles_140!O53&gt;Simulator!$L$15,1+Model_Formula!$N$17,1)</x:f>
        <x:v>900</x:v>
      </x:c>
      <x:c r="K57" s="66" t="n">
        <x:f>Model_Formula!$M$18*(Profiles_140!P53-Simulator!$L$16)^2*IF(Profiles_140!P53&gt;Simulator!$L$16,1+Model_Formula!$N$18,1)</x:f>
        <x:v>202.5</x:v>
      </x:c>
      <x:c r="L57" s="66" t="n">
        <x:f>Model_Formula!$M$19*(Profiles_140!Q53-Simulator!$L$17)^2*IF(Profiles_140!Q53&gt;Simulator!$L$17,1+Model_Formula!$N$19,1)</x:f>
        <x:v>225</x:v>
      </x:c>
      <x:c r="M57" s="66" t="n">
        <x:f>Model_Formula!$M$20*(Profiles_140!R53-Simulator!$L$18)^2*IF(Profiles_140!R53&gt;Simulator!$L$18,1+Model_Formula!$N$20,1)</x:f>
        <x:v>2025</x:v>
      </x:c>
      <x:c r="N57" s="66" t="n">
        <x:f>Model_Formula!$M$21*(Profiles_140!S53-Simulator!$L$19)^2*IF(Profiles_140!S53&gt;Simulator!$L$19,1+Model_Formula!$N$21,1)</x:f>
        <x:v>900</x:v>
      </x:c>
      <x:c r="O57" s="66" t="n">
        <x:f>Model_Formula!$M$22*(Profiles_140!T53-Simulator!$L$20)^2*IF(Profiles_140!T53&gt;Simulator!$L$20,1+Model_Formula!$N$22,1)</x:f>
        <x:v>1225</x:v>
      </x:c>
      <x:c r="P57" s="66" t="n">
        <x:f>Model_Formula!$M$23*(Profiles_140!U53-Simulator!$L$21)^2*IF(Profiles_140!U53&gt;Simulator!$L$21,1+Model_Formula!$N$23,1)</x:f>
        <x:v>11.25</x:v>
      </x:c>
      <x:c r="Q57" s="66" t="n">
        <x:f>Model_Formula!$M$24*(Profiles_140!V53-Simulator!$L$22)^2*IF(Profiles_140!V53&gt;Simulator!$L$22,1+Model_Formula!$N$24,1)</x:f>
        <x:v>250</x:v>
      </x:c>
      <x:c r="R57" s="66" t="n">
        <x:f>Model_Formula!$M$25*(Profiles_140!W53-Simulator!$L$23)^2*IF(Profiles_140!W53&gt;Simulator!$L$23,1+Model_Formula!$N$25,1)</x:f>
        <x:v>11.25</x:v>
      </x:c>
      <x:c r="S57" s="66" t="n">
        <x:f>Model_Formula!$M$26*(Profiles_140!X53-Simulator!$L$24)^2*IF(Profiles_140!X53&gt;Simulator!$L$24,1+Model_Formula!$N$26,1)</x:f>
        <x:v>594.0000000000001</x:v>
      </x:c>
      <x:c r="T57" s="66" t="n">
        <x:f>Model_Formula!$M$27*(Profiles_140!Y53-Simulator!$L$25)^2*IF(Profiles_140!Y53&gt;Simulator!$L$25,1+Model_Formula!$N$27,1)</x:f>
        <x:v>271.6875</x:v>
      </x:c>
      <x:c r="U57" s="60" t="n">
        <x:f>SUM(F57:T57)/SUM($F$4:$T$4)</x:f>
        <x:v>674.3050373134329</x:v>
      </x:c>
      <x:c r="V57" s="60" t="n">
        <x:f>SQRT(U57)</x:f>
        <x:v>25.967384106094183</x:v>
      </x:c>
      <x:c r="W57" s="60" t="n">
        <x:f>MAX(0,100-V57)</x:f>
        <x:v>74.03261589390581</x:v>
      </x:c>
      <x:c r="X57" s="60" t="n">
        <x:f>SUMPRODUCT(Profiles_140!K53:Y53,$F$4:$T$4)/SUM($F$4:$T$4)</x:f>
        <x:v>56.17537313432837</x:v>
      </x:c>
      <x:c r="Y57" s="60" t="n">
        <x:f>IFERROR(50+50*SUMPRODUCT(($F$3:$T$3-$X$3)*(Profiles_140!K53:Y53-X57),$F$4:$T$4)/SQRT(SUMPRODUCT(($F$3:$T$3-$X$3)^2,$F$4:$T$4)*SUMPRODUCT((Profiles_140!K53:Y53-X57)^2,$F$4:$T$4)),50)</x:f>
        <x:v>50.00000000000002</x:v>
      </x:c>
      <x:c r="Z57" s="60" t="n">
        <x:f>$Z$3</x:f>
        <x:v>3.9474596431116675e-16</x:v>
      </x:c>
      <x:c r="AA57" s="60" t="n">
        <x:f>W57*(1-Model_Formula!$F$8*Z57)+Y57*(Model_Formula!$F$8*Z57)</x:f>
        <x:v>74.03261589390581</x:v>
      </x:c>
      <x:c r="AB57" s="60" t="n">
        <x:f>SQRT(SUMPRODUCT((Profiles_140!K53:Y53-50)^2,$F$4:$T$4)/SUM($F$4:$T$4))</x:f>
        <x:v>25.69373290216432</x:v>
      </x:c>
      <x:c r="AC57" s="60" t="n">
        <x:f>MAX(-Model_Formula!$F$11,MIN(Model_Formula!$F$11,Model_Formula!$F$10*(AB57-AVERAGE($AB$6:$AB$135))))</x:f>
        <x:v>-1.3398443374740239</x:v>
      </x:c>
      <x:c r="AD57" s="60" t="n">
        <x:f>MAX(0,MIN(100,AA57+AC57))</x:f>
        <x:v>72.6927715564318</x:v>
      </x:c>
      <x:c r="AE57" s="60" t="n">
        <x:f>MAX(0,MIN(1,IFERROR((MATCH(AD57,Percentile_Calibration!$F53:$DB53,1)-1)/100,0)))</x:f>
        <x:v>0.77</x:v>
      </x:c>
      <x:c r="AF57" s="62" t="n">
        <x:f>ROUND(MAX(Model_Formula!$I$9,Model_Formula!$I$5+Model_Formula!$I$6*POWER(AE57,Model_Formula!$I$7)),0)</x:f>
        <x:v>67</x:v>
      </x:c>
      <x:c r="AG57" t="n">
        <x:f>Profiles_140!AJ53</x:f>
        <x:v>0</x:v>
      </x:c>
      <x:c r="AH57" s="60" t="n">
        <x:f>Model_Formula!$I$8*(AE57*100)+(1-Model_Formula!$I$8)*AD57+AG57</x:f>
        <x:v>76.13855431128636</x:v>
      </x:c>
      <x:c r="AI57" t="n">
        <x:f>RANK.EQ(AH57,$AH$6:$AH$135,0)+COUNTIF($AH$6:AH57,AH57)-1</x:f>
        <x:v>68</x:v>
      </x:c>
    </x:row>
    <x:row r="58">
      <x:c r="A58" t="str">
        <x:f>Profiles_140!A54</x:f>
        <x:v>スイクン</x:v>
      </x:c>
      <x:c r="B58" t="str">
        <x:f>Profiles_140!C54</x:f>
        <x:v>スイクン-1</x:v>
      </x:c>
      <x:c r="C58" t="str">
        <x:f>Profiles_140!D54</x:f>
        <x:v>共通</x:v>
      </x:c>
      <x:c r="D58" t="str">
        <x:f>Profiles_140!B54</x:f>
        <x:v>バランス型</x:v>
      </x:c>
      <x:c r="E58" t="str">
        <x:f>Profiles_140!I54</x:f>
        <x:v>高</x:v>
      </x:c>
      <x:c r="F58" s="66" t="n">
        <x:f>Model_Formula!$M$13*(Profiles_140!K54-Simulator!$L$11)^2*IF(Profiles_140!K54&gt;Simulator!$L$11,1+Model_Formula!$N$13,1)</x:f>
        <x:v>400</x:v>
      </x:c>
      <x:c r="G58" s="66" t="n">
        <x:f>Model_Formula!$M$14*(Profiles_140!L54-Simulator!$L$12)^2*IF(Profiles_140!L54&gt;Simulator!$L$12,1+Model_Formula!$N$14,1)</x:f>
        <x:v>1286.25</x:v>
      </x:c>
      <x:c r="H58" s="66" t="n">
        <x:f>Model_Formula!$M$15*(Profiles_140!M54-Simulator!$L$13)^2*IF(Profiles_140!M54&gt;Simulator!$L$13,1+Model_Formula!$N$15,1)</x:f>
        <x:v>225</x:v>
      </x:c>
      <x:c r="I58" s="66" t="n">
        <x:f>Model_Formula!$M$16*(Profiles_140!N54-Simulator!$L$14)^2*IF(Profiles_140!N54&gt;Simulator!$L$14,1+Model_Formula!$N$16,1)</x:f>
        <x:v>625</x:v>
      </x:c>
      <x:c r="J58" s="66" t="n">
        <x:f>Model_Formula!$M$17*(Profiles_140!O54-Simulator!$L$15)^2*IF(Profiles_140!O54&gt;Simulator!$L$15,1+Model_Formula!$N$17,1)</x:f>
        <x:v>625</x:v>
      </x:c>
      <x:c r="K58" s="66" t="n">
        <x:f>Model_Formula!$M$18*(Profiles_140!P54-Simulator!$L$16)^2*IF(Profiles_140!P54&gt;Simulator!$L$16,1+Model_Formula!$N$18,1)</x:f>
        <x:v>562.5</x:v>
      </x:c>
      <x:c r="L58" s="66" t="n">
        <x:f>Model_Formula!$M$19*(Profiles_140!Q54-Simulator!$L$17)^2*IF(Profiles_140!Q54&gt;Simulator!$L$17,1+Model_Formula!$N$19,1)</x:f>
        <x:v>1225</x:v>
      </x:c>
      <x:c r="M58" s="66" t="n">
        <x:f>Model_Formula!$M$20*(Profiles_140!R54-Simulator!$L$18)^2*IF(Profiles_140!R54&gt;Simulator!$L$18,1+Model_Formula!$N$20,1)</x:f>
        <x:v>1600</x:v>
      </x:c>
      <x:c r="N58" s="66" t="n">
        <x:f>Model_Formula!$M$21*(Profiles_140!S54-Simulator!$L$19)^2*IF(Profiles_140!S54&gt;Simulator!$L$19,1+Model_Formula!$N$21,1)</x:f>
        <x:v>2025</x:v>
      </x:c>
      <x:c r="O58" s="66" t="n">
        <x:f>Model_Formula!$M$22*(Profiles_140!T54-Simulator!$L$20)^2*IF(Profiles_140!T54&gt;Simulator!$L$20,1+Model_Formula!$N$22,1)</x:f>
        <x:v>225</x:v>
      </x:c>
      <x:c r="P58" s="66" t="n">
        <x:f>Model_Formula!$M$23*(Profiles_140!U54-Simulator!$L$21)^2*IF(Profiles_140!U54&gt;Simulator!$L$21,1+Model_Formula!$N$23,1)</x:f>
        <x:v>101.25</x:v>
      </x:c>
      <x:c r="Q58" s="66" t="n">
        <x:f>Model_Formula!$M$24*(Profiles_140!V54-Simulator!$L$22)^2*IF(Profiles_140!V54&gt;Simulator!$L$22,1+Model_Formula!$N$24,1)</x:f>
        <x:v>0</x:v>
      </x:c>
      <x:c r="R58" s="66" t="n">
        <x:f>Model_Formula!$M$25*(Profiles_140!W54-Simulator!$L$23)^2*IF(Profiles_140!W54&gt;Simulator!$L$23,1+Model_Formula!$N$25,1)</x:f>
        <x:v>281.25</x:v>
      </x:c>
      <x:c r="S58" s="66" t="n">
        <x:f>Model_Formula!$M$26*(Profiles_140!X54-Simulator!$L$24)^2*IF(Profiles_140!X54&gt;Simulator!$L$24,1+Model_Formula!$N$26,1)</x:f>
        <x:v>148.50000000000003</x:v>
      </x:c>
      <x:c r="T58" s="66" t="n">
        <x:f>Model_Formula!$M$27*(Profiles_140!Y54-Simulator!$L$25)^2*IF(Profiles_140!Y54&gt;Simulator!$L$25,1+Model_Formula!$N$27,1)</x:f>
        <x:v>482.99999999999994</x:v>
      </x:c>
      <x:c r="U58" s="60" t="n">
        <x:f>SUM(F58:T58)/SUM($F$4:$T$4)</x:f>
        <x:v>732.2947761194031</x:v>
      </x:c>
      <x:c r="V58" s="60" t="n">
        <x:f>SQRT(U58)</x:f>
        <x:v>27.060945588050007</x:v>
      </x:c>
      <x:c r="W58" s="60" t="n">
        <x:f>MAX(0,100-V58)</x:f>
        <x:v>72.93905441195</x:v>
      </x:c>
      <x:c r="X58" s="60" t="n">
        <x:f>SUMPRODUCT(Profiles_140!K54:Y54,$F$4:$T$4)/SUM($F$4:$T$4)</x:f>
        <x:v>40.1679104477612</x:v>
      </x:c>
      <x:c r="Y58" s="60" t="n">
        <x:f>IFERROR(50+50*SUMPRODUCT(($F$3:$T$3-$X$3)*(Profiles_140!K54:Y54-X58),$F$4:$T$4)/SQRT(SUMPRODUCT(($F$3:$T$3-$X$3)^2,$F$4:$T$4)*SUMPRODUCT((Profiles_140!K54:Y54-X58)^2,$F$4:$T$4)),50)</x:f>
        <x:v>50.000000000000014</x:v>
      </x:c>
      <x:c r="Z58" s="60" t="n">
        <x:f>$Z$3</x:f>
        <x:v>3.9474596431116675e-16</x:v>
      </x:c>
      <x:c r="AA58" s="60" t="n">
        <x:f>W58*(1-Model_Formula!$F$8*Z58)+Y58*(Model_Formula!$F$8*Z58)</x:f>
        <x:v>72.93905441195</x:v>
      </x:c>
      <x:c r="AB58" s="60" t="n">
        <x:f>SQRT(SUMPRODUCT((Profiles_140!K54:Y54-50)^2,$F$4:$T$4)/SUM($F$4:$T$4))</x:f>
        <x:v>26.92062683619628</x:v>
      </x:c>
      <x:c r="AC58" s="60" t="n">
        <x:f>MAX(-Model_Formula!$F$11,MIN(Model_Formula!$F$11,Model_Formula!$F$10*(AB58-AVERAGE($AB$6:$AB$135))))</x:f>
        <x:v>-0.7877420671596419</x:v>
      </x:c>
      <x:c r="AD58" s="60" t="n">
        <x:f>MAX(0,MIN(100,AA58+AC58))</x:f>
        <x:v>72.15131234479036</x:v>
      </x:c>
      <x:c r="AE58" s="60" t="n">
        <x:f>MAX(0,MIN(1,IFERROR((MATCH(AD58,Percentile_Calibration!$F54:$DB54,1)-1)/100,0)))</x:f>
        <x:v>0.91</x:v>
      </x:c>
      <x:c r="AF58" s="62" t="n">
        <x:f>ROUND(MAX(Model_Formula!$I$9,Model_Formula!$I$5+Model_Formula!$I$6*POWER(AE58,Model_Formula!$I$7)),0)</x:f>
        <x:v>83</x:v>
      </x:c>
      <x:c r="AG58" t="n">
        <x:f>Profiles_140!AJ54</x:f>
        <x:v>0</x:v>
      </x:c>
      <x:c r="AH58" s="60" t="n">
        <x:f>Model_Formula!$I$8*(AE58*100)+(1-Model_Formula!$I$8)*AD58+AG58</x:f>
        <x:v>87.23026246895806</x:v>
      </x:c>
      <x:c r="AI58" t="n">
        <x:f>RANK.EQ(AH58,$AH$6:$AH$135,0)+COUNTIF($AH$6:AH58,AH58)-1</x:f>
        <x:v>32</x:v>
      </x:c>
    </x:row>
    <x:row r="59">
      <x:c r="A59" t="str">
        <x:f>Profiles_140!A55</x:f>
        <x:v>ソウブレイズ</x:v>
      </x:c>
      <x:c r="B59" t="str">
        <x:f>Profiles_140!C55</x:f>
        <x:v>ソウブレイズ-1</x:v>
      </x:c>
      <x:c r="C59" t="str">
        <x:f>Profiles_140!D55</x:f>
        <x:v>共通</x:v>
      </x:c>
      <x:c r="D59" t="str">
        <x:f>Profiles_140!B55</x:f>
        <x:v>バランス型</x:v>
      </x:c>
      <x:c r="E59" t="str">
        <x:f>Profiles_140!I55</x:f>
        <x:v>高</x:v>
      </x:c>
      <x:c r="F59" s="66" t="n">
        <x:f>Model_Formula!$M$13*(Profiles_140!K55-Simulator!$L$11)^2*IF(Profiles_140!K55&gt;Simulator!$L$11,1+Model_Formula!$N$13,1)</x:f>
        <x:v>100</x:v>
      </x:c>
      <x:c r="G59" s="66" t="n">
        <x:f>Model_Formula!$M$14*(Profiles_140!L55-Simulator!$L$12)^2*IF(Profiles_140!L55&gt;Simulator!$L$12,1+Model_Formula!$N$14,1)</x:f>
        <x:v>945</x:v>
      </x:c>
      <x:c r="H59" s="66" t="n">
        <x:f>Model_Formula!$M$15*(Profiles_140!M55-Simulator!$L$13)^2*IF(Profiles_140!M55&gt;Simulator!$L$13,1+Model_Formula!$N$15,1)</x:f>
        <x:v>625</x:v>
      </x:c>
      <x:c r="I59" s="66" t="n">
        <x:f>Model_Formula!$M$16*(Profiles_140!N55-Simulator!$L$14)^2*IF(Profiles_140!N55&gt;Simulator!$L$14,1+Model_Formula!$N$16,1)</x:f>
        <x:v>625</x:v>
      </x:c>
      <x:c r="J59" s="66" t="n">
        <x:f>Model_Formula!$M$17*(Profiles_140!O55-Simulator!$L$15)^2*IF(Profiles_140!O55&gt;Simulator!$L$15,1+Model_Formula!$N$17,1)</x:f>
        <x:v>900</x:v>
      </x:c>
      <x:c r="K59" s="66" t="n">
        <x:f>Model_Formula!$M$18*(Profiles_140!P55-Simulator!$L$16)^2*IF(Profiles_140!P55&gt;Simulator!$L$16,1+Model_Formula!$N$18,1)</x:f>
        <x:v>1102.5</x:v>
      </x:c>
      <x:c r="L59" s="66" t="n">
        <x:f>Model_Formula!$M$19*(Profiles_140!Q55-Simulator!$L$17)^2*IF(Profiles_140!Q55&gt;Simulator!$L$17,1+Model_Formula!$N$19,1)</x:f>
        <x:v>900</x:v>
      </x:c>
      <x:c r="M59" s="66" t="n">
        <x:f>Model_Formula!$M$20*(Profiles_140!R55-Simulator!$L$18)^2*IF(Profiles_140!R55&gt;Simulator!$L$18,1+Model_Formula!$N$20,1)</x:f>
        <x:v>2025</x:v>
      </x:c>
      <x:c r="N59" s="66" t="n">
        <x:f>Model_Formula!$M$21*(Profiles_140!S55-Simulator!$L$19)^2*IF(Profiles_140!S55&gt;Simulator!$L$19,1+Model_Formula!$N$21,1)</x:f>
        <x:v>900</x:v>
      </x:c>
      <x:c r="O59" s="66" t="n">
        <x:f>Model_Formula!$M$22*(Profiles_140!T55-Simulator!$L$20)^2*IF(Profiles_140!T55&gt;Simulator!$L$20,1+Model_Formula!$N$22,1)</x:f>
        <x:v>1600</x:v>
      </x:c>
      <x:c r="P59" s="66" t="n">
        <x:f>Model_Formula!$M$23*(Profiles_140!U55-Simulator!$L$21)^2*IF(Profiles_140!U55&gt;Simulator!$L$21,1+Model_Formula!$N$23,1)</x:f>
        <x:v>180</x:v>
      </x:c>
      <x:c r="Q59" s="66" t="n">
        <x:f>Model_Formula!$M$24*(Profiles_140!V55-Simulator!$L$22)^2*IF(Profiles_140!V55&gt;Simulator!$L$22,1+Model_Formula!$N$24,1)</x:f>
        <x:v>250</x:v>
      </x:c>
      <x:c r="R59" s="66" t="n">
        <x:f>Model_Formula!$M$25*(Profiles_140!W55-Simulator!$L$23)^2*IF(Profiles_140!W55&gt;Simulator!$L$23,1+Model_Formula!$N$25,1)</x:f>
        <x:v>101.25</x:v>
      </x:c>
      <x:c r="S59" s="66" t="n">
        <x:f>Model_Formula!$M$26*(Profiles_140!X55-Simulator!$L$24)^2*IF(Profiles_140!X55&gt;Simulator!$L$24,1+Model_Formula!$N$26,1)</x:f>
        <x:v>594.0000000000001</x:v>
      </x:c>
      <x:c r="T59" s="66" t="n">
        <x:f>Model_Formula!$M$27*(Profiles_140!Y55-Simulator!$L$25)^2*IF(Profiles_140!Y55&gt;Simulator!$L$25,1+Model_Formula!$N$27,1)</x:f>
        <x:v>271.6875</x:v>
      </x:c>
      <x:c r="U59" s="60" t="n">
        <x:f>SUM(F59:T59)/SUM($F$4:$T$4)</x:f>
        <x:v>829.8087686567166</x:v>
      </x:c>
      <x:c r="V59" s="60" t="n">
        <x:f>SQRT(U59)</x:f>
        <x:v>28.806401522174138</x:v>
      </x:c>
      <x:c r="W59" s="60" t="n">
        <x:f>MAX(0,100-V59)</x:f>
        <x:v>71.19359847782586</x:v>
      </x:c>
      <x:c r="X59" s="60" t="n">
        <x:f>SUMPRODUCT(Profiles_140!K55:Y55,$F$4:$T$4)/SUM($F$4:$T$4)</x:f>
        <x:v>57.57462686567165</x:v>
      </x:c>
      <x:c r="Y59" s="60" t="n">
        <x:f>IFERROR(50+50*SUMPRODUCT(($F$3:$T$3-$X$3)*(Profiles_140!K55:Y55-X59),$F$4:$T$4)/SQRT(SUMPRODUCT(($F$3:$T$3-$X$3)^2,$F$4:$T$4)*SUMPRODUCT((Profiles_140!K55:Y55-X59)^2,$F$4:$T$4)),50)</x:f>
        <x:v>50.00000000000001</x:v>
      </x:c>
      <x:c r="Z59" s="60" t="n">
        <x:f>$Z$3</x:f>
        <x:v>3.9474596431116675e-16</x:v>
      </x:c>
      <x:c r="AA59" s="60" t="n">
        <x:f>W59*(1-Model_Formula!$F$8*Z59)+Y59*(Model_Formula!$F$8*Z59)</x:f>
        <x:v>71.19359847782586</x:v>
      </x:c>
      <x:c r="AB59" s="60" t="n">
        <x:f>SQRT(SUMPRODUCT((Profiles_140!K55:Y55-50)^2,$F$4:$T$4)/SUM($F$4:$T$4))</x:f>
        <x:v>28.55996571760976</x:v>
      </x:c>
      <x:c r="AC59" s="60" t="n">
        <x:f>MAX(-Model_Formula!$F$11,MIN(Model_Formula!$F$11,Model_Formula!$F$10*(AB59-AVERAGE($AB$6:$AB$135))))</x:f>
        <x:v>-0.05003957052357606</x:v>
      </x:c>
      <x:c r="AD59" s="60" t="n">
        <x:f>MAX(0,MIN(100,AA59+AC59))</x:f>
        <x:v>71.14355890730228</x:v>
      </x:c>
      <x:c r="AE59" s="60" t="n">
        <x:f>MAX(0,MIN(1,IFERROR((MATCH(AD59,Percentile_Calibration!$F55:$DB55,1)-1)/100,0)))</x:f>
        <x:v>0.75</x:v>
      </x:c>
      <x:c r="AF59" s="62" t="n">
        <x:f>ROUND(MAX(Model_Formula!$I$9,Model_Formula!$I$5+Model_Formula!$I$6*POWER(AE59,Model_Formula!$I$7)),0)</x:f>
        <x:v>65</x:v>
      </x:c>
      <x:c r="AG59" t="n">
        <x:f>Profiles_140!AJ55</x:f>
        <x:v>0</x:v>
      </x:c>
      <x:c r="AH59" s="60" t="n">
        <x:f>Model_Formula!$I$8*(AE59*100)+(1-Model_Formula!$I$8)*AD59+AG59</x:f>
        <x:v>74.22871178146045</x:v>
      </x:c>
      <x:c r="AI59" t="n">
        <x:f>RANK.EQ(AH59,$AH$6:$AH$135,0)+COUNTIF($AH$6:AH59,AH59)-1</x:f>
        <x:v>79</x:v>
      </x:c>
    </x:row>
    <x:row r="60">
      <x:c r="A60" t="str">
        <x:f>Profiles_140!A56</x:f>
        <x:v>ソルガレオ</x:v>
      </x:c>
      <x:c r="B60" t="str">
        <x:f>Profiles_140!C56</x:f>
        <x:v>ソルガレオ-1</x:v>
      </x:c>
      <x:c r="C60" t="str">
        <x:f>Profiles_140!D56</x:f>
        <x:v>共通</x:v>
      </x:c>
      <x:c r="D60" t="str">
        <x:f>Profiles_140!B56</x:f>
        <x:v>バランス型</x:v>
      </x:c>
      <x:c r="E60" t="str">
        <x:f>Profiles_140!I56</x:f>
        <x:v>低</x:v>
      </x:c>
      <x:c r="F60" s="66" t="n">
        <x:f>Model_Formula!$M$13*(Profiles_140!K56-Simulator!$L$11)^2*IF(Profiles_140!K56&gt;Simulator!$L$11,1+Model_Formula!$N$13,1)</x:f>
        <x:v>25</x:v>
      </x:c>
      <x:c r="G60" s="66" t="n">
        <x:f>Model_Formula!$M$14*(Profiles_140!L56-Simulator!$L$12)^2*IF(Profiles_140!L56&gt;Simulator!$L$12,1+Model_Formula!$N$14,1)</x:f>
        <x:v>26.25</x:v>
      </x:c>
      <x:c r="H60" s="66" t="n">
        <x:f>Model_Formula!$M$15*(Profiles_140!M56-Simulator!$L$13)^2*IF(Profiles_140!M56&gt;Simulator!$L$13,1+Model_Formula!$N$15,1)</x:f>
        <x:v>225</x:v>
      </x:c>
      <x:c r="I60" s="66" t="n">
        <x:f>Model_Formula!$M$16*(Profiles_140!N56-Simulator!$L$14)^2*IF(Profiles_140!N56&gt;Simulator!$L$14,1+Model_Formula!$N$16,1)</x:f>
        <x:v>2025</x:v>
      </x:c>
      <x:c r="J60" s="66" t="n">
        <x:f>Model_Formula!$M$17*(Profiles_140!O56-Simulator!$L$15)^2*IF(Profiles_140!O56&gt;Simulator!$L$15,1+Model_Formula!$N$17,1)</x:f>
        <x:v>1600</x:v>
      </x:c>
      <x:c r="K60" s="66" t="n">
        <x:f>Model_Formula!$M$18*(Profiles_140!P56-Simulator!$L$16)^2*IF(Profiles_140!P56&gt;Simulator!$L$16,1+Model_Formula!$N$18,1)</x:f>
        <x:v>562.5</x:v>
      </x:c>
      <x:c r="L60" s="66" t="n">
        <x:f>Model_Formula!$M$19*(Profiles_140!Q56-Simulator!$L$17)^2*IF(Profiles_140!Q56&gt;Simulator!$L$17,1+Model_Formula!$N$19,1)</x:f>
        <x:v>25</x:v>
      </x:c>
      <x:c r="M60" s="66" t="n">
        <x:f>Model_Formula!$M$20*(Profiles_140!R56-Simulator!$L$18)^2*IF(Profiles_140!R56&gt;Simulator!$L$18,1+Model_Formula!$N$20,1)</x:f>
        <x:v>2025</x:v>
      </x:c>
      <x:c r="N60" s="66" t="n">
        <x:f>Model_Formula!$M$21*(Profiles_140!S56-Simulator!$L$19)^2*IF(Profiles_140!S56&gt;Simulator!$L$19,1+Model_Formula!$N$21,1)</x:f>
        <x:v>625</x:v>
      </x:c>
      <x:c r="O60" s="66" t="n">
        <x:f>Model_Formula!$M$22*(Profiles_140!T56-Simulator!$L$20)^2*IF(Profiles_140!T56&gt;Simulator!$L$20,1+Model_Formula!$N$22,1)</x:f>
        <x:v>400</x:v>
      </x:c>
      <x:c r="P60" s="66" t="n">
        <x:f>Model_Formula!$M$23*(Profiles_140!U56-Simulator!$L$21)^2*IF(Profiles_140!U56&gt;Simulator!$L$21,1+Model_Formula!$N$23,1)</x:f>
        <x:v>180</x:v>
      </x:c>
      <x:c r="Q60" s="66" t="n">
        <x:f>Model_Formula!$M$24*(Profiles_140!V56-Simulator!$L$22)^2*IF(Profiles_140!V56&gt;Simulator!$L$22,1+Model_Formula!$N$24,1)</x:f>
        <x:v>250</x:v>
      </x:c>
      <x:c r="R60" s="66" t="n">
        <x:f>Model_Formula!$M$25*(Profiles_140!W56-Simulator!$L$23)^2*IF(Profiles_140!W56&gt;Simulator!$L$23,1+Model_Formula!$N$25,1)</x:f>
        <x:v>45</x:v>
      </x:c>
      <x:c r="S60" s="66" t="n">
        <x:f>Model_Formula!$M$26*(Profiles_140!X56-Simulator!$L$24)^2*IF(Profiles_140!X56&gt;Simulator!$L$24,1+Model_Formula!$N$26,1)</x:f>
        <x:v>0</x:v>
      </x:c>
      <x:c r="T60" s="66" t="n">
        <x:f>Model_Formula!$M$27*(Profiles_140!Y56-Simulator!$L$25)^2*IF(Profiles_140!Y56&gt;Simulator!$L$25,1+Model_Formula!$N$27,1)</x:f>
        <x:v>30.187499999999996</x:v>
      </x:c>
      <x:c r="U60" s="60" t="n">
        <x:f>SUM(F60:T60)/SUM($F$4:$T$4)</x:f>
        <x:v>600.2938432835822</x:v>
      </x:c>
      <x:c r="V60" s="60" t="n">
        <x:f>SQRT(U60)</x:f>
        <x:v>24.500894744551314</x:v>
      </x:c>
      <x:c r="W60" s="60" t="n">
        <x:f>MAX(0,100-V60)</x:f>
        <x:v>75.49910525544868</x:v>
      </x:c>
      <x:c r="X60" s="60" t="n">
        <x:f>SUMPRODUCT(Profiles_140!K56:Y56,$F$4:$T$4)/SUM($F$4:$T$4)</x:f>
        <x:v>49.06716417910448</x:v>
      </x:c>
      <x:c r="Y60" s="60" t="n">
        <x:f>IFERROR(50+50*SUMPRODUCT(($F$3:$T$3-$X$3)*(Profiles_140!K56:Y56-X60),$F$4:$T$4)/SQRT(SUMPRODUCT(($F$3:$T$3-$X$3)^2,$F$4:$T$4)*SUMPRODUCT((Profiles_140!K56:Y56-X60)^2,$F$4:$T$4)),50)</x:f>
        <x:v>50.00000000000001</x:v>
      </x:c>
      <x:c r="Z60" s="60" t="n">
        <x:f>$Z$3</x:f>
        <x:v>3.9474596431116675e-16</x:v>
      </x:c>
      <x:c r="AA60" s="60" t="n">
        <x:f>W60*(1-Model_Formula!$F$8*Z60)+Y60*(Model_Formula!$F$8*Z60)</x:f>
        <x:v>75.49910525544868</x:v>
      </x:c>
      <x:c r="AB60" s="60" t="n">
        <x:f>SQRT(SUMPRODUCT((Profiles_140!K56:Y56-50)^2,$F$4:$T$4)/SUM($F$4:$T$4))</x:f>
        <x:v>24.494897427831784</x:v>
      </x:c>
      <x:c r="AC60" s="60" t="n">
        <x:f>MAX(-Model_Formula!$F$11,MIN(Model_Formula!$F$11,Model_Formula!$F$10*(AB60-AVERAGE($AB$6:$AB$135))))</x:f>
        <x:v>-1.8793203009236652</x:v>
      </x:c>
      <x:c r="AD60" s="60" t="n">
        <x:f>MAX(0,MIN(100,AA60+AC60))</x:f>
        <x:v>73.61978495452502</x:v>
      </x:c>
      <x:c r="AE60" s="60" t="n">
        <x:f>MAX(0,MIN(1,IFERROR((MATCH(AD60,Percentile_Calibration!$F56:$DB56,1)-1)/100,0)))</x:f>
        <x:v>0.99</x:v>
      </x:c>
      <x:c r="AF60" s="62" t="n">
        <x:f>ROUND(MAX(Model_Formula!$I$9,Model_Formula!$I$5+Model_Formula!$I$6*POWER(AE60,Model_Formula!$I$7)),0)</x:f>
        <x:v>95</x:v>
      </x:c>
      <x:c r="AG60" t="n">
        <x:f>Profiles_140!AJ56</x:f>
        <x:v>0</x:v>
      </x:c>
      <x:c r="AH60" s="60" t="n">
        <x:f>Model_Formula!$I$8*(AE60*100)+(1-Model_Formula!$I$8)*AD60+AG60</x:f>
        <x:v>93.923956990905</x:v>
      </x:c>
      <x:c r="AI60" t="n">
        <x:f>RANK.EQ(AH60,$AH$6:$AH$135,0)+COUNTIF($AH$6:AH60,AH60)-1</x:f>
        <x:v>2</x:v>
      </x:c>
    </x:row>
    <x:row r="61">
      <x:c r="A61" t="str">
        <x:f>Profiles_140!A57</x:f>
        <x:v>タイレーツ</x:v>
      </x:c>
      <x:c r="B61" t="str">
        <x:f>Profiles_140!C57</x:f>
        <x:v>タイレーツ-1</x:v>
      </x:c>
      <x:c r="C61" t="str">
        <x:f>Profiles_140!D57</x:f>
        <x:v>はいすいのじん</x:v>
      </x:c>
      <x:c r="D61" t="str">
        <x:f>Profiles_140!B57</x:f>
        <x:v>バランス型</x:v>
      </x:c>
      <x:c r="E61" t="str">
        <x:f>Profiles_140!I57</x:f>
        <x:v>高</x:v>
      </x:c>
      <x:c r="F61" s="66" t="n">
        <x:f>Model_Formula!$M$13*(Profiles_140!K57-Simulator!$L$11)^2*IF(Profiles_140!K57&gt;Simulator!$L$11,1+Model_Formula!$N$13,1)</x:f>
        <x:v>25</x:v>
      </x:c>
      <x:c r="G61" s="66" t="n">
        <x:f>Model_Formula!$M$14*(Profiles_140!L57-Simulator!$L$12)^2*IF(Profiles_140!L57&gt;Simulator!$L$12,1+Model_Formula!$N$14,1)</x:f>
        <x:v>26.25</x:v>
      </x:c>
      <x:c r="H61" s="66" t="n">
        <x:f>Model_Formula!$M$15*(Profiles_140!M57-Simulator!$L$13)^2*IF(Profiles_140!M57&gt;Simulator!$L$13,1+Model_Formula!$N$15,1)</x:f>
        <x:v>225</x:v>
      </x:c>
      <x:c r="I61" s="66" t="n">
        <x:f>Model_Formula!$M$16*(Profiles_140!N57-Simulator!$L$14)^2*IF(Profiles_140!N57&gt;Simulator!$L$14,1+Model_Formula!$N$16,1)</x:f>
        <x:v>2500</x:v>
      </x:c>
      <x:c r="J61" s="66" t="n">
        <x:f>Model_Formula!$M$17*(Profiles_140!O57-Simulator!$L$15)^2*IF(Profiles_140!O57&gt;Simulator!$L$15,1+Model_Formula!$N$17,1)</x:f>
        <x:v>1600</x:v>
      </x:c>
      <x:c r="K61" s="66" t="n">
        <x:f>Model_Formula!$M$18*(Profiles_140!P57-Simulator!$L$16)^2*IF(Profiles_140!P57&gt;Simulator!$L$16,1+Model_Formula!$N$18,1)</x:f>
        <x:v>202.5</x:v>
      </x:c>
      <x:c r="L61" s="66" t="n">
        <x:f>Model_Formula!$M$19*(Profiles_140!Q57-Simulator!$L$17)^2*IF(Profiles_140!Q57&gt;Simulator!$L$17,1+Model_Formula!$N$19,1)</x:f>
        <x:v>225</x:v>
      </x:c>
      <x:c r="M61" s="66" t="n">
        <x:f>Model_Formula!$M$20*(Profiles_140!R57-Simulator!$L$18)^2*IF(Profiles_140!R57&gt;Simulator!$L$18,1+Model_Formula!$N$20,1)</x:f>
        <x:v>2025</x:v>
      </x:c>
      <x:c r="N61" s="66" t="n">
        <x:f>Model_Formula!$M$21*(Profiles_140!S57-Simulator!$L$19)^2*IF(Profiles_140!S57&gt;Simulator!$L$19,1+Model_Formula!$N$21,1)</x:f>
        <x:v>1600</x:v>
      </x:c>
      <x:c r="O61" s="66" t="n">
        <x:f>Model_Formula!$M$22*(Profiles_140!T57-Simulator!$L$20)^2*IF(Profiles_140!T57&gt;Simulator!$L$20,1+Model_Formula!$N$22,1)</x:f>
        <x:v>400</x:v>
      </x:c>
      <x:c r="P61" s="66" t="n">
        <x:f>Model_Formula!$M$23*(Profiles_140!U57-Simulator!$L$21)^2*IF(Profiles_140!U57&gt;Simulator!$L$21,1+Model_Formula!$N$23,1)</x:f>
        <x:v>405</x:v>
      </x:c>
      <x:c r="Q61" s="66" t="n">
        <x:f>Model_Formula!$M$24*(Profiles_140!V57-Simulator!$L$22)^2*IF(Profiles_140!V57&gt;Simulator!$L$22,1+Model_Formula!$N$24,1)</x:f>
        <x:v>250</x:v>
      </x:c>
      <x:c r="R61" s="66" t="n">
        <x:f>Model_Formula!$M$25*(Profiles_140!W57-Simulator!$L$23)^2*IF(Profiles_140!W57&gt;Simulator!$L$23,1+Model_Formula!$N$25,1)</x:f>
        <x:v>45</x:v>
      </x:c>
      <x:c r="S61" s="66" t="n">
        <x:f>Model_Formula!$M$26*(Profiles_140!X57-Simulator!$L$24)^2*IF(Profiles_140!X57&gt;Simulator!$L$24,1+Model_Formula!$N$26,1)</x:f>
        <x:v>334.12500000000006</x:v>
      </x:c>
      <x:c r="T61" s="66" t="n">
        <x:f>Model_Formula!$M$27*(Profiles_140!Y57-Simulator!$L$25)^2*IF(Profiles_140!Y57&gt;Simulator!$L$25,1+Model_Formula!$N$27,1)</x:f>
        <x:v>120.74999999999999</x:v>
      </x:c>
      <x:c r="U61" s="60" t="n">
        <x:f>SUM(F61:T61)/SUM($F$4:$T$4)</x:f>
        <x:v>745.0466417910449</x:v>
      </x:c>
      <x:c r="V61" s="60" t="n">
        <x:f>SQRT(U61)</x:f>
        <x:v>27.29554252604342</x:v>
      </x:c>
      <x:c r="W61" s="60" t="n">
        <x:f>MAX(0,100-V61)</x:f>
        <x:v>72.70445747395658</x:v>
      </x:c>
      <x:c r="X61" s="60" t="n">
        <x:f>SUMPRODUCT(Profiles_140!K57:Y57,$F$4:$T$4)/SUM($F$4:$T$4)</x:f>
        <x:v>48.86194029850747</x:v>
      </x:c>
      <x:c r="Y61" s="60" t="n">
        <x:f>IFERROR(50+50*SUMPRODUCT(($F$3:$T$3-$X$3)*(Profiles_140!K57:Y57-X61),$F$4:$T$4)/SQRT(SUMPRODUCT(($F$3:$T$3-$X$3)^2,$F$4:$T$4)*SUMPRODUCT((Profiles_140!K57:Y57-X61)^2,$F$4:$T$4)),50)</x:f>
        <x:v>50.000000000000014</x:v>
      </x:c>
      <x:c r="Z61" s="60" t="n">
        <x:f>$Z$3</x:f>
        <x:v>3.9474596431116675e-16</x:v>
      </x:c>
      <x:c r="AA61" s="60" t="n">
        <x:f>W61*(1-Model_Formula!$F$8*Z61)+Y61*(Model_Formula!$F$8*Z61)</x:f>
        <x:v>72.70445747395658</x:v>
      </x:c>
      <x:c r="AB61" s="60" t="n">
        <x:f>SQRT(SUMPRODUCT((Profiles_140!K57:Y57-50)^2,$F$4:$T$4)/SUM($F$4:$T$4))</x:f>
        <x:v>27.15523368372864</x:v>
      </x:c>
      <x:c r="AC61" s="60" t="n">
        <x:f>MAX(-Model_Formula!$F$11,MIN(Model_Formula!$F$11,Model_Formula!$F$10*(AB61-AVERAGE($AB$6:$AB$135))))</x:f>
        <x:v>-0.6821689857700806</x:v>
      </x:c>
      <x:c r="AD61" s="60" t="n">
        <x:f>MAX(0,MIN(100,AA61+AC61))</x:f>
        <x:v>72.0222884881865</x:v>
      </x:c>
      <x:c r="AE61" s="60" t="n">
        <x:f>MAX(0,MIN(1,IFERROR((MATCH(AD61,Percentile_Calibration!$F57:$DB57,1)-1)/100,0)))</x:f>
        <x:v>0.97</x:v>
      </x:c>
      <x:c r="AF61" s="62" t="n">
        <x:f>ROUND(MAX(Model_Formula!$I$9,Model_Formula!$I$5+Model_Formula!$I$6*POWER(AE61,Model_Formula!$I$7)),0)</x:f>
        <x:v>92</x:v>
      </x:c>
      <x:c r="AG61" t="n">
        <x:f>Profiles_140!AJ57</x:f>
        <x:v>0</x:v>
      </x:c>
      <x:c r="AH61" s="60" t="n">
        <x:f>Model_Formula!$I$8*(AE61*100)+(1-Model_Formula!$I$8)*AD61+AG61</x:f>
        <x:v>92.0044576976373</x:v>
      </x:c>
      <x:c r="AI61" t="n">
        <x:f>RANK.EQ(AH61,$AH$6:$AH$135,0)+COUNTIF($AH$6:AH61,AH61)-1</x:f>
        <x:v>9</x:v>
      </x:c>
    </x:row>
    <x:row r="62">
      <x:c r="A62" t="str">
        <x:f>Profiles_140!A58</x:f>
        <x:v>タイレーツ</x:v>
      </x:c>
      <x:c r="B62" t="str">
        <x:f>Profiles_140!C58</x:f>
        <x:v>タイレーツ-2</x:v>
      </x:c>
      <x:c r="C62" t="str">
        <x:f>Profiles_140!D58</x:f>
        <x:v>ふくろだたき</x:v>
      </x:c>
      <x:c r="D62" t="str">
        <x:f>Profiles_140!B58</x:f>
        <x:v>バランス型</x:v>
      </x:c>
      <x:c r="E62" t="str">
        <x:f>Profiles_140!I58</x:f>
        <x:v>高</x:v>
      </x:c>
      <x:c r="F62" s="66" t="n">
        <x:f>Model_Formula!$M$13*(Profiles_140!K58-Simulator!$L$11)^2*IF(Profiles_140!K58&gt;Simulator!$L$11,1+Model_Formula!$N$13,1)</x:f>
        <x:v>400</x:v>
      </x:c>
      <x:c r="G62" s="66" t="n">
        <x:f>Model_Formula!$M$14*(Profiles_140!L58-Simulator!$L$12)^2*IF(Profiles_140!L58&gt;Simulator!$L$12,1+Model_Formula!$N$14,1)</x:f>
        <x:v>1680</x:v>
      </x:c>
      <x:c r="H62" s="66" t="n">
        <x:f>Model_Formula!$M$15*(Profiles_140!M58-Simulator!$L$13)^2*IF(Profiles_140!M58&gt;Simulator!$L$13,1+Model_Formula!$N$15,1)</x:f>
        <x:v>900</x:v>
      </x:c>
      <x:c r="I62" s="66" t="n">
        <x:f>Model_Formula!$M$16*(Profiles_140!N58-Simulator!$L$14)^2*IF(Profiles_140!N58&gt;Simulator!$L$14,1+Model_Formula!$N$16,1)</x:f>
        <x:v>25</x:v>
      </x:c>
      <x:c r="J62" s="66" t="n">
        <x:f>Model_Formula!$M$17*(Profiles_140!O58-Simulator!$L$15)^2*IF(Profiles_140!O58&gt;Simulator!$L$15,1+Model_Formula!$N$17,1)</x:f>
        <x:v>1600</x:v>
      </x:c>
      <x:c r="K62" s="66" t="n">
        <x:f>Model_Formula!$M$18*(Profiles_140!P58-Simulator!$L$16)^2*IF(Profiles_140!P58&gt;Simulator!$L$16,1+Model_Formula!$N$18,1)</x:f>
        <x:v>202.5</x:v>
      </x:c>
      <x:c r="L62" s="66" t="n">
        <x:f>Model_Formula!$M$19*(Profiles_140!Q58-Simulator!$L$17)^2*IF(Profiles_140!Q58&gt;Simulator!$L$17,1+Model_Formula!$N$19,1)</x:f>
        <x:v>225</x:v>
      </x:c>
      <x:c r="M62" s="66" t="n">
        <x:f>Model_Formula!$M$20*(Profiles_140!R58-Simulator!$L$18)^2*IF(Profiles_140!R58&gt;Simulator!$L$18,1+Model_Formula!$N$20,1)</x:f>
        <x:v>2025</x:v>
      </x:c>
      <x:c r="N62" s="66" t="n">
        <x:f>Model_Formula!$M$21*(Profiles_140!S58-Simulator!$L$19)^2*IF(Profiles_140!S58&gt;Simulator!$L$19,1+Model_Formula!$N$21,1)</x:f>
        <x:v>2500</x:v>
      </x:c>
      <x:c r="O62" s="66" t="n">
        <x:f>Model_Formula!$M$22*(Profiles_140!T58-Simulator!$L$20)^2*IF(Profiles_140!T58&gt;Simulator!$L$20,1+Model_Formula!$N$22,1)</x:f>
        <x:v>400</x:v>
      </x:c>
      <x:c r="P62" s="66" t="n">
        <x:f>Model_Formula!$M$23*(Profiles_140!U58-Simulator!$L$21)^2*IF(Profiles_140!U58&gt;Simulator!$L$21,1+Model_Formula!$N$23,1)</x:f>
        <x:v>45</x:v>
      </x:c>
      <x:c r="Q62" s="66" t="n">
        <x:f>Model_Formula!$M$24*(Profiles_140!V58-Simulator!$L$22)^2*IF(Profiles_140!V58&gt;Simulator!$L$22,1+Model_Formula!$N$24,1)</x:f>
        <x:v>40</x:v>
      </x:c>
      <x:c r="R62" s="66" t="n">
        <x:f>Model_Formula!$M$25*(Profiles_140!W58-Simulator!$L$23)^2*IF(Profiles_140!W58&gt;Simulator!$L$23,1+Model_Formula!$N$25,1)</x:f>
        <x:v>101.25</x:v>
      </x:c>
      <x:c r="S62" s="66" t="n">
        <x:f>Model_Formula!$M$26*(Profiles_140!X58-Simulator!$L$24)^2*IF(Profiles_140!X58&gt;Simulator!$L$24,1+Model_Formula!$N$26,1)</x:f>
        <x:v>334.12500000000006</x:v>
      </x:c>
      <x:c r="T62" s="66" t="n">
        <x:f>Model_Formula!$M$27*(Profiles_140!Y58-Simulator!$L$25)^2*IF(Profiles_140!Y58&gt;Simulator!$L$25,1+Model_Formula!$N$27,1)</x:f>
        <x:v>482.99999999999994</x:v>
      </x:c>
      <x:c r="U62" s="60" t="n">
        <x:f>SUM(F62:T62)/SUM($F$4:$T$4)</x:f>
        <x:v>817.9757462686568</x:v>
      </x:c>
      <x:c r="V62" s="60" t="n">
        <x:f>SQRT(U62)</x:f>
        <x:v>28.600275283092238</x:v>
      </x:c>
      <x:c r="W62" s="60" t="n">
        <x:f>MAX(0,100-V62)</x:f>
        <x:v>71.39972471690777</x:v>
      </x:c>
      <x:c r="X62" s="60" t="n">
        <x:f>SUMPRODUCT(Profiles_140!K58:Y58,$F$4:$T$4)/SUM($F$4:$T$4)</x:f>
        <x:v>55.46641791044777</x:v>
      </x:c>
      <x:c r="Y62" s="60" t="n">
        <x:f>IFERROR(50+50*SUMPRODUCT(($F$3:$T$3-$X$3)*(Profiles_140!K58:Y58-X62),$F$4:$T$4)/SQRT(SUMPRODUCT(($F$3:$T$3-$X$3)^2,$F$4:$T$4)*SUMPRODUCT((Profiles_140!K58:Y58-X62)^2,$F$4:$T$4)),50)</x:f>
        <x:v>50.00000000000001</x:v>
      </x:c>
      <x:c r="Z62" s="60" t="n">
        <x:f>$Z$3</x:f>
        <x:v>3.9474596431116675e-16</x:v>
      </x:c>
      <x:c r="AA62" s="60" t="n">
        <x:f>W62*(1-Model_Formula!$F$8*Z62)+Y62*(Model_Formula!$F$8*Z62)</x:f>
        <x:v>71.39972471690777</x:v>
      </x:c>
      <x:c r="AB62" s="60" t="n">
        <x:f>SQRT(SUMPRODUCT((Profiles_140!K58:Y58-50)^2,$F$4:$T$4)/SUM($F$4:$T$4))</x:f>
        <x:v>28.404395812840967</x:v>
      </x:c>
      <x:c r="AC62" s="60" t="n">
        <x:f>MAX(-Model_Formula!$F$11,MIN(Model_Formula!$F$11,Model_Formula!$F$10*(AB62-AVERAGE($AB$6:$AB$135))))</x:f>
        <x:v>-0.12004602766953294</x:v>
      </x:c>
      <x:c r="AD62" s="60" t="n">
        <x:f>MAX(0,MIN(100,AA62+AC62))</x:f>
        <x:v>71.27967868923824</x:v>
      </x:c>
      <x:c r="AE62" s="60" t="n">
        <x:f>MAX(0,MIN(1,IFERROR((MATCH(AD62,Percentile_Calibration!$F58:$DB58,1)-1)/100,0)))</x:f>
        <x:v>0.74</x:v>
      </x:c>
      <x:c r="AF62" s="62" t="n">
        <x:f>ROUND(MAX(Model_Formula!$I$9,Model_Formula!$I$5+Model_Formula!$I$6*POWER(AE62,Model_Formula!$I$7)),0)</x:f>
        <x:v>64</x:v>
      </x:c>
      <x:c r="AG62" t="n">
        <x:f>Profiles_140!AJ58</x:f>
        <x:v>0</x:v>
      </x:c>
      <x:c r="AH62" s="60" t="n">
        <x:f>Model_Formula!$I$8*(AE62*100)+(1-Model_Formula!$I$8)*AD62+AG62</x:f>
        <x:v>73.45593573784765</x:v>
      </x:c>
      <x:c r="AI62" t="n">
        <x:f>RANK.EQ(AH62,$AH$6:$AH$135,0)+COUNTIF($AH$6:AH62,AH62)-1</x:f>
        <x:v>86</x:v>
      </x:c>
    </x:row>
    <x:row r="63">
      <x:c r="A63" t="str">
        <x:f>Profiles_140!A59</x:f>
        <x:v>ダダリン</x:v>
      </x:c>
      <x:c r="B63" t="str">
        <x:f>Profiles_140!C59</x:f>
        <x:v>ダダリン-1</x:v>
      </x:c>
      <x:c r="C63" t="str">
        <x:f>Profiles_140!D59</x:f>
        <x:v>共通</x:v>
      </x:c>
      <x:c r="D63" t="str">
        <x:f>Profiles_140!B59</x:f>
        <x:v>バランス型</x:v>
      </x:c>
      <x:c r="E63" t="str">
        <x:f>Profiles_140!I59</x:f>
        <x:v>高</x:v>
      </x:c>
      <x:c r="F63" s="66" t="n">
        <x:f>Model_Formula!$M$13*(Profiles_140!K59-Simulator!$L$11)^2*IF(Profiles_140!K59&gt;Simulator!$L$11,1+Model_Formula!$N$13,1)</x:f>
        <x:v>625</x:v>
      </x:c>
      <x:c r="G63" s="66" t="n">
        <x:f>Model_Formula!$M$14*(Profiles_140!L59-Simulator!$L$12)^2*IF(Profiles_140!L59&gt;Simulator!$L$12,1+Model_Formula!$N$14,1)</x:f>
        <x:v>105</x:v>
      </x:c>
      <x:c r="H63" s="66" t="n">
        <x:f>Model_Formula!$M$15*(Profiles_140!M59-Simulator!$L$13)^2*IF(Profiles_140!M59&gt;Simulator!$L$13,1+Model_Formula!$N$15,1)</x:f>
        <x:v>0</x:v>
      </x:c>
      <x:c r="I63" s="66" t="n">
        <x:f>Model_Formula!$M$16*(Profiles_140!N59-Simulator!$L$14)^2*IF(Profiles_140!N59&gt;Simulator!$L$14,1+Model_Formula!$N$16,1)</x:f>
        <x:v>0</x:v>
      </x:c>
      <x:c r="J63" s="66" t="n">
        <x:f>Model_Formula!$M$17*(Profiles_140!O59-Simulator!$L$15)^2*IF(Profiles_140!O59&gt;Simulator!$L$15,1+Model_Formula!$N$17,1)</x:f>
        <x:v>0</x:v>
      </x:c>
      <x:c r="K63" s="66" t="n">
        <x:f>Model_Formula!$M$18*(Profiles_140!P59-Simulator!$L$16)^2*IF(Profiles_140!P59&gt;Simulator!$L$16,1+Model_Formula!$N$18,1)</x:f>
        <x:v>360</x:v>
      </x:c>
      <x:c r="L63" s="66" t="n">
        <x:f>Model_Formula!$M$19*(Profiles_140!Q59-Simulator!$L$17)^2*IF(Profiles_140!Q59&gt;Simulator!$L$17,1+Model_Formula!$N$19,1)</x:f>
        <x:v>2500</x:v>
      </x:c>
      <x:c r="M63" s="66" t="n">
        <x:f>Model_Formula!$M$20*(Profiles_140!R59-Simulator!$L$18)^2*IF(Profiles_140!R59&gt;Simulator!$L$18,1+Model_Formula!$N$20,1)</x:f>
        <x:v>1600</x:v>
      </x:c>
      <x:c r="N63" s="66" t="n">
        <x:f>Model_Formula!$M$21*(Profiles_140!S59-Simulator!$L$19)^2*IF(Profiles_140!S59&gt;Simulator!$L$19,1+Model_Formula!$N$21,1)</x:f>
        <x:v>900</x:v>
      </x:c>
      <x:c r="O63" s="66" t="n">
        <x:f>Model_Formula!$M$22*(Profiles_140!T59-Simulator!$L$20)^2*IF(Profiles_140!T59&gt;Simulator!$L$20,1+Model_Formula!$N$22,1)</x:f>
        <x:v>0</x:v>
      </x:c>
      <x:c r="P63" s="66" t="n">
        <x:f>Model_Formula!$M$23*(Profiles_140!U59-Simulator!$L$21)^2*IF(Profiles_140!U59&gt;Simulator!$L$21,1+Model_Formula!$N$23,1)</x:f>
        <x:v>180</x:v>
      </x:c>
      <x:c r="Q63" s="66" t="n">
        <x:f>Model_Formula!$M$24*(Profiles_140!V59-Simulator!$L$22)^2*IF(Profiles_140!V59&gt;Simulator!$L$22,1+Model_Formula!$N$24,1)</x:f>
        <x:v>10</x:v>
      </x:c>
      <x:c r="R63" s="66" t="n">
        <x:f>Model_Formula!$M$25*(Profiles_140!W59-Simulator!$L$23)^2*IF(Profiles_140!W59&gt;Simulator!$L$23,1+Model_Formula!$N$25,1)</x:f>
        <x:v>281.25</x:v>
      </x:c>
      <x:c r="S63" s="66" t="n">
        <x:f>Model_Formula!$M$26*(Profiles_140!X59-Simulator!$L$24)^2*IF(Profiles_140!X59&gt;Simulator!$L$24,1+Model_Formula!$N$26,1)</x:f>
        <x:v>334.12500000000006</x:v>
      </x:c>
      <x:c r="T63" s="66" t="n">
        <x:f>Model_Formula!$M$27*(Profiles_140!Y59-Simulator!$L$25)^2*IF(Profiles_140!Y59&gt;Simulator!$L$25,1+Model_Formula!$N$27,1)</x:f>
        <x:v>2445.1875</x:v>
      </x:c>
      <x:c r="U63" s="60" t="n">
        <x:f>SUM(F63:T63)/SUM($F$4:$T$4)</x:f>
        <x:v>697.0569029850747</x:v>
      </x:c>
      <x:c r="V63" s="60" t="n">
        <x:f>SQRT(U63)</x:f>
        <x:v>26.401835220019738</x:v>
      </x:c>
      <x:c r="W63" s="60" t="n">
        <x:f>MAX(0,100-V63)</x:f>
        <x:v>73.59816477998027</x:v>
      </x:c>
      <x:c r="X63" s="60" t="n">
        <x:f>SUMPRODUCT(Profiles_140!K59:Y59,$F$4:$T$4)/SUM($F$4:$T$4)</x:f>
        <x:v>51.343283582089555</x:v>
      </x:c>
      <x:c r="Y63" s="60" t="n">
        <x:f>IFERROR(50+50*SUMPRODUCT(($F$3:$T$3-$X$3)*(Profiles_140!K59:Y59-X63),$F$4:$T$4)/SQRT(SUMPRODUCT(($F$3:$T$3-$X$3)^2,$F$4:$T$4)*SUMPRODUCT((Profiles_140!K59:Y59-X63)^2,$F$4:$T$4)),50)</x:f>
        <x:v>50.00000000000001</x:v>
      </x:c>
      <x:c r="Z63" s="60" t="n">
        <x:f>$Z$3</x:f>
        <x:v>3.9474596431116675e-16</x:v>
      </x:c>
      <x:c r="AA63" s="60" t="n">
        <x:f>W63*(1-Model_Formula!$F$8*Z63)+Y63*(Model_Formula!$F$8*Z63)</x:f>
        <x:v>73.59816477998027</x:v>
      </x:c>
      <x:c r="AB63" s="60" t="n">
        <x:f>SQRT(SUMPRODUCT((Profiles_140!K59:Y59-50)^2,$F$4:$T$4)/SUM($F$4:$T$4))</x:f>
        <x:v>25.82229743411921</x:v>
      </x:c>
      <x:c r="AC63" s="60" t="n">
        <x:f>MAX(-Model_Formula!$F$11,MIN(Model_Formula!$F$11,Model_Formula!$F$10*(AB63-AVERAGE($AB$6:$AB$135))))</x:f>
        <x:v>-1.2819902980943234</x:v>
      </x:c>
      <x:c r="AD63" s="60" t="n">
        <x:f>MAX(0,MIN(100,AA63+AC63))</x:f>
        <x:v>72.31617448188594</x:v>
      </x:c>
      <x:c r="AE63" s="60" t="n">
        <x:f>MAX(0,MIN(1,IFERROR((MATCH(AD63,Percentile_Calibration!$F59:$DB59,1)-1)/100,0)))</x:f>
        <x:v>0.96</x:v>
      </x:c>
      <x:c r="AF63" s="62" t="n">
        <x:f>ROUND(MAX(Model_Formula!$I$9,Model_Formula!$I$5+Model_Formula!$I$6*POWER(AE63,Model_Formula!$I$7)),0)</x:f>
        <x:v>91</x:v>
      </x:c>
      <x:c r="AG63" t="n">
        <x:f>Profiles_140!AJ59</x:f>
        <x:v>0</x:v>
      </x:c>
      <x:c r="AH63" s="60" t="n">
        <x:f>Model_Formula!$I$8*(AE63*100)+(1-Model_Formula!$I$8)*AD63+AG63</x:f>
        <x:v>91.2632348963772</x:v>
      </x:c>
      <x:c r="AI63" t="n">
        <x:f>RANK.EQ(AH63,$AH$6:$AH$135,0)+COUNTIF($AH$6:AH63,AH63)-1</x:f>
        <x:v>13</x:v>
      </x:c>
    </x:row>
    <x:row r="64">
      <x:c r="A64" t="str">
        <x:f>Profiles_140!A60</x:f>
        <x:v>デカヌチャン</x:v>
      </x:c>
      <x:c r="B64" t="str">
        <x:f>Profiles_140!C60</x:f>
        <x:v>デカヌチャン-1</x:v>
      </x:c>
      <x:c r="C64" t="str">
        <x:f>Profiles_140!D60</x:f>
        <x:v>共通</x:v>
      </x:c>
      <x:c r="D64" t="str">
        <x:f>Profiles_140!B60</x:f>
        <x:v>バランス型</x:v>
      </x:c>
      <x:c r="E64" t="str">
        <x:f>Profiles_140!I60</x:f>
        <x:v>高</x:v>
      </x:c>
      <x:c r="F64" s="66" t="n">
        <x:f>Model_Formula!$M$13*(Profiles_140!K60-Simulator!$L$11)^2*IF(Profiles_140!K60&gt;Simulator!$L$11,1+Model_Formula!$N$13,1)</x:f>
        <x:v>25</x:v>
      </x:c>
      <x:c r="G64" s="66" t="n">
        <x:f>Model_Formula!$M$14*(Profiles_140!L60-Simulator!$L$12)^2*IF(Profiles_140!L60&gt;Simulator!$L$12,1+Model_Formula!$N$14,1)</x:f>
        <x:v>26.25</x:v>
      </x:c>
      <x:c r="H64" s="66" t="n">
        <x:f>Model_Formula!$M$15*(Profiles_140!M60-Simulator!$L$13)^2*IF(Profiles_140!M60&gt;Simulator!$L$13,1+Model_Formula!$N$15,1)</x:f>
        <x:v>225</x:v>
      </x:c>
      <x:c r="I64" s="66" t="n">
        <x:f>Model_Formula!$M$16*(Profiles_140!N60-Simulator!$L$14)^2*IF(Profiles_140!N60&gt;Simulator!$L$14,1+Model_Formula!$N$16,1)</x:f>
        <x:v>2500</x:v>
      </x:c>
      <x:c r="J64" s="66" t="n">
        <x:f>Model_Formula!$M$17*(Profiles_140!O60-Simulator!$L$15)^2*IF(Profiles_140!O60&gt;Simulator!$L$15,1+Model_Formula!$N$17,1)</x:f>
        <x:v>1600</x:v>
      </x:c>
      <x:c r="K64" s="66" t="n">
        <x:f>Model_Formula!$M$18*(Profiles_140!P60-Simulator!$L$16)^2*IF(Profiles_140!P60&gt;Simulator!$L$16,1+Model_Formula!$N$18,1)</x:f>
        <x:v>562.5</x:v>
      </x:c>
      <x:c r="L64" s="66" t="n">
        <x:f>Model_Formula!$M$19*(Profiles_140!Q60-Simulator!$L$17)^2*IF(Profiles_140!Q60&gt;Simulator!$L$17,1+Model_Formula!$N$19,1)</x:f>
        <x:v>225</x:v>
      </x:c>
      <x:c r="M64" s="66" t="n">
        <x:f>Model_Formula!$M$20*(Profiles_140!R60-Simulator!$L$18)^2*IF(Profiles_140!R60&gt;Simulator!$L$18,1+Model_Formula!$N$20,1)</x:f>
        <x:v>2025</x:v>
      </x:c>
      <x:c r="N64" s="66" t="n">
        <x:f>Model_Formula!$M$21*(Profiles_140!S60-Simulator!$L$19)^2*IF(Profiles_140!S60&gt;Simulator!$L$19,1+Model_Formula!$N$21,1)</x:f>
        <x:v>1600</x:v>
      </x:c>
      <x:c r="O64" s="66" t="n">
        <x:f>Model_Formula!$M$22*(Profiles_140!T60-Simulator!$L$20)^2*IF(Profiles_140!T60&gt;Simulator!$L$20,1+Model_Formula!$N$22,1)</x:f>
        <x:v>400</x:v>
      </x:c>
      <x:c r="P64" s="66" t="n">
        <x:f>Model_Formula!$M$23*(Profiles_140!U60-Simulator!$L$21)^2*IF(Profiles_140!U60&gt;Simulator!$L$21,1+Model_Formula!$N$23,1)</x:f>
        <x:v>720</x:v>
      </x:c>
      <x:c r="Q64" s="66" t="n">
        <x:f>Model_Formula!$M$24*(Profiles_140!V60-Simulator!$L$22)^2*IF(Profiles_140!V60&gt;Simulator!$L$22,1+Model_Formula!$N$24,1)</x:f>
        <x:v>250</x:v>
      </x:c>
      <x:c r="R64" s="66" t="n">
        <x:f>Model_Formula!$M$25*(Profiles_140!W60-Simulator!$L$23)^2*IF(Profiles_140!W60&gt;Simulator!$L$23,1+Model_Formula!$N$25,1)</x:f>
        <x:v>45</x:v>
      </x:c>
      <x:c r="S64" s="66" t="n">
        <x:f>Model_Formula!$M$26*(Profiles_140!X60-Simulator!$L$24)^2*IF(Profiles_140!X60&gt;Simulator!$L$24,1+Model_Formula!$N$26,1)</x:f>
        <x:v>110.00000000000001</x:v>
      </x:c>
      <x:c r="T64" s="66" t="n">
        <x:f>Model_Formula!$M$27*(Profiles_140!Y60-Simulator!$L$25)^2*IF(Profiles_140!Y60&gt;Simulator!$L$25,1+Model_Formula!$N$27,1)</x:f>
        <x:v>0</x:v>
      </x:c>
      <x:c r="U64" s="60" t="n">
        <x:f>SUM(F64:T64)/SUM($F$4:$T$4)</x:f>
        <x:v>769.6828358208955</x:v>
      </x:c>
      <x:c r="V64" s="60" t="n">
        <x:f>SQRT(U64)</x:f>
        <x:v>27.743158360592176</x:v>
      </x:c>
      <x:c r="W64" s="60" t="n">
        <x:f>MAX(0,100-V64)</x:f>
        <x:v>72.25684163940782</x:v>
      </x:c>
      <x:c r="X64" s="60" t="n">
        <x:f>SUMPRODUCT(Profiles_140!K60:Y60,$F$4:$T$4)/SUM($F$4:$T$4)</x:f>
        <x:v>47.03358208955224</x:v>
      </x:c>
      <x:c r="Y64" s="60" t="n">
        <x:f>IFERROR(50+50*SUMPRODUCT(($F$3:$T$3-$X$3)*(Profiles_140!K60:Y60-X64),$F$4:$T$4)/SQRT(SUMPRODUCT(($F$3:$T$3-$X$3)^2,$F$4:$T$4)*SUMPRODUCT((Profiles_140!K60:Y60-X64)^2,$F$4:$T$4)),50)</x:f>
        <x:v>50</x:v>
      </x:c>
      <x:c r="Z64" s="60" t="n">
        <x:f>$Z$3</x:f>
        <x:v>3.9474596431116675e-16</x:v>
      </x:c>
      <x:c r="AA64" s="60" t="n">
        <x:f>W64*(1-Model_Formula!$F$8*Z64)+Y64*(Model_Formula!$F$8*Z64)</x:f>
        <x:v>72.25684163940782</x:v>
      </x:c>
      <x:c r="AB64" s="60" t="n">
        <x:f>SQRT(SUMPRODUCT((Profiles_140!K60:Y60-50)^2,$F$4:$T$4)/SUM($F$4:$T$4))</x:f>
        <x:v>27.743158360592176</x:v>
      </x:c>
      <x:c r="AC64" s="60" t="n">
        <x:f>MAX(-Model_Formula!$F$11,MIN(Model_Formula!$F$11,Model_Formula!$F$10*(AB64-AVERAGE($AB$6:$AB$135))))</x:f>
        <x:v>-0.41760288118148897</x:v>
      </x:c>
      <x:c r="AD64" s="60" t="n">
        <x:f>MAX(0,MIN(100,AA64+AC64))</x:f>
        <x:v>71.83923875822633</x:v>
      </x:c>
      <x:c r="AE64" s="60" t="n">
        <x:f>MAX(0,MIN(1,IFERROR((MATCH(AD64,Percentile_Calibration!$F60:$DB60,1)-1)/100,0)))</x:f>
        <x:v>0.97</x:v>
      </x:c>
      <x:c r="AF64" s="62" t="n">
        <x:f>ROUND(MAX(Model_Formula!$I$9,Model_Formula!$I$5+Model_Formula!$I$6*POWER(AE64,Model_Formula!$I$7)),0)</x:f>
        <x:v>92</x:v>
      </x:c>
      <x:c r="AG64" t="n">
        <x:f>Profiles_140!AJ60</x:f>
        <x:v>0</x:v>
      </x:c>
      <x:c r="AH64" s="60" t="n">
        <x:f>Model_Formula!$I$8*(AE64*100)+(1-Model_Formula!$I$8)*AD64+AG64</x:f>
        <x:v>91.96784775164527</x:v>
      </x:c>
      <x:c r="AI64" t="n">
        <x:f>RANK.EQ(AH64,$AH$6:$AH$135,0)+COUNTIF($AH$6:AH64,AH64)-1</x:f>
        <x:v>10</x:v>
      </x:c>
    </x:row>
    <x:row r="65">
      <x:c r="A65" t="str">
        <x:f>Profiles_140!A61</x:f>
        <x:v>ネギガナイト</x:v>
      </x:c>
      <x:c r="B65" t="str">
        <x:f>Profiles_140!C61</x:f>
        <x:v>ネギガナイト-1</x:v>
      </x:c>
      <x:c r="C65" t="str">
        <x:f>Profiles_140!D61</x:f>
        <x:v>共通</x:v>
      </x:c>
      <x:c r="D65" t="str">
        <x:f>Profiles_140!B61</x:f>
        <x:v>バランス型</x:v>
      </x:c>
      <x:c r="E65" t="str">
        <x:f>Profiles_140!I61</x:f>
        <x:v>高</x:v>
      </x:c>
      <x:c r="F65" s="66" t="n">
        <x:f>Model_Formula!$M$13*(Profiles_140!K61-Simulator!$L$11)^2*IF(Profiles_140!K61&gt;Simulator!$L$11,1+Model_Formula!$N$13,1)</x:f>
        <x:v>900</x:v>
      </x:c>
      <x:c r="G65" s="66" t="n">
        <x:f>Model_Formula!$M$14*(Profiles_140!L61-Simulator!$L$12)^2*IF(Profiles_140!L61&gt;Simulator!$L$12,1+Model_Formula!$N$14,1)</x:f>
        <x:v>1680</x:v>
      </x:c>
      <x:c r="H65" s="66" t="n">
        <x:f>Model_Formula!$M$15*(Profiles_140!M61-Simulator!$L$13)^2*IF(Profiles_140!M61&gt;Simulator!$L$13,1+Model_Formula!$N$15,1)</x:f>
        <x:v>900</x:v>
      </x:c>
      <x:c r="I65" s="66" t="n">
        <x:f>Model_Formula!$M$16*(Profiles_140!N61-Simulator!$L$14)^2*IF(Profiles_140!N61&gt;Simulator!$L$14,1+Model_Formula!$N$16,1)</x:f>
        <x:v>225</x:v>
      </x:c>
      <x:c r="J65" s="66" t="n">
        <x:f>Model_Formula!$M$17*(Profiles_140!O61-Simulator!$L$15)^2*IF(Profiles_140!O61&gt;Simulator!$L$15,1+Model_Formula!$N$17,1)</x:f>
        <x:v>1600</x:v>
      </x:c>
      <x:c r="K65" s="66" t="n">
        <x:f>Model_Formula!$M$18*(Profiles_140!P61-Simulator!$L$16)^2*IF(Profiles_140!P61&gt;Simulator!$L$16,1+Model_Formula!$N$18,1)</x:f>
        <x:v>202.5</x:v>
      </x:c>
      <x:c r="L65" s="66" t="n">
        <x:f>Model_Formula!$M$19*(Profiles_140!Q61-Simulator!$L$17)^2*IF(Profiles_140!Q61&gt;Simulator!$L$17,1+Model_Formula!$N$19,1)</x:f>
        <x:v>25</x:v>
      </x:c>
      <x:c r="M65" s="66" t="n">
        <x:f>Model_Formula!$M$20*(Profiles_140!R61-Simulator!$L$18)^2*IF(Profiles_140!R61&gt;Simulator!$L$18,1+Model_Formula!$N$20,1)</x:f>
        <x:v>2025</x:v>
      </x:c>
      <x:c r="N65" s="66" t="n">
        <x:f>Model_Formula!$M$21*(Profiles_140!S61-Simulator!$L$19)^2*IF(Profiles_140!S61&gt;Simulator!$L$19,1+Model_Formula!$N$21,1)</x:f>
        <x:v>625</x:v>
      </x:c>
      <x:c r="O65" s="66" t="n">
        <x:f>Model_Formula!$M$22*(Profiles_140!T61-Simulator!$L$20)^2*IF(Profiles_140!T61&gt;Simulator!$L$20,1+Model_Formula!$N$22,1)</x:f>
        <x:v>900</x:v>
      </x:c>
      <x:c r="P65" s="66" t="n">
        <x:f>Model_Formula!$M$23*(Profiles_140!U61-Simulator!$L$21)^2*IF(Profiles_140!U61&gt;Simulator!$L$21,1+Model_Formula!$N$23,1)</x:f>
        <x:v>45</x:v>
      </x:c>
      <x:c r="Q65" s="66" t="n">
        <x:f>Model_Formula!$M$24*(Profiles_140!V61-Simulator!$L$22)^2*IF(Profiles_140!V61&gt;Simulator!$L$22,1+Model_Formula!$N$24,1)</x:f>
        <x:v>40</x:v>
      </x:c>
      <x:c r="R65" s="66" t="n">
        <x:f>Model_Formula!$M$25*(Profiles_140!W61-Simulator!$L$23)^2*IF(Profiles_140!W61&gt;Simulator!$L$23,1+Model_Formula!$N$25,1)</x:f>
        <x:v>11.25</x:v>
      </x:c>
      <x:c r="S65" s="66" t="n">
        <x:f>Model_Formula!$M$26*(Profiles_140!X61-Simulator!$L$24)^2*IF(Profiles_140!X61&gt;Simulator!$L$24,1+Model_Formula!$N$26,1)</x:f>
        <x:v>2376.0000000000005</x:v>
      </x:c>
      <x:c r="T65" s="66" t="n">
        <x:f>Model_Formula!$M$27*(Profiles_140!Y61-Simulator!$L$25)^2*IF(Profiles_140!Y61&gt;Simulator!$L$25,1+Model_Formula!$N$27,1)</x:f>
        <x:v>482.99999999999994</x:v>
      </x:c>
      <x:c r="U65" s="60" t="n">
        <x:f>SUM(F65:T65)/SUM($F$4:$T$4)</x:f>
        <x:v>898.339552238806</x:v>
      </x:c>
      <x:c r="V65" s="60" t="n">
        <x:f>SQRT(U65)</x:f>
        <x:v>29.972313094567895</x:v>
      </x:c>
      <x:c r="W65" s="60" t="n">
        <x:f>MAX(0,100-V65)</x:f>
        <x:v>70.0276869054321</x:v>
      </x:c>
      <x:c r="X65" s="60" t="n">
        <x:f>SUMPRODUCT(Profiles_140!K61:Y61,$F$4:$T$4)/SUM($F$4:$T$4)</x:f>
        <x:v>56.28731343283582</x:v>
      </x:c>
      <x:c r="Y65" s="60" t="n">
        <x:f>IFERROR(50+50*SUMPRODUCT(($F$3:$T$3-$X$3)*(Profiles_140!K61:Y61-X65),$F$4:$T$4)/SQRT(SUMPRODUCT(($F$3:$T$3-$X$3)^2,$F$4:$T$4)*SUMPRODUCT((Profiles_140!K61:Y61-X65)^2,$F$4:$T$4)),50)</x:f>
        <x:v>50</x:v>
      </x:c>
      <x:c r="Z65" s="60" t="n">
        <x:f>$Z$3</x:f>
        <x:v>3.9474596431116675e-16</x:v>
      </x:c>
      <x:c r="AA65" s="60" t="n">
        <x:f>W65*(1-Model_Formula!$F$8*Z65)+Y65*(Model_Formula!$F$8*Z65)</x:f>
        <x:v>70.0276869054321</x:v>
      </x:c>
      <x:c r="AB65" s="60" t="n">
        <x:f>SQRT(SUMPRODUCT((Profiles_140!K61:Y61-50)^2,$F$4:$T$4)/SUM($F$4:$T$4))</x:f>
        <x:v>29.11473699774328</x:v>
      </x:c>
      <x:c r="AC65" s="60" t="n">
        <x:f>MAX(-Model_Formula!$F$11,MIN(Model_Formula!$F$11,Model_Formula!$F$10*(AB65-AVERAGE($AB$6:$AB$135))))</x:f>
        <x:v>0.19960750553650738</x:v>
      </x:c>
      <x:c r="AD65" s="60" t="n">
        <x:f>MAX(0,MIN(100,AA65+AC65))</x:f>
        <x:v>70.22729441096861</x:v>
      </x:c>
      <x:c r="AE65" s="60" t="n">
        <x:f>MAX(0,MIN(1,IFERROR((MATCH(AD65,Percentile_Calibration!$F61:$DB61,1)-1)/100,0)))</x:f>
        <x:v>0.72</x:v>
      </x:c>
      <x:c r="AF65" s="62" t="n">
        <x:f>ROUND(MAX(Model_Formula!$I$9,Model_Formula!$I$5+Model_Formula!$I$6*POWER(AE65,Model_Formula!$I$7)),0)</x:f>
        <x:v>63</x:v>
      </x:c>
      <x:c r="AG65" t="n">
        <x:f>Profiles_140!AJ61</x:f>
        <x:v>0</x:v>
      </x:c>
      <x:c r="AH65" s="60" t="n">
        <x:f>Model_Formula!$I$8*(AE65*100)+(1-Model_Formula!$I$8)*AD65+AG65</x:f>
        <x:v>71.64545888219372</x:v>
      </x:c>
      <x:c r="AI65" t="n">
        <x:f>RANK.EQ(AH65,$AH$6:$AH$135,0)+COUNTIF($AH$6:AH65,AH65)-1</x:f>
        <x:v>97</x:v>
      </x:c>
    </x:row>
    <x:row r="66">
      <x:c r="A66" t="str">
        <x:f>Profiles_140!A62</x:f>
        <x:v>ハッサム</x:v>
      </x:c>
      <x:c r="B66" t="str">
        <x:f>Profiles_140!C62</x:f>
        <x:v>ハッサム-1</x:v>
      </x:c>
      <x:c r="C66" t="str">
        <x:f>Profiles_140!D62</x:f>
        <x:v>ストライク</x:v>
      </x:c>
      <x:c r="D66" t="str">
        <x:f>Profiles_140!B62</x:f>
        <x:v>バランス型</x:v>
      </x:c>
      <x:c r="E66" t="str">
        <x:f>Profiles_140!I62</x:f>
        <x:v>高</x:v>
      </x:c>
      <x:c r="F66" s="66" t="n">
        <x:f>Model_Formula!$M$13*(Profiles_140!K62-Simulator!$L$11)^2*IF(Profiles_140!K62&gt;Simulator!$L$11,1+Model_Formula!$N$13,1)</x:f>
        <x:v>25</x:v>
      </x:c>
      <x:c r="G66" s="66" t="n">
        <x:f>Model_Formula!$M$14*(Profiles_140!L62-Simulator!$L$12)^2*IF(Profiles_140!L62&gt;Simulator!$L$12,1+Model_Formula!$N$14,1)</x:f>
        <x:v>2126.25</x:v>
      </x:c>
      <x:c r="H66" s="66" t="n">
        <x:f>Model_Formula!$M$15*(Profiles_140!M62-Simulator!$L$13)^2*IF(Profiles_140!M62&gt;Simulator!$L$13,1+Model_Formula!$N$15,1)</x:f>
        <x:v>2500</x:v>
      </x:c>
      <x:c r="I66" s="66" t="n">
        <x:f>Model_Formula!$M$16*(Profiles_140!N62-Simulator!$L$14)^2*IF(Profiles_140!N62&gt;Simulator!$L$14,1+Model_Formula!$N$16,1)</x:f>
        <x:v>2500</x:v>
      </x:c>
      <x:c r="J66" s="66" t="n">
        <x:f>Model_Formula!$M$17*(Profiles_140!O62-Simulator!$L$15)^2*IF(Profiles_140!O62&gt;Simulator!$L$15,1+Model_Formula!$N$17,1)</x:f>
        <x:v>1225</x:v>
      </x:c>
      <x:c r="K66" s="66" t="n">
        <x:f>Model_Formula!$M$18*(Profiles_140!P62-Simulator!$L$16)^2*IF(Profiles_140!P62&gt;Simulator!$L$16,1+Model_Formula!$N$18,1)</x:f>
        <x:v>2250</x:v>
      </x:c>
      <x:c r="L66" s="66" t="n">
        <x:f>Model_Formula!$M$19*(Profiles_140!Q62-Simulator!$L$17)^2*IF(Profiles_140!Q62&gt;Simulator!$L$17,1+Model_Formula!$N$19,1)</x:f>
        <x:v>625</x:v>
      </x:c>
      <x:c r="M66" s="66" t="n">
        <x:f>Model_Formula!$M$20*(Profiles_140!R62-Simulator!$L$18)^2*IF(Profiles_140!R62&gt;Simulator!$L$18,1+Model_Formula!$N$20,1)</x:f>
        <x:v>2025</x:v>
      </x:c>
      <x:c r="N66" s="66" t="n">
        <x:f>Model_Formula!$M$21*(Profiles_140!S62-Simulator!$L$19)^2*IF(Profiles_140!S62&gt;Simulator!$L$19,1+Model_Formula!$N$21,1)</x:f>
        <x:v>2500</x:v>
      </x:c>
      <x:c r="O66" s="66" t="n">
        <x:f>Model_Formula!$M$22*(Profiles_140!T62-Simulator!$L$20)^2*IF(Profiles_140!T62&gt;Simulator!$L$20,1+Model_Formula!$N$22,1)</x:f>
        <x:v>225</x:v>
      </x:c>
      <x:c r="P66" s="66" t="n">
        <x:f>Model_Formula!$M$23*(Profiles_140!U62-Simulator!$L$21)^2*IF(Profiles_140!U62&gt;Simulator!$L$21,1+Model_Formula!$N$23,1)</x:f>
        <x:v>101.25</x:v>
      </x:c>
      <x:c r="Q66" s="66" t="n">
        <x:f>Model_Formula!$M$24*(Profiles_140!V62-Simulator!$L$22)^2*IF(Profiles_140!V62&gt;Simulator!$L$22,1+Model_Formula!$N$24,1)</x:f>
        <x:v>160</x:v>
      </x:c>
      <x:c r="R66" s="66" t="n">
        <x:f>Model_Formula!$M$25*(Profiles_140!W62-Simulator!$L$23)^2*IF(Profiles_140!W62&gt;Simulator!$L$23,1+Model_Formula!$N$25,1)</x:f>
        <x:v>551.25</x:v>
      </x:c>
      <x:c r="S66" s="66" t="n">
        <x:f>Model_Formula!$M$26*(Profiles_140!X62-Simulator!$L$24)^2*IF(Profiles_140!X62&gt;Simulator!$L$24,1+Model_Formula!$N$26,1)</x:f>
        <x:v>2376.0000000000005</x:v>
      </x:c>
      <x:c r="T66" s="66" t="n">
        <x:f>Model_Formula!$M$27*(Profiles_140!Y62-Simulator!$L$25)^2*IF(Profiles_140!Y62&gt;Simulator!$L$25,1+Model_Formula!$N$27,1)</x:f>
        <x:v>754.6874999999999</x:v>
      </x:c>
      <x:c r="U66" s="60" t="n">
        <x:f>SUM(F66:T66)/SUM($F$4:$T$4)</x:f>
        <x:v>1488.3908582089555</x:v>
      </x:c>
      <x:c r="V66" s="60" t="n">
        <x:f>SQRT(U66)</x:f>
        <x:v>38.579668974849376</x:v>
      </x:c>
      <x:c r="W66" s="60" t="n">
        <x:f>MAX(0,100-V66)</x:f>
        <x:v>61.420331025150624</x:v>
      </x:c>
      <x:c r="X66" s="60" t="n">
        <x:f>SUMPRODUCT(Profiles_140!K62:Y62,$F$4:$T$4)/SUM($F$4:$T$4)</x:f>
        <x:v>47.61194029850747</x:v>
      </x:c>
      <x:c r="Y66" s="60" t="n">
        <x:f>IFERROR(50+50*SUMPRODUCT(($F$3:$T$3-$X$3)*(Profiles_140!K62:Y62-X66),$F$4:$T$4)/SQRT(SUMPRODUCT(($F$3:$T$3-$X$3)^2,$F$4:$T$4)*SUMPRODUCT((Profiles_140!K62:Y62-X66)^2,$F$4:$T$4)),50)</x:f>
        <x:v>50.00000000000001</x:v>
      </x:c>
      <x:c r="Z66" s="60" t="n">
        <x:f>$Z$3</x:f>
        <x:v>3.9474596431116675e-16</x:v>
      </x:c>
      <x:c r="AA66" s="60" t="n">
        <x:f>W66*(1-Model_Formula!$F$8*Z66)+Y66*(Model_Formula!$F$8*Z66)</x:f>
        <x:v>61.420331025150624</x:v>
      </x:c>
      <x:c r="AB66" s="60" t="n">
        <x:f>SQRT(SUMPRODUCT((Profiles_140!K62:Y62-50)^2,$F$4:$T$4)/SUM($F$4:$T$4))</x:f>
        <x:v>37.882378843806414</x:v>
      </x:c>
      <x:c r="AC66" s="60" t="n">
        <x:f>MAX(-Model_Formula!$F$11,MIN(Model_Formula!$F$11,Model_Formula!$F$10*(AB66-AVERAGE($AB$6:$AB$135))))</x:f>
        <x:v>4.145046336264919</x:v>
      </x:c>
      <x:c r="AD66" s="60" t="n">
        <x:f>MAX(0,MIN(100,AA66+AC66))</x:f>
        <x:v>65.56537736141554</x:v>
      </x:c>
      <x:c r="AE66" s="60" t="n">
        <x:f>MAX(0,MIN(1,IFERROR((MATCH(AD66,Percentile_Calibration!$F62:$DB62,1)-1)/100,0)))</x:f>
        <x:v>0.64</x:v>
      </x:c>
      <x:c r="AF66" s="62" t="n">
        <x:f>ROUND(MAX(Model_Formula!$I$9,Model_Formula!$I$5+Model_Formula!$I$6*POWER(AE66,Model_Formula!$I$7)),0)</x:f>
        <x:v>56</x:v>
      </x:c>
      <x:c r="AG66" t="n">
        <x:f>Profiles_140!AJ62</x:f>
        <x:v>0</x:v>
      </x:c>
      <x:c r="AH66" s="60" t="n">
        <x:f>Model_Formula!$I$8*(AE66*100)+(1-Model_Formula!$I$8)*AD66+AG66</x:f>
        <x:v>64.3130754722831</x:v>
      </x:c>
      <x:c r="AI66" t="n">
        <x:f>RANK.EQ(AH66,$AH$6:$AH$135,0)+COUNTIF($AH$6:AH66,AH66)-1</x:f>
        <x:v>130</x:v>
      </x:c>
    </x:row>
    <x:row r="67">
      <x:c r="A67" t="str">
        <x:f>Profiles_140!A63</x:f>
        <x:v>ハッサム</x:v>
      </x:c>
      <x:c r="B67" t="str">
        <x:f>Profiles_140!C63</x:f>
        <x:v>ハッサム-2</x:v>
      </x:c>
      <x:c r="C67" t="str">
        <x:f>Profiles_140!D63</x:f>
        <x:v>ハッサム</x:v>
      </x:c>
      <x:c r="D67" t="str">
        <x:f>Profiles_140!B63</x:f>
        <x:v>バランス型</x:v>
      </x:c>
      <x:c r="E67" t="str">
        <x:f>Profiles_140!I63</x:f>
        <x:v>高</x:v>
      </x:c>
      <x:c r="F67" s="66" t="n">
        <x:f>Model_Formula!$M$13*(Profiles_140!K63-Simulator!$L$11)^2*IF(Profiles_140!K63&gt;Simulator!$L$11,1+Model_Formula!$N$13,1)</x:f>
        <x:v>100</x:v>
      </x:c>
      <x:c r="G67" s="66" t="n">
        <x:f>Model_Formula!$M$14*(Profiles_140!L63-Simulator!$L$12)^2*IF(Profiles_140!L63&gt;Simulator!$L$12,1+Model_Formula!$N$14,1)</x:f>
        <x:v>105</x:v>
      </x:c>
      <x:c r="H67" s="66" t="n">
        <x:f>Model_Formula!$M$15*(Profiles_140!M63-Simulator!$L$13)^2*IF(Profiles_140!M63&gt;Simulator!$L$13,1+Model_Formula!$N$15,1)</x:f>
        <x:v>225</x:v>
      </x:c>
      <x:c r="I67" s="66" t="n">
        <x:f>Model_Formula!$M$16*(Profiles_140!N63-Simulator!$L$14)^2*IF(Profiles_140!N63&gt;Simulator!$L$14,1+Model_Formula!$N$16,1)</x:f>
        <x:v>2025</x:v>
      </x:c>
      <x:c r="J67" s="66" t="n">
        <x:f>Model_Formula!$M$17*(Profiles_140!O63-Simulator!$L$15)^2*IF(Profiles_140!O63&gt;Simulator!$L$15,1+Model_Formula!$N$17,1)</x:f>
        <x:v>900</x:v>
      </x:c>
      <x:c r="K67" s="66" t="n">
        <x:f>Model_Formula!$M$18*(Profiles_140!P63-Simulator!$L$16)^2*IF(Profiles_140!P63&gt;Simulator!$L$16,1+Model_Formula!$N$18,1)</x:f>
        <x:v>1102.5</x:v>
      </x:c>
      <x:c r="L67" s="66" t="n">
        <x:f>Model_Formula!$M$19*(Profiles_140!Q63-Simulator!$L$17)^2*IF(Profiles_140!Q63&gt;Simulator!$L$17,1+Model_Formula!$N$19,1)</x:f>
        <x:v>225</x:v>
      </x:c>
      <x:c r="M67" s="66" t="n">
        <x:f>Model_Formula!$M$20*(Profiles_140!R63-Simulator!$L$18)^2*IF(Profiles_140!R63&gt;Simulator!$L$18,1+Model_Formula!$N$20,1)</x:f>
        <x:v>1225</x:v>
      </x:c>
      <x:c r="N67" s="66" t="n">
        <x:f>Model_Formula!$M$21*(Profiles_140!S63-Simulator!$L$19)^2*IF(Profiles_140!S63&gt;Simulator!$L$19,1+Model_Formula!$N$21,1)</x:f>
        <x:v>0</x:v>
      </x:c>
      <x:c r="O67" s="66" t="n">
        <x:f>Model_Formula!$M$22*(Profiles_140!T63-Simulator!$L$20)^2*IF(Profiles_140!T63&gt;Simulator!$L$20,1+Model_Formula!$N$22,1)</x:f>
        <x:v>625</x:v>
      </x:c>
      <x:c r="P67" s="66" t="n">
        <x:f>Model_Formula!$M$23*(Profiles_140!U63-Simulator!$L$21)^2*IF(Profiles_140!U63&gt;Simulator!$L$21,1+Model_Formula!$N$23,1)</x:f>
        <x:v>180</x:v>
      </x:c>
      <x:c r="Q67" s="66" t="n">
        <x:f>Model_Formula!$M$24*(Profiles_140!V63-Simulator!$L$22)^2*IF(Profiles_140!V63&gt;Simulator!$L$22,1+Model_Formula!$N$24,1)</x:f>
        <x:v>90</x:v>
      </x:c>
      <x:c r="R67" s="66" t="n">
        <x:f>Model_Formula!$M$25*(Profiles_140!W63-Simulator!$L$23)^2*IF(Profiles_140!W63&gt;Simulator!$L$23,1+Model_Formula!$N$25,1)</x:f>
        <x:v>11.25</x:v>
      </x:c>
      <x:c r="S67" s="66" t="n">
        <x:f>Model_Formula!$M$26*(Profiles_140!X63-Simulator!$L$24)^2*IF(Profiles_140!X63&gt;Simulator!$L$24,1+Model_Formula!$N$26,1)</x:f>
        <x:v>37.12500000000001</x:v>
      </x:c>
      <x:c r="T67" s="66" t="n">
        <x:f>Model_Formula!$M$27*(Profiles_140!Y63-Simulator!$L$25)^2*IF(Profiles_140!Y63&gt;Simulator!$L$25,1+Model_Formula!$N$27,1)</x:f>
        <x:v>271.6875</x:v>
      </x:c>
      <x:c r="U67" s="60" t="n">
        <x:f>SUM(F67:T67)/SUM($F$4:$T$4)</x:f>
        <x:v>531.5345149253732</x:v>
      </x:c>
      <x:c r="V67" s="60" t="n">
        <x:f>SQRT(U67)</x:f>
        <x:v>23.05503231239057</x:v>
      </x:c>
      <x:c r="W67" s="60" t="n">
        <x:f>MAX(0,100-V67)</x:f>
        <x:v>76.94496768760943</x:v>
      </x:c>
      <x:c r="X67" s="60" t="n">
        <x:f>SUMPRODUCT(Profiles_140!K63:Y63,$F$4:$T$4)/SUM($F$4:$T$4)</x:f>
        <x:v>54.888059701492544</x:v>
      </x:c>
      <x:c r="Y67" s="60" t="n">
        <x:f>IFERROR(50+50*SUMPRODUCT(($F$3:$T$3-$X$3)*(Profiles_140!K63:Y63-X67),$F$4:$T$4)/SQRT(SUMPRODUCT(($F$3:$T$3-$X$3)^2,$F$4:$T$4)*SUMPRODUCT((Profiles_140!K63:Y63-X67)^2,$F$4:$T$4)),50)</x:f>
        <x:v>50.000000000000014</x:v>
      </x:c>
      <x:c r="Z67" s="60" t="n">
        <x:f>$Z$3</x:f>
        <x:v>3.9474596431116675e-16</x:v>
      </x:c>
      <x:c r="AA67" s="60" t="n">
        <x:f>W67*(1-Model_Formula!$F$8*Z67)+Y67*(Model_Formula!$F$8*Z67)</x:f>
        <x:v>76.94496768760943</x:v>
      </x:c>
      <x:c r="AB67" s="60" t="n">
        <x:f>SQRT(SUMPRODUCT((Profiles_140!K63:Y63-50)^2,$F$4:$T$4)/SUM($F$4:$T$4))</x:f>
        <x:v>22.981985157750078</x:v>
      </x:c>
      <x:c r="AC67" s="60" t="n">
        <x:f>MAX(-Model_Formula!$F$11,MIN(Model_Formula!$F$11,Model_Formula!$F$10*(AB67-AVERAGE($AB$6:$AB$135))))</x:f>
        <x:v>-2.560130822460433</x:v>
      </x:c>
      <x:c r="AD67" s="60" t="n">
        <x:f>MAX(0,MIN(100,AA67+AC67))</x:f>
        <x:v>74.384836865149</x:v>
      </x:c>
      <x:c r="AE67" s="60" t="n">
        <x:f>MAX(0,MIN(1,IFERROR((MATCH(AD67,Percentile_Calibration!$F63:$DB63,1)-1)/100,0)))</x:f>
        <x:v>0.98</x:v>
      </x:c>
      <x:c r="AF67" s="62" t="n">
        <x:f>ROUND(MAX(Model_Formula!$I$9,Model_Formula!$I$5+Model_Formula!$I$6*POWER(AE67,Model_Formula!$I$7)),0)</x:f>
        <x:v>94</x:v>
      </x:c>
      <x:c r="AG67" t="n">
        <x:f>Profiles_140!AJ63</x:f>
        <x:v>0</x:v>
      </x:c>
      <x:c r="AH67" s="60" t="n">
        <x:f>Model_Formula!$I$8*(AE67*100)+(1-Model_Formula!$I$8)*AD67+AG67</x:f>
        <x:v>93.2769673730298</x:v>
      </x:c>
      <x:c r="AI67" t="n">
        <x:f>RANK.EQ(AH67,$AH$6:$AH$135,0)+COUNTIF($AH$6:AH67,AH67)-1</x:f>
        <x:v>4</x:v>
      </x:c>
    </x:row>
    <x:row r="68">
      <x:c r="A68" t="str">
        <x:f>Profiles_140!A64</x:f>
        <x:v>バシャーモ</x:v>
      </x:c>
      <x:c r="B68" t="str">
        <x:f>Profiles_140!C64</x:f>
        <x:v>バシャーモ-1</x:v>
      </x:c>
      <x:c r="C68" t="str">
        <x:f>Profiles_140!D64</x:f>
        <x:v>共通</x:v>
      </x:c>
      <x:c r="D68" t="str">
        <x:f>Profiles_140!B64</x:f>
        <x:v>バランス型</x:v>
      </x:c>
      <x:c r="E68" t="str">
        <x:f>Profiles_140!I64</x:f>
        <x:v>高</x:v>
      </x:c>
      <x:c r="F68" s="66" t="n">
        <x:f>Model_Formula!$M$13*(Profiles_140!K64-Simulator!$L$11)^2*IF(Profiles_140!K64&gt;Simulator!$L$11,1+Model_Formula!$N$13,1)</x:f>
        <x:v>900</x:v>
      </x:c>
      <x:c r="G68" s="66" t="n">
        <x:f>Model_Formula!$M$14*(Profiles_140!L64-Simulator!$L$12)^2*IF(Profiles_140!L64&gt;Simulator!$L$12,1+Model_Formula!$N$14,1)</x:f>
        <x:v>1680</x:v>
      </x:c>
      <x:c r="H68" s="66" t="n">
        <x:f>Model_Formula!$M$15*(Profiles_140!M64-Simulator!$L$13)^2*IF(Profiles_140!M64&gt;Simulator!$L$13,1+Model_Formula!$N$15,1)</x:f>
        <x:v>900</x:v>
      </x:c>
      <x:c r="I68" s="66" t="n">
        <x:f>Model_Formula!$M$16*(Profiles_140!N64-Simulator!$L$14)^2*IF(Profiles_140!N64&gt;Simulator!$L$14,1+Model_Formula!$N$16,1)</x:f>
        <x:v>25</x:v>
      </x:c>
      <x:c r="J68" s="66" t="n">
        <x:f>Model_Formula!$M$17*(Profiles_140!O64-Simulator!$L$15)^2*IF(Profiles_140!O64&gt;Simulator!$L$15,1+Model_Formula!$N$17,1)</x:f>
        <x:v>1600</x:v>
      </x:c>
      <x:c r="K68" s="66" t="n">
        <x:f>Model_Formula!$M$18*(Profiles_140!P64-Simulator!$L$16)^2*IF(Profiles_140!P64&gt;Simulator!$L$16,1+Model_Formula!$N$18,1)</x:f>
        <x:v>22.5</x:v>
      </x:c>
      <x:c r="L68" s="66" t="n">
        <x:f>Model_Formula!$M$19*(Profiles_140!Q64-Simulator!$L$17)^2*IF(Profiles_140!Q64&gt;Simulator!$L$17,1+Model_Formula!$N$19,1)</x:f>
        <x:v>25</x:v>
      </x:c>
      <x:c r="M68" s="66" t="n">
        <x:f>Model_Formula!$M$20*(Profiles_140!R64-Simulator!$L$18)^2*IF(Profiles_140!R64&gt;Simulator!$L$18,1+Model_Formula!$N$20,1)</x:f>
        <x:v>2025</x:v>
      </x:c>
      <x:c r="N68" s="66" t="n">
        <x:f>Model_Formula!$M$21*(Profiles_140!S64-Simulator!$L$19)^2*IF(Profiles_140!S64&gt;Simulator!$L$19,1+Model_Formula!$N$21,1)</x:f>
        <x:v>900</x:v>
      </x:c>
      <x:c r="O68" s="66" t="n">
        <x:f>Model_Formula!$M$22*(Profiles_140!T64-Simulator!$L$20)^2*IF(Profiles_140!T64&gt;Simulator!$L$20,1+Model_Formula!$N$22,1)</x:f>
        <x:v>400</x:v>
      </x:c>
      <x:c r="P68" s="66" t="n">
        <x:f>Model_Formula!$M$23*(Profiles_140!U64-Simulator!$L$21)^2*IF(Profiles_140!U64&gt;Simulator!$L$21,1+Model_Formula!$N$23,1)</x:f>
        <x:v>45</x:v>
      </x:c>
      <x:c r="Q68" s="66" t="n">
        <x:f>Model_Formula!$M$24*(Profiles_140!V64-Simulator!$L$22)^2*IF(Profiles_140!V64&gt;Simulator!$L$22,1+Model_Formula!$N$24,1)</x:f>
        <x:v>40</x:v>
      </x:c>
      <x:c r="R68" s="66" t="n">
        <x:f>Model_Formula!$M$25*(Profiles_140!W64-Simulator!$L$23)^2*IF(Profiles_140!W64&gt;Simulator!$L$23,1+Model_Formula!$N$25,1)</x:f>
        <x:v>11.25</x:v>
      </x:c>
      <x:c r="S68" s="66" t="n">
        <x:f>Model_Formula!$M$26*(Profiles_140!X64-Simulator!$L$24)^2*IF(Profiles_140!X64&gt;Simulator!$L$24,1+Model_Formula!$N$26,1)</x:f>
        <x:v>1819.1250000000002</x:v>
      </x:c>
      <x:c r="T68" s="66" t="n">
        <x:f>Model_Formula!$M$27*(Profiles_140!Y64-Simulator!$L$25)^2*IF(Profiles_140!Y64&gt;Simulator!$L$25,1+Model_Formula!$N$27,1)</x:f>
        <x:v>1086.75</x:v>
      </x:c>
      <x:c r="U68" s="60" t="n">
        <x:f>SUM(F68:T68)/SUM($F$4:$T$4)</x:f>
        <x:v>856.688432835821</x:v>
      </x:c>
      <x:c r="V68" s="60" t="n">
        <x:f>SQRT(U68)</x:f>
        <x:v>29.269240387065413</x:v>
      </x:c>
      <x:c r="W68" s="60" t="n">
        <x:f>MAX(0,100-V68)</x:f>
        <x:v>70.73075961293459</x:v>
      </x:c>
      <x:c r="X68" s="60" t="n">
        <x:f>SUMPRODUCT(Profiles_140!K64:Y64,$F$4:$T$4)/SUM($F$4:$T$4)</x:f>
        <x:v>56.88432835820896</x:v>
      </x:c>
      <x:c r="Y68" s="60" t="n">
        <x:f>IFERROR(50+50*SUMPRODUCT(($F$3:$T$3-$X$3)*(Profiles_140!K64:Y64-X68),$F$4:$T$4)/SQRT(SUMPRODUCT(($F$3:$T$3-$X$3)^2,$F$4:$T$4)*SUMPRODUCT((Profiles_140!K64:Y64-X68)^2,$F$4:$T$4)),50)</x:f>
        <x:v>50.000000000000014</x:v>
      </x:c>
      <x:c r="Z68" s="60" t="n">
        <x:f>$Z$3</x:f>
        <x:v>3.9474596431116675e-16</x:v>
      </x:c>
      <x:c r="AA68" s="60" t="n">
        <x:f>W68*(1-Model_Formula!$F$8*Z68)+Y68*(Model_Formula!$F$8*Z68)</x:f>
        <x:v>70.73075961293459</x:v>
      </x:c>
      <x:c r="AB68" s="60" t="n">
        <x:f>SQRT(SUMPRODUCT((Profiles_140!K64:Y64-50)^2,$F$4:$T$4)/SUM($F$4:$T$4))</x:f>
        <x:v>28.47655490231355</x:v>
      </x:c>
      <x:c r="AC68" s="60" t="n">
        <x:f>MAX(-Model_Formula!$F$11,MIN(Model_Formula!$F$11,Model_Formula!$F$10*(AB68-AVERAGE($AB$6:$AB$135))))</x:f>
        <x:v>-0.0875744374068713</x:v>
      </x:c>
      <x:c r="AD68" s="60" t="n">
        <x:f>MAX(0,MIN(100,AA68+AC68))</x:f>
        <x:v>70.64318517552772</x:v>
      </x:c>
      <x:c r="AE68" s="60" t="n">
        <x:f>MAX(0,MIN(1,IFERROR((MATCH(AD68,Percentile_Calibration!$F64:$DB64,1)-1)/100,0)))</x:f>
        <x:v>0.73</x:v>
      </x:c>
      <x:c r="AF68" s="62" t="n">
        <x:f>ROUND(MAX(Model_Formula!$I$9,Model_Formula!$I$5+Model_Formula!$I$6*POWER(AE68,Model_Formula!$I$7)),0)</x:f>
        <x:v>63</x:v>
      </x:c>
      <x:c r="AG68" t="n">
        <x:f>Profiles_140!AJ64</x:f>
        <x:v>0.25</x:v>
      </x:c>
      <x:c r="AH68" s="60" t="n">
        <x:f>Model_Formula!$I$8*(AE68*100)+(1-Model_Formula!$I$8)*AD68+AG68</x:f>
        <x:v>72.77863703510555</x:v>
      </x:c>
      <x:c r="AI68" t="n">
        <x:f>RANK.EQ(AH68,$AH$6:$AH$135,0)+COUNTIF($AH$6:AH68,AH68)-1</x:f>
        <x:v>90</x:v>
      </x:c>
    </x:row>
    <x:row r="69">
      <x:c r="A69" t="str">
        <x:f>Profiles_140!A65</x:f>
        <x:v>バンギラス</x:v>
      </x:c>
      <x:c r="B69" t="str">
        <x:f>Profiles_140!C65</x:f>
        <x:v>バンギラス-1</x:v>
      </x:c>
      <x:c r="C69" t="str">
        <x:f>Profiles_140!D65</x:f>
        <x:v>共通</x:v>
      </x:c>
      <x:c r="D69" t="str">
        <x:f>Profiles_140!B65</x:f>
        <x:v>バランス型</x:v>
      </x:c>
      <x:c r="E69" t="str">
        <x:f>Profiles_140!I65</x:f>
        <x:v>高</x:v>
      </x:c>
      <x:c r="F69" s="66" t="n">
        <x:f>Model_Formula!$M$13*(Profiles_140!K65-Simulator!$L$11)^2*IF(Profiles_140!K65&gt;Simulator!$L$11,1+Model_Formula!$N$13,1)</x:f>
        <x:v>25</x:v>
      </x:c>
      <x:c r="G69" s="66" t="n">
        <x:f>Model_Formula!$M$14*(Profiles_140!L65-Simulator!$L$12)^2*IF(Profiles_140!L65&gt;Simulator!$L$12,1+Model_Formula!$N$14,1)</x:f>
        <x:v>26.25</x:v>
      </x:c>
      <x:c r="H69" s="66" t="n">
        <x:f>Model_Formula!$M$15*(Profiles_140!M65-Simulator!$L$13)^2*IF(Profiles_140!M65&gt;Simulator!$L$13,1+Model_Formula!$N$15,1)</x:f>
        <x:v>225</x:v>
      </x:c>
      <x:c r="I69" s="66" t="n">
        <x:f>Model_Formula!$M$16*(Profiles_140!N65-Simulator!$L$14)^2*IF(Profiles_140!N65&gt;Simulator!$L$14,1+Model_Formula!$N$16,1)</x:f>
        <x:v>2500</x:v>
      </x:c>
      <x:c r="J69" s="66" t="n">
        <x:f>Model_Formula!$M$17*(Profiles_140!O65-Simulator!$L$15)^2*IF(Profiles_140!O65&gt;Simulator!$L$15,1+Model_Formula!$N$17,1)</x:f>
        <x:v>1600</x:v>
      </x:c>
      <x:c r="K69" s="66" t="n">
        <x:f>Model_Formula!$M$18*(Profiles_140!P65-Simulator!$L$16)^2*IF(Profiles_140!P65&gt;Simulator!$L$16,1+Model_Formula!$N$18,1)</x:f>
        <x:v>562.5</x:v>
      </x:c>
      <x:c r="L69" s="66" t="n">
        <x:f>Model_Formula!$M$19*(Profiles_140!Q65-Simulator!$L$17)^2*IF(Profiles_140!Q65&gt;Simulator!$L$17,1+Model_Formula!$N$19,1)</x:f>
        <x:v>225</x:v>
      </x:c>
      <x:c r="M69" s="66" t="n">
        <x:f>Model_Formula!$M$20*(Profiles_140!R65-Simulator!$L$18)^2*IF(Profiles_140!R65&gt;Simulator!$L$18,1+Model_Formula!$N$20,1)</x:f>
        <x:v>2025</x:v>
      </x:c>
      <x:c r="N69" s="66" t="n">
        <x:f>Model_Formula!$M$21*(Profiles_140!S65-Simulator!$L$19)^2*IF(Profiles_140!S65&gt;Simulator!$L$19,1+Model_Formula!$N$21,1)</x:f>
        <x:v>1600</x:v>
      </x:c>
      <x:c r="O69" s="66" t="n">
        <x:f>Model_Formula!$M$22*(Profiles_140!T65-Simulator!$L$20)^2*IF(Profiles_140!T65&gt;Simulator!$L$20,1+Model_Formula!$N$22,1)</x:f>
        <x:v>900</x:v>
      </x:c>
      <x:c r="P69" s="66" t="n">
        <x:f>Model_Formula!$M$23*(Profiles_140!U65-Simulator!$L$21)^2*IF(Profiles_140!U65&gt;Simulator!$L$21,1+Model_Formula!$N$23,1)</x:f>
        <x:v>720</x:v>
      </x:c>
      <x:c r="Q69" s="66" t="n">
        <x:f>Model_Formula!$M$24*(Profiles_140!V65-Simulator!$L$22)^2*IF(Profiles_140!V65&gt;Simulator!$L$22,1+Model_Formula!$N$24,1)</x:f>
        <x:v>10</x:v>
      </x:c>
      <x:c r="R69" s="66" t="n">
        <x:f>Model_Formula!$M$25*(Profiles_140!W65-Simulator!$L$23)^2*IF(Profiles_140!W65&gt;Simulator!$L$23,1+Model_Formula!$N$25,1)</x:f>
        <x:v>45</x:v>
      </x:c>
      <x:c r="S69" s="66" t="n">
        <x:f>Model_Formula!$M$26*(Profiles_140!X65-Simulator!$L$24)^2*IF(Profiles_140!X65&gt;Simulator!$L$24,1+Model_Formula!$N$26,1)</x:f>
        <x:v>0</x:v>
      </x:c>
      <x:c r="T69" s="66" t="n">
        <x:f>Model_Formula!$M$27*(Profiles_140!Y65-Simulator!$L$25)^2*IF(Profiles_140!Y65&gt;Simulator!$L$25,1+Model_Formula!$N$27,1)</x:f>
        <x:v>0</x:v>
      </x:c>
      <x:c r="U69" s="60" t="n">
        <x:f>SUM(F69:T69)/SUM($F$4:$T$4)</x:f>
        <x:v>780.8768656716419</x:v>
      </x:c>
      <x:c r="V69" s="60" t="n">
        <x:f>SQRT(U69)</x:f>
        <x:v>27.944174091778805</x:v>
      </x:c>
      <x:c r="W69" s="60" t="n">
        <x:f>MAX(0,100-V69)</x:f>
        <x:v>72.0558259082212</x:v>
      </x:c>
      <x:c r="X69" s="60" t="n">
        <x:f>SUMPRODUCT(Profiles_140!K65:Y65,$F$4:$T$4)/SUM($F$4:$T$4)</x:f>
        <x:v>48.00373134328359</x:v>
      </x:c>
      <x:c r="Y69" s="60" t="n">
        <x:f>IFERROR(50+50*SUMPRODUCT(($F$3:$T$3-$X$3)*(Profiles_140!K65:Y65-X69),$F$4:$T$4)/SQRT(SUMPRODUCT(($F$3:$T$3-$X$3)^2,$F$4:$T$4)*SUMPRODUCT((Profiles_140!K65:Y65-X69)^2,$F$4:$T$4)),50)</x:f>
        <x:v>50.000000000000014</x:v>
      </x:c>
      <x:c r="Z69" s="60" t="n">
        <x:f>$Z$3</x:f>
        <x:v>3.9474596431116675e-16</x:v>
      </x:c>
      <x:c r="AA69" s="60" t="n">
        <x:f>W69*(1-Model_Formula!$F$8*Z69)+Y69*(Model_Formula!$F$8*Z69)</x:f>
        <x:v>72.0558259082212</x:v>
      </x:c>
      <x:c r="AB69" s="60" t="n">
        <x:f>SQRT(SUMPRODUCT((Profiles_140!K65:Y65-50)^2,$F$4:$T$4)/SUM($F$4:$T$4))</x:f>
        <x:v>27.944174091778805</x:v>
      </x:c>
      <x:c r="AC69" s="60" t="n">
        <x:f>MAX(-Model_Formula!$F$11,MIN(Model_Formula!$F$11,Model_Formula!$F$10*(AB69-AVERAGE($AB$6:$AB$135))))</x:f>
        <x:v>-0.3271458021475057</x:v>
      </x:c>
      <x:c r="AD69" s="60" t="n">
        <x:f>MAX(0,MIN(100,AA69+AC69))</x:f>
        <x:v>71.72868010607368</x:v>
      </x:c>
      <x:c r="AE69" s="60" t="n">
        <x:f>MAX(0,MIN(1,IFERROR((MATCH(AD69,Percentile_Calibration!$F65:$DB65,1)-1)/100,0)))</x:f>
        <x:v>0.96</x:v>
      </x:c>
      <x:c r="AF69" s="62" t="n">
        <x:f>ROUND(MAX(Model_Formula!$I$9,Model_Formula!$I$5+Model_Formula!$I$6*POWER(AE69,Model_Formula!$I$7)),0)</x:f>
        <x:v>91</x:v>
      </x:c>
      <x:c r="AG69" t="n">
        <x:f>Profiles_140!AJ65</x:f>
        <x:v>0</x:v>
      </x:c>
      <x:c r="AH69" s="60" t="n">
        <x:f>Model_Formula!$I$8*(AE69*100)+(1-Model_Formula!$I$8)*AD69+AG69</x:f>
        <x:v>91.14573602121474</x:v>
      </x:c>
      <x:c r="AI69" t="n">
        <x:f>RANK.EQ(AH69,$AH$6:$AH$135,0)+COUNTIF($AH$6:AH69,AH69)-1</x:f>
        <x:v>14</x:v>
      </x:c>
    </x:row>
    <x:row r="70">
      <x:c r="A70" t="str">
        <x:f>Profiles_140!A66</x:f>
        <x:v>パルキア</x:v>
      </x:c>
      <x:c r="B70" t="str">
        <x:f>Profiles_140!C66</x:f>
        <x:v>パルキア-1</x:v>
      </x:c>
      <x:c r="C70" t="str">
        <x:f>Profiles_140!D66</x:f>
        <x:v>共通</x:v>
      </x:c>
      <x:c r="D70" t="str">
        <x:f>Profiles_140!B66</x:f>
        <x:v>バランス型</x:v>
      </x:c>
      <x:c r="E70" t="str">
        <x:f>Profiles_140!I66</x:f>
        <x:v>中</x:v>
      </x:c>
      <x:c r="F70" s="66" t="n">
        <x:f>Model_Formula!$M$13*(Profiles_140!K66-Simulator!$L$11)^2*IF(Profiles_140!K66&gt;Simulator!$L$11,1+Model_Formula!$N$13,1)</x:f>
        <x:v>900</x:v>
      </x:c>
      <x:c r="G70" s="66" t="n">
        <x:f>Model_Formula!$M$14*(Profiles_140!L66-Simulator!$L$12)^2*IF(Profiles_140!L66&gt;Simulator!$L$12,1+Model_Formula!$N$14,1)</x:f>
        <x:v>945</x:v>
      </x:c>
      <x:c r="H70" s="66" t="n">
        <x:f>Model_Formula!$M$15*(Profiles_140!M66-Simulator!$L$13)^2*IF(Profiles_140!M66&gt;Simulator!$L$13,1+Model_Formula!$N$15,1)</x:f>
        <x:v>900</x:v>
      </x:c>
      <x:c r="I70" s="66" t="n">
        <x:f>Model_Formula!$M$16*(Profiles_140!N66-Simulator!$L$14)^2*IF(Profiles_140!N66&gt;Simulator!$L$14,1+Model_Formula!$N$16,1)</x:f>
        <x:v>900</x:v>
      </x:c>
      <x:c r="J70" s="66" t="n">
        <x:f>Model_Formula!$M$17*(Profiles_140!O66-Simulator!$L$15)^2*IF(Profiles_140!O66&gt;Simulator!$L$15,1+Model_Formula!$N$17,1)</x:f>
        <x:v>1600</x:v>
      </x:c>
      <x:c r="K70" s="66" t="n">
        <x:f>Model_Formula!$M$18*(Profiles_140!P66-Simulator!$L$16)^2*IF(Profiles_140!P66&gt;Simulator!$L$16,1+Model_Formula!$N$18,1)</x:f>
        <x:v>22.5</x:v>
      </x:c>
      <x:c r="L70" s="66" t="n">
        <x:f>Model_Formula!$M$19*(Profiles_140!Q66-Simulator!$L$17)^2*IF(Profiles_140!Q66&gt;Simulator!$L$17,1+Model_Formula!$N$19,1)</x:f>
        <x:v>25</x:v>
      </x:c>
      <x:c r="M70" s="66" t="n">
        <x:f>Model_Formula!$M$20*(Profiles_140!R66-Simulator!$L$18)^2*IF(Profiles_140!R66&gt;Simulator!$L$18,1+Model_Formula!$N$20,1)</x:f>
        <x:v>2025</x:v>
      </x:c>
      <x:c r="N70" s="66" t="n">
        <x:f>Model_Formula!$M$21*(Profiles_140!S66-Simulator!$L$19)^2*IF(Profiles_140!S66&gt;Simulator!$L$19,1+Model_Formula!$N$21,1)</x:f>
        <x:v>1600</x:v>
      </x:c>
      <x:c r="O70" s="66" t="n">
        <x:f>Model_Formula!$M$22*(Profiles_140!T66-Simulator!$L$20)^2*IF(Profiles_140!T66&gt;Simulator!$L$20,1+Model_Formula!$N$22,1)</x:f>
        <x:v>400</x:v>
      </x:c>
      <x:c r="P70" s="66" t="n">
        <x:f>Model_Formula!$M$23*(Profiles_140!U66-Simulator!$L$21)^2*IF(Profiles_140!U66&gt;Simulator!$L$21,1+Model_Formula!$N$23,1)</x:f>
        <x:v>45</x:v>
      </x:c>
      <x:c r="Q70" s="66" t="n">
        <x:f>Model_Formula!$M$24*(Profiles_140!V66-Simulator!$L$22)^2*IF(Profiles_140!V66&gt;Simulator!$L$22,1+Model_Formula!$N$24,1)</x:f>
        <x:v>40</x:v>
      </x:c>
      <x:c r="R70" s="66" t="n">
        <x:f>Model_Formula!$M$25*(Profiles_140!W66-Simulator!$L$23)^2*IF(Profiles_140!W66&gt;Simulator!$L$23,1+Model_Formula!$N$25,1)</x:f>
        <x:v>11.25</x:v>
      </x:c>
      <x:c r="S70" s="66" t="n">
        <x:f>Model_Formula!$M$26*(Profiles_140!X66-Simulator!$L$24)^2*IF(Profiles_140!X66&gt;Simulator!$L$24,1+Model_Formula!$N$26,1)</x:f>
        <x:v>334.12500000000006</x:v>
      </x:c>
      <x:c r="T70" s="66" t="n">
        <x:f>Model_Formula!$M$27*(Profiles_140!Y66-Simulator!$L$25)^2*IF(Profiles_140!Y66&gt;Simulator!$L$25,1+Model_Formula!$N$27,1)</x:f>
        <x:v>482.99999999999994</x:v>
      </x:c>
      <x:c r="U70" s="60" t="n">
        <x:f>SUM(F70:T70)/SUM($F$4:$T$4)</x:f>
        <x:v>763.4981343283583</x:v>
      </x:c>
      <x:c r="V70" s="60" t="n">
        <x:f>SQRT(U70)</x:f>
        <x:v>27.63146999941115</x:v>
      </x:c>
      <x:c r="W70" s="60" t="n">
        <x:f>MAX(0,100-V70)</x:f>
        <x:v>72.36853000058885</x:v>
      </x:c>
      <x:c r="X70" s="60" t="n">
        <x:f>SUMPRODUCT(Profiles_140!K66:Y66,$F$4:$T$4)/SUM($F$4:$T$4)</x:f>
        <x:v>55.61567164179105</x:v>
      </x:c>
      <x:c r="Y70" s="60" t="n">
        <x:f>IFERROR(50+50*SUMPRODUCT(($F$3:$T$3-$X$3)*(Profiles_140!K66:Y66-X70),$F$4:$T$4)/SQRT(SUMPRODUCT(($F$3:$T$3-$X$3)^2,$F$4:$T$4)*SUMPRODUCT((Profiles_140!K66:Y66-X70)^2,$F$4:$T$4)),50)</x:f>
        <x:v>50.000000000000014</x:v>
      </x:c>
      <x:c r="Z70" s="60" t="n">
        <x:f>$Z$3</x:f>
        <x:v>3.9474596431116675e-16</x:v>
      </x:c>
      <x:c r="AA70" s="60" t="n">
        <x:f>W70*(1-Model_Formula!$F$8*Z70)+Y70*(Model_Formula!$F$8*Z70)</x:f>
        <x:v>72.36853000058885</x:v>
      </x:c>
      <x:c r="AB70" s="60" t="n">
        <x:f>SQRT(SUMPRODUCT((Profiles_140!K66:Y66-50)^2,$F$4:$T$4)/SUM($F$4:$T$4))</x:f>
        <x:v>27.42867276322788</x:v>
      </x:c>
      <x:c r="AC70" s="60" t="n">
        <x:f>MAX(-Model_Formula!$F$11,MIN(Model_Formula!$F$11,Model_Formula!$F$10*(AB70-AVERAGE($AB$6:$AB$135))))</x:f>
        <x:v>-0.5591213999954222</x:v>
      </x:c>
      <x:c r="AD70" s="60" t="n">
        <x:f>MAX(0,MIN(100,AA70+AC70))</x:f>
        <x:v>71.80940860059343</x:v>
      </x:c>
      <x:c r="AE70" s="60" t="n">
        <x:f>MAX(0,MIN(1,IFERROR((MATCH(AD70,Percentile_Calibration!$F66:$DB66,1)-1)/100,0)))</x:f>
        <x:v>0.76</x:v>
      </x:c>
      <x:c r="AF70" s="62" t="n">
        <x:f>ROUND(MAX(Model_Formula!$I$9,Model_Formula!$I$5+Model_Formula!$I$6*POWER(AE70,Model_Formula!$I$7)),0)</x:f>
        <x:v>66</x:v>
      </x:c>
      <x:c r="AG70" t="n">
        <x:f>Profiles_140!AJ66</x:f>
        <x:v>0.75</x:v>
      </x:c>
      <x:c r="AH70" s="60" t="n">
        <x:f>Model_Formula!$I$8*(AE70*100)+(1-Model_Formula!$I$8)*AD70+AG70</x:f>
        <x:v>75.91188172011869</x:v>
      </x:c>
      <x:c r="AI70" t="n">
        <x:f>RANK.EQ(AH70,$AH$6:$AH$135,0)+COUNTIF($AH$6:AH70,AH70)-1</x:f>
        <x:v>70</x:v>
      </x:c>
    </x:row>
    <x:row r="71">
      <x:c r="A71" t="str">
        <x:f>Profiles_140!A67</x:f>
        <x:v>パーモット</x:v>
      </x:c>
      <x:c r="B71" t="str">
        <x:f>Profiles_140!C67</x:f>
        <x:v>パーモット-1</x:v>
      </x:c>
      <x:c r="C71" t="str">
        <x:f>Profiles_140!D67</x:f>
        <x:v>共通</x:v>
      </x:c>
      <x:c r="D71" t="str">
        <x:f>Profiles_140!B67</x:f>
        <x:v>バランス型</x:v>
      </x:c>
      <x:c r="E71" t="str">
        <x:f>Profiles_140!I67</x:f>
        <x:v>高</x:v>
      </x:c>
      <x:c r="F71" s="66" t="n">
        <x:f>Model_Formula!$M$13*(Profiles_140!K67-Simulator!$L$11)^2*IF(Profiles_140!K67&gt;Simulator!$L$11,1+Model_Formula!$N$13,1)</x:f>
        <x:v>900</x:v>
      </x:c>
      <x:c r="G71" s="66" t="n">
        <x:f>Model_Formula!$M$14*(Profiles_140!L67-Simulator!$L$12)^2*IF(Profiles_140!L67&gt;Simulator!$L$12,1+Model_Formula!$N$14,1)</x:f>
        <x:v>1680</x:v>
      </x:c>
      <x:c r="H71" s="66" t="n">
        <x:f>Model_Formula!$M$15*(Profiles_140!M67-Simulator!$L$13)^2*IF(Profiles_140!M67&gt;Simulator!$L$13,1+Model_Formula!$N$15,1)</x:f>
        <x:v>900</x:v>
      </x:c>
      <x:c r="I71" s="66" t="n">
        <x:f>Model_Formula!$M$16*(Profiles_140!N67-Simulator!$L$14)^2*IF(Profiles_140!N67&gt;Simulator!$L$14,1+Model_Formula!$N$16,1)</x:f>
        <x:v>25</x:v>
      </x:c>
      <x:c r="J71" s="66" t="n">
        <x:f>Model_Formula!$M$17*(Profiles_140!O67-Simulator!$L$15)^2*IF(Profiles_140!O67&gt;Simulator!$L$15,1+Model_Formula!$N$17,1)</x:f>
        <x:v>1600</x:v>
      </x:c>
      <x:c r="K71" s="66" t="n">
        <x:f>Model_Formula!$M$18*(Profiles_140!P67-Simulator!$L$16)^2*IF(Profiles_140!P67&gt;Simulator!$L$16,1+Model_Formula!$N$18,1)</x:f>
        <x:v>202.5</x:v>
      </x:c>
      <x:c r="L71" s="66" t="n">
        <x:f>Model_Formula!$M$19*(Profiles_140!Q67-Simulator!$L$17)^2*IF(Profiles_140!Q67&gt;Simulator!$L$17,1+Model_Formula!$N$19,1)</x:f>
        <x:v>25</x:v>
      </x:c>
      <x:c r="M71" s="66" t="n">
        <x:f>Model_Formula!$M$20*(Profiles_140!R67-Simulator!$L$18)^2*IF(Profiles_140!R67&gt;Simulator!$L$18,1+Model_Formula!$N$20,1)</x:f>
        <x:v>2025</x:v>
      </x:c>
      <x:c r="N71" s="66" t="n">
        <x:f>Model_Formula!$M$21*(Profiles_140!S67-Simulator!$L$19)^2*IF(Profiles_140!S67&gt;Simulator!$L$19,1+Model_Formula!$N$21,1)</x:f>
        <x:v>1600</x:v>
      </x:c>
      <x:c r="O71" s="66" t="n">
        <x:f>Model_Formula!$M$22*(Profiles_140!T67-Simulator!$L$20)^2*IF(Profiles_140!T67&gt;Simulator!$L$20,1+Model_Formula!$N$22,1)</x:f>
        <x:v>400</x:v>
      </x:c>
      <x:c r="P71" s="66" t="n">
        <x:f>Model_Formula!$M$23*(Profiles_140!U67-Simulator!$L$21)^2*IF(Profiles_140!U67&gt;Simulator!$L$21,1+Model_Formula!$N$23,1)</x:f>
        <x:v>281.25</x:v>
      </x:c>
      <x:c r="Q71" s="66" t="n">
        <x:f>Model_Formula!$M$24*(Profiles_140!V67-Simulator!$L$22)^2*IF(Profiles_140!V67&gt;Simulator!$L$22,1+Model_Formula!$N$24,1)</x:f>
        <x:v>40</x:v>
      </x:c>
      <x:c r="R71" s="66" t="n">
        <x:f>Model_Formula!$M$25*(Profiles_140!W67-Simulator!$L$23)^2*IF(Profiles_140!W67&gt;Simulator!$L$23,1+Model_Formula!$N$25,1)</x:f>
        <x:v>11.25</x:v>
      </x:c>
      <x:c r="S71" s="66" t="n">
        <x:f>Model_Formula!$M$26*(Profiles_140!X67-Simulator!$L$24)^2*IF(Profiles_140!X67&gt;Simulator!$L$24,1+Model_Formula!$N$26,1)</x:f>
        <x:v>594.0000000000001</x:v>
      </x:c>
      <x:c r="T71" s="66" t="n">
        <x:f>Model_Formula!$M$27*(Profiles_140!Y67-Simulator!$L$25)^2*IF(Profiles_140!Y67&gt;Simulator!$L$25,1+Model_Formula!$N$27,1)</x:f>
        <x:v>482.99999999999994</x:v>
      </x:c>
      <x:c r="U71" s="60" t="n">
        <x:f>SUM(F71:T71)/SUM($F$4:$T$4)</x:f>
        <x:v>803.5074626865672</x:v>
      </x:c>
      <x:c r="V71" s="60" t="n">
        <x:f>SQRT(U71)</x:f>
        <x:v>28.346207201080134</x:v>
      </x:c>
      <x:c r="W71" s="60" t="n">
        <x:f>MAX(0,100-V71)</x:f>
        <x:v>71.65379279891987</x:v>
      </x:c>
      <x:c r="X71" s="60" t="n">
        <x:f>SUMPRODUCT(Profiles_140!K67:Y67,$F$4:$T$4)/SUM($F$4:$T$4)</x:f>
        <x:v>54.77611940298508</x:v>
      </x:c>
      <x:c r="Y71" s="60" t="n">
        <x:f>IFERROR(50+50*SUMPRODUCT(($F$3:$T$3-$X$3)*(Profiles_140!K67:Y67-X71),$F$4:$T$4)/SQRT(SUMPRODUCT(($F$3:$T$3-$X$3)^2,$F$4:$T$4)*SUMPRODUCT((Profiles_140!K67:Y67-X71)^2,$F$4:$T$4)),50)</x:f>
        <x:v>50.000000000000014</x:v>
      </x:c>
      <x:c r="Z71" s="60" t="n">
        <x:f>$Z$3</x:f>
        <x:v>3.9474596431116675e-16</x:v>
      </x:c>
      <x:c r="AA71" s="60" t="n">
        <x:f>W71*(1-Model_Formula!$F$8*Z71)+Y71*(Model_Formula!$F$8*Z71)</x:f>
        <x:v>71.65379279891987</x:v>
      </x:c>
      <x:c r="AB71" s="60" t="n">
        <x:f>SQRT(SUMPRODUCT((Profiles_140!K67:Y67-50)^2,$F$4:$T$4)/SUM($F$4:$T$4))</x:f>
        <x:v>28.059106059099975</x:v>
      </x:c>
      <x:c r="AC71" s="60" t="n">
        <x:f>MAX(-Model_Formula!$F$11,MIN(Model_Formula!$F$11,Model_Formula!$F$10*(AB71-AVERAGE($AB$6:$AB$135))))</x:f>
        <x:v>-0.2754264168529796</x:v>
      </x:c>
      <x:c r="AD71" s="60" t="n">
        <x:f>MAX(0,MIN(100,AA71+AC71))</x:f>
        <x:v>71.37836638206689</x:v>
      </x:c>
      <x:c r="AE71" s="60" t="n">
        <x:f>MAX(0,MIN(1,IFERROR((MATCH(AD71,Percentile_Calibration!$F67:$DB67,1)-1)/100,0)))</x:f>
        <x:v>0.73</x:v>
      </x:c>
      <x:c r="AF71" s="62" t="n">
        <x:f>ROUND(MAX(Model_Formula!$I$9,Model_Formula!$I$5+Model_Formula!$I$6*POWER(AE71,Model_Formula!$I$7)),0)</x:f>
        <x:v>63</x:v>
      </x:c>
      <x:c r="AG71" t="n">
        <x:f>Profiles_140!AJ67</x:f>
        <x:v>0.5</x:v>
      </x:c>
      <x:c r="AH71" s="60" t="n">
        <x:f>Model_Formula!$I$8*(AE71*100)+(1-Model_Formula!$I$8)*AD71+AG71</x:f>
        <x:v>73.17567327641338</x:v>
      </x:c>
      <x:c r="AI71" t="n">
        <x:f>RANK.EQ(AH71,$AH$6:$AH$135,0)+COUNTIF($AH$6:AH71,AH71)-1</x:f>
        <x:v>88</x:v>
      </x:c>
    </x:row>
    <x:row r="72">
      <x:c r="A72" t="str">
        <x:f>Profiles_140!A68</x:f>
        <x:v>ファイヤー</x:v>
      </x:c>
      <x:c r="B72" t="str">
        <x:f>Profiles_140!C68</x:f>
        <x:v>ファイヤー-1</x:v>
      </x:c>
      <x:c r="C72" t="str">
        <x:f>Profiles_140!D68</x:f>
        <x:v>共通</x:v>
      </x:c>
      <x:c r="D72" t="str">
        <x:f>Profiles_140!B68</x:f>
        <x:v>バランス型</x:v>
      </x:c>
      <x:c r="E72" t="str">
        <x:f>Profiles_140!I68</x:f>
        <x:v>中</x:v>
      </x:c>
      <x:c r="F72" s="66" t="n">
        <x:f>Model_Formula!$M$13*(Profiles_140!K68-Simulator!$L$11)^2*IF(Profiles_140!K68&gt;Simulator!$L$11,1+Model_Formula!$N$13,1)</x:f>
        <x:v>25</x:v>
      </x:c>
      <x:c r="G72" s="66" t="n">
        <x:f>Model_Formula!$M$14*(Profiles_140!L68-Simulator!$L$12)^2*IF(Profiles_140!L68&gt;Simulator!$L$12,1+Model_Formula!$N$14,1)</x:f>
        <x:v>26.25</x:v>
      </x:c>
      <x:c r="H72" s="66" t="n">
        <x:f>Model_Formula!$M$15*(Profiles_140!M68-Simulator!$L$13)^2*IF(Profiles_140!M68&gt;Simulator!$L$13,1+Model_Formula!$N$15,1)</x:f>
        <x:v>225</x:v>
      </x:c>
      <x:c r="I72" s="66" t="n">
        <x:f>Model_Formula!$M$16*(Profiles_140!N68-Simulator!$L$14)^2*IF(Profiles_140!N68&gt;Simulator!$L$14,1+Model_Formula!$N$16,1)</x:f>
        <x:v>2500</x:v>
      </x:c>
      <x:c r="J72" s="66" t="n">
        <x:f>Model_Formula!$M$17*(Profiles_140!O68-Simulator!$L$15)^2*IF(Profiles_140!O68&gt;Simulator!$L$15,1+Model_Formula!$N$17,1)</x:f>
        <x:v>1600</x:v>
      </x:c>
      <x:c r="K72" s="66" t="n">
        <x:f>Model_Formula!$M$18*(Profiles_140!P68-Simulator!$L$16)^2*IF(Profiles_140!P68&gt;Simulator!$L$16,1+Model_Formula!$N$18,1)</x:f>
        <x:v>1440</x:v>
      </x:c>
      <x:c r="L72" s="66" t="n">
        <x:f>Model_Formula!$M$19*(Profiles_140!Q68-Simulator!$L$17)^2*IF(Profiles_140!Q68&gt;Simulator!$L$17,1+Model_Formula!$N$19,1)</x:f>
        <x:v>625</x:v>
      </x:c>
      <x:c r="M72" s="66" t="n">
        <x:f>Model_Formula!$M$20*(Profiles_140!R68-Simulator!$L$18)^2*IF(Profiles_140!R68&gt;Simulator!$L$18,1+Model_Formula!$N$20,1)</x:f>
        <x:v>2025</x:v>
      </x:c>
      <x:c r="N72" s="66" t="n">
        <x:f>Model_Formula!$M$21*(Profiles_140!S68-Simulator!$L$19)^2*IF(Profiles_140!S68&gt;Simulator!$L$19,1+Model_Formula!$N$21,1)</x:f>
        <x:v>625</x:v>
      </x:c>
      <x:c r="O72" s="66" t="n">
        <x:f>Model_Formula!$M$22*(Profiles_140!T68-Simulator!$L$20)^2*IF(Profiles_140!T68&gt;Simulator!$L$20,1+Model_Formula!$N$22,1)</x:f>
        <x:v>400</x:v>
      </x:c>
      <x:c r="P72" s="66" t="n">
        <x:f>Model_Formula!$M$23*(Profiles_140!U68-Simulator!$L$21)^2*IF(Profiles_140!U68&gt;Simulator!$L$21,1+Model_Formula!$N$23,1)</x:f>
        <x:v>45</x:v>
      </x:c>
      <x:c r="Q72" s="66" t="n">
        <x:f>Model_Formula!$M$24*(Profiles_140!V68-Simulator!$L$22)^2*IF(Profiles_140!V68&gt;Simulator!$L$22,1+Model_Formula!$N$24,1)</x:f>
        <x:v>250</x:v>
      </x:c>
      <x:c r="R72" s="66" t="n">
        <x:f>Model_Formula!$M$25*(Profiles_140!W68-Simulator!$L$23)^2*IF(Profiles_140!W68&gt;Simulator!$L$23,1+Model_Formula!$N$25,1)</x:f>
        <x:v>45</x:v>
      </x:c>
      <x:c r="S72" s="66" t="n">
        <x:f>Model_Formula!$M$26*(Profiles_140!X68-Simulator!$L$24)^2*IF(Profiles_140!X68&gt;Simulator!$L$24,1+Model_Formula!$N$26,1)</x:f>
        <x:v>0</x:v>
      </x:c>
      <x:c r="T72" s="66" t="n">
        <x:f>Model_Formula!$M$27*(Profiles_140!Y68-Simulator!$L$25)^2*IF(Profiles_140!Y68&gt;Simulator!$L$25,1+Model_Formula!$N$27,1)</x:f>
        <x:v>0</x:v>
      </x:c>
      <x:c r="U72" s="60" t="n">
        <x:f>SUM(F72:T72)/SUM($F$4:$T$4)</x:f>
        <x:v>733.6753731343284</x:v>
      </x:c>
      <x:c r="V72" s="60" t="n">
        <x:f>SQRT(U72)</x:f>
        <x:v>27.086442607591135</x:v>
      </x:c>
      <x:c r="W72" s="60" t="n">
        <x:f>MAX(0,100-V72)</x:f>
        <x:v>72.91355739240886</x:v>
      </x:c>
      <x:c r="X72" s="60" t="n">
        <x:f>SUMPRODUCT(Profiles_140!K68:Y68,$F$4:$T$4)/SUM($F$4:$T$4)</x:f>
        <x:v>47.55597014925374</x:v>
      </x:c>
      <x:c r="Y72" s="60" t="n">
        <x:f>IFERROR(50+50*SUMPRODUCT(($F$3:$T$3-$X$3)*(Profiles_140!K68:Y68-X72),$F$4:$T$4)/SQRT(SUMPRODUCT(($F$3:$T$3-$X$3)^2,$F$4:$T$4)*SUMPRODUCT((Profiles_140!K68:Y68-X72)^2,$F$4:$T$4)),50)</x:f>
        <x:v>50.000000000000014</x:v>
      </x:c>
      <x:c r="Z72" s="60" t="n">
        <x:f>$Z$3</x:f>
        <x:v>3.9474596431116675e-16</x:v>
      </x:c>
      <x:c r="AA72" s="60" t="n">
        <x:f>W72*(1-Model_Formula!$F$8*Z72)+Y72*(Model_Formula!$F$8*Z72)</x:f>
        <x:v>72.91355739240886</x:v>
      </x:c>
      <x:c r="AB72" s="60" t="n">
        <x:f>SQRT(SUMPRODUCT((Profiles_140!K68:Y68-50)^2,$F$4:$T$4)/SUM($F$4:$T$4))</x:f>
        <x:v>27.086442607591135</x:v>
      </x:c>
      <x:c r="AC72" s="60" t="n">
        <x:f>MAX(-Model_Formula!$F$11,MIN(Model_Formula!$F$11,Model_Formula!$F$10*(AB72-AVERAGE($AB$6:$AB$135))))</x:f>
        <x:v>-0.7131249700319575</x:v>
      </x:c>
      <x:c r="AD72" s="60" t="n">
        <x:f>MAX(0,MIN(100,AA72+AC72))</x:f>
        <x:v>72.2004324223769</x:v>
      </x:c>
      <x:c r="AE72" s="60" t="n">
        <x:f>MAX(0,MIN(1,IFERROR((MATCH(AD72,Percentile_Calibration!$F68:$DB68,1)-1)/100,0)))</x:f>
        <x:v>0.97</x:v>
      </x:c>
      <x:c r="AF72" s="62" t="n">
        <x:f>ROUND(MAX(Model_Formula!$I$9,Model_Formula!$I$5+Model_Formula!$I$6*POWER(AE72,Model_Formula!$I$7)),0)</x:f>
        <x:v>92</x:v>
      </x:c>
      <x:c r="AG72" t="n">
        <x:f>Profiles_140!AJ68</x:f>
        <x:v>0</x:v>
      </x:c>
      <x:c r="AH72" s="60" t="n">
        <x:f>Model_Formula!$I$8*(AE72*100)+(1-Model_Formula!$I$8)*AD72+AG72</x:f>
        <x:v>92.04008648447538</x:v>
      </x:c>
      <x:c r="AI72" t="n">
        <x:f>RANK.EQ(AH72,$AH$6:$AH$135,0)+COUNTIF($AH$6:AH72,AH72)-1</x:f>
        <x:v>8</x:v>
      </x:c>
    </x:row>
    <x:row r="73">
      <x:c r="A73" t="str">
        <x:f>Profiles_140!A69</x:f>
        <x:v>マッシブーン</x:v>
      </x:c>
      <x:c r="B73" t="str">
        <x:f>Profiles_140!C69</x:f>
        <x:v>マッシブーン-1</x:v>
      </x:c>
      <x:c r="C73" t="str">
        <x:f>Profiles_140!D69</x:f>
        <x:v>共通</x:v>
      </x:c>
      <x:c r="D73" t="str">
        <x:f>Profiles_140!B69</x:f>
        <x:v>バランス型</x:v>
      </x:c>
      <x:c r="E73" t="str">
        <x:f>Profiles_140!I69</x:f>
        <x:v>高</x:v>
      </x:c>
      <x:c r="F73" s="66" t="n">
        <x:f>Model_Formula!$M$13*(Profiles_140!K69-Simulator!$L$11)^2*IF(Profiles_140!K69&gt;Simulator!$L$11,1+Model_Formula!$N$13,1)</x:f>
        <x:v>625</x:v>
      </x:c>
      <x:c r="G73" s="66" t="n">
        <x:f>Model_Formula!$M$14*(Profiles_140!L69-Simulator!$L$12)^2*IF(Profiles_140!L69&gt;Simulator!$L$12,1+Model_Formula!$N$14,1)</x:f>
        <x:v>105</x:v>
      </x:c>
      <x:c r="H73" s="66" t="n">
        <x:f>Model_Formula!$M$15*(Profiles_140!M69-Simulator!$L$13)^2*IF(Profiles_140!M69&gt;Simulator!$L$13,1+Model_Formula!$N$15,1)</x:f>
        <x:v>0</x:v>
      </x:c>
      <x:c r="I73" s="66" t="n">
        <x:f>Model_Formula!$M$16*(Profiles_140!N69-Simulator!$L$14)^2*IF(Profiles_140!N69&gt;Simulator!$L$14,1+Model_Formula!$N$16,1)</x:f>
        <x:v>0</x:v>
      </x:c>
      <x:c r="J73" s="66" t="n">
        <x:f>Model_Formula!$M$17*(Profiles_140!O69-Simulator!$L$15)^2*IF(Profiles_140!O69&gt;Simulator!$L$15,1+Model_Formula!$N$17,1)</x:f>
        <x:v>0</x:v>
      </x:c>
      <x:c r="K73" s="66" t="n">
        <x:f>Model_Formula!$M$18*(Profiles_140!P69-Simulator!$L$16)^2*IF(Profiles_140!P69&gt;Simulator!$L$16,1+Model_Formula!$N$18,1)</x:f>
        <x:v>202.5</x:v>
      </x:c>
      <x:c r="L73" s="66" t="n">
        <x:f>Model_Formula!$M$19*(Profiles_140!Q69-Simulator!$L$17)^2*IF(Profiles_140!Q69&gt;Simulator!$L$17,1+Model_Formula!$N$19,1)</x:f>
        <x:v>2500</x:v>
      </x:c>
      <x:c r="M73" s="66" t="n">
        <x:f>Model_Formula!$M$20*(Profiles_140!R69-Simulator!$L$18)^2*IF(Profiles_140!R69&gt;Simulator!$L$18,1+Model_Formula!$N$20,1)</x:f>
        <x:v>900</x:v>
      </x:c>
      <x:c r="N73" s="66" t="n">
        <x:f>Model_Formula!$M$21*(Profiles_140!S69-Simulator!$L$19)^2*IF(Profiles_140!S69&gt;Simulator!$L$19,1+Model_Formula!$N$21,1)</x:f>
        <x:v>100</x:v>
      </x:c>
      <x:c r="O73" s="66" t="n">
        <x:f>Model_Formula!$M$22*(Profiles_140!T69-Simulator!$L$20)^2*IF(Profiles_140!T69&gt;Simulator!$L$20,1+Model_Formula!$N$22,1)</x:f>
        <x:v>25</x:v>
      </x:c>
      <x:c r="P73" s="66" t="n">
        <x:f>Model_Formula!$M$23*(Profiles_140!U69-Simulator!$L$21)^2*IF(Profiles_140!U69&gt;Simulator!$L$21,1+Model_Formula!$N$23,1)</x:f>
        <x:v>180</x:v>
      </x:c>
      <x:c r="Q73" s="66" t="n">
        <x:f>Model_Formula!$M$24*(Profiles_140!V69-Simulator!$L$22)^2*IF(Profiles_140!V69&gt;Simulator!$L$22,1+Model_Formula!$N$24,1)</x:f>
        <x:v>10</x:v>
      </x:c>
      <x:c r="R73" s="66" t="n">
        <x:f>Model_Formula!$M$25*(Profiles_140!W69-Simulator!$L$23)^2*IF(Profiles_140!W69&gt;Simulator!$L$23,1+Model_Formula!$N$25,1)</x:f>
        <x:v>281.25</x:v>
      </x:c>
      <x:c r="S73" s="66" t="n">
        <x:f>Model_Formula!$M$26*(Profiles_140!X69-Simulator!$L$24)^2*IF(Profiles_140!X69&gt;Simulator!$L$24,1+Model_Formula!$N$26,1)</x:f>
        <x:v>594.0000000000001</x:v>
      </x:c>
      <x:c r="T73" s="66" t="n">
        <x:f>Model_Formula!$M$27*(Profiles_140!Y69-Simulator!$L$25)^2*IF(Profiles_140!Y69&gt;Simulator!$L$25,1+Model_Formula!$N$27,1)</x:f>
        <x:v>2445.1875</x:v>
      </x:c>
      <x:c r="U73" s="60" t="n">
        <x:f>SUM(F73:T73)/SUM($F$4:$T$4)</x:f>
        <x:v>594.6222014925373</x:v>
      </x:c>
      <x:c r="V73" s="60" t="n">
        <x:f>SQRT(U73)</x:f>
        <x:v>24.384876491229914</x:v>
      </x:c>
      <x:c r="W73" s="60" t="n">
        <x:f>MAX(0,100-V73)</x:f>
        <x:v>75.61512350877008</x:v>
      </x:c>
      <x:c r="X73" s="60" t="n">
        <x:f>SUMPRODUCT(Profiles_140!K69:Y69,$F$4:$T$4)/SUM($F$4:$T$4)</x:f>
        <x:v>54.70149253731344</x:v>
      </x:c>
      <x:c r="Y73" s="60" t="n">
        <x:f>IFERROR(50+50*SUMPRODUCT(($F$3:$T$3-$X$3)*(Profiles_140!K69:Y69-X73),$F$4:$T$4)/SQRT(SUMPRODUCT(($F$3:$T$3-$X$3)^2,$F$4:$T$4)*SUMPRODUCT((Profiles_140!K69:Y69-X73)^2,$F$4:$T$4)),50)</x:f>
        <x:v>50.00000000000002</x:v>
      </x:c>
      <x:c r="Z73" s="60" t="n">
        <x:f>$Z$3</x:f>
        <x:v>3.9474596431116675e-16</x:v>
      </x:c>
      <x:c r="AA73" s="60" t="n">
        <x:f>W73*(1-Model_Formula!$F$8*Z73)+Y73*(Model_Formula!$F$8*Z73)</x:f>
        <x:v>75.61512350877008</x:v>
      </x:c>
      <x:c r="AB73" s="60" t="n">
        <x:f>SQRT(SUMPRODUCT((Profiles_140!K69:Y69-50)^2,$F$4:$T$4)/SUM($F$4:$T$4))</x:f>
        <x:v>23.650123851873488</x:v>
      </x:c>
      <x:c r="AC73" s="60" t="n">
        <x:f>MAX(-Model_Formula!$F$11,MIN(Model_Formula!$F$11,Model_Formula!$F$10*(AB73-AVERAGE($AB$6:$AB$135))))</x:f>
        <x:v>-2.2594684101048985</x:v>
      </x:c>
      <x:c r="AD73" s="60" t="n">
        <x:f>MAX(0,MIN(100,AA73+AC73))</x:f>
        <x:v>73.35565509866518</x:v>
      </x:c>
      <x:c r="AE73" s="60" t="n">
        <x:f>MAX(0,MIN(1,IFERROR((MATCH(AD73,Percentile_Calibration!$F69:$DB69,1)-1)/100,0)))</x:f>
        <x:v>0.95</x:v>
      </x:c>
      <x:c r="AF73" s="62" t="n">
        <x:f>ROUND(MAX(Model_Formula!$I$9,Model_Formula!$I$5+Model_Formula!$I$6*POWER(AE73,Model_Formula!$I$7)),0)</x:f>
        <x:v>89</x:v>
      </x:c>
      <x:c r="AG73" t="n">
        <x:f>Profiles_140!AJ69</x:f>
        <x:v>0</x:v>
      </x:c>
      <x:c r="AH73" s="60" t="n">
        <x:f>Model_Formula!$I$8*(AE73*100)+(1-Model_Formula!$I$8)*AD73+AG73</x:f>
        <x:v>90.67113101973304</x:v>
      </x:c>
      <x:c r="AI73" t="n">
        <x:f>RANK.EQ(AH73,$AH$6:$AH$135,0)+COUNTIF($AH$6:AH73,AH73)-1</x:f>
        <x:v>17</x:v>
      </x:c>
    </x:row>
    <x:row r="74">
      <x:c r="A74" t="str">
        <x:f>Profiles_140!A70</x:f>
        <x:v>マリルリ</x:v>
      </x:c>
      <x:c r="B74" t="str">
        <x:f>Profiles_140!C70</x:f>
        <x:v>マリルリ-1</x:v>
      </x:c>
      <x:c r="C74" t="str">
        <x:f>Profiles_140!D70</x:f>
        <x:v>共通</x:v>
      </x:c>
      <x:c r="D74" t="str">
        <x:f>Profiles_140!B70</x:f>
        <x:v>バランス型</x:v>
      </x:c>
      <x:c r="E74" t="str">
        <x:f>Profiles_140!I70</x:f>
        <x:v>高</x:v>
      </x:c>
      <x:c r="F74" s="66" t="n">
        <x:f>Model_Formula!$M$13*(Profiles_140!K70-Simulator!$L$11)^2*IF(Profiles_140!K70&gt;Simulator!$L$11,1+Model_Formula!$N$13,1)</x:f>
        <x:v>900</x:v>
      </x:c>
      <x:c r="G74" s="66" t="n">
        <x:f>Model_Formula!$M$14*(Profiles_140!L70-Simulator!$L$12)^2*IF(Profiles_140!L70&gt;Simulator!$L$12,1+Model_Formula!$N$14,1)</x:f>
        <x:v>945</x:v>
      </x:c>
      <x:c r="H74" s="66" t="n">
        <x:f>Model_Formula!$M$15*(Profiles_140!M70-Simulator!$L$13)^2*IF(Profiles_140!M70&gt;Simulator!$L$13,1+Model_Formula!$N$15,1)</x:f>
        <x:v>900</x:v>
      </x:c>
      <x:c r="I74" s="66" t="n">
        <x:f>Model_Formula!$M$16*(Profiles_140!N70-Simulator!$L$14)^2*IF(Profiles_140!N70&gt;Simulator!$L$14,1+Model_Formula!$N$16,1)</x:f>
        <x:v>25</x:v>
      </x:c>
      <x:c r="J74" s="66" t="n">
        <x:f>Model_Formula!$M$17*(Profiles_140!O70-Simulator!$L$15)^2*IF(Profiles_140!O70&gt;Simulator!$L$15,1+Model_Formula!$N$17,1)</x:f>
        <x:v>1600</x:v>
      </x:c>
      <x:c r="K74" s="66" t="n">
        <x:f>Model_Formula!$M$18*(Profiles_140!P70-Simulator!$L$16)^2*IF(Profiles_140!P70&gt;Simulator!$L$16,1+Model_Formula!$N$18,1)</x:f>
        <x:v>0</x:v>
      </x:c>
      <x:c r="L74" s="66" t="n">
        <x:f>Model_Formula!$M$19*(Profiles_140!Q70-Simulator!$L$17)^2*IF(Profiles_140!Q70&gt;Simulator!$L$17,1+Model_Formula!$N$19,1)</x:f>
        <x:v>25</x:v>
      </x:c>
      <x:c r="M74" s="66" t="n">
        <x:f>Model_Formula!$M$20*(Profiles_140!R70-Simulator!$L$18)^2*IF(Profiles_140!R70&gt;Simulator!$L$18,1+Model_Formula!$N$20,1)</x:f>
        <x:v>2025</x:v>
      </x:c>
      <x:c r="N74" s="66" t="n">
        <x:f>Model_Formula!$M$21*(Profiles_140!S70-Simulator!$L$19)^2*IF(Profiles_140!S70&gt;Simulator!$L$19,1+Model_Formula!$N$21,1)</x:f>
        <x:v>100</x:v>
      </x:c>
      <x:c r="O74" s="66" t="n">
        <x:f>Model_Formula!$M$22*(Profiles_140!T70-Simulator!$L$20)^2*IF(Profiles_140!T70&gt;Simulator!$L$20,1+Model_Formula!$N$22,1)</x:f>
        <x:v>900</x:v>
      </x:c>
      <x:c r="P74" s="66" t="n">
        <x:f>Model_Formula!$M$23*(Profiles_140!U70-Simulator!$L$21)^2*IF(Profiles_140!U70&gt;Simulator!$L$21,1+Model_Formula!$N$23,1)</x:f>
        <x:v>11.25</x:v>
      </x:c>
      <x:c r="Q74" s="66" t="n">
        <x:f>Model_Formula!$M$24*(Profiles_140!V70-Simulator!$L$22)^2*IF(Profiles_140!V70&gt;Simulator!$L$22,1+Model_Formula!$N$24,1)</x:f>
        <x:v>40</x:v>
      </x:c>
      <x:c r="R74" s="66" t="n">
        <x:f>Model_Formula!$M$25*(Profiles_140!W70-Simulator!$L$23)^2*IF(Profiles_140!W70&gt;Simulator!$L$23,1+Model_Formula!$N$25,1)</x:f>
        <x:v>11.25</x:v>
      </x:c>
      <x:c r="S74" s="66" t="n">
        <x:f>Model_Formula!$M$26*(Profiles_140!X70-Simulator!$L$24)^2*IF(Profiles_140!X70&gt;Simulator!$L$24,1+Model_Formula!$N$26,1)</x:f>
        <x:v>334.12500000000006</x:v>
      </x:c>
      <x:c r="T74" s="66" t="n">
        <x:f>Model_Formula!$M$27*(Profiles_140!Y70-Simulator!$L$25)^2*IF(Profiles_140!Y70&gt;Simulator!$L$25,1+Model_Formula!$N$27,1)</x:f>
        <x:v>482.99999999999994</x:v>
      </x:c>
      <x:c r="U74" s="60" t="n">
        <x:f>SUM(F74:T74)/SUM($F$4:$T$4)</x:f>
        <x:v>619.3750000000001</x:v>
      </x:c>
      <x:c r="V74" s="60" t="n">
        <x:f>SQRT(U74)</x:f>
        <x:v>24.887245729489635</x:v>
      </x:c>
      <x:c r="W74" s="60" t="n">
        <x:f>MAX(0,100-V74)</x:f>
        <x:v>75.11275427051037</x:v>
      </x:c>
      <x:c r="X74" s="60" t="n">
        <x:f>SUMPRODUCT(Profiles_140!K70:Y70,$F$4:$T$4)/SUM($F$4:$T$4)</x:f>
        <x:v>52.08955223880598</x:v>
      </x:c>
      <x:c r="Y74" s="60" t="n">
        <x:f>IFERROR(50+50*SUMPRODUCT(($F$3:$T$3-$X$3)*(Profiles_140!K70:Y70-X74),$F$4:$T$4)/SQRT(SUMPRODUCT(($F$3:$T$3-$X$3)^2,$F$4:$T$4)*SUMPRODUCT((Profiles_140!K70:Y70-X74)^2,$F$4:$T$4)),50)</x:f>
        <x:v>50.00000000000002</x:v>
      </x:c>
      <x:c r="Z74" s="60" t="n">
        <x:f>$Z$3</x:f>
        <x:v>3.9474596431116675e-16</x:v>
      </x:c>
      <x:c r="AA74" s="60" t="n">
        <x:f>W74*(1-Model_Formula!$F$8*Z74)+Y74*(Model_Formula!$F$8*Z74)</x:f>
        <x:v>75.11275427051037</x:v>
      </x:c>
      <x:c r="AB74" s="60" t="n">
        <x:f>SQRT(SUMPRODUCT((Profiles_140!K70:Y70-50)^2,$F$4:$T$4)/SUM($F$4:$T$4))</x:f>
        <x:v>24.661892774559714</x:v>
      </x:c>
      <x:c r="AC74" s="60" t="n">
        <x:f>MAX(-Model_Formula!$F$11,MIN(Model_Formula!$F$11,Model_Formula!$F$10*(AB74-AVERAGE($AB$6:$AB$135))))</x:f>
        <x:v>-1.8041723948960968</x:v>
      </x:c>
      <x:c r="AD74" s="60" t="n">
        <x:f>MAX(0,MIN(100,AA74+AC74))</x:f>
        <x:v>73.30858187561427</x:v>
      </x:c>
      <x:c r="AE74" s="60" t="n">
        <x:f>MAX(0,MIN(1,IFERROR((MATCH(AD74,Percentile_Calibration!$F70:$DB70,1)-1)/100,0)))</x:f>
        <x:v>0.78</x:v>
      </x:c>
      <x:c r="AF74" s="62" t="n">
        <x:f>ROUND(MAX(Model_Formula!$I$9,Model_Formula!$I$5+Model_Formula!$I$6*POWER(AE74,Model_Formula!$I$7)),0)</x:f>
        <x:v>68</x:v>
      </x:c>
      <x:c r="AG74" t="n">
        <x:f>Profiles_140!AJ70</x:f>
        <x:v>0</x:v>
      </x:c>
      <x:c r="AH74" s="60" t="n">
        <x:f>Model_Formula!$I$8*(AE74*100)+(1-Model_Formula!$I$8)*AD74+AG74</x:f>
        <x:v>77.06171637512286</x:v>
      </x:c>
      <x:c r="AI74" t="n">
        <x:f>RANK.EQ(AH74,$AH$6:$AH$135,0)+COUNTIF($AH$6:AH74,AH74)-1</x:f>
        <x:v>64</x:v>
      </x:c>
    </x:row>
    <x:row r="75">
      <x:c r="A75" t="str">
        <x:f>Profiles_140!A71</x:f>
        <x:v>ミミッキュ</x:v>
      </x:c>
      <x:c r="B75" t="str">
        <x:f>Profiles_140!C71</x:f>
        <x:v>ミミッキュ-1</x:v>
      </x:c>
      <x:c r="C75" t="str">
        <x:f>Profiles_140!D71</x:f>
        <x:v>じゃれつく</x:v>
      </x:c>
      <x:c r="D75" t="str">
        <x:f>Profiles_140!B71</x:f>
        <x:v>バランス型</x:v>
      </x:c>
      <x:c r="E75" t="str">
        <x:f>Profiles_140!I71</x:f>
        <x:v>高</x:v>
      </x:c>
      <x:c r="F75" s="66" t="n">
        <x:f>Model_Formula!$M$13*(Profiles_140!K71-Simulator!$L$11)^2*IF(Profiles_140!K71&gt;Simulator!$L$11,1+Model_Formula!$N$13,1)</x:f>
        <x:v>25</x:v>
      </x:c>
      <x:c r="G75" s="66" t="n">
        <x:f>Model_Formula!$M$14*(Profiles_140!L71-Simulator!$L$12)^2*IF(Profiles_140!L71&gt;Simulator!$L$12,1+Model_Formula!$N$14,1)</x:f>
        <x:v>1680</x:v>
      </x:c>
      <x:c r="H75" s="66" t="n">
        <x:f>Model_Formula!$M$15*(Profiles_140!M71-Simulator!$L$13)^2*IF(Profiles_140!M71&gt;Simulator!$L$13,1+Model_Formula!$N$15,1)</x:f>
        <x:v>2500</x:v>
      </x:c>
      <x:c r="I75" s="66" t="n">
        <x:f>Model_Formula!$M$16*(Profiles_140!N71-Simulator!$L$14)^2*IF(Profiles_140!N71&gt;Simulator!$L$14,1+Model_Formula!$N$16,1)</x:f>
        <x:v>900</x:v>
      </x:c>
      <x:c r="J75" s="66" t="n">
        <x:f>Model_Formula!$M$17*(Profiles_140!O71-Simulator!$L$15)^2*IF(Profiles_140!O71&gt;Simulator!$L$15,1+Model_Formula!$N$17,1)</x:f>
        <x:v>1225</x:v>
      </x:c>
      <x:c r="K75" s="66" t="n">
        <x:f>Model_Formula!$M$18*(Profiles_140!P71-Simulator!$L$16)^2*IF(Profiles_140!P71&gt;Simulator!$L$16,1+Model_Formula!$N$18,1)</x:f>
        <x:v>2250</x:v>
      </x:c>
      <x:c r="L75" s="66" t="n">
        <x:f>Model_Formula!$M$19*(Profiles_140!Q71-Simulator!$L$17)^2*IF(Profiles_140!Q71&gt;Simulator!$L$17,1+Model_Formula!$N$19,1)</x:f>
        <x:v>625</x:v>
      </x:c>
      <x:c r="M75" s="66" t="n">
        <x:f>Model_Formula!$M$20*(Profiles_140!R71-Simulator!$L$18)^2*IF(Profiles_140!R71&gt;Simulator!$L$18,1+Model_Formula!$N$20,1)</x:f>
        <x:v>2025</x:v>
      </x:c>
      <x:c r="N75" s="66" t="n">
        <x:f>Model_Formula!$M$21*(Profiles_140!S71-Simulator!$L$19)^2*IF(Profiles_140!S71&gt;Simulator!$L$19,1+Model_Formula!$N$21,1)</x:f>
        <x:v>2500</x:v>
      </x:c>
      <x:c r="O75" s="66" t="n">
        <x:f>Model_Formula!$M$22*(Profiles_140!T71-Simulator!$L$20)^2*IF(Profiles_140!T71&gt;Simulator!$L$20,1+Model_Formula!$N$22,1)</x:f>
        <x:v>400</x:v>
      </x:c>
      <x:c r="P75" s="66" t="n">
        <x:f>Model_Formula!$M$23*(Profiles_140!U71-Simulator!$L$21)^2*IF(Profiles_140!U71&gt;Simulator!$L$21,1+Model_Formula!$N$23,1)</x:f>
        <x:v>101.25</x:v>
      </x:c>
      <x:c r="Q75" s="66" t="n">
        <x:f>Model_Formula!$M$24*(Profiles_140!V71-Simulator!$L$22)^2*IF(Profiles_140!V71&gt;Simulator!$L$22,1+Model_Formula!$N$24,1)</x:f>
        <x:v>160</x:v>
      </x:c>
      <x:c r="R75" s="66" t="n">
        <x:f>Model_Formula!$M$25*(Profiles_140!W71-Simulator!$L$23)^2*IF(Profiles_140!W71&gt;Simulator!$L$23,1+Model_Formula!$N$25,1)</x:f>
        <x:v>551.25</x:v>
      </x:c>
      <x:c r="S75" s="66" t="n">
        <x:f>Model_Formula!$M$26*(Profiles_140!X71-Simulator!$L$24)^2*IF(Profiles_140!X71&gt;Simulator!$L$24,1+Model_Formula!$N$26,1)</x:f>
        <x:v>1336.5000000000002</x:v>
      </x:c>
      <x:c r="T75" s="66" t="n">
        <x:f>Model_Formula!$M$27*(Profiles_140!Y71-Simulator!$L$25)^2*IF(Profiles_140!Y71&gt;Simulator!$L$25,1+Model_Formula!$N$27,1)</x:f>
        <x:v>754.6874999999999</x:v>
      </x:c>
      <x:c r="U75" s="60" t="n">
        <x:f>SUM(F75:T75)/SUM($F$4:$T$4)</x:f>
        <x:v>1271.170708955224</x:v>
      </x:c>
      <x:c r="V75" s="60" t="n">
        <x:f>SQRT(U75)</x:f>
        <x:v>35.6534810215668</x:v>
      </x:c>
      <x:c r="W75" s="60" t="n">
        <x:f>MAX(0,100-V75)</x:f>
        <x:v>64.34651897843321</x:v>
      </x:c>
      <x:c r="X75" s="60" t="n">
        <x:f>SUMPRODUCT(Profiles_140!K71:Y71,$F$4:$T$4)/SUM($F$4:$T$4)</x:f>
        <x:v>48.26492537313433</x:v>
      </x:c>
      <x:c r="Y75" s="60" t="n">
        <x:f>IFERROR(50+50*SUMPRODUCT(($F$3:$T$3-$X$3)*(Profiles_140!K71:Y71-X75),$F$4:$T$4)/SQRT(SUMPRODUCT(($F$3:$T$3-$X$3)^2,$F$4:$T$4)*SUMPRODUCT((Profiles_140!K71:Y71-X75)^2,$F$4:$T$4)),50)</x:f>
        <x:v>50</x:v>
      </x:c>
      <x:c r="Z75" s="60" t="n">
        <x:f>$Z$3</x:f>
        <x:v>3.9474596431116675e-16</x:v>
      </x:c>
      <x:c r="AA75" s="60" t="n">
        <x:f>W75*(1-Model_Formula!$F$8*Z75)+Y75*(Model_Formula!$F$8*Z75)</x:f>
        <x:v>64.34651897843321</x:v>
      </x:c>
      <x:c r="AB75" s="60" t="n">
        <x:f>SQRT(SUMPRODUCT((Profiles_140!K71:Y71-50)^2,$F$4:$T$4)/SUM($F$4:$T$4))</x:f>
        <x:v>35.184746949643504</x:v>
      </x:c>
      <x:c r="AC75" s="60" t="n">
        <x:f>MAX(-Model_Formula!$F$11,MIN(Model_Formula!$F$11,Model_Formula!$F$10*(AB75-AVERAGE($AB$6:$AB$135))))</x:f>
        <x:v>2.9311119838916087</x:v>
      </x:c>
      <x:c r="AD75" s="60" t="n">
        <x:f>MAX(0,MIN(100,AA75+AC75))</x:f>
        <x:v>67.27763096232482</x:v>
      </x:c>
      <x:c r="AE75" s="60" t="n">
        <x:f>MAX(0,MIN(1,IFERROR((MATCH(AD75,Percentile_Calibration!$F71:$DB71,1)-1)/100,0)))</x:f>
        <x:v>0.66</x:v>
      </x:c>
      <x:c r="AF75" s="62" t="n">
        <x:f>ROUND(MAX(Model_Formula!$I$9,Model_Formula!$I$5+Model_Formula!$I$6*POWER(AE75,Model_Formula!$I$7)),0)</x:f>
        <x:v>58</x:v>
      </x:c>
      <x:c r="AG75" t="n">
        <x:f>Profiles_140!AJ71</x:f>
        <x:v>0</x:v>
      </x:c>
      <x:c r="AH75" s="60" t="n">
        <x:f>Model_Formula!$I$8*(AE75*100)+(1-Model_Formula!$I$8)*AD75+AG75</x:f>
        <x:v>66.25552619246497</x:v>
      </x:c>
      <x:c r="AI75" t="n">
        <x:f>RANK.EQ(AH75,$AH$6:$AH$135,0)+COUNTIF($AH$6:AH75,AH75)-1</x:f>
        <x:v>125</x:v>
      </x:c>
    </x:row>
    <x:row r="76">
      <x:c r="A76" t="str">
        <x:f>Profiles_140!A72</x:f>
        <x:v>ミミッキュ</x:v>
      </x:c>
      <x:c r="B76" t="str">
        <x:f>Profiles_140!C72</x:f>
        <x:v>ミミッキュ-2</x:v>
      </x:c>
      <x:c r="C76" t="str">
        <x:f>Profiles_140!D72</x:f>
        <x:v>シャドークロー</x:v>
      </x:c>
      <x:c r="D76" t="str">
        <x:f>Profiles_140!B72</x:f>
        <x:v>バランス型</x:v>
      </x:c>
      <x:c r="E76" t="str">
        <x:f>Profiles_140!I72</x:f>
        <x:v>高</x:v>
      </x:c>
      <x:c r="F76" s="66" t="n">
        <x:f>Model_Formula!$M$13*(Profiles_140!K72-Simulator!$L$11)^2*IF(Profiles_140!K72&gt;Simulator!$L$11,1+Model_Formula!$N$13,1)</x:f>
        <x:v>100</x:v>
      </x:c>
      <x:c r="G76" s="66" t="n">
        <x:f>Model_Formula!$M$14*(Profiles_140!L72-Simulator!$L$12)^2*IF(Profiles_140!L72&gt;Simulator!$L$12,1+Model_Formula!$N$14,1)</x:f>
        <x:v>945</x:v>
      </x:c>
      <x:c r="H76" s="66" t="n">
        <x:f>Model_Formula!$M$15*(Profiles_140!M72-Simulator!$L$13)^2*IF(Profiles_140!M72&gt;Simulator!$L$13,1+Model_Formula!$N$15,1)</x:f>
        <x:v>625</x:v>
      </x:c>
      <x:c r="I76" s="66" t="n">
        <x:f>Model_Formula!$M$16*(Profiles_140!N72-Simulator!$L$14)^2*IF(Profiles_140!N72&gt;Simulator!$L$14,1+Model_Formula!$N$16,1)</x:f>
        <x:v>1225</x:v>
      </x:c>
      <x:c r="J76" s="66" t="n">
        <x:f>Model_Formula!$M$17*(Profiles_140!O72-Simulator!$L$15)^2*IF(Profiles_140!O72&gt;Simulator!$L$15,1+Model_Formula!$N$17,1)</x:f>
        <x:v>900</x:v>
      </x:c>
      <x:c r="K76" s="66" t="n">
        <x:f>Model_Formula!$M$18*(Profiles_140!P72-Simulator!$L$16)^2*IF(Profiles_140!P72&gt;Simulator!$L$16,1+Model_Formula!$N$18,1)</x:f>
        <x:v>1102.5</x:v>
      </x:c>
      <x:c r="L76" s="66" t="n">
        <x:f>Model_Formula!$M$19*(Profiles_140!Q72-Simulator!$L$17)^2*IF(Profiles_140!Q72&gt;Simulator!$L$17,1+Model_Formula!$N$19,1)</x:f>
        <x:v>225</x:v>
      </x:c>
      <x:c r="M76" s="66" t="n">
        <x:f>Model_Formula!$M$20*(Profiles_140!R72-Simulator!$L$18)^2*IF(Profiles_140!R72&gt;Simulator!$L$18,1+Model_Formula!$N$20,1)</x:f>
        <x:v>2025</x:v>
      </x:c>
      <x:c r="N76" s="66" t="n">
        <x:f>Model_Formula!$M$21*(Profiles_140!S72-Simulator!$L$19)^2*IF(Profiles_140!S72&gt;Simulator!$L$19,1+Model_Formula!$N$21,1)</x:f>
        <x:v>900</x:v>
      </x:c>
      <x:c r="O76" s="66" t="n">
        <x:f>Model_Formula!$M$22*(Profiles_140!T72-Simulator!$L$20)^2*IF(Profiles_140!T72&gt;Simulator!$L$20,1+Model_Formula!$N$22,1)</x:f>
        <x:v>625</x:v>
      </x:c>
      <x:c r="P76" s="66" t="n">
        <x:f>Model_Formula!$M$23*(Profiles_140!U72-Simulator!$L$21)^2*IF(Profiles_140!U72&gt;Simulator!$L$21,1+Model_Formula!$N$23,1)</x:f>
        <x:v>180</x:v>
      </x:c>
      <x:c r="Q76" s="66" t="n">
        <x:f>Model_Formula!$M$24*(Profiles_140!V72-Simulator!$L$22)^2*IF(Profiles_140!V72&gt;Simulator!$L$22,1+Model_Formula!$N$24,1)</x:f>
        <x:v>90</x:v>
      </x:c>
      <x:c r="R76" s="66" t="n">
        <x:f>Model_Formula!$M$25*(Profiles_140!W72-Simulator!$L$23)^2*IF(Profiles_140!W72&gt;Simulator!$L$23,1+Model_Formula!$N$25,1)</x:f>
        <x:v>101.25</x:v>
      </x:c>
      <x:c r="S76" s="66" t="n">
        <x:f>Model_Formula!$M$26*(Profiles_140!X72-Simulator!$L$24)^2*IF(Profiles_140!X72&gt;Simulator!$L$24,1+Model_Formula!$N$26,1)</x:f>
        <x:v>594.0000000000001</x:v>
      </x:c>
      <x:c r="T76" s="66" t="n">
        <x:f>Model_Formula!$M$27*(Profiles_140!Y72-Simulator!$L$25)^2*IF(Profiles_140!Y72&gt;Simulator!$L$25,1+Model_Formula!$N$27,1)</x:f>
        <x:v>271.6875</x:v>
      </x:c>
      <x:c r="U76" s="60" t="n">
        <x:f>SUM(F76:T76)/SUM($F$4:$T$4)</x:f>
        <x:v>739.5102611940299</x:v>
      </x:c>
      <x:c r="V76" s="60" t="n">
        <x:f>SQRT(U76)</x:f>
        <x:v>27.193937949367132</x:v>
      </x:c>
      <x:c r="W76" s="60" t="n">
        <x:f>MAX(0,100-V76)</x:f>
        <x:v>72.80606205063287</x:v>
      </x:c>
      <x:c r="X76" s="60" t="n">
        <x:f>SUMPRODUCT(Profiles_140!K72:Y72,$F$4:$T$4)/SUM($F$4:$T$4)</x:f>
        <x:v>58.0223880597015</x:v>
      </x:c>
      <x:c r="Y76" s="60" t="n">
        <x:f>IFERROR(50+50*SUMPRODUCT(($F$3:$T$3-$X$3)*(Profiles_140!K72:Y72-X76),$F$4:$T$4)/SQRT(SUMPRODUCT(($F$3:$T$3-$X$3)^2,$F$4:$T$4)*SUMPRODUCT((Profiles_140!K72:Y72-X76)^2,$F$4:$T$4)),50)</x:f>
        <x:v>50.000000000000014</x:v>
      </x:c>
      <x:c r="Z76" s="60" t="n">
        <x:f>$Z$3</x:f>
        <x:v>3.9474596431116675e-16</x:v>
      </x:c>
      <x:c r="AA76" s="60" t="n">
        <x:f>W76*(1-Model_Formula!$F$8*Z76)+Y76*(Model_Formula!$F$8*Z76)</x:f>
        <x:v>72.80606205063287</x:v>
      </x:c>
      <x:c r="AB76" s="60" t="n">
        <x:f>SQRT(SUMPRODUCT((Profiles_140!K72:Y72-50)^2,$F$4:$T$4)/SUM($F$4:$T$4))</x:f>
        <x:v>26.93275207490609</x:v>
      </x:c>
      <x:c r="AC76" s="60" t="n">
        <x:f>MAX(-Model_Formula!$F$11,MIN(Model_Formula!$F$11,Model_Formula!$F$10*(AB76-AVERAGE($AB$6:$AB$135))))</x:f>
        <x:v>-0.7822857097402273</x:v>
      </x:c>
      <x:c r="AD76" s="60" t="n">
        <x:f>MAX(0,MIN(100,AA76+AC76))</x:f>
        <x:v>72.02377634089265</x:v>
      </x:c>
      <x:c r="AE76" s="60" t="n">
        <x:f>MAX(0,MIN(1,IFERROR((MATCH(AD76,Percentile_Calibration!$F72:$DB72,1)-1)/100,0)))</x:f>
        <x:v>0.81</x:v>
      </x:c>
      <x:c r="AF76" s="62" t="n">
        <x:f>ROUND(MAX(Model_Formula!$I$9,Model_Formula!$I$5+Model_Formula!$I$6*POWER(AE76,Model_Formula!$I$7)),0)</x:f>
        <x:v>71</x:v>
      </x:c>
      <x:c r="AG76" t="n">
        <x:f>Profiles_140!AJ72</x:f>
        <x:v>0</x:v>
      </x:c>
      <x:c r="AH76" s="60" t="n">
        <x:f>Model_Formula!$I$8*(AE76*100)+(1-Model_Formula!$I$8)*AD76+AG76</x:f>
        <x:v>79.20475526817853</x:v>
      </x:c>
      <x:c r="AI76" t="n">
        <x:f>RANK.EQ(AH76,$AH$6:$AH$135,0)+COUNTIF($AH$6:AH76,AH76)-1</x:f>
        <x:v>54</x:v>
      </x:c>
    </x:row>
    <x:row r="77">
      <x:c r="A77" t="str">
        <x:f>Profiles_140!A73</x:f>
        <x:v>ミュウツー(X)</x:v>
      </x:c>
      <x:c r="B77" t="str">
        <x:f>Profiles_140!C73</x:f>
        <x:v>ミュウツー(X)-1</x:v>
      </x:c>
      <x:c r="C77" t="str">
        <x:f>Profiles_140!D73</x:f>
        <x:v>共通</x:v>
      </x:c>
      <x:c r="D77" t="str">
        <x:f>Profiles_140!B73</x:f>
        <x:v>バランス型</x:v>
      </x:c>
      <x:c r="E77" t="str">
        <x:f>Profiles_140!I73</x:f>
        <x:v>高</x:v>
      </x:c>
      <x:c r="F77" s="66" t="n">
        <x:f>Model_Formula!$M$13*(Profiles_140!K73-Simulator!$L$11)^2*IF(Profiles_140!K73&gt;Simulator!$L$11,1+Model_Formula!$N$13,1)</x:f>
        <x:v>225</x:v>
      </x:c>
      <x:c r="G77" s="66" t="n">
        <x:f>Model_Formula!$M$14*(Profiles_140!L73-Simulator!$L$12)^2*IF(Profiles_140!L73&gt;Simulator!$L$12,1+Model_Formula!$N$14,1)</x:f>
        <x:v>26.25</x:v>
      </x:c>
      <x:c r="H77" s="66" t="n">
        <x:f>Model_Formula!$M$15*(Profiles_140!M73-Simulator!$L$13)^2*IF(Profiles_140!M73&gt;Simulator!$L$13,1+Model_Formula!$N$15,1)</x:f>
        <x:v>25</x:v>
      </x:c>
      <x:c r="I77" s="66" t="n">
        <x:f>Model_Formula!$M$16*(Profiles_140!N73-Simulator!$L$14)^2*IF(Profiles_140!N73&gt;Simulator!$L$14,1+Model_Formula!$N$16,1)</x:f>
        <x:v>2500</x:v>
      </x:c>
      <x:c r="J77" s="66" t="n">
        <x:f>Model_Formula!$M$17*(Profiles_140!O73-Simulator!$L$15)^2*IF(Profiles_140!O73&gt;Simulator!$L$15,1+Model_Formula!$N$17,1)</x:f>
        <x:v>225</x:v>
      </x:c>
      <x:c r="K77" s="66" t="n">
        <x:f>Model_Formula!$M$18*(Profiles_140!P73-Simulator!$L$16)^2*IF(Profiles_140!P73&gt;Simulator!$L$16,1+Model_Formula!$N$18,1)</x:f>
        <x:v>22.5</x:v>
      </x:c>
      <x:c r="L77" s="66" t="n">
        <x:f>Model_Formula!$M$19*(Profiles_140!Q73-Simulator!$L$17)^2*IF(Profiles_140!Q73&gt;Simulator!$L$17,1+Model_Formula!$N$19,1)</x:f>
        <x:v>625</x:v>
      </x:c>
      <x:c r="M77" s="66" t="n">
        <x:f>Model_Formula!$M$20*(Profiles_140!R73-Simulator!$L$18)^2*IF(Profiles_140!R73&gt;Simulator!$L$18,1+Model_Formula!$N$20,1)</x:f>
        <x:v>2025</x:v>
      </x:c>
      <x:c r="N77" s="66" t="n">
        <x:f>Model_Formula!$M$21*(Profiles_140!S73-Simulator!$L$19)^2*IF(Profiles_140!S73&gt;Simulator!$L$19,1+Model_Formula!$N$21,1)</x:f>
        <x:v>100</x:v>
      </x:c>
      <x:c r="O77" s="66" t="n">
        <x:f>Model_Formula!$M$22*(Profiles_140!T73-Simulator!$L$20)^2*IF(Profiles_140!T73&gt;Simulator!$L$20,1+Model_Formula!$N$22,1)</x:f>
        <x:v>100</x:v>
      </x:c>
      <x:c r="P77" s="66" t="n">
        <x:f>Model_Formula!$M$23*(Profiles_140!U73-Simulator!$L$21)^2*IF(Profiles_140!U73&gt;Simulator!$L$21,1+Model_Formula!$N$23,1)</x:f>
        <x:v>0</x:v>
      </x:c>
      <x:c r="Q77" s="66" t="n">
        <x:f>Model_Formula!$M$24*(Profiles_140!V73-Simulator!$L$22)^2*IF(Profiles_140!V73&gt;Simulator!$L$22,1+Model_Formula!$N$24,1)</x:f>
        <x:v>10</x:v>
      </x:c>
      <x:c r="R77" s="66" t="n">
        <x:f>Model_Formula!$M$25*(Profiles_140!W73-Simulator!$L$23)^2*IF(Profiles_140!W73&gt;Simulator!$L$23,1+Model_Formula!$N$25,1)</x:f>
        <x:v>180</x:v>
      </x:c>
      <x:c r="S77" s="66" t="n">
        <x:f>Model_Formula!$M$26*(Profiles_140!X73-Simulator!$L$24)^2*IF(Profiles_140!X73&gt;Simulator!$L$24,1+Model_Formula!$N$26,1)</x:f>
        <x:v>247.50000000000003</x:v>
      </x:c>
      <x:c r="T77" s="66" t="n">
        <x:f>Model_Formula!$M$27*(Profiles_140!Y73-Simulator!$L$25)^2*IF(Profiles_140!Y73&gt;Simulator!$L$25,1+Model_Formula!$N$27,1)</x:f>
        <x:v>754.6874999999999</x:v>
      </x:c>
      <x:c r="U77" s="60" t="n">
        <x:f>SUM(F77:T77)/SUM($F$4:$T$4)</x:f>
        <x:v>527.3087686567164</x:v>
      </x:c>
      <x:c r="V77" s="60" t="n">
        <x:f>SQRT(U77)</x:f>
        <x:v>22.963204668702417</x:v>
      </x:c>
      <x:c r="W77" s="60" t="n">
        <x:f>MAX(0,100-V77)</x:f>
        <x:v>77.03679533129758</x:v>
      </x:c>
      <x:c r="X77" s="60" t="n">
        <x:f>SUMPRODUCT(Profiles_140!K73:Y73,$F$4:$T$4)/SUM($F$4:$T$4)</x:f>
        <x:v>52.01492537313433</x:v>
      </x:c>
      <x:c r="Y77" s="60" t="n">
        <x:f>IFERROR(50+50*SUMPRODUCT(($F$3:$T$3-$X$3)*(Profiles_140!K73:Y73-X77),$F$4:$T$4)/SQRT(SUMPRODUCT(($F$3:$T$3-$X$3)^2,$F$4:$T$4)*SUMPRODUCT((Profiles_140!K73:Y73-X77)^2,$F$4:$T$4)),50)</x:f>
        <x:v>50.00000000000001</x:v>
      </x:c>
      <x:c r="Z77" s="60" t="n">
        <x:f>$Z$3</x:f>
        <x:v>3.9474596431116675e-16</x:v>
      </x:c>
      <x:c r="AA77" s="60" t="n">
        <x:f>W77*(1-Model_Formula!$F$8*Z77)+Y77*(Model_Formula!$F$8*Z77)</x:f>
        <x:v>77.03679533129758</x:v>
      </x:c>
      <x:c r="AB77" s="60" t="n">
        <x:f>SQRT(SUMPRODUCT((Profiles_140!K73:Y73-50)^2,$F$4:$T$4)/SUM($F$4:$T$4))</x:f>
        <x:v>22.802690336167885</x:v>
      </x:c>
      <x:c r="AC77" s="60" t="n">
        <x:f>MAX(-Model_Formula!$F$11,MIN(Model_Formula!$F$11,Model_Formula!$F$10*(AB77-AVERAGE($AB$6:$AB$135))))</x:f>
        <x:v>-2.6408134921724202</x:v>
      </x:c>
      <x:c r="AD77" s="60" t="n">
        <x:f>MAX(0,MIN(100,AA77+AC77))</x:f>
        <x:v>74.39598183912516</x:v>
      </x:c>
      <x:c r="AE77" s="60" t="n">
        <x:f>MAX(0,MIN(1,IFERROR((MATCH(AD77,Percentile_Calibration!$F73:$DB73,1)-1)/100,0)))</x:f>
        <x:v>0.99</x:v>
      </x:c>
      <x:c r="AF77" s="62" t="n">
        <x:f>ROUND(MAX(Model_Formula!$I$9,Model_Formula!$I$5+Model_Formula!$I$6*POWER(AE77,Model_Formula!$I$7)),0)</x:f>
        <x:v>95</x:v>
      </x:c>
      <x:c r="AG77" t="n">
        <x:f>Profiles_140!AJ73</x:f>
        <x:v>0</x:v>
      </x:c>
      <x:c r="AH77" s="60" t="n">
        <x:f>Model_Formula!$I$8*(AE77*100)+(1-Model_Formula!$I$8)*AD77+AG77</x:f>
        <x:v>94.07919636782503</x:v>
      </x:c>
      <x:c r="AI77" t="n">
        <x:f>RANK.EQ(AH77,$AH$6:$AH$135,0)+COUNTIF($AH$6:AH77,AH77)-1</x:f>
        <x:v>1</x:v>
      </x:c>
    </x:row>
    <x:row r="78">
      <x:c r="A78" t="str">
        <x:f>Profiles_140!A74</x:f>
        <x:v>メタグロス</x:v>
      </x:c>
      <x:c r="B78" t="str">
        <x:f>Profiles_140!C74</x:f>
        <x:v>メタグロス-1</x:v>
      </x:c>
      <x:c r="C78" t="str">
        <x:f>Profiles_140!D74</x:f>
        <x:v>共通</x:v>
      </x:c>
      <x:c r="D78" t="str">
        <x:f>Profiles_140!B74</x:f>
        <x:v>バランス型</x:v>
      </x:c>
      <x:c r="E78" t="str">
        <x:f>Profiles_140!I74</x:f>
        <x:v>高</x:v>
      </x:c>
      <x:c r="F78" s="66" t="n">
        <x:f>Model_Formula!$M$13*(Profiles_140!K74-Simulator!$L$11)^2*IF(Profiles_140!K74&gt;Simulator!$L$11,1+Model_Formula!$N$13,1)</x:f>
        <x:v>400</x:v>
      </x:c>
      <x:c r="G78" s="66" t="n">
        <x:f>Model_Formula!$M$14*(Profiles_140!L74-Simulator!$L$12)^2*IF(Profiles_140!L74&gt;Simulator!$L$12,1+Model_Formula!$N$14,1)</x:f>
        <x:v>656.25</x:v>
      </x:c>
      <x:c r="H78" s="66" t="n">
        <x:f>Model_Formula!$M$15*(Profiles_140!M74-Simulator!$L$13)^2*IF(Profiles_140!M74&gt;Simulator!$L$13,1+Model_Formula!$N$15,1)</x:f>
        <x:v>400</x:v>
      </x:c>
      <x:c r="I78" s="66" t="n">
        <x:f>Model_Formula!$M$16*(Profiles_140!N74-Simulator!$L$14)^2*IF(Profiles_140!N74&gt;Simulator!$L$14,1+Model_Formula!$N$16,1)</x:f>
        <x:v>1600</x:v>
      </x:c>
      <x:c r="J78" s="66" t="n">
        <x:f>Model_Formula!$M$17*(Profiles_140!O74-Simulator!$L$15)^2*IF(Profiles_140!O74&gt;Simulator!$L$15,1+Model_Formula!$N$17,1)</x:f>
        <x:v>1600</x:v>
      </x:c>
      <x:c r="K78" s="66" t="n">
        <x:f>Model_Formula!$M$18*(Profiles_140!P74-Simulator!$L$16)^2*IF(Profiles_140!P74&gt;Simulator!$L$16,1+Model_Formula!$N$18,1)</x:f>
        <x:v>202.5</x:v>
      </x:c>
      <x:c r="L78" s="66" t="n">
        <x:f>Model_Formula!$M$19*(Profiles_140!Q74-Simulator!$L$17)^2*IF(Profiles_140!Q74&gt;Simulator!$L$17,1+Model_Formula!$N$19,1)</x:f>
        <x:v>25</x:v>
      </x:c>
      <x:c r="M78" s="66" t="n">
        <x:f>Model_Formula!$M$20*(Profiles_140!R74-Simulator!$L$18)^2*IF(Profiles_140!R74&gt;Simulator!$L$18,1+Model_Formula!$N$20,1)</x:f>
        <x:v>2025</x:v>
      </x:c>
      <x:c r="N78" s="66" t="n">
        <x:f>Model_Formula!$M$21*(Profiles_140!S74-Simulator!$L$19)^2*IF(Profiles_140!S74&gt;Simulator!$L$19,1+Model_Formula!$N$21,1)</x:f>
        <x:v>25</x:v>
      </x:c>
      <x:c r="O78" s="66" t="n">
        <x:f>Model_Formula!$M$22*(Profiles_140!T74-Simulator!$L$20)^2*IF(Profiles_140!T74&gt;Simulator!$L$20,1+Model_Formula!$N$22,1)</x:f>
        <x:v>400</x:v>
      </x:c>
      <x:c r="P78" s="66" t="n">
        <x:f>Model_Formula!$M$23*(Profiles_140!U74-Simulator!$L$21)^2*IF(Profiles_140!U74&gt;Simulator!$L$21,1+Model_Formula!$N$23,1)</x:f>
        <x:v>45</x:v>
      </x:c>
      <x:c r="Q78" s="66" t="n">
        <x:f>Model_Formula!$M$24*(Profiles_140!V74-Simulator!$L$22)^2*IF(Profiles_140!V74&gt;Simulator!$L$22,1+Model_Formula!$N$24,1)</x:f>
        <x:v>160</x:v>
      </x:c>
      <x:c r="R78" s="66" t="n">
        <x:f>Model_Formula!$M$25*(Profiles_140!W74-Simulator!$L$23)^2*IF(Profiles_140!W74&gt;Simulator!$L$23,1+Model_Formula!$N$25,1)</x:f>
        <x:v>45</x:v>
      </x:c>
      <x:c r="S78" s="66" t="n">
        <x:f>Model_Formula!$M$26*(Profiles_140!X74-Simulator!$L$24)^2*IF(Profiles_140!X74&gt;Simulator!$L$24,1+Model_Formula!$N$26,1)</x:f>
        <x:v>0</x:v>
      </x:c>
      <x:c r="T78" s="66" t="n">
        <x:f>Model_Formula!$M$27*(Profiles_140!Y74-Simulator!$L$25)^2*IF(Profiles_140!Y74&gt;Simulator!$L$25,1+Model_Formula!$N$27,1)</x:f>
        <x:v>120.74999999999999</x:v>
      </x:c>
      <x:c r="U78" s="60" t="n">
        <x:f>SUM(F78:T78)/SUM($F$4:$T$4)</x:f>
        <x:v>574.9626865671643</x:v>
      </x:c>
      <x:c r="V78" s="60" t="n">
        <x:f>SQRT(U78)</x:f>
        <x:v>23.978379565082463</x:v>
      </x:c>
      <x:c r="W78" s="60" t="n">
        <x:f>MAX(0,100-V78)</x:f>
        <x:v>76.02162043491754</x:v>
      </x:c>
      <x:c r="X78" s="60" t="n">
        <x:f>SUMPRODUCT(Profiles_140!K74:Y74,$F$4:$T$4)/SUM($F$4:$T$4)</x:f>
        <x:v>52.48134328358209</x:v>
      </x:c>
      <x:c r="Y78" s="60" t="n">
        <x:f>IFERROR(50+50*SUMPRODUCT(($F$3:$T$3-$X$3)*(Profiles_140!K74:Y74-X78),$F$4:$T$4)/SQRT(SUMPRODUCT(($F$3:$T$3-$X$3)^2,$F$4:$T$4)*SUMPRODUCT((Profiles_140!K74:Y74-X78)^2,$F$4:$T$4)),50)</x:f>
        <x:v>50</x:v>
      </x:c>
      <x:c r="Z78" s="60" t="n">
        <x:f>$Z$3</x:f>
        <x:v>3.9474596431116675e-16</x:v>
      </x:c>
      <x:c r="AA78" s="60" t="n">
        <x:f>W78*(1-Model_Formula!$F$8*Z78)+Y78*(Model_Formula!$F$8*Z78)</x:f>
        <x:v>76.02162043491754</x:v>
      </x:c>
      <x:c r="AB78" s="60" t="n">
        <x:f>SQRT(SUMPRODUCT((Profiles_140!K74:Y74-50)^2,$F$4:$T$4)/SUM($F$4:$T$4))</x:f>
        <x:v>23.95385800727799</x:v>
      </x:c>
      <x:c r="AC78" s="60" t="n">
        <x:f>MAX(-Model_Formula!$F$11,MIN(Model_Formula!$F$11,Model_Formula!$F$10*(AB78-AVERAGE($AB$6:$AB$135))))</x:f>
        <x:v>-2.1227880401728725</x:v>
      </x:c>
      <x:c r="AD78" s="60" t="n">
        <x:f>MAX(0,MIN(100,AA78+AC78))</x:f>
        <x:v>73.89883239474466</x:v>
      </x:c>
      <x:c r="AE78" s="60" t="n">
        <x:f>MAX(0,MIN(1,IFERROR((MATCH(AD78,Percentile_Calibration!$F74:$DB74,1)-1)/100,0)))</x:f>
        <x:v>0.92</x:v>
      </x:c>
      <x:c r="AF78" s="62" t="n">
        <x:f>ROUND(MAX(Model_Formula!$I$9,Model_Formula!$I$5+Model_Formula!$I$6*POWER(AE78,Model_Formula!$I$7)),0)</x:f>
        <x:v>85</x:v>
      </x:c>
      <x:c r="AG78" t="n">
        <x:f>Profiles_140!AJ74</x:f>
        <x:v>0</x:v>
      </x:c>
      <x:c r="AH78" s="60" t="n">
        <x:f>Model_Formula!$I$8*(AE78*100)+(1-Model_Formula!$I$8)*AD78+AG78</x:f>
        <x:v>88.37976647894894</x:v>
      </x:c>
      <x:c r="AI78" t="n">
        <x:f>RANK.EQ(AH78,$AH$6:$AH$135,0)+COUNTIF($AH$6:AH78,AH78)-1</x:f>
        <x:v>29</x:v>
      </x:c>
    </x:row>
    <x:row r="79">
      <x:c r="A79" t="str">
        <x:f>Profiles_140!A75</x:f>
        <x:v>リザードン</x:v>
      </x:c>
      <x:c r="B79" t="str">
        <x:f>Profiles_140!C75</x:f>
        <x:v>リザードン-1</x:v>
      </x:c>
      <x:c r="C79" t="str">
        <x:f>Profiles_140!D75</x:f>
        <x:v>だいもんじ</x:v>
      </x:c>
      <x:c r="D79" t="str">
        <x:f>Profiles_140!B75</x:f>
        <x:v>バランス型</x:v>
      </x:c>
      <x:c r="E79" t="str">
        <x:f>Profiles_140!I75</x:f>
        <x:v>高</x:v>
      </x:c>
      <x:c r="F79" s="66" t="n">
        <x:f>Model_Formula!$M$13*(Profiles_140!K75-Simulator!$L$11)^2*IF(Profiles_140!K75&gt;Simulator!$L$11,1+Model_Formula!$N$13,1)</x:f>
        <x:v>625</x:v>
      </x:c>
      <x:c r="G79" s="66" t="n">
        <x:f>Model_Formula!$M$14*(Profiles_140!L75-Simulator!$L$12)^2*IF(Profiles_140!L75&gt;Simulator!$L$12,1+Model_Formula!$N$14,1)</x:f>
        <x:v>1680</x:v>
      </x:c>
      <x:c r="H79" s="66" t="n">
        <x:f>Model_Formula!$M$15*(Profiles_140!M75-Simulator!$L$13)^2*IF(Profiles_140!M75&gt;Simulator!$L$13,1+Model_Formula!$N$15,1)</x:f>
        <x:v>900</x:v>
      </x:c>
      <x:c r="I79" s="66" t="n">
        <x:f>Model_Formula!$M$16*(Profiles_140!N75-Simulator!$L$14)^2*IF(Profiles_140!N75&gt;Simulator!$L$14,1+Model_Formula!$N$16,1)</x:f>
        <x:v>900</x:v>
      </x:c>
      <x:c r="J79" s="66" t="n">
        <x:f>Model_Formula!$M$17*(Profiles_140!O75-Simulator!$L$15)^2*IF(Profiles_140!O75&gt;Simulator!$L$15,1+Model_Formula!$N$17,1)</x:f>
        <x:v>625</x:v>
      </x:c>
      <x:c r="K79" s="66" t="n">
        <x:f>Model_Formula!$M$18*(Profiles_140!P75-Simulator!$L$16)^2*IF(Profiles_140!P75&gt;Simulator!$L$16,1+Model_Formula!$N$18,1)</x:f>
        <x:v>360</x:v>
      </x:c>
      <x:c r="L79" s="66" t="n">
        <x:f>Model_Formula!$M$19*(Profiles_140!Q75-Simulator!$L$17)^2*IF(Profiles_140!Q75&gt;Simulator!$L$17,1+Model_Formula!$N$19,1)</x:f>
        <x:v>625</x:v>
      </x:c>
      <x:c r="M79" s="66" t="n">
        <x:f>Model_Formula!$M$20*(Profiles_140!R75-Simulator!$L$18)^2*IF(Profiles_140!R75&gt;Simulator!$L$18,1+Model_Formula!$N$20,1)</x:f>
        <x:v>2500</x:v>
      </x:c>
      <x:c r="N79" s="66" t="n">
        <x:f>Model_Formula!$M$21*(Profiles_140!S75-Simulator!$L$19)^2*IF(Profiles_140!S75&gt;Simulator!$L$19,1+Model_Formula!$N$21,1)</x:f>
        <x:v>0</x:v>
      </x:c>
      <x:c r="O79" s="66" t="n">
        <x:f>Model_Formula!$M$22*(Profiles_140!T75-Simulator!$L$20)^2*IF(Profiles_140!T75&gt;Simulator!$L$20,1+Model_Formula!$N$22,1)</x:f>
        <x:v>100</x:v>
      </x:c>
      <x:c r="P79" s="66" t="n">
        <x:f>Model_Formula!$M$23*(Profiles_140!U75-Simulator!$L$21)^2*IF(Profiles_140!U75&gt;Simulator!$L$21,1+Model_Formula!$N$23,1)</x:f>
        <x:v>180</x:v>
      </x:c>
      <x:c r="Q79" s="66" t="n">
        <x:f>Model_Formula!$M$24*(Profiles_140!V75-Simulator!$L$22)^2*IF(Profiles_140!V75&gt;Simulator!$L$22,1+Model_Formula!$N$24,1)</x:f>
        <x:v>250</x:v>
      </x:c>
      <x:c r="R79" s="66" t="n">
        <x:f>Model_Formula!$M$25*(Profiles_140!W75-Simulator!$L$23)^2*IF(Profiles_140!W75&gt;Simulator!$L$23,1+Model_Formula!$N$25,1)</x:f>
        <x:v>11.25</x:v>
      </x:c>
      <x:c r="S79" s="66" t="n">
        <x:f>Model_Formula!$M$26*(Profiles_140!X75-Simulator!$L$24)^2*IF(Profiles_140!X75&gt;Simulator!$L$24,1+Model_Formula!$N$26,1)</x:f>
        <x:v>148.50000000000003</x:v>
      </x:c>
      <x:c r="T79" s="66" t="n">
        <x:f>Model_Formula!$M$27*(Profiles_140!Y75-Simulator!$L$25)^2*IF(Profiles_140!Y75&gt;Simulator!$L$25,1+Model_Formula!$N$27,1)</x:f>
        <x:v>271.6875</x:v>
      </x:c>
      <x:c r="U79" s="60" t="n">
        <x:f>SUM(F79:T79)/SUM($F$4:$T$4)</x:f>
        <x:v>684.8087686567164</x:v>
      </x:c>
      <x:c r="V79" s="60" t="n">
        <x:f>SQRT(U79)</x:f>
        <x:v>26.16885111457353</x:v>
      </x:c>
      <x:c r="W79" s="60" t="n">
        <x:f>MAX(0,100-V79)</x:f>
        <x:v>73.83114888542647</x:v>
      </x:c>
      <x:c r="X79" s="60" t="n">
        <x:f>SUMPRODUCT(Profiles_140!K75:Y75,$F$4:$T$4)/SUM($F$4:$T$4)</x:f>
        <x:v>42.126865671641795</x:v>
      </x:c>
      <x:c r="Y79" s="60" t="n">
        <x:f>IFERROR(50+50*SUMPRODUCT(($F$3:$T$3-$X$3)*(Profiles_140!K75:Y75-X79),$F$4:$T$4)/SQRT(SUMPRODUCT(($F$3:$T$3-$X$3)^2,$F$4:$T$4)*SUMPRODUCT((Profiles_140!K75:Y75-X79)^2,$F$4:$T$4)),50)</x:f>
        <x:v>50.00000000000001</x:v>
      </x:c>
      <x:c r="Z79" s="60" t="n">
        <x:f>$Z$3</x:f>
        <x:v>3.9474596431116675e-16</x:v>
      </x:c>
      <x:c r="AA79" s="60" t="n">
        <x:f>W79*(1-Model_Formula!$F$8*Z79)+Y79*(Model_Formula!$F$8*Z79)</x:f>
        <x:v>73.83114888542647</x:v>
      </x:c>
      <x:c r="AB79" s="60" t="n">
        <x:f>SQRT(SUMPRODUCT((Profiles_140!K75:Y75-50)^2,$F$4:$T$4)/SUM($F$4:$T$4))</x:f>
        <x:v>26.063212479971067</x:v>
      </x:c>
      <x:c r="AC79" s="60" t="n">
        <x:f>MAX(-Model_Formula!$F$11,MIN(Model_Formula!$F$11,Model_Formula!$F$10*(AB79-AVERAGE($AB$6:$AB$135))))</x:f>
        <x:v>-1.1735785274609878</x:v>
      </x:c>
      <x:c r="AD79" s="60" t="n">
        <x:f>MAX(0,MIN(100,AA79+AC79))</x:f>
        <x:v>72.65757035796548</x:v>
      </x:c>
      <x:c r="AE79" s="60" t="n">
        <x:f>MAX(0,MIN(1,IFERROR((MATCH(AD79,Percentile_Calibration!$F75:$DB75,1)-1)/100,0)))</x:f>
        <x:v>0.8</x:v>
      </x:c>
      <x:c r="AF79" s="62" t="n">
        <x:f>ROUND(MAX(Model_Formula!$I$9,Model_Formula!$I$5+Model_Formula!$I$6*POWER(AE79,Model_Formula!$I$7)),0)</x:f>
        <x:v>70</x:v>
      </x:c>
      <x:c r="AG79" t="n">
        <x:f>Profiles_140!AJ75</x:f>
        <x:v>0</x:v>
      </x:c>
      <x:c r="AH79" s="60" t="n">
        <x:f>Model_Formula!$I$8*(AE79*100)+(1-Model_Formula!$I$8)*AD79+AG79</x:f>
        <x:v>78.5315140715931</x:v>
      </x:c>
      <x:c r="AI79" t="n">
        <x:f>RANK.EQ(AH79,$AH$6:$AH$135,0)+COUNTIF($AH$6:AH79,AH79)-1</x:f>
        <x:v>57</x:v>
      </x:c>
    </x:row>
    <x:row r="80">
      <x:c r="A80" t="str">
        <x:f>Profiles_140!A76</x:f>
        <x:v>リザードン</x:v>
      </x:c>
      <x:c r="B80" t="str">
        <x:f>Profiles_140!C76</x:f>
        <x:v>リザードン-2</x:v>
      </x:c>
      <x:c r="C80" t="str">
        <x:f>Profiles_140!D76</x:f>
        <x:v>フレアドライブ</x:v>
      </x:c>
      <x:c r="D80" t="str">
        <x:f>Profiles_140!B76</x:f>
        <x:v>バランス型</x:v>
      </x:c>
      <x:c r="E80" t="str">
        <x:f>Profiles_140!I76</x:f>
        <x:v>高</x:v>
      </x:c>
      <x:c r="F80" s="66" t="n">
        <x:f>Model_Formula!$M$13*(Profiles_140!K76-Simulator!$L$11)^2*IF(Profiles_140!K76&gt;Simulator!$L$11,1+Model_Formula!$N$13,1)</x:f>
        <x:v>900</x:v>
      </x:c>
      <x:c r="G80" s="66" t="n">
        <x:f>Model_Formula!$M$14*(Profiles_140!L76-Simulator!$L$12)^2*IF(Profiles_140!L76&gt;Simulator!$L$12,1+Model_Formula!$N$14,1)</x:f>
        <x:v>1286.25</x:v>
      </x:c>
      <x:c r="H80" s="66" t="n">
        <x:f>Model_Formula!$M$15*(Profiles_140!M76-Simulator!$L$13)^2*IF(Profiles_140!M76&gt;Simulator!$L$13,1+Model_Formula!$N$15,1)</x:f>
        <x:v>900</x:v>
      </x:c>
      <x:c r="I80" s="66" t="n">
        <x:f>Model_Formula!$M$16*(Profiles_140!N76-Simulator!$L$14)^2*IF(Profiles_140!N76&gt;Simulator!$L$14,1+Model_Formula!$N$16,1)</x:f>
        <x:v>900</x:v>
      </x:c>
      <x:c r="J80" s="66" t="n">
        <x:f>Model_Formula!$M$17*(Profiles_140!O76-Simulator!$L$15)^2*IF(Profiles_140!O76&gt;Simulator!$L$15,1+Model_Formula!$N$17,1)</x:f>
        <x:v>2500</x:v>
      </x:c>
      <x:c r="K80" s="66" t="n">
        <x:f>Model_Formula!$M$18*(Profiles_140!P76-Simulator!$L$16)^2*IF(Profiles_140!P76&gt;Simulator!$L$16,1+Model_Formula!$N$18,1)</x:f>
        <x:v>202.5</x:v>
      </x:c>
      <x:c r="L80" s="66" t="n">
        <x:f>Model_Formula!$M$19*(Profiles_140!Q76-Simulator!$L$17)^2*IF(Profiles_140!Q76&gt;Simulator!$L$17,1+Model_Formula!$N$19,1)</x:f>
        <x:v>25</x:v>
      </x:c>
      <x:c r="M80" s="66" t="n">
        <x:f>Model_Formula!$M$20*(Profiles_140!R76-Simulator!$L$18)^2*IF(Profiles_140!R76&gt;Simulator!$L$18,1+Model_Formula!$N$20,1)</x:f>
        <x:v>2025</x:v>
      </x:c>
      <x:c r="N80" s="66" t="n">
        <x:f>Model_Formula!$M$21*(Profiles_140!S76-Simulator!$L$19)^2*IF(Profiles_140!S76&gt;Simulator!$L$19,1+Model_Formula!$N$21,1)</x:f>
        <x:v>900</x:v>
      </x:c>
      <x:c r="O80" s="66" t="n">
        <x:f>Model_Formula!$M$22*(Profiles_140!T76-Simulator!$L$20)^2*IF(Profiles_140!T76&gt;Simulator!$L$20,1+Model_Formula!$N$22,1)</x:f>
        <x:v>400</x:v>
      </x:c>
      <x:c r="P80" s="66" t="n">
        <x:f>Model_Formula!$M$23*(Profiles_140!U76-Simulator!$L$21)^2*IF(Profiles_140!U76&gt;Simulator!$L$21,1+Model_Formula!$N$23,1)</x:f>
        <x:v>45</x:v>
      </x:c>
      <x:c r="Q80" s="66" t="n">
        <x:f>Model_Formula!$M$24*(Profiles_140!V76-Simulator!$L$22)^2*IF(Profiles_140!V76&gt;Simulator!$L$22,1+Model_Formula!$N$24,1)</x:f>
        <x:v>40</x:v>
      </x:c>
      <x:c r="R80" s="66" t="n">
        <x:f>Model_Formula!$M$25*(Profiles_140!W76-Simulator!$L$23)^2*IF(Profiles_140!W76&gt;Simulator!$L$23,1+Model_Formula!$N$25,1)</x:f>
        <x:v>11.25</x:v>
      </x:c>
      <x:c r="S80" s="66" t="n">
        <x:f>Model_Formula!$M$26*(Profiles_140!X76-Simulator!$L$24)^2*IF(Profiles_140!X76&gt;Simulator!$L$24,1+Model_Formula!$N$26,1)</x:f>
        <x:v>334.12500000000006</x:v>
      </x:c>
      <x:c r="T80" s="66" t="n">
        <x:f>Model_Formula!$M$27*(Profiles_140!Y76-Simulator!$L$25)^2*IF(Profiles_140!Y76&gt;Simulator!$L$25,1+Model_Formula!$N$27,1)</x:f>
        <x:v>482.99999999999994</x:v>
      </x:c>
      <x:c r="U80" s="60" t="n">
        <x:f>SUM(F80:T80)/SUM($F$4:$T$4)</x:f>
        <x:v>817.3227611940299</x:v>
      </x:c>
      <x:c r="V80" s="60" t="n">
        <x:f>SQRT(U80)</x:f>
        <x:v>28.588857290805276</x:v>
      </x:c>
      <x:c r="W80" s="60" t="n">
        <x:f>MAX(0,100-V80)</x:f>
        <x:v>71.41114270919472</x:v>
      </x:c>
      <x:c r="X80" s="60" t="n">
        <x:f>SUMPRODUCT(Profiles_140!K76:Y76,$F$4:$T$4)/SUM($F$4:$T$4)</x:f>
        <x:v>55.85820895522389</x:v>
      </x:c>
      <x:c r="Y80" s="60" t="n">
        <x:f>IFERROR(50+50*SUMPRODUCT(($F$3:$T$3-$X$3)*(Profiles_140!K76:Y76-X80),$F$4:$T$4)/SQRT(SUMPRODUCT(($F$3:$T$3-$X$3)^2,$F$4:$T$4)*SUMPRODUCT((Profiles_140!K76:Y76-X80)^2,$F$4:$T$4)),50)</x:f>
        <x:v>50.000000000000014</x:v>
      </x:c>
      <x:c r="Z80" s="60" t="n">
        <x:f>$Z$3</x:f>
        <x:v>3.9474596431116675e-16</x:v>
      </x:c>
      <x:c r="AA80" s="60" t="n">
        <x:f>W80*(1-Model_Formula!$F$8*Z80)+Y80*(Model_Formula!$F$8*Z80)</x:f>
        <x:v>71.41114270919472</x:v>
      </x:c>
      <x:c r="AB80" s="60" t="n">
        <x:f>SQRT(SUMPRODUCT((Profiles_140!K76:Y76-50)^2,$F$4:$T$4)/SUM($F$4:$T$4))</x:f>
        <x:v>28.39289904919733</x:v>
      </x:c>
      <x:c r="AC80" s="60" t="n">
        <x:f>MAX(-Model_Formula!$F$11,MIN(Model_Formula!$F$11,Model_Formula!$F$10*(AB80-AVERAGE($AB$6:$AB$135))))</x:f>
        <x:v>-0.12521957130917016</x:v>
      </x:c>
      <x:c r="AD80" s="60" t="n">
        <x:f>MAX(0,MIN(100,AA80+AC80))</x:f>
        <x:v>71.28592313788555</x:v>
      </x:c>
      <x:c r="AE80" s="60" t="n">
        <x:f>MAX(0,MIN(1,IFERROR((MATCH(AD80,Percentile_Calibration!$F76:$DB76,1)-1)/100,0)))</x:f>
        <x:v>0.77</x:v>
      </x:c>
      <x:c r="AF80" s="62" t="n">
        <x:f>ROUND(MAX(Model_Formula!$I$9,Model_Formula!$I$5+Model_Formula!$I$6*POWER(AE80,Model_Formula!$I$7)),0)</x:f>
        <x:v>67</x:v>
      </x:c>
      <x:c r="AG80" t="n">
        <x:f>Profiles_140!AJ76</x:f>
        <x:v>0</x:v>
      </x:c>
      <x:c r="AH80" s="60" t="n">
        <x:f>Model_Formula!$I$8*(AE80*100)+(1-Model_Formula!$I$8)*AD80+AG80</x:f>
        <x:v>75.85718462757711</x:v>
      </x:c>
      <x:c r="AI80" t="n">
        <x:f>RANK.EQ(AH80,$AH$6:$AH$135,0)+COUNTIF($AH$6:AH80,AH80)-1</x:f>
        <x:v>71</x:v>
      </x:c>
    </x:row>
    <x:row r="81">
      <x:c r="A81" t="str">
        <x:f>Profiles_140!A77</x:f>
        <x:v>メガリザードンX</x:v>
      </x:c>
      <x:c r="B81" t="str">
        <x:f>Profiles_140!C77</x:f>
        <x:v>メガリザードンX-1</x:v>
      </x:c>
      <x:c r="C81" t="str">
        <x:f>Profiles_140!D77</x:f>
        <x:v>共通</x:v>
      </x:c>
      <x:c r="D81" t="str">
        <x:f>Profiles_140!B77</x:f>
        <x:v>バランス型</x:v>
      </x:c>
      <x:c r="E81" t="str">
        <x:f>Profiles_140!I77</x:f>
        <x:v>中</x:v>
      </x:c>
      <x:c r="F81" s="66" t="n">
        <x:f>Model_Formula!$M$13*(Profiles_140!K77-Simulator!$L$11)^2*IF(Profiles_140!K77&gt;Simulator!$L$11,1+Model_Formula!$N$13,1)</x:f>
        <x:v>900</x:v>
      </x:c>
      <x:c r="G81" s="66" t="n">
        <x:f>Model_Formula!$M$14*(Profiles_140!L77-Simulator!$L$12)^2*IF(Profiles_140!L77&gt;Simulator!$L$12,1+Model_Formula!$N$14,1)</x:f>
        <x:v>1286.25</x:v>
      </x:c>
      <x:c r="H81" s="66" t="n">
        <x:f>Model_Formula!$M$15*(Profiles_140!M77-Simulator!$L$13)^2*IF(Profiles_140!M77&gt;Simulator!$L$13,1+Model_Formula!$N$15,1)</x:f>
        <x:v>900</x:v>
      </x:c>
      <x:c r="I81" s="66" t="n">
        <x:f>Model_Formula!$M$16*(Profiles_140!N77-Simulator!$L$14)^2*IF(Profiles_140!N77&gt;Simulator!$L$14,1+Model_Formula!$N$16,1)</x:f>
        <x:v>1225</x:v>
      </x:c>
      <x:c r="J81" s="66" t="n">
        <x:f>Model_Formula!$M$17*(Profiles_140!O77-Simulator!$L$15)^2*IF(Profiles_140!O77&gt;Simulator!$L$15,1+Model_Formula!$N$17,1)</x:f>
        <x:v>1600</x:v>
      </x:c>
      <x:c r="K81" s="66" t="n">
        <x:f>Model_Formula!$M$18*(Profiles_140!P77-Simulator!$L$16)^2*IF(Profiles_140!P77&gt;Simulator!$L$16,1+Model_Formula!$N$18,1)</x:f>
        <x:v>22.5</x:v>
      </x:c>
      <x:c r="L81" s="66" t="n">
        <x:f>Model_Formula!$M$19*(Profiles_140!Q77-Simulator!$L$17)^2*IF(Profiles_140!Q77&gt;Simulator!$L$17,1+Model_Formula!$N$19,1)</x:f>
        <x:v>25</x:v>
      </x:c>
      <x:c r="M81" s="66" t="n">
        <x:f>Model_Formula!$M$20*(Profiles_140!R77-Simulator!$L$18)^2*IF(Profiles_140!R77&gt;Simulator!$L$18,1+Model_Formula!$N$20,1)</x:f>
        <x:v>2025</x:v>
      </x:c>
      <x:c r="N81" s="66" t="n">
        <x:f>Model_Formula!$M$21*(Profiles_140!S77-Simulator!$L$19)^2*IF(Profiles_140!S77&gt;Simulator!$L$19,1+Model_Formula!$N$21,1)</x:f>
        <x:v>900</x:v>
      </x:c>
      <x:c r="O81" s="66" t="n">
        <x:f>Model_Formula!$M$22*(Profiles_140!T77-Simulator!$L$20)^2*IF(Profiles_140!T77&gt;Simulator!$L$20,1+Model_Formula!$N$22,1)</x:f>
        <x:v>900</x:v>
      </x:c>
      <x:c r="P81" s="66" t="n">
        <x:f>Model_Formula!$M$23*(Profiles_140!U77-Simulator!$L$21)^2*IF(Profiles_140!U77&gt;Simulator!$L$21,1+Model_Formula!$N$23,1)</x:f>
        <x:v>45</x:v>
      </x:c>
      <x:c r="Q81" s="66" t="n">
        <x:f>Model_Formula!$M$24*(Profiles_140!V77-Simulator!$L$22)^2*IF(Profiles_140!V77&gt;Simulator!$L$22,1+Model_Formula!$N$24,1)</x:f>
        <x:v>40</x:v>
      </x:c>
      <x:c r="R81" s="66" t="n">
        <x:f>Model_Formula!$M$25*(Profiles_140!W77-Simulator!$L$23)^2*IF(Profiles_140!W77&gt;Simulator!$L$23,1+Model_Formula!$N$25,1)</x:f>
        <x:v>11.25</x:v>
      </x:c>
      <x:c r="S81" s="66" t="n">
        <x:f>Model_Formula!$M$26*(Profiles_140!X77-Simulator!$L$24)^2*IF(Profiles_140!X77&gt;Simulator!$L$24,1+Model_Formula!$N$26,1)</x:f>
        <x:v>334.12500000000006</x:v>
      </x:c>
      <x:c r="T81" s="66" t="n">
        <x:f>Model_Formula!$M$27*(Profiles_140!Y77-Simulator!$L$25)^2*IF(Profiles_140!Y77&gt;Simulator!$L$25,1+Model_Formula!$N$27,1)</x:f>
        <x:v>482.99999999999994</x:v>
      </x:c>
      <x:c r="U81" s="60" t="n">
        <x:f>SUM(F81:T81)/SUM($F$4:$T$4)</x:f>
        <x:v>798.2929104477613</x:v>
      </x:c>
      <x:c r="V81" s="60" t="n">
        <x:f>SQRT(U81)</x:f>
        <x:v>28.25407776671823</x:v>
      </x:c>
      <x:c r="W81" s="60" t="n">
        <x:f>MAX(0,100-V81)</x:f>
        <x:v>71.74592223328177</x:v>
      </x:c>
      <x:c r="X81" s="60" t="n">
        <x:f>SUMPRODUCT(Profiles_140!K77:Y77,$F$4:$T$4)/SUM($F$4:$T$4)</x:f>
        <x:v>56.38059701492538</x:v>
      </x:c>
      <x:c r="Y81" s="60" t="n">
        <x:f>IFERROR(50+50*SUMPRODUCT(($F$3:$T$3-$X$3)*(Profiles_140!K77:Y77-X81),$F$4:$T$4)/SQRT(SUMPRODUCT(($F$3:$T$3-$X$3)^2,$F$4:$T$4)*SUMPRODUCT((Profiles_140!K77:Y77-X81)^2,$F$4:$T$4)),50)</x:f>
        <x:v>50.00000000000001</x:v>
      </x:c>
      <x:c r="Z81" s="60" t="n">
        <x:f>$Z$3</x:f>
        <x:v>3.9474596431116675e-16</x:v>
      </x:c>
      <x:c r="AA81" s="60" t="n">
        <x:f>W81*(1-Model_Formula!$F$8*Z81)+Y81*(Model_Formula!$F$8*Z81)</x:f>
        <x:v>71.74592223328177</x:v>
      </x:c>
      <x:c r="AB81" s="60" t="n">
        <x:f>SQRT(SUMPRODUCT((Profiles_140!K77:Y77-50)^2,$F$4:$T$4)/SUM($F$4:$T$4))</x:f>
        <x:v>28.055781323492702</x:v>
      </x:c>
      <x:c r="AC81" s="60" t="n">
        <x:f>MAX(-Model_Formula!$F$11,MIN(Model_Formula!$F$11,Model_Formula!$F$10*(AB81-AVERAGE($AB$6:$AB$135))))</x:f>
        <x:v>-0.276922547876252</x:v>
      </x:c>
      <x:c r="AD81" s="60" t="n">
        <x:f>MAX(0,MIN(100,AA81+AC81))</x:f>
        <x:v>71.46899968540552</x:v>
      </x:c>
      <x:c r="AE81" s="60" t="n">
        <x:f>MAX(0,MIN(1,IFERROR((MATCH(AD81,Percentile_Calibration!$F77:$DB77,1)-1)/100,0)))</x:f>
        <x:v>0.76</x:v>
      </x:c>
      <x:c r="AF81" s="62" t="n">
        <x:f>ROUND(MAX(Model_Formula!$I$9,Model_Formula!$I$5+Model_Formula!$I$6*POWER(AE81,Model_Formula!$I$7)),0)</x:f>
        <x:v>66</x:v>
      </x:c>
      <x:c r="AG81" t="n">
        <x:f>Profiles_140!AJ77</x:f>
        <x:v>0.5</x:v>
      </x:c>
      <x:c r="AH81" s="60" t="n">
        <x:f>Model_Formula!$I$8*(AE81*100)+(1-Model_Formula!$I$8)*AD81+AG81</x:f>
        <x:v>75.5937999370811</x:v>
      </x:c>
      <x:c r="AI81" t="n">
        <x:f>RANK.EQ(AH81,$AH$6:$AH$135,0)+COUNTIF($AH$6:AH81,AH81)-1</x:f>
        <x:v>73</x:v>
      </x:c>
    </x:row>
    <x:row r="82">
      <x:c r="A82" t="str">
        <x:f>Profiles_140!A78</x:f>
        <x:v>メガリザードンY</x:v>
      </x:c>
      <x:c r="B82" t="str">
        <x:f>Profiles_140!C78</x:f>
        <x:v>メガリザードンY-1</x:v>
      </x:c>
      <x:c r="C82" t="str">
        <x:f>Profiles_140!D78</x:f>
        <x:v>共通</x:v>
      </x:c>
      <x:c r="D82" t="str">
        <x:f>Profiles_140!B78</x:f>
        <x:v>バランス型</x:v>
      </x:c>
      <x:c r="E82" t="str">
        <x:f>Profiles_140!I78</x:f>
        <x:v>中</x:v>
      </x:c>
      <x:c r="F82" s="66" t="n">
        <x:f>Model_Formula!$M$13*(Profiles_140!K78-Simulator!$L$11)^2*IF(Profiles_140!K78&gt;Simulator!$L$11,1+Model_Formula!$N$13,1)</x:f>
        <x:v>100</x:v>
      </x:c>
      <x:c r="G82" s="66" t="n">
        <x:f>Model_Formula!$M$14*(Profiles_140!L78-Simulator!$L$12)^2*IF(Profiles_140!L78&gt;Simulator!$L$12,1+Model_Formula!$N$14,1)</x:f>
        <x:v>420</x:v>
      </x:c>
      <x:c r="H82" s="66" t="n">
        <x:f>Model_Formula!$M$15*(Profiles_140!M78-Simulator!$L$13)^2*IF(Profiles_140!M78&gt;Simulator!$L$13,1+Model_Formula!$N$15,1)</x:f>
        <x:v>900</x:v>
      </x:c>
      <x:c r="I82" s="66" t="n">
        <x:f>Model_Formula!$M$16*(Profiles_140!N78-Simulator!$L$14)^2*IF(Profiles_140!N78&gt;Simulator!$L$14,1+Model_Formula!$N$16,1)</x:f>
        <x:v>25</x:v>
      </x:c>
      <x:c r="J82" s="66" t="n">
        <x:f>Model_Formula!$M$17*(Profiles_140!O78-Simulator!$L$15)^2*IF(Profiles_140!O78&gt;Simulator!$L$15,1+Model_Formula!$N$17,1)</x:f>
        <x:v>225</x:v>
      </x:c>
      <x:c r="K82" s="66" t="n">
        <x:f>Model_Formula!$M$18*(Profiles_140!P78-Simulator!$L$16)^2*IF(Profiles_140!P78&gt;Simulator!$L$16,1+Model_Formula!$N$18,1)</x:f>
        <x:v>202.5</x:v>
      </x:c>
      <x:c r="L82" s="66" t="n">
        <x:f>Model_Formula!$M$19*(Profiles_140!Q78-Simulator!$L$17)^2*IF(Profiles_140!Q78&gt;Simulator!$L$17,1+Model_Formula!$N$19,1)</x:f>
        <x:v>25</x:v>
      </x:c>
      <x:c r="M82" s="66" t="n">
        <x:f>Model_Formula!$M$20*(Profiles_140!R78-Simulator!$L$18)^2*IF(Profiles_140!R78&gt;Simulator!$L$18,1+Model_Formula!$N$20,1)</x:f>
        <x:v>2025</x:v>
      </x:c>
      <x:c r="N82" s="66" t="n">
        <x:f>Model_Formula!$M$21*(Profiles_140!S78-Simulator!$L$19)^2*IF(Profiles_140!S78&gt;Simulator!$L$19,1+Model_Formula!$N$21,1)</x:f>
        <x:v>900</x:v>
      </x:c>
      <x:c r="O82" s="66" t="n">
        <x:f>Model_Formula!$M$22*(Profiles_140!T78-Simulator!$L$20)^2*IF(Profiles_140!T78&gt;Simulator!$L$20,1+Model_Formula!$N$22,1)</x:f>
        <x:v>400</x:v>
      </x:c>
      <x:c r="P82" s="66" t="n">
        <x:f>Model_Formula!$M$23*(Profiles_140!U78-Simulator!$L$21)^2*IF(Profiles_140!U78&gt;Simulator!$L$21,1+Model_Formula!$N$23,1)</x:f>
        <x:v>45</x:v>
      </x:c>
      <x:c r="Q82" s="66" t="n">
        <x:f>Model_Formula!$M$24*(Profiles_140!V78-Simulator!$L$22)^2*IF(Profiles_140!V78&gt;Simulator!$L$22,1+Model_Formula!$N$24,1)</x:f>
        <x:v>40</x:v>
      </x:c>
      <x:c r="R82" s="66" t="n">
        <x:f>Model_Formula!$M$25*(Profiles_140!W78-Simulator!$L$23)^2*IF(Profiles_140!W78&gt;Simulator!$L$23,1+Model_Formula!$N$25,1)</x:f>
        <x:v>45</x:v>
      </x:c>
      <x:c r="S82" s="66" t="n">
        <x:f>Model_Formula!$M$26*(Profiles_140!X78-Simulator!$L$24)^2*IF(Profiles_140!X78&gt;Simulator!$L$24,1+Model_Formula!$N$26,1)</x:f>
        <x:v>334.12500000000006</x:v>
      </x:c>
      <x:c r="T82" s="66" t="n">
        <x:f>Model_Formula!$M$27*(Profiles_140!Y78-Simulator!$L$25)^2*IF(Profiles_140!Y78&gt;Simulator!$L$25,1+Model_Formula!$N$27,1)</x:f>
        <x:v>482.99999999999994</x:v>
      </x:c>
      <x:c r="U82" s="60" t="n">
        <x:f>SUM(F82:T82)/SUM($F$4:$T$4)</x:f>
        <x:v>460.419776119403</x:v>
      </x:c>
      <x:c r="V82" s="60" t="n">
        <x:f>SQRT(U82)</x:f>
        <x:v>21.457394439199813</x:v>
      </x:c>
      <x:c r="W82" s="60" t="n">
        <x:f>MAX(0,100-V82)</x:f>
        <x:v>78.54260556080018</x:v>
      </x:c>
      <x:c r="X82" s="60" t="n">
        <x:f>SUMPRODUCT(Profiles_140!K78:Y78,$F$4:$T$4)/SUM($F$4:$T$4)</x:f>
        <x:v>52.68656716417911</x:v>
      </x:c>
      <x:c r="Y82" s="60" t="n">
        <x:f>IFERROR(50+50*SUMPRODUCT(($F$3:$T$3-$X$3)*(Profiles_140!K78:Y78-X82),$F$4:$T$4)/SQRT(SUMPRODUCT(($F$3:$T$3-$X$3)^2,$F$4:$T$4)*SUMPRODUCT((Profiles_140!K78:Y78-X82)^2,$F$4:$T$4)),50)</x:f>
        <x:v>50.000000000000014</x:v>
      </x:c>
      <x:c r="Z82" s="60" t="n">
        <x:f>$Z$3</x:f>
        <x:v>3.9474596431116675e-16</x:v>
      </x:c>
      <x:c r="AA82" s="60" t="n">
        <x:f>W82*(1-Model_Formula!$F$8*Z82)+Y82*(Model_Formula!$F$8*Z82)</x:f>
        <x:v>78.54260556080018</x:v>
      </x:c>
      <x:c r="AB82" s="60" t="n">
        <x:f>SQRT(SUMPRODUCT((Profiles_140!K78:Y78-50)^2,$F$4:$T$4)/SUM($F$4:$T$4))</x:f>
        <x:v>21.195606416030742</x:v>
      </x:c>
      <x:c r="AC82" s="60" t="n">
        <x:f>MAX(-Model_Formula!$F$11,MIN(Model_Formula!$F$11,Model_Formula!$F$10*(AB82-AVERAGE($AB$6:$AB$135))))</x:f>
        <x:v>-3.3640012562341344</x:v>
      </x:c>
      <x:c r="AD82" s="60" t="n">
        <x:f>MAX(0,MIN(100,AA82+AC82))</x:f>
        <x:v>75.17860430456605</x:v>
      </x:c>
      <x:c r="AE82" s="60" t="n">
        <x:f>MAX(0,MIN(1,IFERROR((MATCH(AD82,Percentile_Calibration!$F78:$DB78,1)-1)/100,0)))</x:f>
        <x:v>0.83</x:v>
      </x:c>
      <x:c r="AF82" s="62" t="n">
        <x:f>ROUND(MAX(Model_Formula!$I$9,Model_Formula!$I$5+Model_Formula!$I$6*POWER(AE82,Model_Formula!$I$7)),0)</x:f>
        <x:v>73</x:v>
      </x:c>
      <x:c r="AG82" t="n">
        <x:f>Profiles_140!AJ78</x:f>
        <x:v>0</x:v>
      </x:c>
      <x:c r="AH82" s="60" t="n">
        <x:f>Model_Formula!$I$8*(AE82*100)+(1-Model_Formula!$I$8)*AD82+AG82</x:f>
        <x:v>81.43572086091321</x:v>
      </x:c>
      <x:c r="AI82" t="n">
        <x:f>RANK.EQ(AH82,$AH$6:$AH$135,0)+COUNTIF($AH$6:AH82,AH82)-1</x:f>
        <x:v>46</x:v>
      </x:c>
    </x:row>
    <x:row r="83">
      <x:c r="A83" t="str">
        <x:f>Profiles_140!A79</x:f>
        <x:v>ルカリオ</x:v>
      </x:c>
      <x:c r="B83" t="str">
        <x:f>Profiles_140!C79</x:f>
        <x:v>ルカリオ-1</x:v>
      </x:c>
      <x:c r="C83" t="str">
        <x:f>Profiles_140!D79</x:f>
        <x:v>しんそく</x:v>
      </x:c>
      <x:c r="D83" t="str">
        <x:f>Profiles_140!B79</x:f>
        <x:v>バランス型</x:v>
      </x:c>
      <x:c r="E83" t="str">
        <x:f>Profiles_140!I79</x:f>
        <x:v>高</x:v>
      </x:c>
      <x:c r="F83" s="66" t="n">
        <x:f>Model_Formula!$M$13*(Profiles_140!K79-Simulator!$L$11)^2*IF(Profiles_140!K79&gt;Simulator!$L$11,1+Model_Formula!$N$13,1)</x:f>
        <x:v>25</x:v>
      </x:c>
      <x:c r="G83" s="66" t="n">
        <x:f>Model_Formula!$M$14*(Profiles_140!L79-Simulator!$L$12)^2*IF(Profiles_140!L79&gt;Simulator!$L$12,1+Model_Formula!$N$14,1)</x:f>
        <x:v>2126.25</x:v>
      </x:c>
      <x:c r="H83" s="66" t="n">
        <x:f>Model_Formula!$M$15*(Profiles_140!M79-Simulator!$L$13)^2*IF(Profiles_140!M79&gt;Simulator!$L$13,1+Model_Formula!$N$15,1)</x:f>
        <x:v>1225</x:v>
      </x:c>
      <x:c r="I83" s="66" t="n">
        <x:f>Model_Formula!$M$16*(Profiles_140!N79-Simulator!$L$14)^2*IF(Profiles_140!N79&gt;Simulator!$L$14,1+Model_Formula!$N$16,1)</x:f>
        <x:v>100</x:v>
      </x:c>
      <x:c r="J83" s="66" t="n">
        <x:f>Model_Formula!$M$17*(Profiles_140!O79-Simulator!$L$15)^2*IF(Profiles_140!O79&gt;Simulator!$L$15,1+Model_Formula!$N$17,1)</x:f>
        <x:v>1225</x:v>
      </x:c>
      <x:c r="K83" s="66" t="n">
        <x:f>Model_Formula!$M$18*(Profiles_140!P79-Simulator!$L$16)^2*IF(Profiles_140!P79&gt;Simulator!$L$16,1+Model_Formula!$N$18,1)</x:f>
        <x:v>90</x:v>
      </x:c>
      <x:c r="L83" s="66" t="n">
        <x:f>Model_Formula!$M$19*(Profiles_140!Q79-Simulator!$L$17)^2*IF(Profiles_140!Q79&gt;Simulator!$L$17,1+Model_Formula!$N$19,1)</x:f>
        <x:v>625</x:v>
      </x:c>
      <x:c r="M83" s="66" t="n">
        <x:f>Model_Formula!$M$20*(Profiles_140!R79-Simulator!$L$18)^2*IF(Profiles_140!R79&gt;Simulator!$L$18,1+Model_Formula!$N$20,1)</x:f>
        <x:v>2025</x:v>
      </x:c>
      <x:c r="N83" s="66" t="n">
        <x:f>Model_Formula!$M$21*(Profiles_140!S79-Simulator!$L$19)^2*IF(Profiles_140!S79&gt;Simulator!$L$19,1+Model_Formula!$N$21,1)</x:f>
        <x:v>2500</x:v>
      </x:c>
      <x:c r="O83" s="66" t="n">
        <x:f>Model_Formula!$M$22*(Profiles_140!T79-Simulator!$L$20)^2*IF(Profiles_140!T79&gt;Simulator!$L$20,1+Model_Formula!$N$22,1)</x:f>
        <x:v>400</x:v>
      </x:c>
      <x:c r="P83" s="66" t="n">
        <x:f>Model_Formula!$M$23*(Profiles_140!U79-Simulator!$L$21)^2*IF(Profiles_140!U79&gt;Simulator!$L$21,1+Model_Formula!$N$23,1)</x:f>
        <x:v>101.25</x:v>
      </x:c>
      <x:c r="Q83" s="66" t="n">
        <x:f>Model_Formula!$M$24*(Profiles_140!V79-Simulator!$L$22)^2*IF(Profiles_140!V79&gt;Simulator!$L$22,1+Model_Formula!$N$24,1)</x:f>
        <x:v>160</x:v>
      </x:c>
      <x:c r="R83" s="66" t="n">
        <x:f>Model_Formula!$M$25*(Profiles_140!W79-Simulator!$L$23)^2*IF(Profiles_140!W79&gt;Simulator!$L$23,1+Model_Formula!$N$25,1)</x:f>
        <x:v>281.25</x:v>
      </x:c>
      <x:c r="S83" s="66" t="n">
        <x:f>Model_Formula!$M$26*(Profiles_140!X79-Simulator!$L$24)^2*IF(Profiles_140!X79&gt;Simulator!$L$24,1+Model_Formula!$N$26,1)</x:f>
        <x:v>3712.5000000000005</x:v>
      </x:c>
      <x:c r="T83" s="66" t="n">
        <x:f>Model_Formula!$M$27*(Profiles_140!Y79-Simulator!$L$25)^2*IF(Profiles_140!Y79&gt;Simulator!$L$25,1+Model_Formula!$N$27,1)</x:f>
        <x:v>120.74999999999999</x:v>
      </x:c>
      <x:c r="U83" s="60" t="n">
        <x:f>SUM(F83:T83)/SUM($F$4:$T$4)</x:f>
        <x:v>1098.2835820895523</x:v>
      </x:c>
      <x:c r="V83" s="60" t="n">
        <x:f>SQRT(U83)</x:f>
        <x:v>33.140361827981785</x:v>
      </x:c>
      <x:c r="W83" s="60" t="n">
        <x:f>MAX(0,100-V83)</x:f>
        <x:v>66.85963817201821</x:v>
      </x:c>
      <x:c r="X83" s="60" t="n">
        <x:f>SUMPRODUCT(Profiles_140!K79:Y79,$F$4:$T$4)/SUM($F$4:$T$4)</x:f>
        <x:v>54.085820895522396</x:v>
      </x:c>
      <x:c r="Y83" s="60" t="n">
        <x:f>IFERROR(50+50*SUMPRODUCT(($F$3:$T$3-$X$3)*(Profiles_140!K79:Y79-X83),$F$4:$T$4)/SQRT(SUMPRODUCT(($F$3:$T$3-$X$3)^2,$F$4:$T$4)*SUMPRODUCT((Profiles_140!K79:Y79-X83)^2,$F$4:$T$4)),50)</x:f>
        <x:v>50.00000000000001</x:v>
      </x:c>
      <x:c r="Z83" s="60" t="n">
        <x:f>$Z$3</x:f>
        <x:v>3.9474596431116675e-16</x:v>
      </x:c>
      <x:c r="AA83" s="60" t="n">
        <x:f>W83*(1-Model_Formula!$F$8*Z83)+Y83*(Model_Formula!$F$8*Z83)</x:f>
        <x:v>66.85963817201821</x:v>
      </x:c>
      <x:c r="AB83" s="60" t="n">
        <x:f>SQRT(SUMPRODUCT((Profiles_140!K79:Y79-50)^2,$F$4:$T$4)/SUM($F$4:$T$4))</x:f>
        <x:v>32.01999142326976</x:v>
      </x:c>
      <x:c r="AC83" s="60" t="n">
        <x:f>MAX(-Model_Formula!$F$11,MIN(Model_Formula!$F$11,Model_Formula!$F$10*(AB83-AVERAGE($AB$6:$AB$135))))</x:f>
        <x:v>1.506971997023423</x:v>
      </x:c>
      <x:c r="AD83" s="60" t="n">
        <x:f>MAX(0,MIN(100,AA83+AC83))</x:f>
        <x:v>68.36661016904164</x:v>
      </x:c>
      <x:c r="AE83" s="60" t="n">
        <x:f>MAX(0,MIN(1,IFERROR((MATCH(AD83,Percentile_Calibration!$F79:$DB79,1)-1)/100,0)))</x:f>
        <x:v>0.68</x:v>
      </x:c>
      <x:c r="AF83" s="62" t="n">
        <x:f>ROUND(MAX(Model_Formula!$I$9,Model_Formula!$I$5+Model_Formula!$I$6*POWER(AE83,Model_Formula!$I$7)),0)</x:f>
        <x:v>59</x:v>
      </x:c>
      <x:c r="AG83" t="n">
        <x:f>Profiles_140!AJ79</x:f>
        <x:v>0</x:v>
      </x:c>
      <x:c r="AH83" s="60" t="n">
        <x:f>Model_Formula!$I$8*(AE83*100)+(1-Model_Formula!$I$8)*AD83+AG83</x:f>
        <x:v>68.07332203380832</x:v>
      </x:c>
      <x:c r="AI83" t="n">
        <x:f>RANK.EQ(AH83,$AH$6:$AH$135,0)+COUNTIF($AH$6:AH83,AH83)-1</x:f>
        <x:v>118</x:v>
      </x:c>
    </x:row>
    <x:row r="84">
      <x:c r="A84" t="str">
        <x:f>Profiles_140!A80</x:f>
        <x:v>ルカリオ</x:v>
      </x:c>
      <x:c r="B84" t="str">
        <x:f>Profiles_140!C80</x:f>
        <x:v>ルカリオ-2</x:v>
      </x:c>
      <x:c r="C84" t="str">
        <x:f>Profiles_140!D80</x:f>
        <x:v>グロウパンチ</x:v>
      </x:c>
      <x:c r="D84" t="str">
        <x:f>Profiles_140!B80</x:f>
        <x:v>バランス型</x:v>
      </x:c>
      <x:c r="E84" t="str">
        <x:f>Profiles_140!I80</x:f>
        <x:v>高</x:v>
      </x:c>
      <x:c r="F84" s="66" t="n">
        <x:f>Model_Formula!$M$13*(Profiles_140!K80-Simulator!$L$11)^2*IF(Profiles_140!K80&gt;Simulator!$L$11,1+Model_Formula!$N$13,1)</x:f>
        <x:v>400</x:v>
      </x:c>
      <x:c r="G84" s="66" t="n">
        <x:f>Model_Formula!$M$14*(Profiles_140!L80-Simulator!$L$12)^2*IF(Profiles_140!L80&gt;Simulator!$L$12,1+Model_Formula!$N$14,1)</x:f>
        <x:v>1680</x:v>
      </x:c>
      <x:c r="H84" s="66" t="n">
        <x:f>Model_Formula!$M$15*(Profiles_140!M80-Simulator!$L$13)^2*IF(Profiles_140!M80&gt;Simulator!$L$13,1+Model_Formula!$N$15,1)</x:f>
        <x:v>900</x:v>
      </x:c>
      <x:c r="I84" s="66" t="n">
        <x:f>Model_Formula!$M$16*(Profiles_140!N80-Simulator!$L$14)^2*IF(Profiles_140!N80&gt;Simulator!$L$14,1+Model_Formula!$N$16,1)</x:f>
        <x:v>225</x:v>
      </x:c>
      <x:c r="J84" s="66" t="n">
        <x:f>Model_Formula!$M$17*(Profiles_140!O80-Simulator!$L$15)^2*IF(Profiles_140!O80&gt;Simulator!$L$15,1+Model_Formula!$N$17,1)</x:f>
        <x:v>1600</x:v>
      </x:c>
      <x:c r="K84" s="66" t="n">
        <x:f>Model_Formula!$M$18*(Profiles_140!P80-Simulator!$L$16)^2*IF(Profiles_140!P80&gt;Simulator!$L$16,1+Model_Formula!$N$18,1)</x:f>
        <x:v>22.5</x:v>
      </x:c>
      <x:c r="L84" s="66" t="n">
        <x:f>Model_Formula!$M$19*(Profiles_140!Q80-Simulator!$L$17)^2*IF(Profiles_140!Q80&gt;Simulator!$L$17,1+Model_Formula!$N$19,1)</x:f>
        <x:v>225</x:v>
      </x:c>
      <x:c r="M84" s="66" t="n">
        <x:f>Model_Formula!$M$20*(Profiles_140!R80-Simulator!$L$18)^2*IF(Profiles_140!R80&gt;Simulator!$L$18,1+Model_Formula!$N$20,1)</x:f>
        <x:v>2025</x:v>
      </x:c>
      <x:c r="N84" s="66" t="n">
        <x:f>Model_Formula!$M$21*(Profiles_140!S80-Simulator!$L$19)^2*IF(Profiles_140!S80&gt;Simulator!$L$19,1+Model_Formula!$N$21,1)</x:f>
        <x:v>900</x:v>
      </x:c>
      <x:c r="O84" s="66" t="n">
        <x:f>Model_Formula!$M$22*(Profiles_140!T80-Simulator!$L$20)^2*IF(Profiles_140!T80&gt;Simulator!$L$20,1+Model_Formula!$N$22,1)</x:f>
        <x:v>900</x:v>
      </x:c>
      <x:c r="P84" s="66" t="n">
        <x:f>Model_Formula!$M$23*(Profiles_140!U80-Simulator!$L$21)^2*IF(Profiles_140!U80&gt;Simulator!$L$21,1+Model_Formula!$N$23,1)</x:f>
        <x:v>45</x:v>
      </x:c>
      <x:c r="Q84" s="66" t="n">
        <x:f>Model_Formula!$M$24*(Profiles_140!V80-Simulator!$L$22)^2*IF(Profiles_140!V80&gt;Simulator!$L$22,1+Model_Formula!$N$24,1)</x:f>
        <x:v>360</x:v>
      </x:c>
      <x:c r="R84" s="66" t="n">
        <x:f>Model_Formula!$M$25*(Profiles_140!W80-Simulator!$L$23)^2*IF(Profiles_140!W80&gt;Simulator!$L$23,1+Model_Formula!$N$25,1)</x:f>
        <x:v>11.25</x:v>
      </x:c>
      <x:c r="S84" s="66" t="n">
        <x:f>Model_Formula!$M$26*(Profiles_140!X80-Simulator!$L$24)^2*IF(Profiles_140!X80&gt;Simulator!$L$24,1+Model_Formula!$N$26,1)</x:f>
        <x:v>334.12500000000006</x:v>
      </x:c>
      <x:c r="T84" s="66" t="n">
        <x:f>Model_Formula!$M$27*(Profiles_140!Y80-Simulator!$L$25)^2*IF(Profiles_140!Y80&gt;Simulator!$L$25,1+Model_Formula!$N$27,1)</x:f>
        <x:v>482.99999999999994</x:v>
      </x:c>
      <x:c r="U84" s="60" t="n">
        <x:f>SUM(F84:T84)/SUM($F$4:$T$4)</x:f>
        <x:v>754.5429104477613</x:v>
      </x:c>
      <x:c r="V84" s="60" t="n">
        <x:f>SQRT(U84)</x:f>
        <x:v>27.468944472763443</x:v>
      </x:c>
      <x:c r="W84" s="60" t="n">
        <x:f>MAX(0,100-V84)</x:f>
        <x:v>72.53105552723656</x:v>
      </x:c>
      <x:c r="X84" s="60" t="n">
        <x:f>SUMPRODUCT(Profiles_140!K80:Y80,$F$4:$T$4)/SUM($F$4:$T$4)</x:f>
        <x:v>55.05597014925374</x:v>
      </x:c>
      <x:c r="Y84" s="60" t="n">
        <x:f>IFERROR(50+50*SUMPRODUCT(($F$3:$T$3-$X$3)*(Profiles_140!K80:Y80-X84),$F$4:$T$4)/SQRT(SUMPRODUCT(($F$3:$T$3-$X$3)^2,$F$4:$T$4)*SUMPRODUCT((Profiles_140!K80:Y80-X84)^2,$F$4:$T$4)),50)</x:f>
        <x:v>50.000000000000014</x:v>
      </x:c>
      <x:c r="Z84" s="60" t="n">
        <x:f>$Z$3</x:f>
        <x:v>3.9474596431116675e-16</x:v>
      </x:c>
      <x:c r="AA84" s="60" t="n">
        <x:f>W84*(1-Model_Formula!$F$8*Z84)+Y84*(Model_Formula!$F$8*Z84)</x:f>
        <x:v>72.53105552723656</x:v>
      </x:c>
      <x:c r="AB84" s="60" t="n">
        <x:f>SQRT(SUMPRODUCT((Profiles_140!K80:Y80-50)^2,$F$4:$T$4)/SUM($F$4:$T$4))</x:f>
        <x:v>27.264938394789045</x:v>
      </x:c>
      <x:c r="AC84" s="60" t="n">
        <x:f>MAX(-Model_Formula!$F$11,MIN(Model_Formula!$F$11,Model_Formula!$F$10*(AB84-AVERAGE($AB$6:$AB$135))))</x:f>
        <x:v>-0.6328018657928979</x:v>
      </x:c>
      <x:c r="AD84" s="60" t="n">
        <x:f>MAX(0,MIN(100,AA84+AC84))</x:f>
        <x:v>71.89825366144366</x:v>
      </x:c>
      <x:c r="AE84" s="60" t="n">
        <x:f>MAX(0,MIN(1,IFERROR((MATCH(AD84,Percentile_Calibration!$F80:$DB80,1)-1)/100,0)))</x:f>
        <x:v>0.74</x:v>
      </x:c>
      <x:c r="AF84" s="62" t="n">
        <x:f>ROUND(MAX(Model_Formula!$I$9,Model_Formula!$I$5+Model_Formula!$I$6*POWER(AE84,Model_Formula!$I$7)),0)</x:f>
        <x:v>64</x:v>
      </x:c>
      <x:c r="AG84" t="n">
        <x:f>Profiles_140!AJ80</x:f>
        <x:v>0</x:v>
      </x:c>
      <x:c r="AH84" s="60" t="n">
        <x:f>Model_Formula!$I$8*(AE84*100)+(1-Model_Formula!$I$8)*AD84+AG84</x:f>
        <x:v>73.57965073228873</x:v>
      </x:c>
      <x:c r="AI84" t="n">
        <x:f>RANK.EQ(AH84,$AH$6:$AH$135,0)+COUNTIF($AH$6:AH84,AH84)-1</x:f>
        <x:v>85</x:v>
      </x:c>
    </x:row>
    <x:row r="85">
      <x:c r="A85" t="str">
        <x:f>Profiles_140!A81</x:f>
        <x:v>メガルカリオ</x:v>
      </x:c>
      <x:c r="B85" t="str">
        <x:f>Profiles_140!C81</x:f>
        <x:v>メガルカリオ-1</x:v>
      </x:c>
      <x:c r="C85" t="str">
        <x:f>Profiles_140!D81</x:f>
        <x:v>共通</x:v>
      </x:c>
      <x:c r="D85" t="str">
        <x:f>Profiles_140!B81</x:f>
        <x:v>バランス型</x:v>
      </x:c>
      <x:c r="E85" t="str">
        <x:f>Profiles_140!I81</x:f>
        <x:v>中</x:v>
      </x:c>
      <x:c r="F85" s="66" t="n">
        <x:f>Model_Formula!$M$13*(Profiles_140!K81-Simulator!$L$11)^2*IF(Profiles_140!K81&gt;Simulator!$L$11,1+Model_Formula!$N$13,1)</x:f>
        <x:v>900</x:v>
      </x:c>
      <x:c r="G85" s="66" t="n">
        <x:f>Model_Formula!$M$14*(Profiles_140!L81-Simulator!$L$12)^2*IF(Profiles_140!L81&gt;Simulator!$L$12,1+Model_Formula!$N$14,1)</x:f>
        <x:v>1680</x:v>
      </x:c>
      <x:c r="H85" s="66" t="n">
        <x:f>Model_Formula!$M$15*(Profiles_140!M81-Simulator!$L$13)^2*IF(Profiles_140!M81&gt;Simulator!$L$13,1+Model_Formula!$N$15,1)</x:f>
        <x:v>900</x:v>
      </x:c>
      <x:c r="I85" s="66" t="n">
        <x:f>Model_Formula!$M$16*(Profiles_140!N81-Simulator!$L$14)^2*IF(Profiles_140!N81&gt;Simulator!$L$14,1+Model_Formula!$N$16,1)</x:f>
        <x:v>900</x:v>
      </x:c>
      <x:c r="J85" s="66" t="n">
        <x:f>Model_Formula!$M$17*(Profiles_140!O81-Simulator!$L$15)^2*IF(Profiles_140!O81&gt;Simulator!$L$15,1+Model_Formula!$N$17,1)</x:f>
        <x:v>1600</x:v>
      </x:c>
      <x:c r="K85" s="66" t="n">
        <x:f>Model_Formula!$M$18*(Profiles_140!P81-Simulator!$L$16)^2*IF(Profiles_140!P81&gt;Simulator!$L$16,1+Model_Formula!$N$18,1)</x:f>
        <x:v>202.5</x:v>
      </x:c>
      <x:c r="L85" s="66" t="n">
        <x:f>Model_Formula!$M$19*(Profiles_140!Q81-Simulator!$L$17)^2*IF(Profiles_140!Q81&gt;Simulator!$L$17,1+Model_Formula!$N$19,1)</x:f>
        <x:v>25</x:v>
      </x:c>
      <x:c r="M85" s="66" t="n">
        <x:f>Model_Formula!$M$20*(Profiles_140!R81-Simulator!$L$18)^2*IF(Profiles_140!R81&gt;Simulator!$L$18,1+Model_Formula!$N$20,1)</x:f>
        <x:v>2025</x:v>
      </x:c>
      <x:c r="N85" s="66" t="n">
        <x:f>Model_Formula!$M$21*(Profiles_140!S81-Simulator!$L$19)^2*IF(Profiles_140!S81&gt;Simulator!$L$19,1+Model_Formula!$N$21,1)</x:f>
        <x:v>1600</x:v>
      </x:c>
      <x:c r="O85" s="66" t="n">
        <x:f>Model_Formula!$M$22*(Profiles_140!T81-Simulator!$L$20)^2*IF(Profiles_140!T81&gt;Simulator!$L$20,1+Model_Formula!$N$22,1)</x:f>
        <x:v>400</x:v>
      </x:c>
      <x:c r="P85" s="66" t="n">
        <x:f>Model_Formula!$M$23*(Profiles_140!U81-Simulator!$L$21)^2*IF(Profiles_140!U81&gt;Simulator!$L$21,1+Model_Formula!$N$23,1)</x:f>
        <x:v>45</x:v>
      </x:c>
      <x:c r="Q85" s="66" t="n">
        <x:f>Model_Formula!$M$24*(Profiles_140!V81-Simulator!$L$22)^2*IF(Profiles_140!V81&gt;Simulator!$L$22,1+Model_Formula!$N$24,1)</x:f>
        <x:v>40</x:v>
      </x:c>
      <x:c r="R85" s="66" t="n">
        <x:f>Model_Formula!$M$25*(Profiles_140!W81-Simulator!$L$23)^2*IF(Profiles_140!W81&gt;Simulator!$L$23,1+Model_Formula!$N$25,1)</x:f>
        <x:v>11.25</x:v>
      </x:c>
      <x:c r="S85" s="66" t="n">
        <x:f>Model_Formula!$M$26*(Profiles_140!X81-Simulator!$L$24)^2*IF(Profiles_140!X81&gt;Simulator!$L$24,1+Model_Formula!$N$26,1)</x:f>
        <x:v>1819.1250000000002</x:v>
      </x:c>
      <x:c r="T85" s="66" t="n">
        <x:f>Model_Formula!$M$27*(Profiles_140!Y81-Simulator!$L$25)^2*IF(Profiles_140!Y81&gt;Simulator!$L$25,1+Model_Formula!$N$27,1)</x:f>
        <x:v>754.6874999999999</x:v>
      </x:c>
      <x:c r="U85" s="60" t="n">
        <x:f>SUM(F85:T85)/SUM($F$4:$T$4)</x:f>
        <x:v>962.8777985074628</x:v>
      </x:c>
      <x:c r="V85" s="60" t="n">
        <x:f>SQRT(U85)</x:f>
        <x:v>31.030272291867867</x:v>
      </x:c>
      <x:c r="W85" s="60" t="n">
        <x:f>MAX(0,100-V85)</x:f>
        <x:v>68.96972770813213</x:v>
      </x:c>
      <x:c r="X85" s="60" t="n">
        <x:f>SUMPRODUCT(Profiles_140!K81:Y81,$F$4:$T$4)/SUM($F$4:$T$4)</x:f>
        <x:v>57.76119402985075</x:v>
      </x:c>
      <x:c r="Y85" s="60" t="n">
        <x:f>IFERROR(50+50*SUMPRODUCT(($F$3:$T$3-$X$3)*(Profiles_140!K81:Y81-X85),$F$4:$T$4)/SQRT(SUMPRODUCT(($F$3:$T$3-$X$3)^2,$F$4:$T$4)*SUMPRODUCT((Profiles_140!K81:Y81-X85)^2,$F$4:$T$4)),50)</x:f>
        <x:v>50.00000000000001</x:v>
      </x:c>
      <x:c r="Z85" s="60" t="n">
        <x:f>$Z$3</x:f>
        <x:v>3.9474596431116675e-16</x:v>
      </x:c>
      <x:c r="AA85" s="60" t="n">
        <x:f>W85*(1-Model_Formula!$F$8*Z85)+Y85*(Model_Formula!$F$8*Z85)</x:f>
        <x:v>68.96972770813213</x:v>
      </x:c>
      <x:c r="AB85" s="60" t="n">
        <x:f>SQRT(SUMPRODUCT((Profiles_140!K81:Y81-50)^2,$F$4:$T$4)/SUM($F$4:$T$4))</x:f>
        <x:v>30.33703711464787</x:v>
      </x:c>
      <x:c r="AC85" s="60" t="n">
        <x:f>MAX(-Model_Formula!$F$11,MIN(Model_Formula!$F$11,Model_Formula!$F$10*(AB85-AVERAGE($AB$6:$AB$135))))</x:f>
        <x:v>0.7496425581435736</x:v>
      </x:c>
      <x:c r="AD85" s="60" t="n">
        <x:f>MAX(0,MIN(100,AA85+AC85))</x:f>
        <x:v>69.7193702662757</x:v>
      </x:c>
      <x:c r="AE85" s="60" t="n">
        <x:f>MAX(0,MIN(1,IFERROR((MATCH(AD85,Percentile_Calibration!$F81:$DB81,1)-1)/100,0)))</x:f>
        <x:v>0.72</x:v>
      </x:c>
      <x:c r="AF85" s="62" t="n">
        <x:f>ROUND(MAX(Model_Formula!$I$9,Model_Formula!$I$5+Model_Formula!$I$6*POWER(AE85,Model_Formula!$I$7)),0)</x:f>
        <x:v>63</x:v>
      </x:c>
      <x:c r="AG85" t="n">
        <x:f>Profiles_140!AJ81</x:f>
        <x:v>0</x:v>
      </x:c>
      <x:c r="AH85" s="60" t="n">
        <x:f>Model_Formula!$I$8*(AE85*100)+(1-Model_Formula!$I$8)*AD85+AG85</x:f>
        <x:v>71.54387405325514</x:v>
      </x:c>
      <x:c r="AI85" t="n">
        <x:f>RANK.EQ(AH85,$AH$6:$AH$135,0)+COUNTIF($AH$6:AH85,AH85)-1</x:f>
        <x:v>98</x:v>
      </x:c>
    </x:row>
    <x:row r="86">
      <x:c r="A86" t="str">
        <x:f>Profiles_140!A82</x:f>
        <x:v>アブソル</x:v>
      </x:c>
      <x:c r="B86" t="str">
        <x:f>Profiles_140!C82</x:f>
        <x:v>アブソル-1</x:v>
      </x:c>
      <x:c r="C86" t="str">
        <x:f>Profiles_140!D82</x:f>
        <x:v>共通</x:v>
      </x:c>
      <x:c r="D86" t="str">
        <x:f>Profiles_140!B82</x:f>
        <x:v>スピード型</x:v>
      </x:c>
      <x:c r="E86" t="str">
        <x:f>Profiles_140!I82</x:f>
        <x:v>高</x:v>
      </x:c>
      <x:c r="F86" s="66" t="n">
        <x:f>Model_Formula!$M$13*(Profiles_140!K82-Simulator!$L$11)^2*IF(Profiles_140!K82&gt;Simulator!$L$11,1+Model_Formula!$N$13,1)</x:f>
        <x:v>25</x:v>
      </x:c>
      <x:c r="G86" s="66" t="n">
        <x:f>Model_Formula!$M$14*(Profiles_140!L82-Simulator!$L$12)^2*IF(Profiles_140!L82&gt;Simulator!$L$12,1+Model_Formula!$N$14,1)</x:f>
        <x:v>2625</x:v>
      </x:c>
      <x:c r="H86" s="66" t="n">
        <x:f>Model_Formula!$M$15*(Profiles_140!M82-Simulator!$L$13)^2*IF(Profiles_140!M82&gt;Simulator!$L$13,1+Model_Formula!$N$15,1)</x:f>
        <x:v>1600</x:v>
      </x:c>
      <x:c r="I86" s="66" t="n">
        <x:f>Model_Formula!$M$16*(Profiles_140!N82-Simulator!$L$14)^2*IF(Profiles_140!N82&gt;Simulator!$L$14,1+Model_Formula!$N$16,1)</x:f>
        <x:v>1225</x:v>
      </x:c>
      <x:c r="J86" s="66" t="n">
        <x:f>Model_Formula!$M$17*(Profiles_140!O82-Simulator!$L$15)^2*IF(Profiles_140!O82&gt;Simulator!$L$15,1+Model_Formula!$N$17,1)</x:f>
        <x:v>1225</x:v>
      </x:c>
      <x:c r="K86" s="66" t="n">
        <x:f>Model_Formula!$M$18*(Profiles_140!P82-Simulator!$L$16)^2*IF(Profiles_140!P82&gt;Simulator!$L$16,1+Model_Formula!$N$18,1)</x:f>
        <x:v>1822.5</x:v>
      </x:c>
      <x:c r="L86" s="66" t="n">
        <x:f>Model_Formula!$M$19*(Profiles_140!Q82-Simulator!$L$17)^2*IF(Profiles_140!Q82&gt;Simulator!$L$17,1+Model_Formula!$N$19,1)</x:f>
        <x:v>625</x:v>
      </x:c>
      <x:c r="M86" s="66" t="n">
        <x:f>Model_Formula!$M$20*(Profiles_140!R82-Simulator!$L$18)^2*IF(Profiles_140!R82&gt;Simulator!$L$18,1+Model_Formula!$N$20,1)</x:f>
        <x:v>2025</x:v>
      </x:c>
      <x:c r="N86" s="66" t="n">
        <x:f>Model_Formula!$M$21*(Profiles_140!S82-Simulator!$L$19)^2*IF(Profiles_140!S82&gt;Simulator!$L$19,1+Model_Formula!$N$21,1)</x:f>
        <x:v>1600</x:v>
      </x:c>
      <x:c r="O86" s="66" t="n">
        <x:f>Model_Formula!$M$22*(Profiles_140!T82-Simulator!$L$20)^2*IF(Profiles_140!T82&gt;Simulator!$L$20,1+Model_Formula!$N$22,1)</x:f>
        <x:v>100</x:v>
      </x:c>
      <x:c r="P86" s="66" t="n">
        <x:f>Model_Formula!$M$23*(Profiles_140!U82-Simulator!$L$21)^2*IF(Profiles_140!U82&gt;Simulator!$L$21,1+Model_Formula!$N$23,1)</x:f>
        <x:v>45</x:v>
      </x:c>
      <x:c r="Q86" s="66" t="n">
        <x:f>Model_Formula!$M$24*(Profiles_140!V82-Simulator!$L$22)^2*IF(Profiles_140!V82&gt;Simulator!$L$22,1+Model_Formula!$N$24,1)</x:f>
        <x:v>360</x:v>
      </x:c>
      <x:c r="R86" s="66" t="n">
        <x:f>Model_Formula!$M$25*(Profiles_140!W82-Simulator!$L$23)^2*IF(Profiles_140!W82&gt;Simulator!$L$23,1+Model_Formula!$N$25,1)</x:f>
        <x:v>551.25</x:v>
      </x:c>
      <x:c r="S86" s="66" t="n">
        <x:f>Model_Formula!$M$26*(Profiles_140!X82-Simulator!$L$24)^2*IF(Profiles_140!X82&gt;Simulator!$L$24,1+Model_Formula!$N$26,1)</x:f>
        <x:v>2376.0000000000005</x:v>
      </x:c>
      <x:c r="T86" s="66" t="n">
        <x:f>Model_Formula!$M$27*(Profiles_140!Y82-Simulator!$L$25)^2*IF(Profiles_140!Y82&gt;Simulator!$L$25,1+Model_Formula!$N$27,1)</x:f>
        <x:v>1479.1874999999998</x:v>
      </x:c>
      <x:c r="U86" s="60" t="n">
        <x:f>SUM(F86:T86)/SUM($F$4:$T$4)</x:f>
        <x:v>1319.6968283582091</x:v>
      </x:c>
      <x:c r="V86" s="60" t="n">
        <x:f>SQRT(U86)</x:f>
        <x:v>36.327631747172966</x:v>
      </x:c>
      <x:c r="W86" s="60" t="n">
        <x:f>MAX(0,100-V86)</x:f>
        <x:v>63.672368252827034</x:v>
      </x:c>
      <x:c r="X86" s="60" t="n">
        <x:f>SUMPRODUCT(Profiles_140!K82:Y82,$F$4:$T$4)/SUM($F$4:$T$4)</x:f>
        <x:v>49.32835820895523</x:v>
      </x:c>
      <x:c r="Y86" s="60" t="n">
        <x:f>IFERROR(50+50*SUMPRODUCT(($F$3:$T$3-$X$3)*(Profiles_140!K82:Y82-X86),$F$4:$T$4)/SQRT(SUMPRODUCT(($F$3:$T$3-$X$3)^2,$F$4:$T$4)*SUMPRODUCT((Profiles_140!K82:Y82-X86)^2,$F$4:$T$4)),50)</x:f>
        <x:v>50.00000000000001</x:v>
      </x:c>
      <x:c r="Z86" s="60" t="n">
        <x:f>$Z$3</x:f>
        <x:v>3.9474596431116675e-16</x:v>
      </x:c>
      <x:c r="AA86" s="60" t="n">
        <x:f>W86*(1-Model_Formula!$F$8*Z86)+Y86*(Model_Formula!$F$8*Z86)</x:f>
        <x:v>63.672368252827034</x:v>
      </x:c>
      <x:c r="AB86" s="60" t="n">
        <x:f>SQRT(SUMPRODUCT((Profiles_140!K82:Y82-50)^2,$F$4:$T$4)/SUM($F$4:$T$4))</x:f>
        <x:v>35.48701675555379</x:v>
      </x:c>
      <x:c r="AC86" s="60" t="n">
        <x:f>MAX(-Model_Formula!$F$11,MIN(Model_Formula!$F$11,Model_Formula!$F$10*(AB86-AVERAGE($AB$6:$AB$135))))</x:f>
        <x:v>3.067133396551237</x:v>
      </x:c>
      <x:c r="AD86" s="60" t="n">
        <x:f>MAX(0,MIN(100,AA86+AC86))</x:f>
        <x:v>66.73950164937827</x:v>
      </x:c>
      <x:c r="AE86" s="60" t="n">
        <x:f>MAX(0,MIN(1,IFERROR((MATCH(AD86,Percentile_Calibration!$F82:$DB82,1)-1)/100,0)))</x:f>
        <x:v>0.66</x:v>
      </x:c>
      <x:c r="AF86" s="62" t="n">
        <x:f>ROUND(MAX(Model_Formula!$I$9,Model_Formula!$I$5+Model_Formula!$I$6*POWER(AE86,Model_Formula!$I$7)),0)</x:f>
        <x:v>58</x:v>
      </x:c>
      <x:c r="AG86" t="n">
        <x:f>Profiles_140!AJ82</x:f>
        <x:v>0.25</x:v>
      </x:c>
      <x:c r="AH86" s="60" t="n">
        <x:f>Model_Formula!$I$8*(AE86*100)+(1-Model_Formula!$I$8)*AD86+AG86</x:f>
        <x:v>66.39790032987565</x:v>
      </x:c>
      <x:c r="AI86" t="n">
        <x:f>RANK.EQ(AH86,$AH$6:$AH$135,0)+COUNTIF($AH$6:AH86,AH86)-1</x:f>
        <x:v>124</x:v>
      </x:c>
    </x:row>
    <x:row r="87">
      <x:c r="A87" t="str">
        <x:f>Profiles_140!A83</x:f>
        <x:v>ガラルギャロップ</x:v>
      </x:c>
      <x:c r="B87" t="str">
        <x:f>Profiles_140!C83</x:f>
        <x:v>ガラルギャロップ-1</x:v>
      </x:c>
      <x:c r="C87" t="str">
        <x:f>Profiles_140!D83</x:f>
        <x:v>共通</x:v>
      </x:c>
      <x:c r="D87" t="str">
        <x:f>Profiles_140!B83</x:f>
        <x:v>スピード型</x:v>
      </x:c>
      <x:c r="E87" t="str">
        <x:f>Profiles_140!I83</x:f>
        <x:v>高</x:v>
      </x:c>
      <x:c r="F87" s="66" t="n">
        <x:f>Model_Formula!$M$13*(Profiles_140!K83-Simulator!$L$11)^2*IF(Profiles_140!K83&gt;Simulator!$L$11,1+Model_Formula!$N$13,1)</x:f>
        <x:v>900</x:v>
      </x:c>
      <x:c r="G87" s="66" t="n">
        <x:f>Model_Formula!$M$14*(Profiles_140!L83-Simulator!$L$12)^2*IF(Profiles_140!L83&gt;Simulator!$L$12,1+Model_Formula!$N$14,1)</x:f>
        <x:v>1680</x:v>
      </x:c>
      <x:c r="H87" s="66" t="n">
        <x:f>Model_Formula!$M$15*(Profiles_140!M83-Simulator!$L$13)^2*IF(Profiles_140!M83&gt;Simulator!$L$13,1+Model_Formula!$N$15,1)</x:f>
        <x:v>900</x:v>
      </x:c>
      <x:c r="I87" s="66" t="n">
        <x:f>Model_Formula!$M$16*(Profiles_140!N83-Simulator!$L$14)^2*IF(Profiles_140!N83&gt;Simulator!$L$14,1+Model_Formula!$N$16,1)</x:f>
        <x:v>25</x:v>
      </x:c>
      <x:c r="J87" s="66" t="n">
        <x:f>Model_Formula!$M$17*(Profiles_140!O83-Simulator!$L$15)^2*IF(Profiles_140!O83&gt;Simulator!$L$15,1+Model_Formula!$N$17,1)</x:f>
        <x:v>1600</x:v>
      </x:c>
      <x:c r="K87" s="66" t="n">
        <x:f>Model_Formula!$M$18*(Profiles_140!P83-Simulator!$L$16)^2*IF(Profiles_140!P83&gt;Simulator!$L$16,1+Model_Formula!$N$18,1)</x:f>
        <x:v>22.5</x:v>
      </x:c>
      <x:c r="L87" s="66" t="n">
        <x:f>Model_Formula!$M$19*(Profiles_140!Q83-Simulator!$L$17)^2*IF(Profiles_140!Q83&gt;Simulator!$L$17,1+Model_Formula!$N$19,1)</x:f>
        <x:v>25</x:v>
      </x:c>
      <x:c r="M87" s="66" t="n">
        <x:f>Model_Formula!$M$20*(Profiles_140!R83-Simulator!$L$18)^2*IF(Profiles_140!R83&gt;Simulator!$L$18,1+Model_Formula!$N$20,1)</x:f>
        <x:v>2025</x:v>
      </x:c>
      <x:c r="N87" s="66" t="n">
        <x:f>Model_Formula!$M$21*(Profiles_140!S83-Simulator!$L$19)^2*IF(Profiles_140!S83&gt;Simulator!$L$19,1+Model_Formula!$N$21,1)</x:f>
        <x:v>2025</x:v>
      </x:c>
      <x:c r="O87" s="66" t="n">
        <x:f>Model_Formula!$M$22*(Profiles_140!T83-Simulator!$L$20)^2*IF(Profiles_140!T83&gt;Simulator!$L$20,1+Model_Formula!$N$22,1)</x:f>
        <x:v>400</x:v>
      </x:c>
      <x:c r="P87" s="66" t="n">
        <x:f>Model_Formula!$M$23*(Profiles_140!U83-Simulator!$L$21)^2*IF(Profiles_140!U83&gt;Simulator!$L$21,1+Model_Formula!$N$23,1)</x:f>
        <x:v>0</x:v>
      </x:c>
      <x:c r="Q87" s="66" t="n">
        <x:f>Model_Formula!$M$24*(Profiles_140!V83-Simulator!$L$22)^2*IF(Profiles_140!V83&gt;Simulator!$L$22,1+Model_Formula!$N$24,1)</x:f>
        <x:v>40</x:v>
      </x:c>
      <x:c r="R87" s="66" t="n">
        <x:f>Model_Formula!$M$25*(Profiles_140!W83-Simulator!$L$23)^2*IF(Profiles_140!W83&gt;Simulator!$L$23,1+Model_Formula!$N$25,1)</x:f>
        <x:v>101.25</x:v>
      </x:c>
      <x:c r="S87" s="66" t="n">
        <x:f>Model_Formula!$M$26*(Profiles_140!X83-Simulator!$L$24)^2*IF(Profiles_140!X83&gt;Simulator!$L$24,1+Model_Formula!$N$26,1)</x:f>
        <x:v>334.12500000000006</x:v>
      </x:c>
      <x:c r="T87" s="66" t="n">
        <x:f>Model_Formula!$M$27*(Profiles_140!Y83-Simulator!$L$25)^2*IF(Profiles_140!Y83&gt;Simulator!$L$25,1+Model_Formula!$N$27,1)</x:f>
        <x:v>482.99999999999994</x:v>
      </x:c>
      <x:c r="U87" s="60" t="n">
        <x:f>SUM(F87:T87)/SUM($F$4:$T$4)</x:f>
        <x:v>788.1250000000001</x:v>
      </x:c>
      <x:c r="V87" s="60" t="n">
        <x:f>SQRT(U87)</x:f>
        <x:v>28.07356407725959</x:v>
      </x:c>
      <x:c r="W87" s="60" t="n">
        <x:f>MAX(0,100-V87)</x:f>
        <x:v>71.92643592274041</x:v>
      </x:c>
      <x:c r="X87" s="60" t="n">
        <x:f>SUMPRODUCT(Profiles_140!K83:Y83,$F$4:$T$4)/SUM($F$4:$T$4)</x:f>
        <x:v>54.90671641791045</x:v>
      </x:c>
      <x:c r="Y87" s="60" t="n">
        <x:f>IFERROR(50+50*SUMPRODUCT(($F$3:$T$3-$X$3)*(Profiles_140!K83:Y83-X87),$F$4:$T$4)/SQRT(SUMPRODUCT(($F$3:$T$3-$X$3)^2,$F$4:$T$4)*SUMPRODUCT((Profiles_140!K83:Y83-X87)^2,$F$4:$T$4)),50)</x:f>
        <x:v>50.00000000000001</x:v>
      </x:c>
      <x:c r="Z87" s="60" t="n">
        <x:f>$Z$3</x:f>
        <x:v>3.9474596431116675e-16</x:v>
      </x:c>
      <x:c r="AA87" s="60" t="n">
        <x:f>W87*(1-Model_Formula!$F$8*Z87)+Y87*(Model_Formula!$F$8*Z87)</x:f>
        <x:v>71.92643592274041</x:v>
      </x:c>
      <x:c r="AB87" s="60" t="n">
        <x:f>SQRT(SUMPRODUCT((Profiles_140!K83:Y83-50)^2,$F$4:$T$4)/SUM($F$4:$T$4))</x:f>
        <x:v>27.873983483239</x:v>
      </x:c>
      <x:c r="AC87" s="60" t="n">
        <x:f>MAX(-Model_Formula!$F$11,MIN(Model_Formula!$F$11,Model_Formula!$F$10*(AB87-AVERAGE($AB$6:$AB$135))))</x:f>
        <x:v>-0.3587315759904174</x:v>
      </x:c>
      <x:c r="AD87" s="60" t="n">
        <x:f>MAX(0,MIN(100,AA87+AC87))</x:f>
        <x:v>71.56770434674999</x:v>
      </x:c>
      <x:c r="AE87" s="60" t="n">
        <x:f>MAX(0,MIN(1,IFERROR((MATCH(AD87,Percentile_Calibration!$F83:$DB83,1)-1)/100,0)))</x:f>
        <x:v>0.73</x:v>
      </x:c>
      <x:c r="AF87" s="62" t="n">
        <x:f>ROUND(MAX(Model_Formula!$I$9,Model_Formula!$I$5+Model_Formula!$I$6*POWER(AE87,Model_Formula!$I$7)),0)</x:f>
        <x:v>63</x:v>
      </x:c>
      <x:c r="AG87" t="n">
        <x:f>Profiles_140!AJ83</x:f>
        <x:v>0</x:v>
      </x:c>
      <x:c r="AH87" s="60" t="n">
        <x:f>Model_Formula!$I$8*(AE87*100)+(1-Model_Formula!$I$8)*AD87+AG87</x:f>
        <x:v>72.71354086935</x:v>
      </x:c>
      <x:c r="AI87" t="n">
        <x:f>RANK.EQ(AH87,$AH$6:$AH$135,0)+COUNTIF($AH$6:AH87,AH87)-1</x:f>
        <x:v>93</x:v>
      </x:c>
    </x:row>
    <x:row r="88">
      <x:c r="A88" t="str">
        <x:f>Profiles_140!A84</x:f>
        <x:v>ゲンガー</x:v>
      </x:c>
      <x:c r="B88" t="str">
        <x:f>Profiles_140!C84</x:f>
        <x:v>ゲンガー-1</x:v>
      </x:c>
      <x:c r="C88" t="str">
        <x:f>Profiles_140!D84</x:f>
        <x:v>共通</x:v>
      </x:c>
      <x:c r="D88" t="str">
        <x:f>Profiles_140!B84</x:f>
        <x:v>スピード型</x:v>
      </x:c>
      <x:c r="E88" t="str">
        <x:f>Profiles_140!I84</x:f>
        <x:v>高</x:v>
      </x:c>
      <x:c r="F88" s="66" t="n">
        <x:f>Model_Formula!$M$13*(Profiles_140!K84-Simulator!$L$11)^2*IF(Profiles_140!K84&gt;Simulator!$L$11,1+Model_Formula!$N$13,1)</x:f>
        <x:v>25</x:v>
      </x:c>
      <x:c r="G88" s="66" t="n">
        <x:f>Model_Formula!$M$14*(Profiles_140!L84-Simulator!$L$12)^2*IF(Profiles_140!L84&gt;Simulator!$L$12,1+Model_Formula!$N$14,1)</x:f>
        <x:v>2126.25</x:v>
      </x:c>
      <x:c r="H88" s="66" t="n">
        <x:f>Model_Formula!$M$15*(Profiles_140!M84-Simulator!$L$13)^2*IF(Profiles_140!M84&gt;Simulator!$L$13,1+Model_Formula!$N$15,1)</x:f>
        <x:v>1225</x:v>
      </x:c>
      <x:c r="I88" s="66" t="n">
        <x:f>Model_Formula!$M$16*(Profiles_140!N84-Simulator!$L$14)^2*IF(Profiles_140!N84&gt;Simulator!$L$14,1+Model_Formula!$N$16,1)</x:f>
        <x:v>400</x:v>
      </x:c>
      <x:c r="J88" s="66" t="n">
        <x:f>Model_Formula!$M$17*(Profiles_140!O84-Simulator!$L$15)^2*IF(Profiles_140!O84&gt;Simulator!$L$15,1+Model_Formula!$N$17,1)</x:f>
        <x:v>1225</x:v>
      </x:c>
      <x:c r="K88" s="66" t="n">
        <x:f>Model_Formula!$M$18*(Profiles_140!P84-Simulator!$L$16)^2*IF(Profiles_140!P84&gt;Simulator!$L$16,1+Model_Formula!$N$18,1)</x:f>
        <x:v>202.5</x:v>
      </x:c>
      <x:c r="L88" s="66" t="n">
        <x:f>Model_Formula!$M$19*(Profiles_140!Q84-Simulator!$L$17)^2*IF(Profiles_140!Q84&gt;Simulator!$L$17,1+Model_Formula!$N$19,1)</x:f>
        <x:v>625</x:v>
      </x:c>
      <x:c r="M88" s="66" t="n">
        <x:f>Model_Formula!$M$20*(Profiles_140!R84-Simulator!$L$18)^2*IF(Profiles_140!R84&gt;Simulator!$L$18,1+Model_Formula!$N$20,1)</x:f>
        <x:v>2025</x:v>
      </x:c>
      <x:c r="N88" s="66" t="n">
        <x:f>Model_Formula!$M$21*(Profiles_140!S84-Simulator!$L$19)^2*IF(Profiles_140!S84&gt;Simulator!$L$19,1+Model_Formula!$N$21,1)</x:f>
        <x:v>1600</x:v>
      </x:c>
      <x:c r="O88" s="66" t="n">
        <x:f>Model_Formula!$M$22*(Profiles_140!T84-Simulator!$L$20)^2*IF(Profiles_140!T84&gt;Simulator!$L$20,1+Model_Formula!$N$22,1)</x:f>
        <x:v>400</x:v>
      </x:c>
      <x:c r="P88" s="66" t="n">
        <x:f>Model_Formula!$M$23*(Profiles_140!U84-Simulator!$L$21)^2*IF(Profiles_140!U84&gt;Simulator!$L$21,1+Model_Formula!$N$23,1)</x:f>
        <x:v>11.25</x:v>
      </x:c>
      <x:c r="Q88" s="66" t="n">
        <x:f>Model_Formula!$M$24*(Profiles_140!V84-Simulator!$L$22)^2*IF(Profiles_140!V84&gt;Simulator!$L$22,1+Model_Formula!$N$24,1)</x:f>
        <x:v>160</x:v>
      </x:c>
      <x:c r="R88" s="66" t="n">
        <x:f>Model_Formula!$M$25*(Profiles_140!W84-Simulator!$L$23)^2*IF(Profiles_140!W84&gt;Simulator!$L$23,1+Model_Formula!$N$25,1)</x:f>
        <x:v>281.25</x:v>
      </x:c>
      <x:c r="S88" s="66" t="n">
        <x:f>Model_Formula!$M$26*(Profiles_140!X84-Simulator!$L$24)^2*IF(Profiles_140!X84&gt;Simulator!$L$24,1+Model_Formula!$N$26,1)</x:f>
        <x:v>2376.0000000000005</x:v>
      </x:c>
      <x:c r="T88" s="66" t="n">
        <x:f>Model_Formula!$M$27*(Profiles_140!Y84-Simulator!$L$25)^2*IF(Profiles_140!Y84&gt;Simulator!$L$25,1+Model_Formula!$N$27,1)</x:f>
        <x:v>754.6874999999999</x:v>
      </x:c>
      <x:c r="U88" s="60" t="n">
        <x:f>SUM(F88:T88)/SUM($F$4:$T$4)</x:f>
        <x:v>1002.7565298507463</x:v>
      </x:c>
      <x:c r="V88" s="60" t="n">
        <x:f>SQRT(U88)</x:f>
        <x:v>31.66633117130474</x:v>
      </x:c>
      <x:c r="W88" s="60" t="n">
        <x:f>MAX(0,100-V88)</x:f>
        <x:v>68.33366882869527</x:v>
      </x:c>
      <x:c r="X88" s="60" t="n">
        <x:f>SUMPRODUCT(Profiles_140!K84:Y84,$F$4:$T$4)/SUM($F$4:$T$4)</x:f>
        <x:v>52.27611940298508</x:v>
      </x:c>
      <x:c r="Y88" s="60" t="n">
        <x:f>IFERROR(50+50*SUMPRODUCT(($F$3:$T$3-$X$3)*(Profiles_140!K84:Y84-X88),$F$4:$T$4)/SQRT(SUMPRODUCT(($F$3:$T$3-$X$3)^2,$F$4:$T$4)*SUMPRODUCT((Profiles_140!K84:Y84-X88)^2,$F$4:$T$4)),50)</x:f>
        <x:v>50.00000000000001</x:v>
      </x:c>
      <x:c r="Z88" s="60" t="n">
        <x:f>$Z$3</x:f>
        <x:v>3.9474596431116675e-16</x:v>
      </x:c>
      <x:c r="AA88" s="60" t="n">
        <x:f>W88*(1-Model_Formula!$F$8*Z88)+Y88*(Model_Formula!$F$8*Z88)</x:f>
        <x:v>68.33366882869527</x:v>
      </x:c>
      <x:c r="AB88" s="60" t="n">
        <x:f>SQRT(SUMPRODUCT((Profiles_140!K84:Y84-50)^2,$F$4:$T$4)/SUM($F$4:$T$4))</x:f>
        <x:v>30.81298911997119</x:v>
      </x:c>
      <x:c r="AC88" s="60" t="n">
        <x:f>MAX(-Model_Formula!$F$11,MIN(Model_Formula!$F$11,Model_Formula!$F$10*(AB88-AVERAGE($AB$6:$AB$135))))</x:f>
        <x:v>0.9638209605390667</x:v>
      </x:c>
      <x:c r="AD88" s="60" t="n">
        <x:f>MAX(0,MIN(100,AA88+AC88))</x:f>
        <x:v>69.29748978923433</x:v>
      </x:c>
      <x:c r="AE88" s="60" t="n">
        <x:f>MAX(0,MIN(1,IFERROR((MATCH(AD88,Percentile_Calibration!$F84:$DB84,1)-1)/100,0)))</x:f>
        <x:v>0.69</x:v>
      </x:c>
      <x:c r="AF88" s="62" t="n">
        <x:f>ROUND(MAX(Model_Formula!$I$9,Model_Formula!$I$5+Model_Formula!$I$6*POWER(AE88,Model_Formula!$I$7)),0)</x:f>
        <x:v>60</x:v>
      </x:c>
      <x:c r="AG88" t="n">
        <x:f>Profiles_140!AJ84</x:f>
        <x:v>0</x:v>
      </x:c>
      <x:c r="AH88" s="60" t="n">
        <x:f>Model_Formula!$I$8*(AE88*100)+(1-Model_Formula!$I$8)*AD88+AG88</x:f>
        <x:v>69.05949795784687</x:v>
      </x:c>
      <x:c r="AI88" t="n">
        <x:f>RANK.EQ(AH88,$AH$6:$AH$135,0)+COUNTIF($AH$6:AH88,AH88)-1</x:f>
        <x:v>113</x:v>
      </x:c>
    </x:row>
    <x:row r="89">
      <x:c r="A89" t="str">
        <x:f>Profiles_140!A85</x:f>
        <x:v>ゼラオラ</x:v>
      </x:c>
      <x:c r="B89" t="str">
        <x:f>Profiles_140!C85</x:f>
        <x:v>ゼラオラ-1</x:v>
      </x:c>
      <x:c r="C89" t="str">
        <x:f>Profiles_140!D85</x:f>
        <x:v>ほうでん</x:v>
      </x:c>
      <x:c r="D89" t="str">
        <x:f>Profiles_140!B85</x:f>
        <x:v>スピード型</x:v>
      </x:c>
      <x:c r="E89" t="str">
        <x:f>Profiles_140!I85</x:f>
        <x:v>高</x:v>
      </x:c>
      <x:c r="F89" s="66" t="n">
        <x:f>Model_Formula!$M$13*(Profiles_140!K85-Simulator!$L$11)^2*IF(Profiles_140!K85&gt;Simulator!$L$11,1+Model_Formula!$N$13,1)</x:f>
        <x:v>100</x:v>
      </x:c>
      <x:c r="G89" s="66" t="n">
        <x:f>Model_Formula!$M$14*(Profiles_140!L85-Simulator!$L$12)^2*IF(Profiles_140!L85&gt;Simulator!$L$12,1+Model_Formula!$N$14,1)</x:f>
        <x:v>945</x:v>
      </x:c>
      <x:c r="H89" s="66" t="n">
        <x:f>Model_Formula!$M$15*(Profiles_140!M85-Simulator!$L$13)^2*IF(Profiles_140!M85&gt;Simulator!$L$13,1+Model_Formula!$N$15,1)</x:f>
        <x:v>625</x:v>
      </x:c>
      <x:c r="I89" s="66" t="n">
        <x:f>Model_Formula!$M$16*(Profiles_140!N85-Simulator!$L$14)^2*IF(Profiles_140!N85&gt;Simulator!$L$14,1+Model_Formula!$N$16,1)</x:f>
        <x:v>100</x:v>
      </x:c>
      <x:c r="J89" s="66" t="n">
        <x:f>Model_Formula!$M$17*(Profiles_140!O85-Simulator!$L$15)^2*IF(Profiles_140!O85&gt;Simulator!$L$15,1+Model_Formula!$N$17,1)</x:f>
        <x:v>900</x:v>
      </x:c>
      <x:c r="K89" s="66" t="n">
        <x:f>Model_Formula!$M$18*(Profiles_140!P85-Simulator!$L$16)^2*IF(Profiles_140!P85&gt;Simulator!$L$16,1+Model_Formula!$N$18,1)</x:f>
        <x:v>360</x:v>
      </x:c>
      <x:c r="L89" s="66" t="n">
        <x:f>Model_Formula!$M$19*(Profiles_140!Q85-Simulator!$L$17)^2*IF(Profiles_140!Q85&gt;Simulator!$L$17,1+Model_Formula!$N$19,1)</x:f>
        <x:v>25</x:v>
      </x:c>
      <x:c r="M89" s="66" t="n">
        <x:f>Model_Formula!$M$20*(Profiles_140!R85-Simulator!$L$18)^2*IF(Profiles_140!R85&gt;Simulator!$L$18,1+Model_Formula!$N$20,1)</x:f>
        <x:v>2025</x:v>
      </x:c>
      <x:c r="N89" s="66" t="n">
        <x:f>Model_Formula!$M$21*(Profiles_140!S85-Simulator!$L$19)^2*IF(Profiles_140!S85&gt;Simulator!$L$19,1+Model_Formula!$N$21,1)</x:f>
        <x:v>900</x:v>
      </x:c>
      <x:c r="O89" s="66" t="n">
        <x:f>Model_Formula!$M$22*(Profiles_140!T85-Simulator!$L$20)^2*IF(Profiles_140!T85&gt;Simulator!$L$20,1+Model_Formula!$N$22,1)</x:f>
        <x:v>625</x:v>
      </x:c>
      <x:c r="P89" s="66" t="n">
        <x:f>Model_Formula!$M$23*(Profiles_140!U85-Simulator!$L$21)^2*IF(Profiles_140!U85&gt;Simulator!$L$21,1+Model_Formula!$N$23,1)</x:f>
        <x:v>11.25</x:v>
      </x:c>
      <x:c r="Q89" s="66" t="n">
        <x:f>Model_Formula!$M$24*(Profiles_140!V85-Simulator!$L$22)^2*IF(Profiles_140!V85&gt;Simulator!$L$22,1+Model_Formula!$N$24,1)</x:f>
        <x:v>90</x:v>
      </x:c>
      <x:c r="R89" s="66" t="n">
        <x:f>Model_Formula!$M$25*(Profiles_140!W85-Simulator!$L$23)^2*IF(Profiles_140!W85&gt;Simulator!$L$23,1+Model_Formula!$N$25,1)</x:f>
        <x:v>281.25</x:v>
      </x:c>
      <x:c r="S89" s="66" t="n">
        <x:f>Model_Formula!$M$26*(Profiles_140!X85-Simulator!$L$24)^2*IF(Profiles_140!X85&gt;Simulator!$L$24,1+Model_Formula!$N$26,1)</x:f>
        <x:v>594.0000000000001</x:v>
      </x:c>
      <x:c r="T89" s="66" t="n">
        <x:f>Model_Formula!$M$27*(Profiles_140!Y85-Simulator!$L$25)^2*IF(Profiles_140!Y85&gt;Simulator!$L$25,1+Model_Formula!$N$27,1)</x:f>
        <x:v>271.6875</x:v>
      </x:c>
      <x:c r="U89" s="60" t="n">
        <x:f>SUM(F89:T89)/SUM($F$4:$T$4)</x:f>
        <x:v>586.0587686567164</x:v>
      </x:c>
      <x:c r="V89" s="60" t="n">
        <x:f>SQRT(U89)</x:f>
        <x:v>24.20865069880427</x:v>
      </x:c>
      <x:c r="W89" s="60" t="n">
        <x:f>MAX(0,100-V89)</x:f>
        <x:v>75.79134930119574</x:v>
      </x:c>
      <x:c r="X89" s="60" t="n">
        <x:f>SUMPRODUCT(Profiles_140!K85:Y85,$F$4:$T$4)/SUM($F$4:$T$4)</x:f>
        <x:v>55.727611940298516</x:v>
      </x:c>
      <x:c r="Y89" s="60" t="n">
        <x:f>IFERROR(50+50*SUMPRODUCT(($F$3:$T$3-$X$3)*(Profiles_140!K85:Y85-X89),$F$4:$T$4)/SQRT(SUMPRODUCT(($F$3:$T$3-$X$3)^2,$F$4:$T$4)*SUMPRODUCT((Profiles_140!K85:Y85-X89)^2,$F$4:$T$4)),50)</x:f>
        <x:v>50.00000000000002</x:v>
      </x:c>
      <x:c r="Z89" s="60" t="n">
        <x:f>$Z$3</x:f>
        <x:v>3.9474596431116675e-16</x:v>
      </x:c>
      <x:c r="AA89" s="60" t="n">
        <x:f>W89*(1-Model_Formula!$F$8*Z89)+Y89*(Model_Formula!$F$8*Z89)</x:f>
        <x:v>75.79134930119574</x:v>
      </x:c>
      <x:c r="AB89" s="60" t="n">
        <x:f>SQRT(SUMPRODUCT((Profiles_140!K85:Y85-50)^2,$F$4:$T$4)/SUM($F$4:$T$4))</x:f>
        <x:v>23.914883269442168</x:v>
      </x:c>
      <x:c r="AC89" s="60" t="n">
        <x:f>MAX(-Model_Formula!$F$11,MIN(Model_Formula!$F$11,Model_Formula!$F$10*(AB89-AVERAGE($AB$6:$AB$135))))</x:f>
        <x:v>-2.140326672198993</x:v>
      </x:c>
      <x:c r="AD89" s="60" t="n">
        <x:f>MAX(0,MIN(100,AA89+AC89))</x:f>
        <x:v>73.65102262899674</x:v>
      </x:c>
      <x:c r="AE89" s="60" t="n">
        <x:f>MAX(0,MIN(1,IFERROR((MATCH(AD89,Percentile_Calibration!$F85:$DB85,1)-1)/100,0)))</x:f>
        <x:v>0.78</x:v>
      </x:c>
      <x:c r="AF89" s="62" t="n">
        <x:f>ROUND(MAX(Model_Formula!$I$9,Model_Formula!$I$5+Model_Formula!$I$6*POWER(AE89,Model_Formula!$I$7)),0)</x:f>
        <x:v>68</x:v>
      </x:c>
      <x:c r="AG89" t="n">
        <x:f>Profiles_140!AJ85</x:f>
        <x:v>0</x:v>
      </x:c>
      <x:c r="AH89" s="60" t="n">
        <x:f>Model_Formula!$I$8*(AE89*100)+(1-Model_Formula!$I$8)*AD89+AG89</x:f>
        <x:v>77.13020452579936</x:v>
      </x:c>
      <x:c r="AI89" t="n">
        <x:f>RANK.EQ(AH89,$AH$6:$AH$135,0)+COUNTIF($AH$6:AH89,AH89)-1</x:f>
        <x:v>63</x:v>
      </x:c>
    </x:row>
    <x:row r="90">
      <x:c r="A90" t="str">
        <x:f>Profiles_140!A86</x:f>
        <x:v>ゼラオラ</x:v>
      </x:c>
      <x:c r="B90" t="str">
        <x:f>Profiles_140!C86</x:f>
        <x:v>ゼラオラ-2</x:v>
      </x:c>
      <x:c r="C90" t="str">
        <x:f>Profiles_140!D86</x:f>
        <x:v>ワイルドボルト</x:v>
      </x:c>
      <x:c r="D90" t="str">
        <x:f>Profiles_140!B86</x:f>
        <x:v>スピード型</x:v>
      </x:c>
      <x:c r="E90" t="str">
        <x:f>Profiles_140!I86</x:f>
        <x:v>高</x:v>
      </x:c>
      <x:c r="F90" s="66" t="n">
        <x:f>Model_Formula!$M$13*(Profiles_140!K86-Simulator!$L$11)^2*IF(Profiles_140!K86&gt;Simulator!$L$11,1+Model_Formula!$N$13,1)</x:f>
        <x:v>225</x:v>
      </x:c>
      <x:c r="G90" s="66" t="n">
        <x:f>Model_Formula!$M$14*(Profiles_140!L86-Simulator!$L$12)^2*IF(Profiles_140!L86&gt;Simulator!$L$12,1+Model_Formula!$N$14,1)</x:f>
        <x:v>2126.25</x:v>
      </x:c>
      <x:c r="H90" s="66" t="n">
        <x:f>Model_Formula!$M$15*(Profiles_140!M86-Simulator!$L$13)^2*IF(Profiles_140!M86&gt;Simulator!$L$13,1+Model_Formula!$N$15,1)</x:f>
        <x:v>1225</x:v>
      </x:c>
      <x:c r="I90" s="66" t="n">
        <x:f>Model_Formula!$M$16*(Profiles_140!N86-Simulator!$L$14)^2*IF(Profiles_140!N86&gt;Simulator!$L$14,1+Model_Formula!$N$16,1)</x:f>
        <x:v>400</x:v>
      </x:c>
      <x:c r="J90" s="66" t="n">
        <x:f>Model_Formula!$M$17*(Profiles_140!O86-Simulator!$L$15)^2*IF(Profiles_140!O86&gt;Simulator!$L$15,1+Model_Formula!$N$17,1)</x:f>
        <x:v>1225</x:v>
      </x:c>
      <x:c r="K90" s="66" t="n">
        <x:f>Model_Formula!$M$18*(Profiles_140!P86-Simulator!$L$16)^2*IF(Profiles_140!P86&gt;Simulator!$L$16,1+Model_Formula!$N$18,1)</x:f>
        <x:v>1440</x:v>
      </x:c>
      <x:c r="L90" s="66" t="n">
        <x:f>Model_Formula!$M$19*(Profiles_140!Q86-Simulator!$L$17)^2*IF(Profiles_140!Q86&gt;Simulator!$L$17,1+Model_Formula!$N$19,1)</x:f>
        <x:v>225</x:v>
      </x:c>
      <x:c r="M90" s="66" t="n">
        <x:f>Model_Formula!$M$20*(Profiles_140!R86-Simulator!$L$18)^2*IF(Profiles_140!R86&gt;Simulator!$L$18,1+Model_Formula!$N$20,1)</x:f>
        <x:v>2025</x:v>
      </x:c>
      <x:c r="N90" s="66" t="n">
        <x:f>Model_Formula!$M$21*(Profiles_140!S86-Simulator!$L$19)^2*IF(Profiles_140!S86&gt;Simulator!$L$19,1+Model_Formula!$N$21,1)</x:f>
        <x:v>1600</x:v>
      </x:c>
      <x:c r="O90" s="66" t="n">
        <x:f>Model_Formula!$M$22*(Profiles_140!T86-Simulator!$L$20)^2*IF(Profiles_140!T86&gt;Simulator!$L$20,1+Model_Formula!$N$22,1)</x:f>
        <x:v>400</x:v>
      </x:c>
      <x:c r="P90" s="66" t="n">
        <x:f>Model_Formula!$M$23*(Profiles_140!U86-Simulator!$L$21)^2*IF(Profiles_140!U86&gt;Simulator!$L$21,1+Model_Formula!$N$23,1)</x:f>
        <x:v>11.25</x:v>
      </x:c>
      <x:c r="Q90" s="66" t="n">
        <x:f>Model_Formula!$M$24*(Profiles_140!V86-Simulator!$L$22)^2*IF(Profiles_140!V86&gt;Simulator!$L$22,1+Model_Formula!$N$24,1)</x:f>
        <x:v>160</x:v>
      </x:c>
      <x:c r="R90" s="66" t="n">
        <x:f>Model_Formula!$M$25*(Profiles_140!W86-Simulator!$L$23)^2*IF(Profiles_140!W86&gt;Simulator!$L$23,1+Model_Formula!$N$25,1)</x:f>
        <x:v>281.25</x:v>
      </x:c>
      <x:c r="S90" s="66" t="n">
        <x:f>Model_Formula!$M$26*(Profiles_140!X86-Simulator!$L$24)^2*IF(Profiles_140!X86&gt;Simulator!$L$24,1+Model_Formula!$N$26,1)</x:f>
        <x:v>334.12500000000006</x:v>
      </x:c>
      <x:c r="T90" s="66" t="n">
        <x:f>Model_Formula!$M$27*(Profiles_140!Y86-Simulator!$L$25)^2*IF(Profiles_140!Y86&gt;Simulator!$L$25,1+Model_Formula!$N$27,1)</x:f>
        <x:v>754.6874999999999</x:v>
      </x:c>
      <x:c r="U90" s="60" t="n">
        <x:f>SUM(F90:T90)/SUM($F$4:$T$4)</x:f>
        <x:v>927.8031716417911</x:v>
      </x:c>
      <x:c r="V90" s="60" t="n">
        <x:f>SQRT(U90)</x:f>
        <x:v>30.45986164843483</x:v>
      </x:c>
      <x:c r="W90" s="60" t="n">
        <x:f>MAX(0,100-V90)</x:f>
        <x:v>69.54013835156516</x:v>
      </x:c>
      <x:c r="X90" s="60" t="n">
        <x:f>SUMPRODUCT(Profiles_140!K86:Y86,$F$4:$T$4)/SUM($F$4:$T$4)</x:f>
        <x:v>50.03731343283582</x:v>
      </x:c>
      <x:c r="Y90" s="60" t="n">
        <x:f>IFERROR(50+50*SUMPRODUCT(($F$3:$T$3-$X$3)*(Profiles_140!K86:Y86-X90),$F$4:$T$4)/SQRT(SUMPRODUCT(($F$3:$T$3-$X$3)^2,$F$4:$T$4)*SUMPRODUCT((Profiles_140!K86:Y86-X90)^2,$F$4:$T$4)),50)</x:f>
        <x:v>50</x:v>
      </x:c>
      <x:c r="Z90" s="60" t="n">
        <x:f>$Z$3</x:f>
        <x:v>3.9474596431116675e-16</x:v>
      </x:c>
      <x:c r="AA90" s="60" t="n">
        <x:f>W90*(1-Model_Formula!$F$8*Z90)+Y90*(Model_Formula!$F$8*Z90)</x:f>
        <x:v>69.54013835156516</x:v>
      </x:c>
      <x:c r="AB90" s="60" t="n">
        <x:f>SQRT(SUMPRODUCT((Profiles_140!K86:Y86-50)^2,$F$4:$T$4)/SUM($F$4:$T$4))</x:f>
        <x:v>30.232309493544037</x:v>
      </x:c>
      <x:c r="AC90" s="60" t="n">
        <x:f>MAX(-Model_Formula!$F$11,MIN(Model_Formula!$F$11,Model_Formula!$F$10*(AB90-AVERAGE($AB$6:$AB$135))))</x:f>
        <x:v>0.7025151286468484</x:v>
      </x:c>
      <x:c r="AD90" s="60" t="n">
        <x:f>MAX(0,MIN(100,AA90+AC90))</x:f>
        <x:v>70.24265348021201</x:v>
      </x:c>
      <x:c r="AE90" s="60" t="n">
        <x:f>MAX(0,MIN(1,IFERROR((MATCH(AD90,Percentile_Calibration!$F86:$DB86,1)-1)/100,0)))</x:f>
        <x:v>0.69</x:v>
      </x:c>
      <x:c r="AF90" s="62" t="n">
        <x:f>ROUND(MAX(Model_Formula!$I$9,Model_Formula!$I$5+Model_Formula!$I$6*POWER(AE90,Model_Formula!$I$7)),0)</x:f>
        <x:v>60</x:v>
      </x:c>
      <x:c r="AG90" t="n">
        <x:f>Profiles_140!AJ86</x:f>
        <x:v>0</x:v>
      </x:c>
      <x:c r="AH90" s="60" t="n">
        <x:f>Model_Formula!$I$8*(AE90*100)+(1-Model_Formula!$I$8)*AD90+AG90</x:f>
        <x:v>69.24853069604241</x:v>
      </x:c>
      <x:c r="AI90" t="n">
        <x:f>RANK.EQ(AH90,$AH$6:$AH$135,0)+COUNTIF($AH$6:AH90,AH90)-1</x:f>
        <x:v>111</x:v>
      </x:c>
    </x:row>
    <x:row r="91">
      <x:c r="A91" t="str">
        <x:f>Profiles_140!A87</x:f>
        <x:v>ゾロアーク</x:v>
      </x:c>
      <x:c r="B91" t="str">
        <x:f>Profiles_140!C87</x:f>
        <x:v>ゾロアーク-1</x:v>
      </x:c>
      <x:c r="C91" t="str">
        <x:f>Profiles_140!D87</x:f>
        <x:v>共通</x:v>
      </x:c>
      <x:c r="D91" t="str">
        <x:f>Profiles_140!B87</x:f>
        <x:v>スピード型</x:v>
      </x:c>
      <x:c r="E91" t="str">
        <x:f>Profiles_140!I87</x:f>
        <x:v>高</x:v>
      </x:c>
      <x:c r="F91" s="66" t="n">
        <x:f>Model_Formula!$M$13*(Profiles_140!K87-Simulator!$L$11)^2*IF(Profiles_140!K87&gt;Simulator!$L$11,1+Model_Formula!$N$13,1)</x:f>
        <x:v>25</x:v>
      </x:c>
      <x:c r="G91" s="66" t="n">
        <x:f>Model_Formula!$M$14*(Profiles_140!L87-Simulator!$L$12)^2*IF(Profiles_140!L87&gt;Simulator!$L$12,1+Model_Formula!$N$14,1)</x:f>
        <x:v>2126.25</x:v>
      </x:c>
      <x:c r="H91" s="66" t="n">
        <x:f>Model_Formula!$M$15*(Profiles_140!M87-Simulator!$L$13)^2*IF(Profiles_140!M87&gt;Simulator!$L$13,1+Model_Formula!$N$15,1)</x:f>
        <x:v>1600</x:v>
      </x:c>
      <x:c r="I91" s="66" t="n">
        <x:f>Model_Formula!$M$16*(Profiles_140!N87-Simulator!$L$14)^2*IF(Profiles_140!N87&gt;Simulator!$L$14,1+Model_Formula!$N$16,1)</x:f>
        <x:v>1225</x:v>
      </x:c>
      <x:c r="J91" s="66" t="n">
        <x:f>Model_Formula!$M$17*(Profiles_140!O87-Simulator!$L$15)^2*IF(Profiles_140!O87&gt;Simulator!$L$15,1+Model_Formula!$N$17,1)</x:f>
        <x:v>1225</x:v>
      </x:c>
      <x:c r="K91" s="66" t="n">
        <x:f>Model_Formula!$M$18*(Profiles_140!P87-Simulator!$L$16)^2*IF(Profiles_140!P87&gt;Simulator!$L$16,1+Model_Formula!$N$18,1)</x:f>
        <x:v>1440</x:v>
      </x:c>
      <x:c r="L91" s="66" t="n">
        <x:f>Model_Formula!$M$19*(Profiles_140!Q87-Simulator!$L$17)^2*IF(Profiles_140!Q87&gt;Simulator!$L$17,1+Model_Formula!$N$19,1)</x:f>
        <x:v>625</x:v>
      </x:c>
      <x:c r="M91" s="66" t="n">
        <x:f>Model_Formula!$M$20*(Profiles_140!R87-Simulator!$L$18)^2*IF(Profiles_140!R87&gt;Simulator!$L$18,1+Model_Formula!$N$20,1)</x:f>
        <x:v>2025</x:v>
      </x:c>
      <x:c r="N91" s="66" t="n">
        <x:f>Model_Formula!$M$21*(Profiles_140!S87-Simulator!$L$19)^2*IF(Profiles_140!S87&gt;Simulator!$L$19,1+Model_Formula!$N$21,1)</x:f>
        <x:v>2025</x:v>
      </x:c>
      <x:c r="O91" s="66" t="n">
        <x:f>Model_Formula!$M$22*(Profiles_140!T87-Simulator!$L$20)^2*IF(Profiles_140!T87&gt;Simulator!$L$20,1+Model_Formula!$N$22,1)</x:f>
        <x:v>225</x:v>
      </x:c>
      <x:c r="P91" s="66" t="n">
        <x:f>Model_Formula!$M$23*(Profiles_140!U87-Simulator!$L$21)^2*IF(Profiles_140!U87&gt;Simulator!$L$21,1+Model_Formula!$N$23,1)</x:f>
        <x:v>11.25</x:v>
      </x:c>
      <x:c r="Q91" s="66" t="n">
        <x:f>Model_Formula!$M$24*(Profiles_140!V87-Simulator!$L$22)^2*IF(Profiles_140!V87&gt;Simulator!$L$22,1+Model_Formula!$N$24,1)</x:f>
        <x:v>160</x:v>
      </x:c>
      <x:c r="R91" s="66" t="n">
        <x:f>Model_Formula!$M$25*(Profiles_140!W87-Simulator!$L$23)^2*IF(Profiles_140!W87&gt;Simulator!$L$23,1+Model_Formula!$N$25,1)</x:f>
        <x:v>551.25</x:v>
      </x:c>
      <x:c r="S91" s="66" t="n">
        <x:f>Model_Formula!$M$26*(Profiles_140!X87-Simulator!$L$24)^2*IF(Profiles_140!X87&gt;Simulator!$L$24,1+Model_Formula!$N$26,1)</x:f>
        <x:v>3712.5000000000005</x:v>
      </x:c>
      <x:c r="T91" s="66" t="n">
        <x:f>Model_Formula!$M$27*(Profiles_140!Y87-Simulator!$L$25)^2*IF(Profiles_140!Y87&gt;Simulator!$L$25,1+Model_Formula!$N$27,1)</x:f>
        <x:v>2445.1875</x:v>
      </x:c>
      <x:c r="U91" s="60" t="n">
        <x:f>SUM(F91:T91)/SUM($F$4:$T$4)</x:f>
        <x:v>1449.3610074626868</x:v>
      </x:c>
      <x:c r="V91" s="60" t="n">
        <x:f>SQRT(U91)</x:f>
        <x:v>38.070474221667986</x:v>
      </x:c>
      <x:c r="W91" s="60" t="n">
        <x:f>MAX(0,100-V91)</x:f>
        <x:v>61.929525778332014</x:v>
      </x:c>
      <x:c r="X91" s="60" t="n">
        <x:f>SUMPRODUCT(Profiles_140!K87:Y87,$F$4:$T$4)/SUM($F$4:$T$4)</x:f>
        <x:v>51.82835820895523</x:v>
      </x:c>
      <x:c r="Y91" s="60" t="n">
        <x:f>IFERROR(50+50*SUMPRODUCT(($F$3:$T$3-$X$3)*(Profiles_140!K87:Y87-X91),$F$4:$T$4)/SQRT(SUMPRODUCT(($F$3:$T$3-$X$3)^2,$F$4:$T$4)*SUMPRODUCT((Profiles_140!K87:Y87-X91)^2,$F$4:$T$4)),50)</x:f>
        <x:v>50.00000000000001</x:v>
      </x:c>
      <x:c r="Z91" s="60" t="n">
        <x:f>$Z$3</x:f>
        <x:v>3.9474596431116675e-16</x:v>
      </x:c>
      <x:c r="AA91" s="60" t="n">
        <x:f>W91*(1-Model_Formula!$F$8*Z91)+Y91*(Model_Formula!$F$8*Z91)</x:f>
        <x:v>61.929525778332014</x:v>
      </x:c>
      <x:c r="AB91" s="60" t="n">
        <x:f>SQRT(SUMPRODUCT((Profiles_140!K87:Y87-50)^2,$F$4:$T$4)/SUM($F$4:$T$4))</x:f>
        <x:v>36.793088254230334</x:v>
      </x:c>
      <x:c r="AC91" s="60" t="n">
        <x:f>MAX(-Model_Formula!$F$11,MIN(Model_Formula!$F$11,Model_Formula!$F$10*(AB91-AVERAGE($AB$6:$AB$135))))</x:f>
        <x:v>3.6548655709556823</x:v>
      </x:c>
      <x:c r="AD91" s="60" t="n">
        <x:f>MAX(0,MIN(100,AA91+AC91))</x:f>
        <x:v>65.5843913492877</x:v>
      </x:c>
      <x:c r="AE91" s="60" t="n">
        <x:f>MAX(0,MIN(1,IFERROR((MATCH(AD91,Percentile_Calibration!$F87:$DB87,1)-1)/100,0)))</x:f>
        <x:v>0.64</x:v>
      </x:c>
      <x:c r="AF91" s="62" t="n">
        <x:f>ROUND(MAX(Model_Formula!$I$9,Model_Formula!$I$5+Model_Formula!$I$6*POWER(AE91,Model_Formula!$I$7)),0)</x:f>
        <x:v>56</x:v>
      </x:c>
      <x:c r="AG91" t="n">
        <x:f>Profiles_140!AJ87</x:f>
        <x:v>0</x:v>
      </x:c>
      <x:c r="AH91" s="60" t="n">
        <x:f>Model_Formula!$I$8*(AE91*100)+(1-Model_Formula!$I$8)*AD91+AG91</x:f>
        <x:v>64.31687826985754</x:v>
      </x:c>
      <x:c r="AI91" t="n">
        <x:f>RANK.EQ(AH91,$AH$6:$AH$135,0)+COUNTIF($AH$6:AH91,AH91)-1</x:f>
        <x:v>129</x:v>
      </x:c>
    </x:row>
    <x:row r="92">
      <x:c r="A92" t="str">
        <x:f>Profiles_140!A88</x:f>
        <x:v>ダークライ</x:v>
      </x:c>
      <x:c r="B92" t="str">
        <x:f>Profiles_140!C88</x:f>
        <x:v>ダークライ-1</x:v>
      </x:c>
      <x:c r="C92" t="str">
        <x:f>Profiles_140!D88</x:f>
        <x:v>共通</x:v>
      </x:c>
      <x:c r="D92" t="str">
        <x:f>Profiles_140!B88</x:f>
        <x:v>スピード型</x:v>
      </x:c>
      <x:c r="E92" t="str">
        <x:f>Profiles_140!I88</x:f>
        <x:v>高</x:v>
      </x:c>
      <x:c r="F92" s="66" t="n">
        <x:f>Model_Formula!$M$13*(Profiles_140!K88-Simulator!$L$11)^2*IF(Profiles_140!K88&gt;Simulator!$L$11,1+Model_Formula!$N$13,1)</x:f>
        <x:v>25</x:v>
      </x:c>
      <x:c r="G92" s="66" t="n">
        <x:f>Model_Formula!$M$14*(Profiles_140!L88-Simulator!$L$12)^2*IF(Profiles_140!L88&gt;Simulator!$L$12,1+Model_Formula!$N$14,1)</x:f>
        <x:v>1680</x:v>
      </x:c>
      <x:c r="H92" s="66" t="n">
        <x:f>Model_Formula!$M$15*(Profiles_140!M88-Simulator!$L$13)^2*IF(Profiles_140!M88&gt;Simulator!$L$13,1+Model_Formula!$N$15,1)</x:f>
        <x:v>625</x:v>
      </x:c>
      <x:c r="I92" s="66" t="n">
        <x:f>Model_Formula!$M$16*(Profiles_140!N88-Simulator!$L$14)^2*IF(Profiles_140!N88&gt;Simulator!$L$14,1+Model_Formula!$N$16,1)</x:f>
        <x:v>1225</x:v>
      </x:c>
      <x:c r="J92" s="66" t="n">
        <x:f>Model_Formula!$M$17*(Profiles_140!O88-Simulator!$L$15)^2*IF(Profiles_140!O88&gt;Simulator!$L$15,1+Model_Formula!$N$17,1)</x:f>
        <x:v>1225</x:v>
      </x:c>
      <x:c r="K92" s="66" t="n">
        <x:f>Model_Formula!$M$18*(Profiles_140!P88-Simulator!$L$16)^2*IF(Profiles_140!P88&gt;Simulator!$L$16,1+Model_Formula!$N$18,1)</x:f>
        <x:v>1440</x:v>
      </x:c>
      <x:c r="L92" s="66" t="n">
        <x:f>Model_Formula!$M$19*(Profiles_140!Q88-Simulator!$L$17)^2*IF(Profiles_140!Q88&gt;Simulator!$L$17,1+Model_Formula!$N$19,1)</x:f>
        <x:v>900</x:v>
      </x:c>
      <x:c r="M92" s="66" t="n">
        <x:f>Model_Formula!$M$20*(Profiles_140!R88-Simulator!$L$18)^2*IF(Profiles_140!R88&gt;Simulator!$L$18,1+Model_Formula!$N$20,1)</x:f>
        <x:v>2025</x:v>
      </x:c>
      <x:c r="N92" s="66" t="n">
        <x:f>Model_Formula!$M$21*(Profiles_140!S88-Simulator!$L$19)^2*IF(Profiles_140!S88&gt;Simulator!$L$19,1+Model_Formula!$N$21,1)</x:f>
        <x:v>1225</x:v>
      </x:c>
      <x:c r="O92" s="66" t="n">
        <x:f>Model_Formula!$M$22*(Profiles_140!T88-Simulator!$L$20)^2*IF(Profiles_140!T88&gt;Simulator!$L$20,1+Model_Formula!$N$22,1)</x:f>
        <x:v>100</x:v>
      </x:c>
      <x:c r="P92" s="66" t="n">
        <x:f>Model_Formula!$M$23*(Profiles_140!U88-Simulator!$L$21)^2*IF(Profiles_140!U88&gt;Simulator!$L$21,1+Model_Formula!$N$23,1)</x:f>
        <x:v>11.25</x:v>
      </x:c>
      <x:c r="Q92" s="66" t="n">
        <x:f>Model_Formula!$M$24*(Profiles_140!V88-Simulator!$L$22)^2*IF(Profiles_140!V88&gt;Simulator!$L$22,1+Model_Formula!$N$24,1)</x:f>
        <x:v>0</x:v>
      </x:c>
      <x:c r="R92" s="66" t="n">
        <x:f>Model_Formula!$M$25*(Profiles_140!W88-Simulator!$L$23)^2*IF(Profiles_140!W88&gt;Simulator!$L$23,1+Model_Formula!$N$25,1)</x:f>
        <x:v>551.25</x:v>
      </x:c>
      <x:c r="S92" s="66" t="n">
        <x:f>Model_Formula!$M$26*(Profiles_140!X88-Simulator!$L$24)^2*IF(Profiles_140!X88&gt;Simulator!$L$24,1+Model_Formula!$N$26,1)</x:f>
        <x:v>2376.0000000000005</x:v>
      </x:c>
      <x:c r="T92" s="66" t="n">
        <x:f>Model_Formula!$M$27*(Profiles_140!Y88-Simulator!$L$25)^2*IF(Profiles_140!Y88&gt;Simulator!$L$25,1+Model_Formula!$N$27,1)</x:f>
        <x:v>1479.1874999999998</x:v>
      </x:c>
      <x:c r="U92" s="60" t="n">
        <x:f>SUM(F92:T92)/SUM($F$4:$T$4)</x:f>
        <x:v>1111.0214552238808</x:v>
      </x:c>
      <x:c r="V92" s="60" t="n">
        <x:f>SQRT(U92)</x:f>
        <x:v>33.33198846789493</x:v>
      </x:c>
      <x:c r="W92" s="60" t="n">
        <x:f>MAX(0,100-V92)</x:f>
        <x:v>66.66801153210507</x:v>
      </x:c>
      <x:c r="X92" s="60" t="n">
        <x:f>SUMPRODUCT(Profiles_140!K88:Y88,$F$4:$T$4)/SUM($F$4:$T$4)</x:f>
        <x:v>51.84701492537314</x:v>
      </x:c>
      <x:c r="Y92" s="60" t="n">
        <x:f>IFERROR(50+50*SUMPRODUCT(($F$3:$T$3-$X$3)*(Profiles_140!K88:Y88-X92),$F$4:$T$4)/SQRT(SUMPRODUCT(($F$3:$T$3-$X$3)^2,$F$4:$T$4)*SUMPRODUCT((Profiles_140!K88:Y88-X92)^2,$F$4:$T$4)),50)</x:f>
        <x:v>50.00000000000001</x:v>
      </x:c>
      <x:c r="Z92" s="60" t="n">
        <x:f>$Z$3</x:f>
        <x:v>3.9474596431116675e-16</x:v>
      </x:c>
      <x:c r="AA92" s="60" t="n">
        <x:f>W92*(1-Model_Formula!$F$8*Z92)+Y92*(Model_Formula!$F$8*Z92)</x:f>
        <x:v>66.66801153210507</x:v>
      </x:c>
      <x:c r="AB92" s="60" t="n">
        <x:f>SQRT(SUMPRODUCT((Profiles_140!K88:Y88-50)^2,$F$4:$T$4)/SUM($F$4:$T$4))</x:f>
        <x:v>32.413777704467385</x:v>
      </x:c>
      <x:c r="AC92" s="60" t="n">
        <x:f>MAX(-Model_Formula!$F$11,MIN(Model_Formula!$F$11,Model_Formula!$F$10*(AB92-AVERAGE($AB$6:$AB$135))))</x:f>
        <x:v>1.6841758235623554</x:v>
      </x:c>
      <x:c r="AD92" s="60" t="n">
        <x:f>MAX(0,MIN(100,AA92+AC92))</x:f>
        <x:v>68.35218735566743</x:v>
      </x:c>
      <x:c r="AE92" s="60" t="n">
        <x:f>MAX(0,MIN(1,IFERROR((MATCH(AD92,Percentile_Calibration!$F88:$DB88,1)-1)/100,0)))</x:f>
        <x:v>0.73</x:v>
      </x:c>
      <x:c r="AF92" s="62" t="n">
        <x:f>ROUND(MAX(Model_Formula!$I$9,Model_Formula!$I$5+Model_Formula!$I$6*POWER(AE92,Model_Formula!$I$7)),0)</x:f>
        <x:v>63</x:v>
      </x:c>
      <x:c r="AG92" t="n">
        <x:f>Profiles_140!AJ88</x:f>
        <x:v>0</x:v>
      </x:c>
      <x:c r="AH92" s="60" t="n">
        <x:f>Model_Formula!$I$8*(AE92*100)+(1-Model_Formula!$I$8)*AD92+AG92</x:f>
        <x:v>72.07043747113349</x:v>
      </x:c>
      <x:c r="AI92" t="n">
        <x:f>RANK.EQ(AH92,$AH$6:$AH$135,0)+COUNTIF($AH$6:AH92,AH92)-1</x:f>
        <x:v>94</x:v>
      </x:c>
    </x:row>
    <x:row r="93">
      <x:c r="A93" t="str">
        <x:f>Profiles_140!A89</x:f>
        <x:v>ドードリオ</x:v>
      </x:c>
      <x:c r="B93" t="str">
        <x:f>Profiles_140!C89</x:f>
        <x:v>ドードリオ-1</x:v>
      </x:c>
      <x:c r="C93" t="str">
        <x:f>Profiles_140!D89</x:f>
        <x:v>共通</x:v>
      </x:c>
      <x:c r="D93" t="str">
        <x:f>Profiles_140!B89</x:f>
        <x:v>スピード型</x:v>
      </x:c>
      <x:c r="E93" t="str">
        <x:f>Profiles_140!I89</x:f>
        <x:v>高</x:v>
      </x:c>
      <x:c r="F93" s="66" t="n">
        <x:f>Model_Formula!$M$13*(Profiles_140!K89-Simulator!$L$11)^2*IF(Profiles_140!K89&gt;Simulator!$L$11,1+Model_Formula!$N$13,1)</x:f>
        <x:v>900</x:v>
      </x:c>
      <x:c r="G93" s="66" t="n">
        <x:f>Model_Formula!$M$14*(Profiles_140!L89-Simulator!$L$12)^2*IF(Profiles_140!L89&gt;Simulator!$L$12,1+Model_Formula!$N$14,1)</x:f>
        <x:v>1680</x:v>
      </x:c>
      <x:c r="H93" s="66" t="n">
        <x:f>Model_Formula!$M$15*(Profiles_140!M89-Simulator!$L$13)^2*IF(Profiles_140!M89&gt;Simulator!$L$13,1+Model_Formula!$N$15,1)</x:f>
        <x:v>900</x:v>
      </x:c>
      <x:c r="I93" s="66" t="n">
        <x:f>Model_Formula!$M$16*(Profiles_140!N89-Simulator!$L$14)^2*IF(Profiles_140!N89&gt;Simulator!$L$14,1+Model_Formula!$N$16,1)</x:f>
        <x:v>25</x:v>
      </x:c>
      <x:c r="J93" s="66" t="n">
        <x:f>Model_Formula!$M$17*(Profiles_140!O89-Simulator!$L$15)^2*IF(Profiles_140!O89&gt;Simulator!$L$15,1+Model_Formula!$N$17,1)</x:f>
        <x:v>1600</x:v>
      </x:c>
      <x:c r="K93" s="66" t="n">
        <x:f>Model_Formula!$M$18*(Profiles_140!P89-Simulator!$L$16)^2*IF(Profiles_140!P89&gt;Simulator!$L$16,1+Model_Formula!$N$18,1)</x:f>
        <x:v>202.5</x:v>
      </x:c>
      <x:c r="L93" s="66" t="n">
        <x:f>Model_Formula!$M$19*(Profiles_140!Q89-Simulator!$L$17)^2*IF(Profiles_140!Q89&gt;Simulator!$L$17,1+Model_Formula!$N$19,1)</x:f>
        <x:v>25</x:v>
      </x:c>
      <x:c r="M93" s="66" t="n">
        <x:f>Model_Formula!$M$20*(Profiles_140!R89-Simulator!$L$18)^2*IF(Profiles_140!R89&gt;Simulator!$L$18,1+Model_Formula!$N$20,1)</x:f>
        <x:v>2025</x:v>
      </x:c>
      <x:c r="N93" s="66" t="n">
        <x:f>Model_Formula!$M$21*(Profiles_140!S89-Simulator!$L$19)^2*IF(Profiles_140!S89&gt;Simulator!$L$19,1+Model_Formula!$N$21,1)</x:f>
        <x:v>2500</x:v>
      </x:c>
      <x:c r="O93" s="66" t="n">
        <x:f>Model_Formula!$M$22*(Profiles_140!T89-Simulator!$L$20)^2*IF(Profiles_140!T89&gt;Simulator!$L$20,1+Model_Formula!$N$22,1)</x:f>
        <x:v>400</x:v>
      </x:c>
      <x:c r="P93" s="66" t="n">
        <x:f>Model_Formula!$M$23*(Profiles_140!U89-Simulator!$L$21)^2*IF(Profiles_140!U89&gt;Simulator!$L$21,1+Model_Formula!$N$23,1)</x:f>
        <x:v>0</x:v>
      </x:c>
      <x:c r="Q93" s="66" t="n">
        <x:f>Model_Formula!$M$24*(Profiles_140!V89-Simulator!$L$22)^2*IF(Profiles_140!V89&gt;Simulator!$L$22,1+Model_Formula!$N$24,1)</x:f>
        <x:v>40</x:v>
      </x:c>
      <x:c r="R93" s="66" t="n">
        <x:f>Model_Formula!$M$25*(Profiles_140!W89-Simulator!$L$23)^2*IF(Profiles_140!W89&gt;Simulator!$L$23,1+Model_Formula!$N$25,1)</x:f>
        <x:v>405</x:v>
      </x:c>
      <x:c r="S93" s="66" t="n">
        <x:f>Model_Formula!$M$26*(Profiles_140!X89-Simulator!$L$24)^2*IF(Profiles_140!X89&gt;Simulator!$L$24,1+Model_Formula!$N$26,1)</x:f>
        <x:v>1819.1250000000002</x:v>
      </x:c>
      <x:c r="T93" s="66" t="n">
        <x:f>Model_Formula!$M$27*(Profiles_140!Y89-Simulator!$L$25)^2*IF(Profiles_140!Y89&gt;Simulator!$L$25,1+Model_Formula!$N$27,1)</x:f>
        <x:v>1086.75</x:v>
      </x:c>
      <x:c r="U93" s="60" t="n">
        <x:f>SUM(F93:T93)/SUM($F$4:$T$4)</x:f>
        <x:v>1015.5503731343284</x:v>
      </x:c>
      <x:c r="V93" s="60" t="n">
        <x:f>SQRT(U93)</x:f>
        <x:v>31.86770109584826</x:v>
      </x:c>
      <x:c r="W93" s="60" t="n">
        <x:f>MAX(0,100-V93)</x:f>
        <x:v>68.13229890415174</x:v>
      </x:c>
      <x:c r="X93" s="60" t="n">
        <x:f>SUMPRODUCT(Profiles_140!K89:Y89,$F$4:$T$4)/SUM($F$4:$T$4)</x:f>
        <x:v>56.791044776119406</x:v>
      </x:c>
      <x:c r="Y93" s="60" t="n">
        <x:f>IFERROR(50+50*SUMPRODUCT(($F$3:$T$3-$X$3)*(Profiles_140!K89:Y89-X93),$F$4:$T$4)/SQRT(SUMPRODUCT(($F$3:$T$3-$X$3)^2,$F$4:$T$4)*SUMPRODUCT((Profiles_140!K89:Y89-X93)^2,$F$4:$T$4)),50)</x:f>
        <x:v>50.00000000000001</x:v>
      </x:c>
      <x:c r="Z93" s="60" t="n">
        <x:f>$Z$3</x:f>
        <x:v>3.9474596431116675e-16</x:v>
      </x:c>
      <x:c r="AA93" s="60" t="n">
        <x:f>W93*(1-Model_Formula!$F$8*Z93)+Y93*(Model_Formula!$F$8*Z93)</x:f>
        <x:v>68.13229890415174</x:v>
      </x:c>
      <x:c r="AB93" s="60" t="n">
        <x:f>SQRT(SUMPRODUCT((Profiles_140!K89:Y89-50)^2,$F$4:$T$4)/SUM($F$4:$T$4))</x:f>
        <x:v>31.141228611006746</x:v>
      </x:c>
      <x:c r="AC93" s="60" t="n">
        <x:f>MAX(-Model_Formula!$F$11,MIN(Model_Formula!$F$11,Model_Formula!$F$10*(AB93-AVERAGE($AB$6:$AB$135))))</x:f>
        <x:v>1.1115287315050675</x:v>
      </x:c>
      <x:c r="AD93" s="60" t="n">
        <x:f>MAX(0,MIN(100,AA93+AC93))</x:f>
        <x:v>69.2438276356568</x:v>
      </x:c>
      <x:c r="AE93" s="60" t="n">
        <x:f>MAX(0,MIN(1,IFERROR((MATCH(AD93,Percentile_Calibration!$F89:$DB89,1)-1)/100,0)))</x:f>
        <x:v>0.69</x:v>
      </x:c>
      <x:c r="AF93" s="62" t="n">
        <x:f>ROUND(MAX(Model_Formula!$I$9,Model_Formula!$I$5+Model_Formula!$I$6*POWER(AE93,Model_Formula!$I$7)),0)</x:f>
        <x:v>60</x:v>
      </x:c>
      <x:c r="AG93" t="n">
        <x:f>Profiles_140!AJ89</x:f>
        <x:v>0</x:v>
      </x:c>
      <x:c r="AH93" s="60" t="n">
        <x:f>Model_Formula!$I$8*(AE93*100)+(1-Model_Formula!$I$8)*AD93+AG93</x:f>
        <x:v>69.04876552713137</x:v>
      </x:c>
      <x:c r="AI93" t="n">
        <x:f>RANK.EQ(AH93,$AH$6:$AH$135,0)+COUNTIF($AH$6:AH93,AH93)-1</x:f>
        <x:v>114</x:v>
      </x:c>
    </x:row>
    <x:row r="94">
      <x:c r="A94" t="str">
        <x:f>Profiles_140!A90</x:f>
        <x:v>ニャース</x:v>
      </x:c>
      <x:c r="B94" t="str">
        <x:f>Profiles_140!C90</x:f>
        <x:v>ニャース-1</x:v>
      </x:c>
      <x:c r="C94" t="str">
        <x:f>Profiles_140!D90</x:f>
        <x:v>共通</x:v>
      </x:c>
      <x:c r="D94" t="str">
        <x:f>Profiles_140!B90</x:f>
        <x:v>スピード型</x:v>
      </x:c>
      <x:c r="E94" t="str">
        <x:f>Profiles_140!I90</x:f>
        <x:v>高</x:v>
      </x:c>
      <x:c r="F94" s="66" t="n">
        <x:f>Model_Formula!$M$13*(Profiles_140!K90-Simulator!$L$11)^2*IF(Profiles_140!K90&gt;Simulator!$L$11,1+Model_Formula!$N$13,1)</x:f>
        <x:v>100</x:v>
      </x:c>
      <x:c r="G94" s="66" t="n">
        <x:f>Model_Formula!$M$14*(Profiles_140!L90-Simulator!$L$12)^2*IF(Profiles_140!L90&gt;Simulator!$L$12,1+Model_Formula!$N$14,1)</x:f>
        <x:v>945</x:v>
      </x:c>
      <x:c r="H94" s="66" t="n">
        <x:f>Model_Formula!$M$15*(Profiles_140!M90-Simulator!$L$13)^2*IF(Profiles_140!M90&gt;Simulator!$L$13,1+Model_Formula!$N$15,1)</x:f>
        <x:v>625</x:v>
      </x:c>
      <x:c r="I94" s="66" t="n">
        <x:f>Model_Formula!$M$16*(Profiles_140!N90-Simulator!$L$14)^2*IF(Profiles_140!N90&gt;Simulator!$L$14,1+Model_Formula!$N$16,1)</x:f>
        <x:v>0</x:v>
      </x:c>
      <x:c r="J94" s="66" t="n">
        <x:f>Model_Formula!$M$17*(Profiles_140!O90-Simulator!$L$15)^2*IF(Profiles_140!O90&gt;Simulator!$L$15,1+Model_Formula!$N$17,1)</x:f>
        <x:v>225</x:v>
      </x:c>
      <x:c r="K94" s="66" t="n">
        <x:f>Model_Formula!$M$18*(Profiles_140!P90-Simulator!$L$16)^2*IF(Profiles_140!P90&gt;Simulator!$L$16,1+Model_Formula!$N$18,1)</x:f>
        <x:v>90</x:v>
      </x:c>
      <x:c r="L94" s="66" t="n">
        <x:f>Model_Formula!$M$19*(Profiles_140!Q90-Simulator!$L$17)^2*IF(Profiles_140!Q90&gt;Simulator!$L$17,1+Model_Formula!$N$19,1)</x:f>
        <x:v>225</x:v>
      </x:c>
      <x:c r="M94" s="66" t="n">
        <x:f>Model_Formula!$M$20*(Profiles_140!R90-Simulator!$L$18)^2*IF(Profiles_140!R90&gt;Simulator!$L$18,1+Model_Formula!$N$20,1)</x:f>
        <x:v>2025</x:v>
      </x:c>
      <x:c r="N94" s="66" t="n">
        <x:f>Model_Formula!$M$21*(Profiles_140!S90-Simulator!$L$19)^2*IF(Profiles_140!S90&gt;Simulator!$L$19,1+Model_Formula!$N$21,1)</x:f>
        <x:v>1600</x:v>
      </x:c>
      <x:c r="O94" s="66" t="n">
        <x:f>Model_Formula!$M$22*(Profiles_140!T90-Simulator!$L$20)^2*IF(Profiles_140!T90&gt;Simulator!$L$20,1+Model_Formula!$N$22,1)</x:f>
        <x:v>625</x:v>
      </x:c>
      <x:c r="P94" s="66" t="n">
        <x:f>Model_Formula!$M$23*(Profiles_140!U90-Simulator!$L$21)^2*IF(Profiles_140!U90&gt;Simulator!$L$21,1+Model_Formula!$N$23,1)</x:f>
        <x:v>11.25</x:v>
      </x:c>
      <x:c r="Q94" s="66" t="n">
        <x:f>Model_Formula!$M$24*(Profiles_140!V90-Simulator!$L$22)^2*IF(Profiles_140!V90&gt;Simulator!$L$22,1+Model_Formula!$N$24,1)</x:f>
        <x:v>90</x:v>
      </x:c>
      <x:c r="R94" s="66" t="n">
        <x:f>Model_Formula!$M$25*(Profiles_140!W90-Simulator!$L$23)^2*IF(Profiles_140!W90&gt;Simulator!$L$23,1+Model_Formula!$N$25,1)</x:f>
        <x:v>281.25</x:v>
      </x:c>
      <x:c r="S94" s="66" t="n">
        <x:f>Model_Formula!$M$26*(Profiles_140!X90-Simulator!$L$24)^2*IF(Profiles_140!X90&gt;Simulator!$L$24,1+Model_Formula!$N$26,1)</x:f>
        <x:v>594.0000000000001</x:v>
      </x:c>
      <x:c r="T94" s="66" t="n">
        <x:f>Model_Formula!$M$27*(Profiles_140!Y90-Simulator!$L$25)^2*IF(Profiles_140!Y90&gt;Simulator!$L$25,1+Model_Formula!$N$27,1)</x:f>
        <x:v>754.6874999999999</x:v>
      </x:c>
      <x:c r="U94" s="60" t="n">
        <x:f>SUM(F94:T94)/SUM($F$4:$T$4)</x:f>
        <x:v>611.2826492537314</x:v>
      </x:c>
      <x:c r="V94" s="60" t="n">
        <x:f>SQRT(U94)</x:f>
        <x:v>24.724130909978037</x:v>
      </x:c>
      <x:c r="W94" s="60" t="n">
        <x:f>MAX(0,100-V94)</x:f>
        <x:v>75.27586909002196</x:v>
      </x:c>
      <x:c r="X94" s="60" t="n">
        <x:f>SUMPRODUCT(Profiles_140!K90:Y90,$F$4:$T$4)/SUM($F$4:$T$4)</x:f>
        <x:v>56.212686567164184</x:v>
      </x:c>
      <x:c r="Y94" s="60" t="n">
        <x:f>IFERROR(50+50*SUMPRODUCT(($F$3:$T$3-$X$3)*(Profiles_140!K90:Y90-X94),$F$4:$T$4)/SQRT(SUMPRODUCT(($F$3:$T$3-$X$3)^2,$F$4:$T$4)*SUMPRODUCT((Profiles_140!K90:Y90-X94)^2,$F$4:$T$4)),50)</x:f>
        <x:v>50.00000000000001</x:v>
      </x:c>
      <x:c r="Z94" s="60" t="n">
        <x:f>$Z$3</x:f>
        <x:v>3.9474596431116675e-16</x:v>
      </x:c>
      <x:c r="AA94" s="60" t="n">
        <x:f>W94*(1-Model_Formula!$F$8*Z94)+Y94*(Model_Formula!$F$8*Z94)</x:f>
        <x:v>75.27586909002196</x:v>
      </x:c>
      <x:c r="AB94" s="60" t="n">
        <x:f>SQRT(SUMPRODUCT((Profiles_140!K90:Y90-50)^2,$F$4:$T$4)/SUM($F$4:$T$4))</x:f>
        <x:v>24.34017316805175</x:v>
      </x:c>
      <x:c r="AC94" s="60" t="n">
        <x:f>MAX(-Model_Formula!$F$11,MIN(Model_Formula!$F$11,Model_Formula!$F$10*(AB94-AVERAGE($AB$6:$AB$135))))</x:f>
        <x:v>-1.9489462178246812</x:v>
      </x:c>
      <x:c r="AD94" s="60" t="n">
        <x:f>MAX(0,MIN(100,AA94+AC94))</x:f>
        <x:v>73.32692287219727</x:v>
      </x:c>
      <x:c r="AE94" s="60" t="n">
        <x:f>MAX(0,MIN(1,IFERROR((MATCH(AD94,Percentile_Calibration!$F90:$DB90,1)-1)/100,0)))</x:f>
        <x:v>0.76</x:v>
      </x:c>
      <x:c r="AF94" s="62" t="n">
        <x:f>ROUND(MAX(Model_Formula!$I$9,Model_Formula!$I$5+Model_Formula!$I$6*POWER(AE94,Model_Formula!$I$7)),0)</x:f>
        <x:v>66</x:v>
      </x:c>
      <x:c r="AG94" t="n">
        <x:f>Profiles_140!AJ90</x:f>
        <x:v>0</x:v>
      </x:c>
      <x:c r="AH94" s="60" t="n">
        <x:f>Model_Formula!$I$8*(AE94*100)+(1-Model_Formula!$I$8)*AD94+AG94</x:f>
        <x:v>75.46538457443945</x:v>
      </x:c>
      <x:c r="AI94" t="n">
        <x:f>RANK.EQ(AH94,$AH$6:$AH$135,0)+COUNTIF($AH$6:AH94,AH94)-1</x:f>
        <x:v>75</x:v>
      </x:c>
    </x:row>
    <x:row r="95">
      <x:c r="A95" t="str">
        <x:f>Profiles_140!A91</x:f>
        <x:v>ファイアロー</x:v>
      </x:c>
      <x:c r="B95" t="str">
        <x:f>Profiles_140!C91</x:f>
        <x:v>ファイアロー-1</x:v>
      </x:c>
      <x:c r="C95" t="str">
        <x:f>Profiles_140!D91</x:f>
        <x:v>共通</x:v>
      </x:c>
      <x:c r="D95" t="str">
        <x:f>Profiles_140!B91</x:f>
        <x:v>スピード型</x:v>
      </x:c>
      <x:c r="E95" t="str">
        <x:f>Profiles_140!I91</x:f>
        <x:v>高</x:v>
      </x:c>
      <x:c r="F95" s="66" t="n">
        <x:f>Model_Formula!$M$13*(Profiles_140!K91-Simulator!$L$11)^2*IF(Profiles_140!K91&gt;Simulator!$L$11,1+Model_Formula!$N$13,1)</x:f>
        <x:v>225</x:v>
      </x:c>
      <x:c r="G95" s="66" t="n">
        <x:f>Model_Formula!$M$14*(Profiles_140!L91-Simulator!$L$12)^2*IF(Profiles_140!L91&gt;Simulator!$L$12,1+Model_Formula!$N$14,1)</x:f>
        <x:v>2625</x:v>
      </x:c>
      <x:c r="H95" s="66" t="n">
        <x:f>Model_Formula!$M$15*(Profiles_140!M91-Simulator!$L$13)^2*IF(Profiles_140!M91&gt;Simulator!$L$13,1+Model_Formula!$N$15,1)</x:f>
        <x:v>1225</x:v>
      </x:c>
      <x:c r="I95" s="66" t="n">
        <x:f>Model_Formula!$M$16*(Profiles_140!N91-Simulator!$L$14)^2*IF(Profiles_140!N91&gt;Simulator!$L$14,1+Model_Formula!$N$16,1)</x:f>
        <x:v>400</x:v>
      </x:c>
      <x:c r="J95" s="66" t="n">
        <x:f>Model_Formula!$M$17*(Profiles_140!O91-Simulator!$L$15)^2*IF(Profiles_140!O91&gt;Simulator!$L$15,1+Model_Formula!$N$17,1)</x:f>
        <x:v>1225</x:v>
      </x:c>
      <x:c r="K95" s="66" t="n">
        <x:f>Model_Formula!$M$18*(Profiles_140!P91-Simulator!$L$16)^2*IF(Profiles_140!P91&gt;Simulator!$L$16,1+Model_Formula!$N$18,1)</x:f>
        <x:v>1822.5</x:v>
      </x:c>
      <x:c r="L95" s="66" t="n">
        <x:f>Model_Formula!$M$19*(Profiles_140!Q91-Simulator!$L$17)^2*IF(Profiles_140!Q91&gt;Simulator!$L$17,1+Model_Formula!$N$19,1)</x:f>
        <x:v>225</x:v>
      </x:c>
      <x:c r="M95" s="66" t="n">
        <x:f>Model_Formula!$M$20*(Profiles_140!R91-Simulator!$L$18)^2*IF(Profiles_140!R91&gt;Simulator!$L$18,1+Model_Formula!$N$20,1)</x:f>
        <x:v>2025</x:v>
      </x:c>
      <x:c r="N95" s="66" t="n">
        <x:f>Model_Formula!$M$21*(Profiles_140!S91-Simulator!$L$19)^2*IF(Profiles_140!S91&gt;Simulator!$L$19,1+Model_Formula!$N$21,1)</x:f>
        <x:v>2500</x:v>
      </x:c>
      <x:c r="O95" s="66" t="n">
        <x:f>Model_Formula!$M$22*(Profiles_140!T91-Simulator!$L$20)^2*IF(Profiles_140!T91&gt;Simulator!$L$20,1+Model_Formula!$N$22,1)</x:f>
        <x:v>400</x:v>
      </x:c>
      <x:c r="P95" s="66" t="n">
        <x:f>Model_Formula!$M$23*(Profiles_140!U91-Simulator!$L$21)^2*IF(Profiles_140!U91&gt;Simulator!$L$21,1+Model_Formula!$N$23,1)</x:f>
        <x:v>11.25</x:v>
      </x:c>
      <x:c r="Q95" s="66" t="n">
        <x:f>Model_Formula!$M$24*(Profiles_140!V91-Simulator!$L$22)^2*IF(Profiles_140!V91&gt;Simulator!$L$22,1+Model_Formula!$N$24,1)</x:f>
        <x:v>490</x:v>
      </x:c>
      <x:c r="R95" s="66" t="n">
        <x:f>Model_Formula!$M$25*(Profiles_140!W91-Simulator!$L$23)^2*IF(Profiles_140!W91&gt;Simulator!$L$23,1+Model_Formula!$N$25,1)</x:f>
        <x:v>911.25</x:v>
      </x:c>
      <x:c r="S95" s="66" t="n">
        <x:f>Model_Formula!$M$26*(Profiles_140!X91-Simulator!$L$24)^2*IF(Profiles_140!X91&gt;Simulator!$L$24,1+Model_Formula!$N$26,1)</x:f>
        <x:v>1336.5000000000002</x:v>
      </x:c>
      <x:c r="T95" s="66" t="n">
        <x:f>Model_Formula!$M$27*(Profiles_140!Y91-Simulator!$L$25)^2*IF(Profiles_140!Y91&gt;Simulator!$L$25,1+Model_Formula!$N$27,1)</x:f>
        <x:v>1479.1874999999998</x:v>
      </x:c>
      <x:c r="U95" s="60" t="n">
        <x:f>SUM(F95:T95)/SUM($F$4:$T$4)</x:f>
        <x:v>1261.2453358208957</x:v>
      </x:c>
      <x:c r="V95" s="60" t="n">
        <x:f>SQRT(U95)</x:f>
        <x:v>35.51401604748322</x:v>
      </x:c>
      <x:c r="W95" s="60" t="n">
        <x:f>MAX(0,100-V95)</x:f>
        <x:v>64.48598395251679</x:v>
      </x:c>
      <x:c r="X95" s="60" t="n">
        <x:f>SUMPRODUCT(Profiles_140!K91:Y91,$F$4:$T$4)/SUM($F$4:$T$4)</x:f>
        <x:v>53.97388059701493</x:v>
      </x:c>
      <x:c r="Y95" s="60" t="n">
        <x:f>IFERROR(50+50*SUMPRODUCT(($F$3:$T$3-$X$3)*(Profiles_140!K91:Y91-X95),$F$4:$T$4)/SQRT(SUMPRODUCT(($F$3:$T$3-$X$3)^2,$F$4:$T$4)*SUMPRODUCT((Profiles_140!K91:Y91-X95)^2,$F$4:$T$4)),50)</x:f>
        <x:v>50.00000000000001</x:v>
      </x:c>
      <x:c r="Z95" s="60" t="n">
        <x:f>$Z$3</x:f>
        <x:v>3.9474596431116675e-16</x:v>
      </x:c>
      <x:c r="AA95" s="60" t="n">
        <x:f>W95*(1-Model_Formula!$F$8*Z95)+Y95*(Model_Formula!$F$8*Z95)</x:f>
        <x:v>64.48598395251679</x:v>
      </x:c>
      <x:c r="AB95" s="60" t="n">
        <x:f>SQRT(SUMPRODUCT((Profiles_140!K91:Y91-50)^2,$F$4:$T$4)/SUM($F$4:$T$4))</x:f>
        <x:v>34.94265024250664</x:v>
      </x:c>
      <x:c r="AC95" s="60" t="n">
        <x:f>MAX(-Model_Formula!$F$11,MIN(Model_Formula!$F$11,Model_Formula!$F$10*(AB95-AVERAGE($AB$6:$AB$135))))</x:f>
        <x:v>2.822168465680019</x:v>
      </x:c>
      <x:c r="AD95" s="60" t="n">
        <x:f>MAX(0,MIN(100,AA95+AC95))</x:f>
        <x:v>67.30815241819681</x:v>
      </x:c>
      <x:c r="AE95" s="60" t="n">
        <x:f>MAX(0,MIN(1,IFERROR((MATCH(AD95,Percentile_Calibration!$F91:$DB91,1)-1)/100,0)))</x:f>
        <x:v>0.65</x:v>
      </x:c>
      <x:c r="AF95" s="62" t="n">
        <x:f>ROUND(MAX(Model_Formula!$I$9,Model_Formula!$I$5+Model_Formula!$I$6*POWER(AE95,Model_Formula!$I$7)),0)</x:f>
        <x:v>57</x:v>
      </x:c>
      <x:c r="AG95" t="n">
        <x:f>Profiles_140!AJ91</x:f>
        <x:v>0</x:v>
      </x:c>
      <x:c r="AH95" s="60" t="n">
        <x:f>Model_Formula!$I$8*(AE95*100)+(1-Model_Formula!$I$8)*AD95+AG95</x:f>
        <x:v>65.46163048363935</x:v>
      </x:c>
      <x:c r="AI95" t="n">
        <x:f>RANK.EQ(AH95,$AH$6:$AH$135,0)+COUNTIF($AH$6:AH95,AH95)-1</x:f>
        <x:v>126</x:v>
      </x:c>
    </x:row>
    <x:row r="96">
      <x:c r="A96" t="str">
        <x:f>Profiles_140!A92</x:f>
        <x:v>マスカーニャ</x:v>
      </x:c>
      <x:c r="B96" t="str">
        <x:f>Profiles_140!C92</x:f>
        <x:v>マスカーニャ-1</x:v>
      </x:c>
      <x:c r="C96" t="str">
        <x:f>Profiles_140!D92</x:f>
        <x:v>トリックフラワー</x:v>
      </x:c>
      <x:c r="D96" t="str">
        <x:f>Profiles_140!B92</x:f>
        <x:v>スピード型</x:v>
      </x:c>
      <x:c r="E96" t="str">
        <x:f>Profiles_140!I92</x:f>
        <x:v>高</x:v>
      </x:c>
      <x:c r="F96" s="66" t="n">
        <x:f>Model_Formula!$M$13*(Profiles_140!K92-Simulator!$L$11)^2*IF(Profiles_140!K92&gt;Simulator!$L$11,1+Model_Formula!$N$13,1)</x:f>
        <x:v>25</x:v>
      </x:c>
      <x:c r="G96" s="66" t="n">
        <x:f>Model_Formula!$M$14*(Profiles_140!L92-Simulator!$L$12)^2*IF(Profiles_140!L92&gt;Simulator!$L$12,1+Model_Formula!$N$14,1)</x:f>
        <x:v>420</x:v>
      </x:c>
      <x:c r="H96" s="66" t="n">
        <x:f>Model_Formula!$M$15*(Profiles_140!M92-Simulator!$L$13)^2*IF(Profiles_140!M92&gt;Simulator!$L$13,1+Model_Formula!$N$15,1)</x:f>
        <x:v>400</x:v>
      </x:c>
      <x:c r="I96" s="66" t="n">
        <x:f>Model_Formula!$M$16*(Profiles_140!N92-Simulator!$L$14)^2*IF(Profiles_140!N92&gt;Simulator!$L$14,1+Model_Formula!$N$16,1)</x:f>
        <x:v>900</x:v>
      </x:c>
      <x:c r="J96" s="66" t="n">
        <x:f>Model_Formula!$M$17*(Profiles_140!O92-Simulator!$L$15)^2*IF(Profiles_140!O92&gt;Simulator!$L$15,1+Model_Formula!$N$17,1)</x:f>
        <x:v>625</x:v>
      </x:c>
      <x:c r="K96" s="66" t="n">
        <x:f>Model_Formula!$M$18*(Profiles_140!P92-Simulator!$L$16)^2*IF(Profiles_140!P92&gt;Simulator!$L$16,1+Model_Formula!$N$18,1)</x:f>
        <x:v>562.5</x:v>
      </x:c>
      <x:c r="L96" s="66" t="n">
        <x:f>Model_Formula!$M$19*(Profiles_140!Q92-Simulator!$L$17)^2*IF(Profiles_140!Q92&gt;Simulator!$L$17,1+Model_Formula!$N$19,1)</x:f>
        <x:v>0</x:v>
      </x:c>
      <x:c r="M96" s="66" t="n">
        <x:f>Model_Formula!$M$20*(Profiles_140!R92-Simulator!$L$18)^2*IF(Profiles_140!R92&gt;Simulator!$L$18,1+Model_Formula!$N$20,1)</x:f>
        <x:v>400</x:v>
      </x:c>
      <x:c r="N96" s="66" t="n">
        <x:f>Model_Formula!$M$21*(Profiles_140!S92-Simulator!$L$19)^2*IF(Profiles_140!S92&gt;Simulator!$L$19,1+Model_Formula!$N$21,1)</x:f>
        <x:v>1600</x:v>
      </x:c>
      <x:c r="O96" s="66" t="n">
        <x:f>Model_Formula!$M$22*(Profiles_140!T92-Simulator!$L$20)^2*IF(Profiles_140!T92&gt;Simulator!$L$20,1+Model_Formula!$N$22,1)</x:f>
        <x:v>100</x:v>
      </x:c>
      <x:c r="P96" s="66" t="n">
        <x:f>Model_Formula!$M$23*(Profiles_140!U92-Simulator!$L$21)^2*IF(Profiles_140!U92&gt;Simulator!$L$21,1+Model_Formula!$N$23,1)</x:f>
        <x:v>11.25</x:v>
      </x:c>
      <x:c r="Q96" s="66" t="n">
        <x:f>Model_Formula!$M$24*(Profiles_140!V92-Simulator!$L$22)^2*IF(Profiles_140!V92&gt;Simulator!$L$22,1+Model_Formula!$N$24,1)</x:f>
        <x:v>40</x:v>
      </x:c>
      <x:c r="R96" s="66" t="n">
        <x:f>Model_Formula!$M$25*(Profiles_140!W92-Simulator!$L$23)^2*IF(Profiles_140!W92&gt;Simulator!$L$23,1+Model_Formula!$N$25,1)</x:f>
        <x:v>551.25</x:v>
      </x:c>
      <x:c r="S96" s="66" t="n">
        <x:f>Model_Formula!$M$26*(Profiles_140!X92-Simulator!$L$24)^2*IF(Profiles_140!X92&gt;Simulator!$L$24,1+Model_Formula!$N$26,1)</x:f>
        <x:v>1336.5000000000002</x:v>
      </x:c>
      <x:c r="T96" s="66" t="n">
        <x:f>Model_Formula!$M$27*(Profiles_140!Y92-Simulator!$L$25)^2*IF(Profiles_140!Y92&gt;Simulator!$L$25,1+Model_Formula!$N$27,1)</x:f>
        <x:v>3018.7499999999995</x:v>
      </x:c>
      <x:c r="U96" s="60" t="n">
        <x:f>SUM(F96:T96)/SUM($F$4:$T$4)</x:f>
        <x:v>745.5410447761195</x:v>
      </x:c>
      <x:c r="V96" s="60" t="n">
        <x:f>SQRT(U96)</x:f>
        <x:v>27.304597502547434</x:v>
      </x:c>
      <x:c r="W96" s="60" t="n">
        <x:f>MAX(0,100-V96)</x:f>
        <x:v>72.69540249745256</x:v>
      </x:c>
      <x:c r="X96" s="60" t="n">
        <x:f>SUMPRODUCT(Profiles_140!K92:Y92,$F$4:$T$4)/SUM($F$4:$T$4)</x:f>
        <x:v>54.58955223880598</x:v>
      </x:c>
      <x:c r="Y96" s="60" t="n">
        <x:f>IFERROR(50+50*SUMPRODUCT(($F$3:$T$3-$X$3)*(Profiles_140!K92:Y92-X96),$F$4:$T$4)/SQRT(SUMPRODUCT(($F$3:$T$3-$X$3)^2,$F$4:$T$4)*SUMPRODUCT((Profiles_140!K92:Y92-X96)^2,$F$4:$T$4)),50)</x:f>
        <x:v>50.000000000000014</x:v>
      </x:c>
      <x:c r="Z96" s="60" t="n">
        <x:f>$Z$3</x:f>
        <x:v>3.9474596431116675e-16</x:v>
      </x:c>
      <x:c r="AA96" s="60" t="n">
        <x:f>W96*(1-Model_Formula!$F$8*Z96)+Y96*(Model_Formula!$F$8*Z96)</x:f>
        <x:v>72.69540249745256</x:v>
      </x:c>
      <x:c r="AB96" s="60" t="n">
        <x:f>SQRT(SUMPRODUCT((Profiles_140!K92:Y92-50)^2,$F$4:$T$4)/SUM($F$4:$T$4))</x:f>
        <x:v>26.27353245117007</x:v>
      </x:c>
      <x:c r="AC96" s="60" t="n">
        <x:f>MAX(-Model_Formula!$F$11,MIN(Model_Formula!$F$11,Model_Formula!$F$10*(AB96-AVERAGE($AB$6:$AB$135))))</x:f>
        <x:v>-1.0789345404214368</x:v>
      </x:c>
      <x:c r="AD96" s="60" t="n">
        <x:f>MAX(0,MIN(100,AA96+AC96))</x:f>
        <x:v>71.61646795703112</x:v>
      </x:c>
      <x:c r="AE96" s="60" t="n">
        <x:f>MAX(0,MIN(1,IFERROR((MATCH(AD96,Percentile_Calibration!$F92:$DB92,1)-1)/100,0)))</x:f>
        <x:v>0.79</x:v>
      </x:c>
      <x:c r="AF96" s="62" t="n">
        <x:f>ROUND(MAX(Model_Formula!$I$9,Model_Formula!$I$5+Model_Formula!$I$6*POWER(AE96,Model_Formula!$I$7)),0)</x:f>
        <x:v>69</x:v>
      </x:c>
      <x:c r="AG96" t="n">
        <x:f>Profiles_140!AJ92</x:f>
        <x:v>0</x:v>
      </x:c>
      <x:c r="AH96" s="60" t="n">
        <x:f>Model_Formula!$I$8*(AE96*100)+(1-Model_Formula!$I$8)*AD96+AG96</x:f>
        <x:v>77.52329359140623</x:v>
      </x:c>
      <x:c r="AI96" t="n">
        <x:f>RANK.EQ(AH96,$AH$6:$AH$135,0)+COUNTIF($AH$6:AH96,AH96)-1</x:f>
        <x:v>62</x:v>
      </x:c>
    </x:row>
    <x:row r="97">
      <x:c r="A97" t="str">
        <x:f>Profiles_140!A93</x:f>
        <x:v>マスカーニャ</x:v>
      </x:c>
      <x:c r="B97" t="str">
        <x:f>Profiles_140!C93</x:f>
        <x:v>マスカーニャ-2</x:v>
      </x:c>
      <x:c r="C97" t="str">
        <x:f>Profiles_140!D93</x:f>
        <x:v>つじぎり</x:v>
      </x:c>
      <x:c r="D97" t="str">
        <x:f>Profiles_140!B93</x:f>
        <x:v>スピード型</x:v>
      </x:c>
      <x:c r="E97" t="str">
        <x:f>Profiles_140!I93</x:f>
        <x:v>高</x:v>
      </x:c>
      <x:c r="F97" s="66" t="n">
        <x:f>Model_Formula!$M$13*(Profiles_140!K93-Simulator!$L$11)^2*IF(Profiles_140!K93&gt;Simulator!$L$11,1+Model_Formula!$N$13,1)</x:f>
        <x:v>100</x:v>
      </x:c>
      <x:c r="G97" s="66" t="n">
        <x:f>Model_Formula!$M$14*(Profiles_140!L93-Simulator!$L$12)^2*IF(Profiles_140!L93&gt;Simulator!$L$12,1+Model_Formula!$N$14,1)</x:f>
        <x:v>1680</x:v>
      </x:c>
      <x:c r="H97" s="66" t="n">
        <x:f>Model_Formula!$M$15*(Profiles_140!M93-Simulator!$L$13)^2*IF(Profiles_140!M93&gt;Simulator!$L$13,1+Model_Formula!$N$15,1)</x:f>
        <x:v>1225</x:v>
      </x:c>
      <x:c r="I97" s="66" t="n">
        <x:f>Model_Formula!$M$16*(Profiles_140!N93-Simulator!$L$14)^2*IF(Profiles_140!N93&gt;Simulator!$L$14,1+Model_Formula!$N$16,1)</x:f>
        <x:v>225</x:v>
      </x:c>
      <x:c r="J97" s="66" t="n">
        <x:f>Model_Formula!$M$17*(Profiles_140!O93-Simulator!$L$15)^2*IF(Profiles_140!O93&gt;Simulator!$L$15,1+Model_Formula!$N$17,1)</x:f>
        <x:v>1600</x:v>
      </x:c>
      <x:c r="K97" s="66" t="n">
        <x:f>Model_Formula!$M$18*(Profiles_140!P93-Simulator!$L$16)^2*IF(Profiles_140!P93&gt;Simulator!$L$16,1+Model_Formula!$N$18,1)</x:f>
        <x:v>0</x:v>
      </x:c>
      <x:c r="L97" s="66" t="n">
        <x:f>Model_Formula!$M$19*(Profiles_140!Q93-Simulator!$L$17)^2*IF(Profiles_140!Q93&gt;Simulator!$L$17,1+Model_Formula!$N$19,1)</x:f>
        <x:v>625</x:v>
      </x:c>
      <x:c r="M97" s="66" t="n">
        <x:f>Model_Formula!$M$20*(Profiles_140!R93-Simulator!$L$18)^2*IF(Profiles_140!R93&gt;Simulator!$L$18,1+Model_Formula!$N$20,1)</x:f>
        <x:v>2025</x:v>
      </x:c>
      <x:c r="N97" s="66" t="n">
        <x:f>Model_Formula!$M$21*(Profiles_140!S93-Simulator!$L$19)^2*IF(Profiles_140!S93&gt;Simulator!$L$19,1+Model_Formula!$N$21,1)</x:f>
        <x:v>1600</x:v>
      </x:c>
      <x:c r="O97" s="66" t="n">
        <x:f>Model_Formula!$M$22*(Profiles_140!T93-Simulator!$L$20)^2*IF(Profiles_140!T93&gt;Simulator!$L$20,1+Model_Formula!$N$22,1)</x:f>
        <x:v>225</x:v>
      </x:c>
      <x:c r="P97" s="66" t="n">
        <x:f>Model_Formula!$M$23*(Profiles_140!U93-Simulator!$L$21)^2*IF(Profiles_140!U93&gt;Simulator!$L$21,1+Model_Formula!$N$23,1)</x:f>
        <x:v>11.25</x:v>
      </x:c>
      <x:c r="Q97" s="66" t="n">
        <x:f>Model_Formula!$M$24*(Profiles_140!V93-Simulator!$L$22)^2*IF(Profiles_140!V93&gt;Simulator!$L$22,1+Model_Formula!$N$24,1)</x:f>
        <x:v>250</x:v>
      </x:c>
      <x:c r="R97" s="66" t="n">
        <x:f>Model_Formula!$M$25*(Profiles_140!W93-Simulator!$L$23)^2*IF(Profiles_140!W93&gt;Simulator!$L$23,1+Model_Formula!$N$25,1)</x:f>
        <x:v>551.25</x:v>
      </x:c>
      <x:c r="S97" s="66" t="n">
        <x:f>Model_Formula!$M$26*(Profiles_140!X93-Simulator!$L$24)^2*IF(Profiles_140!X93&gt;Simulator!$L$24,1+Model_Formula!$N$26,1)</x:f>
        <x:v>1336.5000000000002</x:v>
      </x:c>
      <x:c r="T97" s="66" t="n">
        <x:f>Model_Formula!$M$27*(Profiles_140!Y93-Simulator!$L$25)^2*IF(Profiles_140!Y93&gt;Simulator!$L$25,1+Model_Formula!$N$27,1)</x:f>
        <x:v>754.6874999999999</x:v>
      </x:c>
      <x:c r="U97" s="60" t="n">
        <x:f>SUM(F97:T97)/SUM($F$4:$T$4)</x:f>
        <x:v>911.0960820895523</x:v>
      </x:c>
      <x:c r="V97" s="60" t="n">
        <x:f>SQRT(U97)</x:f>
        <x:v>30.18436817443016</x:v>
      </x:c>
      <x:c r="W97" s="60" t="n">
        <x:f>MAX(0,100-V97)</x:f>
        <x:v>69.81563182556984</x:v>
      </x:c>
      <x:c r="X97" s="60" t="n">
        <x:f>SUMPRODUCT(Profiles_140!K93:Y93,$F$4:$T$4)/SUM($F$4:$T$4)</x:f>
        <x:v>52.55597014925374</x:v>
      </x:c>
      <x:c r="Y97" s="60" t="n">
        <x:f>IFERROR(50+50*SUMPRODUCT(($F$3:$T$3-$X$3)*(Profiles_140!K93:Y93-X97),$F$4:$T$4)/SQRT(SUMPRODUCT(($F$3:$T$3-$X$3)^2,$F$4:$T$4)*SUMPRODUCT((Profiles_140!K93:Y93-X97)^2,$F$4:$T$4)),50)</x:f>
        <x:v>50.000000000000014</x:v>
      </x:c>
      <x:c r="Z97" s="60" t="n">
        <x:f>$Z$3</x:f>
        <x:v>3.9474596431116675e-16</x:v>
      </x:c>
      <x:c r="AA97" s="60" t="n">
        <x:f>W97*(1-Model_Formula!$F$8*Z97)+Y97*(Model_Formula!$F$8*Z97)</x:f>
        <x:v>69.81563182556984</x:v>
      </x:c>
      <x:c r="AB97" s="60" t="n">
        <x:f>SQRT(SUMPRODUCT((Profiles_140!K93:Y93-50)^2,$F$4:$T$4)/SUM($F$4:$T$4))</x:f>
        <x:v>29.62923878611761</x:v>
      </x:c>
      <x:c r="AC97" s="60" t="n">
        <x:f>MAX(-Model_Formula!$F$11,MIN(Model_Formula!$F$11,Model_Formula!$F$10*(AB97-AVERAGE($AB$6:$AB$135))))</x:f>
        <x:v>0.43113331030495683</x:v>
      </x:c>
      <x:c r="AD97" s="60" t="n">
        <x:f>MAX(0,MIN(100,AA97+AC97))</x:f>
        <x:v>70.2467651358748</x:v>
      </x:c>
      <x:c r="AE97" s="60" t="n">
        <x:f>MAX(0,MIN(1,IFERROR((MATCH(AD97,Percentile_Calibration!$F93:$DB93,1)-1)/100,0)))</x:f>
        <x:v>0.71</x:v>
      </x:c>
      <x:c r="AF97" s="62" t="n">
        <x:f>ROUND(MAX(Model_Formula!$I$9,Model_Formula!$I$5+Model_Formula!$I$6*POWER(AE97,Model_Formula!$I$7)),0)</x:f>
        <x:v>62</x:v>
      </x:c>
      <x:c r="AG97" t="n">
        <x:f>Profiles_140!AJ93</x:f>
        <x:v>0</x:v>
      </x:c>
      <x:c r="AH97" s="60" t="n">
        <x:f>Model_Formula!$I$8*(AE97*100)+(1-Model_Formula!$I$8)*AD97+AG97</x:f>
        <x:v>70.84935302717496</x:v>
      </x:c>
      <x:c r="AI97" t="n">
        <x:f>RANK.EQ(AH97,$AH$6:$AH$135,0)+COUNTIF($AH$6:AH97,AH97)-1</x:f>
        <x:v>100</x:v>
      </x:c>
    </x:row>
    <x:row r="98">
      <x:c r="A98" t="str">
        <x:f>Profiles_140!A94</x:f>
        <x:v>モルペコ</x:v>
      </x:c>
      <x:c r="B98" t="str">
        <x:f>Profiles_140!C94</x:f>
        <x:v>モルペコ-1</x:v>
      </x:c>
      <x:c r="C98" t="str">
        <x:f>Profiles_140!D94</x:f>
        <x:v>共通</x:v>
      </x:c>
      <x:c r="D98" t="str">
        <x:f>Profiles_140!B94</x:f>
        <x:v>スピード型</x:v>
      </x:c>
      <x:c r="E98" t="str">
        <x:f>Profiles_140!I94</x:f>
        <x:v>低</x:v>
      </x:c>
      <x:c r="F98" s="66" t="n">
        <x:f>Model_Formula!$M$13*(Profiles_140!K94-Simulator!$L$11)^2*IF(Profiles_140!K94&gt;Simulator!$L$11,1+Model_Formula!$N$13,1)</x:f>
        <x:v>25</x:v>
      </x:c>
      <x:c r="G98" s="66" t="n">
        <x:f>Model_Formula!$M$14*(Profiles_140!L94-Simulator!$L$12)^2*IF(Profiles_140!L94&gt;Simulator!$L$12,1+Model_Formula!$N$14,1)</x:f>
        <x:v>2126.25</x:v>
      </x:c>
      <x:c r="H98" s="66" t="n">
        <x:f>Model_Formula!$M$15*(Profiles_140!M94-Simulator!$L$13)^2*IF(Profiles_140!M94&gt;Simulator!$L$13,1+Model_Formula!$N$15,1)</x:f>
        <x:v>1225</x:v>
      </x:c>
      <x:c r="I98" s="66" t="n">
        <x:f>Model_Formula!$M$16*(Profiles_140!N94-Simulator!$L$14)^2*IF(Profiles_140!N94&gt;Simulator!$L$14,1+Model_Formula!$N$16,1)</x:f>
        <x:v>1225</x:v>
      </x:c>
      <x:c r="J98" s="66" t="n">
        <x:f>Model_Formula!$M$17*(Profiles_140!O94-Simulator!$L$15)^2*IF(Profiles_140!O94&gt;Simulator!$L$15,1+Model_Formula!$N$17,1)</x:f>
        <x:v>1225</x:v>
      </x:c>
      <x:c r="K98" s="66" t="n">
        <x:f>Model_Formula!$M$18*(Profiles_140!P94-Simulator!$L$16)^2*IF(Profiles_140!P94&gt;Simulator!$L$16,1+Model_Formula!$N$18,1)</x:f>
        <x:v>1440</x:v>
      </x:c>
      <x:c r="L98" s="66" t="n">
        <x:f>Model_Formula!$M$19*(Profiles_140!Q94-Simulator!$L$17)^2*IF(Profiles_140!Q94&gt;Simulator!$L$17,1+Model_Formula!$N$19,1)</x:f>
        <x:v>625</x:v>
      </x:c>
      <x:c r="M98" s="66" t="n">
        <x:f>Model_Formula!$M$20*(Profiles_140!R94-Simulator!$L$18)^2*IF(Profiles_140!R94&gt;Simulator!$L$18,1+Model_Formula!$N$20,1)</x:f>
        <x:v>2025</x:v>
      </x:c>
      <x:c r="N98" s="66" t="n">
        <x:f>Model_Formula!$M$21*(Profiles_140!S94-Simulator!$L$19)^2*IF(Profiles_140!S94&gt;Simulator!$L$19,1+Model_Formula!$N$21,1)</x:f>
        <x:v>1600</x:v>
      </x:c>
      <x:c r="O98" s="66" t="n">
        <x:f>Model_Formula!$M$22*(Profiles_140!T94-Simulator!$L$20)^2*IF(Profiles_140!T94&gt;Simulator!$L$20,1+Model_Formula!$N$22,1)</x:f>
        <x:v>100</x:v>
      </x:c>
      <x:c r="P98" s="66" t="n">
        <x:f>Model_Formula!$M$23*(Profiles_140!U94-Simulator!$L$21)^2*IF(Profiles_140!U94&gt;Simulator!$L$21,1+Model_Formula!$N$23,1)</x:f>
        <x:v>11.25</x:v>
      </x:c>
      <x:c r="Q98" s="66" t="n">
        <x:f>Model_Formula!$M$24*(Profiles_140!V94-Simulator!$L$22)^2*IF(Profiles_140!V94&gt;Simulator!$L$22,1+Model_Formula!$N$24,1)</x:f>
        <x:v>160</x:v>
      </x:c>
      <x:c r="R98" s="66" t="n">
        <x:f>Model_Formula!$M$25*(Profiles_140!W94-Simulator!$L$23)^2*IF(Profiles_140!W94&gt;Simulator!$L$23,1+Model_Formula!$N$25,1)</x:f>
        <x:v>551.25</x:v>
      </x:c>
      <x:c r="S98" s="66" t="n">
        <x:f>Model_Formula!$M$26*(Profiles_140!X94-Simulator!$L$24)^2*IF(Profiles_140!X94&gt;Simulator!$L$24,1+Model_Formula!$N$26,1)</x:f>
        <x:v>2376.0000000000005</x:v>
      </x:c>
      <x:c r="T98" s="66" t="n">
        <x:f>Model_Formula!$M$27*(Profiles_140!Y94-Simulator!$L$25)^2*IF(Profiles_140!Y94&gt;Simulator!$L$25,1+Model_Formula!$N$27,1)</x:f>
        <x:v>754.6874999999999</x:v>
      </x:c>
      <x:c r="U98" s="60" t="n">
        <x:f>SUM(F98:T98)/SUM($F$4:$T$4)</x:f>
        <x:v>1154.4356343283582</x:v>
      </x:c>
      <x:c r="V98" s="60" t="n">
        <x:f>SQRT(U98)</x:f>
        <x:v>33.976986834155234</x:v>
      </x:c>
      <x:c r="W98" s="60" t="n">
        <x:f>MAX(0,100-V98)</x:f>
        <x:v>66.02301316584476</x:v>
      </x:c>
      <x:c r="X98" s="60" t="n">
        <x:f>SUMPRODUCT(Profiles_140!K94:Y94,$F$4:$T$4)/SUM($F$4:$T$4)</x:f>
        <x:v>49.06716417910448</x:v>
      </x:c>
      <x:c r="Y98" s="60" t="n">
        <x:f>IFERROR(50+50*SUMPRODUCT(($F$3:$T$3-$X$3)*(Profiles_140!K94:Y94-X98),$F$4:$T$4)/SQRT(SUMPRODUCT(($F$3:$T$3-$X$3)^2,$F$4:$T$4)*SUMPRODUCT((Profiles_140!K94:Y94-X98)^2,$F$4:$T$4)),50)</x:f>
        <x:v>50.00000000000001</x:v>
      </x:c>
      <x:c r="Z98" s="60" t="n">
        <x:f>$Z$3</x:f>
        <x:v>3.9474596431116675e-16</x:v>
      </x:c>
      <x:c r="AA98" s="60" t="n">
        <x:f>W98*(1-Model_Formula!$F$8*Z98)+Y98*(Model_Formula!$F$8*Z98)</x:f>
        <x:v>66.02301316584476</x:v>
      </x:c>
      <x:c r="AB98" s="60" t="n">
        <x:f>SQRT(SUMPRODUCT((Profiles_140!K94:Y94-50)^2,$F$4:$T$4)/SUM($F$4:$T$4))</x:f>
        <x:v>33.18311924736845</x:v>
      </x:c>
      <x:c r="AC98" s="60" t="n">
        <x:f>MAX(-Model_Formula!$F$11,MIN(Model_Formula!$F$11,Model_Formula!$F$10*(AB98-AVERAGE($AB$6:$AB$135))))</x:f>
        <x:v>2.0303795178678357</x:v>
      </x:c>
      <x:c r="AD98" s="60" t="n">
        <x:f>MAX(0,MIN(100,AA98+AC98))</x:f>
        <x:v>68.05339268371259</x:v>
      </x:c>
      <x:c r="AE98" s="60" t="n">
        <x:f>MAX(0,MIN(1,IFERROR((MATCH(AD98,Percentile_Calibration!$F94:$DB94,1)-1)/100,0)))</x:f>
        <x:v>0.67</x:v>
      </x:c>
      <x:c r="AF98" s="62" t="n">
        <x:f>ROUND(MAX(Model_Formula!$I$9,Model_Formula!$I$5+Model_Formula!$I$6*POWER(AE98,Model_Formula!$I$7)),0)</x:f>
        <x:v>59</x:v>
      </x:c>
      <x:c r="AG98" t="n">
        <x:f>Profiles_140!AJ94</x:f>
        <x:v>0</x:v>
      </x:c>
      <x:c r="AH98" s="60" t="n">
        <x:f>Model_Formula!$I$8*(AE98*100)+(1-Model_Formula!$I$8)*AD98+AG98</x:f>
        <x:v>67.21067853674252</x:v>
      </x:c>
      <x:c r="AI98" t="n">
        <x:f>RANK.EQ(AH98,$AH$6:$AH$135,0)+COUNTIF($AH$6:AH98,AH98)-1</x:f>
        <x:v>120</x:v>
      </x:c>
    </x:row>
    <x:row r="99">
      <x:c r="A99" t="str">
        <x:f>Profiles_140!A95</x:f>
        <x:v>リーフィア</x:v>
      </x:c>
      <x:c r="B99" t="str">
        <x:f>Profiles_140!C95</x:f>
        <x:v>リーフィア-1</x:v>
      </x:c>
      <x:c r="C99" t="str">
        <x:f>Profiles_140!D95</x:f>
        <x:v>共通</x:v>
      </x:c>
      <x:c r="D99" t="str">
        <x:f>Profiles_140!B95</x:f>
        <x:v>スピード型</x:v>
      </x:c>
      <x:c r="E99" t="str">
        <x:f>Profiles_140!I95</x:f>
        <x:v>高</x:v>
      </x:c>
      <x:c r="F99" s="66" t="n">
        <x:f>Model_Formula!$M$13*(Profiles_140!K95-Simulator!$L$11)^2*IF(Profiles_140!K95&gt;Simulator!$L$11,1+Model_Formula!$N$13,1)</x:f>
        <x:v>25</x:v>
      </x:c>
      <x:c r="G99" s="66" t="n">
        <x:f>Model_Formula!$M$14*(Profiles_140!L95-Simulator!$L$12)^2*IF(Profiles_140!L95&gt;Simulator!$L$12,1+Model_Formula!$N$14,1)</x:f>
        <x:v>2126.25</x:v>
      </x:c>
      <x:c r="H99" s="66" t="n">
        <x:f>Model_Formula!$M$15*(Profiles_140!M95-Simulator!$L$13)^2*IF(Profiles_140!M95&gt;Simulator!$L$13,1+Model_Formula!$N$15,1)</x:f>
        <x:v>1600</x:v>
      </x:c>
      <x:c r="I99" s="66" t="n">
        <x:f>Model_Formula!$M$16*(Profiles_140!N95-Simulator!$L$14)^2*IF(Profiles_140!N95&gt;Simulator!$L$14,1+Model_Formula!$N$16,1)</x:f>
        <x:v>1225</x:v>
      </x:c>
      <x:c r="J99" s="66" t="n">
        <x:f>Model_Formula!$M$17*(Profiles_140!O95-Simulator!$L$15)^2*IF(Profiles_140!O95&gt;Simulator!$L$15,1+Model_Formula!$N$17,1)</x:f>
        <x:v>1225</x:v>
      </x:c>
      <x:c r="K99" s="66" t="n">
        <x:f>Model_Formula!$M$18*(Profiles_140!P95-Simulator!$L$16)^2*IF(Profiles_140!P95&gt;Simulator!$L$16,1+Model_Formula!$N$18,1)</x:f>
        <x:v>1440</x:v>
      </x:c>
      <x:c r="L99" s="66" t="n">
        <x:f>Model_Formula!$M$19*(Profiles_140!Q95-Simulator!$L$17)^2*IF(Profiles_140!Q95&gt;Simulator!$L$17,1+Model_Formula!$N$19,1)</x:f>
        <x:v>625</x:v>
      </x:c>
      <x:c r="M99" s="66" t="n">
        <x:f>Model_Formula!$M$20*(Profiles_140!R95-Simulator!$L$18)^2*IF(Profiles_140!R95&gt;Simulator!$L$18,1+Model_Formula!$N$20,1)</x:f>
        <x:v>2025</x:v>
      </x:c>
      <x:c r="N99" s="66" t="n">
        <x:f>Model_Formula!$M$21*(Profiles_140!S95-Simulator!$L$19)^2*IF(Profiles_140!S95&gt;Simulator!$L$19,1+Model_Formula!$N$21,1)</x:f>
        <x:v>2025</x:v>
      </x:c>
      <x:c r="O99" s="66" t="n">
        <x:f>Model_Formula!$M$22*(Profiles_140!T95-Simulator!$L$20)^2*IF(Profiles_140!T95&gt;Simulator!$L$20,1+Model_Formula!$N$22,1)</x:f>
        <x:v>100</x:v>
      </x:c>
      <x:c r="P99" s="66" t="n">
        <x:f>Model_Formula!$M$23*(Profiles_140!U95-Simulator!$L$21)^2*IF(Profiles_140!U95&gt;Simulator!$L$21,1+Model_Formula!$N$23,1)</x:f>
        <x:v>101.25</x:v>
      </x:c>
      <x:c r="Q99" s="66" t="n">
        <x:f>Model_Formula!$M$24*(Profiles_140!V95-Simulator!$L$22)^2*IF(Profiles_140!V95&gt;Simulator!$L$22,1+Model_Formula!$N$24,1)</x:f>
        <x:v>160</x:v>
      </x:c>
      <x:c r="R99" s="66" t="n">
        <x:f>Model_Formula!$M$25*(Profiles_140!W95-Simulator!$L$23)^2*IF(Profiles_140!W95&gt;Simulator!$L$23,1+Model_Formula!$N$25,1)</x:f>
        <x:v>551.25</x:v>
      </x:c>
      <x:c r="S99" s="66" t="n">
        <x:f>Model_Formula!$M$26*(Profiles_140!X95-Simulator!$L$24)^2*IF(Profiles_140!X95&gt;Simulator!$L$24,1+Model_Formula!$N$26,1)</x:f>
        <x:v>1819.1250000000002</x:v>
      </x:c>
      <x:c r="T99" s="66" t="n">
        <x:f>Model_Formula!$M$27*(Profiles_140!Y95-Simulator!$L$25)^2*IF(Profiles_140!Y95&gt;Simulator!$L$25,1+Model_Formula!$N$27,1)</x:f>
        <x:v>754.6874999999999</x:v>
      </x:c>
      <x:c r="U99" s="60" t="n">
        <x:f>SUM(F99:T99)/SUM($F$4:$T$4)</x:f>
        <x:v>1179.295708955224</x:v>
      </x:c>
      <x:c r="V99" s="60" t="n">
        <x:f>SQRT(U99)</x:f>
        <x:v>34.340875192039356</x:v>
      </x:c>
      <x:c r="W99" s="60" t="n">
        <x:f>MAX(0,100-V99)</x:f>
        <x:v>65.65912480796064</x:v>
      </x:c>
      <x:c r="X99" s="60" t="n">
        <x:f>SUMPRODUCT(Profiles_140!K95:Y95,$F$4:$T$4)/SUM($F$4:$T$4)</x:f>
        <x:v>47.985074626865675</x:v>
      </x:c>
      <x:c r="Y99" s="60" t="n">
        <x:f>IFERROR(50+50*SUMPRODUCT(($F$3:$T$3-$X$3)*(Profiles_140!K95:Y95-X99),$F$4:$T$4)/SQRT(SUMPRODUCT(($F$3:$T$3-$X$3)^2,$F$4:$T$4)*SUMPRODUCT((Profiles_140!K95:Y95-X99)^2,$F$4:$T$4)),50)</x:f>
        <x:v>50.00000000000001</x:v>
      </x:c>
      <x:c r="Z99" s="60" t="n">
        <x:f>$Z$3</x:f>
        <x:v>3.9474596431116675e-16</x:v>
      </x:c>
      <x:c r="AA99" s="60" t="n">
        <x:f>W99*(1-Model_Formula!$F$8*Z99)+Y99*(Model_Formula!$F$8*Z99)</x:f>
        <x:v>65.65912480796064</x:v>
      </x:c>
      <x:c r="AB99" s="60" t="n">
        <x:f>SQRT(SUMPRODUCT((Profiles_140!K95:Y95-50)^2,$F$4:$T$4)/SUM($F$4:$T$4))</x:f>
        <x:v>33.71577867027965</x:v>
      </x:c>
      <x:c r="AC99" s="60" t="n">
        <x:f>MAX(-Model_Formula!$F$11,MIN(Model_Formula!$F$11,Model_Formula!$F$10*(AB99-AVERAGE($AB$6:$AB$135))))</x:f>
        <x:v>2.2700762581778733</x:v>
      </x:c>
      <x:c r="AD99" s="60" t="n">
        <x:f>MAX(0,MIN(100,AA99+AC99))</x:f>
        <x:v>67.92920106613852</x:v>
      </x:c>
      <x:c r="AE99" s="60" t="n">
        <x:f>MAX(0,MIN(1,IFERROR((MATCH(AD99,Percentile_Calibration!$F95:$DB95,1)-1)/100,0)))</x:f>
        <x:v>0.67</x:v>
      </x:c>
      <x:c r="AF99" s="62" t="n">
        <x:f>ROUND(MAX(Model_Formula!$I$9,Model_Formula!$I$5+Model_Formula!$I$6*POWER(AE99,Model_Formula!$I$7)),0)</x:f>
        <x:v>59</x:v>
      </x:c>
      <x:c r="AG99" t="n">
        <x:f>Profiles_140!AJ95</x:f>
        <x:v>0</x:v>
      </x:c>
      <x:c r="AH99" s="60" t="n">
        <x:f>Model_Formula!$I$8*(AE99*100)+(1-Model_Formula!$I$8)*AD99+AG99</x:f>
        <x:v>67.1858402132277</x:v>
      </x:c>
      <x:c r="AI99" t="n">
        <x:f>RANK.EQ(AH99,$AH$6:$AH$135,0)+COUNTIF($AH$6:AH99,AH99)-1</x:f>
        <x:v>121</x:v>
      </x:c>
    </x:row>
    <x:row r="100">
      <x:c r="A100" t="str">
        <x:f>Profiles_140!A96</x:f>
        <x:v>イワパレス</x:v>
      </x:c>
      <x:c r="B100" t="str">
        <x:f>Profiles_140!C96</x:f>
        <x:v>イワパレス-1</x:v>
      </x:c>
      <x:c r="C100" t="str">
        <x:f>Profiles_140!D96</x:f>
        <x:v>がんせきふうじ</x:v>
      </x:c>
      <x:c r="D100" t="str">
        <x:f>Profiles_140!B96</x:f>
        <x:v>ディフェンス型</x:v>
      </x:c>
      <x:c r="E100" t="str">
        <x:f>Profiles_140!I96</x:f>
        <x:v>高</x:v>
      </x:c>
      <x:c r="F100" s="66" t="n">
        <x:f>Model_Formula!$M$13*(Profiles_140!K96-Simulator!$L$11)^2*IF(Profiles_140!K96&gt;Simulator!$L$11,1+Model_Formula!$N$13,1)</x:f>
        <x:v>2500</x:v>
      </x:c>
      <x:c r="G100" s="66" t="n">
        <x:f>Model_Formula!$M$14*(Profiles_140!L96-Simulator!$L$12)^2*IF(Profiles_140!L96&gt;Simulator!$L$12,1+Model_Formula!$N$14,1)</x:f>
        <x:v>945</x:v>
      </x:c>
      <x:c r="H100" s="66" t="n">
        <x:f>Model_Formula!$M$15*(Profiles_140!M96-Simulator!$L$13)^2*IF(Profiles_140!M96&gt;Simulator!$L$13,1+Model_Formula!$N$15,1)</x:f>
        <x:v>100</x:v>
      </x:c>
      <x:c r="I100" s="66" t="n">
        <x:f>Model_Formula!$M$16*(Profiles_140!N96-Simulator!$L$14)^2*IF(Profiles_140!N96&gt;Simulator!$L$14,1+Model_Formula!$N$16,1)</x:f>
        <x:v>2500</x:v>
      </x:c>
      <x:c r="J100" s="66" t="n">
        <x:f>Model_Formula!$M$17*(Profiles_140!O96-Simulator!$L$15)^2*IF(Profiles_140!O96&gt;Simulator!$L$15,1+Model_Formula!$N$17,1)</x:f>
        <x:v>900</x:v>
      </x:c>
      <x:c r="K100" s="66" t="n">
        <x:f>Model_Formula!$M$18*(Profiles_140!P96-Simulator!$L$16)^2*IF(Profiles_140!P96&gt;Simulator!$L$16,1+Model_Formula!$N$18,1)</x:f>
        <x:v>22.5</x:v>
      </x:c>
      <x:c r="L100" s="66" t="n">
        <x:f>Model_Formula!$M$19*(Profiles_140!Q96-Simulator!$L$17)^2*IF(Profiles_140!Q96&gt;Simulator!$L$17,1+Model_Formula!$N$19,1)</x:f>
        <x:v>2500</x:v>
      </x:c>
      <x:c r="M100" s="66" t="n">
        <x:f>Model_Formula!$M$20*(Profiles_140!R96-Simulator!$L$18)^2*IF(Profiles_140!R96&gt;Simulator!$L$18,1+Model_Formula!$N$20,1)</x:f>
        <x:v>1600</x:v>
      </x:c>
      <x:c r="N100" s="66" t="n">
        <x:f>Model_Formula!$M$21*(Profiles_140!S96-Simulator!$L$19)^2*IF(Profiles_140!S96&gt;Simulator!$L$19,1+Model_Formula!$N$21,1)</x:f>
        <x:v>400</x:v>
      </x:c>
      <x:c r="O100" s="66" t="n">
        <x:f>Model_Formula!$M$22*(Profiles_140!T96-Simulator!$L$20)^2*IF(Profiles_140!T96&gt;Simulator!$L$20,1+Model_Formula!$N$22,1)</x:f>
        <x:v>0</x:v>
      </x:c>
      <x:c r="P100" s="66" t="n">
        <x:f>Model_Formula!$M$23*(Profiles_140!U96-Simulator!$L$21)^2*IF(Profiles_140!U96&gt;Simulator!$L$21,1+Model_Formula!$N$23,1)</x:f>
        <x:v>551.25</x:v>
      </x:c>
      <x:c r="Q100" s="66" t="n">
        <x:f>Model_Formula!$M$24*(Profiles_140!V96-Simulator!$L$22)^2*IF(Profiles_140!V96&gt;Simulator!$L$22,1+Model_Formula!$N$24,1)</x:f>
        <x:v>40</x:v>
      </x:c>
      <x:c r="R100" s="66" t="n">
        <x:f>Model_Formula!$M$25*(Profiles_140!W96-Simulator!$L$23)^2*IF(Profiles_140!W96&gt;Simulator!$L$23,1+Model_Formula!$N$25,1)</x:f>
        <x:v>720</x:v>
      </x:c>
      <x:c r="S100" s="66" t="n">
        <x:f>Model_Formula!$M$26*(Profiles_140!X96-Simulator!$L$24)^2*IF(Profiles_140!X96&gt;Simulator!$L$24,1+Model_Formula!$N$26,1)</x:f>
        <x:v>37.12500000000001</x:v>
      </x:c>
      <x:c r="T100" s="66" t="n">
        <x:f>Model_Formula!$M$27*(Profiles_140!Y96-Simulator!$L$25)^2*IF(Profiles_140!Y96&gt;Simulator!$L$25,1+Model_Formula!$N$27,1)</x:f>
        <x:v>754.6874999999999</x:v>
      </x:c>
      <x:c r="U100" s="60" t="n">
        <x:f>SUM(F100:T100)/SUM($F$4:$T$4)</x:f>
        <x:v>1012.7285447761195</x:v>
      </x:c>
      <x:c r="V100" s="60" t="n">
        <x:f>SQRT(U100)</x:f>
        <x:v>31.823396185450093</x:v>
      </x:c>
      <x:c r="W100" s="60" t="n">
        <x:f>MAX(0,100-V100)</x:f>
        <x:v>68.1766038145499</x:v>
      </x:c>
      <x:c r="X100" s="60" t="n">
        <x:f>SUMPRODUCT(Profiles_140!K96:Y96,$F$4:$T$4)/SUM($F$4:$T$4)</x:f>
        <x:v>57.462686567164184</x:v>
      </x:c>
      <x:c r="Y100" s="60" t="n">
        <x:f>IFERROR(50+50*SUMPRODUCT(($F$3:$T$3-$X$3)*(Profiles_140!K96:Y96-X100),$F$4:$T$4)/SQRT(SUMPRODUCT(($F$3:$T$3-$X$3)^2,$F$4:$T$4)*SUMPRODUCT((Profiles_140!K96:Y96-X100)^2,$F$4:$T$4)),50)</x:f>
        <x:v>50.00000000000001</x:v>
      </x:c>
      <x:c r="Z100" s="60" t="n">
        <x:f>$Z$3</x:f>
        <x:v>3.9474596431116675e-16</x:v>
      </x:c>
      <x:c r="AA100" s="60" t="n">
        <x:f>W100*(1-Model_Formula!$F$8*Z100)+Y100*(Model_Formula!$F$8*Z100)</x:f>
        <x:v>68.1766038145499</x:v>
      </x:c>
      <x:c r="AB100" s="60" t="n">
        <x:f>SQRT(SUMPRODUCT((Profiles_140!K96:Y96-50)^2,$F$4:$T$4)/SUM($F$4:$T$4))</x:f>
        <x:v>31.69643795609339</x:v>
      </x:c>
      <x:c r="AC100" s="60" t="n">
        <x:f>MAX(-Model_Formula!$F$11,MIN(Model_Formula!$F$11,Model_Formula!$F$10*(AB100-AVERAGE($AB$6:$AB$135))))</x:f>
        <x:v>1.3613729367940577</x:v>
      </x:c>
      <x:c r="AD100" s="60" t="n">
        <x:f>MAX(0,MIN(100,AA100+AC100))</x:f>
        <x:v>69.53797675134396</x:v>
      </x:c>
      <x:c r="AE100" s="60" t="n">
        <x:f>MAX(0,MIN(1,IFERROR((MATCH(AD100,Percentile_Calibration!$F96:$DB96,1)-1)/100,0)))</x:f>
        <x:v>0.82</x:v>
      </x:c>
      <x:c r="AF100" s="62" t="n">
        <x:f>ROUND(MAX(Model_Formula!$I$9,Model_Formula!$I$5+Model_Formula!$I$6*POWER(AE100,Model_Formula!$I$7)),0)</x:f>
        <x:v>72</x:v>
      </x:c>
      <x:c r="AG100" t="n">
        <x:f>Profiles_140!AJ96</x:f>
        <x:v>0</x:v>
      </x:c>
      <x:c r="AH100" s="60" t="n">
        <x:f>Model_Formula!$I$8*(AE100*100)+(1-Model_Formula!$I$8)*AD100+AG100</x:f>
        <x:v>79.5075953502688</x:v>
      </x:c>
      <x:c r="AI100" t="n">
        <x:f>RANK.EQ(AH100,$AH$6:$AH$135,0)+COUNTIF($AH$6:AH100,AH100)-1</x:f>
        <x:v>52</x:v>
      </x:c>
    </x:row>
    <x:row r="101">
      <x:c r="A101" t="str">
        <x:f>Profiles_140!A97</x:f>
        <x:v>イワパレス</x:v>
      </x:c>
      <x:c r="B101" t="str">
        <x:f>Profiles_140!C97</x:f>
        <x:v>イワパレス-2</x:v>
      </x:c>
      <x:c r="C101" t="str">
        <x:f>Profiles_140!D97</x:f>
        <x:v>からをやぶる</x:v>
      </x:c>
      <x:c r="D101" t="str">
        <x:f>Profiles_140!B97</x:f>
        <x:v>ディフェンス型</x:v>
      </x:c>
      <x:c r="E101" t="str">
        <x:f>Profiles_140!I97</x:f>
        <x:v>高</x:v>
      </x:c>
      <x:c r="F101" s="66" t="n">
        <x:f>Model_Formula!$M$13*(Profiles_140!K97-Simulator!$L$11)^2*IF(Profiles_140!K97&gt;Simulator!$L$11,1+Model_Formula!$N$13,1)</x:f>
        <x:v>400</x:v>
      </x:c>
      <x:c r="G101" s="66" t="n">
        <x:f>Model_Formula!$M$14*(Profiles_140!L97-Simulator!$L$12)^2*IF(Profiles_140!L97&gt;Simulator!$L$12,1+Model_Formula!$N$14,1)</x:f>
        <x:v>420</x:v>
      </x:c>
      <x:c r="H101" s="66" t="n">
        <x:f>Model_Formula!$M$15*(Profiles_140!M97-Simulator!$L$13)^2*IF(Profiles_140!M97&gt;Simulator!$L$13,1+Model_Formula!$N$15,1)</x:f>
        <x:v>900</x:v>
      </x:c>
      <x:c r="I101" s="66" t="n">
        <x:f>Model_Formula!$M$16*(Profiles_140!N97-Simulator!$L$14)^2*IF(Profiles_140!N97&gt;Simulator!$L$14,1+Model_Formula!$N$16,1)</x:f>
        <x:v>1225</x:v>
      </x:c>
      <x:c r="J101" s="66" t="n">
        <x:f>Model_Formula!$M$17*(Profiles_140!O97-Simulator!$L$15)^2*IF(Profiles_140!O97&gt;Simulator!$L$15,1+Model_Formula!$N$17,1)</x:f>
        <x:v>1600</x:v>
      </x:c>
      <x:c r="K101" s="66" t="n">
        <x:f>Model_Formula!$M$18*(Profiles_140!P97-Simulator!$L$16)^2*IF(Profiles_140!P97&gt;Simulator!$L$16,1+Model_Formula!$N$18,1)</x:f>
        <x:v>22.5</x:v>
      </x:c>
      <x:c r="L101" s="66" t="n">
        <x:f>Model_Formula!$M$19*(Profiles_140!Q97-Simulator!$L$17)^2*IF(Profiles_140!Q97&gt;Simulator!$L$17,1+Model_Formula!$N$19,1)</x:f>
        <x:v>25</x:v>
      </x:c>
      <x:c r="M101" s="66" t="n">
        <x:f>Model_Formula!$M$20*(Profiles_140!R97-Simulator!$L$18)^2*IF(Profiles_140!R97&gt;Simulator!$L$18,1+Model_Formula!$N$20,1)</x:f>
        <x:v>2025</x:v>
      </x:c>
      <x:c r="N101" s="66" t="n">
        <x:f>Model_Formula!$M$21*(Profiles_140!S97-Simulator!$L$19)^2*IF(Profiles_140!S97&gt;Simulator!$L$19,1+Model_Formula!$N$21,1)</x:f>
        <x:v>225</x:v>
      </x:c>
      <x:c r="O101" s="66" t="n">
        <x:f>Model_Formula!$M$22*(Profiles_140!T97-Simulator!$L$20)^2*IF(Profiles_140!T97&gt;Simulator!$L$20,1+Model_Formula!$N$22,1)</x:f>
        <x:v>900</x:v>
      </x:c>
      <x:c r="P101" s="66" t="n">
        <x:f>Model_Formula!$M$23*(Profiles_140!U97-Simulator!$L$21)^2*IF(Profiles_140!U97&gt;Simulator!$L$21,1+Model_Formula!$N$23,1)</x:f>
        <x:v>0</x:v>
      </x:c>
      <x:c r="Q101" s="66" t="n">
        <x:f>Model_Formula!$M$24*(Profiles_140!V97-Simulator!$L$22)^2*IF(Profiles_140!V97&gt;Simulator!$L$22,1+Model_Formula!$N$24,1)</x:f>
        <x:v>160</x:v>
      </x:c>
      <x:c r="R101" s="66" t="n">
        <x:f>Model_Formula!$M$25*(Profiles_140!W97-Simulator!$L$23)^2*IF(Profiles_140!W97&gt;Simulator!$L$23,1+Model_Formula!$N$25,1)</x:f>
        <x:v>101.25</x:v>
      </x:c>
      <x:c r="S101" s="66" t="n">
        <x:f>Model_Formula!$M$26*(Profiles_140!X97-Simulator!$L$24)^2*IF(Profiles_140!X97&gt;Simulator!$L$24,1+Model_Formula!$N$26,1)</x:f>
        <x:v>0</x:v>
      </x:c>
      <x:c r="T101" s="66" t="n">
        <x:f>Model_Formula!$M$27*(Profiles_140!Y97-Simulator!$L$25)^2*IF(Profiles_140!Y97&gt;Simulator!$L$25,1+Model_Formula!$N$27,1)</x:f>
        <x:v>120.74999999999999</x:v>
      </x:c>
      <x:c r="U101" s="60" t="n">
        <x:f>SUM(F101:T101)/SUM($F$4:$T$4)</x:f>
        <x:v>606.3059701492538</x:v>
      </x:c>
      <x:c r="V101" s="60" t="n">
        <x:f>SQRT(U101)</x:f>
        <x:v>24.623281059786766</x:v>
      </x:c>
      <x:c r="W101" s="60" t="n">
        <x:f>MAX(0,100-V101)</x:f>
        <x:v>75.37671894021324</x:v>
      </x:c>
      <x:c r="X101" s="60" t="n">
        <x:f>SUMPRODUCT(Profiles_140!K97:Y97,$F$4:$T$4)/SUM($F$4:$T$4)</x:f>
        <x:v>51.62313432835821</x:v>
      </x:c>
      <x:c r="Y101" s="60" t="n">
        <x:f>IFERROR(50+50*SUMPRODUCT(($F$3:$T$3-$X$3)*(Profiles_140!K97:Y97-X101),$F$4:$T$4)/SQRT(SUMPRODUCT(($F$3:$T$3-$X$3)^2,$F$4:$T$4)*SUMPRODUCT((Profiles_140!K97:Y97-X101)^2,$F$4:$T$4)),50)</x:f>
        <x:v>50.00000000000001</x:v>
      </x:c>
      <x:c r="Z101" s="60" t="n">
        <x:f>$Z$3</x:f>
        <x:v>3.9474596431116675e-16</x:v>
      </x:c>
      <x:c r="AA101" s="60" t="n">
        <x:f>W101*(1-Model_Formula!$F$8*Z101)+Y101*(Model_Formula!$F$8*Z101)</x:f>
        <x:v>75.37671894021324</x:v>
      </x:c>
      <x:c r="AB101" s="60" t="n">
        <x:f>SQRT(SUMPRODUCT((Profiles_140!K97:Y97-50)^2,$F$4:$T$4)/SUM($F$4:$T$4))</x:f>
        <x:v>24.599402371092786</x:v>
      </x:c>
      <x:c r="AC101" s="60" t="n">
        <x:f>MAX(-Model_Formula!$F$11,MIN(Model_Formula!$F$11,Model_Formula!$F$10*(AB101-AVERAGE($AB$6:$AB$135))))</x:f>
        <x:v>-1.8322930764562144</x:v>
      </x:c>
      <x:c r="AD101" s="60" t="n">
        <x:f>MAX(0,MIN(100,AA101+AC101))</x:f>
        <x:v>73.54442586375703</x:v>
      </x:c>
      <x:c r="AE101" s="60" t="n">
        <x:f>MAX(0,MIN(1,IFERROR((MATCH(AD101,Percentile_Calibration!$F97:$DB97,1)-1)/100,0)))</x:f>
        <x:v>0.82</x:v>
      </x:c>
      <x:c r="AF101" s="62" t="n">
        <x:f>ROUND(MAX(Model_Formula!$I$9,Model_Formula!$I$5+Model_Formula!$I$6*POWER(AE101,Model_Formula!$I$7)),0)</x:f>
        <x:v>72</x:v>
      </x:c>
      <x:c r="AG101" t="n">
        <x:f>Profiles_140!AJ97</x:f>
        <x:v>0</x:v>
      </x:c>
      <x:c r="AH101" s="60" t="n">
        <x:f>Model_Formula!$I$8*(AE101*100)+(1-Model_Formula!$I$8)*AD101+AG101</x:f>
        <x:v>80.30888517275142</x:v>
      </x:c>
      <x:c r="AI101" t="n">
        <x:f>RANK.EQ(AH101,$AH$6:$AH$135,0)+COUNTIF($AH$6:AH101,AH101)-1</x:f>
        <x:v>48</x:v>
      </x:c>
    </x:row>
    <x:row r="102">
      <x:c r="A102" t="str">
        <x:f>Profiles_140!A98</x:f>
        <x:v>オーロット</x:v>
      </x:c>
      <x:c r="B102" t="str">
        <x:f>Profiles_140!C98</x:f>
        <x:v>オーロット-1</x:v>
      </x:c>
      <x:c r="C102" t="str">
        <x:f>Profiles_140!D98</x:f>
        <x:v>ウッドハンマー</x:v>
      </x:c>
      <x:c r="D102" t="str">
        <x:f>Profiles_140!B98</x:f>
        <x:v>ディフェンス型</x:v>
      </x:c>
      <x:c r="E102" t="str">
        <x:f>Profiles_140!I98</x:f>
        <x:v>高</x:v>
      </x:c>
      <x:c r="F102" s="66" t="n">
        <x:f>Model_Formula!$M$13*(Profiles_140!K98-Simulator!$L$11)^2*IF(Profiles_140!K98&gt;Simulator!$L$11,1+Model_Formula!$N$13,1)</x:f>
        <x:v>1600</x:v>
      </x:c>
      <x:c r="G102" s="66" t="n">
        <x:f>Model_Formula!$M$14*(Profiles_140!L98-Simulator!$L$12)^2*IF(Profiles_140!L98&gt;Simulator!$L$12,1+Model_Formula!$N$14,1)</x:f>
        <x:v>26.25</x:v>
      </x:c>
      <x:c r="H102" s="66" t="n">
        <x:f>Model_Formula!$M$15*(Profiles_140!M98-Simulator!$L$13)^2*IF(Profiles_140!M98&gt;Simulator!$L$13,1+Model_Formula!$N$15,1)</x:f>
        <x:v>1600</x:v>
      </x:c>
      <x:c r="I102" s="66" t="n">
        <x:f>Model_Formula!$M$16*(Profiles_140!N98-Simulator!$L$14)^2*IF(Profiles_140!N98&gt;Simulator!$L$14,1+Model_Formula!$N$16,1)</x:f>
        <x:v>2500</x:v>
      </x:c>
      <x:c r="J102" s="66" t="n">
        <x:f>Model_Formula!$M$17*(Profiles_140!O98-Simulator!$L$15)^2*IF(Profiles_140!O98&gt;Simulator!$L$15,1+Model_Formula!$N$17,1)</x:f>
        <x:v>2500</x:v>
      </x:c>
      <x:c r="K102" s="66" t="n">
        <x:f>Model_Formula!$M$18*(Profiles_140!P98-Simulator!$L$16)^2*IF(Profiles_140!P98&gt;Simulator!$L$16,1+Model_Formula!$N$18,1)</x:f>
        <x:v>202.5</x:v>
      </x:c>
      <x:c r="L102" s="66" t="n">
        <x:f>Model_Formula!$M$19*(Profiles_140!Q98-Simulator!$L$17)^2*IF(Profiles_140!Q98&gt;Simulator!$L$17,1+Model_Formula!$N$19,1)</x:f>
        <x:v>2500</x:v>
      </x:c>
      <x:c r="M102" s="66" t="n">
        <x:f>Model_Formula!$M$20*(Profiles_140!R98-Simulator!$L$18)^2*IF(Profiles_140!R98&gt;Simulator!$L$18,1+Model_Formula!$N$20,1)</x:f>
        <x:v>400</x:v>
      </x:c>
      <x:c r="N102" s="66" t="n">
        <x:f>Model_Formula!$M$21*(Profiles_140!S98-Simulator!$L$19)^2*IF(Profiles_140!S98&gt;Simulator!$L$19,1+Model_Formula!$N$21,1)</x:f>
        <x:v>400</x:v>
      </x:c>
      <x:c r="O102" s="66" t="n">
        <x:f>Model_Formula!$M$22*(Profiles_140!T98-Simulator!$L$20)^2*IF(Profiles_140!T98&gt;Simulator!$L$20,1+Model_Formula!$N$22,1)</x:f>
        <x:v>0</x:v>
      </x:c>
      <x:c r="P102" s="66" t="n">
        <x:f>Model_Formula!$M$23*(Profiles_140!U98-Simulator!$L$21)^2*IF(Profiles_140!U98&gt;Simulator!$L$21,1+Model_Formula!$N$23,1)</x:f>
        <x:v>551.25</x:v>
      </x:c>
      <x:c r="Q102" s="66" t="n">
        <x:f>Model_Formula!$M$24*(Profiles_140!V98-Simulator!$L$22)^2*IF(Profiles_140!V98&gt;Simulator!$L$22,1+Model_Formula!$N$24,1)</x:f>
        <x:v>160</x:v>
      </x:c>
      <x:c r="R102" s="66" t="n">
        <x:f>Model_Formula!$M$25*(Profiles_140!W98-Simulator!$L$23)^2*IF(Profiles_140!W98&gt;Simulator!$L$23,1+Model_Formula!$N$25,1)</x:f>
        <x:v>720</x:v>
      </x:c>
      <x:c r="S102" s="66" t="n">
        <x:f>Model_Formula!$M$26*(Profiles_140!X98-Simulator!$L$24)^2*IF(Profiles_140!X98&gt;Simulator!$L$24,1+Model_Formula!$N$26,1)</x:f>
        <x:v>37.12500000000001</x:v>
      </x:c>
      <x:c r="T102" s="66" t="n">
        <x:f>Model_Formula!$M$27*(Profiles_140!Y98-Simulator!$L$25)^2*IF(Profiles_140!Y98&gt;Simulator!$L$25,1+Model_Formula!$N$27,1)</x:f>
        <x:v>1479.1874999999998</x:v>
      </x:c>
      <x:c r="U102" s="60" t="n">
        <x:f>SUM(F102:T102)/SUM($F$4:$T$4)</x:f>
        <x:v>1095.2472014925374</x:v>
      </x:c>
      <x:c r="V102" s="60" t="n">
        <x:f>SQRT(U102)</x:f>
        <x:v>33.09451920624527</x:v>
      </x:c>
      <x:c r="W102" s="60" t="n">
        <x:f>MAX(0,100-V102)</x:f>
        <x:v>66.90548079375472</x:v>
      </x:c>
      <x:c r="X102" s="60" t="n">
        <x:f>SUMPRODUCT(Profiles_140!K98:Y98,$F$4:$T$4)/SUM($F$4:$T$4)</x:f>
        <x:v>57.369402985074636</x:v>
      </x:c>
      <x:c r="Y102" s="60" t="n">
        <x:f>IFERROR(50+50*SUMPRODUCT(($F$3:$T$3-$X$3)*(Profiles_140!K98:Y98-X102),$F$4:$T$4)/SQRT(SUMPRODUCT(($F$3:$T$3-$X$3)^2,$F$4:$T$4)*SUMPRODUCT((Profiles_140!K98:Y98-X102)^2,$F$4:$T$4)),50)</x:f>
        <x:v>50.000000000000014</x:v>
      </x:c>
      <x:c r="Z102" s="60" t="n">
        <x:f>$Z$3</x:f>
        <x:v>3.9474596431116675e-16</x:v>
      </x:c>
      <x:c r="AA102" s="60" t="n">
        <x:f>W102*(1-Model_Formula!$F$8*Z102)+Y102*(Model_Formula!$F$8*Z102)</x:f>
        <x:v>66.90548079375472</x:v>
      </x:c>
      <x:c r="AB102" s="60" t="n">
        <x:f>SQRT(SUMPRODUCT((Profiles_140!K98:Y98-50)^2,$F$4:$T$4)/SUM($F$4:$T$4))</x:f>
        <x:v>32.86534036055196</x:v>
      </x:c>
      <x:c r="AC102" s="60" t="n">
        <x:f>MAX(-Model_Formula!$F$11,MIN(Model_Formula!$F$11,Model_Formula!$F$10*(AB102-AVERAGE($AB$6:$AB$135))))</x:f>
        <x:v>1.8873790188004145</x:v>
      </x:c>
      <x:c r="AD102" s="60" t="n">
        <x:f>MAX(0,MIN(100,AA102+AC102))</x:f>
        <x:v>68.79285981255514</x:v>
      </x:c>
      <x:c r="AE102" s="60" t="n">
        <x:f>MAX(0,MIN(1,IFERROR((MATCH(AD102,Percentile_Calibration!$F98:$DB98,1)-1)/100,0)))</x:f>
        <x:v>0.78</x:v>
      </x:c>
      <x:c r="AF102" s="62" t="n">
        <x:f>ROUND(MAX(Model_Formula!$I$9,Model_Formula!$I$5+Model_Formula!$I$6*POWER(AE102,Model_Formula!$I$7)),0)</x:f>
        <x:v>68</x:v>
      </x:c>
      <x:c r="AG102" t="n">
        <x:f>Profiles_140!AJ98</x:f>
        <x:v>0</x:v>
      </x:c>
      <x:c r="AH102" s="60" t="n">
        <x:f>Model_Formula!$I$8*(AE102*100)+(1-Model_Formula!$I$8)*AD102+AG102</x:f>
        <x:v>76.15857196251103</x:v>
      </x:c>
      <x:c r="AI102" t="n">
        <x:f>RANK.EQ(AH102,$AH$6:$AH$135,0)+COUNTIF($AH$6:AH102,AH102)-1</x:f>
        <x:v>67</x:v>
      </x:c>
    </x:row>
    <x:row r="103">
      <x:c r="A103" t="str">
        <x:f>Profiles_140!A99</x:f>
        <x:v>オーロット</x:v>
      </x:c>
      <x:c r="B103" t="str">
        <x:f>Profiles_140!C99</x:f>
        <x:v>オーロット-2</x:v>
      </x:c>
      <x:c r="C103" t="str">
        <x:f>Profiles_140!D99</x:f>
        <x:v>のろい</x:v>
      </x:c>
      <x:c r="D103" t="str">
        <x:f>Profiles_140!B99</x:f>
        <x:v>ディフェンス型</x:v>
      </x:c>
      <x:c r="E103" t="str">
        <x:f>Profiles_140!I99</x:f>
        <x:v>高</x:v>
      </x:c>
      <x:c r="F103" s="66" t="n">
        <x:f>Model_Formula!$M$13*(Profiles_140!K99-Simulator!$L$11)^2*IF(Profiles_140!K99&gt;Simulator!$L$11,1+Model_Formula!$N$13,1)</x:f>
        <x:v>25</x:v>
      </x:c>
      <x:c r="G103" s="66" t="n">
        <x:f>Model_Formula!$M$14*(Profiles_140!L99-Simulator!$L$12)^2*IF(Profiles_140!L99&gt;Simulator!$L$12,1+Model_Formula!$N$14,1)</x:f>
        <x:v>26.25</x:v>
      </x:c>
      <x:c r="H103" s="66" t="n">
        <x:f>Model_Formula!$M$15*(Profiles_140!M99-Simulator!$L$13)^2*IF(Profiles_140!M99&gt;Simulator!$L$13,1+Model_Formula!$N$15,1)</x:f>
        <x:v>25</x:v>
      </x:c>
      <x:c r="I103" s="66" t="n">
        <x:f>Model_Formula!$M$16*(Profiles_140!N99-Simulator!$L$14)^2*IF(Profiles_140!N99&gt;Simulator!$L$14,1+Model_Formula!$N$16,1)</x:f>
        <x:v>2500</x:v>
      </x:c>
      <x:c r="J103" s="66" t="n">
        <x:f>Model_Formula!$M$17*(Profiles_140!O99-Simulator!$L$15)^2*IF(Profiles_140!O99&gt;Simulator!$L$15,1+Model_Formula!$N$17,1)</x:f>
        <x:v>1600</x:v>
      </x:c>
      <x:c r="K103" s="66" t="n">
        <x:f>Model_Formula!$M$18*(Profiles_140!P99-Simulator!$L$16)^2*IF(Profiles_140!P99&gt;Simulator!$L$16,1+Model_Formula!$N$18,1)</x:f>
        <x:v>1822.5</x:v>
      </x:c>
      <x:c r="L103" s="66" t="n">
        <x:f>Model_Formula!$M$19*(Profiles_140!Q99-Simulator!$L$17)^2*IF(Profiles_140!Q99&gt;Simulator!$L$17,1+Model_Formula!$N$19,1)</x:f>
        <x:v>100</x:v>
      </x:c>
      <x:c r="M103" s="66" t="n">
        <x:f>Model_Formula!$M$20*(Profiles_140!R99-Simulator!$L$18)^2*IF(Profiles_140!R99&gt;Simulator!$L$18,1+Model_Formula!$N$20,1)</x:f>
        <x:v>2500</x:v>
      </x:c>
      <x:c r="N103" s="66" t="n">
        <x:f>Model_Formula!$M$21*(Profiles_140!S99-Simulator!$L$19)^2*IF(Profiles_140!S99&gt;Simulator!$L$19,1+Model_Formula!$N$21,1)</x:f>
        <x:v>1225</x:v>
      </x:c>
      <x:c r="O103" s="66" t="n">
        <x:f>Model_Formula!$M$22*(Profiles_140!T99-Simulator!$L$20)^2*IF(Profiles_140!T99&gt;Simulator!$L$20,1+Model_Formula!$N$22,1)</x:f>
        <x:v>225</x:v>
      </x:c>
      <x:c r="P103" s="66" t="n">
        <x:f>Model_Formula!$M$23*(Profiles_140!U99-Simulator!$L$21)^2*IF(Profiles_140!U99&gt;Simulator!$L$21,1+Model_Formula!$N$23,1)</x:f>
        <x:v>180</x:v>
      </x:c>
      <x:c r="Q103" s="66" t="n">
        <x:f>Model_Formula!$M$24*(Profiles_140!V99-Simulator!$L$22)^2*IF(Profiles_140!V99&gt;Simulator!$L$22,1+Model_Formula!$N$24,1)</x:f>
        <x:v>250</x:v>
      </x:c>
      <x:c r="R103" s="66" t="n">
        <x:f>Model_Formula!$M$25*(Profiles_140!W99-Simulator!$L$23)^2*IF(Profiles_140!W99&gt;Simulator!$L$23,1+Model_Formula!$N$25,1)</x:f>
        <x:v>180</x:v>
      </x:c>
      <x:c r="S103" s="66" t="n">
        <x:f>Model_Formula!$M$26*(Profiles_140!X99-Simulator!$L$24)^2*IF(Profiles_140!X99&gt;Simulator!$L$24,1+Model_Formula!$N$26,1)</x:f>
        <x:v>0</x:v>
      </x:c>
      <x:c r="T103" s="66" t="n">
        <x:f>Model_Formula!$M$27*(Profiles_140!Y99-Simulator!$L$25)^2*IF(Profiles_140!Y99&gt;Simulator!$L$25,1+Model_Formula!$N$27,1)</x:f>
        <x:v>0</x:v>
      </x:c>
      <x:c r="U103" s="60" t="n">
        <x:f>SUM(F103:T103)/SUM($F$4:$T$4)</x:f>
        <x:v>795.429104477612</x:v>
      </x:c>
      <x:c r="V103" s="60" t="n">
        <x:f>SQRT(U103)</x:f>
        <x:v>28.20335271696633</x:v>
      </x:c>
      <x:c r="W103" s="60" t="n">
        <x:f>MAX(0,100-V103)</x:f>
        <x:v>71.79664728303368</x:v>
      </x:c>
      <x:c r="X103" s="60" t="n">
        <x:f>SUMPRODUCT(Profiles_140!K99:Y99,$F$4:$T$4)/SUM($F$4:$T$4)</x:f>
        <x:v>48.15298507462687</x:v>
      </x:c>
      <x:c r="Y103" s="60" t="n">
        <x:f>IFERROR(50+50*SUMPRODUCT(($F$3:$T$3-$X$3)*(Profiles_140!K99:Y99-X103),$F$4:$T$4)/SQRT(SUMPRODUCT(($F$3:$T$3-$X$3)^2,$F$4:$T$4)*SUMPRODUCT((Profiles_140!K99:Y99-X103)^2,$F$4:$T$4)),50)</x:f>
        <x:v>50.00000000000001</x:v>
      </x:c>
      <x:c r="Z103" s="60" t="n">
        <x:f>$Z$3</x:f>
        <x:v>3.9474596431116675e-16</x:v>
      </x:c>
      <x:c r="AA103" s="60" t="n">
        <x:f>W103*(1-Model_Formula!$F$8*Z103)+Y103*(Model_Formula!$F$8*Z103)</x:f>
        <x:v>71.79664728303368</x:v>
      </x:c>
      <x:c r="AB103" s="60" t="n">
        <x:f>SQRT(SUMPRODUCT((Profiles_140!K99:Y99-50)^2,$F$4:$T$4)/SUM($F$4:$T$4))</x:f>
        <x:v>28.20335271696633</x:v>
      </x:c>
      <x:c r="AC103" s="60" t="n">
        <x:f>MAX(-Model_Formula!$F$11,MIN(Model_Formula!$F$11,Model_Formula!$F$10*(AB103-AVERAGE($AB$6:$AB$135))))</x:f>
        <x:v>-0.2105154208131202</x:v>
      </x:c>
      <x:c r="AD103" s="60" t="n">
        <x:f>MAX(0,MIN(100,AA103+AC103))</x:f>
        <x:v>71.58613186222055</x:v>
      </x:c>
      <x:c r="AE103" s="60" t="n">
        <x:f>MAX(0,MIN(1,IFERROR((MATCH(AD103,Percentile_Calibration!$F99:$DB99,1)-1)/100,0)))</x:f>
        <x:v>0.98</x:v>
      </x:c>
      <x:c r="AF103" s="62" t="n">
        <x:f>ROUND(MAX(Model_Formula!$I$9,Model_Formula!$I$5+Model_Formula!$I$6*POWER(AE103,Model_Formula!$I$7)),0)</x:f>
        <x:v>94</x:v>
      </x:c>
      <x:c r="AG103" t="n">
        <x:f>Profiles_140!AJ99</x:f>
        <x:v>0</x:v>
      </x:c>
      <x:c r="AH103" s="60" t="n">
        <x:f>Model_Formula!$I$8*(AE103*100)+(1-Model_Formula!$I$8)*AD103+AG103</x:f>
        <x:v>92.71722637244412</x:v>
      </x:c>
      <x:c r="AI103" t="n">
        <x:f>RANK.EQ(AH103,$AH$6:$AH$135,0)+COUNTIF($AH$6:AH103,AH103)-1</x:f>
        <x:v>5</x:v>
      </x:c>
    </x:row>
    <x:row r="104">
      <x:c r="A104" t="str">
        <x:f>Profiles_140!A100</x:f>
        <x:v>カビゴン</x:v>
      </x:c>
      <x:c r="B104" t="str">
        <x:f>Profiles_140!C100</x:f>
        <x:v>カビゴン-1</x:v>
      </x:c>
      <x:c r="C104" t="str">
        <x:f>Profiles_140!D100</x:f>
        <x:v>ヘビーボンバー</x:v>
      </x:c>
      <x:c r="D104" t="str">
        <x:f>Profiles_140!B100</x:f>
        <x:v>ディフェンス型</x:v>
      </x:c>
      <x:c r="E104" t="str">
        <x:f>Profiles_140!I100</x:f>
        <x:v>高</x:v>
      </x:c>
      <x:c r="F104" s="66" t="n">
        <x:f>Model_Formula!$M$13*(Profiles_140!K100-Simulator!$L$11)^2*IF(Profiles_140!K100&gt;Simulator!$L$11,1+Model_Formula!$N$13,1)</x:f>
        <x:v>2500</x:v>
      </x:c>
      <x:c r="G104" s="66" t="n">
        <x:f>Model_Formula!$M$14*(Profiles_140!L100-Simulator!$L$12)^2*IF(Profiles_140!L100&gt;Simulator!$L$12,1+Model_Formula!$N$14,1)</x:f>
        <x:v>26.25</x:v>
      </x:c>
      <x:c r="H104" s="66" t="n">
        <x:f>Model_Formula!$M$15*(Profiles_140!M100-Simulator!$L$13)^2*IF(Profiles_140!M100&gt;Simulator!$L$13,1+Model_Formula!$N$15,1)</x:f>
        <x:v>2025</x:v>
      </x:c>
      <x:c r="I104" s="66" t="n">
        <x:f>Model_Formula!$M$16*(Profiles_140!N100-Simulator!$L$14)^2*IF(Profiles_140!N100&gt;Simulator!$L$14,1+Model_Formula!$N$16,1)</x:f>
        <x:v>2500</x:v>
      </x:c>
      <x:c r="J104" s="66" t="n">
        <x:f>Model_Formula!$M$17*(Profiles_140!O100-Simulator!$L$15)^2*IF(Profiles_140!O100&gt;Simulator!$L$15,1+Model_Formula!$N$17,1)</x:f>
        <x:v>2500</x:v>
      </x:c>
      <x:c r="K104" s="66" t="n">
        <x:f>Model_Formula!$M$18*(Profiles_140!P100-Simulator!$L$16)^2*IF(Profiles_140!P100&gt;Simulator!$L$16,1+Model_Formula!$N$18,1)</x:f>
        <x:v>22.5</x:v>
      </x:c>
      <x:c r="L104" s="66" t="n">
        <x:f>Model_Formula!$M$19*(Profiles_140!Q100-Simulator!$L$17)^2*IF(Profiles_140!Q100&gt;Simulator!$L$17,1+Model_Formula!$N$19,1)</x:f>
        <x:v>2500</x:v>
      </x:c>
      <x:c r="M104" s="66" t="n">
        <x:f>Model_Formula!$M$20*(Profiles_140!R100-Simulator!$L$18)^2*IF(Profiles_140!R100&gt;Simulator!$L$18,1+Model_Formula!$N$20,1)</x:f>
        <x:v>400</x:v>
      </x:c>
      <x:c r="N104" s="66" t="n">
        <x:f>Model_Formula!$M$21*(Profiles_140!S100-Simulator!$L$19)^2*IF(Profiles_140!S100&gt;Simulator!$L$19,1+Model_Formula!$N$21,1)</x:f>
        <x:v>225</x:v>
      </x:c>
      <x:c r="O104" s="66" t="n">
        <x:f>Model_Formula!$M$22*(Profiles_140!T100-Simulator!$L$20)^2*IF(Profiles_140!T100&gt;Simulator!$L$20,1+Model_Formula!$N$22,1)</x:f>
        <x:v>100</x:v>
      </x:c>
      <x:c r="P104" s="66" t="n">
        <x:f>Model_Formula!$M$23*(Profiles_140!U100-Simulator!$L$21)^2*IF(Profiles_140!U100&gt;Simulator!$L$21,1+Model_Formula!$N$23,1)</x:f>
        <x:v>911.25</x:v>
      </x:c>
      <x:c r="Q104" s="66" t="n">
        <x:f>Model_Formula!$M$24*(Profiles_140!V100-Simulator!$L$22)^2*IF(Profiles_140!V100&gt;Simulator!$L$22,1+Model_Formula!$N$24,1)</x:f>
        <x:v>160</x:v>
      </x:c>
      <x:c r="R104" s="66" t="n">
        <x:f>Model_Formula!$M$25*(Profiles_140!W100-Simulator!$L$23)^2*IF(Profiles_140!W100&gt;Simulator!$L$23,1+Model_Formula!$N$25,1)</x:f>
        <x:v>720</x:v>
      </x:c>
      <x:c r="S104" s="66" t="n">
        <x:f>Model_Formula!$M$26*(Profiles_140!X100-Simulator!$L$24)^2*IF(Profiles_140!X100&gt;Simulator!$L$24,1+Model_Formula!$N$26,1)</x:f>
        <x:v>27.500000000000004</x:v>
      </x:c>
      <x:c r="T104" s="66" t="n">
        <x:f>Model_Formula!$M$27*(Profiles_140!Y100-Simulator!$L$25)^2*IF(Profiles_140!Y100&gt;Simulator!$L$25,1+Model_Formula!$N$27,1)</x:f>
        <x:v>1479.1874999999998</x:v>
      </x:c>
      <x:c r="U104" s="60" t="n">
        <x:f>SUM(F104:T104)/SUM($F$4:$T$4)</x:f>
        <x:v>1201.2453358208957</x:v>
      </x:c>
      <x:c r="V104" s="60" t="n">
        <x:f>SQRT(U104)</x:f>
        <x:v>34.65898636459087</x:v>
      </x:c>
      <x:c r="W104" s="60" t="n">
        <x:f>MAX(0,100-V104)</x:f>
        <x:v>65.34101363540913</x:v>
      </x:c>
      <x:c r="X104" s="60" t="n">
        <x:f>SUMPRODUCT(Profiles_140!K100:Y100,$F$4:$T$4)/SUM($F$4:$T$4)</x:f>
        <x:v>56.28731343283582</x:v>
      </x:c>
      <x:c r="Y104" s="60" t="n">
        <x:f>IFERROR(50+50*SUMPRODUCT(($F$3:$T$3-$X$3)*(Profiles_140!K100:Y100-X104),$F$4:$T$4)/SQRT(SUMPRODUCT(($F$3:$T$3-$X$3)^2,$F$4:$T$4)*SUMPRODUCT((Profiles_140!K100:Y100-X104)^2,$F$4:$T$4)),50)</x:f>
        <x:v>50.00000000000001</x:v>
      </x:c>
      <x:c r="Z104" s="60" t="n">
        <x:f>$Z$3</x:f>
        <x:v>3.9474596431116675e-16</x:v>
      </x:c>
      <x:c r="AA104" s="60" t="n">
        <x:f>W104*(1-Model_Formula!$F$8*Z104)+Y104*(Model_Formula!$F$8*Z104)</x:f>
        <x:v>65.34101363540913</x:v>
      </x:c>
      <x:c r="AB104" s="60" t="n">
        <x:f>SQRT(SUMPRODUCT((Profiles_140!K100:Y100-50)^2,$F$4:$T$4)/SUM($F$4:$T$4))</x:f>
        <x:v>34.45064607413587</x:v>
      </x:c>
      <x:c r="AC104" s="60" t="n">
        <x:f>MAX(-Model_Formula!$F$11,MIN(Model_Formula!$F$11,Model_Formula!$F$10*(AB104-AVERAGE($AB$6:$AB$135))))</x:f>
        <x:v>2.6007665899131727</x:v>
      </x:c>
      <x:c r="AD104" s="60" t="n">
        <x:f>MAX(0,MIN(100,AA104+AC104))</x:f>
        <x:v>67.9417802253223</x:v>
      </x:c>
      <x:c r="AE104" s="60" t="n">
        <x:f>MAX(0,MIN(1,IFERROR((MATCH(AD104,Percentile_Calibration!$F100:$DB100,1)-1)/100,0)))</x:f>
        <x:v>0.73</x:v>
      </x:c>
      <x:c r="AF104" s="62" t="n">
        <x:f>ROUND(MAX(Model_Formula!$I$9,Model_Formula!$I$5+Model_Formula!$I$6*POWER(AE104,Model_Formula!$I$7)),0)</x:f>
        <x:v>63</x:v>
      </x:c>
      <x:c r="AG104" t="n">
        <x:f>Profiles_140!AJ100</x:f>
        <x:v>0</x:v>
      </x:c>
      <x:c r="AH104" s="60" t="n">
        <x:f>Model_Formula!$I$8*(AE104*100)+(1-Model_Formula!$I$8)*AD104+AG104</x:f>
        <x:v>71.98835604506446</x:v>
      </x:c>
      <x:c r="AI104" t="n">
        <x:f>RANK.EQ(AH104,$AH$6:$AH$135,0)+COUNTIF($AH$6:AH104,AH104)-1</x:f>
        <x:v>95</x:v>
      </x:c>
    </x:row>
    <x:row r="105">
      <x:c r="A105" t="str">
        <x:f>Profiles_140!A101</x:f>
        <x:v>カビゴン</x:v>
      </x:c>
      <x:c r="B105" t="str">
        <x:f>Profiles_140!C101</x:f>
        <x:v>カビゴン-2</x:v>
      </x:c>
      <x:c r="C105" t="str">
        <x:f>Profiles_140!D101</x:f>
        <x:v>じたばた</x:v>
      </x:c>
      <x:c r="D105" t="str">
        <x:f>Profiles_140!B101</x:f>
        <x:v>ディフェンス型</x:v>
      </x:c>
      <x:c r="E105" t="str">
        <x:f>Profiles_140!I101</x:f>
        <x:v>高</x:v>
      </x:c>
      <x:c r="F105" s="66" t="n">
        <x:f>Model_Formula!$M$13*(Profiles_140!K101-Simulator!$L$11)^2*IF(Profiles_140!K101&gt;Simulator!$L$11,1+Model_Formula!$N$13,1)</x:f>
        <x:v>400</x:v>
      </x:c>
      <x:c r="G105" s="66" t="n">
        <x:f>Model_Formula!$M$14*(Profiles_140!L101-Simulator!$L$12)^2*IF(Profiles_140!L101&gt;Simulator!$L$12,1+Model_Formula!$N$14,1)</x:f>
        <x:v>26.25</x:v>
      </x:c>
      <x:c r="H105" s="66" t="n">
        <x:f>Model_Formula!$M$15*(Profiles_140!M101-Simulator!$L$13)^2*IF(Profiles_140!M101&gt;Simulator!$L$13,1+Model_Formula!$N$15,1)</x:f>
        <x:v>225</x:v>
      </x:c>
      <x:c r="I105" s="66" t="n">
        <x:f>Model_Formula!$M$16*(Profiles_140!N101-Simulator!$L$14)^2*IF(Profiles_140!N101&gt;Simulator!$L$14,1+Model_Formula!$N$16,1)</x:f>
        <x:v>2025</x:v>
      </x:c>
      <x:c r="J105" s="66" t="n">
        <x:f>Model_Formula!$M$17*(Profiles_140!O101-Simulator!$L$15)^2*IF(Profiles_140!O101&gt;Simulator!$L$15,1+Model_Formula!$N$17,1)</x:f>
        <x:v>225</x:v>
      </x:c>
      <x:c r="K105" s="66" t="n">
        <x:f>Model_Formula!$M$18*(Profiles_140!P101-Simulator!$L$16)^2*IF(Profiles_140!P101&gt;Simulator!$L$16,1+Model_Formula!$N$18,1)</x:f>
        <x:v>360</x:v>
      </x:c>
      <x:c r="L105" s="66" t="n">
        <x:f>Model_Formula!$M$19*(Profiles_140!Q101-Simulator!$L$17)^2*IF(Profiles_140!Q101&gt;Simulator!$L$17,1+Model_Formula!$N$19,1)</x:f>
        <x:v>100</x:v>
      </x:c>
      <x:c r="M105" s="66" t="n">
        <x:f>Model_Formula!$M$20*(Profiles_140!R101-Simulator!$L$18)^2*IF(Profiles_140!R101&gt;Simulator!$L$18,1+Model_Formula!$N$20,1)</x:f>
        <x:v>2025</x:v>
      </x:c>
      <x:c r="N105" s="66" t="n">
        <x:f>Model_Formula!$M$21*(Profiles_140!S101-Simulator!$L$19)^2*IF(Profiles_140!S101&gt;Simulator!$L$19,1+Model_Formula!$N$21,1)</x:f>
        <x:v>100</x:v>
      </x:c>
      <x:c r="O105" s="66" t="n">
        <x:f>Model_Formula!$M$22*(Profiles_140!T101-Simulator!$L$20)^2*IF(Profiles_140!T101&gt;Simulator!$L$20,1+Model_Formula!$N$22,1)</x:f>
        <x:v>400</x:v>
      </x:c>
      <x:c r="P105" s="66" t="n">
        <x:f>Model_Formula!$M$23*(Profiles_140!U101-Simulator!$L$21)^2*IF(Profiles_140!U101&gt;Simulator!$L$21,1+Model_Formula!$N$23,1)</x:f>
        <x:v>0</x:v>
      </x:c>
      <x:c r="Q105" s="66" t="n">
        <x:f>Model_Formula!$M$24*(Profiles_140!V101-Simulator!$L$22)^2*IF(Profiles_140!V101&gt;Simulator!$L$22,1+Model_Formula!$N$24,1)</x:f>
        <x:v>10</x:v>
      </x:c>
      <x:c r="R105" s="66" t="n">
        <x:f>Model_Formula!$M$25*(Profiles_140!W101-Simulator!$L$23)^2*IF(Profiles_140!W101&gt;Simulator!$L$23,1+Model_Formula!$N$25,1)</x:f>
        <x:v>180</x:v>
      </x:c>
      <x:c r="S105" s="66" t="n">
        <x:f>Model_Formula!$M$26*(Profiles_140!X101-Simulator!$L$24)^2*IF(Profiles_140!X101&gt;Simulator!$L$24,1+Model_Formula!$N$26,1)</x:f>
        <x:v>148.50000000000003</x:v>
      </x:c>
      <x:c r="T105" s="66" t="n">
        <x:f>Model_Formula!$M$27*(Profiles_140!Y101-Simulator!$L$25)^2*IF(Profiles_140!Y101&gt;Simulator!$L$25,1+Model_Formula!$N$27,1)</x:f>
        <x:v>754.6874999999999</x:v>
      </x:c>
      <x:c r="U105" s="60" t="n">
        <x:f>SUM(F105:T105)/SUM($F$4:$T$4)</x:f>
        <x:v>520.8535447761194</x:v>
      </x:c>
      <x:c r="V105" s="60" t="n">
        <x:f>SQRT(U105)</x:f>
        <x:v>22.82221603561143</x:v>
      </x:c>
      <x:c r="W105" s="60" t="n">
        <x:f>MAX(0,100-V105)</x:f>
        <x:v>77.17778396438857</x:v>
      </x:c>
      <x:c r="X105" s="60" t="n">
        <x:f>SUMPRODUCT(Profiles_140!K101:Y101,$F$4:$T$4)/SUM($F$4:$T$4)</x:f>
        <x:v>53.95522388059702</x:v>
      </x:c>
      <x:c r="Y105" s="60" t="n">
        <x:f>IFERROR(50+50*SUMPRODUCT(($F$3:$T$3-$X$3)*(Profiles_140!K101:Y101-X105),$F$4:$T$4)/SQRT(SUMPRODUCT(($F$3:$T$3-$X$3)^2,$F$4:$T$4)*SUMPRODUCT((Profiles_140!K101:Y101-X105)^2,$F$4:$T$4)),50)</x:f>
        <x:v>50.00000000000001</x:v>
      </x:c>
      <x:c r="Z105" s="60" t="n">
        <x:f>$Z$3</x:f>
        <x:v>3.9474596431116675e-16</x:v>
      </x:c>
      <x:c r="AA105" s="60" t="n">
        <x:f>W105*(1-Model_Formula!$F$8*Z105)+Y105*(Model_Formula!$F$8*Z105)</x:f>
        <x:v>77.17778396438857</x:v>
      </x:c>
      <x:c r="AB105" s="60" t="n">
        <x:f>SQRT(SUMPRODUCT((Profiles_140!K101:Y101-50)^2,$F$4:$T$4)/SUM($F$4:$T$4))</x:f>
        <x:v>22.59721948289676</x:v>
      </x:c>
      <x:c r="AC105" s="60" t="n">
        <x:f>MAX(-Model_Formula!$F$11,MIN(Model_Formula!$F$11,Model_Formula!$F$10*(AB105-AVERAGE($AB$6:$AB$135))))</x:f>
        <x:v>-2.7332753761444253</x:v>
      </x:c>
      <x:c r="AD105" s="60" t="n">
        <x:f>MAX(0,MIN(100,AA105+AC105))</x:f>
        <x:v>74.44450858824415</x:v>
      </x:c>
      <x:c r="AE105" s="60" t="n">
        <x:f>MAX(0,MIN(1,IFERROR((MATCH(AD105,Percentile_Calibration!$F101:$DB101,1)-1)/100,0)))</x:f>
        <x:v>0.98</x:v>
      </x:c>
      <x:c r="AF105" s="62" t="n">
        <x:f>ROUND(MAX(Model_Formula!$I$9,Model_Formula!$I$5+Model_Formula!$I$6*POWER(AE105,Model_Formula!$I$7)),0)</x:f>
        <x:v>94</x:v>
      </x:c>
      <x:c r="AG105" t="n">
        <x:f>Profiles_140!AJ101</x:f>
        <x:v>0</x:v>
      </x:c>
      <x:c r="AH105" s="60" t="n">
        <x:f>Model_Formula!$I$8*(AE105*100)+(1-Model_Formula!$I$8)*AD105+AG105</x:f>
        <x:v>93.28890171764883</x:v>
      </x:c>
      <x:c r="AI105" t="n">
        <x:f>RANK.EQ(AH105,$AH$6:$AH$135,0)+COUNTIF($AH$6:AH105,AH105)-1</x:f>
        <x:v>3</x:v>
      </x:c>
    </x:row>
    <x:row r="106">
      <x:c r="A106" t="str">
        <x:f>Profiles_140!A102</x:f>
        <x:v>カメックス</x:v>
      </x:c>
      <x:c r="B106" t="str">
        <x:f>Profiles_140!C102</x:f>
        <x:v>カメックス-1</x:v>
      </x:c>
      <x:c r="C106" t="str">
        <x:f>Profiles_140!D102</x:f>
        <x:v>なみのり</x:v>
      </x:c>
      <x:c r="D106" t="str">
        <x:f>Profiles_140!B102</x:f>
        <x:v>ディフェンス型</x:v>
      </x:c>
      <x:c r="E106" t="str">
        <x:f>Profiles_140!I102</x:f>
        <x:v>高</x:v>
      </x:c>
      <x:c r="F106" s="66" t="n">
        <x:f>Model_Formula!$M$13*(Profiles_140!K102-Simulator!$L$11)^2*IF(Profiles_140!K102&gt;Simulator!$L$11,1+Model_Formula!$N$13,1)</x:f>
        <x:v>625</x:v>
      </x:c>
      <x:c r="G106" s="66" t="n">
        <x:f>Model_Formula!$M$14*(Profiles_140!L102-Simulator!$L$12)^2*IF(Profiles_140!L102&gt;Simulator!$L$12,1+Model_Formula!$N$14,1)</x:f>
        <x:v>105</x:v>
      </x:c>
      <x:c r="H106" s="66" t="n">
        <x:f>Model_Formula!$M$15*(Profiles_140!M102-Simulator!$L$13)^2*IF(Profiles_140!M102&gt;Simulator!$L$13,1+Model_Formula!$N$15,1)</x:f>
        <x:v>2500</x:v>
      </x:c>
      <x:c r="I106" s="66" t="n">
        <x:f>Model_Formula!$M$16*(Profiles_140!N102-Simulator!$L$14)^2*IF(Profiles_140!N102&gt;Simulator!$L$14,1+Model_Formula!$N$16,1)</x:f>
        <x:v>2500</x:v>
      </x:c>
      <x:c r="J106" s="66" t="n">
        <x:f>Model_Formula!$M$17*(Profiles_140!O102-Simulator!$L$15)^2*IF(Profiles_140!O102&gt;Simulator!$L$15,1+Model_Formula!$N$17,1)</x:f>
        <x:v>1600</x:v>
      </x:c>
      <x:c r="K106" s="66" t="n">
        <x:f>Model_Formula!$M$18*(Profiles_140!P102-Simulator!$L$16)^2*IF(Profiles_140!P102&gt;Simulator!$L$16,1+Model_Formula!$N$18,1)</x:f>
        <x:v>22.5</x:v>
      </x:c>
      <x:c r="L106" s="66" t="n">
        <x:f>Model_Formula!$M$19*(Profiles_140!Q102-Simulator!$L$17)^2*IF(Profiles_140!Q102&gt;Simulator!$L$17,1+Model_Formula!$N$19,1)</x:f>
        <x:v>2500</x:v>
      </x:c>
      <x:c r="M106" s="66" t="n">
        <x:f>Model_Formula!$M$20*(Profiles_140!R102-Simulator!$L$18)^2*IF(Profiles_140!R102&gt;Simulator!$L$18,1+Model_Formula!$N$20,1)</x:f>
        <x:v>100</x:v>
      </x:c>
      <x:c r="N106" s="66" t="n">
        <x:f>Model_Formula!$M$21*(Profiles_140!S102-Simulator!$L$19)^2*IF(Profiles_140!S102&gt;Simulator!$L$19,1+Model_Formula!$N$21,1)</x:f>
        <x:v>400</x:v>
      </x:c>
      <x:c r="O106" s="66" t="n">
        <x:f>Model_Formula!$M$22*(Profiles_140!T102-Simulator!$L$20)^2*IF(Profiles_140!T102&gt;Simulator!$L$20,1+Model_Formula!$N$22,1)</x:f>
        <x:v>25</x:v>
      </x:c>
      <x:c r="P106" s="66" t="n">
        <x:f>Model_Formula!$M$23*(Profiles_140!U102-Simulator!$L$21)^2*IF(Profiles_140!U102&gt;Simulator!$L$21,1+Model_Formula!$N$23,1)</x:f>
        <x:v>720</x:v>
      </x:c>
      <x:c r="Q106" s="66" t="n">
        <x:f>Model_Formula!$M$24*(Profiles_140!V102-Simulator!$L$22)^2*IF(Profiles_140!V102&gt;Simulator!$L$22,1+Model_Formula!$N$24,1)</x:f>
        <x:v>160</x:v>
      </x:c>
      <x:c r="R106" s="66" t="n">
        <x:f>Model_Formula!$M$25*(Profiles_140!W102-Simulator!$L$23)^2*IF(Profiles_140!W102&gt;Simulator!$L$23,1+Model_Formula!$N$25,1)</x:f>
        <x:v>405</x:v>
      </x:c>
      <x:c r="S106" s="66" t="n">
        <x:f>Model_Formula!$M$26*(Profiles_140!X102-Simulator!$L$24)^2*IF(Profiles_140!X102&gt;Simulator!$L$24,1+Model_Formula!$N$26,1)</x:f>
        <x:v>0</x:v>
      </x:c>
      <x:c r="T106" s="66" t="n">
        <x:f>Model_Formula!$M$27*(Profiles_140!Y102-Simulator!$L$25)^2*IF(Profiles_140!Y102&gt;Simulator!$L$25,1+Model_Formula!$N$27,1)</x:f>
        <x:v>1479.1874999999998</x:v>
      </x:c>
      <x:c r="U106" s="60" t="n">
        <x:f>SUM(F106:T106)/SUM($F$4:$T$4)</x:f>
        <x:v>980.7229477611942</x:v>
      </x:c>
      <x:c r="V106" s="60" t="n">
        <x:f>SQRT(U106)</x:f>
        <x:v>31.316496415806068</x:v>
      </x:c>
      <x:c r="W106" s="60" t="n">
        <x:f>MAX(0,100-V106)</x:f>
        <x:v>68.68350358419393</x:v>
      </x:c>
      <x:c r="X106" s="60" t="n">
        <x:f>SUMPRODUCT(Profiles_140!K102:Y102,$F$4:$T$4)/SUM($F$4:$T$4)</x:f>
        <x:v>56.138059701492544</x:v>
      </x:c>
      <x:c r="Y106" s="60" t="n">
        <x:f>IFERROR(50+50*SUMPRODUCT(($F$3:$T$3-$X$3)*(Profiles_140!K102:Y102-X106),$F$4:$T$4)/SQRT(SUMPRODUCT(($F$3:$T$3-$X$3)^2,$F$4:$T$4)*SUMPRODUCT((Profiles_140!K102:Y102-X106)^2,$F$4:$T$4)),50)</x:f>
        <x:v>50.000000000000014</x:v>
      </x:c>
      <x:c r="Z106" s="60" t="n">
        <x:f>$Z$3</x:f>
        <x:v>3.9474596431116675e-16</x:v>
      </x:c>
      <x:c r="AA106" s="60" t="n">
        <x:f>W106*(1-Model_Formula!$F$8*Z106)+Y106*(Model_Formula!$F$8*Z106)</x:f>
        <x:v>68.68350358419393</x:v>
      </x:c>
      <x:c r="AB106" s="60" t="n">
        <x:f>SQRT(SUMPRODUCT((Profiles_140!K102:Y102-50)^2,$F$4:$T$4)/SUM($F$4:$T$4))</x:f>
        <x:v>31.085762446265843</x:v>
      </x:c>
      <x:c r="AC106" s="60" t="n">
        <x:f>MAX(-Model_Formula!$F$11,MIN(Model_Formula!$F$11,Model_Formula!$F$10*(AB106-AVERAGE($AB$6:$AB$135))))</x:f>
        <x:v>1.0865689573716613</x:v>
      </x:c>
      <x:c r="AD106" s="60" t="n">
        <x:f>MAX(0,MIN(100,AA106+AC106))</x:f>
        <x:v>69.7700725415656</x:v>
      </x:c>
      <x:c r="AE106" s="60" t="n">
        <x:f>MAX(0,MIN(1,IFERROR((MATCH(AD106,Percentile_Calibration!$F102:$DB102,1)-1)/100,0)))</x:f>
        <x:v>0.77</x:v>
      </x:c>
      <x:c r="AF106" s="62" t="n">
        <x:f>ROUND(MAX(Model_Formula!$I$9,Model_Formula!$I$5+Model_Formula!$I$6*POWER(AE106,Model_Formula!$I$7)),0)</x:f>
        <x:v>67</x:v>
      </x:c>
      <x:c r="AG106" t="n">
        <x:f>Profiles_140!AJ102</x:f>
        <x:v>0</x:v>
      </x:c>
      <x:c r="AH106" s="60" t="n">
        <x:f>Model_Formula!$I$8*(AE106*100)+(1-Model_Formula!$I$8)*AD106+AG106</x:f>
        <x:v>75.55401450831312</x:v>
      </x:c>
      <x:c r="AI106" t="n">
        <x:f>RANK.EQ(AH106,$AH$6:$AH$135,0)+COUNTIF($AH$6:AH106,AH106)-1</x:f>
        <x:v>74</x:v>
      </x:c>
    </x:row>
    <x:row r="107">
      <x:c r="A107" t="str">
        <x:f>Profiles_140!A103</x:f>
        <x:v>カメックス</x:v>
      </x:c>
      <x:c r="B107" t="str">
        <x:f>Profiles_140!C103</x:f>
        <x:v>カメックス-2</x:v>
      </x:c>
      <x:c r="C107" t="str">
        <x:f>Profiles_140!D103</x:f>
        <x:v>こうそくスピン</x:v>
      </x:c>
      <x:c r="D107" t="str">
        <x:f>Profiles_140!B103</x:f>
        <x:v>ディフェンス型</x:v>
      </x:c>
      <x:c r="E107" t="str">
        <x:f>Profiles_140!I103</x:f>
        <x:v>高</x:v>
      </x:c>
      <x:c r="F107" s="66" t="n">
        <x:f>Model_Formula!$M$13*(Profiles_140!K103-Simulator!$L$11)^2*IF(Profiles_140!K103&gt;Simulator!$L$11,1+Model_Formula!$N$13,1)</x:f>
        <x:v>400</x:v>
      </x:c>
      <x:c r="G107" s="66" t="n">
        <x:f>Model_Formula!$M$14*(Profiles_140!L103-Simulator!$L$12)^2*IF(Profiles_140!L103&gt;Simulator!$L$12,1+Model_Formula!$N$14,1)</x:f>
        <x:v>656.25</x:v>
      </x:c>
      <x:c r="H107" s="66" t="n">
        <x:f>Model_Formula!$M$15*(Profiles_140!M103-Simulator!$L$13)^2*IF(Profiles_140!M103&gt;Simulator!$L$13,1+Model_Formula!$N$15,1)</x:f>
        <x:v>1600</x:v>
      </x:c>
      <x:c r="I107" s="66" t="n">
        <x:f>Model_Formula!$M$16*(Profiles_140!N103-Simulator!$L$14)^2*IF(Profiles_140!N103&gt;Simulator!$L$14,1+Model_Formula!$N$16,1)</x:f>
        <x:v>1225</x:v>
      </x:c>
      <x:c r="J107" s="66" t="n">
        <x:f>Model_Formula!$M$17*(Profiles_140!O103-Simulator!$L$15)^2*IF(Profiles_140!O103&gt;Simulator!$L$15,1+Model_Formula!$N$17,1)</x:f>
        <x:v>2500</x:v>
      </x:c>
      <x:c r="K107" s="66" t="n">
        <x:f>Model_Formula!$M$18*(Profiles_140!P103-Simulator!$L$16)^2*IF(Profiles_140!P103&gt;Simulator!$L$16,1+Model_Formula!$N$18,1)</x:f>
        <x:v>202.5</x:v>
      </x:c>
      <x:c r="L107" s="66" t="n">
        <x:f>Model_Formula!$M$19*(Profiles_140!Q103-Simulator!$L$17)^2*IF(Profiles_140!Q103&gt;Simulator!$L$17,1+Model_Formula!$N$19,1)</x:f>
        <x:v>25</x:v>
      </x:c>
      <x:c r="M107" s="66" t="n">
        <x:f>Model_Formula!$M$20*(Profiles_140!R103-Simulator!$L$18)^2*IF(Profiles_140!R103&gt;Simulator!$L$18,1+Model_Formula!$N$20,1)</x:f>
        <x:v>2025</x:v>
      </x:c>
      <x:c r="N107" s="66" t="n">
        <x:f>Model_Formula!$M$21*(Profiles_140!S103-Simulator!$L$19)^2*IF(Profiles_140!S103&gt;Simulator!$L$19,1+Model_Formula!$N$21,1)</x:f>
        <x:v>225</x:v>
      </x:c>
      <x:c r="O107" s="66" t="n">
        <x:f>Model_Formula!$M$22*(Profiles_140!T103-Simulator!$L$20)^2*IF(Profiles_140!T103&gt;Simulator!$L$20,1+Model_Formula!$N$22,1)</x:f>
        <x:v>900</x:v>
      </x:c>
      <x:c r="P107" s="66" t="n">
        <x:f>Model_Formula!$M$23*(Profiles_140!U103-Simulator!$L$21)^2*IF(Profiles_140!U103&gt;Simulator!$L$21,1+Model_Formula!$N$23,1)</x:f>
        <x:v>0</x:v>
      </x:c>
      <x:c r="Q107" s="66" t="n">
        <x:f>Model_Formula!$M$24*(Profiles_140!V103-Simulator!$L$22)^2*IF(Profiles_140!V103&gt;Simulator!$L$22,1+Model_Formula!$N$24,1)</x:f>
        <x:v>160</x:v>
      </x:c>
      <x:c r="R107" s="66" t="n">
        <x:f>Model_Formula!$M$25*(Profiles_140!W103-Simulator!$L$23)^2*IF(Profiles_140!W103&gt;Simulator!$L$23,1+Model_Formula!$N$25,1)</x:f>
        <x:v>45</x:v>
      </x:c>
      <x:c r="S107" s="66" t="n">
        <x:f>Model_Formula!$M$26*(Profiles_140!X103-Simulator!$L$24)^2*IF(Profiles_140!X103&gt;Simulator!$L$24,1+Model_Formula!$N$26,1)</x:f>
        <x:v>0</x:v>
      </x:c>
      <x:c r="T107" s="66" t="n">
        <x:f>Model_Formula!$M$27*(Profiles_140!Y103-Simulator!$L$25)^2*IF(Profiles_140!Y103&gt;Simulator!$L$25,1+Model_Formula!$N$27,1)</x:f>
        <x:v>120.74999999999999</x:v>
      </x:c>
      <x:c r="U107" s="60" t="n">
        <x:f>SUM(F107:T107)/SUM($F$4:$T$4)</x:f>
        <x:v>752.5746268656717</x:v>
      </x:c>
      <x:c r="V107" s="60" t="n">
        <x:f>SQRT(U107)</x:f>
        <x:v>27.433093643730224</x:v>
      </x:c>
      <x:c r="W107" s="60" t="n">
        <x:f>MAX(0,100-V107)</x:f>
        <x:v>72.56690635626978</x:v>
      </x:c>
      <x:c r="X107" s="60" t="n">
        <x:f>SUMPRODUCT(Profiles_140!K103:Y103,$F$4:$T$4)/SUM($F$4:$T$4)</x:f>
        <x:v>51.02611940298508</x:v>
      </x:c>
      <x:c r="Y107" s="60" t="n">
        <x:f>IFERROR(50+50*SUMPRODUCT(($F$3:$T$3-$X$3)*(Profiles_140!K103:Y103-X107),$F$4:$T$4)/SQRT(SUMPRODUCT(($F$3:$T$3-$X$3)^2,$F$4:$T$4)*SUMPRODUCT((Profiles_140!K103:Y103-X107)^2,$F$4:$T$4)),50)</x:f>
        <x:v>50.000000000000014</x:v>
      </x:c>
      <x:c r="Z107" s="60" t="n">
        <x:f>$Z$3</x:f>
        <x:v>3.9474596431116675e-16</x:v>
      </x:c>
      <x:c r="AA107" s="60" t="n">
        <x:f>W107*(1-Model_Formula!$F$8*Z107)+Y107*(Model_Formula!$F$8*Z107)</x:f>
        <x:v>72.56690635626978</x:v>
      </x:c>
      <x:c r="AB107" s="60" t="n">
        <x:f>SQRT(SUMPRODUCT((Profiles_140!K103:Y103-50)^2,$F$4:$T$4)/SUM($F$4:$T$4))</x:f>
        <x:v>27.411662731971283</x:v>
      </x:c>
      <x:c r="AC107" s="60" t="n">
        <x:f>MAX(-Model_Formula!$F$11,MIN(Model_Formula!$F$11,Model_Formula!$F$10*(AB107-AVERAGE($AB$6:$AB$135))))</x:f>
        <x:v>-0.5667759140608907</x:v>
      </x:c>
      <x:c r="AD107" s="60" t="n">
        <x:f>MAX(0,MIN(100,AA107+AC107))</x:f>
        <x:v>72.0001304422089</x:v>
      </x:c>
      <x:c r="AE107" s="60" t="n">
        <x:f>MAX(0,MIN(1,IFERROR((MATCH(AD107,Percentile_Calibration!$F103:$DB103,1)-1)/100,0)))</x:f>
        <x:v>0.82</x:v>
      </x:c>
      <x:c r="AF107" s="62" t="n">
        <x:f>ROUND(MAX(Model_Formula!$I$9,Model_Formula!$I$5+Model_Formula!$I$6*POWER(AE107,Model_Formula!$I$7)),0)</x:f>
        <x:v>72</x:v>
      </x:c>
      <x:c r="AG107" t="n">
        <x:f>Profiles_140!AJ103</x:f>
        <x:v>0</x:v>
      </x:c>
      <x:c r="AH107" s="60" t="n">
        <x:f>Model_Formula!$I$8*(AE107*100)+(1-Model_Formula!$I$8)*AD107+AG107</x:f>
        <x:v>80.00002608844179</x:v>
      </x:c>
      <x:c r="AI107" t="n">
        <x:f>RANK.EQ(AH107,$AH$6:$AH$135,0)+COUNTIF($AH$6:AH107,AH107)-1</x:f>
        <x:v>50</x:v>
      </x:c>
    </x:row>
    <x:row r="108">
      <x:c r="A108" t="str">
        <x:f>Profiles_140!A104</x:f>
        <x:v>シャワーズ</x:v>
      </x:c>
      <x:c r="B108" t="str">
        <x:f>Profiles_140!C104</x:f>
        <x:v>シャワーズ-1</x:v>
      </x:c>
      <x:c r="C108" t="str">
        <x:f>Profiles_140!D104</x:f>
        <x:v>アクアリング</x:v>
      </x:c>
      <x:c r="D108" t="str">
        <x:f>Profiles_140!B104</x:f>
        <x:v>ディフェンス型</x:v>
      </x:c>
      <x:c r="E108" t="str">
        <x:f>Profiles_140!I104</x:f>
        <x:v>高</x:v>
      </x:c>
      <x:c r="F108" s="66" t="n">
        <x:f>Model_Formula!$M$13*(Profiles_140!K104-Simulator!$L$11)^2*IF(Profiles_140!K104&gt;Simulator!$L$11,1+Model_Formula!$N$13,1)</x:f>
        <x:v>400</x:v>
      </x:c>
      <x:c r="G108" s="66" t="n">
        <x:f>Model_Formula!$M$14*(Profiles_140!L104-Simulator!$L$12)^2*IF(Profiles_140!L104&gt;Simulator!$L$12,1+Model_Formula!$N$14,1)</x:f>
        <x:v>2625</x:v>
      </x:c>
      <x:c r="H108" s="66" t="n">
        <x:f>Model_Formula!$M$15*(Profiles_140!M104-Simulator!$L$13)^2*IF(Profiles_140!M104&gt;Simulator!$L$13,1+Model_Formula!$N$15,1)</x:f>
        <x:v>2500</x:v>
      </x:c>
      <x:c r="I108" s="66" t="n">
        <x:f>Model_Formula!$M$16*(Profiles_140!N104-Simulator!$L$14)^2*IF(Profiles_140!N104&gt;Simulator!$L$14,1+Model_Formula!$N$16,1)</x:f>
        <x:v>225</x:v>
      </x:c>
      <x:c r="J108" s="66" t="n">
        <x:f>Model_Formula!$M$17*(Profiles_140!O104-Simulator!$L$15)^2*IF(Profiles_140!O104&gt;Simulator!$L$15,1+Model_Formula!$N$17,1)</x:f>
        <x:v>625</x:v>
      </x:c>
      <x:c r="K108" s="66" t="n">
        <x:f>Model_Formula!$M$18*(Profiles_140!P104-Simulator!$L$16)^2*IF(Profiles_140!P104&gt;Simulator!$L$16,1+Model_Formula!$N$18,1)</x:f>
        <x:v>22.5</x:v>
      </x:c>
      <x:c r="L108" s="66" t="n">
        <x:f>Model_Formula!$M$19*(Profiles_140!Q104-Simulator!$L$17)^2*IF(Profiles_140!Q104&gt;Simulator!$L$17,1+Model_Formula!$N$19,1)</x:f>
        <x:v>625</x:v>
      </x:c>
      <x:c r="M108" s="66" t="n">
        <x:f>Model_Formula!$M$20*(Profiles_140!R104-Simulator!$L$18)^2*IF(Profiles_140!R104&gt;Simulator!$L$18,1+Model_Formula!$N$20,1)</x:f>
        <x:v>2500</x:v>
      </x:c>
      <x:c r="N108" s="66" t="n">
        <x:f>Model_Formula!$M$21*(Profiles_140!S104-Simulator!$L$19)^2*IF(Profiles_140!S104&gt;Simulator!$L$19,1+Model_Formula!$N$21,1)</x:f>
        <x:v>1225</x:v>
      </x:c>
      <x:c r="O108" s="66" t="n">
        <x:f>Model_Formula!$M$22*(Profiles_140!T104-Simulator!$L$20)^2*IF(Profiles_140!T104&gt;Simulator!$L$20,1+Model_Formula!$N$22,1)</x:f>
        <x:v>100</x:v>
      </x:c>
      <x:c r="P108" s="66" t="n">
        <x:f>Model_Formula!$M$23*(Profiles_140!U104-Simulator!$L$21)^2*IF(Profiles_140!U104&gt;Simulator!$L$21,1+Model_Formula!$N$23,1)</x:f>
        <x:v>720</x:v>
      </x:c>
      <x:c r="Q108" s="66" t="n">
        <x:f>Model_Formula!$M$24*(Profiles_140!V104-Simulator!$L$22)^2*IF(Profiles_140!V104&gt;Simulator!$L$22,1+Model_Formula!$N$24,1)</x:f>
        <x:v>250</x:v>
      </x:c>
      <x:c r="R108" s="66" t="n">
        <x:f>Model_Formula!$M$25*(Profiles_140!W104-Simulator!$L$23)^2*IF(Profiles_140!W104&gt;Simulator!$L$23,1+Model_Formula!$N$25,1)</x:f>
        <x:v>551.25</x:v>
      </x:c>
      <x:c r="S108" s="66" t="n">
        <x:f>Model_Formula!$M$26*(Profiles_140!X104-Simulator!$L$24)^2*IF(Profiles_140!X104&gt;Simulator!$L$24,1+Model_Formula!$N$26,1)</x:f>
        <x:v>0</x:v>
      </x:c>
      <x:c r="T108" s="66" t="n">
        <x:f>Model_Formula!$M$27*(Profiles_140!Y104-Simulator!$L$25)^2*IF(Profiles_140!Y104&gt;Simulator!$L$25,1+Model_Formula!$N$27,1)</x:f>
        <x:v>2445.1875</x:v>
      </x:c>
      <x:c r="U108" s="60" t="n">
        <x:f>SUM(F108:T108)/SUM($F$4:$T$4)</x:f>
        <x:v>1105.517723880597</x:v>
      </x:c>
      <x:c r="V108" s="60" t="n">
        <x:f>SQRT(U108)</x:f>
        <x:v>33.24932666807852</x:v>
      </x:c>
      <x:c r="W108" s="60" t="n">
        <x:f>MAX(0,100-V108)</x:f>
        <x:v>66.75067333192149</x:v>
      </x:c>
      <x:c r="X108" s="60" t="n">
        <x:f>SUMPRODUCT(Profiles_140!K104:Y104,$F$4:$T$4)/SUM($F$4:$T$4)</x:f>
        <x:v>50.410447761194035</x:v>
      </x:c>
      <x:c r="Y108" s="60" t="n">
        <x:f>IFERROR(50+50*SUMPRODUCT(($F$3:$T$3-$X$3)*(Profiles_140!K104:Y104-X108),$F$4:$T$4)/SQRT(SUMPRODUCT(($F$3:$T$3-$X$3)^2,$F$4:$T$4)*SUMPRODUCT((Profiles_140!K104:Y104-X108)^2,$F$4:$T$4)),50)</x:f>
        <x:v>50.00000000000001</x:v>
      </x:c>
      <x:c r="Z108" s="60" t="n">
        <x:f>$Z$3</x:f>
        <x:v>3.9474596431116675e-16</x:v>
      </x:c>
      <x:c r="AA108" s="60" t="n">
        <x:f>W108*(1-Model_Formula!$F$8*Z108)+Y108*(Model_Formula!$F$8*Z108)</x:f>
        <x:v>66.75067333192149</x:v>
      </x:c>
      <x:c r="AB108" s="60" t="n">
        <x:f>SQRT(SUMPRODUCT((Profiles_140!K104:Y104-50)^2,$F$4:$T$4)/SUM($F$4:$T$4))</x:f>
        <x:v>32.88945754965332</x:v>
      </x:c>
      <x:c r="AC108" s="60" t="n">
        <x:f>MAX(-Model_Formula!$F$11,MIN(Model_Formula!$F$11,Model_Formula!$F$10*(AB108-AVERAGE($AB$6:$AB$135))))</x:f>
        <x:v>1.898231753896027</x:v>
      </x:c>
      <x:c r="AD108" s="60" t="n">
        <x:f>MAX(0,MIN(100,AA108+AC108))</x:f>
        <x:v>68.64890508581752</x:v>
      </x:c>
      <x:c r="AE108" s="60" t="n">
        <x:f>MAX(0,MIN(1,IFERROR((MATCH(AD108,Percentile_Calibration!$F104:$DB104,1)-1)/100,0)))</x:f>
        <x:v>0.69</x:v>
      </x:c>
      <x:c r="AF108" s="62" t="n">
        <x:f>ROUND(MAX(Model_Formula!$I$9,Model_Formula!$I$5+Model_Formula!$I$6*POWER(AE108,Model_Formula!$I$7)),0)</x:f>
        <x:v>60</x:v>
      </x:c>
      <x:c r="AG108" t="n">
        <x:f>Profiles_140!AJ104</x:f>
        <x:v>0</x:v>
      </x:c>
      <x:c r="AH108" s="60" t="n">
        <x:f>Model_Formula!$I$8*(AE108*100)+(1-Model_Formula!$I$8)*AD108+AG108</x:f>
        <x:v>68.9297810171635</x:v>
      </x:c>
      <x:c r="AI108" t="n">
        <x:f>RANK.EQ(AH108,$AH$6:$AH$135,0)+COUNTIF($AH$6:AH108,AH108)-1</x:f>
        <x:v>116</x:v>
      </x:c>
    </x:row>
    <x:row r="109">
      <x:c r="A109" t="str">
        <x:f>Profiles_140!A105</x:f>
        <x:v>シャワーズ</x:v>
      </x:c>
      <x:c r="B109" t="str">
        <x:f>Profiles_140!C105</x:f>
        <x:v>シャワーズ-2</x:v>
      </x:c>
      <x:c r="C109" t="str">
        <x:f>Profiles_140!D105</x:f>
        <x:v>クイックターン</x:v>
      </x:c>
      <x:c r="D109" t="str">
        <x:f>Profiles_140!B105</x:f>
        <x:v>ディフェンス型</x:v>
      </x:c>
      <x:c r="E109" t="str">
        <x:f>Profiles_140!I105</x:f>
        <x:v>高</x:v>
      </x:c>
      <x:c r="F109" s="66" t="n">
        <x:f>Model_Formula!$M$13*(Profiles_140!K105-Simulator!$L$11)^2*IF(Profiles_140!K105&gt;Simulator!$L$11,1+Model_Formula!$N$13,1)</x:f>
        <x:v>225</x:v>
      </x:c>
      <x:c r="G109" s="66" t="n">
        <x:f>Model_Formula!$M$14*(Profiles_140!L105-Simulator!$L$12)^2*IF(Profiles_140!L105&gt;Simulator!$L$12,1+Model_Formula!$N$14,1)</x:f>
        <x:v>26.25</x:v>
      </x:c>
      <x:c r="H109" s="66" t="n">
        <x:f>Model_Formula!$M$15*(Profiles_140!M105-Simulator!$L$13)^2*IF(Profiles_140!M105&gt;Simulator!$L$13,1+Model_Formula!$N$15,1)</x:f>
        <x:v>625</x:v>
      </x:c>
      <x:c r="I109" s="66" t="n">
        <x:f>Model_Formula!$M$16*(Profiles_140!N105-Simulator!$L$14)^2*IF(Profiles_140!N105&gt;Simulator!$L$14,1+Model_Formula!$N$16,1)</x:f>
        <x:v>1225</x:v>
      </x:c>
      <x:c r="J109" s="66" t="n">
        <x:f>Model_Formula!$M$17*(Profiles_140!O105-Simulator!$L$15)^2*IF(Profiles_140!O105&gt;Simulator!$L$15,1+Model_Formula!$N$17,1)</x:f>
        <x:v>1600</x:v>
      </x:c>
      <x:c r="K109" s="66" t="n">
        <x:f>Model_Formula!$M$18*(Profiles_140!P105-Simulator!$L$16)^2*IF(Profiles_140!P105&gt;Simulator!$L$16,1+Model_Formula!$N$18,1)</x:f>
        <x:v>22.5</x:v>
      </x:c>
      <x:c r="L109" s="66" t="n">
        <x:f>Model_Formula!$M$19*(Profiles_140!Q105-Simulator!$L$17)^2*IF(Profiles_140!Q105&gt;Simulator!$L$17,1+Model_Formula!$N$19,1)</x:f>
        <x:v>1600</x:v>
      </x:c>
      <x:c r="M109" s="66" t="n">
        <x:f>Model_Formula!$M$20*(Profiles_140!R105-Simulator!$L$18)^2*IF(Profiles_140!R105&gt;Simulator!$L$18,1+Model_Formula!$N$20,1)</x:f>
        <x:v>1225</x:v>
      </x:c>
      <x:c r="N109" s="66" t="n">
        <x:f>Model_Formula!$M$21*(Profiles_140!S105-Simulator!$L$19)^2*IF(Profiles_140!S105&gt;Simulator!$L$19,1+Model_Formula!$N$21,1)</x:f>
        <x:v>25</x:v>
      </x:c>
      <x:c r="O109" s="66" t="n">
        <x:f>Model_Formula!$M$22*(Profiles_140!T105-Simulator!$L$20)^2*IF(Profiles_140!T105&gt;Simulator!$L$20,1+Model_Formula!$N$22,1)</x:f>
        <x:v>100</x:v>
      </x:c>
      <x:c r="P109" s="66" t="n">
        <x:f>Model_Formula!$M$23*(Profiles_140!U105-Simulator!$L$21)^2*IF(Profiles_140!U105&gt;Simulator!$L$21,1+Model_Formula!$N$23,1)</x:f>
        <x:v>180</x:v>
      </x:c>
      <x:c r="Q109" s="66" t="n">
        <x:f>Model_Formula!$M$24*(Profiles_140!V105-Simulator!$L$22)^2*IF(Profiles_140!V105&gt;Simulator!$L$22,1+Model_Formula!$N$24,1)</x:f>
        <x:v>40</x:v>
      </x:c>
      <x:c r="R109" s="66" t="n">
        <x:f>Model_Formula!$M$25*(Profiles_140!W105-Simulator!$L$23)^2*IF(Profiles_140!W105&gt;Simulator!$L$23,1+Model_Formula!$N$25,1)</x:f>
        <x:v>180</x:v>
      </x:c>
      <x:c r="S109" s="66" t="n">
        <x:f>Model_Formula!$M$26*(Profiles_140!X105-Simulator!$L$24)^2*IF(Profiles_140!X105&gt;Simulator!$L$24,1+Model_Formula!$N$26,1)</x:f>
        <x:v>148.50000000000003</x:v>
      </x:c>
      <x:c r="T109" s="66" t="n">
        <x:f>Model_Formula!$M$27*(Profiles_140!Y105-Simulator!$L$25)^2*IF(Profiles_140!Y105&gt;Simulator!$L$25,1+Model_Formula!$N$27,1)</x:f>
        <x:v>754.6874999999999</x:v>
      </x:c>
      <x:c r="U109" s="60" t="n">
        <x:f>SUM(F109:T109)/SUM($F$4:$T$4)</x:f>
        <x:v>595.2938432835822</x:v>
      </x:c>
      <x:c r="V109" s="60" t="n">
        <x:f>SQRT(U109)</x:f>
        <x:v>24.398644291918806</x:v>
      </x:c>
      <x:c r="W109" s="60" t="n">
        <x:f>MAX(0,100-V109)</x:f>
        <x:v>75.6013557080812</x:v>
      </x:c>
      <x:c r="X109" s="60" t="n">
        <x:f>SUMPRODUCT(Profiles_140!K105:Y105,$F$4:$T$4)/SUM($F$4:$T$4)</x:f>
        <x:v>54.51492537313433</x:v>
      </x:c>
      <x:c r="Y109" s="60" t="n">
        <x:f>IFERROR(50+50*SUMPRODUCT(($F$3:$T$3-$X$3)*(Profiles_140!K105:Y105-X109),$F$4:$T$4)/SQRT(SUMPRODUCT(($F$3:$T$3-$X$3)^2,$F$4:$T$4)*SUMPRODUCT((Profiles_140!K105:Y105-X109)^2,$F$4:$T$4)),50)</x:f>
        <x:v>50.00000000000001</x:v>
      </x:c>
      <x:c r="Z109" s="60" t="n">
        <x:f>$Z$3</x:f>
        <x:v>3.9474596431116675e-16</x:v>
      </x:c>
      <x:c r="AA109" s="60" t="n">
        <x:f>W109*(1-Model_Formula!$F$8*Z109)+Y109*(Model_Formula!$F$8*Z109)</x:f>
        <x:v>75.6013557080812</x:v>
      </x:c>
      <x:c r="AB109" s="60" t="n">
        <x:f>SQRT(SUMPRODUCT((Profiles_140!K105:Y105-50)^2,$F$4:$T$4)/SUM($F$4:$T$4))</x:f>
        <x:v>24.188315916278086</x:v>
      </x:c>
      <x:c r="AC109" s="60" t="n">
        <x:f>MAX(-Model_Formula!$F$11,MIN(Model_Formula!$F$11,Model_Formula!$F$10*(AB109-AVERAGE($AB$6:$AB$135))))</x:f>
        <x:v>-2.0172819811228297</x:v>
      </x:c>
      <x:c r="AD109" s="60" t="n">
        <x:f>MAX(0,MIN(100,AA109+AC109))</x:f>
        <x:v>73.58407372695837</x:v>
      </x:c>
      <x:c r="AE109" s="60" t="n">
        <x:f>MAX(0,MIN(1,IFERROR((MATCH(AD109,Percentile_Calibration!$F105:$DB105,1)-1)/100,0)))</x:f>
        <x:v>0.95</x:v>
      </x:c>
      <x:c r="AF109" s="62" t="n">
        <x:f>ROUND(MAX(Model_Formula!$I$9,Model_Formula!$I$5+Model_Formula!$I$6*POWER(AE109,Model_Formula!$I$7)),0)</x:f>
        <x:v>89</x:v>
      </x:c>
      <x:c r="AG109" t="n">
        <x:f>Profiles_140!AJ105</x:f>
        <x:v>0</x:v>
      </x:c>
      <x:c r="AH109" s="60" t="n">
        <x:f>Model_Formula!$I$8*(AE109*100)+(1-Model_Formula!$I$8)*AD109+AG109</x:f>
        <x:v>90.71681474539167</x:v>
      </x:c>
      <x:c r="AI109" t="n">
        <x:f>RANK.EQ(AH109,$AH$6:$AH$135,0)+COUNTIF($AH$6:AH109,AH109)-1</x:f>
        <x:v>16</x:v>
      </x:c>
    </x:row>
    <x:row r="110">
      <x:c r="A110" t="str">
        <x:f>Profiles_140!A106</x:f>
        <x:v>ヌメルゴン</x:v>
      </x:c>
      <x:c r="B110" t="str">
        <x:f>Profiles_140!C106</x:f>
        <x:v>ヌメルゴン-1</x:v>
      </x:c>
      <x:c r="C110" t="str">
        <x:f>Profiles_140!D106</x:f>
        <x:v>共通</x:v>
      </x:c>
      <x:c r="D110" t="str">
        <x:f>Profiles_140!B106</x:f>
        <x:v>ディフェンス型</x:v>
      </x:c>
      <x:c r="E110" t="str">
        <x:f>Profiles_140!I106</x:f>
        <x:v>高</x:v>
      </x:c>
      <x:c r="F110" s="66" t="n">
        <x:f>Model_Formula!$M$13*(Profiles_140!K106-Simulator!$L$11)^2*IF(Profiles_140!K106&gt;Simulator!$L$11,1+Model_Formula!$N$13,1)</x:f>
        <x:v>25</x:v>
      </x:c>
      <x:c r="G110" s="66" t="n">
        <x:f>Model_Formula!$M$14*(Profiles_140!L106-Simulator!$L$12)^2*IF(Profiles_140!L106&gt;Simulator!$L$12,1+Model_Formula!$N$14,1)</x:f>
        <x:v>26.25</x:v>
      </x:c>
      <x:c r="H110" s="66" t="n">
        <x:f>Model_Formula!$M$15*(Profiles_140!M106-Simulator!$L$13)^2*IF(Profiles_140!M106&gt;Simulator!$L$13,1+Model_Formula!$N$15,1)</x:f>
        <x:v>25</x:v>
      </x:c>
      <x:c r="I110" s="66" t="n">
        <x:f>Model_Formula!$M$16*(Profiles_140!N106-Simulator!$L$14)^2*IF(Profiles_140!N106&gt;Simulator!$L$14,1+Model_Formula!$N$16,1)</x:f>
        <x:v>2500</x:v>
      </x:c>
      <x:c r="J110" s="66" t="n">
        <x:f>Model_Formula!$M$17*(Profiles_140!O106-Simulator!$L$15)^2*IF(Profiles_140!O106&gt;Simulator!$L$15,1+Model_Formula!$N$17,1)</x:f>
        <x:v>1600</x:v>
      </x:c>
      <x:c r="K110" s="66" t="n">
        <x:f>Model_Formula!$M$18*(Profiles_140!P106-Simulator!$L$16)^2*IF(Profiles_140!P106&gt;Simulator!$L$16,1+Model_Formula!$N$18,1)</x:f>
        <x:v>1440</x:v>
      </x:c>
      <x:c r="L110" s="66" t="n">
        <x:f>Model_Formula!$M$19*(Profiles_140!Q106-Simulator!$L$17)^2*IF(Profiles_140!Q106&gt;Simulator!$L$17,1+Model_Formula!$N$19,1)</x:f>
        <x:v>900</x:v>
      </x:c>
      <x:c r="M110" s="66" t="n">
        <x:f>Model_Formula!$M$20*(Profiles_140!R106-Simulator!$L$18)^2*IF(Profiles_140!R106&gt;Simulator!$L$18,1+Model_Formula!$N$20,1)</x:f>
        <x:v>2025</x:v>
      </x:c>
      <x:c r="N110" s="66" t="n">
        <x:f>Model_Formula!$M$21*(Profiles_140!S106-Simulator!$L$19)^2*IF(Profiles_140!S106&gt;Simulator!$L$19,1+Model_Formula!$N$21,1)</x:f>
        <x:v>900</x:v>
      </x:c>
      <x:c r="O110" s="66" t="n">
        <x:f>Model_Formula!$M$22*(Profiles_140!T106-Simulator!$L$20)^2*IF(Profiles_140!T106&gt;Simulator!$L$20,1+Model_Formula!$N$22,1)</x:f>
        <x:v>1225</x:v>
      </x:c>
      <x:c r="P110" s="66" t="n">
        <x:f>Model_Formula!$M$23*(Profiles_140!U106-Simulator!$L$21)^2*IF(Profiles_140!U106&gt;Simulator!$L$21,1+Model_Formula!$N$23,1)</x:f>
        <x:v>180</x:v>
      </x:c>
      <x:c r="Q110" s="66" t="n">
        <x:f>Model_Formula!$M$24*(Profiles_140!V106-Simulator!$L$22)^2*IF(Profiles_140!V106&gt;Simulator!$L$22,1+Model_Formula!$N$24,1)</x:f>
        <x:v>250</x:v>
      </x:c>
      <x:c r="R110" s="66" t="n">
        <x:f>Model_Formula!$M$25*(Profiles_140!W106-Simulator!$L$23)^2*IF(Profiles_140!W106&gt;Simulator!$L$23,1+Model_Formula!$N$25,1)</x:f>
        <x:v>180</x:v>
      </x:c>
      <x:c r="S110" s="66" t="n">
        <x:f>Model_Formula!$M$26*(Profiles_140!X106-Simulator!$L$24)^2*IF(Profiles_140!X106&gt;Simulator!$L$24,1+Model_Formula!$N$26,1)</x:f>
        <x:v>0</x:v>
      </x:c>
      <x:c r="T110" s="66" t="n">
        <x:f>Model_Formula!$M$27*(Profiles_140!Y106-Simulator!$L$25)^2*IF(Profiles_140!Y106&gt;Simulator!$L$25,1+Model_Formula!$N$27,1)</x:f>
        <x:v>0</x:v>
      </x:c>
      <x:c r="U110" s="60" t="n">
        <x:f>SUM(F110:T110)/SUM($F$4:$T$4)</x:f>
        <x:v>841.5111940298508</x:v>
      </x:c>
      <x:c r="V110" s="60" t="n">
        <x:f>SQRT(U110)</x:f>
        <x:v>29.00881235124683</x:v>
      </x:c>
      <x:c r="W110" s="60" t="n">
        <x:f>MAX(0,100-V110)</x:f>
        <x:v>70.99118764875317</x:v>
      </x:c>
      <x:c r="X110" s="60" t="n">
        <x:f>SUMPRODUCT(Profiles_140!K106:Y106,$F$4:$T$4)/SUM($F$4:$T$4)</x:f>
        <x:v>48.5634328358209</x:v>
      </x:c>
      <x:c r="Y110" s="60" t="n">
        <x:f>IFERROR(50+50*SUMPRODUCT(($F$3:$T$3-$X$3)*(Profiles_140!K106:Y106-X110),$F$4:$T$4)/SQRT(SUMPRODUCT(($F$3:$T$3-$X$3)^2,$F$4:$T$4)*SUMPRODUCT((Profiles_140!K106:Y106-X110)^2,$F$4:$T$4)),50)</x:f>
        <x:v>50</x:v>
      </x:c>
      <x:c r="Z110" s="60" t="n">
        <x:f>$Z$3</x:f>
        <x:v>3.9474596431116675e-16</x:v>
      </x:c>
      <x:c r="AA110" s="60" t="n">
        <x:f>W110*(1-Model_Formula!$F$8*Z110)+Y110*(Model_Formula!$F$8*Z110)</x:f>
        <x:v>70.99118764875317</x:v>
      </x:c>
      <x:c r="AB110" s="60" t="n">
        <x:f>SQRT(SUMPRODUCT((Profiles_140!K106:Y106-50)^2,$F$4:$T$4)/SUM($F$4:$T$4))</x:f>
        <x:v>29.00881235124683</x:v>
      </x:c>
      <x:c r="AC110" s="60" t="n">
        <x:f>MAX(-Model_Formula!$F$11,MIN(Model_Formula!$F$11,Model_Formula!$F$10*(AB110-AVERAGE($AB$6:$AB$135))))</x:f>
        <x:v>0.15194141461310604</x:v>
      </x:c>
      <x:c r="AD110" s="60" t="n">
        <x:f>MAX(0,MIN(100,AA110+AC110))</x:f>
        <x:v>71.14312906336627</x:v>
      </x:c>
      <x:c r="AE110" s="60" t="n">
        <x:f>MAX(0,MIN(1,IFERROR((MATCH(AD110,Percentile_Calibration!$F106:$DB106,1)-1)/100,0)))</x:f>
        <x:v>0.96</x:v>
      </x:c>
      <x:c r="AF110" s="62" t="n">
        <x:f>ROUND(MAX(Model_Formula!$I$9,Model_Formula!$I$5+Model_Formula!$I$6*POWER(AE110,Model_Formula!$I$7)),0)</x:f>
        <x:v>91</x:v>
      </x:c>
      <x:c r="AG110" t="n">
        <x:f>Profiles_140!AJ106</x:f>
        <x:v>0</x:v>
      </x:c>
      <x:c r="AH110" s="60" t="n">
        <x:f>Model_Formula!$I$8*(AE110*100)+(1-Model_Formula!$I$8)*AD110+AG110</x:f>
        <x:v>91.02862581267327</x:v>
      </x:c>
      <x:c r="AI110" t="n">
        <x:f>RANK.EQ(AH110,$AH$6:$AH$135,0)+COUNTIF($AH$6:AH110,AH110)-1</x:f>
        <x:v>15</x:v>
      </x:c>
    </x:row>
    <x:row r="111">
      <x:c r="A111" t="str">
        <x:f>Profiles_140!A107</x:f>
        <x:v>フリーザー</x:v>
      </x:c>
      <x:c r="B111" t="str">
        <x:f>Profiles_140!C107</x:f>
        <x:v>フリーザー-1</x:v>
      </x:c>
      <x:c r="C111" t="str">
        <x:f>Profiles_140!D107</x:f>
        <x:v>共通</x:v>
      </x:c>
      <x:c r="D111" t="str">
        <x:f>Profiles_140!B107</x:f>
        <x:v>ディフェンス型</x:v>
      </x:c>
      <x:c r="E111" t="str">
        <x:f>Profiles_140!I107</x:f>
        <x:v>中</x:v>
      </x:c>
      <x:c r="F111" s="66" t="n">
        <x:f>Model_Formula!$M$13*(Profiles_140!K107-Simulator!$L$11)^2*IF(Profiles_140!K107&gt;Simulator!$L$11,1+Model_Formula!$N$13,1)</x:f>
        <x:v>225</x:v>
      </x:c>
      <x:c r="G111" s="66" t="n">
        <x:f>Model_Formula!$M$14*(Profiles_140!L107-Simulator!$L$12)^2*IF(Profiles_140!L107&gt;Simulator!$L$12,1+Model_Formula!$N$14,1)</x:f>
        <x:v>2625</x:v>
      </x:c>
      <x:c r="H111" s="66" t="n">
        <x:f>Model_Formula!$M$15*(Profiles_140!M107-Simulator!$L$13)^2*IF(Profiles_140!M107&gt;Simulator!$L$13,1+Model_Formula!$N$15,1)</x:f>
        <x:v>2500</x:v>
      </x:c>
      <x:c r="I111" s="66" t="n">
        <x:f>Model_Formula!$M$16*(Profiles_140!N107-Simulator!$L$14)^2*IF(Profiles_140!N107&gt;Simulator!$L$14,1+Model_Formula!$N$16,1)</x:f>
        <x:v>2500</x:v>
      </x:c>
      <x:c r="J111" s="66" t="n">
        <x:f>Model_Formula!$M$17*(Profiles_140!O107-Simulator!$L$15)^2*IF(Profiles_140!O107&gt;Simulator!$L$15,1+Model_Formula!$N$17,1)</x:f>
        <x:v>400</x:v>
      </x:c>
      <x:c r="K111" s="66" t="n">
        <x:f>Model_Formula!$M$18*(Profiles_140!P107-Simulator!$L$16)^2*IF(Profiles_140!P107&gt;Simulator!$L$16,1+Model_Formula!$N$18,1)</x:f>
        <x:v>90</x:v>
      </x:c>
      <x:c r="L111" s="66" t="n">
        <x:f>Model_Formula!$M$19*(Profiles_140!Q107-Simulator!$L$17)^2*IF(Profiles_140!Q107&gt;Simulator!$L$17,1+Model_Formula!$N$19,1)</x:f>
        <x:v>2500</x:v>
      </x:c>
      <x:c r="M111" s="66" t="n">
        <x:f>Model_Formula!$M$20*(Profiles_140!R107-Simulator!$L$18)^2*IF(Profiles_140!R107&gt;Simulator!$L$18,1+Model_Formula!$N$20,1)</x:f>
        <x:v>0</x:v>
      </x:c>
      <x:c r="N111" s="66" t="n">
        <x:f>Model_Formula!$M$21*(Profiles_140!S107-Simulator!$L$19)^2*IF(Profiles_140!S107&gt;Simulator!$L$19,1+Model_Formula!$N$21,1)</x:f>
        <x:v>1600</x:v>
      </x:c>
      <x:c r="O111" s="66" t="n">
        <x:f>Model_Formula!$M$22*(Profiles_140!T107-Simulator!$L$20)^2*IF(Profiles_140!T107&gt;Simulator!$L$20,1+Model_Formula!$N$22,1)</x:f>
        <x:v>25</x:v>
      </x:c>
      <x:c r="P111" s="66" t="n">
        <x:f>Model_Formula!$M$23*(Profiles_140!U107-Simulator!$L$21)^2*IF(Profiles_140!U107&gt;Simulator!$L$21,1+Model_Formula!$N$23,1)</x:f>
        <x:v>720</x:v>
      </x:c>
      <x:c r="Q111" s="66" t="n">
        <x:f>Model_Formula!$M$24*(Profiles_140!V107-Simulator!$L$22)^2*IF(Profiles_140!V107&gt;Simulator!$L$22,1+Model_Formula!$N$24,1)</x:f>
        <x:v>160</x:v>
      </x:c>
      <x:c r="R111" s="66" t="n">
        <x:f>Model_Formula!$M$25*(Profiles_140!W107-Simulator!$L$23)^2*IF(Profiles_140!W107&gt;Simulator!$L$23,1+Model_Formula!$N$25,1)</x:f>
        <x:v>720</x:v>
      </x:c>
      <x:c r="S111" s="66" t="n">
        <x:f>Model_Formula!$M$26*(Profiles_140!X107-Simulator!$L$24)^2*IF(Profiles_140!X107&gt;Simulator!$L$24,1+Model_Formula!$N$26,1)</x:f>
        <x:v>0</x:v>
      </x:c>
      <x:c r="T111" s="66" t="n">
        <x:f>Model_Formula!$M$27*(Profiles_140!Y107-Simulator!$L$25)^2*IF(Profiles_140!Y107&gt;Simulator!$L$25,1+Model_Formula!$N$27,1)</x:f>
        <x:v>1479.1874999999998</x:v>
      </x:c>
      <x:c r="U111" s="60" t="n">
        <x:f>SUM(F111:T111)/SUM($F$4:$T$4)</x:f>
        <x:v>1160.0139925373135</x:v>
      </x:c>
      <x:c r="V111" s="60" t="n">
        <x:f>SQRT(U111)</x:f>
        <x:v>34.058978148754164</x:v>
      </x:c>
      <x:c r="W111" s="60" t="n">
        <x:f>MAX(0,100-V111)</x:f>
        <x:v>65.94102185124584</x:v>
      </x:c>
      <x:c r="X111" s="60" t="n">
        <x:f>SUMPRODUCT(Profiles_140!K107:Y107,$F$4:$T$4)/SUM($F$4:$T$4)</x:f>
        <x:v>51.43656716417911</x:v>
      </x:c>
      <x:c r="Y111" s="60" t="n">
        <x:f>IFERROR(50+50*SUMPRODUCT(($F$3:$T$3-$X$3)*(Profiles_140!K107:Y107-X111),$F$4:$T$4)/SQRT(SUMPRODUCT(($F$3:$T$3-$X$3)^2,$F$4:$T$4)*SUMPRODUCT((Profiles_140!K107:Y107-X111)^2,$F$4:$T$4)),50)</x:f>
        <x:v>50.00000000000001</x:v>
      </x:c>
      <x:c r="Z111" s="60" t="n">
        <x:f>$Z$3</x:f>
        <x:v>3.9474596431116675e-16</x:v>
      </x:c>
      <x:c r="AA111" s="60" t="n">
        <x:f>W111*(1-Model_Formula!$F$8*Z111)+Y111*(Model_Formula!$F$8*Z111)</x:f>
        <x:v>65.94102185124584</x:v>
      </x:c>
      <x:c r="AB111" s="60" t="n">
        <x:f>SQRT(SUMPRODUCT((Profiles_140!K107:Y107-50)^2,$F$4:$T$4)/SUM($F$4:$T$4))</x:f>
        <x:v>33.84694479036167</x:v>
      </x:c>
      <x:c r="AC111" s="60" t="n">
        <x:f>MAX(-Model_Formula!$F$11,MIN(Model_Formula!$F$11,Model_Formula!$F$10*(AB111-AVERAGE($AB$6:$AB$135))))</x:f>
        <x:v>2.3291010122147826</x:v>
      </x:c>
      <x:c r="AD111" s="60" t="n">
        <x:f>MAX(0,MIN(100,AA111+AC111))</x:f>
        <x:v>68.27012286346061</x:v>
      </x:c>
      <x:c r="AE111" s="60" t="n">
        <x:f>MAX(0,MIN(1,IFERROR((MATCH(AD111,Percentile_Calibration!$F107:$DB107,1)-1)/100,0)))</x:f>
        <x:v>0.71</x:v>
      </x:c>
      <x:c r="AF111" s="62" t="n">
        <x:f>ROUND(MAX(Model_Formula!$I$9,Model_Formula!$I$5+Model_Formula!$I$6*POWER(AE111,Model_Formula!$I$7)),0)</x:f>
        <x:v>62</x:v>
      </x:c>
      <x:c r="AG111" t="n">
        <x:f>Profiles_140!AJ107</x:f>
        <x:v>0</x:v>
      </x:c>
      <x:c r="AH111" s="60" t="n">
        <x:f>Model_Formula!$I$8*(AE111*100)+(1-Model_Formula!$I$8)*AD111+AG111</x:f>
        <x:v>70.45402457269212</x:v>
      </x:c>
      <x:c r="AI111" t="n">
        <x:f>RANK.EQ(AH111,$AH$6:$AH$135,0)+COUNTIF($AH$6:AH111,AH111)-1</x:f>
        <x:v>103</x:v>
      </x:c>
    </x:row>
    <x:row r="112">
      <x:c r="A112" t="str">
        <x:f>Profiles_140!A108</x:f>
        <x:v>ブラッキー</x:v>
      </x:c>
      <x:c r="B112" t="str">
        <x:f>Profiles_140!C108</x:f>
        <x:v>ブラッキー-1</x:v>
      </x:c>
      <x:c r="C112" t="str">
        <x:f>Profiles_140!D108</x:f>
        <x:v>ねがいごと</x:v>
      </x:c>
      <x:c r="D112" t="str">
        <x:f>Profiles_140!B108</x:f>
        <x:v>ディフェンス型</x:v>
      </x:c>
      <x:c r="E112" t="str">
        <x:f>Profiles_140!I108</x:f>
        <x:v>高</x:v>
      </x:c>
      <x:c r="F112" s="66" t="n">
        <x:f>Model_Formula!$M$13*(Profiles_140!K108-Simulator!$L$11)^2*IF(Profiles_140!K108&gt;Simulator!$L$11,1+Model_Formula!$N$13,1)</x:f>
        <x:v>900</x:v>
      </x:c>
      <x:c r="G112" s="66" t="n">
        <x:f>Model_Formula!$M$14*(Profiles_140!L108-Simulator!$L$12)^2*IF(Profiles_140!L108&gt;Simulator!$L$12,1+Model_Formula!$N$14,1)</x:f>
        <x:v>2625</x:v>
      </x:c>
      <x:c r="H112" s="66" t="n">
        <x:f>Model_Formula!$M$15*(Profiles_140!M108-Simulator!$L$13)^2*IF(Profiles_140!M108&gt;Simulator!$L$13,1+Model_Formula!$N$15,1)</x:f>
        <x:v>2500</x:v>
      </x:c>
      <x:c r="I112" s="66" t="n">
        <x:f>Model_Formula!$M$16*(Profiles_140!N108-Simulator!$L$14)^2*IF(Profiles_140!N108&gt;Simulator!$L$14,1+Model_Formula!$N$16,1)</x:f>
        <x:v>100</x:v>
      </x:c>
      <x:c r="J112" s="66" t="n">
        <x:f>Model_Formula!$M$17*(Profiles_140!O108-Simulator!$L$15)^2*IF(Profiles_140!O108&gt;Simulator!$L$15,1+Model_Formula!$N$17,1)</x:f>
        <x:v>625</x:v>
      </x:c>
      <x:c r="K112" s="66" t="n">
        <x:f>Model_Formula!$M$18*(Profiles_140!P108-Simulator!$L$16)^2*IF(Profiles_140!P108&gt;Simulator!$L$16,1+Model_Formula!$N$18,1)</x:f>
        <x:v>22.5</x:v>
      </x:c>
      <x:c r="L112" s="66" t="n">
        <x:f>Model_Formula!$M$19*(Profiles_140!Q108-Simulator!$L$17)^2*IF(Profiles_140!Q108&gt;Simulator!$L$17,1+Model_Formula!$N$19,1)</x:f>
        <x:v>900</x:v>
      </x:c>
      <x:c r="M112" s="66" t="n">
        <x:f>Model_Formula!$M$20*(Profiles_140!R108-Simulator!$L$18)^2*IF(Profiles_140!R108&gt;Simulator!$L$18,1+Model_Formula!$N$20,1)</x:f>
        <x:v>2025</x:v>
      </x:c>
      <x:c r="N112" s="66" t="n">
        <x:f>Model_Formula!$M$21*(Profiles_140!S108-Simulator!$L$19)^2*IF(Profiles_140!S108&gt;Simulator!$L$19,1+Model_Formula!$N$21,1)</x:f>
        <x:v>900</x:v>
      </x:c>
      <x:c r="O112" s="66" t="n">
        <x:f>Model_Formula!$M$22*(Profiles_140!T108-Simulator!$L$20)^2*IF(Profiles_140!T108&gt;Simulator!$L$20,1+Model_Formula!$N$22,1)</x:f>
        <x:v>100</x:v>
      </x:c>
      <x:c r="P112" s="66" t="n">
        <x:f>Model_Formula!$M$23*(Profiles_140!U108-Simulator!$L$21)^2*IF(Profiles_140!U108&gt;Simulator!$L$21,1+Model_Formula!$N$23,1)</x:f>
        <x:v>720</x:v>
      </x:c>
      <x:c r="Q112" s="66" t="n">
        <x:f>Model_Formula!$M$24*(Profiles_140!V108-Simulator!$L$22)^2*IF(Profiles_140!V108&gt;Simulator!$L$22,1+Model_Formula!$N$24,1)</x:f>
        <x:v>250</x:v>
      </x:c>
      <x:c r="R112" s="66" t="n">
        <x:f>Model_Formula!$M$25*(Profiles_140!W108-Simulator!$L$23)^2*IF(Profiles_140!W108&gt;Simulator!$L$23,1+Model_Formula!$N$25,1)</x:f>
        <x:v>551.25</x:v>
      </x:c>
      <x:c r="S112" s="66" t="n">
        <x:f>Model_Formula!$M$26*(Profiles_140!X108-Simulator!$L$24)^2*IF(Profiles_140!X108&gt;Simulator!$L$24,1+Model_Formula!$N$26,1)</x:f>
        <x:v>0</x:v>
      </x:c>
      <x:c r="T112" s="66" t="n">
        <x:f>Model_Formula!$M$27*(Profiles_140!Y108-Simulator!$L$25)^2*IF(Profiles_140!Y108&gt;Simulator!$L$25,1+Model_Formula!$N$27,1)</x:f>
        <x:v>2445.1875</x:v>
      </x:c>
      <x:c r="U112" s="60" t="n">
        <x:f>SUM(F112:T112)/SUM($F$4:$T$4)</x:f>
        <x:v>1094.323694029851</x:v>
      </x:c>
      <x:c r="V112" s="60" t="n">
        <x:f>SQRT(U112)</x:f>
        <x:v>33.08056368972347</x:v>
      </x:c>
      <x:c r="W112" s="60" t="n">
        <x:f>MAX(0,100-V112)</x:f>
        <x:v>66.91943631027652</x:v>
      </x:c>
      <x:c r="X112" s="60" t="n">
        <x:f>SUMPRODUCT(Profiles_140!K108:Y108,$F$4:$T$4)/SUM($F$4:$T$4)</x:f>
        <x:v>49.66417910447762</x:v>
      </x:c>
      <x:c r="Y112" s="60" t="n">
        <x:f>IFERROR(50+50*SUMPRODUCT(($F$3:$T$3-$X$3)*(Profiles_140!K108:Y108-X112),$F$4:$T$4)/SQRT(SUMPRODUCT(($F$3:$T$3-$X$3)^2,$F$4:$T$4)*SUMPRODUCT((Profiles_140!K108:Y108-X112)^2,$F$4:$T$4)),50)</x:f>
        <x:v>50.00000000000001</x:v>
      </x:c>
      <x:c r="Z112" s="60" t="n">
        <x:f>$Z$3</x:f>
        <x:v>3.9474596431116675e-16</x:v>
      </x:c>
      <x:c r="AA112" s="60" t="n">
        <x:f>W112*(1-Model_Formula!$F$8*Z112)+Y112*(Model_Formula!$F$8*Z112)</x:f>
        <x:v>66.91943631027652</x:v>
      </x:c>
      <x:c r="AB112" s="60" t="n">
        <x:f>SQRT(SUMPRODUCT((Profiles_140!K108:Y108-50)^2,$F$4:$T$4)/SUM($F$4:$T$4))</x:f>
        <x:v>32.71883842772695</x:v>
      </x:c>
      <x:c r="AC112" s="60" t="n">
        <x:f>MAX(-Model_Formula!$F$11,MIN(Model_Formula!$F$11,Model_Formula!$F$10*(AB112-AVERAGE($AB$6:$AB$135))))</x:f>
        <x:v>1.8214531490291597</x:v>
      </x:c>
      <x:c r="AD112" s="60" t="n">
        <x:f>MAX(0,MIN(100,AA112+AC112))</x:f>
        <x:v>68.74088945930568</x:v>
      </x:c>
      <x:c r="AE112" s="60" t="n">
        <x:f>MAX(0,MIN(1,IFERROR((MATCH(AD112,Percentile_Calibration!$F108:$DB108,1)-1)/100,0)))</x:f>
        <x:v>0.69</x:v>
      </x:c>
      <x:c r="AF112" s="62" t="n">
        <x:f>ROUND(MAX(Model_Formula!$I$9,Model_Formula!$I$5+Model_Formula!$I$6*POWER(AE112,Model_Formula!$I$7)),0)</x:f>
        <x:v>60</x:v>
      </x:c>
      <x:c r="AG112" t="n">
        <x:f>Profiles_140!AJ108</x:f>
        <x:v>0</x:v>
      </x:c>
      <x:c r="AH112" s="60" t="n">
        <x:f>Model_Formula!$I$8*(AE112*100)+(1-Model_Formula!$I$8)*AD112+AG112</x:f>
        <x:v>68.94817789186114</x:v>
      </x:c>
      <x:c r="AI112" t="n">
        <x:f>RANK.EQ(AH112,$AH$6:$AH$135,0)+COUNTIF($AH$6:AH112,AH112)-1</x:f>
        <x:v>115</x:v>
      </x:c>
    </x:row>
    <x:row r="113">
      <x:c r="A113" t="str">
        <x:f>Profiles_140!A109</x:f>
        <x:v>ブラッキー</x:v>
      </x:c>
      <x:c r="B113" t="str">
        <x:f>Profiles_140!C109</x:f>
        <x:v>ブラッキー-2</x:v>
      </x:c>
      <x:c r="C113" t="str">
        <x:f>Profiles_140!D109</x:f>
        <x:v>イカサマ</x:v>
      </x:c>
      <x:c r="D113" t="str">
        <x:f>Profiles_140!B109</x:f>
        <x:v>ディフェンス型</x:v>
      </x:c>
      <x:c r="E113" t="str">
        <x:f>Profiles_140!I109</x:f>
        <x:v>高</x:v>
      </x:c>
      <x:c r="F113" s="66" t="n">
        <x:f>Model_Formula!$M$13*(Profiles_140!K109-Simulator!$L$11)^2*IF(Profiles_140!K109&gt;Simulator!$L$11,1+Model_Formula!$N$13,1)</x:f>
        <x:v>2500</x:v>
      </x:c>
      <x:c r="G113" s="66" t="n">
        <x:f>Model_Formula!$M$14*(Profiles_140!L109-Simulator!$L$12)^2*IF(Profiles_140!L109&gt;Simulator!$L$12,1+Model_Formula!$N$14,1)</x:f>
        <x:v>26.25</x:v>
      </x:c>
      <x:c r="H113" s="66" t="n">
        <x:f>Model_Formula!$M$15*(Profiles_140!M109-Simulator!$L$13)^2*IF(Profiles_140!M109&gt;Simulator!$L$13,1+Model_Formula!$N$15,1)</x:f>
        <x:v>900</x:v>
      </x:c>
      <x:c r="I113" s="66" t="n">
        <x:f>Model_Formula!$M$16*(Profiles_140!N109-Simulator!$L$14)^2*IF(Profiles_140!N109&gt;Simulator!$L$14,1+Model_Formula!$N$16,1)</x:f>
        <x:v>2500</x:v>
      </x:c>
      <x:c r="J113" s="66" t="n">
        <x:f>Model_Formula!$M$17*(Profiles_140!O109-Simulator!$L$15)^2*IF(Profiles_140!O109&gt;Simulator!$L$15,1+Model_Formula!$N$17,1)</x:f>
        <x:v>2500</x:v>
      </x:c>
      <x:c r="K113" s="66" t="n">
        <x:f>Model_Formula!$M$18*(Profiles_140!P109-Simulator!$L$16)^2*IF(Profiles_140!P109&gt;Simulator!$L$16,1+Model_Formula!$N$18,1)</x:f>
        <x:v>22.5</x:v>
      </x:c>
      <x:c r="L113" s="66" t="n">
        <x:f>Model_Formula!$M$19*(Profiles_140!Q109-Simulator!$L$17)^2*IF(Profiles_140!Q109&gt;Simulator!$L$17,1+Model_Formula!$N$19,1)</x:f>
        <x:v>2500</x:v>
      </x:c>
      <x:c r="M113" s="66" t="n">
        <x:f>Model_Formula!$M$20*(Profiles_140!R109-Simulator!$L$18)^2*IF(Profiles_140!R109&gt;Simulator!$L$18,1+Model_Formula!$N$20,1)</x:f>
        <x:v>1600</x:v>
      </x:c>
      <x:c r="N113" s="66" t="n">
        <x:f>Model_Formula!$M$21*(Profiles_140!S109-Simulator!$L$19)^2*IF(Profiles_140!S109&gt;Simulator!$L$19,1+Model_Formula!$N$21,1)</x:f>
        <x:v>225</x:v>
      </x:c>
      <x:c r="O113" s="66" t="n">
        <x:f>Model_Formula!$M$22*(Profiles_140!T109-Simulator!$L$20)^2*IF(Profiles_140!T109&gt;Simulator!$L$20,1+Model_Formula!$N$22,1)</x:f>
        <x:v>0</x:v>
      </x:c>
      <x:c r="P113" s="66" t="n">
        <x:f>Model_Formula!$M$23*(Profiles_140!U109-Simulator!$L$21)^2*IF(Profiles_140!U109&gt;Simulator!$L$21,1+Model_Formula!$N$23,1)</x:f>
        <x:v>551.25</x:v>
      </x:c>
      <x:c r="Q113" s="66" t="n">
        <x:f>Model_Formula!$M$24*(Profiles_140!V109-Simulator!$L$22)^2*IF(Profiles_140!V109&gt;Simulator!$L$22,1+Model_Formula!$N$24,1)</x:f>
        <x:v>160</x:v>
      </x:c>
      <x:c r="R113" s="66" t="n">
        <x:f>Model_Formula!$M$25*(Profiles_140!W109-Simulator!$L$23)^2*IF(Profiles_140!W109&gt;Simulator!$L$23,1+Model_Formula!$N$25,1)</x:f>
        <x:v>720</x:v>
      </x:c>
      <x:c r="S113" s="66" t="n">
        <x:f>Model_Formula!$M$26*(Profiles_140!X109-Simulator!$L$24)^2*IF(Profiles_140!X109&gt;Simulator!$L$24,1+Model_Formula!$N$26,1)</x:f>
        <x:v>37.12500000000001</x:v>
      </x:c>
      <x:c r="T113" s="66" t="n">
        <x:f>Model_Formula!$M$27*(Profiles_140!Y109-Simulator!$L$25)^2*IF(Profiles_140!Y109&gt;Simulator!$L$25,1+Model_Formula!$N$27,1)</x:f>
        <x:v>1479.1874999999998</x:v>
      </x:c>
      <x:c r="U113" s="60" t="n">
        <x:f>SUM(F113:T113)/SUM($F$4:$T$4)</x:f>
        <x:v>1173.2322761194032</x:v>
      </x:c>
      <x:c r="V113" s="60" t="n">
        <x:f>SQRT(U113)</x:f>
        <x:v>34.25247839382434</x:v>
      </x:c>
      <x:c r="W113" s="60" t="n">
        <x:f>MAX(0,100-V113)</x:f>
        <x:v>65.74752160617567</x:v>
      </x:c>
      <x:c r="X113" s="60" t="n">
        <x:f>SUMPRODUCT(Profiles_140!K109:Y109,$F$4:$T$4)/SUM($F$4:$T$4)</x:f>
        <x:v>55.57835820895523</x:v>
      </x:c>
      <x:c r="Y113" s="60" t="n">
        <x:f>IFERROR(50+50*SUMPRODUCT(($F$3:$T$3-$X$3)*(Profiles_140!K109:Y109-X113),$F$4:$T$4)/SQRT(SUMPRODUCT(($F$3:$T$3-$X$3)^2,$F$4:$T$4)*SUMPRODUCT((Profiles_140!K109:Y109-X113)^2,$F$4:$T$4)),50)</x:f>
        <x:v>50.00000000000001</x:v>
      </x:c>
      <x:c r="Z113" s="60" t="n">
        <x:f>$Z$3</x:f>
        <x:v>3.9474596431116675e-16</x:v>
      </x:c>
      <x:c r="AA113" s="60" t="n">
        <x:f>W113*(1-Model_Formula!$F$8*Z113)+Y113*(Model_Formula!$F$8*Z113)</x:f>
        <x:v>65.74752160617567</x:v>
      </x:c>
      <x:c r="AB113" s="60" t="n">
        <x:f>SQRT(SUMPRODUCT((Profiles_140!K109:Y109-50)^2,$F$4:$T$4)/SUM($F$4:$T$4))</x:f>
        <x:v>34.0310985958695</x:v>
      </x:c>
      <x:c r="AC113" s="60" t="n">
        <x:f>MAX(-Model_Formula!$F$11,MIN(Model_Formula!$F$11,Model_Formula!$F$10*(AB113-AVERAGE($AB$6:$AB$135))))</x:f>
        <x:v>2.4119702246933077</x:v>
      </x:c>
      <x:c r="AD113" s="60" t="n">
        <x:f>MAX(0,MIN(100,AA113+AC113))</x:f>
        <x:v>68.15949183086897</x:v>
      </x:c>
      <x:c r="AE113" s="60" t="n">
        <x:f>MAX(0,MIN(1,IFERROR((MATCH(AD113,Percentile_Calibration!$F109:$DB109,1)-1)/100,0)))</x:f>
        <x:v>0.78</x:v>
      </x:c>
      <x:c r="AF113" s="62" t="n">
        <x:f>ROUND(MAX(Model_Formula!$I$9,Model_Formula!$I$5+Model_Formula!$I$6*POWER(AE113,Model_Formula!$I$7)),0)</x:f>
        <x:v>68</x:v>
      </x:c>
      <x:c r="AG113" t="n">
        <x:f>Profiles_140!AJ109</x:f>
        <x:v>0</x:v>
      </x:c>
      <x:c r="AH113" s="60" t="n">
        <x:f>Model_Formula!$I$8*(AE113*100)+(1-Model_Formula!$I$8)*AD113+AG113</x:f>
        <x:v>76.03189836617379</x:v>
      </x:c>
      <x:c r="AI113" t="n">
        <x:f>RANK.EQ(AH113,$AH$6:$AH$135,0)+COUNTIF($AH$6:AH113,AH113)-1</x:f>
        <x:v>69</x:v>
      </x:c>
    </x:row>
    <x:row r="114">
      <x:c r="A114" t="str">
        <x:f>Profiles_140!A110</x:f>
        <x:v>ホウオウ</x:v>
      </x:c>
      <x:c r="B114" t="str">
        <x:f>Profiles_140!C110</x:f>
        <x:v>ホウオウ-1</x:v>
      </x:c>
      <x:c r="C114" t="str">
        <x:f>Profiles_140!D110</x:f>
        <x:v>かえんほうしゃ</x:v>
      </x:c>
      <x:c r="D114" t="str">
        <x:f>Profiles_140!B110</x:f>
        <x:v>ディフェンス型</x:v>
      </x:c>
      <x:c r="E114" t="str">
        <x:f>Profiles_140!I110</x:f>
        <x:v>高</x:v>
      </x:c>
      <x:c r="F114" s="66" t="n">
        <x:f>Model_Formula!$M$13*(Profiles_140!K110-Simulator!$L$11)^2*IF(Profiles_140!K110&gt;Simulator!$L$11,1+Model_Formula!$N$13,1)</x:f>
        <x:v>625</x:v>
      </x:c>
      <x:c r="G114" s="66" t="n">
        <x:f>Model_Formula!$M$14*(Profiles_140!L110-Simulator!$L$12)^2*IF(Profiles_140!L110&gt;Simulator!$L$12,1+Model_Formula!$N$14,1)</x:f>
        <x:v>1680</x:v>
      </x:c>
      <x:c r="H114" s="66" t="n">
        <x:f>Model_Formula!$M$15*(Profiles_140!M110-Simulator!$L$13)^2*IF(Profiles_140!M110&gt;Simulator!$L$13,1+Model_Formula!$N$15,1)</x:f>
        <x:v>100</x:v>
      </x:c>
      <x:c r="I114" s="66" t="n">
        <x:f>Model_Formula!$M$16*(Profiles_140!N110-Simulator!$L$14)^2*IF(Profiles_140!N110&gt;Simulator!$L$14,1+Model_Formula!$N$16,1)</x:f>
        <x:v>900</x:v>
      </x:c>
      <x:c r="J114" s="66" t="n">
        <x:f>Model_Formula!$M$17*(Profiles_140!O110-Simulator!$L$15)^2*IF(Profiles_140!O110&gt;Simulator!$L$15,1+Model_Formula!$N$17,1)</x:f>
        <x:v>25</x:v>
      </x:c>
      <x:c r="K114" s="66" t="n">
        <x:f>Model_Formula!$M$18*(Profiles_140!P110-Simulator!$L$16)^2*IF(Profiles_140!P110&gt;Simulator!$L$16,1+Model_Formula!$N$18,1)</x:f>
        <x:v>1822.5</x:v>
      </x:c>
      <x:c r="L114" s="66" t="n">
        <x:f>Model_Formula!$M$19*(Profiles_140!Q110-Simulator!$L$17)^2*IF(Profiles_140!Q110&gt;Simulator!$L$17,1+Model_Formula!$N$19,1)</x:f>
        <x:v>0</x:v>
      </x:c>
      <x:c r="M114" s="66" t="n">
        <x:f>Model_Formula!$M$20*(Profiles_140!R110-Simulator!$L$18)^2*IF(Profiles_140!R110&gt;Simulator!$L$18,1+Model_Formula!$N$20,1)</x:f>
        <x:v>25</x:v>
      </x:c>
      <x:c r="N114" s="66" t="n">
        <x:f>Model_Formula!$M$21*(Profiles_140!S110-Simulator!$L$19)^2*IF(Profiles_140!S110&gt;Simulator!$L$19,1+Model_Formula!$N$21,1)</x:f>
        <x:v>0</x:v>
      </x:c>
      <x:c r="O114" s="66" t="n">
        <x:f>Model_Formula!$M$22*(Profiles_140!T110-Simulator!$L$20)^2*IF(Profiles_140!T110&gt;Simulator!$L$20,1+Model_Formula!$N$22,1)</x:f>
        <x:v>100</x:v>
      </x:c>
      <x:c r="P114" s="66" t="n">
        <x:f>Model_Formula!$M$23*(Profiles_140!U110-Simulator!$L$21)^2*IF(Profiles_140!U110&gt;Simulator!$L$21,1+Model_Formula!$N$23,1)</x:f>
        <x:v>911.25</x:v>
      </x:c>
      <x:c r="Q114" s="66" t="n">
        <x:f>Model_Formula!$M$24*(Profiles_140!V110-Simulator!$L$22)^2*IF(Profiles_140!V110&gt;Simulator!$L$22,1+Model_Formula!$N$24,1)</x:f>
        <x:v>490</x:v>
      </x:c>
      <x:c r="R114" s="66" t="n">
        <x:f>Model_Formula!$M$25*(Profiles_140!W110-Simulator!$L$23)^2*IF(Profiles_140!W110&gt;Simulator!$L$23,1+Model_Formula!$N$25,1)</x:f>
        <x:v>720</x:v>
      </x:c>
      <x:c r="S114" s="66" t="n">
        <x:f>Model_Formula!$M$26*(Profiles_140!X110-Simulator!$L$24)^2*IF(Profiles_140!X110&gt;Simulator!$L$24,1+Model_Formula!$N$26,1)</x:f>
        <x:v>440.00000000000006</x:v>
      </x:c>
      <x:c r="T114" s="66" t="n">
        <x:f>Model_Formula!$M$27*(Profiles_140!Y110-Simulator!$L$25)^2*IF(Profiles_140!Y110&gt;Simulator!$L$25,1+Model_Formula!$N$27,1)</x:f>
        <x:v>754.6874999999999</x:v>
      </x:c>
      <x:c r="U114" s="60" t="n">
        <x:f>SUM(F114:T114)/SUM($F$4:$T$4)</x:f>
        <x:v>641.3013059701493</x:v>
      </x:c>
      <x:c r="V114" s="60" t="n">
        <x:f>SQRT(U114)</x:f>
        <x:v>25.323927538400305</x:v>
      </x:c>
      <x:c r="W114" s="60" t="n">
        <x:f>MAX(0,100-V114)</x:f>
        <x:v>74.67607246159969</x:v>
      </x:c>
      <x:c r="X114" s="60" t="n">
        <x:f>SUMPRODUCT(Profiles_140!K110:Y110,$F$4:$T$4)/SUM($F$4:$T$4)</x:f>
        <x:v>46.67910447761194</x:v>
      </x:c>
      <x:c r="Y114" s="60" t="n">
        <x:f>IFERROR(50+50*SUMPRODUCT(($F$3:$T$3-$X$3)*(Profiles_140!K110:Y110-X114),$F$4:$T$4)/SQRT(SUMPRODUCT(($F$3:$T$3-$X$3)^2,$F$4:$T$4)*SUMPRODUCT((Profiles_140!K110:Y110-X114)^2,$F$4:$T$4)),50)</x:f>
        <x:v>50.00000000000001</x:v>
      </x:c>
      <x:c r="Z114" s="60" t="n">
        <x:f>$Z$3</x:f>
        <x:v>3.9474596431116675e-16</x:v>
      </x:c>
      <x:c r="AA114" s="60" t="n">
        <x:f>W114*(1-Model_Formula!$F$8*Z114)+Y114*(Model_Formula!$F$8*Z114)</x:f>
        <x:v>74.67607246159969</x:v>
      </x:c>
      <x:c r="AB114" s="60" t="n">
        <x:f>SQRT(SUMPRODUCT((Profiles_140!K110:Y110-50)^2,$F$4:$T$4)/SUM($F$4:$T$4))</x:f>
        <x:v>25.178467464891444</x:v>
      </x:c>
      <x:c r="AC114" s="60" t="n">
        <x:f>MAX(-Model_Formula!$F$11,MIN(Model_Formula!$F$11,Model_Formula!$F$10*(AB114-AVERAGE($AB$6:$AB$135))))</x:f>
        <x:v>-1.5717137842468183</x:v>
      </x:c>
      <x:c r="AD114" s="60" t="n">
        <x:f>MAX(0,MIN(100,AA114+AC114))</x:f>
        <x:v>73.10435867735286</x:v>
      </x:c>
      <x:c r="AE114" s="60" t="n">
        <x:f>MAX(0,MIN(1,IFERROR((MATCH(AD114,Percentile_Calibration!$F110:$DB110,1)-1)/100,0)))</x:f>
        <x:v>0.85</x:v>
      </x:c>
      <x:c r="AF114" s="62" t="n">
        <x:f>ROUND(MAX(Model_Formula!$I$9,Model_Formula!$I$5+Model_Formula!$I$6*POWER(AE114,Model_Formula!$I$7)),0)</x:f>
        <x:v>76</x:v>
      </x:c>
      <x:c r="AG114" t="n">
        <x:f>Profiles_140!AJ110</x:f>
        <x:v>-0.5</x:v>
      </x:c>
      <x:c r="AH114" s="60" t="n">
        <x:f>Model_Formula!$I$8*(AE114*100)+(1-Model_Formula!$I$8)*AD114+AG114</x:f>
        <x:v>82.12087173547057</x:v>
      </x:c>
      <x:c r="AI114" t="n">
        <x:f>RANK.EQ(AH114,$AH$6:$AH$135,0)+COUNTIF($AH$6:AH114,AH114)-1</x:f>
        <x:v>44</x:v>
      </x:c>
    </x:row>
    <x:row r="115">
      <x:c r="A115" t="str">
        <x:f>Profiles_140!A111</x:f>
        <x:v>ホウオウ</x:v>
      </x:c>
      <x:c r="B115" t="str">
        <x:f>Profiles_140!C111</x:f>
        <x:v>ホウオウ-2</x:v>
      </x:c>
      <x:c r="C115" t="str">
        <x:f>Profiles_140!D111</x:f>
        <x:v>ゴッドバード</x:v>
      </x:c>
      <x:c r="D115" t="str">
        <x:f>Profiles_140!B111</x:f>
        <x:v>ディフェンス型</x:v>
      </x:c>
      <x:c r="E115" t="str">
        <x:f>Profiles_140!I111</x:f>
        <x:v>高</x:v>
      </x:c>
      <x:c r="F115" s="66" t="n">
        <x:f>Model_Formula!$M$13*(Profiles_140!K111-Simulator!$L$11)^2*IF(Profiles_140!K111&gt;Simulator!$L$11,1+Model_Formula!$N$13,1)</x:f>
        <x:v>100</x:v>
      </x:c>
      <x:c r="G115" s="66" t="n">
        <x:f>Model_Formula!$M$14*(Profiles_140!L111-Simulator!$L$12)^2*IF(Profiles_140!L111&gt;Simulator!$L$12,1+Model_Formula!$N$14,1)</x:f>
        <x:v>420</x:v>
      </x:c>
      <x:c r="H115" s="66" t="n">
        <x:f>Model_Formula!$M$15*(Profiles_140!M111-Simulator!$L$13)^2*IF(Profiles_140!M111&gt;Simulator!$L$13,1+Model_Formula!$N$15,1)</x:f>
        <x:v>225</x:v>
      </x:c>
      <x:c r="I115" s="66" t="n">
        <x:f>Model_Formula!$M$16*(Profiles_140!N111-Simulator!$L$14)^2*IF(Profiles_140!N111&gt;Simulator!$L$14,1+Model_Formula!$N$16,1)</x:f>
        <x:v>225</x:v>
      </x:c>
      <x:c r="J115" s="66" t="n">
        <x:f>Model_Formula!$M$17*(Profiles_140!O111-Simulator!$L$15)^2*IF(Profiles_140!O111&gt;Simulator!$L$15,1+Model_Formula!$N$17,1)</x:f>
        <x:v>25</x:v>
      </x:c>
      <x:c r="K115" s="66" t="n">
        <x:f>Model_Formula!$M$18*(Profiles_140!P111-Simulator!$L$16)^2*IF(Profiles_140!P111&gt;Simulator!$L$16,1+Model_Formula!$N$18,1)</x:f>
        <x:v>22.5</x:v>
      </x:c>
      <x:c r="L115" s="66" t="n">
        <x:f>Model_Formula!$M$19*(Profiles_140!Q111-Simulator!$L$17)^2*IF(Profiles_140!Q111&gt;Simulator!$L$17,1+Model_Formula!$N$19,1)</x:f>
        <x:v>0</x:v>
      </x:c>
      <x:c r="M115" s="66" t="n">
        <x:f>Model_Formula!$M$20*(Profiles_140!R111-Simulator!$L$18)^2*IF(Profiles_140!R111&gt;Simulator!$L$18,1+Model_Formula!$N$20,1)</x:f>
        <x:v>100</x:v>
      </x:c>
      <x:c r="N115" s="66" t="n">
        <x:f>Model_Formula!$M$21*(Profiles_140!S111-Simulator!$L$19)^2*IF(Profiles_140!S111&gt;Simulator!$L$19,1+Model_Formula!$N$21,1)</x:f>
        <x:v>1600</x:v>
      </x:c>
      <x:c r="O115" s="66" t="n">
        <x:f>Model_Formula!$M$22*(Profiles_140!T111-Simulator!$L$20)^2*IF(Profiles_140!T111&gt;Simulator!$L$20,1+Model_Formula!$N$22,1)</x:f>
        <x:v>0</x:v>
      </x:c>
      <x:c r="P115" s="66" t="n">
        <x:f>Model_Formula!$M$23*(Profiles_140!U111-Simulator!$L$21)^2*IF(Profiles_140!U111&gt;Simulator!$L$21,1+Model_Formula!$N$23,1)</x:f>
        <x:v>551.25</x:v>
      </x:c>
      <x:c r="Q115" s="66" t="n">
        <x:f>Model_Formula!$M$24*(Profiles_140!V111-Simulator!$L$22)^2*IF(Profiles_140!V111&gt;Simulator!$L$22,1+Model_Formula!$N$24,1)</x:f>
        <x:v>360</x:v>
      </x:c>
      <x:c r="R115" s="66" t="n">
        <x:f>Model_Formula!$M$25*(Profiles_140!W111-Simulator!$L$23)^2*IF(Profiles_140!W111&gt;Simulator!$L$23,1+Model_Formula!$N$25,1)</x:f>
        <x:v>0</x:v>
      </x:c>
      <x:c r="S115" s="66" t="n">
        <x:f>Model_Formula!$M$26*(Profiles_140!X111-Simulator!$L$24)^2*IF(Profiles_140!X111&gt;Simulator!$L$24,1+Model_Formula!$N$26,1)</x:f>
        <x:v>37.12500000000001</x:v>
      </x:c>
      <x:c r="T115" s="66" t="n">
        <x:f>Model_Formula!$M$27*(Profiles_140!Y111-Simulator!$L$25)^2*IF(Profiles_140!Y111&gt;Simulator!$L$25,1+Model_Formula!$N$27,1)</x:f>
        <x:v>1479.1874999999998</x:v>
      </x:c>
      <x:c r="U115" s="60" t="n">
        <x:f>SUM(F115:T115)/SUM($F$4:$T$4)</x:f>
        <x:v>383.95988805970154</x:v>
      </x:c>
      <x:c r="V115" s="60" t="n">
        <x:f>SQRT(U115)</x:f>
        <x:v>19.594894438595517</x:v>
      </x:c>
      <x:c r="W115" s="60" t="n">
        <x:f>MAX(0,100-V115)</x:f>
        <x:v>80.40510556140448</x:v>
      </x:c>
      <x:c r="X115" s="60" t="n">
        <x:f>SUMPRODUCT(Profiles_140!K111:Y111,$F$4:$T$4)/SUM($F$4:$T$4)</x:f>
        <x:v>54.85074626865672</x:v>
      </x:c>
      <x:c r="Y115" s="60" t="n">
        <x:f>IFERROR(50+50*SUMPRODUCT(($F$3:$T$3-$X$3)*(Profiles_140!K111:Y111-X115),$F$4:$T$4)/SQRT(SUMPRODUCT(($F$3:$T$3-$X$3)^2,$F$4:$T$4)*SUMPRODUCT((Profiles_140!K111:Y111-X115)^2,$F$4:$T$4)),50)</x:f>
        <x:v>50.000000000000014</x:v>
      </x:c>
      <x:c r="Z115" s="60" t="n">
        <x:f>$Z$3</x:f>
        <x:v>3.9474596431116675e-16</x:v>
      </x:c>
      <x:c r="AA115" s="60" t="n">
        <x:f>W115*(1-Model_Formula!$F$8*Z115)+Y115*(Model_Formula!$F$8*Z115)</x:f>
        <x:v>80.40510556140448</x:v>
      </x:c>
      <x:c r="AB115" s="60" t="n">
        <x:f>SQRT(SUMPRODUCT((Profiles_140!K111:Y111-50)^2,$F$4:$T$4)/SUM($F$4:$T$4))</x:f>
        <x:v>19.205293113672845</x:v>
      </x:c>
      <x:c r="AC115" s="60" t="n">
        <x:f>MAX(-Model_Formula!$F$11,MIN(Model_Formula!$F$11,Model_Formula!$F$10*(AB115-AVERAGE($AB$6:$AB$135))))</x:f>
        <x:v>-4.259642242295188</x:v>
      </x:c>
      <x:c r="AD115" s="60" t="n">
        <x:f>MAX(0,MIN(100,AA115+AC115))</x:f>
        <x:v>76.1454633191093</x:v>
      </x:c>
      <x:c r="AE115" s="60" t="n">
        <x:f>MAX(0,MIN(1,IFERROR((MATCH(AD115,Percentile_Calibration!$F111:$DB111,1)-1)/100,0)))</x:f>
        <x:v>0.97</x:v>
      </x:c>
      <x:c r="AF115" s="62" t="n">
        <x:f>ROUND(MAX(Model_Formula!$I$9,Model_Formula!$I$5+Model_Formula!$I$6*POWER(AE115,Model_Formula!$I$7)),0)</x:f>
        <x:v>92</x:v>
      </x:c>
      <x:c r="AG115" t="n">
        <x:f>Profiles_140!AJ111</x:f>
        <x:v>-0.5</x:v>
      </x:c>
      <x:c r="AH115" s="60" t="n">
        <x:f>Model_Formula!$I$8*(AE115*100)+(1-Model_Formula!$I$8)*AD115+AG115</x:f>
        <x:v>92.32909266382187</x:v>
      </x:c>
      <x:c r="AI115" t="n">
        <x:f>RANK.EQ(AH115,$AH$6:$AH$135,0)+COUNTIF($AH$6:AH115,AH115)-1</x:f>
        <x:v>7</x:v>
      </x:c>
    </x:row>
    <x:row r="116">
      <x:c r="A116" t="str">
        <x:f>Profiles_140!A112</x:f>
        <x:v>マンムー</x:v>
      </x:c>
      <x:c r="B116" t="str">
        <x:f>Profiles_140!C112</x:f>
        <x:v>マンムー-1</x:v>
      </x:c>
      <x:c r="C116" t="str">
        <x:f>Profiles_140!D112</x:f>
        <x:v>共通</x:v>
      </x:c>
      <x:c r="D116" t="str">
        <x:f>Profiles_140!B112</x:f>
        <x:v>ディフェンス型</x:v>
      </x:c>
      <x:c r="E116" t="str">
        <x:f>Profiles_140!I112</x:f>
        <x:v>高</x:v>
      </x:c>
      <x:c r="F116" s="66" t="n">
        <x:f>Model_Formula!$M$13*(Profiles_140!K112-Simulator!$L$11)^2*IF(Profiles_140!K112&gt;Simulator!$L$11,1+Model_Formula!$N$13,1)</x:f>
        <x:v>2500</x:v>
      </x:c>
      <x:c r="G116" s="66" t="n">
        <x:f>Model_Formula!$M$14*(Profiles_140!L112-Simulator!$L$12)^2*IF(Profiles_140!L112&gt;Simulator!$L$12,1+Model_Formula!$N$14,1)</x:f>
        <x:v>945</x:v>
      </x:c>
      <x:c r="H116" s="66" t="n">
        <x:f>Model_Formula!$M$15*(Profiles_140!M112-Simulator!$L$13)^2*IF(Profiles_140!M112&gt;Simulator!$L$13,1+Model_Formula!$N$15,1)</x:f>
        <x:v>100</x:v>
      </x:c>
      <x:c r="I116" s="66" t="n">
        <x:f>Model_Formula!$M$16*(Profiles_140!N112-Simulator!$L$14)^2*IF(Profiles_140!N112&gt;Simulator!$L$14,1+Model_Formula!$N$16,1)</x:f>
        <x:v>2500</x:v>
      </x:c>
      <x:c r="J116" s="66" t="n">
        <x:f>Model_Formula!$M$17*(Profiles_140!O112-Simulator!$L$15)^2*IF(Profiles_140!O112&gt;Simulator!$L$15,1+Model_Formula!$N$17,1)</x:f>
        <x:v>2500</x:v>
      </x:c>
      <x:c r="K116" s="66" t="n">
        <x:f>Model_Formula!$M$18*(Profiles_140!P112-Simulator!$L$16)^2*IF(Profiles_140!P112&gt;Simulator!$L$16,1+Model_Formula!$N$18,1)</x:f>
        <x:v>202.5</x:v>
      </x:c>
      <x:c r="L116" s="66" t="n">
        <x:f>Model_Formula!$M$19*(Profiles_140!Q112-Simulator!$L$17)^2*IF(Profiles_140!Q112&gt;Simulator!$L$17,1+Model_Formula!$N$19,1)</x:f>
        <x:v>2500</x:v>
      </x:c>
      <x:c r="M116" s="66" t="n">
        <x:f>Model_Formula!$M$20*(Profiles_140!R112-Simulator!$L$18)^2*IF(Profiles_140!R112&gt;Simulator!$L$18,1+Model_Formula!$N$20,1)</x:f>
        <x:v>1600</x:v>
      </x:c>
      <x:c r="N116" s="66" t="n">
        <x:f>Model_Formula!$M$21*(Profiles_140!S112-Simulator!$L$19)^2*IF(Profiles_140!S112&gt;Simulator!$L$19,1+Model_Formula!$N$21,1)</x:f>
        <x:v>25</x:v>
      </x:c>
      <x:c r="O116" s="66" t="n">
        <x:f>Model_Formula!$M$22*(Profiles_140!T112-Simulator!$L$20)^2*IF(Profiles_140!T112&gt;Simulator!$L$20,1+Model_Formula!$N$22,1)</x:f>
        <x:v>100</x:v>
      </x:c>
      <x:c r="P116" s="66" t="n">
        <x:f>Model_Formula!$M$23*(Profiles_140!U112-Simulator!$L$21)^2*IF(Profiles_140!U112&gt;Simulator!$L$21,1+Model_Formula!$N$23,1)</x:f>
        <x:v>551.25</x:v>
      </x:c>
      <x:c r="Q116" s="66" t="n">
        <x:f>Model_Formula!$M$24*(Profiles_140!V112-Simulator!$L$22)^2*IF(Profiles_140!V112&gt;Simulator!$L$22,1+Model_Formula!$N$24,1)</x:f>
        <x:v>40</x:v>
      </x:c>
      <x:c r="R116" s="66" t="n">
        <x:f>Model_Formula!$M$25*(Profiles_140!W112-Simulator!$L$23)^2*IF(Profiles_140!W112&gt;Simulator!$L$23,1+Model_Formula!$N$25,1)</x:f>
        <x:v>720</x:v>
      </x:c>
      <x:c r="S116" s="66" t="n">
        <x:f>Model_Formula!$M$26*(Profiles_140!X112-Simulator!$L$24)^2*IF(Profiles_140!X112&gt;Simulator!$L$24,1+Model_Formula!$N$26,1)</x:f>
        <x:v>37.12500000000001</x:v>
      </x:c>
      <x:c r="T116" s="66" t="n">
        <x:f>Model_Formula!$M$27*(Profiles_140!Y112-Simulator!$L$25)^2*IF(Profiles_140!Y112&gt;Simulator!$L$25,1+Model_Formula!$N$27,1)</x:f>
        <x:v>754.6874999999999</x:v>
      </x:c>
      <x:c r="U116" s="60" t="n">
        <x:f>SUM(F116:T116)/SUM($F$4:$T$4)</x:f>
        <x:v>1125.0419776119404</x:v>
      </x:c>
      <x:c r="V116" s="60" t="n">
        <x:f>SQRT(U116)</x:f>
        <x:v>33.541645421951806</x:v>
      </x:c>
      <x:c r="W116" s="60" t="n">
        <x:f>MAX(0,100-V116)</x:f>
        <x:v>66.45835457804819</x:v>
      </x:c>
      <x:c r="X116" s="60" t="n">
        <x:f>SUMPRODUCT(Profiles_140!K112:Y112,$F$4:$T$4)/SUM($F$4:$T$4)</x:f>
        <x:v>56.49253731343284</x:v>
      </x:c>
      <x:c r="Y116" s="60" t="n">
        <x:f>IFERROR(50+50*SUMPRODUCT(($F$3:$T$3-$X$3)*(Profiles_140!K112:Y112-X116),$F$4:$T$4)/SQRT(SUMPRODUCT(($F$3:$T$3-$X$3)^2,$F$4:$T$4)*SUMPRODUCT((Profiles_140!K112:Y112-X116)^2,$F$4:$T$4)),50)</x:f>
        <x:v>50.00000000000001</x:v>
      </x:c>
      <x:c r="Z116" s="60" t="n">
        <x:f>$Z$3</x:f>
        <x:v>3.9474596431116675e-16</x:v>
      </x:c>
      <x:c r="AA116" s="60" t="n">
        <x:f>W116*(1-Model_Formula!$F$8*Z116)+Y116*(Model_Formula!$F$8*Z116)</x:f>
        <x:v>66.45835457804819</x:v>
      </x:c>
      <x:c r="AB116" s="60" t="n">
        <x:f>SQRT(SUMPRODUCT((Profiles_140!K112:Y112-50)^2,$F$4:$T$4)/SUM($F$4:$T$4))</x:f>
        <x:v>33.421214997966466</x:v>
      </x:c>
      <x:c r="AC116" s="60" t="n">
        <x:f>MAX(-Model_Formula!$F$11,MIN(Model_Formula!$F$11,Model_Formula!$F$10*(AB116-AVERAGE($AB$6:$AB$135))))</x:f>
        <x:v>2.1375226056369416</x:v>
      </x:c>
      <x:c r="AD116" s="60" t="n">
        <x:f>MAX(0,MIN(100,AA116+AC116))</x:f>
        <x:v>68.59587718368513</x:v>
      </x:c>
      <x:c r="AE116" s="60" t="n">
        <x:f>MAX(0,MIN(1,IFERROR((MATCH(AD116,Percentile_Calibration!$F112:$DB112,1)-1)/100,0)))</x:f>
        <x:v>0.75</x:v>
      </x:c>
      <x:c r="AF116" s="62" t="n">
        <x:f>ROUND(MAX(Model_Formula!$I$9,Model_Formula!$I$5+Model_Formula!$I$6*POWER(AE116,Model_Formula!$I$7)),0)</x:f>
        <x:v>65</x:v>
      </x:c>
      <x:c r="AG116" t="n">
        <x:f>Profiles_140!AJ112</x:f>
        <x:v>0</x:v>
      </x:c>
      <x:c r="AH116" s="60" t="n">
        <x:f>Model_Formula!$I$8*(AE116*100)+(1-Model_Formula!$I$8)*AD116+AG116</x:f>
        <x:v>73.71917543673702</x:v>
      </x:c>
      <x:c r="AI116" t="n">
        <x:f>RANK.EQ(AH116,$AH$6:$AH$135,0)+COUNTIF($AH$6:AH116,AH116)-1</x:f>
        <x:v>84</x:v>
      </x:c>
    </x:row>
    <x:row r="117">
      <x:c r="A117" t="str">
        <x:f>Profiles_140!A113</x:f>
        <x:v>ヤドラン</x:v>
      </x:c>
      <x:c r="B117" t="str">
        <x:f>Profiles_140!C113</x:f>
        <x:v>ヤドラン-1</x:v>
      </x:c>
      <x:c r="C117" t="str">
        <x:f>Profiles_140!D113</x:f>
        <x:v>ドわすれ</x:v>
      </x:c>
      <x:c r="D117" t="str">
        <x:f>Profiles_140!B113</x:f>
        <x:v>ディフェンス型</x:v>
      </x:c>
      <x:c r="E117" t="str">
        <x:f>Profiles_140!I113</x:f>
        <x:v>高</x:v>
      </x:c>
      <x:c r="F117" s="66" t="n">
        <x:f>Model_Formula!$M$13*(Profiles_140!K113-Simulator!$L$11)^2*IF(Profiles_140!K113&gt;Simulator!$L$11,1+Model_Formula!$N$13,1)</x:f>
        <x:v>25</x:v>
      </x:c>
      <x:c r="G117" s="66" t="n">
        <x:f>Model_Formula!$M$14*(Profiles_140!L113-Simulator!$L$12)^2*IF(Profiles_140!L113&gt;Simulator!$L$12,1+Model_Formula!$N$14,1)</x:f>
        <x:v>236.25</x:v>
      </x:c>
      <x:c r="H117" s="66" t="n">
        <x:f>Model_Formula!$M$15*(Profiles_140!M113-Simulator!$L$13)^2*IF(Profiles_140!M113&gt;Simulator!$L$13,1+Model_Formula!$N$15,1)</x:f>
        <x:v>1225</x:v>
      </x:c>
      <x:c r="I117" s="66" t="n">
        <x:f>Model_Formula!$M$16*(Profiles_140!N113-Simulator!$L$14)^2*IF(Profiles_140!N113&gt;Simulator!$L$14,1+Model_Formula!$N$16,1)</x:f>
        <x:v>1225</x:v>
      </x:c>
      <x:c r="J117" s="66" t="n">
        <x:f>Model_Formula!$M$17*(Profiles_140!O113-Simulator!$L$15)^2*IF(Profiles_140!O113&gt;Simulator!$L$15,1+Model_Formula!$N$17,1)</x:f>
        <x:v>100</x:v>
      </x:c>
      <x:c r="K117" s="66" t="n">
        <x:f>Model_Formula!$M$18*(Profiles_140!P113-Simulator!$L$16)^2*IF(Profiles_140!P113&gt;Simulator!$L$16,1+Model_Formula!$N$18,1)</x:f>
        <x:v>202.5</x:v>
      </x:c>
      <x:c r="L117" s="66" t="n">
        <x:f>Model_Formula!$M$19*(Profiles_140!Q113-Simulator!$L$17)^2*IF(Profiles_140!Q113&gt;Simulator!$L$17,1+Model_Formula!$N$19,1)</x:f>
        <x:v>900</x:v>
      </x:c>
      <x:c r="M117" s="66" t="n">
        <x:f>Model_Formula!$M$20*(Profiles_140!R113-Simulator!$L$18)^2*IF(Profiles_140!R113&gt;Simulator!$L$18,1+Model_Formula!$N$20,1)</x:f>
        <x:v>2025</x:v>
      </x:c>
      <x:c r="N117" s="66" t="n">
        <x:f>Model_Formula!$M$21*(Profiles_140!S113-Simulator!$L$19)^2*IF(Profiles_140!S113&gt;Simulator!$L$19,1+Model_Formula!$N$21,1)</x:f>
        <x:v>100</x:v>
      </x:c>
      <x:c r="O117" s="66" t="n">
        <x:f>Model_Formula!$M$22*(Profiles_140!T113-Simulator!$L$20)^2*IF(Profiles_140!T113&gt;Simulator!$L$20,1+Model_Formula!$N$22,1)</x:f>
        <x:v>400</x:v>
      </x:c>
      <x:c r="P117" s="66" t="n">
        <x:f>Model_Formula!$M$23*(Profiles_140!U113-Simulator!$L$21)^2*IF(Profiles_140!U113&gt;Simulator!$L$21,1+Model_Formula!$N$23,1)</x:f>
        <x:v>45</x:v>
      </x:c>
      <x:c r="Q117" s="66" t="n">
        <x:f>Model_Formula!$M$24*(Profiles_140!V113-Simulator!$L$22)^2*IF(Profiles_140!V113&gt;Simulator!$L$22,1+Model_Formula!$N$24,1)</x:f>
        <x:v>250</x:v>
      </x:c>
      <x:c r="R117" s="66" t="n">
        <x:f>Model_Formula!$M$25*(Profiles_140!W113-Simulator!$L$23)^2*IF(Profiles_140!W113&gt;Simulator!$L$23,1+Model_Formula!$N$25,1)</x:f>
        <x:v>45</x:v>
      </x:c>
      <x:c r="S117" s="66" t="n">
        <x:f>Model_Formula!$M$26*(Profiles_140!X113-Simulator!$L$24)^2*IF(Profiles_140!X113&gt;Simulator!$L$24,1+Model_Formula!$N$26,1)</x:f>
        <x:v>148.50000000000003</x:v>
      </x:c>
      <x:c r="T117" s="66" t="n">
        <x:f>Model_Formula!$M$27*(Profiles_140!Y113-Simulator!$L$25)^2*IF(Profiles_140!Y113&gt;Simulator!$L$25,1+Model_Formula!$N$27,1)</x:f>
        <x:v>120.74999999999999</x:v>
      </x:c>
      <x:c r="U117" s="60" t="n">
        <x:f>SUM(F117:T117)/SUM($F$4:$T$4)</x:f>
        <x:v>525.9701492537314</x:v>
      </x:c>
      <x:c r="V117" s="60" t="n">
        <x:f>SQRT(U117)</x:f>
        <x:v>22.93403909593187</x:v>
      </x:c>
      <x:c r="W117" s="60" t="n">
        <x:f>MAX(0,100-V117)</x:f>
        <x:v>77.06596090406813</x:v>
      </x:c>
      <x:c r="X117" s="60" t="n">
        <x:f>SUMPRODUCT(Profiles_140!K113:Y113,$F$4:$T$4)/SUM($F$4:$T$4)</x:f>
        <x:v>46.212686567164184</x:v>
      </x:c>
      <x:c r="Y117" s="60" t="n">
        <x:f>IFERROR(50+50*SUMPRODUCT(($F$3:$T$3-$X$3)*(Profiles_140!K113:Y113-X117),$F$4:$T$4)/SQRT(SUMPRODUCT(($F$3:$T$3-$X$3)^2,$F$4:$T$4)*SUMPRODUCT((Profiles_140!K113:Y113-X117)^2,$F$4:$T$4)),50)</x:f>
        <x:v>50.00000000000001</x:v>
      </x:c>
      <x:c r="Z117" s="60" t="n">
        <x:f>$Z$3</x:f>
        <x:v>3.9474596431116675e-16</x:v>
      </x:c>
      <x:c r="AA117" s="60" t="n">
        <x:f>W117*(1-Model_Formula!$F$8*Z117)+Y117*(Model_Formula!$F$8*Z117)</x:f>
        <x:v>77.06596090406813</x:v>
      </x:c>
      <x:c r="AB117" s="60" t="n">
        <x:f>SQRT(SUMPRODUCT((Profiles_140!K113:Y113-50)^2,$F$4:$T$4)/SUM($F$4:$T$4))</x:f>
        <x:v>22.84560443041604</x:v>
      </x:c>
      <x:c r="AC117" s="60" t="n">
        <x:f>MAX(-Model_Formula!$F$11,MIN(Model_Formula!$F$11,Model_Formula!$F$10*(AB117-AVERAGE($AB$6:$AB$135))))</x:f>
        <x:v>-2.621502149760751</x:v>
      </x:c>
      <x:c r="AD117" s="60" t="n">
        <x:f>MAX(0,MIN(100,AA117+AC117))</x:f>
        <x:v>74.44445875430739</x:v>
      </x:c>
      <x:c r="AE117" s="60" t="n">
        <x:f>MAX(0,MIN(1,IFERROR((MATCH(AD117,Percentile_Calibration!$F113:$DB113,1)-1)/100,0)))</x:f>
        <x:v>0.94</x:v>
      </x:c>
      <x:c r="AF117" s="62" t="n">
        <x:f>ROUND(MAX(Model_Formula!$I$9,Model_Formula!$I$5+Model_Formula!$I$6*POWER(AE117,Model_Formula!$I$7)),0)</x:f>
        <x:v>88</x:v>
      </x:c>
      <x:c r="AG117" t="n">
        <x:f>Profiles_140!AJ113</x:f>
        <x:v>0</x:v>
      </x:c>
      <x:c r="AH117" s="60" t="n">
        <x:f>Model_Formula!$I$8*(AE117*100)+(1-Model_Formula!$I$8)*AD117+AG117</x:f>
        <x:v>90.08889175086148</x:v>
      </x:c>
      <x:c r="AI117" t="n">
        <x:f>RANK.EQ(AH117,$AH$6:$AH$135,0)+COUNTIF($AH$6:AH117,AH117)-1</x:f>
        <x:v>21</x:v>
      </x:c>
    </x:row>
    <x:row r="118">
      <x:c r="A118" t="str">
        <x:f>Profiles_140!A114</x:f>
        <x:v>ヤドラン</x:v>
      </x:c>
      <x:c r="B118" t="str">
        <x:f>Profiles_140!C114</x:f>
        <x:v>ヤドラン-2</x:v>
      </x:c>
      <x:c r="C118" t="str">
        <x:f>Profiles_140!D114</x:f>
        <x:v>テレキネシス</x:v>
      </x:c>
      <x:c r="D118" t="str">
        <x:f>Profiles_140!B114</x:f>
        <x:v>ディフェンス型</x:v>
      </x:c>
      <x:c r="E118" t="str">
        <x:f>Profiles_140!I114</x:f>
        <x:v>高</x:v>
      </x:c>
      <x:c r="F118" s="66" t="n">
        <x:f>Model_Formula!$M$13*(Profiles_140!K114-Simulator!$L$11)^2*IF(Profiles_140!K114&gt;Simulator!$L$11,1+Model_Formula!$N$13,1)</x:f>
        <x:v>25</x:v>
      </x:c>
      <x:c r="G118" s="66" t="n">
        <x:f>Model_Formula!$M$14*(Profiles_140!L114-Simulator!$L$12)^2*IF(Profiles_140!L114&gt;Simulator!$L$12,1+Model_Formula!$N$14,1)</x:f>
        <x:v>945</x:v>
      </x:c>
      <x:c r="H118" s="66" t="n">
        <x:f>Model_Formula!$M$15*(Profiles_140!M114-Simulator!$L$13)^2*IF(Profiles_140!M114&gt;Simulator!$L$13,1+Model_Formula!$N$15,1)</x:f>
        <x:v>2500</x:v>
      </x:c>
      <x:c r="I118" s="66" t="n">
        <x:f>Model_Formula!$M$16*(Profiles_140!N114-Simulator!$L$14)^2*IF(Profiles_140!N114&gt;Simulator!$L$14,1+Model_Formula!$N$16,1)</x:f>
        <x:v>1225</x:v>
      </x:c>
      <x:c r="J118" s="66" t="n">
        <x:f>Model_Formula!$M$17*(Profiles_140!O114-Simulator!$L$15)^2*IF(Profiles_140!O114&gt;Simulator!$L$15,1+Model_Formula!$N$17,1)</x:f>
        <x:v>400</x:v>
      </x:c>
      <x:c r="K118" s="66" t="n">
        <x:f>Model_Formula!$M$18*(Profiles_140!P114-Simulator!$L$16)^2*IF(Profiles_140!P114&gt;Simulator!$L$16,1+Model_Formula!$N$18,1)</x:f>
        <x:v>90</x:v>
      </x:c>
      <x:c r="L118" s="66" t="n">
        <x:f>Model_Formula!$M$19*(Profiles_140!Q114-Simulator!$L$17)^2*IF(Profiles_140!Q114&gt;Simulator!$L$17,1+Model_Formula!$N$19,1)</x:f>
        <x:v>2500</x:v>
      </x:c>
      <x:c r="M118" s="66" t="n">
        <x:f>Model_Formula!$M$20*(Profiles_140!R114-Simulator!$L$18)^2*IF(Profiles_140!R114&gt;Simulator!$L$18,1+Model_Formula!$N$20,1)</x:f>
        <x:v>100</x:v>
      </x:c>
      <x:c r="N118" s="66" t="n">
        <x:f>Model_Formula!$M$21*(Profiles_140!S114-Simulator!$L$19)^2*IF(Profiles_140!S114&gt;Simulator!$L$19,1+Model_Formula!$N$21,1)</x:f>
        <x:v>400</x:v>
      </x:c>
      <x:c r="O118" s="66" t="n">
        <x:f>Model_Formula!$M$22*(Profiles_140!T114-Simulator!$L$20)^2*IF(Profiles_140!T114&gt;Simulator!$L$20,1+Model_Formula!$N$22,1)</x:f>
        <x:v>225</x:v>
      </x:c>
      <x:c r="P118" s="66" t="n">
        <x:f>Model_Formula!$M$23*(Profiles_140!U114-Simulator!$L$21)^2*IF(Profiles_140!U114&gt;Simulator!$L$21,1+Model_Formula!$N$23,1)</x:f>
        <x:v>405</x:v>
      </x:c>
      <x:c r="Q118" s="66" t="n">
        <x:f>Model_Formula!$M$24*(Profiles_140!V114-Simulator!$L$22)^2*IF(Profiles_140!V114&gt;Simulator!$L$22,1+Model_Formula!$N$24,1)</x:f>
        <x:v>160</x:v>
      </x:c>
      <x:c r="R118" s="66" t="n">
        <x:f>Model_Formula!$M$25*(Profiles_140!W114-Simulator!$L$23)^2*IF(Profiles_140!W114&gt;Simulator!$L$23,1+Model_Formula!$N$25,1)</x:f>
        <x:v>405</x:v>
      </x:c>
      <x:c r="S118" s="66" t="n">
        <x:f>Model_Formula!$M$26*(Profiles_140!X114-Simulator!$L$24)^2*IF(Profiles_140!X114&gt;Simulator!$L$24,1+Model_Formula!$N$26,1)</x:f>
        <x:v>148.50000000000003</x:v>
      </x:c>
      <x:c r="T118" s="66" t="n">
        <x:f>Model_Formula!$M$27*(Profiles_140!Y114-Simulator!$L$25)^2*IF(Profiles_140!Y114&gt;Simulator!$L$25,1+Model_Formula!$N$27,1)</x:f>
        <x:v>1479.1874999999998</x:v>
      </x:c>
      <x:c r="U118" s="60" t="n">
        <x:f>SUM(F118:T118)/SUM($F$4:$T$4)</x:f>
        <x:v>821.4692164179105</x:v>
      </x:c>
      <x:c r="V118" s="60" t="n">
        <x:f>SQRT(U118)</x:f>
        <x:v>28.661284277190205</x:v>
      </x:c>
      <x:c r="W118" s="60" t="n">
        <x:f>MAX(0,100-V118)</x:f>
        <x:v>71.3387157228098</x:v>
      </x:c>
      <x:c r="X118" s="60" t="n">
        <x:f>SUMPRODUCT(Profiles_140!K114:Y114,$F$4:$T$4)/SUM($F$4:$T$4)</x:f>
        <x:v>54.869402985074636</x:v>
      </x:c>
      <x:c r="Y118" s="60" t="n">
        <x:f>IFERROR(50+50*SUMPRODUCT(($F$3:$T$3-$X$3)*(Profiles_140!K114:Y114-X118),$F$4:$T$4)/SQRT(SUMPRODUCT(($F$3:$T$3-$X$3)^2,$F$4:$T$4)*SUMPRODUCT((Profiles_140!K114:Y114-X118)^2,$F$4:$T$4)),50)</x:f>
        <x:v>50.000000000000014</x:v>
      </x:c>
      <x:c r="Z118" s="60" t="n">
        <x:f>$Z$3</x:f>
        <x:v>3.9474596431116675e-16</x:v>
      </x:c>
      <x:c r="AA118" s="60" t="n">
        <x:f>W118*(1-Model_Formula!$F$8*Z118)+Y118*(Model_Formula!$F$8*Z118)</x:f>
        <x:v>71.3387157228098</x:v>
      </x:c>
      <x:c r="AB118" s="60" t="n">
        <x:f>SQRT(SUMPRODUCT((Profiles_140!K114:Y114-50)^2,$F$4:$T$4)/SUM($F$4:$T$4))</x:f>
        <x:v>28.358380792880787</x:v>
      </x:c>
      <x:c r="AC118" s="60" t="n">
        <x:f>MAX(-Model_Formula!$F$11,MIN(Model_Formula!$F$11,Model_Formula!$F$10*(AB118-AVERAGE($AB$6:$AB$135))))</x:f>
        <x:v>-0.1407527866516139</x:v>
      </x:c>
      <x:c r="AD118" s="60" t="n">
        <x:f>MAX(0,MIN(100,AA118+AC118))</x:f>
        <x:v>71.19796293615818</x:v>
      </x:c>
      <x:c r="AE118" s="60" t="n">
        <x:f>MAX(0,MIN(1,IFERROR((MATCH(AD118,Percentile_Calibration!$F114:$DB114,1)-1)/100,0)))</x:f>
        <x:v>0.78</x:v>
      </x:c>
      <x:c r="AF118" s="62" t="n">
        <x:f>ROUND(MAX(Model_Formula!$I$9,Model_Formula!$I$5+Model_Formula!$I$6*POWER(AE118,Model_Formula!$I$7)),0)</x:f>
        <x:v>68</x:v>
      </x:c>
      <x:c r="AG118" t="n">
        <x:f>Profiles_140!AJ114</x:f>
        <x:v>0</x:v>
      </x:c>
      <x:c r="AH118" s="60" t="n">
        <x:f>Model_Formula!$I$8*(AE118*100)+(1-Model_Formula!$I$8)*AD118+AG118</x:f>
        <x:v>76.63959258723163</x:v>
      </x:c>
      <x:c r="AI118" t="n">
        <x:f>RANK.EQ(AH118,$AH$6:$AH$135,0)+COUNTIF($AH$6:AH118,AH118)-1</x:f>
        <x:v>66</x:v>
      </x:c>
    </x:row>
    <x:row r="119">
      <x:c r="A119" t="str">
        <x:f>Profiles_140!A115</x:f>
        <x:v>ヨクバリス</x:v>
      </x:c>
      <x:c r="B119" t="str">
        <x:f>Profiles_140!C115</x:f>
        <x:v>ヨクバリス-1</x:v>
      </x:c>
      <x:c r="C119" t="str">
        <x:f>Profiles_140!D115</x:f>
        <x:v>ほおばる</x:v>
      </x:c>
      <x:c r="D119" t="str">
        <x:f>Profiles_140!B115</x:f>
        <x:v>ディフェンス型</x:v>
      </x:c>
      <x:c r="E119" t="str">
        <x:f>Profiles_140!I115</x:f>
        <x:v>高</x:v>
      </x:c>
      <x:c r="F119" s="66" t="n">
        <x:f>Model_Formula!$M$13*(Profiles_140!K115-Simulator!$L$11)^2*IF(Profiles_140!K115&gt;Simulator!$L$11,1+Model_Formula!$N$13,1)</x:f>
        <x:v>25</x:v>
      </x:c>
      <x:c r="G119" s="66" t="n">
        <x:f>Model_Formula!$M$14*(Profiles_140!L115-Simulator!$L$12)^2*IF(Profiles_140!L115&gt;Simulator!$L$12,1+Model_Formula!$N$14,1)</x:f>
        <x:v>236.25</x:v>
      </x:c>
      <x:c r="H119" s="66" t="n">
        <x:f>Model_Formula!$M$15*(Profiles_140!M115-Simulator!$L$13)^2*IF(Profiles_140!M115&gt;Simulator!$L$13,1+Model_Formula!$N$15,1)</x:f>
        <x:v>225</x:v>
      </x:c>
      <x:c r="I119" s="66" t="n">
        <x:f>Model_Formula!$M$16*(Profiles_140!N115-Simulator!$L$14)^2*IF(Profiles_140!N115&gt;Simulator!$L$14,1+Model_Formula!$N$16,1)</x:f>
        <x:v>2500</x:v>
      </x:c>
      <x:c r="J119" s="66" t="n">
        <x:f>Model_Formula!$M$17*(Profiles_140!O115-Simulator!$L$15)^2*IF(Profiles_140!O115&gt;Simulator!$L$15,1+Model_Formula!$N$17,1)</x:f>
        <x:v>1600</x:v>
      </x:c>
      <x:c r="K119" s="66" t="n">
        <x:f>Model_Formula!$M$18*(Profiles_140!P115-Simulator!$L$16)^2*IF(Profiles_140!P115&gt;Simulator!$L$16,1+Model_Formula!$N$18,1)</x:f>
        <x:v>562.5</x:v>
      </x:c>
      <x:c r="L119" s="66" t="n">
        <x:f>Model_Formula!$M$19*(Profiles_140!Q115-Simulator!$L$17)^2*IF(Profiles_140!Q115&gt;Simulator!$L$17,1+Model_Formula!$N$19,1)</x:f>
        <x:v>625</x:v>
      </x:c>
      <x:c r="M119" s="66" t="n">
        <x:f>Model_Formula!$M$20*(Profiles_140!R115-Simulator!$L$18)^2*IF(Profiles_140!R115&gt;Simulator!$L$18,1+Model_Formula!$N$20,1)</x:f>
        <x:v>2025</x:v>
      </x:c>
      <x:c r="N119" s="66" t="n">
        <x:f>Model_Formula!$M$21*(Profiles_140!S115-Simulator!$L$19)^2*IF(Profiles_140!S115&gt;Simulator!$L$19,1+Model_Formula!$N$21,1)</x:f>
        <x:v>25</x:v>
      </x:c>
      <x:c r="O119" s="66" t="n">
        <x:f>Model_Formula!$M$22*(Profiles_140!T115-Simulator!$L$20)^2*IF(Profiles_140!T115&gt;Simulator!$L$20,1+Model_Formula!$N$22,1)</x:f>
        <x:v>1225</x:v>
      </x:c>
      <x:c r="P119" s="66" t="n">
        <x:f>Model_Formula!$M$23*(Profiles_140!U115-Simulator!$L$21)^2*IF(Profiles_140!U115&gt;Simulator!$L$21,1+Model_Formula!$N$23,1)</x:f>
        <x:v>45</x:v>
      </x:c>
      <x:c r="Q119" s="66" t="n">
        <x:f>Model_Formula!$M$24*(Profiles_140!V115-Simulator!$L$22)^2*IF(Profiles_140!V115&gt;Simulator!$L$22,1+Model_Formula!$N$24,1)</x:f>
        <x:v>250</x:v>
      </x:c>
      <x:c r="R119" s="66" t="n">
        <x:f>Model_Formula!$M$25*(Profiles_140!W115-Simulator!$L$23)^2*IF(Profiles_140!W115&gt;Simulator!$L$23,1+Model_Formula!$N$25,1)</x:f>
        <x:v>11.25</x:v>
      </x:c>
      <x:c r="S119" s="66" t="n">
        <x:f>Model_Formula!$M$26*(Profiles_140!X115-Simulator!$L$24)^2*IF(Profiles_140!X115&gt;Simulator!$L$24,1+Model_Formula!$N$26,1)</x:f>
        <x:v>148.50000000000003</x:v>
      </x:c>
      <x:c r="T119" s="66" t="n">
        <x:f>Model_Formula!$M$27*(Profiles_140!Y115-Simulator!$L$25)^2*IF(Profiles_140!Y115&gt;Simulator!$L$25,1+Model_Formula!$N$27,1)</x:f>
        <x:v>0</x:v>
      </x:c>
      <x:c r="U119" s="60" t="n">
        <x:f>SUM(F119:T119)/SUM($F$4:$T$4)</x:f>
        <x:v>709.2164179104478</x:v>
      </x:c>
      <x:c r="V119" s="60" t="n">
        <x:f>SQRT(U119)</x:f>
        <x:v>26.631117473933532</x:v>
      </x:c>
      <x:c r="W119" s="60" t="n">
        <x:f>MAX(0,100-V119)</x:f>
        <x:v>73.36888252606647</x:v>
      </x:c>
      <x:c r="X119" s="60" t="n">
        <x:f>SUMPRODUCT(Profiles_140!K115:Y115,$F$4:$T$4)/SUM($F$4:$T$4)</x:f>
        <x:v>52.68656716417911</x:v>
      </x:c>
      <x:c r="Y119" s="60" t="n">
        <x:f>IFERROR(50+50*SUMPRODUCT(($F$3:$T$3-$X$3)*(Profiles_140!K115:Y115-X119),$F$4:$T$4)/SQRT(SUMPRODUCT(($F$3:$T$3-$X$3)^2,$F$4:$T$4)*SUMPRODUCT((Profiles_140!K115:Y115-X119)^2,$F$4:$T$4)),50)</x:f>
        <x:v>50.00000000000001</x:v>
      </x:c>
      <x:c r="Z119" s="60" t="n">
        <x:f>$Z$3</x:f>
        <x:v>3.9474596431116675e-16</x:v>
      </x:c>
      <x:c r="AA119" s="60" t="n">
        <x:f>W119*(1-Model_Formula!$F$8*Z119)+Y119*(Model_Formula!$F$8*Z119)</x:f>
        <x:v>73.36888252606647</x:v>
      </x:c>
      <x:c r="AB119" s="60" t="n">
        <x:f>SQRT(SUMPRODUCT((Profiles_140!K115:Y115-50)^2,$F$4:$T$4)/SUM($F$4:$T$4))</x:f>
        <x:v>26.577119550133524</x:v>
      </x:c>
      <x:c r="AC119" s="60" t="n">
        <x:f>MAX(-Model_Formula!$F$11,MIN(Model_Formula!$F$11,Model_Formula!$F$10*(AB119-AVERAGE($AB$6:$AB$135))))</x:f>
        <x:v>-0.9423203458878823</x:v>
      </x:c>
      <x:c r="AD119" s="60" t="n">
        <x:f>MAX(0,MIN(100,AA119+AC119))</x:f>
        <x:v>72.42656218017859</x:v>
      </x:c>
      <x:c r="AE119" s="60" t="n">
        <x:f>MAX(0,MIN(1,IFERROR((MATCH(AD119,Percentile_Calibration!$F115:$DB115,1)-1)/100,0)))</x:f>
        <x:v>0.89</x:v>
      </x:c>
      <x:c r="AF119" s="62" t="n">
        <x:f>ROUND(MAX(Model_Formula!$I$9,Model_Formula!$I$5+Model_Formula!$I$6*POWER(AE119,Model_Formula!$I$7)),0)</x:f>
        <x:v>81</x:v>
      </x:c>
      <x:c r="AG119" t="n">
        <x:f>Profiles_140!AJ115</x:f>
        <x:v>0</x:v>
      </x:c>
      <x:c r="AH119" s="60" t="n">
        <x:f>Model_Formula!$I$8*(AE119*100)+(1-Model_Formula!$I$8)*AD119+AG119</x:f>
        <x:v>85.68531243603572</x:v>
      </x:c>
      <x:c r="AI119" t="n">
        <x:f>RANK.EQ(AH119,$AH$6:$AH$135,0)+COUNTIF($AH$6:AH119,AH119)-1</x:f>
        <x:v>36</x:v>
      </x:c>
    </x:row>
    <x:row r="120">
      <x:c r="A120" t="str">
        <x:f>Profiles_140!A116</x:f>
        <x:v>ヨクバリス</x:v>
      </x:c>
      <x:c r="B120" t="str">
        <x:f>Profiles_140!C116</x:f>
        <x:v>ヨクバリス-2</x:v>
      </x:c>
      <x:c r="C120" t="str">
        <x:f>Profiles_140!D116</x:f>
        <x:v>ほしがる</x:v>
      </x:c>
      <x:c r="D120" t="str">
        <x:f>Profiles_140!B116</x:f>
        <x:v>ディフェンス型</x:v>
      </x:c>
      <x:c r="E120" t="str">
        <x:f>Profiles_140!I116</x:f>
        <x:v>高</x:v>
      </x:c>
      <x:c r="F120" s="66" t="n">
        <x:f>Model_Formula!$M$13*(Profiles_140!K116-Simulator!$L$11)^2*IF(Profiles_140!K116&gt;Simulator!$L$11,1+Model_Formula!$N$13,1)</x:f>
        <x:v>400</x:v>
      </x:c>
      <x:c r="G120" s="66" t="n">
        <x:f>Model_Formula!$M$14*(Profiles_140!L116-Simulator!$L$12)^2*IF(Profiles_140!L116&gt;Simulator!$L$12,1+Model_Formula!$N$14,1)</x:f>
        <x:v>236.25</x:v>
      </x:c>
      <x:c r="H120" s="66" t="n">
        <x:f>Model_Formula!$M$15*(Profiles_140!M116-Simulator!$L$13)^2*IF(Profiles_140!M116&gt;Simulator!$L$13,1+Model_Formula!$N$15,1)</x:f>
        <x:v>100</x:v>
      </x:c>
      <x:c r="I120" s="66" t="n">
        <x:f>Model_Formula!$M$16*(Profiles_140!N116-Simulator!$L$14)^2*IF(Profiles_140!N116&gt;Simulator!$L$14,1+Model_Formula!$N$16,1)</x:f>
        <x:v>25</x:v>
      </x:c>
      <x:c r="J120" s="66" t="n">
        <x:f>Model_Formula!$M$17*(Profiles_140!O116-Simulator!$L$15)^2*IF(Profiles_140!O116&gt;Simulator!$L$15,1+Model_Formula!$N$17,1)</x:f>
        <x:v>400</x:v>
      </x:c>
      <x:c r="K120" s="66" t="n">
        <x:f>Model_Formula!$M$18*(Profiles_140!P116-Simulator!$L$16)^2*IF(Profiles_140!P116&gt;Simulator!$L$16,1+Model_Formula!$N$18,1)</x:f>
        <x:v>202.5</x:v>
      </x:c>
      <x:c r="L120" s="66" t="n">
        <x:f>Model_Formula!$M$19*(Profiles_140!Q116-Simulator!$L$17)^2*IF(Profiles_140!Q116&gt;Simulator!$L$17,1+Model_Formula!$N$19,1)</x:f>
        <x:v>400</x:v>
      </x:c>
      <x:c r="M120" s="66" t="n">
        <x:f>Model_Formula!$M$20*(Profiles_140!R116-Simulator!$L$18)^2*IF(Profiles_140!R116&gt;Simulator!$L$18,1+Model_Formula!$N$20,1)</x:f>
        <x:v>225</x:v>
      </x:c>
      <x:c r="N120" s="66" t="n">
        <x:f>Model_Formula!$M$21*(Profiles_140!S116-Simulator!$L$19)^2*IF(Profiles_140!S116&gt;Simulator!$L$19,1+Model_Formula!$N$21,1)</x:f>
        <x:v>2500</x:v>
      </x:c>
      <x:c r="O120" s="66" t="n">
        <x:f>Model_Formula!$M$22*(Profiles_140!T116-Simulator!$L$20)^2*IF(Profiles_140!T116&gt;Simulator!$L$20,1+Model_Formula!$N$22,1)</x:f>
        <x:v>100</x:v>
      </x:c>
      <x:c r="P120" s="66" t="n">
        <x:f>Model_Formula!$M$23*(Profiles_140!U116-Simulator!$L$21)^2*IF(Profiles_140!U116&gt;Simulator!$L$21,1+Model_Formula!$N$23,1)</x:f>
        <x:v>45</x:v>
      </x:c>
      <x:c r="Q120" s="66" t="n">
        <x:f>Model_Formula!$M$24*(Profiles_140!V116-Simulator!$L$22)^2*IF(Profiles_140!V116&gt;Simulator!$L$22,1+Model_Formula!$N$24,1)</x:f>
        <x:v>10</x:v>
      </x:c>
      <x:c r="R120" s="66" t="n">
        <x:f>Model_Formula!$M$25*(Profiles_140!W116-Simulator!$L$23)^2*IF(Profiles_140!W116&gt;Simulator!$L$23,1+Model_Formula!$N$25,1)</x:f>
        <x:v>281.25</x:v>
      </x:c>
      <x:c r="S120" s="66" t="n">
        <x:f>Model_Formula!$M$26*(Profiles_140!X116-Simulator!$L$24)^2*IF(Profiles_140!X116&gt;Simulator!$L$24,1+Model_Formula!$N$26,1)</x:f>
        <x:v>928.1250000000001</x:v>
      </x:c>
      <x:c r="T120" s="66" t="n">
        <x:f>Model_Formula!$M$27*(Profiles_140!Y116-Simulator!$L$25)^2*IF(Profiles_140!Y116&gt;Simulator!$L$25,1+Model_Formula!$N$27,1)</x:f>
        <x:v>1931.9999999999998</x:v>
      </x:c>
      <x:c r="U120" s="60" t="n">
        <x:f>SUM(F120:T120)/SUM($F$4:$T$4)</x:f>
        <x:v>580.9794776119404</x:v>
      </x:c>
      <x:c r="V120" s="60" t="n">
        <x:f>SQRT(U120)</x:f>
        <x:v>24.103515876567478</x:v>
      </x:c>
      <x:c r="W120" s="60" t="n">
        <x:f>MAX(0,100-V120)</x:f>
        <x:v>75.89648412343251</x:v>
      </x:c>
      <x:c r="X120" s="60" t="n">
        <x:f>SUMPRODUCT(Profiles_140!K116:Y116,$F$4:$T$4)/SUM($F$4:$T$4)</x:f>
        <x:v>59.44029850746269</x:v>
      </x:c>
      <x:c r="Y120" s="60" t="n">
        <x:f>IFERROR(50+50*SUMPRODUCT(($F$3:$T$3-$X$3)*(Profiles_140!K116:Y116-X120),$F$4:$T$4)/SQRT(SUMPRODUCT(($F$3:$T$3-$X$3)^2,$F$4:$T$4)*SUMPRODUCT((Profiles_140!K116:Y116-X120)^2,$F$4:$T$4)),50)</x:f>
        <x:v>50.000000000000014</x:v>
      </x:c>
      <x:c r="Z120" s="60" t="n">
        <x:f>$Z$3</x:f>
        <x:v>3.9474596431116675e-16</x:v>
      </x:c>
      <x:c r="AA120" s="60" t="n">
        <x:f>W120*(1-Model_Formula!$F$8*Z120)+Y120*(Model_Formula!$F$8*Z120)</x:f>
        <x:v>75.89648412343251</x:v>
      </x:c>
      <x:c r="AB120" s="60" t="n">
        <x:f>SQRT(SUMPRODUCT((Profiles_140!K116:Y116-50)^2,$F$4:$T$4)/SUM($F$4:$T$4))</x:f>
        <x:v>23.328446538731374</x:v>
      </x:c>
      <x:c r="AC120" s="60" t="n">
        <x:f>MAX(-Model_Formula!$F$11,MIN(Model_Formula!$F$11,Model_Formula!$F$10*(AB120-AVERAGE($AB$6:$AB$135))))</x:f>
        <x:v>-2.40422320101885</x:v>
      </x:c>
      <x:c r="AD120" s="60" t="n">
        <x:f>MAX(0,MIN(100,AA120+AC120))</x:f>
        <x:v>73.49226092241366</x:v>
      </x:c>
      <x:c r="AE120" s="60" t="n">
        <x:f>MAX(0,MIN(1,IFERROR((MATCH(AD120,Percentile_Calibration!$F116:$DB116,1)-1)/100,0)))</x:f>
        <x:v>0.83</x:v>
      </x:c>
      <x:c r="AF120" s="62" t="n">
        <x:f>ROUND(MAX(Model_Formula!$I$9,Model_Formula!$I$5+Model_Formula!$I$6*POWER(AE120,Model_Formula!$I$7)),0)</x:f>
        <x:v>73</x:v>
      </x:c>
      <x:c r="AG120" t="n">
        <x:f>Profiles_140!AJ116</x:f>
        <x:v>0</x:v>
      </x:c>
      <x:c r="AH120" s="60" t="n">
        <x:f>Model_Formula!$I$8*(AE120*100)+(1-Model_Formula!$I$8)*AD120+AG120</x:f>
        <x:v>81.09845218448274</x:v>
      </x:c>
      <x:c r="AI120" t="n">
        <x:f>RANK.EQ(AH120,$AH$6:$AH$135,0)+COUNTIF($AH$6:AH120,AH120)-1</x:f>
        <x:v>47</x:v>
      </x:c>
    </x:row>
    <x:row r="121">
      <x:c r="A121" t="str">
        <x:f>Profiles_140!A117</x:f>
        <x:v>ラプラス</x:v>
      </x:c>
      <x:c r="B121" t="str">
        <x:f>Profiles_140!C117</x:f>
        <x:v>ラプラス-1</x:v>
      </x:c>
      <x:c r="C121" t="str">
        <x:f>Profiles_140!D117</x:f>
        <x:v>共通</x:v>
      </x:c>
      <x:c r="D121" t="str">
        <x:f>Profiles_140!B117</x:f>
        <x:v>ディフェンス型</x:v>
      </x:c>
      <x:c r="E121" t="str">
        <x:f>Profiles_140!I117</x:f>
        <x:v>高</x:v>
      </x:c>
      <x:c r="F121" s="66" t="n">
        <x:f>Model_Formula!$M$13*(Profiles_140!K117-Simulator!$L$11)^2*IF(Profiles_140!K117&gt;Simulator!$L$11,1+Model_Formula!$N$13,1)</x:f>
        <x:v>225</x:v>
      </x:c>
      <x:c r="G121" s="66" t="n">
        <x:f>Model_Formula!$M$14*(Profiles_140!L117-Simulator!$L$12)^2*IF(Profiles_140!L117&gt;Simulator!$L$12,1+Model_Formula!$N$14,1)</x:f>
        <x:v>1286.25</x:v>
      </x:c>
      <x:c r="H121" s="66" t="n">
        <x:f>Model_Formula!$M$15*(Profiles_140!M117-Simulator!$L$13)^2*IF(Profiles_140!M117&gt;Simulator!$L$13,1+Model_Formula!$N$15,1)</x:f>
        <x:v>225</x:v>
      </x:c>
      <x:c r="I121" s="66" t="n">
        <x:f>Model_Formula!$M$16*(Profiles_140!N117-Simulator!$L$14)^2*IF(Profiles_140!N117&gt;Simulator!$L$14,1+Model_Formula!$N$16,1)</x:f>
        <x:v>1225</x:v>
      </x:c>
      <x:c r="J121" s="66" t="n">
        <x:f>Model_Formula!$M$17*(Profiles_140!O117-Simulator!$L$15)^2*IF(Profiles_140!O117&gt;Simulator!$L$15,1+Model_Formula!$N$17,1)</x:f>
        <x:v>25</x:v>
      </x:c>
      <x:c r="K121" s="66" t="n">
        <x:f>Model_Formula!$M$18*(Profiles_140!P117-Simulator!$L$16)^2*IF(Profiles_140!P117&gt;Simulator!$L$16,1+Model_Formula!$N$18,1)</x:f>
        <x:v>562.5</x:v>
      </x:c>
      <x:c r="L121" s="66" t="n">
        <x:f>Model_Formula!$M$19*(Profiles_140!Q117-Simulator!$L$17)^2*IF(Profiles_140!Q117&gt;Simulator!$L$17,1+Model_Formula!$N$19,1)</x:f>
        <x:v>400</x:v>
      </x:c>
      <x:c r="M121" s="66" t="n">
        <x:f>Model_Formula!$M$20*(Profiles_140!R117-Simulator!$L$18)^2*IF(Profiles_140!R117&gt;Simulator!$L$18,1+Model_Formula!$N$20,1)</x:f>
        <x:v>25</x:v>
      </x:c>
      <x:c r="N121" s="66" t="n">
        <x:f>Model_Formula!$M$21*(Profiles_140!S117-Simulator!$L$19)^2*IF(Profiles_140!S117&gt;Simulator!$L$19,1+Model_Formula!$N$21,1)</x:f>
        <x:v>25</x:v>
      </x:c>
      <x:c r="O121" s="66" t="n">
        <x:f>Model_Formula!$M$22*(Profiles_140!T117-Simulator!$L$20)^2*IF(Profiles_140!T117&gt;Simulator!$L$20,1+Model_Formula!$N$22,1)</x:f>
        <x:v>25</x:v>
      </x:c>
      <x:c r="P121" s="66" t="n">
        <x:f>Model_Formula!$M$23*(Profiles_140!U117-Simulator!$L$21)^2*IF(Profiles_140!U117&gt;Simulator!$L$21,1+Model_Formula!$N$23,1)</x:f>
        <x:v>720</x:v>
      </x:c>
      <x:c r="Q121" s="66" t="n">
        <x:f>Model_Formula!$M$24*(Profiles_140!V117-Simulator!$L$22)^2*IF(Profiles_140!V117&gt;Simulator!$L$22,1+Model_Formula!$N$24,1)</x:f>
        <x:v>250</x:v>
      </x:c>
      <x:c r="R121" s="66" t="n">
        <x:f>Model_Formula!$M$25*(Profiles_140!W117-Simulator!$L$23)^2*IF(Profiles_140!W117&gt;Simulator!$L$23,1+Model_Formula!$N$25,1)</x:f>
        <x:v>45</x:v>
      </x:c>
      <x:c r="S121" s="66" t="n">
        <x:f>Model_Formula!$M$26*(Profiles_140!X117-Simulator!$L$24)^2*IF(Profiles_140!X117&gt;Simulator!$L$24,1+Model_Formula!$N$26,1)</x:f>
        <x:v>440.00000000000006</x:v>
      </x:c>
      <x:c r="T121" s="66" t="n">
        <x:f>Model_Formula!$M$27*(Profiles_140!Y117-Simulator!$L$25)^2*IF(Profiles_140!Y117&gt;Simulator!$L$25,1+Model_Formula!$N$27,1)</x:f>
        <x:v>1086.75</x:v>
      </x:c>
      <x:c r="U121" s="60" t="n">
        <x:f>SUM(F121:T121)/SUM($F$4:$T$4)</x:f>
        <x:v>489.9626865671642</x:v>
      </x:c>
      <x:c r="V121" s="60" t="n">
        <x:f>SQRT(U121)</x:f>
        <x:v>22.13510078059651</x:v>
      </x:c>
      <x:c r="W121" s="60" t="n">
        <x:f>MAX(0,100-V121)</x:f>
        <x:v>77.8648992194035</x:v>
      </x:c>
      <x:c r="X121" s="60" t="n">
        <x:f>SUMPRODUCT(Profiles_140!K117:Y117,$F$4:$T$4)/SUM($F$4:$T$4)</x:f>
        <x:v>50.57835820895523</x:v>
      </x:c>
      <x:c r="Y121" s="60" t="n">
        <x:f>IFERROR(50+50*SUMPRODUCT(($F$3:$T$3-$X$3)*(Profiles_140!K117:Y117-X121),$F$4:$T$4)/SQRT(SUMPRODUCT(($F$3:$T$3-$X$3)^2,$F$4:$T$4)*SUMPRODUCT((Profiles_140!K117:Y117-X121)^2,$F$4:$T$4)),50)</x:f>
        <x:v>50.000000000000014</x:v>
      </x:c>
      <x:c r="Z121" s="60" t="n">
        <x:f>$Z$3</x:f>
        <x:v>3.9474596431116675e-16</x:v>
      </x:c>
      <x:c r="AA121" s="60" t="n">
        <x:f>W121*(1-Model_Formula!$F$8*Z121)+Y121*(Model_Formula!$F$8*Z121)</x:f>
        <x:v>77.8648992194035</x:v>
      </x:c>
      <x:c r="AB121" s="60" t="n">
        <x:f>SQRT(SUMPRODUCT((Profiles_140!K117:Y117-50)^2,$F$4:$T$4)/SUM($F$4:$T$4))</x:f>
        <x:v>21.89484707318617</x:v>
      </x:c>
      <x:c r="AC121" s="60" t="n">
        <x:f>MAX(-Model_Formula!$F$11,MIN(Model_Formula!$F$11,Model_Formula!$F$10*(AB121-AVERAGE($AB$6:$AB$135))))</x:f>
        <x:v>-3.0493429605141915</x:v>
      </x:c>
      <x:c r="AD121" s="60" t="n">
        <x:f>MAX(0,MIN(100,AA121+AC121))</x:f>
        <x:v>74.8155562588893</x:v>
      </x:c>
      <x:c r="AE121" s="60" t="n">
        <x:f>MAX(0,MIN(1,IFERROR((MATCH(AD121,Percentile_Calibration!$F117:$DB117,1)-1)/100,0)))</x:f>
        <x:v>0.93</x:v>
      </x:c>
      <x:c r="AF121" s="62" t="n">
        <x:f>ROUND(MAX(Model_Formula!$I$9,Model_Formula!$I$5+Model_Formula!$I$6*POWER(AE121,Model_Formula!$I$7)),0)</x:f>
        <x:v>86</x:v>
      </x:c>
      <x:c r="AG121" t="n">
        <x:f>Profiles_140!AJ117</x:f>
        <x:v>0</x:v>
      </x:c>
      <x:c r="AH121" s="60" t="n">
        <x:f>Model_Formula!$I$8*(AE121*100)+(1-Model_Formula!$I$8)*AD121+AG121</x:f>
        <x:v>89.36311125177787</x:v>
      </x:c>
      <x:c r="AI121" t="n">
        <x:f>RANK.EQ(AH121,$AH$6:$AH$135,0)+COUNTIF($AH$6:AH121,AH121)-1</x:f>
        <x:v>24</x:v>
      </x:c>
    </x:row>
    <x:row r="122">
      <x:c r="A122" t="str">
        <x:f>Profiles_140!A118</x:f>
        <x:v>キュワワー</x:v>
      </x:c>
      <x:c r="B122" t="str">
        <x:f>Profiles_140!C118</x:f>
        <x:v>キュワワー-1</x:v>
      </x:c>
      <x:c r="C122" t="str">
        <x:f>Profiles_140!D118</x:f>
        <x:v>共通</x:v>
      </x:c>
      <x:c r="D122" t="str">
        <x:f>Profiles_140!B118</x:f>
        <x:v>サポート型</x:v>
      </x:c>
      <x:c r="E122" t="str">
        <x:f>Profiles_140!I118</x:f>
        <x:v>高</x:v>
      </x:c>
      <x:c r="F122" s="66" t="n">
        <x:f>Model_Formula!$M$13*(Profiles_140!K118-Simulator!$L$11)^2*IF(Profiles_140!K118&gt;Simulator!$L$11,1+Model_Formula!$N$13,1)</x:f>
        <x:v>2500</x:v>
      </x:c>
      <x:c r="G122" s="66" t="n">
        <x:f>Model_Formula!$M$14*(Profiles_140!L118-Simulator!$L$12)^2*IF(Profiles_140!L118&gt;Simulator!$L$12,1+Model_Formula!$N$14,1)</x:f>
        <x:v>2625</x:v>
      </x:c>
      <x:c r="H122" s="66" t="n">
        <x:f>Model_Formula!$M$15*(Profiles_140!M118-Simulator!$L$13)^2*IF(Profiles_140!M118&gt;Simulator!$L$13,1+Model_Formula!$N$15,1)</x:f>
        <x:v>400</x:v>
      </x:c>
      <x:c r="I122" s="66" t="n">
        <x:f>Model_Formula!$M$16*(Profiles_140!N118-Simulator!$L$14)^2*IF(Profiles_140!N118&gt;Simulator!$L$14,1+Model_Formula!$N$16,1)</x:f>
        <x:v>2500</x:v>
      </x:c>
      <x:c r="J122" s="66" t="n">
        <x:f>Model_Formula!$M$17*(Profiles_140!O118-Simulator!$L$15)^2*IF(Profiles_140!O118&gt;Simulator!$L$15,1+Model_Formula!$N$17,1)</x:f>
        <x:v>1600</x:v>
      </x:c>
      <x:c r="K122" s="66" t="n">
        <x:f>Model_Formula!$M$18*(Profiles_140!P118-Simulator!$L$16)^2*IF(Profiles_140!P118&gt;Simulator!$L$16,1+Model_Formula!$N$18,1)</x:f>
        <x:v>22.5</x:v>
      </x:c>
      <x:c r="L122" s="66" t="n">
        <x:f>Model_Formula!$M$19*(Profiles_140!Q118-Simulator!$L$17)^2*IF(Profiles_140!Q118&gt;Simulator!$L$17,1+Model_Formula!$N$19,1)</x:f>
        <x:v>225</x:v>
      </x:c>
      <x:c r="M122" s="66" t="n">
        <x:f>Model_Formula!$M$20*(Profiles_140!R118-Simulator!$L$18)^2*IF(Profiles_140!R118&gt;Simulator!$L$18,1+Model_Formula!$N$20,1)</x:f>
        <x:v>2500</x:v>
      </x:c>
      <x:c r="N122" s="66" t="n">
        <x:f>Model_Formula!$M$21*(Profiles_140!S118-Simulator!$L$19)^2*IF(Profiles_140!S118&gt;Simulator!$L$19,1+Model_Formula!$N$21,1)</x:f>
        <x:v>625</x:v>
      </x:c>
      <x:c r="O122" s="66" t="n">
        <x:f>Model_Formula!$M$22*(Profiles_140!T118-Simulator!$L$20)^2*IF(Profiles_140!T118&gt;Simulator!$L$20,1+Model_Formula!$N$22,1)</x:f>
        <x:v>1225</x:v>
      </x:c>
      <x:c r="P122" s="66" t="n">
        <x:f>Model_Formula!$M$23*(Profiles_140!U118-Simulator!$L$21)^2*IF(Profiles_140!U118&gt;Simulator!$L$21,1+Model_Formula!$N$23,1)</x:f>
        <x:v>1125</x:v>
      </x:c>
      <x:c r="Q122" s="66" t="n">
        <x:f>Model_Formula!$M$24*(Profiles_140!V118-Simulator!$L$22)^2*IF(Profiles_140!V118&gt;Simulator!$L$22,1+Model_Formula!$N$24,1)</x:f>
        <x:v>810</x:v>
      </x:c>
      <x:c r="R122" s="66" t="n">
        <x:f>Model_Formula!$M$25*(Profiles_140!W118-Simulator!$L$23)^2*IF(Profiles_140!W118&gt;Simulator!$L$23,1+Model_Formula!$N$25,1)</x:f>
        <x:v>1125</x:v>
      </x:c>
      <x:c r="S122" s="66" t="n">
        <x:f>Model_Formula!$M$26*(Profiles_140!X118-Simulator!$L$24)^2*IF(Profiles_140!X118&gt;Simulator!$L$24,1+Model_Formula!$N$26,1)</x:f>
        <x:v>440.00000000000006</x:v>
      </x:c>
      <x:c r="T122" s="66" t="n">
        <x:f>Model_Formula!$M$27*(Profiles_140!Y118-Simulator!$L$25)^2*IF(Profiles_140!Y118&gt;Simulator!$L$25,1+Model_Formula!$N$27,1)</x:f>
        <x:v>2445.1875</x:v>
      </x:c>
      <x:c r="U122" s="60" t="n">
        <x:f>SUM(F122:T122)/SUM($F$4:$T$4)</x:f>
        <x:v>1505.0513059701493</x:v>
      </x:c>
      <x:c r="V122" s="60" t="n">
        <x:f>SQRT(U122)</x:f>
        <x:v>38.794990732956094</x:v>
      </x:c>
      <x:c r="W122" s="60" t="n">
        <x:f>MAX(0,100-V122)</x:f>
        <x:v>61.205009267043906</x:v>
      </x:c>
      <x:c r="X122" s="60" t="n">
        <x:f>SUMPRODUCT(Profiles_140!K118:Y118,$F$4:$T$4)/SUM($F$4:$T$4)</x:f>
        <x:v>35.83955223880597</x:v>
      </x:c>
      <x:c r="Y122" s="60" t="n">
        <x:f>IFERROR(50+50*SUMPRODUCT(($F$3:$T$3-$X$3)*(Profiles_140!K118:Y118-X122),$F$4:$T$4)/SQRT(SUMPRODUCT(($F$3:$T$3-$X$3)^2,$F$4:$T$4)*SUMPRODUCT((Profiles_140!K118:Y118-X122)^2,$F$4:$T$4)),50)</x:f>
        <x:v>50</x:v>
      </x:c>
      <x:c r="Z122" s="60" t="n">
        <x:f>$Z$3</x:f>
        <x:v>3.9474596431116675e-16</x:v>
      </x:c>
      <x:c r="AA122" s="60" t="n">
        <x:f>W122*(1-Model_Formula!$F$8*Z122)+Y122*(Model_Formula!$F$8*Z122)</x:f>
        <x:v>61.205009267043906</x:v>
      </x:c>
      <x:c r="AB122" s="60" t="n">
        <x:f>SQRT(SUMPRODUCT((Profiles_140!K118:Y118-50)^2,$F$4:$T$4)/SUM($F$4:$T$4))</x:f>
        <x:v>38.48701079585163</x:v>
      </x:c>
      <x:c r="AC122" s="60" t="n">
        <x:f>MAX(-Model_Formula!$F$11,MIN(Model_Formula!$F$11,Model_Formula!$F$10*(AB122-AVERAGE($AB$6:$AB$135))))</x:f>
        <x:v>4.417130714685266</x:v>
      </x:c>
      <x:c r="AD122" s="60" t="n">
        <x:f>MAX(0,MIN(100,AA122+AC122))</x:f>
        <x:v>65.62213998172918</x:v>
      </x:c>
      <x:c r="AE122" s="60" t="n">
        <x:f>MAX(0,MIN(1,IFERROR((MATCH(AD122,Percentile_Calibration!$F118:$DB118,1)-1)/100,0)))</x:f>
        <x:v>0.71</x:v>
      </x:c>
      <x:c r="AF122" s="62" t="n">
        <x:f>ROUND(MAX(Model_Formula!$I$9,Model_Formula!$I$5+Model_Formula!$I$6*POWER(AE122,Model_Formula!$I$7)),0)</x:f>
        <x:v>62</x:v>
      </x:c>
      <x:c r="AG122" t="n">
        <x:f>Profiles_140!AJ118</x:f>
        <x:v>0</x:v>
      </x:c>
      <x:c r="AH122" s="60" t="n">
        <x:f>Model_Formula!$I$8*(AE122*100)+(1-Model_Formula!$I$8)*AD122+AG122</x:f>
        <x:v>69.92442799634584</x:v>
      </x:c>
      <x:c r="AI122" t="n">
        <x:f>RANK.EQ(AH122,$AH$6:$AH$135,0)+COUNTIF($AH$6:AH122,AH122)-1</x:f>
        <x:v>107</x:v>
      </x:c>
    </x:row>
    <x:row r="123">
      <x:c r="A123" t="str">
        <x:f>Profiles_140!A119</x:f>
        <x:v>コダック</x:v>
      </x:c>
      <x:c r="B123" t="str">
        <x:f>Profiles_140!C119</x:f>
        <x:v>コダック-1</x:v>
      </x:c>
      <x:c r="C123" t="str">
        <x:f>Profiles_140!D119</x:f>
        <x:v>共通</x:v>
      </x:c>
      <x:c r="D123" t="str">
        <x:f>Profiles_140!B119</x:f>
        <x:v>サポート型</x:v>
      </x:c>
      <x:c r="E123" t="str">
        <x:f>Profiles_140!I119</x:f>
        <x:v>高</x:v>
      </x:c>
      <x:c r="F123" s="66" t="n">
        <x:f>Model_Formula!$M$13*(Profiles_140!K119-Simulator!$L$11)^2*IF(Profiles_140!K119&gt;Simulator!$L$11,1+Model_Formula!$N$13,1)</x:f>
        <x:v>225</x:v>
      </x:c>
      <x:c r="G123" s="66" t="n">
        <x:f>Model_Formula!$M$14*(Profiles_140!L119-Simulator!$L$12)^2*IF(Profiles_140!L119&gt;Simulator!$L$12,1+Model_Formula!$N$14,1)</x:f>
        <x:v>945</x:v>
      </x:c>
      <x:c r="H123" s="66" t="n">
        <x:f>Model_Formula!$M$15*(Profiles_140!M119-Simulator!$L$13)^2*IF(Profiles_140!M119&gt;Simulator!$L$13,1+Model_Formula!$N$15,1)</x:f>
        <x:v>900</x:v>
      </x:c>
      <x:c r="I123" s="66" t="n">
        <x:f>Model_Formula!$M$16*(Profiles_140!N119-Simulator!$L$14)^2*IF(Profiles_140!N119&gt;Simulator!$L$14,1+Model_Formula!$N$16,1)</x:f>
        <x:v>400</x:v>
      </x:c>
      <x:c r="J123" s="66" t="n">
        <x:f>Model_Formula!$M$17*(Profiles_140!O119-Simulator!$L$15)^2*IF(Profiles_140!O119&gt;Simulator!$L$15,1+Model_Formula!$N$17,1)</x:f>
        <x:v>100</x:v>
      </x:c>
      <x:c r="K123" s="66" t="n">
        <x:f>Model_Formula!$M$18*(Profiles_140!P119-Simulator!$L$16)^2*IF(Profiles_140!P119&gt;Simulator!$L$16,1+Model_Formula!$N$18,1)</x:f>
        <x:v>90</x:v>
      </x:c>
      <x:c r="L123" s="66" t="n">
        <x:f>Model_Formula!$M$19*(Profiles_140!Q119-Simulator!$L$17)^2*IF(Profiles_140!Q119&gt;Simulator!$L$17,1+Model_Formula!$N$19,1)</x:f>
        <x:v>2500</x:v>
      </x:c>
      <x:c r="M123" s="66" t="n">
        <x:f>Model_Formula!$M$20*(Profiles_140!R119-Simulator!$L$18)^2*IF(Profiles_140!R119&gt;Simulator!$L$18,1+Model_Formula!$N$20,1)</x:f>
        <x:v>400</x:v>
      </x:c>
      <x:c r="N123" s="66" t="n">
        <x:f>Model_Formula!$M$21*(Profiles_140!S119-Simulator!$L$19)^2*IF(Profiles_140!S119&gt;Simulator!$L$19,1+Model_Formula!$N$21,1)</x:f>
        <x:v>0</x:v>
      </x:c>
      <x:c r="O123" s="66" t="n">
        <x:f>Model_Formula!$M$22*(Profiles_140!T119-Simulator!$L$20)^2*IF(Profiles_140!T119&gt;Simulator!$L$20,1+Model_Formula!$N$22,1)</x:f>
        <x:v>25</x:v>
      </x:c>
      <x:c r="P123" s="66" t="n">
        <x:f>Model_Formula!$M$23*(Profiles_140!U119-Simulator!$L$21)^2*IF(Profiles_140!U119&gt;Simulator!$L$21,1+Model_Formula!$N$23,1)</x:f>
        <x:v>911.25</x:v>
      </x:c>
      <x:c r="Q123" s="66" t="n">
        <x:f>Model_Formula!$M$24*(Profiles_140!V119-Simulator!$L$22)^2*IF(Profiles_140!V119&gt;Simulator!$L$22,1+Model_Formula!$N$24,1)</x:f>
        <x:v>160</x:v>
      </x:c>
      <x:c r="R123" s="66" t="n">
        <x:f>Model_Formula!$M$25*(Profiles_140!W119-Simulator!$L$23)^2*IF(Profiles_140!W119&gt;Simulator!$L$23,1+Model_Formula!$N$25,1)</x:f>
        <x:v>281.25</x:v>
      </x:c>
      <x:c r="S123" s="66" t="n">
        <x:f>Model_Formula!$M$26*(Profiles_140!X119-Simulator!$L$24)^2*IF(Profiles_140!X119&gt;Simulator!$L$24,1+Model_Formula!$N$26,1)</x:f>
        <x:v>37.12500000000001</x:v>
      </x:c>
      <x:c r="T123" s="66" t="n">
        <x:f>Model_Formula!$M$27*(Profiles_140!Y119-Simulator!$L$25)^2*IF(Profiles_140!Y119&gt;Simulator!$L$25,1+Model_Formula!$N$27,1)</x:f>
        <x:v>1086.75</x:v>
      </x:c>
      <x:c r="U123" s="60" t="n">
        <x:f>SUM(F123:T123)/SUM($F$4:$T$4)</x:f>
        <x:v>601.5951492537314</x:v>
      </x:c>
      <x:c r="V123" s="60" t="n">
        <x:f>SQRT(U123)</x:f>
        <x:v>24.52743666292365</x:v>
      </x:c>
      <x:c r="W123" s="60" t="n">
        <x:f>MAX(0,100-V123)</x:f>
        <x:v>75.47256333707635</x:v>
      </x:c>
      <x:c r="X123" s="60" t="n">
        <x:f>SUMPRODUCT(Profiles_140!K119:Y119,$F$4:$T$4)/SUM($F$4:$T$4)</x:f>
        <x:v>52.76119402985075</x:v>
      </x:c>
      <x:c r="Y123" s="60" t="n">
        <x:f>IFERROR(50+50*SUMPRODUCT(($F$3:$T$3-$X$3)*(Profiles_140!K119:Y119-X123),$F$4:$T$4)/SQRT(SUMPRODUCT(($F$3:$T$3-$X$3)^2,$F$4:$T$4)*SUMPRODUCT((Profiles_140!K119:Y119-X123)^2,$F$4:$T$4)),50)</x:f>
        <x:v>50.00000000000001</x:v>
      </x:c>
      <x:c r="Z123" s="60" t="n">
        <x:f>$Z$3</x:f>
        <x:v>3.9474596431116675e-16</x:v>
      </x:c>
      <x:c r="AA123" s="60" t="n">
        <x:f>W123*(1-Model_Formula!$F$8*Z123)+Y123*(Model_Formula!$F$8*Z123)</x:f>
        <x:v>75.47256333707635</x:v>
      </x:c>
      <x:c r="AB123" s="60" t="n">
        <x:f>SQRT(SUMPRODUCT((Profiles_140!K119:Y119-50)^2,$F$4:$T$4)/SUM($F$4:$T$4))</x:f>
        <x:v>24.29605950483919</x:v>
      </x:c>
      <x:c r="AC123" s="60" t="n">
        <x:f>MAX(-Model_Formula!$F$11,MIN(Model_Formula!$F$11,Model_Formula!$F$10*(AB123-AVERAGE($AB$6:$AB$135))))</x:f>
        <x:v>-1.9687973662703333</x:v>
      </x:c>
      <x:c r="AD123" s="60" t="n">
        <x:f>MAX(0,MIN(100,AA123+AC123))</x:f>
        <x:v>73.50376597080601</x:v>
      </x:c>
      <x:c r="AE123" s="60" t="n">
        <x:f>MAX(0,MIN(1,IFERROR((MATCH(AD123,Percentile_Calibration!$F119:$DB119,1)-1)/100,0)))</x:f>
        <x:v>0.89</x:v>
      </x:c>
      <x:c r="AF123" s="62" t="n">
        <x:f>ROUND(MAX(Model_Formula!$I$9,Model_Formula!$I$5+Model_Formula!$I$6*POWER(AE123,Model_Formula!$I$7)),0)</x:f>
        <x:v>81</x:v>
      </x:c>
      <x:c r="AG123" t="n">
        <x:f>Profiles_140!AJ119</x:f>
        <x:v>0</x:v>
      </x:c>
      <x:c r="AH123" s="60" t="n">
        <x:f>Model_Formula!$I$8*(AE123*100)+(1-Model_Formula!$I$8)*AD123+AG123</x:f>
        <x:v>85.9007531941612</x:v>
      </x:c>
      <x:c r="AI123" t="n">
        <x:f>RANK.EQ(AH123,$AH$6:$AH$135,0)+COUNTIF($AH$6:AH123,AH123)-1</x:f>
        <x:v>34</x:v>
      </x:c>
    </x:row>
    <x:row r="124">
      <x:c r="A124" t="str">
        <x:f>Profiles_140!A120</x:f>
        <x:v>ハピナス</x:v>
      </x:c>
      <x:c r="B124" t="str">
        <x:f>Profiles_140!C120</x:f>
        <x:v>ハピナス-1</x:v>
      </x:c>
      <x:c r="C124" t="str">
        <x:f>Profiles_140!D120</x:f>
        <x:v>共通</x:v>
      </x:c>
      <x:c r="D124" t="str">
        <x:f>Profiles_140!B120</x:f>
        <x:v>サポート型</x:v>
      </x:c>
      <x:c r="E124" t="str">
        <x:f>Profiles_140!I120</x:f>
        <x:v>高</x:v>
      </x:c>
      <x:c r="F124" s="66" t="n">
        <x:f>Model_Formula!$M$13*(Profiles_140!K120-Simulator!$L$11)^2*IF(Profiles_140!K120&gt;Simulator!$L$11,1+Model_Formula!$N$13,1)</x:f>
        <x:v>400</x:v>
      </x:c>
      <x:c r="G124" s="66" t="n">
        <x:f>Model_Formula!$M$14*(Profiles_140!L120-Simulator!$L$12)^2*IF(Profiles_140!L120&gt;Simulator!$L$12,1+Model_Formula!$N$14,1)</x:f>
        <x:v>2625</x:v>
      </x:c>
      <x:c r="H124" s="66" t="n">
        <x:f>Model_Formula!$M$15*(Profiles_140!M120-Simulator!$L$13)^2*IF(Profiles_140!M120&gt;Simulator!$L$13,1+Model_Formula!$N$15,1)</x:f>
        <x:v>2025</x:v>
      </x:c>
      <x:c r="I124" s="66" t="n">
        <x:f>Model_Formula!$M$16*(Profiles_140!N120-Simulator!$L$14)^2*IF(Profiles_140!N120&gt;Simulator!$L$14,1+Model_Formula!$N$16,1)</x:f>
        <x:v>1225</x:v>
      </x:c>
      <x:c r="J124" s="66" t="n">
        <x:f>Model_Formula!$M$17*(Profiles_140!O120-Simulator!$L$15)^2*IF(Profiles_140!O120&gt;Simulator!$L$15,1+Model_Formula!$N$17,1)</x:f>
        <x:v>225</x:v>
      </x:c>
      <x:c r="K124" s="66" t="n">
        <x:f>Model_Formula!$M$18*(Profiles_140!P120-Simulator!$L$16)^2*IF(Profiles_140!P120&gt;Simulator!$L$16,1+Model_Formula!$N$18,1)</x:f>
        <x:v>22.5</x:v>
      </x:c>
      <x:c r="L124" s="66" t="n">
        <x:f>Model_Formula!$M$19*(Profiles_140!Q120-Simulator!$L$17)^2*IF(Profiles_140!Q120&gt;Simulator!$L$17,1+Model_Formula!$N$19,1)</x:f>
        <x:v>25</x:v>
      </x:c>
      <x:c r="M124" s="66" t="n">
        <x:f>Model_Formula!$M$20*(Profiles_140!R120-Simulator!$L$18)^2*IF(Profiles_140!R120&gt;Simulator!$L$18,1+Model_Formula!$N$20,1)</x:f>
        <x:v>2500</x:v>
      </x:c>
      <x:c r="N124" s="66" t="n">
        <x:f>Model_Formula!$M$21*(Profiles_140!S120-Simulator!$L$19)^2*IF(Profiles_140!S120&gt;Simulator!$L$19,1+Model_Formula!$N$21,1)</x:f>
        <x:v>0</x:v>
      </x:c>
      <x:c r="O124" s="66" t="n">
        <x:f>Model_Formula!$M$22*(Profiles_140!T120-Simulator!$L$20)^2*IF(Profiles_140!T120&gt;Simulator!$L$20,1+Model_Formula!$N$22,1)</x:f>
        <x:v>625</x:v>
      </x:c>
      <x:c r="P124" s="66" t="n">
        <x:f>Model_Formula!$M$23*(Profiles_140!U120-Simulator!$L$21)^2*IF(Profiles_140!U120&gt;Simulator!$L$21,1+Model_Formula!$N$23,1)</x:f>
        <x:v>720</x:v>
      </x:c>
      <x:c r="Q124" s="66" t="n">
        <x:f>Model_Formula!$M$24*(Profiles_140!V120-Simulator!$L$22)^2*IF(Profiles_140!V120&gt;Simulator!$L$22,1+Model_Formula!$N$24,1)</x:f>
        <x:v>250</x:v>
      </x:c>
      <x:c r="R124" s="66" t="n">
        <x:f>Model_Formula!$M$25*(Profiles_140!W120-Simulator!$L$23)^2*IF(Profiles_140!W120&gt;Simulator!$L$23,1+Model_Formula!$N$25,1)</x:f>
        <x:v>11.25</x:v>
      </x:c>
      <x:c r="S124" s="66" t="n">
        <x:f>Model_Formula!$M$26*(Profiles_140!X120-Simulator!$L$24)^2*IF(Profiles_140!X120&gt;Simulator!$L$24,1+Model_Formula!$N$26,1)</x:f>
        <x:v>148.50000000000003</x:v>
      </x:c>
      <x:c r="T124" s="66" t="n">
        <x:f>Model_Formula!$M$27*(Profiles_140!Y120-Simulator!$L$25)^2*IF(Profiles_140!Y120&gt;Simulator!$L$25,1+Model_Formula!$N$27,1)</x:f>
        <x:v>2445.1875</x:v>
      </x:c>
      <x:c r="U124" s="60" t="n">
        <x:f>SUM(F124:T124)/SUM($F$4:$T$4)</x:f>
        <x:v>988.6147388059702</x:v>
      </x:c>
      <x:c r="V124" s="60" t="n">
        <x:f>SQRT(U124)</x:f>
        <x:v>31.44224449376937</x:v>
      </x:c>
      <x:c r="W124" s="60" t="n">
        <x:f>MAX(0,100-V124)</x:f>
        <x:v>68.55775550623063</x:v>
      </x:c>
      <x:c r="X124" s="60" t="n">
        <x:f>SUMPRODUCT(Profiles_140!K120:Y120,$F$4:$T$4)/SUM($F$4:$T$4)</x:f>
        <x:v>48.88059701492538</x:v>
      </x:c>
      <x:c r="Y124" s="60" t="n">
        <x:f>IFERROR(50+50*SUMPRODUCT(($F$3:$T$3-$X$3)*(Profiles_140!K120:Y120-X124),$F$4:$T$4)/SQRT(SUMPRODUCT(($F$3:$T$3-$X$3)^2,$F$4:$T$4)*SUMPRODUCT((Profiles_140!K120:Y120-X124)^2,$F$4:$T$4)),50)</x:f>
        <x:v>50.00000000000001</x:v>
      </x:c>
      <x:c r="Z124" s="60" t="n">
        <x:f>$Z$3</x:f>
        <x:v>3.9474596431116675e-16</x:v>
      </x:c>
      <x:c r="AA124" s="60" t="n">
        <x:f>W124*(1-Model_Formula!$F$8*Z124)+Y124*(Model_Formula!$F$8*Z124)</x:f>
        <x:v>68.55775550623063</x:v>
      </x:c>
      <x:c r="AB124" s="60" t="n">
        <x:f>SQRT(SUMPRODUCT((Profiles_140!K120:Y120-50)^2,$F$4:$T$4)/SUM($F$4:$T$4))</x:f>
        <x:v>31.015162396922296</x:v>
      </x:c>
      <x:c r="AC124" s="60" t="n">
        <x:f>MAX(-Model_Formula!$F$11,MIN(Model_Formula!$F$11,Model_Formula!$F$10*(AB124-AVERAGE($AB$6:$AB$135))))</x:f>
        <x:v>1.0547989351670652</x:v>
      </x:c>
      <x:c r="AD124" s="60" t="n">
        <x:f>MAX(0,MIN(100,AA124+AC124))</x:f>
        <x:v>69.6125544413977</x:v>
      </x:c>
      <x:c r="AE124" s="60" t="n">
        <x:f>MAX(0,MIN(1,IFERROR((MATCH(AD124,Percentile_Calibration!$F120:$DB120,1)-1)/100,0)))</x:f>
        <x:v>0.76</x:v>
      </x:c>
      <x:c r="AF124" s="62" t="n">
        <x:f>ROUND(MAX(Model_Formula!$I$9,Model_Formula!$I$5+Model_Formula!$I$6*POWER(AE124,Model_Formula!$I$7)),0)</x:f>
        <x:v>66</x:v>
      </x:c>
      <x:c r="AG124" t="n">
        <x:f>Profiles_140!AJ120</x:f>
        <x:v>0</x:v>
      </x:c>
      <x:c r="AH124" s="60" t="n">
        <x:f>Model_Formula!$I$8*(AE124*100)+(1-Model_Formula!$I$8)*AD124+AG124</x:f>
        <x:v>74.72251088827954</x:v>
      </x:c>
      <x:c r="AI124" t="n">
        <x:f>RANK.EQ(AH124,$AH$6:$AH$135,0)+COUNTIF($AH$6:AH124,AH124)-1</x:f>
        <x:v>77</x:v>
      </x:c>
    </x:row>
    <x:row r="125">
      <x:c r="A125" t="str">
        <x:f>Profiles_140!A121</x:f>
        <x:v>バリヤード</x:v>
      </x:c>
      <x:c r="B125" t="str">
        <x:f>Profiles_140!C121</x:f>
        <x:v>バリヤード-1</x:v>
      </x:c>
      <x:c r="C125" t="str">
        <x:f>Profiles_140!D121</x:f>
        <x:v>バリアー</x:v>
      </x:c>
      <x:c r="D125" t="str">
        <x:f>Profiles_140!B121</x:f>
        <x:v>サポート型</x:v>
      </x:c>
      <x:c r="E125" t="str">
        <x:f>Profiles_140!I121</x:f>
        <x:v>高</x:v>
      </x:c>
      <x:c r="F125" s="66" t="n">
        <x:f>Model_Formula!$M$13*(Profiles_140!K121-Simulator!$L$11)^2*IF(Profiles_140!K121&gt;Simulator!$L$11,1+Model_Formula!$N$13,1)</x:f>
        <x:v>1225</x:v>
      </x:c>
      <x:c r="G125" s="66" t="n">
        <x:f>Model_Formula!$M$14*(Profiles_140!L121-Simulator!$L$12)^2*IF(Profiles_140!L121&gt;Simulator!$L$12,1+Model_Formula!$N$14,1)</x:f>
        <x:v>105</x:v>
      </x:c>
      <x:c r="H125" s="66" t="n">
        <x:f>Model_Formula!$M$15*(Profiles_140!M121-Simulator!$L$13)^2*IF(Profiles_140!M121&gt;Simulator!$L$13,1+Model_Formula!$N$15,1)</x:f>
        <x:v>100</x:v>
      </x:c>
      <x:c r="I125" s="66" t="n">
        <x:f>Model_Formula!$M$16*(Profiles_140!N121-Simulator!$L$14)^2*IF(Profiles_140!N121&gt;Simulator!$L$14,1+Model_Formula!$N$16,1)</x:f>
        <x:v>400</x:v>
      </x:c>
      <x:c r="J125" s="66" t="n">
        <x:f>Model_Formula!$M$17*(Profiles_140!O121-Simulator!$L$15)^2*IF(Profiles_140!O121&gt;Simulator!$L$15,1+Model_Formula!$N$17,1)</x:f>
        <x:v>625</x:v>
      </x:c>
      <x:c r="K125" s="66" t="n">
        <x:f>Model_Formula!$M$18*(Profiles_140!P121-Simulator!$L$16)^2*IF(Profiles_140!P121&gt;Simulator!$L$16,1+Model_Formula!$N$18,1)</x:f>
        <x:v>90</x:v>
      </x:c>
      <x:c r="L125" s="66" t="n">
        <x:f>Model_Formula!$M$19*(Profiles_140!Q121-Simulator!$L$17)^2*IF(Profiles_140!Q121&gt;Simulator!$L$17,1+Model_Formula!$N$19,1)</x:f>
        <x:v>2500</x:v>
      </x:c>
      <x:c r="M125" s="66" t="n">
        <x:f>Model_Formula!$M$20*(Profiles_140!R121-Simulator!$L$18)^2*IF(Profiles_140!R121&gt;Simulator!$L$18,1+Model_Formula!$N$20,1)</x:f>
        <x:v>900</x:v>
      </x:c>
      <x:c r="N125" s="66" t="n">
        <x:f>Model_Formula!$M$21*(Profiles_140!S121-Simulator!$L$19)^2*IF(Profiles_140!S121&gt;Simulator!$L$19,1+Model_Formula!$N$21,1)</x:f>
        <x:v>0</x:v>
      </x:c>
      <x:c r="O125" s="66" t="n">
        <x:f>Model_Formula!$M$22*(Profiles_140!T121-Simulator!$L$20)^2*IF(Profiles_140!T121&gt;Simulator!$L$20,1+Model_Formula!$N$22,1)</x:f>
        <x:v>25</x:v>
      </x:c>
      <x:c r="P125" s="66" t="n">
        <x:f>Model_Formula!$M$23*(Profiles_140!U121-Simulator!$L$21)^2*IF(Profiles_140!U121&gt;Simulator!$L$21,1+Model_Formula!$N$23,1)</x:f>
        <x:v>405</x:v>
      </x:c>
      <x:c r="Q125" s="66" t="n">
        <x:f>Model_Formula!$M$24*(Profiles_140!V121-Simulator!$L$22)^2*IF(Profiles_140!V121&gt;Simulator!$L$22,1+Model_Formula!$N$24,1)</x:f>
        <x:v>160</x:v>
      </x:c>
      <x:c r="R125" s="66" t="n">
        <x:f>Model_Formula!$M$25*(Profiles_140!W121-Simulator!$L$23)^2*IF(Profiles_140!W121&gt;Simulator!$L$23,1+Model_Formula!$N$25,1)</x:f>
        <x:v>281.25</x:v>
      </x:c>
      <x:c r="S125" s="66" t="n">
        <x:f>Model_Formula!$M$26*(Profiles_140!X121-Simulator!$L$24)^2*IF(Profiles_140!X121&gt;Simulator!$L$24,1+Model_Formula!$N$26,1)</x:f>
        <x:v>334.12500000000006</x:v>
      </x:c>
      <x:c r="T125" s="66" t="n">
        <x:f>Model_Formula!$M$27*(Profiles_140!Y121-Simulator!$L$25)^2*IF(Profiles_140!Y121&gt;Simulator!$L$25,1+Model_Formula!$N$27,1)</x:f>
        <x:v>1086.75</x:v>
      </x:c>
      <x:c r="U125" s="60" t="n">
        <x:f>SUM(F125:T125)/SUM($F$4:$T$4)</x:f>
        <x:v>614.7108208955225</x:v>
      </x:c>
      <x:c r="V125" s="60" t="n">
        <x:f>SQRT(U125)</x:f>
        <x:v>24.793362436255443</x:v>
      </x:c>
      <x:c r="W125" s="60" t="n">
        <x:f>MAX(0,100-V125)</x:f>
        <x:v>75.20663756374455</x:v>
      </x:c>
      <x:c r="X125" s="60" t="n">
        <x:f>SUMPRODUCT(Profiles_140!K121:Y121,$F$4:$T$4)/SUM($F$4:$T$4)</x:f>
        <x:v>55.354477611940304</x:v>
      </x:c>
      <x:c r="Y125" s="60" t="n">
        <x:f>IFERROR(50+50*SUMPRODUCT(($F$3:$T$3-$X$3)*(Profiles_140!K121:Y121-X125),$F$4:$T$4)/SQRT(SUMPRODUCT(($F$3:$T$3-$X$3)^2,$F$4:$T$4)*SUMPRODUCT((Profiles_140!K121:Y121-X125)^2,$F$4:$T$4)),50)</x:f>
        <x:v>50.000000000000014</x:v>
      </x:c>
      <x:c r="Z125" s="60" t="n">
        <x:f>$Z$3</x:f>
        <x:v>3.9474596431116675e-16</x:v>
      </x:c>
      <x:c r="AA125" s="60" t="n">
        <x:f>W125*(1-Model_Formula!$F$8*Z125)+Y125*(Model_Formula!$F$8*Z125)</x:f>
        <x:v>75.20663756374455</x:v>
      </x:c>
      <x:c r="AB125" s="60" t="n">
        <x:f>SQRT(SUMPRODUCT((Profiles_140!K121:Y121-50)^2,$F$4:$T$4)/SUM($F$4:$T$4))</x:f>
        <x:v>24.447247502485045</x:v>
      </x:c>
      <x:c r="AC125" s="60" t="n">
        <x:f>MAX(-Model_Formula!$F$11,MIN(Model_Formula!$F$11,Model_Formula!$F$10*(AB125-AVERAGE($AB$6:$AB$135))))</x:f>
        <x:v>-1.900762767329698</x:v>
      </x:c>
      <x:c r="AD125" s="60" t="n">
        <x:f>MAX(0,MIN(100,AA125+AC125))</x:f>
        <x:v>73.30587479641486</x:v>
      </x:c>
      <x:c r="AE125" s="60" t="n">
        <x:f>MAX(0,MIN(1,IFERROR((MATCH(AD125,Percentile_Calibration!$F121:$DB121,1)-1)/100,0)))</x:f>
        <x:v>0.89</x:v>
      </x:c>
      <x:c r="AF125" s="62" t="n">
        <x:f>ROUND(MAX(Model_Formula!$I$9,Model_Formula!$I$5+Model_Formula!$I$6*POWER(AE125,Model_Formula!$I$7)),0)</x:f>
        <x:v>81</x:v>
      </x:c>
      <x:c r="AG125" t="n">
        <x:f>Profiles_140!AJ121</x:f>
        <x:v>0</x:v>
      </x:c>
      <x:c r="AH125" s="60" t="n">
        <x:f>Model_Formula!$I$8*(AE125*100)+(1-Model_Formula!$I$8)*AD125+AG125</x:f>
        <x:v>85.86117495928298</x:v>
      </x:c>
      <x:c r="AI125" t="n">
        <x:f>RANK.EQ(AH125,$AH$6:$AH$135,0)+COUNTIF($AH$6:AH125,AH125)-1</x:f>
        <x:v>35</x:v>
      </x:c>
    </x:row>
    <x:row r="126">
      <x:c r="A126" t="str">
        <x:f>Profiles_140!A122</x:f>
        <x:v>バリヤード</x:v>
      </x:c>
      <x:c r="B126" t="str">
        <x:f>Profiles_140!C122</x:f>
        <x:v>バリヤード-2</x:v>
      </x:c>
      <x:c r="C126" t="str">
        <x:f>Profiles_140!D122</x:f>
        <x:v>パワースワップ</x:v>
      </x:c>
      <x:c r="D126" t="str">
        <x:f>Profiles_140!B122</x:f>
        <x:v>サポート型</x:v>
      </x:c>
      <x:c r="E126" t="str">
        <x:f>Profiles_140!I122</x:f>
        <x:v>高</x:v>
      </x:c>
      <x:c r="F126" s="66" t="n">
        <x:f>Model_Formula!$M$13*(Profiles_140!K122-Simulator!$L$11)^2*IF(Profiles_140!K122&gt;Simulator!$L$11,1+Model_Formula!$N$13,1)</x:f>
        <x:v>400</x:v>
      </x:c>
      <x:c r="G126" s="66" t="n">
        <x:f>Model_Formula!$M$14*(Profiles_140!L122-Simulator!$L$12)^2*IF(Profiles_140!L122&gt;Simulator!$L$12,1+Model_Formula!$N$14,1)</x:f>
        <x:v>1286.25</x:v>
      </x:c>
      <x:c r="H126" s="66" t="n">
        <x:f>Model_Formula!$M$15*(Profiles_140!M122-Simulator!$L$13)^2*IF(Profiles_140!M122&gt;Simulator!$L$13,1+Model_Formula!$N$15,1)</x:f>
        <x:v>225</x:v>
      </x:c>
      <x:c r="I126" s="66" t="n">
        <x:f>Model_Formula!$M$16*(Profiles_140!N122-Simulator!$L$14)^2*IF(Profiles_140!N122&gt;Simulator!$L$14,1+Model_Formula!$N$16,1)</x:f>
        <x:v>625</x:v>
      </x:c>
      <x:c r="J126" s="66" t="n">
        <x:f>Model_Formula!$M$17*(Profiles_140!O122-Simulator!$L$15)^2*IF(Profiles_140!O122&gt;Simulator!$L$15,1+Model_Formula!$N$17,1)</x:f>
        <x:v>225</x:v>
      </x:c>
      <x:c r="K126" s="66" t="n">
        <x:f>Model_Formula!$M$18*(Profiles_140!P122-Simulator!$L$16)^2*IF(Profiles_140!P122&gt;Simulator!$L$16,1+Model_Formula!$N$18,1)</x:f>
        <x:v>202.5</x:v>
      </x:c>
      <x:c r="L126" s="66" t="n">
        <x:f>Model_Formula!$M$19*(Profiles_140!Q122-Simulator!$L$17)^2*IF(Profiles_140!Q122&gt;Simulator!$L$17,1+Model_Formula!$N$19,1)</x:f>
        <x:v>400</x:v>
      </x:c>
      <x:c r="M126" s="66" t="n">
        <x:f>Model_Formula!$M$20*(Profiles_140!R122-Simulator!$L$18)^2*IF(Profiles_140!R122&gt;Simulator!$L$18,1+Model_Formula!$N$20,1)</x:f>
        <x:v>1600</x:v>
      </x:c>
      <x:c r="N126" s="66" t="n">
        <x:f>Model_Formula!$M$21*(Profiles_140!S122-Simulator!$L$19)^2*IF(Profiles_140!S122&gt;Simulator!$L$19,1+Model_Formula!$N$21,1)</x:f>
        <x:v>100</x:v>
      </x:c>
      <x:c r="O126" s="66" t="n">
        <x:f>Model_Formula!$M$22*(Profiles_140!T122-Simulator!$L$20)^2*IF(Profiles_140!T122&gt;Simulator!$L$20,1+Model_Formula!$N$22,1)</x:f>
        <x:v>225</x:v>
      </x:c>
      <x:c r="P126" s="66" t="n">
        <x:f>Model_Formula!$M$23*(Profiles_140!U122-Simulator!$L$21)^2*IF(Profiles_140!U122&gt;Simulator!$L$21,1+Model_Formula!$N$23,1)</x:f>
        <x:v>180</x:v>
      </x:c>
      <x:c r="Q126" s="66" t="n">
        <x:f>Model_Formula!$M$24*(Profiles_140!V122-Simulator!$L$22)^2*IF(Profiles_140!V122&gt;Simulator!$L$22,1+Model_Formula!$N$24,1)</x:f>
        <x:v>40</x:v>
      </x:c>
      <x:c r="R126" s="66" t="n">
        <x:f>Model_Formula!$M$25*(Profiles_140!W122-Simulator!$L$23)^2*IF(Profiles_140!W122&gt;Simulator!$L$23,1+Model_Formula!$N$25,1)</x:f>
        <x:v>101.25</x:v>
      </x:c>
      <x:c r="S126" s="66" t="n">
        <x:f>Model_Formula!$M$26*(Profiles_140!X122-Simulator!$L$24)^2*IF(Profiles_140!X122&gt;Simulator!$L$24,1+Model_Formula!$N$26,1)</x:f>
        <x:v>594.0000000000001</x:v>
      </x:c>
      <x:c r="T126" s="66" t="n">
        <x:f>Model_Formula!$M$27*(Profiles_140!Y122-Simulator!$L$25)^2*IF(Profiles_140!Y122&gt;Simulator!$L$25,1+Model_Formula!$N$27,1)</x:f>
        <x:v>482.99999999999994</x:v>
      </x:c>
      <x:c r="U126" s="60" t="n">
        <x:f>SUM(F126:T126)/SUM($F$4:$T$4)</x:f>
        <x:v>499.0298507462687</x:v>
      </x:c>
      <x:c r="V126" s="60" t="n">
        <x:f>SQRT(U126)</x:f>
        <x:v>22.338976045160816</x:v>
      </x:c>
      <x:c r="W126" s="60" t="n">
        <x:f>MAX(0,100-V126)</x:f>
        <x:v>77.66102395483918</x:v>
      </x:c>
      <x:c r="X126" s="60" t="n">
        <x:f>SUMPRODUCT(Profiles_140!K122:Y122,$F$4:$T$4)/SUM($F$4:$T$4)</x:f>
        <x:v>49.25373134328359</x:v>
      </x:c>
      <x:c r="Y126" s="60" t="n">
        <x:f>IFERROR(50+50*SUMPRODUCT(($F$3:$T$3-$X$3)*(Profiles_140!K122:Y122-X126),$F$4:$T$4)/SQRT(SUMPRODUCT(($F$3:$T$3-$X$3)^2,$F$4:$T$4)*SUMPRODUCT((Profiles_140!K122:Y122-X126)^2,$F$4:$T$4)),50)</x:f>
        <x:v>50.00000000000002</x:v>
      </x:c>
      <x:c r="Z126" s="60" t="n">
        <x:f>$Z$3</x:f>
        <x:v>3.9474596431116675e-16</x:v>
      </x:c>
      <x:c r="AA126" s="60" t="n">
        <x:f>W126*(1-Model_Formula!$F$8*Z126)+Y126*(Model_Formula!$F$8*Z126)</x:f>
        <x:v>77.66102395483918</x:v>
      </x:c>
      <x:c r="AB126" s="60" t="n">
        <x:f>SQRT(SUMPRODUCT((Profiles_140!K122:Y122-50)^2,$F$4:$T$4)/SUM($F$4:$T$4))</x:f>
        <x:v>21.97352545440814</x:v>
      </x:c>
      <x:c r="AC126" s="60" t="n">
        <x:f>MAX(-Model_Formula!$F$11,MIN(Model_Formula!$F$11,Model_Formula!$F$10*(AB126-AVERAGE($AB$6:$AB$135))))</x:f>
        <x:v>-3.013937688964305</x:v>
      </x:c>
      <x:c r="AD126" s="60" t="n">
        <x:f>MAX(0,MIN(100,AA126+AC126))</x:f>
        <x:v>74.64708626587488</x:v>
      </x:c>
      <x:c r="AE126" s="60" t="n">
        <x:f>MAX(0,MIN(1,IFERROR((MATCH(AD126,Percentile_Calibration!$F122:$DB122,1)-1)/100,0)))</x:f>
        <x:v>0.84</x:v>
      </x:c>
      <x:c r="AF126" s="62" t="n">
        <x:f>ROUND(MAX(Model_Formula!$I$9,Model_Formula!$I$5+Model_Formula!$I$6*POWER(AE126,Model_Formula!$I$7)),0)</x:f>
        <x:v>75</x:v>
      </x:c>
      <x:c r="AG126" t="n">
        <x:f>Profiles_140!AJ122</x:f>
        <x:v>0</x:v>
      </x:c>
      <x:c r="AH126" s="60" t="n">
        <x:f>Model_Formula!$I$8*(AE126*100)+(1-Model_Formula!$I$8)*AD126+AG126</x:f>
        <x:v>82.12941725317498</x:v>
      </x:c>
      <x:c r="AI126" t="n">
        <x:f>RANK.EQ(AH126,$AH$6:$AH$135,0)+COUNTIF($AH$6:AH126,AH126)-1</x:f>
        <x:v>43</x:v>
      </x:c>
    </x:row>
    <x:row r="127">
      <x:c r="A127" t="str">
        <x:f>Profiles_140!A123</x:f>
        <x:v>ピクシー</x:v>
      </x:c>
      <x:c r="B127" t="str">
        <x:f>Profiles_140!C123</x:f>
        <x:v>ピクシー-1</x:v>
      </x:c>
      <x:c r="C127" t="str">
        <x:f>Profiles_140!D123</x:f>
        <x:v>共通</x:v>
      </x:c>
      <x:c r="D127" t="str">
        <x:f>Profiles_140!B123</x:f>
        <x:v>サポート型</x:v>
      </x:c>
      <x:c r="E127" t="str">
        <x:f>Profiles_140!I123</x:f>
        <x:v>高</x:v>
      </x:c>
      <x:c r="F127" s="66" t="n">
        <x:f>Model_Formula!$M$13*(Profiles_140!K123-Simulator!$L$11)^2*IF(Profiles_140!K123&gt;Simulator!$L$11,1+Model_Formula!$N$13,1)</x:f>
        <x:v>900</x:v>
      </x:c>
      <x:c r="G127" s="66" t="n">
        <x:f>Model_Formula!$M$14*(Profiles_140!L123-Simulator!$L$12)^2*IF(Profiles_140!L123&gt;Simulator!$L$12,1+Model_Formula!$N$14,1)</x:f>
        <x:v>2625</x:v>
      </x:c>
      <x:c r="H127" s="66" t="n">
        <x:f>Model_Formula!$M$15*(Profiles_140!M123-Simulator!$L$13)^2*IF(Profiles_140!M123&gt;Simulator!$L$13,1+Model_Formula!$N$15,1)</x:f>
        <x:v>2500</x:v>
      </x:c>
      <x:c r="I127" s="66" t="n">
        <x:f>Model_Formula!$M$16*(Profiles_140!N123-Simulator!$L$14)^2*IF(Profiles_140!N123&gt;Simulator!$L$14,1+Model_Formula!$N$16,1)</x:f>
        <x:v>1225</x:v>
      </x:c>
      <x:c r="J127" s="66" t="n">
        <x:f>Model_Formula!$M$17*(Profiles_140!O123-Simulator!$L$15)^2*IF(Profiles_140!O123&gt;Simulator!$L$15,1+Model_Formula!$N$17,1)</x:f>
        <x:v>225</x:v>
      </x:c>
      <x:c r="K127" s="66" t="n">
        <x:f>Model_Formula!$M$18*(Profiles_140!P123-Simulator!$L$16)^2*IF(Profiles_140!P123&gt;Simulator!$L$16,1+Model_Formula!$N$18,1)</x:f>
        <x:v>22.5</x:v>
      </x:c>
      <x:c r="L127" s="66" t="n">
        <x:f>Model_Formula!$M$19*(Profiles_140!Q123-Simulator!$L$17)^2*IF(Profiles_140!Q123&gt;Simulator!$L$17,1+Model_Formula!$N$19,1)</x:f>
        <x:v>100</x:v>
      </x:c>
      <x:c r="M127" s="66" t="n">
        <x:f>Model_Formula!$M$20*(Profiles_140!R123-Simulator!$L$18)^2*IF(Profiles_140!R123&gt;Simulator!$L$18,1+Model_Formula!$N$20,1)</x:f>
        <x:v>2500</x:v>
      </x:c>
      <x:c r="N127" s="66" t="n">
        <x:f>Model_Formula!$M$21*(Profiles_140!S123-Simulator!$L$19)^2*IF(Profiles_140!S123&gt;Simulator!$L$19,1+Model_Formula!$N$21,1)</x:f>
        <x:v>400</x:v>
      </x:c>
      <x:c r="O127" s="66" t="n">
        <x:f>Model_Formula!$M$22*(Profiles_140!T123-Simulator!$L$20)^2*IF(Profiles_140!T123&gt;Simulator!$L$20,1+Model_Formula!$N$22,1)</x:f>
        <x:v>2025</x:v>
      </x:c>
      <x:c r="P127" s="66" t="n">
        <x:f>Model_Formula!$M$23*(Profiles_140!U123-Simulator!$L$21)^2*IF(Profiles_140!U123&gt;Simulator!$L$21,1+Model_Formula!$N$23,1)</x:f>
        <x:v>1125</x:v>
      </x:c>
      <x:c r="Q127" s="66" t="n">
        <x:f>Model_Formula!$M$24*(Profiles_140!V123-Simulator!$L$22)^2*IF(Profiles_140!V123&gt;Simulator!$L$22,1+Model_Formula!$N$24,1)</x:f>
        <x:v>490</x:v>
      </x:c>
      <x:c r="R127" s="66" t="n">
        <x:f>Model_Formula!$M$25*(Profiles_140!W123-Simulator!$L$23)^2*IF(Profiles_140!W123&gt;Simulator!$L$23,1+Model_Formula!$N$25,1)</x:f>
        <x:v>281.25</x:v>
      </x:c>
      <x:c r="S127" s="66" t="n">
        <x:f>Model_Formula!$M$26*(Profiles_140!X123-Simulator!$L$24)^2*IF(Profiles_140!X123&gt;Simulator!$L$24,1+Model_Formula!$N$26,1)</x:f>
        <x:v>0</x:v>
      </x:c>
      <x:c r="T127" s="66" t="n">
        <x:f>Model_Formula!$M$27*(Profiles_140!Y123-Simulator!$L$25)^2*IF(Profiles_140!Y123&gt;Simulator!$L$25,1+Model_Formula!$N$27,1)</x:f>
        <x:v>2445.1875</x:v>
      </x:c>
      <x:c r="U127" s="60" t="n">
        <x:f>SUM(F127:T127)/SUM($F$4:$T$4)</x:f>
        <x:v>1258.5027985074628</x:v>
      </x:c>
      <x:c r="V127" s="60" t="n">
        <x:f>SQRT(U127)</x:f>
        <x:v>35.47538299310471</x:v>
      </x:c>
      <x:c r="W127" s="60" t="n">
        <x:f>MAX(0,100-V127)</x:f>
        <x:v>64.52461700689528</x:v>
      </x:c>
      <x:c r="X127" s="60" t="n">
        <x:f>SUMPRODUCT(Profiles_140!K123:Y123,$F$4:$T$4)/SUM($F$4:$T$4)</x:f>
        <x:v>43.768656716417915</x:v>
      </x:c>
      <x:c r="Y127" s="60" t="n">
        <x:f>IFERROR(50+50*SUMPRODUCT(($F$3:$T$3-$X$3)*(Profiles_140!K123:Y123-X127),$F$4:$T$4)/SQRT(SUMPRODUCT(($F$3:$T$3-$X$3)^2,$F$4:$T$4)*SUMPRODUCT((Profiles_140!K123:Y123-X127)^2,$F$4:$T$4)),50)</x:f>
        <x:v>50.00000000000001</x:v>
      </x:c>
      <x:c r="Z127" s="60" t="n">
        <x:f>$Z$3</x:f>
        <x:v>3.9474596431116675e-16</x:v>
      </x:c>
      <x:c r="AA127" s="60" t="n">
        <x:f>W127*(1-Model_Formula!$F$8*Z127)+Y127*(Model_Formula!$F$8*Z127)</x:f>
        <x:v>64.52461700689528</x:v>
      </x:c>
      <x:c r="AB127" s="60" t="n">
        <x:f>SQRT(SUMPRODUCT((Profiles_140!K123:Y123-50)^2,$F$4:$T$4)/SUM($F$4:$T$4))</x:f>
        <x:v>35.13831943245598</x:v>
      </x:c>
      <x:c r="AC127" s="60" t="n">
        <x:f>MAX(-Model_Formula!$F$11,MIN(Model_Formula!$F$11,Model_Formula!$F$10*(AB127-AVERAGE($AB$6:$AB$135))))</x:f>
        <x:v>2.910219601157223</x:v>
      </x:c>
      <x:c r="AD127" s="60" t="n">
        <x:f>MAX(0,MIN(100,AA127+AC127))</x:f>
        <x:v>67.4348366080525</x:v>
      </x:c>
      <x:c r="AE127" s="60" t="n">
        <x:f>MAX(0,MIN(1,IFERROR((MATCH(AD127,Percentile_Calibration!$F123:$DB123,1)-1)/100,0)))</x:f>
        <x:v>0.67</x:v>
      </x:c>
      <x:c r="AF127" s="62" t="n">
        <x:f>ROUND(MAX(Model_Formula!$I$9,Model_Formula!$I$5+Model_Formula!$I$6*POWER(AE127,Model_Formula!$I$7)),0)</x:f>
        <x:v>59</x:v>
      </x:c>
      <x:c r="AG127" t="n">
        <x:f>Profiles_140!AJ123</x:f>
        <x:v>0</x:v>
      </x:c>
      <x:c r="AH127" s="60" t="n">
        <x:f>Model_Formula!$I$8*(AE127*100)+(1-Model_Formula!$I$8)*AD127+AG127</x:f>
        <x:v>67.0869673216105</x:v>
      </x:c>
      <x:c r="AI127" t="n">
        <x:f>RANK.EQ(AH127,$AH$6:$AH$135,0)+COUNTIF($AH$6:AH127,AH127)-1</x:f>
        <x:v>122</x:v>
      </x:c>
    </x:row>
    <x:row r="128">
      <x:c r="A128" t="str">
        <x:f>Profiles_140!A124</x:f>
        <x:v>フーパ</x:v>
      </x:c>
      <x:c r="B128" t="str">
        <x:f>Profiles_140!C124</x:f>
        <x:v>フーパ-1</x:v>
      </x:c>
      <x:c r="C128" t="str">
        <x:f>Profiles_140!D124</x:f>
        <x:v>いじげんホール</x:v>
      </x:c>
      <x:c r="D128" t="str">
        <x:f>Profiles_140!B124</x:f>
        <x:v>サポート型</x:v>
      </x:c>
      <x:c r="E128" t="str">
        <x:f>Profiles_140!I124</x:f>
        <x:v>高</x:v>
      </x:c>
      <x:c r="F128" s="66" t="n">
        <x:f>Model_Formula!$M$13*(Profiles_140!K124-Simulator!$L$11)^2*IF(Profiles_140!K124&gt;Simulator!$L$11,1+Model_Formula!$N$13,1)</x:f>
        <x:v>1600</x:v>
      </x:c>
      <x:c r="G128" s="66" t="n">
        <x:f>Model_Formula!$M$14*(Profiles_140!L124-Simulator!$L$12)^2*IF(Profiles_140!L124&gt;Simulator!$L$12,1+Model_Formula!$N$14,1)</x:f>
        <x:v>2625</x:v>
      </x:c>
      <x:c r="H128" s="66" t="n">
        <x:f>Model_Formula!$M$15*(Profiles_140!M124-Simulator!$L$13)^2*IF(Profiles_140!M124&gt;Simulator!$L$13,1+Model_Formula!$N$15,1)</x:f>
        <x:v>1225</x:v>
      </x:c>
      <x:c r="I128" s="66" t="n">
        <x:f>Model_Formula!$M$16*(Profiles_140!N124-Simulator!$L$14)^2*IF(Profiles_140!N124&gt;Simulator!$L$14,1+Model_Formula!$N$16,1)</x:f>
        <x:v>1225</x:v>
      </x:c>
      <x:c r="J128" s="66" t="n">
        <x:f>Model_Formula!$M$17*(Profiles_140!O124-Simulator!$L$15)^2*IF(Profiles_140!O124&gt;Simulator!$L$15,1+Model_Formula!$N$17,1)</x:f>
        <x:v>625</x:v>
      </x:c>
      <x:c r="K128" s="66" t="n">
        <x:f>Model_Formula!$M$18*(Profiles_140!P124-Simulator!$L$16)^2*IF(Profiles_140!P124&gt;Simulator!$L$16,1+Model_Formula!$N$18,1)</x:f>
        <x:v>22.5</x:v>
      </x:c>
      <x:c r="L128" s="66" t="n">
        <x:f>Model_Formula!$M$19*(Profiles_140!Q124-Simulator!$L$17)^2*IF(Profiles_140!Q124&gt;Simulator!$L$17,1+Model_Formula!$N$19,1)</x:f>
        <x:v>25</x:v>
      </x:c>
      <x:c r="M128" s="66" t="n">
        <x:f>Model_Formula!$M$20*(Profiles_140!R124-Simulator!$L$18)^2*IF(Profiles_140!R124&gt;Simulator!$L$18,1+Model_Formula!$N$20,1)</x:f>
        <x:v>2500</x:v>
      </x:c>
      <x:c r="N128" s="66" t="n">
        <x:f>Model_Formula!$M$21*(Profiles_140!S124-Simulator!$L$19)^2*IF(Profiles_140!S124&gt;Simulator!$L$19,1+Model_Formula!$N$21,1)</x:f>
        <x:v>2500</x:v>
      </x:c>
      <x:c r="O128" s="66" t="n">
        <x:f>Model_Formula!$M$22*(Profiles_140!T124-Simulator!$L$20)^2*IF(Profiles_140!T124&gt;Simulator!$L$20,1+Model_Formula!$N$22,1)</x:f>
        <x:v>625</x:v>
      </x:c>
      <x:c r="P128" s="66" t="n">
        <x:f>Model_Formula!$M$23*(Profiles_140!U124-Simulator!$L$21)^2*IF(Profiles_140!U124&gt;Simulator!$L$21,1+Model_Formula!$N$23,1)</x:f>
        <x:v>1125</x:v>
      </x:c>
      <x:c r="Q128" s="66" t="n">
        <x:f>Model_Formula!$M$24*(Profiles_140!V124-Simulator!$L$22)^2*IF(Profiles_140!V124&gt;Simulator!$L$22,1+Model_Formula!$N$24,1)</x:f>
        <x:v>640</x:v>
      </x:c>
      <x:c r="R128" s="66" t="n">
        <x:f>Model_Formula!$M$25*(Profiles_140!W124-Simulator!$L$23)^2*IF(Profiles_140!W124&gt;Simulator!$L$23,1+Model_Formula!$N$25,1)</x:f>
        <x:v>1125</x:v>
      </x:c>
      <x:c r="S128" s="66" t="n">
        <x:f>Model_Formula!$M$26*(Profiles_140!X124-Simulator!$L$24)^2*IF(Profiles_140!X124&gt;Simulator!$L$24,1+Model_Formula!$N$26,1)</x:f>
        <x:v>148.50000000000003</x:v>
      </x:c>
      <x:c r="T128" s="66" t="n">
        <x:f>Model_Formula!$M$27*(Profiles_140!Y124-Simulator!$L$25)^2*IF(Profiles_140!Y124&gt;Simulator!$L$25,1+Model_Formula!$N$27,1)</x:f>
        <x:v>3018.7499999999995</x:v>
      </x:c>
      <x:c r="U128" s="60" t="n">
        <x:f>SUM(F128:T128)/SUM($F$4:$T$4)</x:f>
        <x:v>1420.1305970149256</x:v>
      </x:c>
      <x:c r="V128" s="60" t="n">
        <x:f>SQRT(U128)</x:f>
        <x:v>37.68462016545909</x:v>
      </x:c>
      <x:c r="W128" s="60" t="n">
        <x:f>MAX(0,100-V128)</x:f>
        <x:v>62.31537983454091</x:v>
      </x:c>
      <x:c r="X128" s="60" t="n">
        <x:f>SUMPRODUCT(Profiles_140!K124:Y124,$F$4:$T$4)/SUM($F$4:$T$4)</x:f>
        <x:v>49.66417910447762</x:v>
      </x:c>
      <x:c r="Y128" s="60" t="n">
        <x:f>IFERROR(50+50*SUMPRODUCT(($F$3:$T$3-$X$3)*(Profiles_140!K124:Y124-X128),$F$4:$T$4)/SQRT(SUMPRODUCT(($F$3:$T$3-$X$3)^2,$F$4:$T$4)*SUMPRODUCT((Profiles_140!K124:Y124-X128)^2,$F$4:$T$4)),50)</x:f>
        <x:v>50.00000000000001</x:v>
      </x:c>
      <x:c r="Z128" s="60" t="n">
        <x:f>$Z$3</x:f>
        <x:v>3.9474596431116675e-16</x:v>
      </x:c>
      <x:c r="AA128" s="60" t="n">
        <x:f>W128*(1-Model_Formula!$F$8*Z128)+Y128*(Model_Formula!$F$8*Z128)</x:f>
        <x:v>62.31537983454091</x:v>
      </x:c>
      <x:c r="AB128" s="60" t="n">
        <x:f>SQRT(SUMPRODUCT((Profiles_140!K124:Y124-50)^2,$F$4:$T$4)/SUM($F$4:$T$4))</x:f>
        <x:v>37.25416935496426</x:v>
      </x:c>
      <x:c r="AC128" s="60" t="n">
        <x:f>MAX(-Model_Formula!$F$11,MIN(Model_Formula!$F$11,Model_Formula!$F$10*(AB128-AVERAGE($AB$6:$AB$135))))</x:f>
        <x:v>3.8623520662859496</x:v>
      </x:c>
      <x:c r="AD128" s="60" t="n">
        <x:f>MAX(0,MIN(100,AA128+AC128))</x:f>
        <x:v>66.17773190082686</x:v>
      </x:c>
      <x:c r="AE128" s="60" t="n">
        <x:f>MAX(0,MIN(1,IFERROR((MATCH(AD128,Percentile_Calibration!$F124:$DB124,1)-1)/100,0)))</x:f>
        <x:v>0.78</x:v>
      </x:c>
      <x:c r="AF128" s="62" t="n">
        <x:f>ROUND(MAX(Model_Formula!$I$9,Model_Formula!$I$5+Model_Formula!$I$6*POWER(AE128,Model_Formula!$I$7)),0)</x:f>
        <x:v>68</x:v>
      </x:c>
      <x:c r="AG128" t="n">
        <x:f>Profiles_140!AJ124</x:f>
        <x:v>0</x:v>
      </x:c>
      <x:c r="AH128" s="60" t="n">
        <x:f>Model_Formula!$I$8*(AE128*100)+(1-Model_Formula!$I$8)*AD128+AG128</x:f>
        <x:v>75.63554638016538</x:v>
      </x:c>
      <x:c r="AI128" t="n">
        <x:f>RANK.EQ(AH128,$AH$6:$AH$135,0)+COUNTIF($AH$6:AH128,AH128)-1</x:f>
        <x:v>72</x:v>
      </x:c>
    </x:row>
    <x:row r="129">
      <x:c r="A129" t="str">
        <x:f>Profiles_140!A125</x:f>
        <x:v>フーパ</x:v>
      </x:c>
      <x:c r="B129" t="str">
        <x:f>Profiles_140!C125</x:f>
        <x:v>フーパ-2</x:v>
      </x:c>
      <x:c r="C129" t="str">
        <x:f>Profiles_140!D125</x:f>
        <x:v>トリック</x:v>
      </x:c>
      <x:c r="D129" t="str">
        <x:f>Profiles_140!B125</x:f>
        <x:v>サポート型</x:v>
      </x:c>
      <x:c r="E129" t="str">
        <x:f>Profiles_140!I125</x:f>
        <x:v>高</x:v>
      </x:c>
      <x:c r="F129" s="66" t="n">
        <x:f>Model_Formula!$M$13*(Profiles_140!K125-Simulator!$L$11)^2*IF(Profiles_140!K125&gt;Simulator!$L$11,1+Model_Formula!$N$13,1)</x:f>
        <x:v>400</x:v>
      </x:c>
      <x:c r="G129" s="66" t="n">
        <x:f>Model_Formula!$M$14*(Profiles_140!L125-Simulator!$L$12)^2*IF(Profiles_140!L125&gt;Simulator!$L$12,1+Model_Formula!$N$14,1)</x:f>
        <x:v>656.25</x:v>
      </x:c>
      <x:c r="H129" s="66" t="n">
        <x:f>Model_Formula!$M$15*(Profiles_140!M125-Simulator!$L$13)^2*IF(Profiles_140!M125&gt;Simulator!$L$13,1+Model_Formula!$N$15,1)</x:f>
        <x:v>900</x:v>
      </x:c>
      <x:c r="I129" s="66" t="n">
        <x:f>Model_Formula!$M$16*(Profiles_140!N125-Simulator!$L$14)^2*IF(Profiles_140!N125&gt;Simulator!$L$14,1+Model_Formula!$N$16,1)</x:f>
        <x:v>1225</x:v>
      </x:c>
      <x:c r="J129" s="66" t="n">
        <x:f>Model_Formula!$M$17*(Profiles_140!O125-Simulator!$L$15)^2*IF(Profiles_140!O125&gt;Simulator!$L$15,1+Model_Formula!$N$17,1)</x:f>
        <x:v>0</x:v>
      </x:c>
      <x:c r="K129" s="66" t="n">
        <x:f>Model_Formula!$M$18*(Profiles_140!P125-Simulator!$L$16)^2*IF(Profiles_140!P125&gt;Simulator!$L$16,1+Model_Formula!$N$18,1)</x:f>
        <x:v>22.5</x:v>
      </x:c>
      <x:c r="L129" s="66" t="n">
        <x:f>Model_Formula!$M$19*(Profiles_140!Q125-Simulator!$L$17)^2*IF(Profiles_140!Q125&gt;Simulator!$L$17,1+Model_Formula!$N$19,1)</x:f>
        <x:v>25</x:v>
      </x:c>
      <x:c r="M129" s="66" t="n">
        <x:f>Model_Formula!$M$20*(Profiles_140!R125-Simulator!$L$18)^2*IF(Profiles_140!R125&gt;Simulator!$L$18,1+Model_Formula!$N$20,1)</x:f>
        <x:v>2500</x:v>
      </x:c>
      <x:c r="N129" s="66" t="n">
        <x:f>Model_Formula!$M$21*(Profiles_140!S125-Simulator!$L$19)^2*IF(Profiles_140!S125&gt;Simulator!$L$19,1+Model_Formula!$N$21,1)</x:f>
        <x:v>400</x:v>
      </x:c>
      <x:c r="O129" s="66" t="n">
        <x:f>Model_Formula!$M$22*(Profiles_140!T125-Simulator!$L$20)^2*IF(Profiles_140!T125&gt;Simulator!$L$20,1+Model_Formula!$N$22,1)</x:f>
        <x:v>225</x:v>
      </x:c>
      <x:c r="P129" s="66" t="n">
        <x:f>Model_Formula!$M$23*(Profiles_140!U125-Simulator!$L$21)^2*IF(Profiles_140!U125&gt;Simulator!$L$21,1+Model_Formula!$N$23,1)</x:f>
        <x:v>720</x:v>
      </x:c>
      <x:c r="Q129" s="66" t="n">
        <x:f>Model_Formula!$M$24*(Profiles_140!V125-Simulator!$L$22)^2*IF(Profiles_140!V125&gt;Simulator!$L$22,1+Model_Formula!$N$24,1)</x:f>
        <x:v>250</x:v>
      </x:c>
      <x:c r="R129" s="66" t="n">
        <x:f>Model_Formula!$M$25*(Profiles_140!W125-Simulator!$L$23)^2*IF(Profiles_140!W125&gt;Simulator!$L$23,1+Model_Formula!$N$25,1)</x:f>
        <x:v>11.25</x:v>
      </x:c>
      <x:c r="S129" s="66" t="n">
        <x:f>Model_Formula!$M$26*(Profiles_140!X125-Simulator!$L$24)^2*IF(Profiles_140!X125&gt;Simulator!$L$24,1+Model_Formula!$N$26,1)</x:f>
        <x:v>148.50000000000003</x:v>
      </x:c>
      <x:c r="T129" s="66" t="n">
        <x:f>Model_Formula!$M$27*(Profiles_140!Y125-Simulator!$L$25)^2*IF(Profiles_140!Y125&gt;Simulator!$L$25,1+Model_Formula!$N$27,1)</x:f>
        <x:v>1479.1874999999998</x:v>
      </x:c>
      <x:c r="U129" s="60" t="n">
        <x:f>SUM(F129:T129)/SUM($F$4:$T$4)</x:f>
        <x:v>668.8572761194031</x:v>
      </x:c>
      <x:c r="V129" s="60" t="n">
        <x:f>SQRT(U129)</x:f>
        <x:v>25.862275153578487</x:v>
      </x:c>
      <x:c r="W129" s="60" t="n">
        <x:f>MAX(0,100-V129)</x:f>
        <x:v>74.13772484642152</x:v>
      </x:c>
      <x:c r="X129" s="60" t="n">
        <x:f>SUMPRODUCT(Profiles_140!K125:Y125,$F$4:$T$4)/SUM($F$4:$T$4)</x:f>
        <x:v>51.62313432835821</x:v>
      </x:c>
      <x:c r="Y129" s="60" t="n">
        <x:f>IFERROR(50+50*SUMPRODUCT(($F$3:$T$3-$X$3)*(Profiles_140!K125:Y125-X129),$F$4:$T$4)/SQRT(SUMPRODUCT(($F$3:$T$3-$X$3)^2,$F$4:$T$4)*SUMPRODUCT((Profiles_140!K125:Y125-X129)^2,$F$4:$T$4)),50)</x:f>
        <x:v>50.00000000000001</x:v>
      </x:c>
      <x:c r="Z129" s="60" t="n">
        <x:f>$Z$3</x:f>
        <x:v>3.9474596431116675e-16</x:v>
      </x:c>
      <x:c r="AA129" s="60" t="n">
        <x:f>W129*(1-Model_Formula!$F$8*Z129)+Y129*(Model_Formula!$F$8*Z129)</x:f>
        <x:v>74.13772484642152</x:v>
      </x:c>
      <x:c r="AB129" s="60" t="n">
        <x:f>SQRT(SUMPRODUCT((Profiles_140!K125:Y125-50)^2,$F$4:$T$4)/SUM($F$4:$T$4))</x:f>
        <x:v>25.526179128407026</x:v>
      </x:c>
      <x:c r="AC129" s="60" t="n">
        <x:f>MAX(-Model_Formula!$F$11,MIN(Model_Formula!$F$11,Model_Formula!$F$10*(AB129-AVERAGE($AB$6:$AB$135))))</x:f>
        <x:v>-1.4152435356648063</x:v>
      </x:c>
      <x:c r="AD129" s="60" t="n">
        <x:f>MAX(0,MIN(100,AA129+AC129))</x:f>
        <x:v>72.72248131075672</x:v>
      </x:c>
      <x:c r="AE129" s="60" t="n">
        <x:f>MAX(0,MIN(1,IFERROR((MATCH(AD129,Percentile_Calibration!$F125:$DB125,1)-1)/100,0)))</x:f>
        <x:v>0.88</x:v>
      </x:c>
      <x:c r="AF129" s="62" t="n">
        <x:f>ROUND(MAX(Model_Formula!$I$9,Model_Formula!$I$5+Model_Formula!$I$6*POWER(AE129,Model_Formula!$I$7)),0)</x:f>
        <x:v>79</x:v>
      </x:c>
      <x:c r="AG129" t="n">
        <x:f>Profiles_140!AJ125</x:f>
        <x:v>0</x:v>
      </x:c>
      <x:c r="AH129" s="60" t="n">
        <x:f>Model_Formula!$I$8*(AE129*100)+(1-Model_Formula!$I$8)*AD129+AG129</x:f>
        <x:v>84.94449626215135</x:v>
      </x:c>
      <x:c r="AI129" t="n">
        <x:f>RANK.EQ(AH129,$AH$6:$AH$135,0)+COUNTIF($AH$6:AH129,AH129)-1</x:f>
        <x:v>37</x:v>
      </x:c>
    </x:row>
    <x:row r="130">
      <x:c r="A130" t="str">
        <x:f>Profiles_140!A126</x:f>
        <x:v>プクリン</x:v>
      </x:c>
      <x:c r="B130" t="str">
        <x:f>Profiles_140!C126</x:f>
        <x:v>プクリン-1</x:v>
      </x:c>
      <x:c r="C130" t="str">
        <x:f>Profiles_140!D126</x:f>
        <x:v>共通</x:v>
      </x:c>
      <x:c r="D130" t="str">
        <x:f>Profiles_140!B126</x:f>
        <x:v>サポート型</x:v>
      </x:c>
      <x:c r="E130" t="str">
        <x:f>Profiles_140!I126</x:f>
        <x:v>高</x:v>
      </x:c>
      <x:c r="F130" s="66" t="n">
        <x:f>Model_Formula!$M$13*(Profiles_140!K126-Simulator!$L$11)^2*IF(Profiles_140!K126&gt;Simulator!$L$11,1+Model_Formula!$N$13,1)</x:f>
        <x:v>25</x:v>
      </x:c>
      <x:c r="G130" s="66" t="n">
        <x:f>Model_Formula!$M$14*(Profiles_140!L126-Simulator!$L$12)^2*IF(Profiles_140!L126&gt;Simulator!$L$12,1+Model_Formula!$N$14,1)</x:f>
        <x:v>2625</x:v>
      </x:c>
      <x:c r="H130" s="66" t="n">
        <x:f>Model_Formula!$M$15*(Profiles_140!M126-Simulator!$L$13)^2*IF(Profiles_140!M126&gt;Simulator!$L$13,1+Model_Formula!$N$15,1)</x:f>
        <x:v>2500</x:v>
      </x:c>
      <x:c r="I130" s="66" t="n">
        <x:f>Model_Formula!$M$16*(Profiles_140!N126-Simulator!$L$14)^2*IF(Profiles_140!N126&gt;Simulator!$L$14,1+Model_Formula!$N$16,1)</x:f>
        <x:v>2025</x:v>
      </x:c>
      <x:c r="J130" s="66" t="n">
        <x:f>Model_Formula!$M$17*(Profiles_140!O126-Simulator!$L$15)^2*IF(Profiles_140!O126&gt;Simulator!$L$15,1+Model_Formula!$N$17,1)</x:f>
        <x:v>900</x:v>
      </x:c>
      <x:c r="K130" s="66" t="n">
        <x:f>Model_Formula!$M$18*(Profiles_140!P126-Simulator!$L$16)^2*IF(Profiles_140!P126&gt;Simulator!$L$16,1+Model_Formula!$N$18,1)</x:f>
        <x:v>90</x:v>
      </x:c>
      <x:c r="L130" s="66" t="n">
        <x:f>Model_Formula!$M$19*(Profiles_140!Q126-Simulator!$L$17)^2*IF(Profiles_140!Q126&gt;Simulator!$L$17,1+Model_Formula!$N$19,1)</x:f>
        <x:v>2500</x:v>
      </x:c>
      <x:c r="M130" s="66" t="n">
        <x:f>Model_Formula!$M$20*(Profiles_140!R126-Simulator!$L$18)^2*IF(Profiles_140!R126&gt;Simulator!$L$18,1+Model_Formula!$N$20,1)</x:f>
        <x:v>0</x:v>
      </x:c>
      <x:c r="N130" s="66" t="n">
        <x:f>Model_Formula!$M$21*(Profiles_140!S126-Simulator!$L$19)^2*IF(Profiles_140!S126&gt;Simulator!$L$19,1+Model_Formula!$N$21,1)</x:f>
        <x:v>900</x:v>
      </x:c>
      <x:c r="O130" s="66" t="n">
        <x:f>Model_Formula!$M$22*(Profiles_140!T126-Simulator!$L$20)^2*IF(Profiles_140!T126&gt;Simulator!$L$20,1+Model_Formula!$N$22,1)</x:f>
        <x:v>225</x:v>
      </x:c>
      <x:c r="P130" s="66" t="n">
        <x:f>Model_Formula!$M$23*(Profiles_140!U126-Simulator!$L$21)^2*IF(Profiles_140!U126&gt;Simulator!$L$21,1+Model_Formula!$N$23,1)</x:f>
        <x:v>1125</x:v>
      </x:c>
      <x:c r="Q130" s="66" t="n">
        <x:f>Model_Formula!$M$24*(Profiles_140!V126-Simulator!$L$22)^2*IF(Profiles_140!V126&gt;Simulator!$L$22,1+Model_Formula!$N$24,1)</x:f>
        <x:v>360</x:v>
      </x:c>
      <x:c r="R130" s="66" t="n">
        <x:f>Model_Formula!$M$25*(Profiles_140!W126-Simulator!$L$23)^2*IF(Profiles_140!W126&gt;Simulator!$L$23,1+Model_Formula!$N$25,1)</x:f>
        <x:v>405</x:v>
      </x:c>
      <x:c r="S130" s="66" t="n">
        <x:f>Model_Formula!$M$26*(Profiles_140!X126-Simulator!$L$24)^2*IF(Profiles_140!X126&gt;Simulator!$L$24,1+Model_Formula!$N$26,1)</x:f>
        <x:v>0</x:v>
      </x:c>
      <x:c r="T130" s="66" t="n">
        <x:f>Model_Formula!$M$27*(Profiles_140!Y126-Simulator!$L$25)^2*IF(Profiles_140!Y126&gt;Simulator!$L$25,1+Model_Formula!$N$27,1)</x:f>
        <x:v>1479.1874999999998</x:v>
      </x:c>
      <x:c r="U130" s="60" t="n">
        <x:f>SUM(F130:T130)/SUM($F$4:$T$4)</x:f>
        <x:v>1131.2826492537315</x:v>
      </x:c>
      <x:c r="V130" s="60" t="n">
        <x:f>SQRT(U130)</x:f>
        <x:v>33.63454547416587</x:v>
      </x:c>
      <x:c r="W130" s="60" t="n">
        <x:f>MAX(0,100-V130)</x:f>
        <x:v>66.36545452583414</x:v>
      </x:c>
      <x:c r="X130" s="60" t="n">
        <x:f>SUMPRODUCT(Profiles_140!K126:Y126,$F$4:$T$4)/SUM($F$4:$T$4)</x:f>
        <x:v>50.76492537313433</x:v>
      </x:c>
      <x:c r="Y130" s="60" t="n">
        <x:f>IFERROR(50+50*SUMPRODUCT(($F$3:$T$3-$X$3)*(Profiles_140!K126:Y126-X130),$F$4:$T$4)/SQRT(SUMPRODUCT(($F$3:$T$3-$X$3)^2,$F$4:$T$4)*SUMPRODUCT((Profiles_140!K126:Y126-X130)^2,$F$4:$T$4)),50)</x:f>
        <x:v>50.00000000000001</x:v>
      </x:c>
      <x:c r="Z130" s="60" t="n">
        <x:f>$Z$3</x:f>
        <x:v>3.9474596431116675e-16</x:v>
      </x:c>
      <x:c r="AA130" s="60" t="n">
        <x:f>W130*(1-Model_Formula!$F$8*Z130)+Y130*(Model_Formula!$F$8*Z130)</x:f>
        <x:v>66.36545452583414</x:v>
      </x:c>
      <x:c r="AB130" s="60" t="n">
        <x:f>SQRT(SUMPRODUCT((Profiles_140!K126:Y126-50)^2,$F$4:$T$4)/SUM($F$4:$T$4))</x:f>
        <x:v>33.41981939445827</x:v>
      </x:c>
      <x:c r="AC130" s="60" t="n">
        <x:f>MAX(-Model_Formula!$F$11,MIN(Model_Formula!$F$11,Model_Formula!$F$10*(AB130-AVERAGE($AB$6:$AB$135))))</x:f>
        <x:v>2.1368945840582545</x:v>
      </x:c>
      <x:c r="AD130" s="60" t="n">
        <x:f>MAX(0,MIN(100,AA130+AC130))</x:f>
        <x:v>68.50234910989239</x:v>
      </x:c>
      <x:c r="AE130" s="60" t="n">
        <x:f>MAX(0,MIN(1,IFERROR((MATCH(AD130,Percentile_Calibration!$F126:$DB126,1)-1)/100,0)))</x:f>
        <x:v>0.71</x:v>
      </x:c>
      <x:c r="AF130" s="62" t="n">
        <x:f>ROUND(MAX(Model_Formula!$I$9,Model_Formula!$I$5+Model_Formula!$I$6*POWER(AE130,Model_Formula!$I$7)),0)</x:f>
        <x:v>62</x:v>
      </x:c>
      <x:c r="AG130" t="n">
        <x:f>Profiles_140!AJ126</x:f>
        <x:v>0</x:v>
      </x:c>
      <x:c r="AH130" s="60" t="n">
        <x:f>Model_Formula!$I$8*(AE130*100)+(1-Model_Formula!$I$8)*AD130+AG130</x:f>
        <x:v>70.50046982197848</x:v>
      </x:c>
      <x:c r="AI130" t="n">
        <x:f>RANK.EQ(AH130,$AH$6:$AH$135,0)+COUNTIF($AH$6:AH130,AH130)-1</x:f>
        <x:v>101</x:v>
      </x:c>
    </x:row>
    <x:row r="131">
      <x:c r="A131" t="str">
        <x:f>Profiles_140!A127</x:f>
        <x:v>マホイップ</x:v>
      </x:c>
      <x:c r="B131" t="str">
        <x:f>Profiles_140!C127</x:f>
        <x:v>マホイップ-1</x:v>
      </x:c>
      <x:c r="C131" t="str">
        <x:f>Profiles_140!D127</x:f>
        <x:v>共通</x:v>
      </x:c>
      <x:c r="D131" t="str">
        <x:f>Profiles_140!B127</x:f>
        <x:v>サポート型</x:v>
      </x:c>
      <x:c r="E131" t="str">
        <x:f>Profiles_140!I127</x:f>
        <x:v>高</x:v>
      </x:c>
      <x:c r="F131" s="66" t="n">
        <x:f>Model_Formula!$M$13*(Profiles_140!K127-Simulator!$L$11)^2*IF(Profiles_140!K127&gt;Simulator!$L$11,1+Model_Formula!$N$13,1)</x:f>
        <x:v>2025</x:v>
      </x:c>
      <x:c r="G131" s="66" t="n">
        <x:f>Model_Formula!$M$14*(Profiles_140!L127-Simulator!$L$12)^2*IF(Profiles_140!L127&gt;Simulator!$L$12,1+Model_Formula!$N$14,1)</x:f>
        <x:v>2625</x:v>
      </x:c>
      <x:c r="H131" s="66" t="n">
        <x:f>Model_Formula!$M$15*(Profiles_140!M127-Simulator!$L$13)^2*IF(Profiles_140!M127&gt;Simulator!$L$13,1+Model_Formula!$N$15,1)</x:f>
        <x:v>2025</x:v>
      </x:c>
      <x:c r="I131" s="66" t="n">
        <x:f>Model_Formula!$M$16*(Profiles_140!N127-Simulator!$L$14)^2*IF(Profiles_140!N127&gt;Simulator!$L$14,1+Model_Formula!$N$16,1)</x:f>
        <x:v>2500</x:v>
      </x:c>
      <x:c r="J131" s="66" t="n">
        <x:f>Model_Formula!$M$17*(Profiles_140!O127-Simulator!$L$15)^2*IF(Profiles_140!O127&gt;Simulator!$L$15,1+Model_Formula!$N$17,1)</x:f>
        <x:v>625</x:v>
      </x:c>
      <x:c r="K131" s="66" t="n">
        <x:f>Model_Formula!$M$18*(Profiles_140!P127-Simulator!$L$16)^2*IF(Profiles_140!P127&gt;Simulator!$L$16,1+Model_Formula!$N$18,1)</x:f>
        <x:v>22.5</x:v>
      </x:c>
      <x:c r="L131" s="66" t="n">
        <x:f>Model_Formula!$M$19*(Profiles_140!Q127-Simulator!$L$17)^2*IF(Profiles_140!Q127&gt;Simulator!$L$17,1+Model_Formula!$N$19,1)</x:f>
        <x:v>225</x:v>
      </x:c>
      <x:c r="M131" s="66" t="n">
        <x:f>Model_Formula!$M$20*(Profiles_140!R127-Simulator!$L$18)^2*IF(Profiles_140!R127&gt;Simulator!$L$18,1+Model_Formula!$N$20,1)</x:f>
        <x:v>2500</x:v>
      </x:c>
      <x:c r="N131" s="66" t="n">
        <x:f>Model_Formula!$M$21*(Profiles_140!S127-Simulator!$L$19)^2*IF(Profiles_140!S127&gt;Simulator!$L$19,1+Model_Formula!$N$21,1)</x:f>
        <x:v>2025</x:v>
      </x:c>
      <x:c r="O131" s="66" t="n">
        <x:f>Model_Formula!$M$22*(Profiles_140!T127-Simulator!$L$20)^2*IF(Profiles_140!T127&gt;Simulator!$L$20,1+Model_Formula!$N$22,1)</x:f>
        <x:v>2025</x:v>
      </x:c>
      <x:c r="P131" s="66" t="n">
        <x:f>Model_Formula!$M$23*(Profiles_140!U127-Simulator!$L$21)^2*IF(Profiles_140!U127&gt;Simulator!$L$21,1+Model_Formula!$N$23,1)</x:f>
        <x:v>720</x:v>
      </x:c>
      <x:c r="Q131" s="66" t="n">
        <x:f>Model_Formula!$M$24*(Profiles_140!V127-Simulator!$L$22)^2*IF(Profiles_140!V127&gt;Simulator!$L$22,1+Model_Formula!$N$24,1)</x:f>
        <x:v>810</x:v>
      </x:c>
      <x:c r="R131" s="66" t="n">
        <x:f>Model_Formula!$M$25*(Profiles_140!W127-Simulator!$L$23)^2*IF(Profiles_140!W127&gt;Simulator!$L$23,1+Model_Formula!$N$25,1)</x:f>
        <x:v>911.25</x:v>
      </x:c>
      <x:c r="S131" s="66" t="n">
        <x:f>Model_Formula!$M$26*(Profiles_140!X127-Simulator!$L$24)^2*IF(Profiles_140!X127&gt;Simulator!$L$24,1+Model_Formula!$N$26,1)</x:f>
        <x:v>110.00000000000001</x:v>
      </x:c>
      <x:c r="T131" s="66" t="n">
        <x:f>Model_Formula!$M$27*(Profiles_140!Y127-Simulator!$L$25)^2*IF(Profiles_140!Y127&gt;Simulator!$L$25,1+Model_Formula!$N$27,1)</x:f>
        <x:v>1479.1874999999998</x:v>
      </x:c>
      <x:c r="U131" s="60" t="n">
        <x:f>SUM(F131:T131)/SUM($F$4:$T$4)</x:f>
        <x:v>1539.3983208955226</x:v>
      </x:c>
      <x:c r="V131" s="60" t="n">
        <x:f>SQRT(U131)</x:f>
        <x:v>39.23516689011941</x:v>
      </x:c>
      <x:c r="W131" s="60" t="n">
        <x:f>MAX(0,100-V131)</x:f>
        <x:v>60.76483310988059</x:v>
      </x:c>
      <x:c r="X131" s="60" t="n">
        <x:f>SUMPRODUCT(Profiles_140!K127:Y127,$F$4:$T$4)/SUM($F$4:$T$4)</x:f>
        <x:v>34.44029850746269</x:v>
      </x:c>
      <x:c r="Y131" s="60" t="n">
        <x:f>IFERROR(50+50*SUMPRODUCT(($F$3:$T$3-$X$3)*(Profiles_140!K127:Y127-X131),$F$4:$T$4)/SQRT(SUMPRODUCT(($F$3:$T$3-$X$3)^2,$F$4:$T$4)*SUMPRODUCT((Profiles_140!K127:Y127-X131)^2,$F$4:$T$4)),50)</x:f>
        <x:v>50.00000000000001</x:v>
      </x:c>
      <x:c r="Z131" s="60" t="n">
        <x:f>$Z$3</x:f>
        <x:v>3.9474596431116675e-16</x:v>
      </x:c>
      <x:c r="AA131" s="60" t="n">
        <x:f>W131*(1-Model_Formula!$F$8*Z131)+Y131*(Model_Formula!$F$8*Z131)</x:f>
        <x:v>60.76483310988059</x:v>
      </x:c>
      <x:c r="AB131" s="60" t="n">
        <x:f>SQRT(SUMPRODUCT((Profiles_140!K127:Y127-50)^2,$F$4:$T$4)/SUM($F$4:$T$4))</x:f>
        <x:v>39.05124837953328</x:v>
      </x:c>
      <x:c r="AC131" s="60" t="n">
        <x:f>MAX(-Model_Formula!$F$11,MIN(Model_Formula!$F$11,Model_Formula!$F$10*(AB131-AVERAGE($AB$6:$AB$135))))</x:f>
        <x:v>4.671037627342007</x:v>
      </x:c>
      <x:c r="AD131" s="60" t="n">
        <x:f>MAX(0,MIN(100,AA131+AC131))</x:f>
        <x:v>65.4358707372226</x:v>
      </x:c>
      <x:c r="AE131" s="60" t="n">
        <x:f>MAX(0,MIN(1,IFERROR((MATCH(AD131,Percentile_Calibration!$F127:$DB127,1)-1)/100,0)))</x:f>
        <x:v>0.65</x:v>
      </x:c>
      <x:c r="AF131" s="62" t="n">
        <x:f>ROUND(MAX(Model_Formula!$I$9,Model_Formula!$I$5+Model_Formula!$I$6*POWER(AE131,Model_Formula!$I$7)),0)</x:f>
        <x:v>57</x:v>
      </x:c>
      <x:c r="AG131" t="n">
        <x:f>Profiles_140!AJ127</x:f>
        <x:v>0</x:v>
      </x:c>
      <x:c r="AH131" s="60" t="n">
        <x:f>Model_Formula!$I$8*(AE131*100)+(1-Model_Formula!$I$8)*AD131+AG131</x:f>
        <x:v>65.08717414744451</x:v>
      </x:c>
      <x:c r="AI131" t="n">
        <x:f>RANK.EQ(AH131,$AH$6:$AH$135,0)+COUNTIF($AH$6:AH131,AH131)-1</x:f>
        <x:v>127</x:v>
      </x:c>
    </x:row>
    <x:row r="132">
      <x:c r="A132" t="str">
        <x:f>Profiles_140!A128</x:f>
        <x:v>メガニウム</x:v>
      </x:c>
      <x:c r="B132" t="str">
        <x:f>Profiles_140!C128</x:f>
        <x:v>メガニウム-1</x:v>
      </x:c>
      <x:c r="C132" t="str">
        <x:f>Profiles_140!D128</x:f>
        <x:v>共通</x:v>
      </x:c>
      <x:c r="D132" t="str">
        <x:f>Profiles_140!B128</x:f>
        <x:v>サポート型</x:v>
      </x:c>
      <x:c r="E132" t="str">
        <x:f>Profiles_140!I128</x:f>
        <x:v>中</x:v>
      </x:c>
      <x:c r="F132" s="66" t="n">
        <x:f>Model_Formula!$M$13*(Profiles_140!K128-Simulator!$L$11)^2*IF(Profiles_140!K128&gt;Simulator!$L$11,1+Model_Formula!$N$13,1)</x:f>
        <x:v>900</x:v>
      </x:c>
      <x:c r="G132" s="66" t="n">
        <x:f>Model_Formula!$M$14*(Profiles_140!L128-Simulator!$L$12)^2*IF(Profiles_140!L128&gt;Simulator!$L$12,1+Model_Formula!$N$14,1)</x:f>
        <x:v>2625</x:v>
      </x:c>
      <x:c r="H132" s="66" t="n">
        <x:f>Model_Formula!$M$15*(Profiles_140!M128-Simulator!$L$13)^2*IF(Profiles_140!M128&gt;Simulator!$L$13,1+Model_Formula!$N$15,1)</x:f>
        <x:v>2025</x:v>
      </x:c>
      <x:c r="I132" s="66" t="n">
        <x:f>Model_Formula!$M$16*(Profiles_140!N128-Simulator!$L$14)^2*IF(Profiles_140!N128&gt;Simulator!$L$14,1+Model_Formula!$N$16,1)</x:f>
        <x:v>1225</x:v>
      </x:c>
      <x:c r="J132" s="66" t="n">
        <x:f>Model_Formula!$M$17*(Profiles_140!O128-Simulator!$L$15)^2*IF(Profiles_140!O128&gt;Simulator!$L$15,1+Model_Formula!$N$17,1)</x:f>
        <x:v>225</x:v>
      </x:c>
      <x:c r="K132" s="66" t="n">
        <x:f>Model_Formula!$M$18*(Profiles_140!P128-Simulator!$L$16)^2*IF(Profiles_140!P128&gt;Simulator!$L$16,1+Model_Formula!$N$18,1)</x:f>
        <x:v>360</x:v>
      </x:c>
      <x:c r="L132" s="66" t="n">
        <x:f>Model_Formula!$M$19*(Profiles_140!Q128-Simulator!$L$17)^2*IF(Profiles_140!Q128&gt;Simulator!$L$17,1+Model_Formula!$N$19,1)</x:f>
        <x:v>225</x:v>
      </x:c>
      <x:c r="M132" s="66" t="n">
        <x:f>Model_Formula!$M$20*(Profiles_140!R128-Simulator!$L$18)^2*IF(Profiles_140!R128&gt;Simulator!$L$18,1+Model_Formula!$N$20,1)</x:f>
        <x:v>2500</x:v>
      </x:c>
      <x:c r="N132" s="66" t="n">
        <x:f>Model_Formula!$M$21*(Profiles_140!S128-Simulator!$L$19)^2*IF(Profiles_140!S128&gt;Simulator!$L$19,1+Model_Formula!$N$21,1)</x:f>
        <x:v>225</x:v>
      </x:c>
      <x:c r="O132" s="66" t="n">
        <x:f>Model_Formula!$M$22*(Profiles_140!T128-Simulator!$L$20)^2*IF(Profiles_140!T128&gt;Simulator!$L$20,1+Model_Formula!$N$22,1)</x:f>
        <x:v>1225</x:v>
      </x:c>
      <x:c r="P132" s="66" t="n">
        <x:f>Model_Formula!$M$23*(Profiles_140!U128-Simulator!$L$21)^2*IF(Profiles_140!U128&gt;Simulator!$L$21,1+Model_Formula!$N$23,1)</x:f>
        <x:v>720</x:v>
      </x:c>
      <x:c r="Q132" s="66" t="n">
        <x:f>Model_Formula!$M$24*(Profiles_140!V128-Simulator!$L$22)^2*IF(Profiles_140!V128&gt;Simulator!$L$22,1+Model_Formula!$N$24,1)</x:f>
        <x:v>490</x:v>
      </x:c>
      <x:c r="R132" s="66" t="n">
        <x:f>Model_Formula!$M$25*(Profiles_140!W128-Simulator!$L$23)^2*IF(Profiles_140!W128&gt;Simulator!$L$23,1+Model_Formula!$N$25,1)</x:f>
        <x:v>281.25</x:v>
      </x:c>
      <x:c r="S132" s="66" t="n">
        <x:f>Model_Formula!$M$26*(Profiles_140!X128-Simulator!$L$24)^2*IF(Profiles_140!X128&gt;Simulator!$L$24,1+Model_Formula!$N$26,1)</x:f>
        <x:v>27.500000000000004</x:v>
      </x:c>
      <x:c r="T132" s="66" t="n">
        <x:f>Model_Formula!$M$27*(Profiles_140!Y128-Simulator!$L$25)^2*IF(Profiles_140!Y128&gt;Simulator!$L$25,1+Model_Formula!$N$27,1)</x:f>
        <x:v>1479.1874999999998</x:v>
      </x:c>
      <x:c r="U132" s="60" t="n">
        <x:f>SUM(F132:T132)/SUM($F$4:$T$4)</x:f>
        <x:v>1084.5475746268658</x:v>
      </x:c>
      <x:c r="V132" s="60" t="n">
        <x:f>SQRT(U132)</x:f>
        <x:v>32.932469913853495</x:v>
      </x:c>
      <x:c r="W132" s="60" t="n">
        <x:f>MAX(0,100-V132)</x:f>
        <x:v>67.0675300861465</x:v>
      </x:c>
      <x:c r="X132" s="60" t="n">
        <x:f>SUMPRODUCT(Profiles_140!K128:Y128,$F$4:$T$4)/SUM($F$4:$T$4)</x:f>
        <x:v>45.03731343283582</x:v>
      </x:c>
      <x:c r="Y132" s="60" t="n">
        <x:f>IFERROR(50+50*SUMPRODUCT(($F$3:$T$3-$X$3)*(Profiles_140!K128:Y128-X132),$F$4:$T$4)/SQRT(SUMPRODUCT(($F$3:$T$3-$X$3)^2,$F$4:$T$4)*SUMPRODUCT((Profiles_140!K128:Y128-X132)^2,$F$4:$T$4)),50)</x:f>
        <x:v>50</x:v>
      </x:c>
      <x:c r="Z132" s="60" t="n">
        <x:f>$Z$3</x:f>
        <x:v>3.9474596431116675e-16</x:v>
      </x:c>
      <x:c r="AA132" s="60" t="n">
        <x:f>W132*(1-Model_Formula!$F$8*Z132)+Y132*(Model_Formula!$F$8*Z132)</x:f>
        <x:v>67.0675300861465</x:v>
      </x:c>
      <x:c r="AB132" s="60" t="n">
        <x:f>SQRT(SUMPRODUCT((Profiles_140!K128:Y128-50)^2,$F$4:$T$4)/SUM($F$4:$T$4))</x:f>
        <x:v>32.71313579789231</x:v>
      </x:c>
      <x:c r="AC132" s="60" t="n">
        <x:f>MAX(-Model_Formula!$F$11,MIN(Model_Formula!$F$11,Model_Formula!$F$10*(AB132-AVERAGE($AB$6:$AB$135))))</x:f>
        <x:v>1.8188869656035729</x:v>
      </x:c>
      <x:c r="AD132" s="60" t="n">
        <x:f>MAX(0,MIN(100,AA132+AC132))</x:f>
        <x:v>68.88641705175007</x:v>
      </x:c>
      <x:c r="AE132" s="60" t="n">
        <x:f>MAX(0,MIN(1,IFERROR((MATCH(AD132,Percentile_Calibration!$F128:$DB128,1)-1)/100,0)))</x:f>
        <x:v>0.7</x:v>
      </x:c>
      <x:c r="AF132" s="62" t="n">
        <x:f>ROUND(MAX(Model_Formula!$I$9,Model_Formula!$I$5+Model_Formula!$I$6*POWER(AE132,Model_Formula!$I$7)),0)</x:f>
        <x:v>61</x:v>
      </x:c>
      <x:c r="AG132" t="n">
        <x:f>Profiles_140!AJ128</x:f>
        <x:v>0</x:v>
      </x:c>
      <x:c r="AH132" s="60" t="n">
        <x:f>Model_Formula!$I$8*(AE132*100)+(1-Model_Formula!$I$8)*AD132+AG132</x:f>
        <x:v>69.77728341035001</x:v>
      </x:c>
      <x:c r="AI132" t="n">
        <x:f>RANK.EQ(AH132,$AH$6:$AH$135,0)+COUNTIF($AH$6:AH132,AH132)-1</x:f>
        <x:v>109</x:v>
      </x:c>
    </x:row>
    <x:row r="133">
      <x:c r="A133" t="str">
        <x:f>Profiles_140!A129</x:f>
        <x:v>ヤミラミ</x:v>
      </x:c>
      <x:c r="B133" t="str">
        <x:f>Profiles_140!C129</x:f>
        <x:v>ヤミラミ-1</x:v>
      </x:c>
      <x:c r="C133" t="str">
        <x:f>Profiles_140!D129</x:f>
        <x:v>共通</x:v>
      </x:c>
      <x:c r="D133" t="str">
        <x:f>Profiles_140!B129</x:f>
        <x:v>サポート型</x:v>
      </x:c>
      <x:c r="E133" t="str">
        <x:f>Profiles_140!I129</x:f>
        <x:v>高</x:v>
      </x:c>
      <x:c r="F133" s="66" t="n">
        <x:f>Model_Formula!$M$13*(Profiles_140!K129-Simulator!$L$11)^2*IF(Profiles_140!K129&gt;Simulator!$L$11,1+Model_Formula!$N$13,1)</x:f>
        <x:v>25</x:v>
      </x:c>
      <x:c r="G133" s="66" t="n">
        <x:f>Model_Formula!$M$14*(Profiles_140!L129-Simulator!$L$12)^2*IF(Profiles_140!L129&gt;Simulator!$L$12,1+Model_Formula!$N$14,1)</x:f>
        <x:v>26.25</x:v>
      </x:c>
      <x:c r="H133" s="66" t="n">
        <x:f>Model_Formula!$M$15*(Profiles_140!M129-Simulator!$L$13)^2*IF(Profiles_140!M129&gt;Simulator!$L$13,1+Model_Formula!$N$15,1)</x:f>
        <x:v>625</x:v>
      </x:c>
      <x:c r="I133" s="66" t="n">
        <x:f>Model_Formula!$M$16*(Profiles_140!N129-Simulator!$L$14)^2*IF(Profiles_140!N129&gt;Simulator!$L$14,1+Model_Formula!$N$16,1)</x:f>
        <x:v>225</x:v>
      </x:c>
      <x:c r="J133" s="66" t="n">
        <x:f>Model_Formula!$M$17*(Profiles_140!O129-Simulator!$L$15)^2*IF(Profiles_140!O129&gt;Simulator!$L$15,1+Model_Formula!$N$17,1)</x:f>
        <x:v>2025</x:v>
      </x:c>
      <x:c r="K133" s="66" t="n">
        <x:f>Model_Formula!$M$18*(Profiles_140!P129-Simulator!$L$16)^2*IF(Profiles_140!P129&gt;Simulator!$L$16,1+Model_Formula!$N$18,1)</x:f>
        <x:v>22.5</x:v>
      </x:c>
      <x:c r="L133" s="66" t="n">
        <x:f>Model_Formula!$M$19*(Profiles_140!Q129-Simulator!$L$17)^2*IF(Profiles_140!Q129&gt;Simulator!$L$17,1+Model_Formula!$N$19,1)</x:f>
        <x:v>2500</x:v>
      </x:c>
      <x:c r="M133" s="66" t="n">
        <x:f>Model_Formula!$M$20*(Profiles_140!R129-Simulator!$L$18)^2*IF(Profiles_140!R129&gt;Simulator!$L$18,1+Model_Formula!$N$20,1)</x:f>
        <x:v>225</x:v>
      </x:c>
      <x:c r="N133" s="66" t="n">
        <x:f>Model_Formula!$M$21*(Profiles_140!S129-Simulator!$L$19)^2*IF(Profiles_140!S129&gt;Simulator!$L$19,1+Model_Formula!$N$21,1)</x:f>
        <x:v>2500</x:v>
      </x:c>
      <x:c r="O133" s="66" t="n">
        <x:f>Model_Formula!$M$22*(Profiles_140!T129-Simulator!$L$20)^2*IF(Profiles_140!T129&gt;Simulator!$L$20,1+Model_Formula!$N$22,1)</x:f>
        <x:v>100</x:v>
      </x:c>
      <x:c r="P133" s="66" t="n">
        <x:f>Model_Formula!$M$23*(Profiles_140!U129-Simulator!$L$21)^2*IF(Profiles_140!U129&gt;Simulator!$L$21,1+Model_Formula!$N$23,1)</x:f>
        <x:v>911.25</x:v>
      </x:c>
      <x:c r="Q133" s="66" t="n">
        <x:f>Model_Formula!$M$24*(Profiles_140!V129-Simulator!$L$22)^2*IF(Profiles_140!V129&gt;Simulator!$L$22,1+Model_Formula!$N$24,1)</x:f>
        <x:v>250</x:v>
      </x:c>
      <x:c r="R133" s="66" t="n">
        <x:f>Model_Formula!$M$25*(Profiles_140!W129-Simulator!$L$23)^2*IF(Profiles_140!W129&gt;Simulator!$L$23,1+Model_Formula!$N$25,1)</x:f>
        <x:v>1125</x:v>
      </x:c>
      <x:c r="S133" s="66" t="n">
        <x:f>Model_Formula!$M$26*(Profiles_140!X129-Simulator!$L$24)^2*IF(Profiles_140!X129&gt;Simulator!$L$24,1+Model_Formula!$N$26,1)</x:f>
        <x:v>148.50000000000003</x:v>
      </x:c>
      <x:c r="T133" s="66" t="n">
        <x:f>Model_Formula!$M$27*(Profiles_140!Y129-Simulator!$L$25)^2*IF(Profiles_140!Y129&gt;Simulator!$L$25,1+Model_Formula!$N$27,1)</x:f>
        <x:v>1931.9999999999998</x:v>
      </x:c>
      <x:c r="U133" s="60" t="n">
        <x:f>SUM(F133:T133)/SUM($F$4:$T$4)</x:f>
        <x:v>943.3208955223881</x:v>
      </x:c>
      <x:c r="V133" s="60" t="n">
        <x:f>SQRT(U133)</x:f>
        <x:v>30.71352951912867</x:v>
      </x:c>
      <x:c r="W133" s="60" t="n">
        <x:f>MAX(0,100-V133)</x:f>
        <x:v>69.28647048087133</x:v>
      </x:c>
      <x:c r="X133" s="60" t="n">
        <x:f>SUMPRODUCT(Profiles_140!K129:Y129,$F$4:$T$4)/SUM($F$4:$T$4)</x:f>
        <x:v>52.27611940298508</x:v>
      </x:c>
      <x:c r="Y133" s="60" t="n">
        <x:f>IFERROR(50+50*SUMPRODUCT(($F$3:$T$3-$X$3)*(Profiles_140!K129:Y129-X133),$F$4:$T$4)/SQRT(SUMPRODUCT(($F$3:$T$3-$X$3)^2,$F$4:$T$4)*SUMPRODUCT((Profiles_140!K129:Y129-X133)^2,$F$4:$T$4)),50)</x:f>
        <x:v>50.00000000000001</x:v>
      </x:c>
      <x:c r="Z133" s="60" t="n">
        <x:f>$Z$3</x:f>
        <x:v>3.9474596431116675e-16</x:v>
      </x:c>
      <x:c r="AA133" s="60" t="n">
        <x:f>W133*(1-Model_Formula!$F$8*Z133)+Y133*(Model_Formula!$F$8*Z133)</x:f>
        <x:v>69.28647048087133</x:v>
      </x:c>
      <x:c r="AB133" s="60" t="n">
        <x:f>SQRT(SUMPRODUCT((Profiles_140!K129:Y129-50)^2,$F$4:$T$4)/SUM($F$4:$T$4))</x:f>
        <x:v>30.35855383651824</x:v>
      </x:c>
      <x:c r="AC133" s="60" t="n">
        <x:f>MAX(-Model_Formula!$F$11,MIN(Model_Formula!$F$11,Model_Formula!$F$10*(AB133-AVERAGE($AB$6:$AB$135))))</x:f>
        <x:v>0.7593250829852399</x:v>
      </x:c>
      <x:c r="AD133" s="60" t="n">
        <x:f>MAX(0,MIN(100,AA133+AC133))</x:f>
        <x:v>70.04579556385657</x:v>
      </x:c>
      <x:c r="AE133" s="60" t="n">
        <x:f>MAX(0,MIN(1,IFERROR((MATCH(AD133,Percentile_Calibration!$F129:$DB129,1)-1)/100,0)))</x:f>
        <x:v>0.88</x:v>
      </x:c>
      <x:c r="AF133" s="62" t="n">
        <x:f>ROUND(MAX(Model_Formula!$I$9,Model_Formula!$I$5+Model_Formula!$I$6*POWER(AE133,Model_Formula!$I$7)),0)</x:f>
        <x:v>79</x:v>
      </x:c>
      <x:c r="AG133" t="n">
        <x:f>Profiles_140!AJ129</x:f>
        <x:v>0</x:v>
      </x:c>
      <x:c r="AH133" s="60" t="n">
        <x:f>Model_Formula!$I$8*(AE133*100)+(1-Model_Formula!$I$8)*AD133+AG133</x:f>
        <x:v>84.40915911277132</x:v>
      </x:c>
      <x:c r="AI133" t="n">
        <x:f>RANK.EQ(AH133,$AH$6:$AH$135,0)+COUNTIF($AH$6:AH133,AH133)-1</x:f>
        <x:v>39</x:v>
      </x:c>
    </x:row>
    <x:row r="134">
      <x:c r="A134" t="str">
        <x:f>Profiles_140!A130</x:f>
        <x:v>ラティアス</x:v>
      </x:c>
      <x:c r="B134" t="str">
        <x:f>Profiles_140!C130</x:f>
        <x:v>ラティアス-1</x:v>
      </x:c>
      <x:c r="C134" t="str">
        <x:f>Profiles_140!D130</x:f>
        <x:v>共通</x:v>
      </x:c>
      <x:c r="D134" t="str">
        <x:f>Profiles_140!B130</x:f>
        <x:v>サポート型</x:v>
      </x:c>
      <x:c r="E134" t="str">
        <x:f>Profiles_140!I130</x:f>
        <x:v>高</x:v>
      </x:c>
      <x:c r="F134" s="66" t="n">
        <x:f>Model_Formula!$M$13*(Profiles_140!K130-Simulator!$L$11)^2*IF(Profiles_140!K130&gt;Simulator!$L$11,1+Model_Formula!$N$13,1)</x:f>
        <x:v>400</x:v>
      </x:c>
      <x:c r="G134" s="66" t="n">
        <x:f>Model_Formula!$M$14*(Profiles_140!L130-Simulator!$L$12)^2*IF(Profiles_140!L130&gt;Simulator!$L$12,1+Model_Formula!$N$14,1)</x:f>
        <x:v>1286.25</x:v>
      </x:c>
      <x:c r="H134" s="66" t="n">
        <x:f>Model_Formula!$M$15*(Profiles_140!M130-Simulator!$L$13)^2*IF(Profiles_140!M130&gt;Simulator!$L$13,1+Model_Formula!$N$15,1)</x:f>
        <x:v>225</x:v>
      </x:c>
      <x:c r="I134" s="66" t="n">
        <x:f>Model_Formula!$M$16*(Profiles_140!N130-Simulator!$L$14)^2*IF(Profiles_140!N130&gt;Simulator!$L$14,1+Model_Formula!$N$16,1)</x:f>
        <x:v>625</x:v>
      </x:c>
      <x:c r="J134" s="66" t="n">
        <x:f>Model_Formula!$M$17*(Profiles_140!O130-Simulator!$L$15)^2*IF(Profiles_140!O130&gt;Simulator!$L$15,1+Model_Formula!$N$17,1)</x:f>
        <x:v>0</x:v>
      </x:c>
      <x:c r="K134" s="66" t="n">
        <x:f>Model_Formula!$M$18*(Profiles_140!P130-Simulator!$L$16)^2*IF(Profiles_140!P130&gt;Simulator!$L$16,1+Model_Formula!$N$18,1)</x:f>
        <x:v>202.5</x:v>
      </x:c>
      <x:c r="L134" s="66" t="n">
        <x:f>Model_Formula!$M$19*(Profiles_140!Q130-Simulator!$L$17)^2*IF(Profiles_140!Q130&gt;Simulator!$L$17,1+Model_Formula!$N$19,1)</x:f>
        <x:v>100</x:v>
      </x:c>
      <x:c r="M134" s="66" t="n">
        <x:f>Model_Formula!$M$20*(Profiles_140!R130-Simulator!$L$18)^2*IF(Profiles_140!R130&gt;Simulator!$L$18,1+Model_Formula!$N$20,1)</x:f>
        <x:v>1600</x:v>
      </x:c>
      <x:c r="N134" s="66" t="n">
        <x:f>Model_Formula!$M$21*(Profiles_140!S130-Simulator!$L$19)^2*IF(Profiles_140!S130&gt;Simulator!$L$19,1+Model_Formula!$N$21,1)</x:f>
        <x:v>225</x:v>
      </x:c>
      <x:c r="O134" s="66" t="n">
        <x:f>Model_Formula!$M$22*(Profiles_140!T130-Simulator!$L$20)^2*IF(Profiles_140!T130&gt;Simulator!$L$20,1+Model_Formula!$N$22,1)</x:f>
        <x:v>0</x:v>
      </x:c>
      <x:c r="P134" s="66" t="n">
        <x:f>Model_Formula!$M$23*(Profiles_140!U130-Simulator!$L$21)^2*IF(Profiles_140!U130&gt;Simulator!$L$21,1+Model_Formula!$N$23,1)</x:f>
        <x:v>180</x:v>
      </x:c>
      <x:c r="Q134" s="66" t="n">
        <x:f>Model_Formula!$M$24*(Profiles_140!V130-Simulator!$L$22)^2*IF(Profiles_140!V130&gt;Simulator!$L$22,1+Model_Formula!$N$24,1)</x:f>
        <x:v>40</x:v>
      </x:c>
      <x:c r="R134" s="66" t="n">
        <x:f>Model_Formula!$M$25*(Profiles_140!W130-Simulator!$L$23)^2*IF(Profiles_140!W130&gt;Simulator!$L$23,1+Model_Formula!$N$25,1)</x:f>
        <x:v>101.25</x:v>
      </x:c>
      <x:c r="S134" s="66" t="n">
        <x:f>Model_Formula!$M$26*(Profiles_140!X130-Simulator!$L$24)^2*IF(Profiles_140!X130&gt;Simulator!$L$24,1+Model_Formula!$N$26,1)</x:f>
        <x:v>148.50000000000003</x:v>
      </x:c>
      <x:c r="T134" s="66" t="n">
        <x:f>Model_Formula!$M$27*(Profiles_140!Y130-Simulator!$L$25)^2*IF(Profiles_140!Y130&gt;Simulator!$L$25,1+Model_Formula!$N$27,1)</x:f>
        <x:v>482.99999999999994</x:v>
      </x:c>
      <x:c r="U134" s="60" t="n">
        <x:f>SUM(F134:T134)/SUM($F$4:$T$4)</x:f>
        <x:v>419.14179104477614</x:v>
      </x:c>
      <x:c r="V134" s="60" t="n">
        <x:f>SQRT(U134)</x:f>
        <x:v>20.472952670408247</x:v>
      </x:c>
      <x:c r="W134" s="60" t="n">
        <x:f>MAX(0,100-V134)</x:f>
        <x:v>79.52704732959175</x:v>
      </x:c>
      <x:c r="X134" s="60" t="n">
        <x:f>SUMPRODUCT(Profiles_140!K130:Y130,$F$4:$T$4)/SUM($F$4:$T$4)</x:f>
        <x:v>50.29850746268657</x:v>
      </x:c>
      <x:c r="Y134" s="60" t="n">
        <x:f>IFERROR(50+50*SUMPRODUCT(($F$3:$T$3-$X$3)*(Profiles_140!K130:Y130-X134),$F$4:$T$4)/SQRT(SUMPRODUCT(($F$3:$T$3-$X$3)^2,$F$4:$T$4)*SUMPRODUCT((Profiles_140!K130:Y130-X134)^2,$F$4:$T$4)),50)</x:f>
        <x:v>50.000000000000014</x:v>
      </x:c>
      <x:c r="Z134" s="60" t="n">
        <x:f>$Z$3</x:f>
        <x:v>3.9474596431116675e-16</x:v>
      </x:c>
      <x:c r="AA134" s="60" t="n">
        <x:f>W134*(1-Model_Formula!$F$8*Z134)+Y134*(Model_Formula!$F$8*Z134)</x:f>
        <x:v>79.52704732959175</x:v>
      </x:c>
      <x:c r="AB134" s="60" t="n">
        <x:f>SQRT(SUMPRODUCT((Profiles_140!K130:Y130-50)^2,$F$4:$T$4)/SUM($F$4:$T$4))</x:f>
        <x:v>20.287118183199517</x:v>
      </x:c>
      <x:c r="AC134" s="60" t="n">
        <x:f>MAX(-Model_Formula!$F$11,MIN(Model_Formula!$F$11,Model_Formula!$F$10*(AB134-AVERAGE($AB$6:$AB$135))))</x:f>
        <x:v>-3.7728209610081853</x:v>
      </x:c>
      <x:c r="AD134" s="60" t="n">
        <x:f>MAX(0,MIN(100,AA134+AC134))</x:f>
        <x:v>75.75422636858357</x:v>
      </x:c>
      <x:c r="AE134" s="60" t="n">
        <x:f>MAX(0,MIN(1,IFERROR((MATCH(AD134,Percentile_Calibration!$F130:$DB130,1)-1)/100,0)))</x:f>
        <x:v>0.93</x:v>
      </x:c>
      <x:c r="AF134" s="62" t="n">
        <x:f>ROUND(MAX(Model_Formula!$I$9,Model_Formula!$I$5+Model_Formula!$I$6*POWER(AE134,Model_Formula!$I$7)),0)</x:f>
        <x:v>86</x:v>
      </x:c>
      <x:c r="AG134" t="n">
        <x:f>Profiles_140!AJ130</x:f>
        <x:v>0</x:v>
      </x:c>
      <x:c r="AH134" s="60" t="n">
        <x:f>Model_Formula!$I$8*(AE134*100)+(1-Model_Formula!$I$8)*AD134+AG134</x:f>
        <x:v>89.55084527371672</x:v>
      </x:c>
      <x:c r="AI134" t="n">
        <x:f>RANK.EQ(AH134,$AH$6:$AH$135,0)+COUNTIF($AH$6:AH134,AH134)-1</x:f>
        <x:v>23</x:v>
      </x:c>
    </x:row>
    <x:row r="135">
      <x:c r="A135" t="str">
        <x:f>Profiles_140!A131</x:f>
        <x:v>ワタシラガ</x:v>
      </x:c>
      <x:c r="B135" t="str">
        <x:f>Profiles_140!C131</x:f>
        <x:v>ワタシラガ-1</x:v>
      </x:c>
      <x:c r="C135" t="str">
        <x:f>Profiles_140!D131</x:f>
        <x:v>共通</x:v>
      </x:c>
      <x:c r="D135" t="str">
        <x:f>Profiles_140!B131</x:f>
        <x:v>サポート型</x:v>
      </x:c>
      <x:c r="E135" t="str">
        <x:f>Profiles_140!I131</x:f>
        <x:v>高</x:v>
      </x:c>
      <x:c r="F135" s="66" t="n">
        <x:f>Model_Formula!$M$13*(Profiles_140!K131-Simulator!$L$11)^2*IF(Profiles_140!K131&gt;Simulator!$L$11,1+Model_Formula!$N$13,1)</x:f>
        <x:v>400</x:v>
      </x:c>
      <x:c r="G135" s="66" t="n">
        <x:f>Model_Formula!$M$14*(Profiles_140!L131-Simulator!$L$12)^2*IF(Profiles_140!L131&gt;Simulator!$L$12,1+Model_Formula!$N$14,1)</x:f>
        <x:v>1286.25</x:v>
      </x:c>
      <x:c r="H135" s="66" t="n">
        <x:f>Model_Formula!$M$15*(Profiles_140!M131-Simulator!$L$13)^2*IF(Profiles_140!M131&gt;Simulator!$L$13,1+Model_Formula!$N$15,1)</x:f>
        <x:v>400</x:v>
      </x:c>
      <x:c r="I135" s="66" t="n">
        <x:f>Model_Formula!$M$16*(Profiles_140!N131-Simulator!$L$14)^2*IF(Profiles_140!N131&gt;Simulator!$L$14,1+Model_Formula!$N$16,1)</x:f>
        <x:v>1225</x:v>
      </x:c>
      <x:c r="J135" s="66" t="n">
        <x:f>Model_Formula!$M$17*(Profiles_140!O131-Simulator!$L$15)^2*IF(Profiles_140!O131&gt;Simulator!$L$15,1+Model_Formula!$N$17,1)</x:f>
        <x:v>0</x:v>
      </x:c>
      <x:c r="K135" s="66" t="n">
        <x:f>Model_Formula!$M$18*(Profiles_140!P131-Simulator!$L$16)^2*IF(Profiles_140!P131&gt;Simulator!$L$16,1+Model_Formula!$N$18,1)</x:f>
        <x:v>202.5</x:v>
      </x:c>
      <x:c r="L135" s="66" t="n">
        <x:f>Model_Formula!$M$19*(Profiles_140!Q131-Simulator!$L$17)^2*IF(Profiles_140!Q131&gt;Simulator!$L$17,1+Model_Formula!$N$19,1)</x:f>
        <x:v>25</x:v>
      </x:c>
      <x:c r="M135" s="66" t="n">
        <x:f>Model_Formula!$M$20*(Profiles_140!R131-Simulator!$L$18)^2*IF(Profiles_140!R131&gt;Simulator!$L$18,1+Model_Formula!$N$20,1)</x:f>
        <x:v>400</x:v>
      </x:c>
      <x:c r="N135" s="66" t="n">
        <x:f>Model_Formula!$M$21*(Profiles_140!S131-Simulator!$L$19)^2*IF(Profiles_140!S131&gt;Simulator!$L$19,1+Model_Formula!$N$21,1)</x:f>
        <x:v>0</x:v>
      </x:c>
      <x:c r="O135" s="66" t="n">
        <x:f>Model_Formula!$M$22*(Profiles_140!T131-Simulator!$L$20)^2*IF(Profiles_140!T131&gt;Simulator!$L$20,1+Model_Formula!$N$22,1)</x:f>
        <x:v>225</x:v>
      </x:c>
      <x:c r="P135" s="66" t="n">
        <x:f>Model_Formula!$M$23*(Profiles_140!U131-Simulator!$L$21)^2*IF(Profiles_140!U131&gt;Simulator!$L$21,1+Model_Formula!$N$23,1)</x:f>
        <x:v>405</x:v>
      </x:c>
      <x:c r="Q135" s="66" t="n">
        <x:f>Model_Formula!$M$24*(Profiles_140!V131-Simulator!$L$22)^2*IF(Profiles_140!V131&gt;Simulator!$L$22,1+Model_Formula!$N$24,1)</x:f>
        <x:v>40</x:v>
      </x:c>
      <x:c r="R135" s="66" t="n">
        <x:f>Model_Formula!$M$25*(Profiles_140!W131-Simulator!$L$23)^2*IF(Profiles_140!W131&gt;Simulator!$L$23,1+Model_Formula!$N$25,1)</x:f>
        <x:v>101.25</x:v>
      </x:c>
      <x:c r="S135" s="66" t="n">
        <x:f>Model_Formula!$M$26*(Profiles_140!X131-Simulator!$L$24)^2*IF(Profiles_140!X131&gt;Simulator!$L$24,1+Model_Formula!$N$26,1)</x:f>
        <x:v>148.50000000000003</x:v>
      </x:c>
      <x:c r="T135" s="66" t="n">
        <x:f>Model_Formula!$M$27*(Profiles_140!Y131-Simulator!$L$25)^2*IF(Profiles_140!Y131&gt;Simulator!$L$25,1+Model_Formula!$N$27,1)</x:f>
        <x:v>1479.1874999999998</x:v>
      </x:c>
      <x:c r="U135" s="60" t="n">
        <x:f>SUM(F135:T135)/SUM($F$4:$T$4)</x:f>
        <x:v>472.9617537313433</x:v>
      </x:c>
      <x:c r="V135" s="60" t="n">
        <x:f>SQRT(U135)</x:f>
        <x:v>21.74768387050316</x:v>
      </x:c>
      <x:c r="W135" s="60" t="n">
        <x:f>MAX(0,100-V135)</x:f>
        <x:v>78.25231612949685</x:v>
      </x:c>
      <x:c r="X135" s="60" t="n">
        <x:f>SUMPRODUCT(Profiles_140!K131:Y131,$F$4:$T$4)/SUM($F$4:$T$4)</x:f>
        <x:v>48.15298507462687</x:v>
      </x:c>
      <x:c r="Y135" s="60" t="n">
        <x:f>IFERROR(50+50*SUMPRODUCT(($F$3:$T$3-$X$3)*(Profiles_140!K131:Y131-X135),$F$4:$T$4)/SQRT(SUMPRODUCT(($F$3:$T$3-$X$3)^2,$F$4:$T$4)*SUMPRODUCT((Profiles_140!K131:Y131-X135)^2,$F$4:$T$4)),50)</x:f>
        <x:v>50.00000000000001</x:v>
      </x:c>
      <x:c r="Z135" s="60" t="n">
        <x:f>$Z$3</x:f>
        <x:v>3.9474596431116675e-16</x:v>
      </x:c>
      <x:c r="AA135" s="60" t="n">
        <x:f>W135*(1-Model_Formula!$F$8*Z135)+Y135*(Model_Formula!$F$8*Z135)</x:f>
        <x:v>78.25231612949685</x:v>
      </x:c>
      <x:c r="AB135" s="60" t="n">
        <x:f>SQRT(SUMPRODUCT((Profiles_140!K131:Y131-50)^2,$F$4:$T$4)/SUM($F$4:$T$4))</x:f>
        <x:v>21.34690372179213</x:v>
      </x:c>
      <x:c r="AC135" s="60" t="n">
        <x:f>MAX(-Model_Formula!$F$11,MIN(Model_Formula!$F$11,Model_Formula!$F$10*(AB135-AVERAGE($AB$6:$AB$135))))</x:f>
        <x:v>-3.2959174686415094</x:v>
      </x:c>
      <x:c r="AD135" s="60" t="n">
        <x:f>MAX(0,MIN(100,AA135+AC135))</x:f>
        <x:v>74.95639866085534</x:v>
      </x:c>
      <x:c r="AE135" s="60" t="n">
        <x:f>MAX(0,MIN(1,IFERROR((MATCH(AD135,Percentile_Calibration!$F131:$DB131,1)-1)/100,0)))</x:f>
        <x:v>0.92</x:v>
      </x:c>
      <x:c r="AF135" s="62" t="n">
        <x:f>ROUND(MAX(Model_Formula!$I$9,Model_Formula!$I$5+Model_Formula!$I$6*POWER(AE135,Model_Formula!$I$7)),0)</x:f>
        <x:v>85</x:v>
      </x:c>
      <x:c r="AG135" t="n">
        <x:f>Profiles_140!AJ131</x:f>
        <x:v>0</x:v>
      </x:c>
      <x:c r="AH135" s="60" t="n">
        <x:f>Model_Formula!$I$8*(AE135*100)+(1-Model_Formula!$I$8)*AD135+AG135</x:f>
        <x:v>88.59127973217107</x:v>
      </x:c>
      <x:c r="AI135" t="n">
        <x:f>RANK.EQ(AH135,$AH$6:$AH$135,0)+COUNTIF($AH$6:AH135,AH135)-1</x:f>
        <x:v>27</x:v>
      </x:c>
    </x:row>
    <x:row r="136">
      <x:c r="A136"/>
      <x:c r="B136"/>
      <x:c r="C136"/>
      <x:c r="D136"/>
      <x:c r="E136"/>
      <x:c r="F136" s="66"/>
      <x:c r="G136" s="66"/>
      <x:c r="H136" s="66"/>
      <x:c r="I136" s="66"/>
      <x:c r="J136" s="66"/>
      <x:c r="K136" s="66"/>
      <x:c r="L136" s="66"/>
      <x:c r="M136" s="66"/>
      <x:c r="N136" s="66"/>
      <x:c r="O136" s="66"/>
      <x:c r="P136" s="66"/>
      <x:c r="Q136" s="66"/>
      <x:c r="R136" s="66"/>
      <x:c r="S136" s="66"/>
      <x:c r="T136" s="66"/>
      <x:c r="U136" s="60"/>
      <x:c r="V136" s="60"/>
      <x:c r="W136" s="60"/>
      <x:c r="X136"/>
      <x:c r="Y136"/>
      <x:c r="Z136"/>
      <x:c r="AA136"/>
      <x:c r="AB136"/>
      <x:c r="AC136"/>
      <x:c r="AD136"/>
      <x:c r="AE136"/>
      <x:c r="AF136"/>
      <x:c r="AG136"/>
      <x:c r="AH136"/>
      <x:c r="AI136"/>
    </x:row>
    <x:row r="137">
      <x:c r="A137"/>
      <x:c r="B137"/>
      <x:c r="C137"/>
      <x:c r="D137"/>
      <x:c r="E137"/>
      <x:c r="F137" s="66"/>
      <x:c r="G137" s="66"/>
      <x:c r="H137" s="66"/>
      <x:c r="I137" s="66"/>
      <x:c r="J137" s="66"/>
      <x:c r="K137" s="66"/>
      <x:c r="L137" s="66"/>
      <x:c r="M137" s="66"/>
      <x:c r="N137" s="66"/>
      <x:c r="O137" s="66"/>
      <x:c r="P137" s="66"/>
      <x:c r="Q137" s="66"/>
      <x:c r="R137" s="66"/>
      <x:c r="S137" s="66"/>
      <x:c r="T137" s="66"/>
      <x:c r="U137" s="60"/>
      <x:c r="V137" s="60"/>
      <x:c r="W137" s="60"/>
      <x:c r="X137"/>
      <x:c r="Y137"/>
      <x:c r="Z137"/>
      <x:c r="AA137"/>
      <x:c r="AB137"/>
      <x:c r="AC137"/>
      <x:c r="AD137"/>
      <x:c r="AE137"/>
      <x:c r="AF137"/>
      <x:c r="AG137"/>
      <x:c r="AH137"/>
      <x:c r="AI137"/>
    </x:row>
    <x:row r="138">
      <x:c r="A138"/>
      <x:c r="B138"/>
      <x:c r="C138"/>
      <x:c r="D138"/>
      <x:c r="E138"/>
      <x:c r="F138" s="66"/>
      <x:c r="G138" s="66"/>
      <x:c r="H138" s="66"/>
      <x:c r="I138" s="66"/>
      <x:c r="J138" s="66"/>
      <x:c r="K138" s="66"/>
      <x:c r="L138" s="66"/>
      <x:c r="M138" s="66"/>
      <x:c r="N138" s="66"/>
      <x:c r="O138" s="66"/>
      <x:c r="P138" s="66"/>
      <x:c r="Q138" s="66"/>
      <x:c r="R138" s="66"/>
      <x:c r="S138" s="66"/>
      <x:c r="T138" s="66"/>
      <x:c r="U138" s="60"/>
      <x:c r="V138" s="60"/>
      <x:c r="W138" s="60"/>
      <x:c r="X138"/>
      <x:c r="Y138"/>
      <x:c r="Z138"/>
      <x:c r="AA138"/>
      <x:c r="AB138"/>
      <x:c r="AC138"/>
      <x:c r="AD138"/>
      <x:c r="AE138"/>
      <x:c r="AF138"/>
      <x:c r="AG138"/>
      <x:c r="AH138"/>
      <x:c r="AI138"/>
    </x:row>
    <x:row r="139">
      <x:c r="A139"/>
      <x:c r="B139"/>
      <x:c r="C139"/>
      <x:c r="D139"/>
      <x:c r="E139"/>
      <x:c r="F139" s="66"/>
      <x:c r="G139" s="66"/>
      <x:c r="H139" s="66"/>
      <x:c r="I139" s="66"/>
      <x:c r="J139" s="66"/>
      <x:c r="K139" s="66"/>
      <x:c r="L139" s="66"/>
      <x:c r="M139" s="66"/>
      <x:c r="N139" s="66"/>
      <x:c r="O139" s="66"/>
      <x:c r="P139" s="66"/>
      <x:c r="Q139" s="66"/>
      <x:c r="R139" s="66"/>
      <x:c r="S139" s="66"/>
      <x:c r="T139" s="66"/>
      <x:c r="U139" s="60"/>
      <x:c r="V139" s="60"/>
      <x:c r="W139" s="60"/>
      <x:c r="X139"/>
      <x:c r="Y139"/>
      <x:c r="Z139"/>
      <x:c r="AA139"/>
      <x:c r="AB139"/>
      <x:c r="AC139"/>
      <x:c r="AD139"/>
      <x:c r="AE139"/>
      <x:c r="AF139"/>
      <x:c r="AG139"/>
      <x:c r="AH139"/>
      <x:c r="AI139"/>
    </x:row>
    <x:row r="140">
      <x:c r="A140"/>
      <x:c r="B140"/>
      <x:c r="C140"/>
      <x:c r="D140"/>
      <x:c r="E140"/>
      <x:c r="F140" s="66"/>
      <x:c r="G140" s="66"/>
      <x:c r="H140" s="66"/>
      <x:c r="I140" s="66"/>
      <x:c r="J140" s="66"/>
      <x:c r="K140" s="66"/>
      <x:c r="L140" s="66"/>
      <x:c r="M140" s="66"/>
      <x:c r="N140" s="66"/>
      <x:c r="O140" s="66"/>
      <x:c r="P140" s="66"/>
      <x:c r="Q140" s="66"/>
      <x:c r="R140" s="66"/>
      <x:c r="S140" s="66"/>
      <x:c r="T140" s="66"/>
      <x:c r="U140" s="60"/>
      <x:c r="V140" s="60"/>
      <x:c r="W140" s="60"/>
      <x:c r="X140"/>
      <x:c r="Y140"/>
      <x:c r="Z140"/>
      <x:c r="AA140"/>
      <x:c r="AB140"/>
      <x:c r="AC140"/>
      <x:c r="AD140"/>
      <x:c r="AE140"/>
      <x:c r="AF140"/>
      <x:c r="AG140"/>
      <x:c r="AH140"/>
      <x:c r="AI140"/>
    </x:row>
    <x:row r="141">
      <x:c r="A141"/>
      <x:c r="B141"/>
      <x:c r="C141"/>
      <x:c r="D141"/>
      <x:c r="E141"/>
      <x:c r="F141" s="66"/>
      <x:c r="G141" s="66"/>
      <x:c r="H141" s="66"/>
      <x:c r="I141" s="66"/>
      <x:c r="J141" s="66"/>
      <x:c r="K141" s="66"/>
      <x:c r="L141" s="66"/>
      <x:c r="M141" s="66"/>
      <x:c r="N141" s="66"/>
      <x:c r="O141" s="66"/>
      <x:c r="P141" s="66"/>
      <x:c r="Q141" s="66"/>
      <x:c r="R141" s="66"/>
      <x:c r="S141" s="66"/>
      <x:c r="T141" s="66"/>
      <x:c r="U141" s="60"/>
      <x:c r="V141" s="60"/>
      <x:c r="W141" s="60"/>
      <x:c r="X141"/>
      <x:c r="Y141"/>
      <x:c r="Z141"/>
      <x:c r="AA141"/>
      <x:c r="AB141"/>
      <x:c r="AC141"/>
      <x:c r="AD141"/>
      <x:c r="AE141"/>
      <x:c r="AF141"/>
    </x:row>
    <x:row r="142">
      <x:c r="A142"/>
      <x:c r="B142"/>
      <x:c r="C142"/>
      <x:c r="D142"/>
      <x:c r="E142"/>
      <x:c r="F142" s="66"/>
      <x:c r="G142" s="66"/>
      <x:c r="H142" s="66"/>
      <x:c r="I142" s="66"/>
      <x:c r="J142" s="66"/>
      <x:c r="K142" s="66"/>
      <x:c r="L142" s="66"/>
      <x:c r="M142" s="66"/>
      <x:c r="N142" s="66"/>
      <x:c r="O142" s="66"/>
      <x:c r="P142" s="66"/>
      <x:c r="Q142" s="66"/>
      <x:c r="R142" s="66"/>
      <x:c r="S142" s="66"/>
      <x:c r="T142" s="66"/>
      <x:c r="U142" s="60"/>
      <x:c r="V142" s="60"/>
      <x:c r="W142" s="60"/>
      <x:c r="X142"/>
      <x:c r="Y142"/>
      <x:c r="Z142"/>
      <x:c r="AA142"/>
      <x:c r="AB142"/>
      <x:c r="AC142"/>
      <x:c r="AD142"/>
      <x:c r="AE142"/>
      <x:c r="AF142"/>
    </x:row>
    <x:row r="143">
      <x:c r="A143"/>
      <x:c r="B143"/>
      <x:c r="C143"/>
      <x:c r="D143"/>
      <x:c r="E143"/>
      <x:c r="F143" s="66"/>
      <x:c r="G143" s="66"/>
      <x:c r="H143" s="66"/>
      <x:c r="I143" s="66"/>
      <x:c r="J143" s="66"/>
      <x:c r="K143" s="66"/>
      <x:c r="L143" s="66"/>
      <x:c r="M143" s="66"/>
      <x:c r="N143" s="66"/>
      <x:c r="O143" s="66"/>
      <x:c r="P143" s="66"/>
      <x:c r="Q143" s="66"/>
      <x:c r="R143" s="66"/>
      <x:c r="S143" s="66"/>
      <x:c r="T143" s="66"/>
      <x:c r="U143" s="60"/>
      <x:c r="V143" s="60"/>
      <x:c r="W143" s="60"/>
      <x:c r="X143"/>
      <x:c r="Y143"/>
      <x:c r="Z143"/>
      <x:c r="AA143"/>
      <x:c r="AB143"/>
      <x:c r="AC143"/>
      <x:c r="AD143"/>
      <x:c r="AE143"/>
      <x:c r="AF143"/>
    </x:row>
    <x:row r="144">
      <x:c r="A144"/>
      <x:c r="B144"/>
      <x:c r="C144"/>
      <x:c r="D144"/>
      <x:c r="E144"/>
      <x:c r="F144" s="66"/>
      <x:c r="G144" s="66"/>
      <x:c r="H144" s="66"/>
      <x:c r="I144" s="66"/>
      <x:c r="J144" s="66"/>
      <x:c r="K144" s="66"/>
      <x:c r="L144" s="66"/>
      <x:c r="M144" s="66"/>
      <x:c r="N144" s="66"/>
      <x:c r="O144" s="66"/>
      <x:c r="P144" s="66"/>
      <x:c r="Q144" s="66"/>
      <x:c r="R144" s="66"/>
      <x:c r="S144" s="66"/>
      <x:c r="T144" s="66"/>
      <x:c r="U144" s="60"/>
      <x:c r="V144" s="60"/>
      <x:c r="W144" s="60"/>
      <x:c r="X144"/>
      <x:c r="Y144"/>
      <x:c r="Z144"/>
      <x:c r="AA144"/>
      <x:c r="AB144"/>
      <x:c r="AC144"/>
      <x:c r="AD144"/>
      <x:c r="AE144"/>
      <x:c r="AF144"/>
    </x:row>
    <x:row r="145">
      <x:c r="A145"/>
      <x:c r="B145"/>
      <x:c r="C145"/>
      <x:c r="D145"/>
      <x:c r="E145"/>
      <x:c r="F145" s="66"/>
      <x:c r="G145" s="66"/>
      <x:c r="H145" s="66"/>
      <x:c r="I145" s="66"/>
      <x:c r="J145" s="66"/>
      <x:c r="K145" s="66"/>
      <x:c r="L145" s="66"/>
      <x:c r="M145" s="66"/>
      <x:c r="N145" s="66"/>
      <x:c r="O145" s="66"/>
      <x:c r="P145" s="66"/>
      <x:c r="Q145" s="66"/>
      <x:c r="R145" s="66"/>
      <x:c r="S145" s="66"/>
      <x:c r="T145" s="66"/>
      <x:c r="U145" s="60"/>
      <x:c r="V145" s="60"/>
      <x:c r="W145" s="60"/>
      <x:c r="X145"/>
      <x:c r="Y145"/>
      <x:c r="Z145"/>
      <x:c r="AA145"/>
      <x:c r="AB145"/>
      <x:c r="AC145"/>
      <x:c r="AD145"/>
      <x:c r="AE145"/>
      <x:c r="AF145"/>
    </x:row>
  </x:sheetData>
  <x:mergeCells>
    <x:mergeCell ref="A1:AI1"/>
  </x:mergeCells>
  <x:conditionalFormatting sqref="W6:W145">
    <x:cfRule type="dataBar" priority="1">
      <x:dataBar>
        <x:cfvo type="min"/>
        <x:cfvo type="max"/>
        <x:color rgb="FFA02B93"/>
      </x:dataBar>
      <x:extLst>
        <x:ext xmlns:x14="http://schemas.microsoft.com/office/spreadsheetml/2009/9/main" uri="{B025F937-C7B1-47D3-B67F-A62EFF666E3E}">
          <x14:id>{AF83004D-0BA4-B0BD-B253-BC776CE92DC4}</x14:id>
        </x:ext>
      </x:extLst>
    </x:cfRule>
  </x:conditionalFormatting>
  <x:conditionalFormatting sqref="AE6:AE135">
    <x:cfRule type="dataBar" priority="2">
      <x:dataBar>
        <x:cfvo type="min"/>
        <x:cfvo type="max"/>
        <x:color rgb="FFA02B93"/>
      </x:dataBar>
      <x:extLst>
        <x:ext xmlns:x14="http://schemas.microsoft.com/office/spreadsheetml/2009/9/main" uri="{B025F937-C7B1-47D3-B67F-A62EFF666E3E}">
          <x14:id>{5F06BCF6-B405-E590-AA45-0FB353C001E1}</x14:id>
        </x:ext>
      </x:extLst>
    </x:cfRule>
  </x:conditionalFormatting>
  <x:conditionalFormatting sqref="AF6:AF135">
    <x:cfRule type="dataBar" priority="3">
      <x:dataBar>
        <x:cfvo type="min"/>
        <x:cfvo type="max"/>
        <x:color rgb="FFA02B93"/>
      </x:dataBar>
      <x:extLst>
        <x:ext xmlns:x14="http://schemas.microsoft.com/office/spreadsheetml/2009/9/main" uri="{B025F937-C7B1-47D3-B67F-A62EFF666E3E}">
          <x14:id>{7928C98B-2EC5-847C-8A9E-3EFABC784566}</x14:id>
        </x:ext>
      </x:extLst>
    </x:cfRule>
  </x:conditionalFormatting>
  <x:pageMargins left="0.7" right="0.7" top="0.75" bottom="0.75" header="0.3" footer="0.3"/>
  <x:tableParts count="1">
    <x:tablePart xmlns:r="http://schemas.openxmlformats.org/officeDocument/2006/relationships" r:id="Rb65b1b914a0442b8"/>
  </x:tableParts>
  <x:extLst>
    <x:ext xmlns:x14="http://schemas.microsoft.com/office/spreadsheetml/2009/9/main" xmlns:xm="http://schemas.microsoft.com/office/excel/2006/main" uri="{78C0D931-6437-407d-A8EE-F0AAD7539E65}">
      <x14:conditionalFormattings>
        <x14:conditionalFormatting>
          <x14:cfRule type="dataBar" priority="1" id="{AF83004D-0BA4-B0BD-B253-BC776CE92DC4}">
            <x14:dataBar gradient="1">
              <x14:cfvo type="min"/>
              <x14:cfvo type="max"/>
              <x14:fillColor rgb="FFA02B93"/>
            </x14:dataBar>
          </x14:cfRule>
          <xm:sqref>W6:W145</xm:sqref>
        </x14:conditionalFormatting>
        <x14:conditionalFormatting>
          <x14:cfRule type="dataBar" priority="2" id="{5F06BCF6-B405-E590-AA45-0FB353C001E1}">
            <x14:dataBar gradient="1">
              <x14:cfvo type="min"/>
              <x14:cfvo type="max"/>
              <x14:fillColor rgb="FFA02B93"/>
            </x14:dataBar>
          </x14:cfRule>
          <xm:sqref>AE6:AE135</xm:sqref>
        </x14:conditionalFormatting>
        <x14:conditionalFormatting>
          <x14:cfRule type="dataBar" priority="3" id="{7928C98B-2EC5-847C-8A9E-3EFABC784566}">
            <x14:dataBar gradient="1">
              <x14:cfvo type="min"/>
              <x14:cfvo type="max"/>
              <x14:fillColor rgb="FFA02B93"/>
            </x14:dataBar>
          </x14:cfRule>
          <xm:sqref>AF6:AF135</xm:sqref>
        </x14:conditionalFormatting>
      </x14:conditionalFormattings>
    </x:ext>
  </x:extLst>
</x:worksheet>
</file>

<file path=xl/worksheets/sheet12.xml><?xml version="1.0" encoding="utf-8"?>
<x:worksheet xmlns:x="http://schemas.openxmlformats.org/spreadsheetml/2006/main">
  <x:sheetFormatPr defaultRowHeight="15"/>
  <x:cols>
    <x:col min="1" max="1" width="18" hidden="0" customWidth="1"/>
    <x:col min="2" max="2" width="14" hidden="0" customWidth="1"/>
    <x:col min="3" max="3" width="13" hidden="0" customWidth="1"/>
    <x:col min="4" max="4" width="12" hidden="0" customWidth="1"/>
    <x:col min="5" max="5" width="13" hidden="0" customWidth="1"/>
    <x:col min="6" max="6" width="13" hidden="0" customWidth="1"/>
    <x:col min="7" max="7" width="30" hidden="0" customWidth="1"/>
    <x:col min="9" max="9" width="20" hidden="0" customWidth="1"/>
    <x:col min="10" max="10" width="15" hidden="0" customWidth="1"/>
  </x:cols>
  <x:sheetData>
    <x:row r="1">
      <x:c r="A1" s="215" t="str">
        <x:v>個性補正後 Percentile Matching 監査</x:v>
      </x:c>
      <x:c r="B1" s="215"/>
      <x:c r="C1" s="215"/>
      <x:c r="D1" s="215"/>
      <x:c r="E1" s="215"/>
      <x:c r="F1" s="215"/>
      <x:c r="G1" s="215"/>
      <x:c r="H1" s="215"/>
      <x:c r="I1" s="215"/>
      <x:c r="J1" s="215"/>
    </x:row>
    <x:row r="2">
      <x:c r="A2" s="215"/>
      <x:c r="B2" s="215"/>
      <x:c r="C2" s="215"/>
      <x:c r="D2" s="215"/>
      <x:c r="E2" s="215"/>
      <x:c r="F2" s="215"/>
      <x:c r="G2" s="215"/>
      <x:c r="H2" s="215"/>
      <x:c r="I2" s="215"/>
      <x:c r="J2" s="215"/>
    </x:row>
    <x:row r="3">
      <x:c r="A3" s="216" t="str">
        <x:v>20,000件で各プロファイルのRawMatch分布を再作成し、別の7,000件で順位を監査。 2026-09-30のWiki/現行メタを参照した個性補正を反映済み。</x:v>
      </x:c>
      <x:c r="B3" s="216"/>
      <x:c r="C3" s="216"/>
      <x:c r="D3" s="216"/>
      <x:c r="E3" s="216"/>
      <x:c r="F3" s="216"/>
      <x:c r="G3" s="216"/>
      <x:c r="H3" s="216"/>
      <x:c r="I3" s="216"/>
      <x:c r="J3" s="216"/>
    </x:row>
    <x:row r="5">
      <x:c r="A5" s="214" t="str">
        <x:v>Pokemon</x:v>
      </x:c>
      <x:c r="B5" s="214" t="str">
        <x:v>Role</x:v>
      </x:c>
      <x:c r="C5" s="214" t="str">
        <x:v>ProfileCount</x:v>
      </x:c>
      <x:c r="D5" s="214" t="str">
        <x:v>RankBias</x:v>
      </x:c>
      <x:c r="E5" s="214" t="str">
        <x:v>Top1Rate</x:v>
      </x:c>
      <x:c r="F5" s="214" t="str">
        <x:v>Top3Rate</x:v>
      </x:c>
      <x:c r="G5" s="214" t="str">
        <x:v>Note</x:v>
      </x:c>
      <x:c r="I5" s="214" t="str">
        <x:v>監査KPI</x:v>
      </x:c>
      <x:c r="J5" s="214" t="str">
        <x:v>値</x:v>
      </x:c>
    </x:row>
    <x:row r="6">
      <x:c r="A6" t="str">
        <x:v>アローラキュウコン</x:v>
      </x:c>
      <x:c r="B6" t="str">
        <x:v>アタック型</x:v>
      </x:c>
      <x:c r="C6" t="n">
        <x:v>2</x:v>
      </x:c>
      <x:c r="D6" t="n">
        <x:v>0</x:v>
      </x:c>
      <x:c r="E6" s="124" t="n">
        <x:v>0.03742857142857143</x:v>
      </x:c>
      <x:c r="F6" s="124" t="n">
        <x:v>0.07057142857142858</x:v>
      </x:c>
      <x:c r="G6" t="str">
        <x:v>補正なし</x:v>
      </x:c>
      <x:c r="I6" t="str">
        <x:v>Calibration samples</x:v>
      </x:c>
      <x:c r="J6" t="n">
        <x:v>20000</x:v>
      </x:c>
    </x:row>
    <x:row r="7">
      <x:c r="A7" t="str">
        <x:v>アローラライチュウ</x:v>
      </x:c>
      <x:c r="B7" t="str">
        <x:v>アタック型</x:v>
      </x:c>
      <x:c r="C7" t="n">
        <x:v>1</x:v>
      </x:c>
      <x:c r="D7" t="n">
        <x:v>0</x:v>
      </x:c>
      <x:c r="E7" s="124" t="n">
        <x:v>0.013714285714285714</x:v>
      </x:c>
      <x:c r="F7" s="124" t="n">
        <x:v>0.04257142857142857</x:v>
      </x:c>
      <x:c r="G7" t="str">
        <x:v>補正なし</x:v>
      </x:c>
      <x:c r="I7" t="str">
        <x:v>Audit samples</x:v>
      </x:c>
      <x:c r="J7" s="124" t="n">
        <x:v>7000</x:v>
      </x:c>
    </x:row>
    <x:row r="8">
      <x:c r="A8" t="str">
        <x:v>イベルタル</x:v>
      </x:c>
      <x:c r="B8" t="str">
        <x:v>アタック型</x:v>
      </x:c>
      <x:c r="C8" t="n">
        <x:v>1</x:v>
      </x:c>
      <x:c r="D8" t="n">
        <x:v>0</x:v>
      </x:c>
      <x:c r="E8" s="124" t="n">
        <x:v>0.002285714285714286</x:v>
      </x:c>
      <x:c r="F8" s="124" t="n">
        <x:v>0.018857142857142857</x:v>
      </x:c>
      <x:c r="G8" t="str">
        <x:v>補正なし</x:v>
      </x:c>
      <x:c r="I8" t="str">
        <x:v>最大Top1率</x:v>
      </x:c>
      <x:c r="J8" s="124" t="n">
        <x:v>0.04428571428571428</x:v>
      </x:c>
    </x:row>
    <x:row r="9">
      <x:c r="A9" t="str">
        <x:v>インテレオン</x:v>
      </x:c>
      <x:c r="B9" t="str">
        <x:v>アタック型</x:v>
      </x:c>
      <x:c r="C9" t="n">
        <x:v>2</x:v>
      </x:c>
      <x:c r="D9" t="n">
        <x:v>0</x:v>
      </x:c>
      <x:c r="E9" s="124" t="n">
        <x:v>0.011714285714285714</x:v>
      </x:c>
      <x:c r="F9" s="124" t="n">
        <x:v>0.04171428571428572</x:v>
      </x:c>
      <x:c r="G9" t="str">
        <x:v>補正なし</x:v>
      </x:c>
      <x:c r="I9" t="str">
        <x:v>Top3未出現</x:v>
      </x:c>
      <x:c r="J9" t="n">
        <x:v>0</x:v>
      </x:c>
    </x:row>
    <x:row r="10">
      <x:c r="A10" t="str">
        <x:v>ウッウ</x:v>
      </x:c>
      <x:c r="B10" t="str">
        <x:v>アタック型</x:v>
      </x:c>
      <x:c r="C10" t="n">
        <x:v>2</x:v>
      </x:c>
      <x:c r="D10" t="n">
        <x:v>0</x:v>
      </x:c>
      <x:c r="E10" s="124" t="n">
        <x:v>0.011571428571428571</x:v>
      </x:c>
      <x:c r="F10" s="124" t="n">
        <x:v>0.03242857142857143</x:v>
      </x:c>
      <x:c r="G10" t="str">
        <x:v>補正なし</x:v>
      </x:c>
      <x:c r="I10" t="str">
        <x:v>1位相性 p10</x:v>
      </x:c>
      <x:c r="J10" s="66" t="n">
        <x:v>75.95423095659793</x:v>
      </x:c>
    </x:row>
    <x:row r="11">
      <x:c r="A11" t="str">
        <x:v>エースバーン</x:v>
      </x:c>
      <x:c r="B11" t="str">
        <x:v>アタック型</x:v>
      </x:c>
      <x:c r="C11" t="n">
        <x:v>1</x:v>
      </x:c>
      <x:c r="D11" t="n">
        <x:v>0</x:v>
      </x:c>
      <x:c r="E11" s="124" t="n">
        <x:v>0.0008571428571428571</x:v>
      </x:c>
      <x:c r="F11" s="124" t="n">
        <x:v>0.014285714285714285</x:v>
      </x:c>
      <x:c r="G11" t="str">
        <x:v>補正なし</x:v>
      </x:c>
      <x:c r="I11" t="str">
        <x:v>1位相性 median</x:v>
      </x:c>
      <x:c r="J11" s="66" t="n">
        <x:v>92.24314391308604</x:v>
      </x:c>
    </x:row>
    <x:row r="12">
      <x:c r="A12" t="str">
        <x:v>エーフィ</x:v>
      </x:c>
      <x:c r="B12" t="str">
        <x:v>アタック型</x:v>
      </x:c>
      <x:c r="C12" t="n">
        <x:v>1</x:v>
      </x:c>
      <x:c r="D12" t="n">
        <x:v>0</x:v>
      </x:c>
      <x:c r="E12" s="124" t="n">
        <x:v>0.0064285714285714285</x:v>
      </x:c>
      <x:c r="F12" s="124" t="n">
        <x:v>0.025142857142857144</x:v>
      </x:c>
      <x:c r="G12" t="str">
        <x:v>補正なし</x:v>
      </x:c>
      <x:c r="I12" t="str">
        <x:v>1位相性 p90</x:v>
      </x:c>
      <x:c r="J12" s="66" t="n">
        <x:v>95.38245861329682</x:v>
      </x:c>
    </x:row>
    <x:row r="13">
      <x:c r="A13" t="str">
        <x:v>グレイシア</x:v>
      </x:c>
      <x:c r="B13" t="str">
        <x:v>アタック型</x:v>
      </x:c>
      <x:c r="C13" t="n">
        <x:v>1</x:v>
      </x:c>
      <x:c r="D13" t="n">
        <x:v>0</x:v>
      </x:c>
      <x:c r="E13" s="124" t="n">
        <x:v>0.006571428571428572</x:v>
      </x:c>
      <x:c r="F13" s="124" t="n">
        <x:v>0.020142857142857143</x:v>
      </x:c>
      <x:c r="G13" t="str">
        <x:v>補正なし</x:v>
      </x:c>
      <x:c r="I13" t="str">
        <x:v>Top1/Top2 同アーキタイプ率</x:v>
      </x:c>
      <x:c r="J13" s="204" t="n">
        <x:v>0.49857142857142855</x:v>
      </x:c>
    </x:row>
    <x:row r="14">
      <x:c r="A14" t="str">
        <x:v>グレンアルマ</x:v>
      </x:c>
      <x:c r="B14" t="str">
        <x:v>アタック型</x:v>
      </x:c>
      <x:c r="C14" t="n">
        <x:v>2</x:v>
      </x:c>
      <x:c r="D14" t="n">
        <x:v>0</x:v>
      </x:c>
      <x:c r="E14" s="124" t="n">
        <x:v>0.0037142857142857142</x:v>
      </x:c>
      <x:c r="F14" s="124" t="n">
        <x:v>0.025857142857142856</x:v>
      </x:c>
      <x:c r="G14" t="str">
        <x:v>補正なし</x:v>
      </x:c>
    </x:row>
    <x:row r="15">
      <x:c r="A15" t="str">
        <x:v>ゲッコウガ</x:v>
      </x:c>
      <x:c r="B15" t="str">
        <x:v>アタック型</x:v>
      </x:c>
      <x:c r="C15" t="n">
        <x:v>2</x:v>
      </x:c>
      <x:c r="D15" t="n">
        <x:v>0</x:v>
      </x:c>
      <x:c r="E15" s="124" t="n">
        <x:v>0.0025714285714285713</x:v>
      </x:c>
      <x:c r="F15" s="124" t="n">
        <x:v>0.010714285714285714</x:v>
      </x:c>
      <x:c r="G15" t="str">
        <x:v>補正なし</x:v>
      </x:c>
    </x:row>
    <x:row r="16">
      <x:c r="A16" t="str">
        <x:v>サンダー</x:v>
      </x:c>
      <x:c r="B16" t="str">
        <x:v>アタック型</x:v>
      </x:c>
      <x:c r="C16" t="n">
        <x:v>1</x:v>
      </x:c>
      <x:c r="D16" t="n">
        <x:v>0</x:v>
      </x:c>
      <x:c r="E16" s="124" t="n">
        <x:v>0.0035714285714285713</x:v>
      </x:c>
      <x:c r="F16" s="124" t="n">
        <x:v>0.023857142857142858</x:v>
      </x:c>
      <x:c r="G16" t="str">
        <x:v>補正なし</x:v>
      </x:c>
    </x:row>
    <x:row r="17">
      <x:c r="A17" t="str">
        <x:v>サーナイト</x:v>
      </x:c>
      <x:c r="B17" t="str">
        <x:v>アタック型</x:v>
      </x:c>
      <x:c r="C17" t="n">
        <x:v>1</x:v>
      </x:c>
      <x:c r="D17" t="n">
        <x:v>0</x:v>
      </x:c>
      <x:c r="E17" s="124" t="n">
        <x:v>0.002142857142857143</x:v>
      </x:c>
      <x:c r="F17" s="124" t="n">
        <x:v>0.01685714285714286</x:v>
      </x:c>
      <x:c r="G17" t="str">
        <x:v>補正なし</x:v>
      </x:c>
    </x:row>
    <x:row r="18">
      <x:c r="A18" t="str">
        <x:v>シャンデラ</x:v>
      </x:c>
      <x:c r="B18" t="str">
        <x:v>アタック型</x:v>
      </x:c>
      <x:c r="C18" t="n">
        <x:v>1</x:v>
      </x:c>
      <x:c r="D18" t="n">
        <x:v>0</x:v>
      </x:c>
      <x:c r="E18" s="124" t="n">
        <x:v>0.006285714285714286</x:v>
      </x:c>
      <x:c r="F18" s="124" t="n">
        <x:v>0.023285714285714285</x:v>
      </x:c>
      <x:c r="G18" t="str">
        <x:v>補正なし</x:v>
      </x:c>
    </x:row>
    <x:row r="19">
      <x:c r="A19" t="str">
        <x:v>ジュナイパー</x:v>
      </x:c>
      <x:c r="B19" t="str">
        <x:v>アタック型</x:v>
      </x:c>
      <x:c r="C19" t="n">
        <x:v>2</x:v>
      </x:c>
      <x:c r="D19" t="n">
        <x:v>0</x:v>
      </x:c>
      <x:c r="E19" s="124" t="n">
        <x:v>0.013285714285714286</x:v>
      </x:c>
      <x:c r="F19" s="124" t="n">
        <x:v>0.047714285714285716</x:v>
      </x:c>
      <x:c r="G19" t="str">
        <x:v>補正なし</x:v>
      </x:c>
    </x:row>
    <x:row r="20">
      <x:c r="A20" t="str">
        <x:v>ジュラルドン</x:v>
      </x:c>
      <x:c r="B20" t="str">
        <x:v>アタック型</x:v>
      </x:c>
      <x:c r="C20" t="n">
        <x:v>1</x:v>
      </x:c>
      <x:c r="D20" t="n">
        <x:v>0</x:v>
      </x:c>
      <x:c r="E20" s="124" t="n">
        <x:v>0.005</x:v>
      </x:c>
      <x:c r="F20" s="124" t="n">
        <x:v>0.016142857142857143</x:v>
      </x:c>
      <x:c r="G20" t="str">
        <x:v>補正なし</x:v>
      </x:c>
    </x:row>
    <x:row r="21">
      <x:c r="A21" t="str">
        <x:v>ドラパルト</x:v>
      </x:c>
      <x:c r="B21" t="str">
        <x:v>アタック型</x:v>
      </x:c>
      <x:c r="C21" t="n">
        <x:v>2</x:v>
      </x:c>
      <x:c r="D21" t="n">
        <x:v>0</x:v>
      </x:c>
      <x:c r="E21" s="124" t="n">
        <x:v>0.012857142857142857</x:v>
      </x:c>
      <x:c r="F21" s="124" t="n">
        <x:v>0.02957142857142857</x:v>
      </x:c>
      <x:c r="G21" t="str">
        <x:v>補正なし</x:v>
      </x:c>
    </x:row>
    <x:row r="22">
      <x:c r="A22" t="str">
        <x:v>ニンフィア</x:v>
      </x:c>
      <x:c r="B22" t="str">
        <x:v>アタック型</x:v>
      </x:c>
      <x:c r="C22" t="n">
        <x:v>1</x:v>
      </x:c>
      <x:c r="D22" t="n">
        <x:v>0</x:v>
      </x:c>
      <x:c r="E22" s="124" t="n">
        <x:v>0.018857142857142857</x:v>
      </x:c>
      <x:c r="F22" s="124" t="n">
        <x:v>0.03271428571428572</x:v>
      </x:c>
      <x:c r="G22" t="str">
        <x:v>補正なし</x:v>
      </x:c>
    </x:row>
    <x:row r="23">
      <x:c r="A23" t="str">
        <x:v>バクフーン</x:v>
      </x:c>
      <x:c r="B23" t="str">
        <x:v>アタック型</x:v>
      </x:c>
      <x:c r="C23" t="n">
        <x:v>1</x:v>
      </x:c>
      <x:c r="D23" t="n">
        <x:v>0</x:v>
      </x:c>
      <x:c r="E23" s="124" t="n">
        <x:v>0.004571428571428572</x:v>
      </x:c>
      <x:c r="F23" s="124" t="n">
        <x:v>0.012285714285714285</x:v>
      </x:c>
      <x:c r="G23" t="str">
        <x:v>補正なし</x:v>
      </x:c>
    </x:row>
    <x:row r="24">
      <x:c r="A24" t="str">
        <x:v>ピカチュウ</x:v>
      </x:c>
      <x:c r="B24" t="str">
        <x:v>アタック型</x:v>
      </x:c>
      <x:c r="C24" t="n">
        <x:v>1</x:v>
      </x:c>
      <x:c r="D24" t="n">
        <x:v>0</x:v>
      </x:c>
      <x:c r="E24" s="124" t="n">
        <x:v>0.006571428571428572</x:v>
      </x:c>
      <x:c r="F24" s="124" t="n">
        <x:v>0.025142857142857144</x:v>
      </x:c>
      <x:c r="G24" t="str">
        <x:v>補正なし</x:v>
      </x:c>
    </x:row>
    <x:row r="25">
      <x:c r="A25" t="str">
        <x:v>フシギバナ</x:v>
      </x:c>
      <x:c r="B25" t="str">
        <x:v>アタック型</x:v>
      </x:c>
      <x:c r="C25" t="n">
        <x:v>2</x:v>
      </x:c>
      <x:c r="D25" t="n">
        <x:v>0</x:v>
      </x:c>
      <x:c r="E25" s="124" t="n">
        <x:v>0.0024285714285714284</x:v>
      </x:c>
      <x:c r="F25" s="124" t="n">
        <x:v>0.01757142857142857</x:v>
      </x:c>
      <x:c r="G25" t="str">
        <x:v>補正なし</x:v>
      </x:c>
    </x:row>
    <x:row r="26">
      <x:c r="A26" t="str">
        <x:v>マフォクシー</x:v>
      </x:c>
      <x:c r="B26" t="str">
        <x:v>アタック型</x:v>
      </x:c>
      <x:c r="C26" t="n">
        <x:v>2</x:v>
      </x:c>
      <x:c r="D26" t="n">
        <x:v>0</x:v>
      </x:c>
      <x:c r="E26" s="124" t="n">
        <x:v>0.01</x:v>
      </x:c>
      <x:c r="F26" s="124" t="n">
        <x:v>0.03571428571428571</x:v>
      </x:c>
      <x:c r="G26" t="str">
        <x:v>補正なし</x:v>
      </x:c>
    </x:row>
    <x:row r="27">
      <x:c r="A27" t="str">
        <x:v>ミュウ</x:v>
      </x:c>
      <x:c r="B27" t="str">
        <x:v>アタック型</x:v>
      </x:c>
      <x:c r="C27" t="n">
        <x:v>1</x:v>
      </x:c>
      <x:c r="D27" t="n">
        <x:v>0</x:v>
      </x:c>
      <x:c r="E27" s="124" t="n">
        <x:v>0.019142857142857142</x:v>
      </x:c>
      <x:c r="F27" s="124" t="n">
        <x:v>0.03428571428571429</x:v>
      </x:c>
      <x:c r="G27" t="str">
        <x:v>補正なし</x:v>
      </x:c>
    </x:row>
    <x:row r="28">
      <x:c r="A28" t="str">
        <x:v>ミュウツー(Y)</x:v>
      </x:c>
      <x:c r="B28" t="str">
        <x:v>アタック型</x:v>
      </x:c>
      <x:c r="C28" t="n">
        <x:v>1</x:v>
      </x:c>
      <x:c r="D28" t="n">
        <x:v>0</x:v>
      </x:c>
      <x:c r="E28" s="124" t="n">
        <x:v>0.027285714285714285</x:v>
      </x:c>
      <x:c r="F28" s="124" t="n">
        <x:v>0.047857142857142855</x:v>
      </x:c>
      <x:c r="G28" t="str">
        <x:v>補正なし</x:v>
      </x:c>
    </x:row>
    <x:row r="29">
      <x:c r="A29" t="str">
        <x:v>ミライドン</x:v>
      </x:c>
      <x:c r="B29" t="str">
        <x:v>アタック型</x:v>
      </x:c>
      <x:c r="C29" t="n">
        <x:v>2</x:v>
      </x:c>
      <x:c r="D29" t="n">
        <x:v>0</x:v>
      </x:c>
      <x:c r="E29" s="124" t="n">
        <x:v>0.0017142857142857142</x:v>
      </x:c>
      <x:c r="F29" s="124" t="n">
        <x:v>0.01042857142857143</x:v>
      </x:c>
      <x:c r="G29" t="str">
        <x:v>補正なし</x:v>
      </x:c>
    </x:row>
    <x:row r="30">
      <x:c r="A30" t="str">
        <x:v>ラウドボーン</x:v>
      </x:c>
      <x:c r="B30" t="str">
        <x:v>アタック型</x:v>
      </x:c>
      <x:c r="C30" t="n">
        <x:v>1</x:v>
      </x:c>
      <x:c r="D30" t="n">
        <x:v>0</x:v>
      </x:c>
      <x:c r="E30" s="124" t="n">
        <x:v>0.00014285714285714287</x:v>
      </x:c>
      <x:c r="F30" s="124" t="n">
        <x:v>0.004142857142857143</x:v>
      </x:c>
      <x:c r="G30" t="str">
        <x:v>補正なし</x:v>
      </x:c>
    </x:row>
    <x:row r="31">
      <x:c r="A31" t="str">
        <x:v>ラティオス</x:v>
      </x:c>
      <x:c r="B31" t="str">
        <x:v>アタック型</x:v>
      </x:c>
      <x:c r="C31" t="n">
        <x:v>1</x:v>
      </x:c>
      <x:c r="D31" t="n">
        <x:v>0</x:v>
      </x:c>
      <x:c r="E31" s="124" t="n">
        <x:v>0.0014285714285714286</x:v>
      </x:c>
      <x:c r="F31" s="124" t="n">
        <x:v>0.012428571428571428</x:v>
      </x:c>
      <x:c r="G31" t="str">
        <x:v>補正なし</x:v>
      </x:c>
    </x:row>
    <x:row r="32">
      <x:c r="A32" t="str">
        <x:v>レシラム</x:v>
      </x:c>
      <x:c r="B32" t="str">
        <x:v>アタック型</x:v>
      </x:c>
      <x:c r="C32" t="n">
        <x:v>1</x:v>
      </x:c>
      <x:c r="D32" t="n">
        <x:v>0</x:v>
      </x:c>
      <x:c r="E32" s="124" t="n">
        <x:v>0.011142857142857144</x:v>
      </x:c>
      <x:c r="F32" s="124" t="n">
        <x:v>0.034</x:v>
      </x:c>
      <x:c r="G32" t="str">
        <x:v>補正なし</x:v>
      </x:c>
    </x:row>
    <x:row r="33">
      <x:c r="A33" t="str">
        <x:v>ストリンダー</x:v>
      </x:c>
      <x:c r="B33" t="str">
        <x:v>アタック型</x:v>
      </x:c>
      <x:c r="C33" t="n">
        <x:v>1</x:v>
      </x:c>
      <x:c r="D33" t="n">
        <x:v>0</x:v>
      </x:c>
      <x:c r="E33" s="124" t="n">
        <x:v>0.0005714285714285715</x:v>
      </x:c>
      <x:c r="F33" s="124" t="n">
        <x:v>0.004857142857142857</x:v>
      </x:c>
      <x:c r="G33" t="str">
        <x:v>補正なし</x:v>
      </x:c>
    </x:row>
    <x:row r="34">
      <x:c r="A34" t="str">
        <x:v>アマージョ</x:v>
      </x:c>
      <x:c r="B34" t="str">
        <x:v>バランス型</x:v>
      </x:c>
      <x:c r="C34" t="n">
        <x:v>1</x:v>
      </x:c>
      <x:c r="D34" t="n">
        <x:v>0</x:v>
      </x:c>
      <x:c r="E34" s="124" t="n">
        <x:v>0.0015714285714285715</x:v>
      </x:c>
      <x:c r="F34" s="124" t="n">
        <x:v>0.01042857142857143</x:v>
      </x:c>
      <x:c r="G34" t="str">
        <x:v>補正なし</x:v>
      </x:c>
    </x:row>
    <x:row r="35">
      <x:c r="A35" t="str">
        <x:v>ウェーニバル</x:v>
      </x:c>
      <x:c r="B35" t="str">
        <x:v>バランス型</x:v>
      </x:c>
      <x:c r="C35" t="n">
        <x:v>1</x:v>
      </x:c>
      <x:c r="D35" t="n">
        <x:v>0</x:v>
      </x:c>
      <x:c r="E35" s="124" t="n">
        <x:v>0.0015714285714285715</x:v>
      </x:c>
      <x:c r="F35" s="124" t="n">
        <x:v>0.005142857142857143</x:v>
      </x:c>
      <x:c r="G35" t="str">
        <x:v>補正なし</x:v>
      </x:c>
    </x:row>
    <x:row r="36">
      <x:c r="A36" t="str">
        <x:v>ウーラオス</x:v>
      </x:c>
      <x:c r="B36" t="str">
        <x:v>バランス型</x:v>
      </x:c>
      <x:c r="C36" t="n">
        <x:v>2</x:v>
      </x:c>
      <x:c r="D36" t="n">
        <x:v>0</x:v>
      </x:c>
      <x:c r="E36" s="124" t="n">
        <x:v>0.003285714285714286</x:v>
      </x:c>
      <x:c r="F36" s="124" t="n">
        <x:v>0.010857142857142857</x:v>
      </x:c>
      <x:c r="G36" t="str">
        <x:v>補正なし</x:v>
      </x:c>
    </x:row>
    <x:row r="37">
      <x:c r="A37" t="str">
        <x:v>エンペルト</x:v>
      </x:c>
      <x:c r="B37" t="str">
        <x:v>バランス型</x:v>
      </x:c>
      <x:c r="C37" t="n">
        <x:v>1</x:v>
      </x:c>
      <x:c r="D37" t="n">
        <x:v>0</x:v>
      </x:c>
      <x:c r="E37" s="124" t="n">
        <x:v>0.00014285714285714287</x:v>
      </x:c>
      <x:c r="F37" s="124" t="n">
        <x:v>0.004714285714285714</x:v>
      </x:c>
      <x:c r="G37" t="str">
        <x:v>補正なし</x:v>
      </x:c>
    </x:row>
    <x:row r="38">
      <x:c r="A38" t="str">
        <x:v>オーダイル</x:v>
      </x:c>
      <x:c r="B38" t="str">
        <x:v>バランス型</x:v>
      </x:c>
      <x:c r="C38" t="n">
        <x:v>1</x:v>
      </x:c>
      <x:c r="D38" t="n">
        <x:v>0</x:v>
      </x:c>
      <x:c r="E38" s="124" t="n">
        <x:v>0.00014285714285714287</x:v>
      </x:c>
      <x:c r="F38" s="124" t="n">
        <x:v>0.004142857142857143</x:v>
      </x:c>
      <x:c r="G38" t="str">
        <x:v>補正なし</x:v>
      </x:c>
    </x:row>
    <x:row r="39">
      <x:c r="A39" t="str">
        <x:v>カイリキー</x:v>
      </x:c>
      <x:c r="B39" t="str">
        <x:v>バランス型</x:v>
      </x:c>
      <x:c r="C39" t="n">
        <x:v>1</x:v>
      </x:c>
      <x:c r="D39" t="n">
        <x:v>0</x:v>
      </x:c>
      <x:c r="E39" s="124" t="n">
        <x:v>0.0012857142857142856</x:v>
      </x:c>
      <x:c r="F39" s="124" t="n">
        <x:v>0.008857142857142857</x:v>
      </x:c>
      <x:c r="G39" t="str">
        <x:v>補正なし</x:v>
      </x:c>
    </x:row>
    <x:row r="40">
      <x:c r="A40" t="str">
        <x:v>カイリュー</x:v>
      </x:c>
      <x:c r="B40" t="str">
        <x:v>バランス型</x:v>
      </x:c>
      <x:c r="C40" t="n">
        <x:v>2</x:v>
      </x:c>
      <x:c r="D40" t="n">
        <x:v>0</x:v>
      </x:c>
      <x:c r="E40" s="124" t="n">
        <x:v>0.003142857142857143</x:v>
      </x:c>
      <x:c r="F40" s="124" t="n">
        <x:v>0.020142857142857143</x:v>
      </x:c>
      <x:c r="G40" t="str">
        <x:v>補正なし</x:v>
      </x:c>
    </x:row>
    <x:row r="41">
      <x:c r="A41" t="str">
        <x:v>ガブリアス</x:v>
      </x:c>
      <x:c r="B41" t="str">
        <x:v>バランス型</x:v>
      </x:c>
      <x:c r="C41" t="n">
        <x:v>1</x:v>
      </x:c>
      <x:c r="D41" t="n">
        <x:v>0</x:v>
      </x:c>
      <x:c r="E41" s="124" t="n">
        <x:v>0.00042857142857142855</x:v>
      </x:c>
      <x:c r="F41" s="124" t="n">
        <x:v>0.011285714285714286</x:v>
      </x:c>
      <x:c r="G41" t="str">
        <x:v>補正なし</x:v>
      </x:c>
    </x:row>
    <x:row r="42">
      <x:c r="A42" t="str">
        <x:v>ギャラドス</x:v>
      </x:c>
      <x:c r="B42" t="str">
        <x:v>バランス型</x:v>
      </x:c>
      <x:c r="C42" t="n">
        <x:v>1</x:v>
      </x:c>
      <x:c r="D42" t="n">
        <x:v>0</x:v>
      </x:c>
      <x:c r="E42" s="124" t="n">
        <x:v>0.010571428571428572</x:v>
      </x:c>
      <x:c r="F42" s="124" t="n">
        <x:v>0.03157142857142857</x:v>
      </x:c>
      <x:c r="G42" t="str">
        <x:v>補正なし</x:v>
      </x:c>
    </x:row>
    <x:row r="43">
      <x:c r="A43" t="str">
        <x:v>メガギャラドス</x:v>
      </x:c>
      <x:c r="B43" t="str">
        <x:v>バランス型</x:v>
      </x:c>
      <x:c r="C43" t="n">
        <x:v>1</x:v>
      </x:c>
      <x:c r="D43" t="n">
        <x:v>0</x:v>
      </x:c>
      <x:c r="E43" s="124" t="n">
        <x:v>0.00014285714285714287</x:v>
      </x:c>
      <x:c r="F43" s="124" t="n">
        <x:v>0.0024285714285714284</x:v>
      </x:c>
      <x:c r="G43" t="str">
        <x:v>補正なし</x:v>
      </x:c>
    </x:row>
    <x:row r="44">
      <x:c r="A44" t="str">
        <x:v>ギルガルド</x:v>
      </x:c>
      <x:c r="B44" t="str">
        <x:v>バランス型</x:v>
      </x:c>
      <x:c r="C44" t="n">
        <x:v>1</x:v>
      </x:c>
      <x:c r="D44" t="n">
        <x:v>0</x:v>
      </x:c>
      <x:c r="E44" s="124" t="n">
        <x:v>0.007285714285714286</x:v>
      </x:c>
      <x:c r="F44" s="124" t="n">
        <x:v>0.017285714285714286</x:v>
      </x:c>
      <x:c r="G44" t="str">
        <x:v>補正なし</x:v>
      </x:c>
    </x:row>
    <x:row r="45">
      <x:c r="A45" t="str">
        <x:v>ザシアン</x:v>
      </x:c>
      <x:c r="B45" t="str">
        <x:v>バランス型</x:v>
      </x:c>
      <x:c r="C45" t="n">
        <x:v>1</x:v>
      </x:c>
      <x:c r="D45" t="n">
        <x:v>0</x:v>
      </x:c>
      <x:c r="E45" s="124" t="n">
        <x:v>0.0027142857142857142</x:v>
      </x:c>
      <x:c r="F45" s="124" t="n">
        <x:v>0.007285714285714286</x:v>
      </x:c>
      <x:c r="G45" t="str">
        <x:v>補正なし</x:v>
      </x:c>
    </x:row>
    <x:row r="46">
      <x:c r="A46" t="str">
        <x:v>スイクン</x:v>
      </x:c>
      <x:c r="B46" t="str">
        <x:v>バランス型</x:v>
      </x:c>
      <x:c r="C46" t="n">
        <x:v>1</x:v>
      </x:c>
      <x:c r="D46" t="n">
        <x:v>0</x:v>
      </x:c>
      <x:c r="E46" s="124" t="n">
        <x:v>0.01842857142857143</x:v>
      </x:c>
      <x:c r="F46" s="124" t="n">
        <x:v>0.04271428571428571</x:v>
      </x:c>
      <x:c r="G46" t="str">
        <x:v>補正なし</x:v>
      </x:c>
    </x:row>
    <x:row r="47">
      <x:c r="A47" t="str">
        <x:v>ソウブレイズ</x:v>
      </x:c>
      <x:c r="B47" t="str">
        <x:v>バランス型</x:v>
      </x:c>
      <x:c r="C47" t="n">
        <x:v>1</x:v>
      </x:c>
      <x:c r="D47" t="n">
        <x:v>0</x:v>
      </x:c>
      <x:c r="E47" s="124" t="n">
        <x:v>0.0007142857142857143</x:v>
      </x:c>
      <x:c r="F47" s="124" t="n">
        <x:v>0.004571428571428572</x:v>
      </x:c>
      <x:c r="G47" t="str">
        <x:v>補正なし</x:v>
      </x:c>
    </x:row>
    <x:row r="48">
      <x:c r="A48" t="str">
        <x:v>ソルガレオ</x:v>
      </x:c>
      <x:c r="B48" t="str">
        <x:v>バランス型</x:v>
      </x:c>
      <x:c r="C48" t="n">
        <x:v>1</x:v>
      </x:c>
      <x:c r="D48" t="n">
        <x:v>0</x:v>
      </x:c>
      <x:c r="E48" s="124" t="n">
        <x:v>0.006142857142857143</x:v>
      </x:c>
      <x:c r="F48" s="124" t="n">
        <x:v>0.025714285714285714</x:v>
      </x:c>
      <x:c r="G48" t="str">
        <x:v>補正なし</x:v>
      </x:c>
    </x:row>
    <x:row r="49">
      <x:c r="A49" t="str">
        <x:v>タイレーツ</x:v>
      </x:c>
      <x:c r="B49" t="str">
        <x:v>バランス型</x:v>
      </x:c>
      <x:c r="C49" t="n">
        <x:v>2</x:v>
      </x:c>
      <x:c r="D49" t="n">
        <x:v>0</x:v>
      </x:c>
      <x:c r="E49" s="124" t="n">
        <x:v>0.011714285714285714</x:v>
      </x:c>
      <x:c r="F49" s="124" t="n">
        <x:v>0.026714285714285715</x:v>
      </x:c>
      <x:c r="G49" t="str">
        <x:v>補正なし</x:v>
      </x:c>
    </x:row>
    <x:row r="50">
      <x:c r="A50" t="str">
        <x:v>ダダリン</x:v>
      </x:c>
      <x:c r="B50" t="str">
        <x:v>バランス型</x:v>
      </x:c>
      <x:c r="C50" t="n">
        <x:v>1</x:v>
      </x:c>
      <x:c r="D50" t="n">
        <x:v>0</x:v>
      </x:c>
      <x:c r="E50" s="124" t="n">
        <x:v>0.017857142857142856</x:v>
      </x:c>
      <x:c r="F50" s="124" t="n">
        <x:v>0.054142857142857145</x:v>
      </x:c>
      <x:c r="G50" t="str">
        <x:v>補正なし</x:v>
      </x:c>
    </x:row>
    <x:row r="51">
      <x:c r="A51" t="str">
        <x:v>デカヌチャン</x:v>
      </x:c>
      <x:c r="B51" t="str">
        <x:v>バランス型</x:v>
      </x:c>
      <x:c r="C51" t="n">
        <x:v>1</x:v>
      </x:c>
      <x:c r="D51" t="n">
        <x:v>0</x:v>
      </x:c>
      <x:c r="E51" s="124" t="n">
        <x:v>0.04157142857142857</x:v>
      </x:c>
      <x:c r="F51" s="124" t="n">
        <x:v>0.077</x:v>
      </x:c>
      <x:c r="G51" t="str">
        <x:v>補正なし</x:v>
      </x:c>
    </x:row>
    <x:row r="52">
      <x:c r="A52" t="str">
        <x:v>ネギガナイト</x:v>
      </x:c>
      <x:c r="B52" t="str">
        <x:v>バランス型</x:v>
      </x:c>
      <x:c r="C52" t="n">
        <x:v>1</x:v>
      </x:c>
      <x:c r="D52" t="n">
        <x:v>0</x:v>
      </x:c>
      <x:c r="E52" s="124" t="n">
        <x:v>0.0034285714285714284</x:v>
      </x:c>
      <x:c r="F52" s="124" t="n">
        <x:v>0.011285714285714286</x:v>
      </x:c>
      <x:c r="G52" t="str">
        <x:v>補正なし</x:v>
      </x:c>
    </x:row>
    <x:row r="53">
      <x:c r="A53" t="str">
        <x:v>ハッサム</x:v>
      </x:c>
      <x:c r="B53" t="str">
        <x:v>バランス型</x:v>
      </x:c>
      <x:c r="C53" t="n">
        <x:v>2</x:v>
      </x:c>
      <x:c r="D53" t="n">
        <x:v>0</x:v>
      </x:c>
      <x:c r="E53" s="124" t="n">
        <x:v>0.003142857142857143</x:v>
      </x:c>
      <x:c r="F53" s="124" t="n">
        <x:v>0.013142857142857144</x:v>
      </x:c>
      <x:c r="G53" t="str">
        <x:v>補正なし</x:v>
      </x:c>
    </x:row>
    <x:row r="54">
      <x:c r="A54" t="str">
        <x:v>バシャーモ</x:v>
      </x:c>
      <x:c r="B54" t="str">
        <x:v>バランス型</x:v>
      </x:c>
      <x:c r="C54" t="n">
        <x:v>1</x:v>
      </x:c>
      <x:c r="D54" t="n">
        <x:v>0</x:v>
      </x:c>
      <x:c r="E54" s="124" t="n">
        <x:v>0.00042857142857142855</x:v>
      </x:c>
      <x:c r="F54" s="124" t="n">
        <x:v>0.002142857142857143</x:v>
      </x:c>
      <x:c r="G54" t="str">
        <x:v>補正なし</x:v>
      </x:c>
    </x:row>
    <x:row r="55">
      <x:c r="A55" t="str">
        <x:v>バンギラス</x:v>
      </x:c>
      <x:c r="B55" t="str">
        <x:v>バランス型</x:v>
      </x:c>
      <x:c r="C55" t="n">
        <x:v>1</x:v>
      </x:c>
      <x:c r="D55" t="n">
        <x:v>0</x:v>
      </x:c>
      <x:c r="E55" s="124" t="n">
        <x:v>0.0017142857142857142</x:v>
      </x:c>
      <x:c r="F55" s="124" t="n">
        <x:v>0.04</x:v>
      </x:c>
      <x:c r="G55" t="str">
        <x:v>補正なし</x:v>
      </x:c>
    </x:row>
    <x:row r="56">
      <x:c r="A56" t="str">
        <x:v>パルキア</x:v>
      </x:c>
      <x:c r="B56" t="str">
        <x:v>バランス型</x:v>
      </x:c>
      <x:c r="C56" t="n">
        <x:v>1</x:v>
      </x:c>
      <x:c r="D56" t="n">
        <x:v>0</x:v>
      </x:c>
      <x:c r="E56" s="124" t="n">
        <x:v>0.0005714285714285715</x:v>
      </x:c>
      <x:c r="F56" s="124" t="n">
        <x:v>0.004714285714285714</x:v>
      </x:c>
      <x:c r="G56" t="str">
        <x:v>補正なし</x:v>
      </x:c>
    </x:row>
    <x:row r="57">
      <x:c r="A57" t="str">
        <x:v>パーモット</x:v>
      </x:c>
      <x:c r="B57" t="str">
        <x:v>バランス型</x:v>
      </x:c>
      <x:c r="C57" t="n">
        <x:v>1</x:v>
      </x:c>
      <x:c r="D57" t="n">
        <x:v>0.15</x:v>
      </x:c>
      <x:c r="E57" s="124" t="n">
        <x:v>0.001</x:v>
      </x:c>
      <x:c r="F57" s="124" t="n">
        <x:v>0.0064285714285714285</x:v>
      </x:c>
      <x:c r="G57" t="str">
        <x:v>出現不足を補う順位補正</x:v>
      </x:c>
    </x:row>
    <x:row r="58">
      <x:c r="A58" t="str">
        <x:v>ファイヤー</x:v>
      </x:c>
      <x:c r="B58" t="str">
        <x:v>バランス型</x:v>
      </x:c>
      <x:c r="C58" t="n">
        <x:v>1</x:v>
      </x:c>
      <x:c r="D58" t="n">
        <x:v>0</x:v>
      </x:c>
      <x:c r="E58" s="124" t="n">
        <x:v>0.001142857142857143</x:v>
      </x:c>
      <x:c r="F58" s="124" t="n">
        <x:v>0.013428571428571429</x:v>
      </x:c>
      <x:c r="G58" t="str">
        <x:v>補正なし</x:v>
      </x:c>
    </x:row>
    <x:row r="59">
      <x:c r="A59" t="str">
        <x:v>マッシブーン</x:v>
      </x:c>
      <x:c r="B59" t="str">
        <x:v>バランス型</x:v>
      </x:c>
      <x:c r="C59" t="n">
        <x:v>1</x:v>
      </x:c>
      <x:c r="D59" t="n">
        <x:v>0</x:v>
      </x:c>
      <x:c r="E59" s="124" t="n">
        <x:v>0.019571428571428573</x:v>
      </x:c>
      <x:c r="F59" s="124" t="n">
        <x:v>0.052571428571428575</x:v>
      </x:c>
      <x:c r="G59" t="str">
        <x:v>補正なし</x:v>
      </x:c>
    </x:row>
    <x:row r="60">
      <x:c r="A60" t="str">
        <x:v>マリルリ</x:v>
      </x:c>
      <x:c r="B60" t="str">
        <x:v>バランス型</x:v>
      </x:c>
      <x:c r="C60" t="n">
        <x:v>1</x:v>
      </x:c>
      <x:c r="D60" t="n">
        <x:v>0</x:v>
      </x:c>
      <x:c r="E60" s="124" t="n">
        <x:v>0.00042857142857142855</x:v>
      </x:c>
      <x:c r="F60" s="124" t="n">
        <x:v>0.005285714285714286</x:v>
      </x:c>
      <x:c r="G60" t="str">
        <x:v>補正なし</x:v>
      </x:c>
    </x:row>
    <x:row r="61">
      <x:c r="A61" t="str">
        <x:v>ミミッキュ</x:v>
      </x:c>
      <x:c r="B61" t="str">
        <x:v>バランス型</x:v>
      </x:c>
      <x:c r="C61" t="n">
        <x:v>2</x:v>
      </x:c>
      <x:c r="D61" t="n">
        <x:v>0</x:v>
      </x:c>
      <x:c r="E61" s="124" t="n">
        <x:v>0.00042857142857142855</x:v>
      </x:c>
      <x:c r="F61" s="124" t="n">
        <x:v>0.004142857142857143</x:v>
      </x:c>
      <x:c r="G61" t="str">
        <x:v>補正なし</x:v>
      </x:c>
    </x:row>
    <x:row r="62">
      <x:c r="A62" t="str">
        <x:v>ミュウツー(X)</x:v>
      </x:c>
      <x:c r="B62" t="str">
        <x:v>バランス型</x:v>
      </x:c>
      <x:c r="C62" t="n">
        <x:v>1</x:v>
      </x:c>
      <x:c r="D62" t="n">
        <x:v>0</x:v>
      </x:c>
      <x:c r="E62" s="124" t="n">
        <x:v>0.041428571428571426</x:v>
      </x:c>
      <x:c r="F62" s="124" t="n">
        <x:v>0.07871428571428571</x:v>
      </x:c>
      <x:c r="G62" t="str">
        <x:v>補正なし</x:v>
      </x:c>
    </x:row>
    <x:row r="63">
      <x:c r="A63" t="str">
        <x:v>メタグロス</x:v>
      </x:c>
      <x:c r="B63" t="str">
        <x:v>バランス型</x:v>
      </x:c>
      <x:c r="C63" t="n">
        <x:v>1</x:v>
      </x:c>
      <x:c r="D63" t="n">
        <x:v>0</x:v>
      </x:c>
      <x:c r="E63" s="124" t="n">
        <x:v>0.006285714285714286</x:v>
      </x:c>
      <x:c r="F63" s="124" t="n">
        <x:v>0.017714285714285714</x:v>
      </x:c>
      <x:c r="G63" t="str">
        <x:v>補正なし</x:v>
      </x:c>
    </x:row>
    <x:row r="64">
      <x:c r="A64" t="str">
        <x:v>リザードン</x:v>
      </x:c>
      <x:c r="B64" t="str">
        <x:v>バランス型</x:v>
      </x:c>
      <x:c r="C64" t="n">
        <x:v>2</x:v>
      </x:c>
      <x:c r="D64" t="n">
        <x:v>0</x:v>
      </x:c>
      <x:c r="E64" s="124" t="n">
        <x:v>0.003857142857142857</x:v>
      </x:c>
      <x:c r="F64" s="124" t="n">
        <x:v>0.023857142857142858</x:v>
      </x:c>
      <x:c r="G64" t="str">
        <x:v>補正なし</x:v>
      </x:c>
    </x:row>
    <x:row r="65">
      <x:c r="A65" t="str">
        <x:v>メガリザードンX</x:v>
      </x:c>
      <x:c r="B65" t="str">
        <x:v>バランス型</x:v>
      </x:c>
      <x:c r="C65" t="n">
        <x:v>1</x:v>
      </x:c>
      <x:c r="D65" t="n">
        <x:v>0</x:v>
      </x:c>
      <x:c r="E65" s="124" t="n">
        <x:v>0.002</x:v>
      </x:c>
      <x:c r="F65" s="124" t="n">
        <x:v>0.010142857142857143</x:v>
      </x:c>
      <x:c r="G65" t="str">
        <x:v>補正なし</x:v>
      </x:c>
    </x:row>
    <x:row r="66">
      <x:c r="A66" t="str">
        <x:v>メガリザードンY</x:v>
      </x:c>
      <x:c r="B66" t="str">
        <x:v>バランス型</x:v>
      </x:c>
      <x:c r="C66" t="n">
        <x:v>1</x:v>
      </x:c>
      <x:c r="D66" t="n">
        <x:v>0</x:v>
      </x:c>
      <x:c r="E66" s="124" t="n">
        <x:v>0.001</x:v>
      </x:c>
      <x:c r="F66" s="124" t="n">
        <x:v>0.011142857142857144</x:v>
      </x:c>
      <x:c r="G66" t="str">
        <x:v>補正なし</x:v>
      </x:c>
    </x:row>
    <x:row r="67">
      <x:c r="A67" t="str">
        <x:v>ルカリオ</x:v>
      </x:c>
      <x:c r="B67" t="str">
        <x:v>バランス型</x:v>
      </x:c>
      <x:c r="C67" t="n">
        <x:v>2</x:v>
      </x:c>
      <x:c r="D67" t="n">
        <x:v>0</x:v>
      </x:c>
      <x:c r="E67" s="124" t="n">
        <x:v>0.002285714285714286</x:v>
      </x:c>
      <x:c r="F67" s="124" t="n">
        <x:v>0.011</x:v>
      </x:c>
      <x:c r="G67" t="str">
        <x:v>補正なし</x:v>
      </x:c>
    </x:row>
    <x:row r="68">
      <x:c r="A68" t="str">
        <x:v>メガルカリオ</x:v>
      </x:c>
      <x:c r="B68" t="str">
        <x:v>バランス型</x:v>
      </x:c>
      <x:c r="C68" t="n">
        <x:v>1</x:v>
      </x:c>
      <x:c r="D68" t="n">
        <x:v>0</x:v>
      </x:c>
      <x:c r="E68" s="124" t="n">
        <x:v>0.004142857142857143</x:v>
      </x:c>
      <x:c r="F68" s="124" t="n">
        <x:v>0.012</x:v>
      </x:c>
      <x:c r="G68" t="str">
        <x:v>補正なし</x:v>
      </x:c>
    </x:row>
    <x:row r="69">
      <x:c r="A69" t="str">
        <x:v>アブソル</x:v>
      </x:c>
      <x:c r="B69" t="str">
        <x:v>スピード型</x:v>
      </x:c>
      <x:c r="C69" t="n">
        <x:v>1</x:v>
      </x:c>
      <x:c r="D69" t="n">
        <x:v>0.3</x:v>
      </x:c>
      <x:c r="E69" s="124" t="n">
        <x:v>0.00014285714285714287</x:v>
      </x:c>
      <x:c r="F69" s="124" t="n">
        <x:v>0.0015714285714285715</x:v>
      </x:c>
      <x:c r="G69" t="str">
        <x:v>出現不足を補う順位補正</x:v>
      </x:c>
    </x:row>
    <x:row r="70">
      <x:c r="A70" t="str">
        <x:v>ガラルギャロップ</x:v>
      </x:c>
      <x:c r="B70" t="str">
        <x:v>スピード型</x:v>
      </x:c>
      <x:c r="C70" t="n">
        <x:v>1</x:v>
      </x:c>
      <x:c r="D70" t="n">
        <x:v>0</x:v>
      </x:c>
      <x:c r="E70" s="124" t="n">
        <x:v>0.00028571428571428574</x:v>
      </x:c>
      <x:c r="F70" s="124" t="n">
        <x:v>0.0027142857142857142</x:v>
      </x:c>
      <x:c r="G70" t="str">
        <x:v>補正なし</x:v>
      </x:c>
    </x:row>
    <x:row r="71">
      <x:c r="A71" t="str">
        <x:v>ゲンガー</x:v>
      </x:c>
      <x:c r="B71" t="str">
        <x:v>スピード型</x:v>
      </x:c>
      <x:c r="C71" t="n">
        <x:v>1</x:v>
      </x:c>
      <x:c r="D71" t="n">
        <x:v>0.15</x:v>
      </x:c>
      <x:c r="E71" s="124" t="n">
        <x:v>0.00014285714285714287</x:v>
      </x:c>
      <x:c r="F71" s="124" t="n">
        <x:v>0.0018571428571428571</x:v>
      </x:c>
      <x:c r="G71" t="str">
        <x:v>出現不足を補う順位補正</x:v>
      </x:c>
    </x:row>
    <x:row r="72">
      <x:c r="A72" t="str">
        <x:v>ゼラオラ</x:v>
      </x:c>
      <x:c r="B72" t="str">
        <x:v>スピード型</x:v>
      </x:c>
      <x:c r="C72" t="n">
        <x:v>2</x:v>
      </x:c>
      <x:c r="D72" t="n">
        <x:v>0</x:v>
      </x:c>
      <x:c r="E72" s="124" t="n">
        <x:v>0.0034285714285714284</x:v>
      </x:c>
      <x:c r="F72" s="124" t="n">
        <x:v>0.01685714285714286</x:v>
      </x:c>
      <x:c r="G72" t="str">
        <x:v>補正なし</x:v>
      </x:c>
    </x:row>
    <x:row r="73">
      <x:c r="A73" t="str">
        <x:v>ゾロアーク</x:v>
      </x:c>
      <x:c r="B73" t="str">
        <x:v>スピード型</x:v>
      </x:c>
      <x:c r="C73" t="n">
        <x:v>1</x:v>
      </x:c>
      <x:c r="D73" t="n">
        <x:v>0.45</x:v>
      </x:c>
      <x:c r="E73" s="124" t="n">
        <x:v>0.00028571428571428574</x:v>
      </x:c>
      <x:c r="F73" s="124" t="n">
        <x:v>0.002142857142857143</x:v>
      </x:c>
      <x:c r="G73" t="str">
        <x:v>出現不足を補う順位補正</x:v>
      </x:c>
    </x:row>
    <x:row r="74">
      <x:c r="A74" t="str">
        <x:v>ダークライ</x:v>
      </x:c>
      <x:c r="B74" t="str">
        <x:v>スピード型</x:v>
      </x:c>
      <x:c r="C74" t="n">
        <x:v>1</x:v>
      </x:c>
      <x:c r="D74" t="n">
        <x:v>0</x:v>
      </x:c>
      <x:c r="E74" s="124" t="n">
        <x:v>0.0012857142857142856</x:v>
      </x:c>
      <x:c r="F74" s="124" t="n">
        <x:v>0.008142857142857143</x:v>
      </x:c>
      <x:c r="G74" t="str">
        <x:v>補正なし</x:v>
      </x:c>
    </x:row>
    <x:row r="75">
      <x:c r="A75" t="str">
        <x:v>ドードリオ</x:v>
      </x:c>
      <x:c r="B75" t="str">
        <x:v>スピード型</x:v>
      </x:c>
      <x:c r="C75" t="n">
        <x:v>1</x:v>
      </x:c>
      <x:c r="D75" t="n">
        <x:v>0</x:v>
      </x:c>
      <x:c r="E75" s="124" t="n">
        <x:v>0.00028571428571428574</x:v>
      </x:c>
      <x:c r="F75" s="124" t="n">
        <x:v>0.0024285714285714284</x:v>
      </x:c>
      <x:c r="G75" t="str">
        <x:v>補正なし</x:v>
      </x:c>
    </x:row>
    <x:row r="76">
      <x:c r="A76" t="str">
        <x:v>ニャース</x:v>
      </x:c>
      <x:c r="B76" t="str">
        <x:v>スピード型</x:v>
      </x:c>
      <x:c r="C76" t="n">
        <x:v>1</x:v>
      </x:c>
      <x:c r="D76" t="n">
        <x:v>0</x:v>
      </x:c>
      <x:c r="E76" s="124" t="n">
        <x:v>0.004285714285714286</x:v>
      </x:c>
      <x:c r="F76" s="124" t="n">
        <x:v>0.013142857142857144</x:v>
      </x:c>
      <x:c r="G76" t="str">
        <x:v>補正なし</x:v>
      </x:c>
    </x:row>
    <x:row r="77">
      <x:c r="A77" t="str">
        <x:v>ファイアロー</x:v>
      </x:c>
      <x:c r="B77" t="str">
        <x:v>スピード型</x:v>
      </x:c>
      <x:c r="C77" t="n">
        <x:v>1</x:v>
      </x:c>
      <x:c r="D77" t="n">
        <x:v>0.45</x:v>
      </x:c>
      <x:c r="E77" s="124" t="n">
        <x:v>0.00042857142857142855</x:v>
      </x:c>
      <x:c r="F77" s="124" t="n">
        <x:v>0.002285714285714286</x:v>
      </x:c>
      <x:c r="G77" t="str">
        <x:v>出現不足を補う順位補正</x:v>
      </x:c>
    </x:row>
    <x:row r="78">
      <x:c r="A78" t="str">
        <x:v>マスカーニャ</x:v>
      </x:c>
      <x:c r="B78" t="str">
        <x:v>スピード型</x:v>
      </x:c>
      <x:c r="C78" t="n">
        <x:v>2</x:v>
      </x:c>
      <x:c r="D78" t="n">
        <x:v>0</x:v>
      </x:c>
      <x:c r="E78" s="124" t="n">
        <x:v>0.006571428571428572</x:v>
      </x:c>
      <x:c r="F78" s="124" t="n">
        <x:v>0.023428571428571427</x:v>
      </x:c>
      <x:c r="G78" t="str">
        <x:v>補正なし</x:v>
      </x:c>
    </x:row>
    <x:row r="79">
      <x:c r="A79" t="str">
        <x:v>モルペコ</x:v>
      </x:c>
      <x:c r="B79" t="str">
        <x:v>スピード型</x:v>
      </x:c>
      <x:c r="C79" t="n">
        <x:v>1</x:v>
      </x:c>
      <x:c r="D79" t="n">
        <x:v>0.15</x:v>
      </x:c>
      <x:c r="E79" s="124" t="n">
        <x:v>0.00014285714285714287</x:v>
      </x:c>
      <x:c r="F79" s="124" t="n">
        <x:v>0.0027142857142857142</x:v>
      </x:c>
      <x:c r="G79" t="str">
        <x:v>出現不足を補う順位補正</x:v>
      </x:c>
    </x:row>
    <x:row r="80">
      <x:c r="A80" t="str">
        <x:v>リーフィア</x:v>
      </x:c>
      <x:c r="B80" t="str">
        <x:v>スピード型</x:v>
      </x:c>
      <x:c r="C80" t="n">
        <x:v>1</x:v>
      </x:c>
      <x:c r="D80" t="n">
        <x:v>0</x:v>
      </x:c>
      <x:c r="E80" s="124" t="n">
        <x:v>0.0012857142857142856</x:v>
      </x:c>
      <x:c r="F80" s="124" t="n">
        <x:v>0.0054285714285714284</x:v>
      </x:c>
      <x:c r="G80" t="str">
        <x:v>補正なし</x:v>
      </x:c>
    </x:row>
    <x:row r="81">
      <x:c r="A81" t="str">
        <x:v>イワパレス</x:v>
      </x:c>
      <x:c r="B81" t="str">
        <x:v>ディフェンス型</x:v>
      </x:c>
      <x:c r="C81" t="n">
        <x:v>2</x:v>
      </x:c>
      <x:c r="D81" t="n">
        <x:v>0</x:v>
      </x:c>
      <x:c r="E81" s="124" t="n">
        <x:v>0.02642857142857143</x:v>
      </x:c>
      <x:c r="F81" s="124" t="n">
        <x:v>0.09214285714285714</x:v>
      </x:c>
      <x:c r="G81" t="str">
        <x:v>補正なし</x:v>
      </x:c>
    </x:row>
    <x:row r="82">
      <x:c r="A82" t="str">
        <x:v>オーロット</x:v>
      </x:c>
      <x:c r="B82" t="str">
        <x:v>ディフェンス型</x:v>
      </x:c>
      <x:c r="C82" t="n">
        <x:v>2</x:v>
      </x:c>
      <x:c r="D82" t="n">
        <x:v>0</x:v>
      </x:c>
      <x:c r="E82" s="124" t="n">
        <x:v>0.020428571428571428</x:v>
      </x:c>
      <x:c r="F82" s="124" t="n">
        <x:v>0.09671428571428571</x:v>
      </x:c>
      <x:c r="G82" t="str">
        <x:v>補正なし</x:v>
      </x:c>
    </x:row>
    <x:row r="83">
      <x:c r="A83" t="str">
        <x:v>カビゴン</x:v>
      </x:c>
      <x:c r="B83" t="str">
        <x:v>ディフェンス型</x:v>
      </x:c>
      <x:c r="C83" t="n">
        <x:v>2</x:v>
      </x:c>
      <x:c r="D83" t="n">
        <x:v>-0.1</x:v>
      </x:c>
      <x:c r="E83" s="124" t="n">
        <x:v>0.04428571428571428</x:v>
      </x:c>
      <x:c r="F83" s="124" t="n">
        <x:v>0.10757142857142857</x:v>
      </x:c>
      <x:c r="G83" t="str">
        <x:v>出現過多を抑える順位補正</x:v>
      </x:c>
    </x:row>
    <x:row r="84">
      <x:c r="A84" t="str">
        <x:v>カメックス</x:v>
      </x:c>
      <x:c r="B84" t="str">
        <x:v>ディフェンス型</x:v>
      </x:c>
      <x:c r="C84" t="n">
        <x:v>2</x:v>
      </x:c>
      <x:c r="D84" t="n">
        <x:v>0</x:v>
      </x:c>
      <x:c r="E84" s="124" t="n">
        <x:v>0.032285714285714286</x:v>
      </x:c>
      <x:c r="F84" s="124" t="n">
        <x:v>0.09771428571428571</x:v>
      </x:c>
      <x:c r="G84" t="str">
        <x:v>補正なし</x:v>
      </x:c>
    </x:row>
    <x:row r="85">
      <x:c r="A85" t="str">
        <x:v>シャワーズ</x:v>
      </x:c>
      <x:c r="B85" t="str">
        <x:v>ディフェンス型</x:v>
      </x:c>
      <x:c r="C85" t="n">
        <x:v>2</x:v>
      </x:c>
      <x:c r="D85" t="n">
        <x:v>0</x:v>
      </x:c>
      <x:c r="E85" s="124" t="n">
        <x:v>0.030714285714285715</x:v>
      </x:c>
      <x:c r="F85" s="124" t="n">
        <x:v>0.07871428571428571</x:v>
      </x:c>
      <x:c r="G85" t="str">
        <x:v>補正なし</x:v>
      </x:c>
    </x:row>
    <x:row r="86">
      <x:c r="A86" t="str">
        <x:v>ヌメルゴン</x:v>
      </x:c>
      <x:c r="B86" t="str">
        <x:v>ディフェンス型</x:v>
      </x:c>
      <x:c r="C86" t="n">
        <x:v>1</x:v>
      </x:c>
      <x:c r="D86" t="n">
        <x:v>0</x:v>
      </x:c>
      <x:c r="E86" s="124" t="n">
        <x:v>0.008142857142857143</x:v>
      </x:c>
      <x:c r="F86" s="124" t="n">
        <x:v>0.033857142857142856</x:v>
      </x:c>
      <x:c r="G86" t="str">
        <x:v>補正なし</x:v>
      </x:c>
    </x:row>
    <x:row r="87">
      <x:c r="A87" t="str">
        <x:v>フリーザー</x:v>
      </x:c>
      <x:c r="B87" t="str">
        <x:v>ディフェンス型</x:v>
      </x:c>
      <x:c r="C87" t="n">
        <x:v>1</x:v>
      </x:c>
      <x:c r="D87" t="n">
        <x:v>0</x:v>
      </x:c>
      <x:c r="E87" s="124" t="n">
        <x:v>0.005285714285714286</x:v>
      </x:c>
      <x:c r="F87" s="124" t="n">
        <x:v>0.021285714285714286</x:v>
      </x:c>
      <x:c r="G87" t="str">
        <x:v>補正なし</x:v>
      </x:c>
    </x:row>
    <x:row r="88">
      <x:c r="A88" t="str">
        <x:v>ブラッキー</x:v>
      </x:c>
      <x:c r="B88" t="str">
        <x:v>ディフェンス型</x:v>
      </x:c>
      <x:c r="C88" t="n">
        <x:v>2</x:v>
      </x:c>
      <x:c r="D88" t="n">
        <x:v>0</x:v>
      </x:c>
      <x:c r="E88" s="124" t="n">
        <x:v>0.004142857142857143</x:v>
      </x:c>
      <x:c r="F88" s="124" t="n">
        <x:v>0.047285714285714285</x:v>
      </x:c>
      <x:c r="G88" t="str">
        <x:v>補正なし</x:v>
      </x:c>
    </x:row>
    <x:row r="89">
      <x:c r="A89" t="str">
        <x:v>ホウオウ</x:v>
      </x:c>
      <x:c r="B89" t="str">
        <x:v>ディフェンス型</x:v>
      </x:c>
      <x:c r="C89" t="n">
        <x:v>2</x:v>
      </x:c>
      <x:c r="D89" t="n">
        <x:v>-0.9</x:v>
      </x:c>
      <x:c r="E89" s="124" t="n">
        <x:v>0.04385714285714286</x:v>
      </x:c>
      <x:c r="F89" s="124" t="n">
        <x:v>0.11128571428571428</x:v>
      </x:c>
      <x:c r="G89" t="str">
        <x:v>出現過多を抑える順位補正</x:v>
      </x:c>
    </x:row>
    <x:row r="90">
      <x:c r="A90" t="str">
        <x:v>マンムー</x:v>
      </x:c>
      <x:c r="B90" t="str">
        <x:v>ディフェンス型</x:v>
      </x:c>
      <x:c r="C90" t="n">
        <x:v>1</x:v>
      </x:c>
      <x:c r="D90" t="n">
        <x:v>0</x:v>
      </x:c>
      <x:c r="E90" s="124" t="n">
        <x:v>0.03</x:v>
      </x:c>
      <x:c r="F90" s="124" t="n">
        <x:v>0.05785714285714286</x:v>
      </x:c>
      <x:c r="G90" t="str">
        <x:v>補正なし</x:v>
      </x:c>
    </x:row>
    <x:row r="91">
      <x:c r="A91" t="str">
        <x:v>ヤドラン</x:v>
      </x:c>
      <x:c r="B91" t="str">
        <x:v>ディフェンス型</x:v>
      </x:c>
      <x:c r="C91" t="n">
        <x:v>2</x:v>
      </x:c>
      <x:c r="D91" t="n">
        <x:v>0</x:v>
      </x:c>
      <x:c r="E91" s="124" t="n">
        <x:v>0.02642857142857143</x:v>
      </x:c>
      <x:c r="F91" s="124" t="n">
        <x:v>0.059571428571428574</x:v>
      </x:c>
      <x:c r="G91" t="str">
        <x:v>補正なし</x:v>
      </x:c>
    </x:row>
    <x:row r="92">
      <x:c r="A92" t="str">
        <x:v>ヨクバリス</x:v>
      </x:c>
      <x:c r="B92" t="str">
        <x:v>ディフェンス型</x:v>
      </x:c>
      <x:c r="C92" t="n">
        <x:v>2</x:v>
      </x:c>
      <x:c r="D92" t="n">
        <x:v>0</x:v>
      </x:c>
      <x:c r="E92" s="124" t="n">
        <x:v>0.019571428571428573</x:v>
      </x:c>
      <x:c r="F92" s="124" t="n">
        <x:v>0.04657142857142857</x:v>
      </x:c>
      <x:c r="G92" t="str">
        <x:v>補正なし</x:v>
      </x:c>
    </x:row>
    <x:row r="93">
      <x:c r="A93" t="str">
        <x:v>ラプラス</x:v>
      </x:c>
      <x:c r="B93" t="str">
        <x:v>ディフェンス型</x:v>
      </x:c>
      <x:c r="C93" t="n">
        <x:v>1</x:v>
      </x:c>
      <x:c r="D93" t="n">
        <x:v>-0.1</x:v>
      </x:c>
      <x:c r="E93" s="124" t="n">
        <x:v>0.04314285714285714</x:v>
      </x:c>
      <x:c r="F93" s="124" t="n">
        <x:v>0.07914285714285714</x:v>
      </x:c>
      <x:c r="G93" t="str">
        <x:v>出現過多を抑える順位補正</x:v>
      </x:c>
    </x:row>
    <x:row r="94">
      <x:c r="A94" t="str">
        <x:v>キュワワー</x:v>
      </x:c>
      <x:c r="B94" t="str">
        <x:v>サポート型</x:v>
      </x:c>
      <x:c r="C94" t="n">
        <x:v>1</x:v>
      </x:c>
      <x:c r="D94" t="n">
        <x:v>0</x:v>
      </x:c>
      <x:c r="E94" s="124" t="n">
        <x:v>0.02542857142857143</x:v>
      </x:c>
      <x:c r="F94" s="124" t="n">
        <x:v>0.05985714285714286</x:v>
      </x:c>
      <x:c r="G94" t="str">
        <x:v>補正なし</x:v>
      </x:c>
    </x:row>
    <x:row r="95">
      <x:c r="A95" t="str">
        <x:v>コダック</x:v>
      </x:c>
      <x:c r="B95" t="str">
        <x:v>サポート型</x:v>
      </x:c>
      <x:c r="C95" t="n">
        <x:v>1</x:v>
      </x:c>
      <x:c r="D95" t="n">
        <x:v>0</x:v>
      </x:c>
      <x:c r="E95" s="124" t="n">
        <x:v>0.01742857142857143</x:v>
      </x:c>
      <x:c r="F95" s="124" t="n">
        <x:v>0.05014285714285714</x:v>
      </x:c>
      <x:c r="G95" t="str">
        <x:v>補正なし</x:v>
      </x:c>
    </x:row>
    <x:row r="96">
      <x:c r="A96" t="str">
        <x:v>ハピナス</x:v>
      </x:c>
      <x:c r="B96" t="str">
        <x:v>サポート型</x:v>
      </x:c>
      <x:c r="C96" t="n">
        <x:v>1</x:v>
      </x:c>
      <x:c r="D96" t="n">
        <x:v>0</x:v>
      </x:c>
      <x:c r="E96" s="124" t="n">
        <x:v>0.00042857142857142855</x:v>
      </x:c>
      <x:c r="F96" s="124" t="n">
        <x:v>0.011428571428571429</x:v>
      </x:c>
      <x:c r="G96" t="str">
        <x:v>補正なし</x:v>
      </x:c>
    </x:row>
    <x:row r="97">
      <x:c r="A97" t="str">
        <x:v>バリヤード</x:v>
      </x:c>
      <x:c r="B97" t="str">
        <x:v>サポート型</x:v>
      </x:c>
      <x:c r="C97" t="n">
        <x:v>2</x:v>
      </x:c>
      <x:c r="D97" t="n">
        <x:v>0</x:v>
      </x:c>
      <x:c r="E97" s="124" t="n">
        <x:v>0.039142857142857146</x:v>
      </x:c>
      <x:c r="F97" s="124" t="n">
        <x:v>0.09628571428571428</x:v>
      </x:c>
      <x:c r="G97" t="str">
        <x:v>補正なし</x:v>
      </x:c>
    </x:row>
    <x:row r="98">
      <x:c r="A98" t="str">
        <x:v>ピクシー</x:v>
      </x:c>
      <x:c r="B98" t="str">
        <x:v>サポート型</x:v>
      </x:c>
      <x:c r="C98" t="n">
        <x:v>1</x:v>
      </x:c>
      <x:c r="D98" t="n">
        <x:v>0</x:v>
      </x:c>
      <x:c r="E98" s="124" t="n">
        <x:v>0.005285714285714286</x:v>
      </x:c>
      <x:c r="F98" s="124" t="n">
        <x:v>0.03785714285714286</x:v>
      </x:c>
      <x:c r="G98" t="str">
        <x:v>補正なし</x:v>
      </x:c>
    </x:row>
    <x:row r="99">
      <x:c r="A99" t="str">
        <x:v>フーパ</x:v>
      </x:c>
      <x:c r="B99" t="str">
        <x:v>サポート型</x:v>
      </x:c>
      <x:c r="C99" t="n">
        <x:v>2</x:v>
      </x:c>
      <x:c r="D99" t="n">
        <x:v>0</x:v>
      </x:c>
      <x:c r="E99" s="124" t="n">
        <x:v>0.010142857142857143</x:v>
      </x:c>
      <x:c r="F99" s="124" t="n">
        <x:v>0.038285714285714284</x:v>
      </x:c>
      <x:c r="G99" t="str">
        <x:v>補正なし</x:v>
      </x:c>
    </x:row>
    <x:row r="100">
      <x:c r="A100" t="str">
        <x:v>プクリン</x:v>
      </x:c>
      <x:c r="B100" t="str">
        <x:v>サポート型</x:v>
      </x:c>
      <x:c r="C100" t="n">
        <x:v>1</x:v>
      </x:c>
      <x:c r="D100" t="n">
        <x:v>0</x:v>
      </x:c>
      <x:c r="E100" s="124" t="n">
        <x:v>0.0018571428571428571</x:v>
      </x:c>
      <x:c r="F100" s="124" t="n">
        <x:v>0.019714285714285715</x:v>
      </x:c>
      <x:c r="G100" t="str">
        <x:v>補正なし</x:v>
      </x:c>
    </x:row>
    <x:row r="101">
      <x:c r="A101" t="str">
        <x:v>マホイップ</x:v>
      </x:c>
      <x:c r="B101" t="str">
        <x:v>サポート型</x:v>
      </x:c>
      <x:c r="C101" t="n">
        <x:v>1</x:v>
      </x:c>
      <x:c r="D101" t="n">
        <x:v>0</x:v>
      </x:c>
      <x:c r="E101" s="124" t="n">
        <x:v>0.027714285714285716</x:v>
      </x:c>
      <x:c r="F101" s="124" t="n">
        <x:v>0.07571428571428572</x:v>
      </x:c>
      <x:c r="G101" t="str">
        <x:v>補正なし</x:v>
      </x:c>
    </x:row>
    <x:row r="102">
      <x:c r="A102" t="str">
        <x:v>メガニウム</x:v>
      </x:c>
      <x:c r="B102" t="str">
        <x:v>サポート型</x:v>
      </x:c>
      <x:c r="C102" t="n">
        <x:v>1</x:v>
      </x:c>
      <x:c r="D102" t="n">
        <x:v>0</x:v>
      </x:c>
      <x:c r="E102" s="124" t="n">
        <x:v>0.012571428571428572</x:v>
      </x:c>
      <x:c r="F102" s="124" t="n">
        <x:v>0.04585714285714286</x:v>
      </x:c>
      <x:c r="G102" t="str">
        <x:v>補正なし</x:v>
      </x:c>
    </x:row>
    <x:row r="103">
      <x:c r="A103" t="str">
        <x:v>ヤミラミ</x:v>
      </x:c>
      <x:c r="B103" t="str">
        <x:v>サポート型</x:v>
      </x:c>
      <x:c r="C103" t="n">
        <x:v>1</x:v>
      </x:c>
      <x:c r="D103" t="n">
        <x:v>0</x:v>
      </x:c>
      <x:c r="E103" s="124" t="n">
        <x:v>0.011857142857142858</x:v>
      </x:c>
      <x:c r="F103" s="124" t="n">
        <x:v>0.04014285714285714</x:v>
      </x:c>
      <x:c r="G103" t="str">
        <x:v>補正なし</x:v>
      </x:c>
    </x:row>
    <x:row r="104">
      <x:c r="A104" t="str">
        <x:v>ラティアス</x:v>
      </x:c>
      <x:c r="B104" t="str">
        <x:v>サポート型</x:v>
      </x:c>
      <x:c r="C104" t="n">
        <x:v>1</x:v>
      </x:c>
      <x:c r="D104" t="n">
        <x:v>0</x:v>
      </x:c>
      <x:c r="E104" s="124" t="n">
        <x:v>0.017142857142857144</x:v>
      </x:c>
      <x:c r="F104" s="124" t="n">
        <x:v>0.056428571428571425</x:v>
      </x:c>
      <x:c r="G104" t="str">
        <x:v>補正なし</x:v>
      </x:c>
    </x:row>
    <x:row r="105">
      <x:c r="A105" t="str">
        <x:v>ワタシラガ</x:v>
      </x:c>
      <x:c r="B105" t="str">
        <x:v>サポート型</x:v>
      </x:c>
      <x:c r="C105" t="n">
        <x:v>1</x:v>
      </x:c>
      <x:c r="D105" t="n">
        <x:v>0</x:v>
      </x:c>
      <x:c r="E105" s="124" t="n">
        <x:v>0.012285714285714285</x:v>
      </x:c>
      <x:c r="F105" s="124" t="n">
        <x:v>0.042</x:v>
      </x:c>
      <x:c r="G105" t="str">
        <x:v>補正なし</x:v>
      </x:c>
    </x:row>
  </x:sheetData>
  <x:mergeCells>
    <x:mergeCell ref="A1:J2"/>
    <x:mergeCell ref="A3:J3"/>
  </x:mergeCells>
  <x:conditionalFormatting sqref="D6:D105">
    <x:cfRule type="colorScale" priority="3">
      <x:colorScale>
        <x:cfvo type="min"/>
        <x:cfvo type="percentile" val="50"/>
        <x:cfvo type="max"/>
        <x:color rgb="FFFECACA"/>
        <x:color rgb="FFFFFFFF"/>
        <x:color rgb="FFDCFCE7"/>
      </x:colorScale>
    </x:cfRule>
  </x:conditionalFormatting>
  <x:conditionalFormatting sqref="E6:F105">
    <x:cfRule type="dataBar" priority="4">
      <x:dataBar>
        <x:cfvo type="min"/>
        <x:cfvo type="max"/>
        <x:color rgb="FFA02B93"/>
      </x:dataBar>
      <x:extLst>
        <x:ext xmlns:x14="http://schemas.microsoft.com/office/spreadsheetml/2009/9/main" uri="{B025F937-C7B1-47D3-B67F-A62EFF666E3E}">
          <x14:id>{762AF431-125C-1021-59ED-F38AE6664A5F}</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762AF431-125C-1021-59ED-F38AE6664A5F}">
            <x14:dataBar gradient="1">
              <x14:cfvo type="min"/>
              <x14:cfvo type="max"/>
              <x14:fillColor rgb="FFA02B93"/>
            </x14:dataBar>
          </x14:cfRule>
          <xm:sqref>E6:F105</xm:sqref>
        </x14:conditionalFormatting>
      </x14:conditionalFormattings>
    </x:ext>
  </x:extLst>
</x:worksheet>
</file>

<file path=xl/worksheets/sheet13.xml><?xml version="1.0" encoding="utf-8"?>
<x:worksheet xmlns:x="http://schemas.openxmlformats.org/spreadsheetml/2006/main">
  <x:sheetFormatPr defaultRowHeight="15"/>
  <x:cols>
    <x:col min="1" max="1" width="22" hidden="0" customWidth="1"/>
    <x:col min="2" max="2" width="50" hidden="0" customWidth="1"/>
    <x:col min="3" max="3" width="28" hidden="0" customWidth="1"/>
    <x:col min="4" max="4" width="56" hidden="0" customWidth="1"/>
    <x:col min="5" max="5" width="28" hidden="0" customWidth="1"/>
    <x:col min="7" max="7" width="22" hidden="0" customWidth="1"/>
    <x:col min="8" max="8" width="58" hidden="0" customWidth="1"/>
    <x:col min="6" max="6" width="20" hidden="0" customWidth="1"/>
  </x:cols>
  <x:sheetData>
    <x:row r="1">
      <x:c r="A1" s="165" t="str">
        <x:v>質問設計：7つのプレイ気質（双極表示）</x:v>
      </x:c>
      <x:c r="B1" s="165"/>
      <x:c r="C1" s="165"/>
      <x:c r="D1" s="165"/>
      <x:c r="E1" s="165"/>
      <x:c r="F1" s="165"/>
      <x:c r="G1" s="165"/>
      <x:c r="H1" s="165"/>
    </x:row>
    <x:row r="2">
      <x:c r="A2" s="165"/>
      <x:c r="B2" s="165"/>
      <x:c r="C2" s="165"/>
      <x:c r="D2" s="165"/>
      <x:c r="E2" s="165"/>
      <x:c r="F2" s="165"/>
      <x:c r="G2" s="165"/>
      <x:c r="H2" s="165"/>
    </x:row>
    <x:row r="4">
      <x:c r="A4" s="167" t="str">
        <x:v>30問は心理測定の基本原則を取り入れた自作尺度です。表側では難しい構成概念名より『様子を見る←→自分から動く』のような両端を表示し、質問文は短く直感で答えられる長さにしています。標準化済み心理検査ではありません。</x:v>
      </x:c>
      <x:c r="B4" s="167"/>
      <x:c r="C4" s="167"/>
      <x:c r="D4" s="167"/>
      <x:c r="E4" s="167"/>
      <x:c r="F4" s="167"/>
      <x:c r="G4" s="167"/>
      <x:c r="H4" s="167"/>
    </x:row>
    <x:row r="6">
      <x:c r="A6" s="162" t="str">
        <x:v>Code</x:v>
      </x:c>
      <x:c r="B6" s="162" t="str">
        <x:v>表示名</x:v>
      </x:c>
      <x:c r="C6" s="162" t="str">
        <x:v>ユーザー表示</x:v>
      </x:c>
      <x:c r="D6" s="162" t="str">
        <x:v>操作的定義</x:v>
      </x:c>
      <x:c r="E6" s="162" t="str">
        <x:v>Items</x:v>
      </x:c>
      <x:c r="F6" s="162" t="str">
        <x:v>Key balance</x:v>
      </x:c>
      <x:c r="G6" s="162" t="str">
        <x:v>設計原則</x:v>
      </x:c>
      <x:c r="H6" s="162" t="str">
        <x:v>実装</x:v>
      </x:c>
    </x:row>
    <x:row r="7">
      <x:c r="A7" s="12" t="str">
        <x:v>Initiative</x:v>
      </x:c>
      <x:c r="B7" s="12" t="str">
        <x:v>主導性</x:v>
      </x:c>
      <x:c r="C7" s="12" t="str">
        <x:v>様子を見る ←→ 自分から動く</x:v>
      </x:c>
      <x:c r="D7" s="12" t="str">
        <x:v>曖昧な場面で、自分からきっかけや方向を作る傾向。</x:v>
      </x:c>
      <x:c r="E7" s="12" t="str">
        <x:v>Q01,Q08,Q15,Q22</x:v>
      </x:c>
      <x:c r="F7" s="12" t="str">
        <x:v>正2 / 反対極2</x:v>
      </x:c>
      <x:c r="G7" s="12" t="str">
        <x:v>短くする</x:v>
      </x:c>
      <x:c r="H7" s="12" t="str">
        <x:v>一問を一読で理解できる長さにし、X経由のスマホ利用で考え込みすぎないようにする。</x:v>
      </x:c>
    </x:row>
    <x:row r="8">
      <x:c r="A8" s="12" t="str">
        <x:v>RiskTolerance</x:v>
      </x:c>
      <x:c r="B8" s="12" t="str">
        <x:v>リスク許容</x:v>
      </x:c>
      <x:c r="C8" s="12" t="str">
        <x:v>堅実に行く ←→ 勝負に出る</x:v>
      </x:c>
      <x:c r="D8" s="12" t="str">
        <x:v>不確実さがあっても、見返りのある選択へ踏み出す傾向。</x:v>
      </x:c>
      <x:c r="E8" s="12" t="str">
        <x:v>Q03,Q09,Q16,Q23</x:v>
      </x:c>
      <x:c r="F8" s="12" t="str">
        <x:v>正2 / 反対極2</x:v>
      </x:c>
      <x:c r="G8" s="12" t="str">
        <x:v>両極を見せる</x:v>
      </x:c>
      <x:c r="H8" s="12" t="str">
        <x:v>高い/低いを優劣にせず『どちらのスタイルか』として説明する。</x:v>
      </x:c>
    </x:row>
    <x:row r="9">
      <x:c r="A9" s="12" t="str">
        <x:v>Cooperation</x:v>
      </x:c>
      <x:c r="B9" s="12" t="str">
        <x:v>協働志向</x:v>
      </x:c>
      <x:c r="C9" s="12" t="str">
        <x:v>自分のペース ←→ 味方に合わせる</x:v>
      </x:c>
      <x:c r="D9" s="12" t="str">
        <x:v>自分のやり方より、周囲との噛み合わせを優先する傾向。</x:v>
      </x:c>
      <x:c r="E9" s="12" t="str">
        <x:v>Q04,Q11,Q18,Q25 + Q30</x:v>
      </x:c>
      <x:c r="F9" s="12" t="str">
        <x:v>正2 / 反対極2 + 統合</x:v>
      </x:c>
      <x:c r="G9" s="12" t="str">
        <x:v>バランスド・キーイング</x:v>
      </x:c>
      <x:c r="H9" s="12" t="str">
        <x:v>各軸で正方向2・反対極2。反対極は単純な否定文ではなく別の自然な選択肢として書く。</x:v>
      </x:c>
    </x:row>
    <x:row r="10">
      <x:c r="A10" s="12" t="str">
        <x:v>SelfReliance</x:v>
      </x:c>
      <x:c r="B10" s="12" t="str">
        <x:v>自己決定</x:v>
      </x:c>
      <x:c r="C10" s="12" t="str">
        <x:v>相談して決める ←→ 自分で決める</x:v>
      </x:c>
      <x:c r="D10" s="12" t="str">
        <x:v>判断や進め方を、自分の中で完結させたい傾向。</x:v>
      </x:c>
      <x:c r="E10" s="12" t="str">
        <x:v>Q05,Q12,Q19,Q26 + Q30</x:v>
      </x:c>
      <x:c r="F10" s="12" t="str">
        <x:v>正2 / 反対極2 + 統合</x:v>
      </x:c>
      <x:c r="G10" s="12" t="str">
        <x:v>価値中立</x:v>
      </x:c>
      <x:c r="H10" s="12" t="str">
        <x:v>協働=善、自己決定=悪などの社会的望ましさをできるだけ作らない。</x:v>
      </x:c>
    </x:row>
    <x:row r="11">
      <x:c r="A11" s="12" t="str">
        <x:v>Planning</x:v>
      </x:c>
      <x:c r="B11" s="12" t="str">
        <x:v>熟慮・計画</x:v>
      </x:c>
      <x:c r="C11" s="12" t="str">
        <x:v>動きながら考える ←→ 先に考える</x:v>
      </x:c>
      <x:c r="D11" s="12" t="str">
        <x:v>着手前に見通しや別案を作っておく傾向。</x:v>
      </x:c>
      <x:c r="E11" s="12" t="str">
        <x:v>Q02,Q10,Q17,Q24 + Q29</x:v>
      </x:c>
      <x:c r="F11" s="12" t="str">
        <x:v>正2 / 反対極2 + 統合</x:v>
      </x:c>
      <x:c r="G11" s="12" t="str">
        <x:v>ゲームを直接聞かない</x:v>
      </x:c>
      <x:c r="H11" s="12" t="str">
        <x:v>『遠距離が好き？』のように結果が透ける質問を避ける。</x:v>
      </x:c>
    </x:row>
    <x:row r="12">
      <x:c r="A12" s="12" t="str">
        <x:v>Adaptability</x:v>
      </x:c>
      <x:c r="B12" s="12" t="str">
        <x:v>適応柔軟性</x:v>
      </x:c>
      <x:c r="C12" s="12" t="str">
        <x:v>型を貫く ←→ 状況で変える</x:v>
      </x:c>
      <x:c r="D12" s="12" t="str">
        <x:v>条件が変わったとき、やり方を切り替える傾向。</x:v>
      </x:c>
      <x:c r="E12" s="12" t="str">
        <x:v>Q06,Q13,Q20,Q27 + Q29</x:v>
      </x:c>
      <x:c r="F12" s="12" t="str">
        <x:v>正2 / 反対極2 + 統合</x:v>
      </x:c>
      <x:c r="G12" s="12" t="str">
        <x:v>中学生でも読める語彙</x:v>
      </x:c>
      <x:c r="H12" s="12" t="str">
        <x:v>短文・日常語中心。ただし幼児的な言い回しにはしない。</x:v>
      </x:c>
    </x:row>
    <x:row r="13">
      <x:c r="A13" s="12" t="str">
        <x:v>Mastery</x:v>
      </x:c>
      <x:c r="B13" s="12" t="str">
        <x:v>熟達志向</x:v>
      </x:c>
      <x:c r="C13" s="12" t="str">
        <x:v>手軽さ重視 ←→ やり込んで極める</x:v>
      </x:c>
      <x:c r="D13" s="12" t="str">
        <x:v>複雑さや習熟に時間を使うことを楽しむ傾向。</x:v>
      </x:c>
      <x:c r="E13" s="12" t="str">
        <x:v>Q07,Q14,Q21,Q28</x:v>
      </x:c>
      <x:c r="F13" s="12" t="str">
        <x:v>正2 / 反対極2</x:v>
      </x:c>
      <x:c r="G13" s="12" t="str">
        <x:v>尖りは計算側で作る</x:v>
      </x:c>
      <x:c r="H13" s="12" t="str">
        <x:v>質問を極端にせず、7→15の相互作用とPercentile Matchingで『ぴったり感』を出す。</x:v>
      </x:c>
    </x:row>
    <x:row r="16">
      <x:c r="A16" s="162" t="str">
        <x:v>公開後に確認したいこと</x:v>
      </x:c>
      <x:c r="B16" s="162"/>
      <x:c r="C16" s="162"/>
      <x:c r="D16" s="162" t="str">
        <x:v>参考</x:v>
      </x:c>
      <x:c r="E16" s="162" t="str">
        <x:v>URL</x:v>
      </x:c>
      <x:c r="F16" s="162"/>
      <x:c r="G16" s="162"/>
      <x:c r="H16" s="162"/>
    </x:row>
    <x:row r="17">
      <x:c r="A17" s="12" t="str">
        <x:v>1. 離脱率</x:v>
      </x:c>
      <x:c r="B17" s="12" t="str">
        <x:v>何問目で離脱するか。特定質問で滞在時間が長ければ文言を簡略化。</x:v>
      </x:c>
      <x:c r="D17" s="12" t="str">
        <x:v>International Personality Item Pool (IPIP)</x:v>
      </x:c>
      <x:c r="E17" s="12" t="str">
        <x:v>https://ipip.ori.org/</x:v>
      </x:c>
    </x:row>
    <x:row r="18">
      <x:c r="A18" s="12" t="str">
        <x:v>2. 項目分布</x:v>
      </x:c>
      <x:c r="B18" s="12" t="str">
        <x:v>1/5に偏りすぎる質問、全員が4/5を選ぶ質問を削る。</x:v>
      </x:c>
      <x:c r="D18" s="12" t="str">
        <x:v>Reverse-keyed items / method effects review</x:v>
      </x:c>
      <x:c r="E18" s="12" t="str">
        <x:v>https://pmc.ncbi.nlm.nih.gov/articles/PMC12581211/</x:v>
      </x:c>
    </x:row>
    <x:row r="19">
      <x:c r="A19" s="12" t="str">
        <x:v>3. 内的一貫性</x:v>
      </x:c>
      <x:c r="B19" s="12" t="str">
        <x:v>各7軸でMcDonald's ωなどを確認。高ければ良いだけではなく重複も見る。</x:v>
      </x:c>
      <x:c r="D19" s="12" t="str">
        <x:v>Questionnaire development / item-writing guidance</x:v>
      </x:c>
      <x:c r="E19" s="12" t="str">
        <x:v>https://pmc.ncbi.nlm.nih.gov/articles/PMC5463570/</x:v>
      </x:c>
    </x:row>
    <x:row r="20">
      <x:c r="A20" s="12" t="str">
        <x:v>4. 因子構造</x:v>
      </x:c>
      <x:c r="B20" s="12" t="str">
        <x:v>7軸仮説をEFA/CFAで確認し、質問が別軸へ強く乗っていないか確認。</x:v>
      </x:c>
      <x:c r="D20" s="12" t="str">
        <x:v>International Test Commission - Technology-Based Assessment</x:v>
      </x:c>
      <x:c r="E20" s="12" t="str">
        <x:v>https://www.intestcom.org/page/16</x:v>
      </x:c>
    </x:row>
    <x:row r="21">
      <x:c r="A21" s="12" t="str">
        <x:v>5. 再検査</x:v>
      </x:c>
      <x:c r="B21" s="12" t="str">
        <x:v>2〜4週間後に再回答してもらい、気質スコアが極端に揺れないか確認。</x:v>
      </x:c>
      <x:c r="D21" s="12"/>
      <x:c r="E21" s="12"/>
    </x:row>
    <x:row r="22">
      <x:c r="A22" s="12" t="str">
        <x:v>6. 基準関連</x:v>
      </x:c>
      <x:c r="B22" s="12" t="str">
        <x:v>普段使うポケモン/ロールと15軸・おすすめ結果の関連を見る。</x:v>
      </x:c>
    </x:row>
    <x:row r="23">
      <x:c r="A23" s="12" t="str">
        <x:v>7. Percentile更新</x:v>
      </x:c>
      <x:c r="B23" s="12" t="str">
        <x:v>実回答が増えたら、疑似回答ではなく実ユーザー分布でPercentile_Calibrationを再作成。</x:v>
      </x:c>
    </x:row>
  </x:sheetData>
  <x:mergeCells>
    <x:mergeCell ref="A1:H2"/>
    <x:mergeCell ref="A4:H4"/>
    <x:mergeCell ref="A16:H16"/>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22" hidden="0" customWidth="1"/>
    <x:col min="4" max="4" width="22" hidden="0" customWidth="1"/>
    <x:col min="5" max="5" width="58" hidden="0" customWidth="1"/>
  </x:cols>
  <x:sheetData>
    <x:row r="1">
      <x:c r="A1" s="162" t="str">
        <x:v>Code</x:v>
      </x:c>
      <x:c r="B1" s="162" t="str">
        <x:v>表示名</x:v>
      </x:c>
      <x:c r="C1" s="162" t="str">
        <x:v>0側</x:v>
      </x:c>
      <x:c r="D1" s="162" t="str">
        <x:v>100側</x:v>
      </x:c>
      <x:c r="E1" s="162" t="str">
        <x:v>意味</x:v>
      </x:c>
    </x:row>
    <x:row r="2">
      <x:c r="A2" s="12" t="str">
        <x:v>Initiative</x:v>
      </x:c>
      <x:c r="B2" s="12" t="str">
        <x:v>主導性</x:v>
      </x:c>
      <x:c r="C2" s="12" t="str">
        <x:v>様子を見る</x:v>
      </x:c>
      <x:c r="D2" s="12" t="str">
        <x:v>自分から動く</x:v>
      </x:c>
      <x:c r="E2" s="12" t="str">
        <x:v>曖昧な場面で、自分からきっかけや方向を作る傾向。</x:v>
      </x:c>
    </x:row>
    <x:row r="3">
      <x:c r="A3" s="12" t="str">
        <x:v>RiskTolerance</x:v>
      </x:c>
      <x:c r="B3" s="12" t="str">
        <x:v>リスク許容</x:v>
      </x:c>
      <x:c r="C3" s="12" t="str">
        <x:v>堅実に行く</x:v>
      </x:c>
      <x:c r="D3" s="12" t="str">
        <x:v>勝負に出る</x:v>
      </x:c>
      <x:c r="E3" s="12" t="str">
        <x:v>不確実さがあっても、見返りのある選択へ踏み出す傾向。</x:v>
      </x:c>
    </x:row>
    <x:row r="4">
      <x:c r="A4" s="12" t="str">
        <x:v>Cooperation</x:v>
      </x:c>
      <x:c r="B4" s="12" t="str">
        <x:v>協働志向</x:v>
      </x:c>
      <x:c r="C4" s="12" t="str">
        <x:v>自分のペース</x:v>
      </x:c>
      <x:c r="D4" s="12" t="str">
        <x:v>味方に合わせる</x:v>
      </x:c>
      <x:c r="E4" s="12" t="str">
        <x:v>自分のやり方より、周囲との噛み合わせを優先する傾向。</x:v>
      </x:c>
    </x:row>
    <x:row r="5">
      <x:c r="A5" s="12" t="str">
        <x:v>SelfReliance</x:v>
      </x:c>
      <x:c r="B5" s="12" t="str">
        <x:v>自己決定</x:v>
      </x:c>
      <x:c r="C5" s="12" t="str">
        <x:v>相談して決める</x:v>
      </x:c>
      <x:c r="D5" s="12" t="str">
        <x:v>自分で決める</x:v>
      </x:c>
      <x:c r="E5" s="12" t="str">
        <x:v>判断や進め方を、自分の中で完結させたい傾向。</x:v>
      </x:c>
    </x:row>
    <x:row r="6">
      <x:c r="A6" s="12" t="str">
        <x:v>Planning</x:v>
      </x:c>
      <x:c r="B6" s="12" t="str">
        <x:v>熟慮・計画</x:v>
      </x:c>
      <x:c r="C6" s="12" t="str">
        <x:v>動きながら考える</x:v>
      </x:c>
      <x:c r="D6" s="12" t="str">
        <x:v>先に考える</x:v>
      </x:c>
      <x:c r="E6" s="12" t="str">
        <x:v>着手前に見通しや別案を作っておく傾向。</x:v>
      </x:c>
    </x:row>
    <x:row r="7">
      <x:c r="A7" s="12" t="str">
        <x:v>Adaptability</x:v>
      </x:c>
      <x:c r="B7" s="12" t="str">
        <x:v>適応柔軟性</x:v>
      </x:c>
      <x:c r="C7" s="12" t="str">
        <x:v>型を貫く</x:v>
      </x:c>
      <x:c r="D7" s="12" t="str">
        <x:v>状況で変える</x:v>
      </x:c>
      <x:c r="E7" s="12" t="str">
        <x:v>条件が変わったとき、やり方を切り替える傾向。</x:v>
      </x:c>
    </x:row>
    <x:row r="8">
      <x:c r="A8" s="12" t="str">
        <x:v>Mastery</x:v>
      </x:c>
      <x:c r="B8" s="12" t="str">
        <x:v>熟達志向</x:v>
      </x:c>
      <x:c r="C8" s="12" t="str">
        <x:v>手軽さ重視</x:v>
      </x:c>
      <x:c r="D8" s="12" t="str">
        <x:v>やり込んで極める</x:v>
      </x:c>
      <x:c r="E8" s="12" t="str">
        <x:v>複雑さや習熟に時間を使うことを楽しむ傾向。</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8" hidden="0" customWidth="1"/>
    <x:col min="5" max="5" width="58"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s>
  <x:sheetData>
    <x:row r="1">
      <x:c r="A1" s="162" t="str">
        <x:v>Interaction</x:v>
      </x:c>
      <x:c r="B1" s="162" t="str">
        <x:v>FactorA</x:v>
      </x:c>
      <x:c r="C1" s="162" t="str">
        <x:v>FactorB</x:v>
      </x:c>
      <x:c r="D1" s="162" t="str">
        <x:v>Mode</x:v>
      </x:c>
      <x:c r="E1" s="162" t="str">
        <x:v>説明</x:v>
      </x:c>
      <x:c r="F1" s="162" t="str">
        <x:v>Engage</x:v>
      </x:c>
      <x:c r="G1" s="162" t="str">
        <x:v>Dive</x:v>
      </x:c>
      <x:c r="H1" s="162" t="str">
        <x:v>Peel</x:v>
      </x:c>
      <x:c r="I1" s="162" t="str">
        <x:v>Frontline</x:v>
      </x:c>
      <x:c r="J1" s="162" t="str">
        <x:v>Poke</x:v>
      </x:c>
      <x:c r="K1" s="162" t="str">
        <x:v>FightTempo</x:v>
      </x:c>
      <x:c r="L1" s="162" t="str">
        <x:v>Control</x:v>
      </x:c>
      <x:c r="M1" s="162" t="str">
        <x:v>Support</x:v>
      </x:c>
      <x:c r="N1" s="162" t="str">
        <x:v>Mobility</x:v>
      </x:c>
      <x:c r="O1" s="162" t="str">
        <x:v>SelfSufficiency</x:v>
      </x:c>
      <x:c r="P1" s="162" t="str">
        <x:v>FarmScaling</x:v>
      </x:c>
      <x:c r="Q1" s="162" t="str">
        <x:v>ObjectiveSecure</x:v>
      </x:c>
      <x:c r="R1" s="162" t="str">
        <x:v>ScoringSide</x:v>
      </x:c>
      <x:c r="S1" s="162" t="str">
        <x:v>Execution</x:v>
      </x:c>
      <x:c r="T1" s="162" t="str">
        <x:v>Decision</x:v>
      </x:c>
    </x:row>
    <x:row r="2">
      <x:c r="A2" s="12" t="str">
        <x:v>Initiative×Risk</x:v>
      </x:c>
      <x:c r="B2" s="12" t="str">
        <x:v>Initiative</x:v>
      </x:c>
      <x:c r="C2" s="12" t="str">
        <x:v>RiskTolerance</x:v>
      </x:c>
      <x:c r="D2" s="12" t="str">
        <x:v>high_high</x:v>
      </x:c>
      <x:c r="E2" s="12" t="str">
        <x:v>自分から動く×勝負に出る → 切り込み型を強める</x:v>
      </x:c>
      <x:c r="F2" s="12" t="n">
        <x:v>12</x:v>
      </x:c>
      <x:c r="G2" s="12" t="n">
        <x:v>14</x:v>
      </x:c>
      <x:c r="H2" s="12" t="n">
        <x:v>0</x:v>
      </x:c>
      <x:c r="I2" s="12" t="n">
        <x:v>0</x:v>
      </x:c>
      <x:c r="J2" s="12" t="n">
        <x:v>0</x:v>
      </x:c>
      <x:c r="K2" s="12" t="n">
        <x:v>-8</x:v>
      </x:c>
      <x:c r="L2" s="12" t="n">
        <x:v>0</x:v>
      </x:c>
      <x:c r="M2" s="12" t="n">
        <x:v>0</x:v>
      </x:c>
      <x:c r="N2" s="12" t="n">
        <x:v>0</x:v>
      </x:c>
      <x:c r="O2" s="12" t="n">
        <x:v>0</x:v>
      </x:c>
      <x:c r="P2" s="12" t="n">
        <x:v>0</x:v>
      </x:c>
      <x:c r="Q2" s="12" t="n">
        <x:v>0</x:v>
      </x:c>
      <x:c r="R2" s="12" t="n">
        <x:v>0</x:v>
      </x:c>
      <x:c r="S2" s="12" t="n">
        <x:v>0</x:v>
      </x:c>
      <x:c r="T2" s="12" t="n">
        <x:v>0</x:v>
      </x:c>
    </x:row>
    <x:row r="3">
      <x:c r="A3" s="12" t="str">
        <x:v>Planning×Caution</x:v>
      </x:c>
      <x:c r="B3" s="12" t="str">
        <x:v>Planning</x:v>
      </x:c>
      <x:c r="C3" s="12" t="str">
        <x:v>RiskTolerance</x:v>
      </x:c>
      <x:c r="D3" s="12" t="str">
        <x:v>low_second</x:v>
      </x:c>
      <x:c r="E3" s="12" t="str">
        <x:v>先に考える×堅実 → 間合い・制御型を強める</x:v>
      </x:c>
      <x:c r="F3" s="12" t="n">
        <x:v>0</x:v>
      </x:c>
      <x:c r="G3" s="12" t="n">
        <x:v>0</x:v>
      </x:c>
      <x:c r="H3" s="12" t="n">
        <x:v>0</x:v>
      </x:c>
      <x:c r="I3" s="12" t="n">
        <x:v>0</x:v>
      </x:c>
      <x:c r="J3" s="12" t="n">
        <x:v>12</x:v>
      </x:c>
      <x:c r="K3" s="12" t="n">
        <x:v>0</x:v>
      </x:c>
      <x:c r="L3" s="12" t="n">
        <x:v>10</x:v>
      </x:c>
      <x:c r="M3" s="12" t="n">
        <x:v>0</x:v>
      </x:c>
      <x:c r="N3" s="12" t="n">
        <x:v>0</x:v>
      </x:c>
      <x:c r="O3" s="12" t="n">
        <x:v>0</x:v>
      </x:c>
      <x:c r="P3" s="12" t="n">
        <x:v>0</x:v>
      </x:c>
      <x:c r="Q3" s="12" t="n">
        <x:v>0</x:v>
      </x:c>
      <x:c r="R3" s="12" t="n">
        <x:v>0</x:v>
      </x:c>
      <x:c r="S3" s="12" t="n">
        <x:v>0</x:v>
      </x:c>
      <x:c r="T3" s="12" t="n">
        <x:v>6</x:v>
      </x:c>
    </x:row>
    <x:row r="4">
      <x:c r="A4" s="12" t="str">
        <x:v>Cooperation×Planning</x:v>
      </x:c>
      <x:c r="B4" s="12" t="str">
        <x:v>Cooperation</x:v>
      </x:c>
      <x:c r="C4" s="12" t="str">
        <x:v>Planning</x:v>
      </x:c>
      <x:c r="D4" s="12" t="str">
        <x:v>high_high</x:v>
      </x:c>
      <x:c r="E4" s="12" t="str">
        <x:v>味方に合わせる×先に考える → 保護・支援型を強める</x:v>
      </x:c>
      <x:c r="F4" s="12" t="n">
        <x:v>0</x:v>
      </x:c>
      <x:c r="G4" s="12" t="n">
        <x:v>0</x:v>
      </x:c>
      <x:c r="H4" s="12" t="n">
        <x:v>12</x:v>
      </x:c>
      <x:c r="I4" s="12" t="n">
        <x:v>0</x:v>
      </x:c>
      <x:c r="J4" s="12" t="n">
        <x:v>0</x:v>
      </x:c>
      <x:c r="K4" s="12" t="n">
        <x:v>0</x:v>
      </x:c>
      <x:c r="L4" s="12" t="n">
        <x:v>6</x:v>
      </x:c>
      <x:c r="M4" s="12" t="n">
        <x:v>10</x:v>
      </x:c>
      <x:c r="N4" s="12" t="n">
        <x:v>0</x:v>
      </x:c>
      <x:c r="O4" s="12" t="n">
        <x:v>0</x:v>
      </x:c>
      <x:c r="P4" s="12" t="n">
        <x:v>0</x:v>
      </x:c>
      <x:c r="Q4" s="12" t="n">
        <x:v>0</x:v>
      </x:c>
      <x:c r="R4" s="12" t="n">
        <x:v>0</x:v>
      </x:c>
      <x:c r="S4" s="12" t="n">
        <x:v>0</x:v>
      </x:c>
      <x:c r="T4" s="12" t="n">
        <x:v>0</x:v>
      </x:c>
    </x:row>
    <x:row r="5">
      <x:c r="A5" s="12" t="str">
        <x:v>SelfReliance×Adaptability</x:v>
      </x:c>
      <x:c r="B5" s="12" t="str">
        <x:v>SelfReliance</x:v>
      </x:c>
      <x:c r="C5" s="12" t="str">
        <x:v>Adaptability</x:v>
      </x:c>
      <x:c r="D5" s="12" t="str">
        <x:v>high_high</x:v>
      </x:c>
      <x:c r="E5" s="12" t="str">
        <x:v>自分で決める×状況で変える → 自走・遊撃型を強める</x:v>
      </x:c>
      <x:c r="F5" s="12" t="n">
        <x:v>0</x:v>
      </x:c>
      <x:c r="G5" s="12" t="n">
        <x:v>0</x:v>
      </x:c>
      <x:c r="H5" s="12" t="n">
        <x:v>0</x:v>
      </x:c>
      <x:c r="I5" s="12" t="n">
        <x:v>0</x:v>
      </x:c>
      <x:c r="J5" s="12" t="n">
        <x:v>0</x:v>
      </x:c>
      <x:c r="K5" s="12" t="n">
        <x:v>0</x:v>
      </x:c>
      <x:c r="L5" s="12" t="n">
        <x:v>0</x:v>
      </x:c>
      <x:c r="M5" s="12" t="n">
        <x:v>0</x:v>
      </x:c>
      <x:c r="N5" s="12" t="n">
        <x:v>9</x:v>
      </x:c>
      <x:c r="O5" s="12" t="n">
        <x:v>12</x:v>
      </x:c>
      <x:c r="P5" s="12" t="n">
        <x:v>0</x:v>
      </x:c>
      <x:c r="Q5" s="12" t="n">
        <x:v>0</x:v>
      </x:c>
      <x:c r="R5" s="12" t="n">
        <x:v>7</x:v>
      </x:c>
      <x:c r="S5" s="12" t="n">
        <x:v>0</x:v>
      </x:c>
      <x:c r="T5" s="12" t="n">
        <x:v>0</x:v>
      </x:c>
    </x:row>
    <x:row r="6">
      <x:c r="A6" s="12" t="str">
        <x:v>Mastery×Adaptability</x:v>
      </x:c>
      <x:c r="B6" s="12" t="str">
        <x:v>Mastery</x:v>
      </x:c>
      <x:c r="C6" s="12" t="str">
        <x:v>Adaptability</x:v>
      </x:c>
      <x:c r="D6" s="12" t="str">
        <x:v>high_high</x:v>
      </x:c>
      <x:c r="E6" s="12" t="str">
        <x:v>極める×状況で変える → 高操作・高判断型を強める</x:v>
      </x:c>
      <x:c r="F6" s="12" t="n">
        <x:v>0</x:v>
      </x:c>
      <x:c r="G6" s="12" t="n">
        <x:v>0</x:v>
      </x:c>
      <x:c r="H6" s="12" t="n">
        <x:v>0</x:v>
      </x:c>
      <x:c r="I6" s="12" t="n">
        <x:v>0</x:v>
      </x:c>
      <x:c r="J6" s="12" t="n">
        <x:v>0</x:v>
      </x:c>
      <x:c r="K6" s="12" t="n">
        <x:v>0</x:v>
      </x:c>
      <x:c r="L6" s="12" t="n">
        <x:v>0</x:v>
      </x:c>
      <x:c r="M6" s="12" t="n">
        <x:v>0</x:v>
      </x:c>
      <x:c r="N6" s="12" t="n">
        <x:v>4</x:v>
      </x:c>
      <x:c r="O6" s="12" t="n">
        <x:v>0</x:v>
      </x:c>
      <x:c r="P6" s="12" t="n">
        <x:v>0</x:v>
      </x:c>
      <x:c r="Q6" s="12" t="n">
        <x:v>0</x:v>
      </x:c>
      <x:c r="R6" s="12" t="n">
        <x:v>0</x:v>
      </x:c>
      <x:c r="S6" s="12" t="n">
        <x:v>12</x:v>
      </x:c>
      <x:c r="T6" s="12" t="n">
        <x:v>10</x:v>
      </x:c>
    </x:row>
    <x:row r="7">
      <x:c r="A7" s="12" t="str">
        <x:v>SelfReliance×Risk</x:v>
      </x:c>
      <x:c r="B7" s="12" t="str">
        <x:v>SelfReliance</x:v>
      </x:c>
      <x:c r="C7" s="12" t="str">
        <x:v>RiskTolerance</x:v>
      </x:c>
      <x:c r="D7" s="12" t="str">
        <x:v>high_high</x:v>
      </x:c>
      <x:c r="E7" s="12" t="str">
        <x:v>自分で決める×勝負に出る → 決め役を強める</x:v>
      </x:c>
      <x:c r="F7" s="12" t="n">
        <x:v>0</x:v>
      </x:c>
      <x:c r="G7" s="12" t="n">
        <x:v>6</x:v>
      </x:c>
      <x:c r="H7" s="12" t="n">
        <x:v>0</x:v>
      </x:c>
      <x:c r="I7" s="12" t="n">
        <x:v>0</x:v>
      </x:c>
      <x:c r="J7" s="12" t="n">
        <x:v>0</x:v>
      </x:c>
      <x:c r="K7" s="12" t="n">
        <x:v>0</x:v>
      </x:c>
      <x:c r="L7" s="12" t="n">
        <x:v>0</x:v>
      </x:c>
      <x:c r="M7" s="12" t="n">
        <x:v>0</x:v>
      </x:c>
      <x:c r="N7" s="12" t="n">
        <x:v>0</x:v>
      </x:c>
      <x:c r="O7" s="12" t="n">
        <x:v>0</x:v>
      </x:c>
      <x:c r="P7" s="12" t="n">
        <x:v>0</x:v>
      </x:c>
      <x:c r="Q7" s="12" t="n">
        <x:v>8</x:v>
      </x:c>
      <x:c r="R7" s="12" t="n">
        <x:v>0</x:v>
      </x:c>
      <x:c r="S7" s="12" t="n">
        <x:v>0</x:v>
      </x:c>
      <x:c r="T7" s="12" t="n">
        <x:v>0</x:v>
      </x:c>
    </x:row>
  </x:sheetData>
  <x:conditionalFormatting sqref="F2:T7">
    <x:cfRule type="colorScale" priority="1">
      <x:colorScale>
        <x:cfvo type="min"/>
        <x:cfvo type="percentile" val="50"/>
        <x:cfvo type="max"/>
        <x:color rgb="FFFECACA"/>
        <x:color rgb="FFFFFFFF"/>
        <x:color rgb="FFBFDBFE"/>
      </x:colorScale>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2" hidden="0" customWidth="1"/>
    <x:col min="5" max="5" width="12" hidden="0" customWidth="1"/>
    <x:col min="6" max="6" width="7" hidden="0" customWidth="1"/>
    <x:col min="7" max="7" width="7"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7" hidden="0" customWidth="1"/>
    <x:col min="17" max="17" width="7" hidden="0" customWidth="1"/>
    <x:col min="18" max="18" width="7" hidden="0" customWidth="1"/>
    <x:col min="19" max="19" width="7" hidden="0" customWidth="1"/>
    <x:col min="20" max="20" width="7" hidden="0" customWidth="1"/>
    <x:col min="21" max="21" width="7" hidden="0" customWidth="1"/>
    <x:col min="22" max="22" width="7" hidden="0" customWidth="1"/>
    <x:col min="23" max="23" width="7" hidden="0" customWidth="1"/>
    <x:col min="24" max="24" width="7" hidden="0" customWidth="1"/>
    <x:col min="25" max="25" width="7" hidden="0" customWidth="1"/>
    <x:col min="26" max="26" width="7" hidden="0" customWidth="1"/>
    <x:col min="27" max="27" width="7" hidden="0" customWidth="1"/>
    <x:col min="28" max="28" width="7" hidden="0" customWidth="1"/>
    <x:col min="29" max="29" width="7" hidden="0" customWidth="1"/>
    <x:col min="30" max="30" width="7" hidden="0" customWidth="1"/>
    <x:col min="31" max="31" width="7" hidden="0" customWidth="1"/>
    <x:col min="32" max="32" width="7" hidden="0" customWidth="1"/>
    <x:col min="33" max="33" width="7" hidden="0" customWidth="1"/>
    <x:col min="34" max="34" width="7" hidden="0" customWidth="1"/>
    <x:col min="35" max="35" width="7" hidden="0" customWidth="1"/>
    <x:col min="36" max="36" width="7" hidden="0" customWidth="1"/>
    <x:col min="37" max="37" width="7" hidden="0" customWidth="1"/>
    <x:col min="38" max="38" width="7" hidden="0" customWidth="1"/>
    <x:col min="39" max="39" width="7" hidden="0" customWidth="1"/>
    <x:col min="40" max="40" width="7" hidden="0" customWidth="1"/>
    <x:col min="41" max="41" width="7" hidden="0" customWidth="1"/>
    <x:col min="42" max="42" width="7" hidden="0" customWidth="1"/>
    <x:col min="43" max="43" width="7" hidden="0" customWidth="1"/>
    <x:col min="44" max="44" width="7" hidden="0" customWidth="1"/>
    <x:col min="45" max="45" width="7" hidden="0" customWidth="1"/>
    <x:col min="46" max="46" width="7" hidden="0" customWidth="1"/>
    <x:col min="47" max="47" width="7" hidden="0" customWidth="1"/>
    <x:col min="48" max="48" width="7" hidden="0" customWidth="1"/>
    <x:col min="49" max="49" width="7" hidden="0" customWidth="1"/>
    <x:col min="50" max="50" width="7" hidden="0" customWidth="1"/>
    <x:col min="51" max="51" width="7" hidden="0" customWidth="1"/>
    <x:col min="52" max="52" width="7" hidden="0" customWidth="1"/>
    <x:col min="53" max="53" width="7" hidden="0" customWidth="1"/>
    <x:col min="54" max="54" width="7" hidden="0" customWidth="1"/>
    <x:col min="55" max="55" width="7" hidden="0" customWidth="1"/>
    <x:col min="56" max="56" width="7" hidden="0" customWidth="1"/>
    <x:col min="57" max="57" width="7" hidden="0" customWidth="1"/>
    <x:col min="58" max="58" width="7" hidden="0" customWidth="1"/>
    <x:col min="59" max="59" width="7" hidden="0" customWidth="1"/>
    <x:col min="60" max="60" width="7" hidden="0" customWidth="1"/>
    <x:col min="61" max="61" width="7" hidden="0" customWidth="1"/>
    <x:col min="62" max="62" width="7" hidden="0" customWidth="1"/>
    <x:col min="63" max="63" width="7" hidden="0" customWidth="1"/>
    <x:col min="64" max="64" width="7" hidden="0" customWidth="1"/>
    <x:col min="65" max="65" width="7" hidden="0" customWidth="1"/>
    <x:col min="66" max="66" width="7" hidden="0" customWidth="1"/>
    <x:col min="67" max="67" width="7" hidden="0" customWidth="1"/>
    <x:col min="68" max="68" width="7" hidden="0" customWidth="1"/>
    <x:col min="69" max="69" width="7" hidden="0" customWidth="1"/>
    <x:col min="70" max="70" width="7" hidden="0" customWidth="1"/>
    <x:col min="71" max="71" width="7" hidden="0" customWidth="1"/>
    <x:col min="72" max="72" width="7" hidden="0" customWidth="1"/>
    <x:col min="73" max="73" width="7" hidden="0" customWidth="1"/>
    <x:col min="74" max="74" width="7" hidden="0" customWidth="1"/>
    <x:col min="75" max="75" width="7" hidden="0" customWidth="1"/>
    <x:col min="76" max="76" width="7" hidden="0" customWidth="1"/>
    <x:col min="77" max="77" width="7" hidden="0" customWidth="1"/>
    <x:col min="78" max="78" width="7" hidden="0" customWidth="1"/>
    <x:col min="79" max="79" width="7" hidden="0" customWidth="1"/>
    <x:col min="80" max="80" width="7" hidden="0" customWidth="1"/>
    <x:col min="81" max="81" width="7" hidden="0" customWidth="1"/>
    <x:col min="82" max="82" width="7" hidden="0" customWidth="1"/>
    <x:col min="83" max="83" width="7" hidden="0" customWidth="1"/>
    <x:col min="84" max="84" width="7" hidden="0" customWidth="1"/>
    <x:col min="85" max="85" width="7" hidden="0" customWidth="1"/>
    <x:col min="86" max="86" width="7" hidden="0" customWidth="1"/>
    <x:col min="87" max="87" width="7" hidden="0" customWidth="1"/>
    <x:col min="88" max="88" width="7" hidden="0" customWidth="1"/>
    <x:col min="89" max="89" width="7" hidden="0" customWidth="1"/>
    <x:col min="90" max="90" width="7" hidden="0" customWidth="1"/>
    <x:col min="91" max="91" width="7" hidden="0" customWidth="1"/>
    <x:col min="92" max="92" width="7" hidden="0" customWidth="1"/>
    <x:col min="93" max="93" width="7" hidden="0" customWidth="1"/>
    <x:col min="94" max="94" width="7" hidden="0" customWidth="1"/>
    <x:col min="95" max="95" width="7" hidden="0" customWidth="1"/>
    <x:col min="96" max="96" width="7" hidden="0" customWidth="1"/>
    <x:col min="97" max="97" width="7" hidden="0" customWidth="1"/>
    <x:col min="98" max="98" width="7" hidden="0" customWidth="1"/>
    <x:col min="99" max="99" width="7" hidden="0" customWidth="1"/>
    <x:col min="100" max="100" width="7" hidden="0" customWidth="1"/>
    <x:col min="101" max="101" width="7" hidden="0" customWidth="1"/>
    <x:col min="102" max="102" width="7" hidden="0" customWidth="1"/>
    <x:col min="103" max="103" width="7" hidden="0" customWidth="1"/>
    <x:col min="104" max="104" width="7" hidden="0" customWidth="1"/>
    <x:col min="105" max="105" width="7" hidden="0" customWidth="1"/>
    <x:col min="106" max="106" width="7" hidden="0" customWidth="1"/>
  </x:cols>
  <x:sheetData>
    <x:row r="1">
      <x:c r="A1" s="214" t="str">
        <x:v>ProfileID</x:v>
      </x:c>
      <x:c r="B1" s="214" t="str">
        <x:v>Pokemon</x:v>
      </x:c>
      <x:c r="C1" s="214" t="str">
        <x:v>ProfileName</x:v>
      </x:c>
      <x:c r="D1" s="214" t="str">
        <x:v>RawMean</x:v>
      </x:c>
      <x:c r="E1" s="214" t="str">
        <x:v>RawSD</x:v>
      </x:c>
      <x:c r="F1" s="214" t="str">
        <x:v>Q00</x:v>
      </x:c>
      <x:c r="G1" s="214" t="str">
        <x:v>Q01</x:v>
      </x:c>
      <x:c r="H1" s="214" t="str">
        <x:v>Q02</x:v>
      </x:c>
      <x:c r="I1" s="214" t="str">
        <x:v>Q03</x:v>
      </x:c>
      <x:c r="J1" s="214" t="str">
        <x:v>Q04</x:v>
      </x:c>
      <x:c r="K1" s="214" t="str">
        <x:v>Q05</x:v>
      </x:c>
      <x:c r="L1" s="214" t="str">
        <x:v>Q06</x:v>
      </x:c>
      <x:c r="M1" s="214" t="str">
        <x:v>Q07</x:v>
      </x:c>
      <x:c r="N1" s="214" t="str">
        <x:v>Q08</x:v>
      </x:c>
      <x:c r="O1" s="214" t="str">
        <x:v>Q09</x:v>
      </x:c>
      <x:c r="P1" s="214" t="str">
        <x:v>Q10</x:v>
      </x:c>
      <x:c r="Q1" s="214" t="str">
        <x:v>Q11</x:v>
      </x:c>
      <x:c r="R1" s="214" t="str">
        <x:v>Q12</x:v>
      </x:c>
      <x:c r="S1" s="214" t="str">
        <x:v>Q13</x:v>
      </x:c>
      <x:c r="T1" s="214" t="str">
        <x:v>Q14</x:v>
      </x:c>
      <x:c r="U1" s="214" t="str">
        <x:v>Q15</x:v>
      </x:c>
      <x:c r="V1" s="214" t="str">
        <x:v>Q16</x:v>
      </x:c>
      <x:c r="W1" s="214" t="str">
        <x:v>Q17</x:v>
      </x:c>
      <x:c r="X1" s="214" t="str">
        <x:v>Q18</x:v>
      </x:c>
      <x:c r="Y1" s="214" t="str">
        <x:v>Q19</x:v>
      </x:c>
      <x:c r="Z1" s="214" t="str">
        <x:v>Q20</x:v>
      </x:c>
      <x:c r="AA1" s="214" t="str">
        <x:v>Q21</x:v>
      </x:c>
      <x:c r="AB1" s="214" t="str">
        <x:v>Q22</x:v>
      </x:c>
      <x:c r="AC1" s="214" t="str">
        <x:v>Q23</x:v>
      </x:c>
      <x:c r="AD1" s="214" t="str">
        <x:v>Q24</x:v>
      </x:c>
      <x:c r="AE1" s="214" t="str">
        <x:v>Q25</x:v>
      </x:c>
      <x:c r="AF1" s="214" t="str">
        <x:v>Q26</x:v>
      </x:c>
      <x:c r="AG1" s="214" t="str">
        <x:v>Q27</x:v>
      </x:c>
      <x:c r="AH1" s="214" t="str">
        <x:v>Q28</x:v>
      </x:c>
      <x:c r="AI1" s="214" t="str">
        <x:v>Q29</x:v>
      </x:c>
      <x:c r="AJ1" s="214" t="str">
        <x:v>Q30</x:v>
      </x:c>
      <x:c r="AK1" s="214" t="str">
        <x:v>Q31</x:v>
      </x:c>
      <x:c r="AL1" s="214" t="str">
        <x:v>Q32</x:v>
      </x:c>
      <x:c r="AM1" s="214" t="str">
        <x:v>Q33</x:v>
      </x:c>
      <x:c r="AN1" s="214" t="str">
        <x:v>Q34</x:v>
      </x:c>
      <x:c r="AO1" s="214" t="str">
        <x:v>Q35</x:v>
      </x:c>
      <x:c r="AP1" s="214" t="str">
        <x:v>Q36</x:v>
      </x:c>
      <x:c r="AQ1" s="214" t="str">
        <x:v>Q37</x:v>
      </x:c>
      <x:c r="AR1" s="214" t="str">
        <x:v>Q38</x:v>
      </x:c>
      <x:c r="AS1" s="214" t="str">
        <x:v>Q39</x:v>
      </x:c>
      <x:c r="AT1" s="214" t="str">
        <x:v>Q40</x:v>
      </x:c>
      <x:c r="AU1" s="214" t="str">
        <x:v>Q41</x:v>
      </x:c>
      <x:c r="AV1" s="214" t="str">
        <x:v>Q42</x:v>
      </x:c>
      <x:c r="AW1" s="214" t="str">
        <x:v>Q43</x:v>
      </x:c>
      <x:c r="AX1" s="214" t="str">
        <x:v>Q44</x:v>
      </x:c>
      <x:c r="AY1" s="214" t="str">
        <x:v>Q45</x:v>
      </x:c>
      <x:c r="AZ1" s="214" t="str">
        <x:v>Q46</x:v>
      </x:c>
      <x:c r="BA1" s="214" t="str">
        <x:v>Q47</x:v>
      </x:c>
      <x:c r="BB1" s="214" t="str">
        <x:v>Q48</x:v>
      </x:c>
      <x:c r="BC1" s="214" t="str">
        <x:v>Q49</x:v>
      </x:c>
      <x:c r="BD1" s="214" t="str">
        <x:v>Q50</x:v>
      </x:c>
      <x:c r="BE1" s="214" t="str">
        <x:v>Q51</x:v>
      </x:c>
      <x:c r="BF1" s="214" t="str">
        <x:v>Q52</x:v>
      </x:c>
      <x:c r="BG1" s="214" t="str">
        <x:v>Q53</x:v>
      </x:c>
      <x:c r="BH1" s="214" t="str">
        <x:v>Q54</x:v>
      </x:c>
      <x:c r="BI1" s="214" t="str">
        <x:v>Q55</x:v>
      </x:c>
      <x:c r="BJ1" s="214" t="str">
        <x:v>Q56</x:v>
      </x:c>
      <x:c r="BK1" s="214" t="str">
        <x:v>Q57</x:v>
      </x:c>
      <x:c r="BL1" s="214" t="str">
        <x:v>Q58</x:v>
      </x:c>
      <x:c r="BM1" s="214" t="str">
        <x:v>Q59</x:v>
      </x:c>
      <x:c r="BN1" s="214" t="str">
        <x:v>Q60</x:v>
      </x:c>
      <x:c r="BO1" s="214" t="str">
        <x:v>Q61</x:v>
      </x:c>
      <x:c r="BP1" s="214" t="str">
        <x:v>Q62</x:v>
      </x:c>
      <x:c r="BQ1" s="214" t="str">
        <x:v>Q63</x:v>
      </x:c>
      <x:c r="BR1" s="214" t="str">
        <x:v>Q64</x:v>
      </x:c>
      <x:c r="BS1" s="214" t="str">
        <x:v>Q65</x:v>
      </x:c>
      <x:c r="BT1" s="214" t="str">
        <x:v>Q66</x:v>
      </x:c>
      <x:c r="BU1" s="214" t="str">
        <x:v>Q67</x:v>
      </x:c>
      <x:c r="BV1" s="214" t="str">
        <x:v>Q68</x:v>
      </x:c>
      <x:c r="BW1" s="214" t="str">
        <x:v>Q69</x:v>
      </x:c>
      <x:c r="BX1" s="214" t="str">
        <x:v>Q70</x:v>
      </x:c>
      <x:c r="BY1" s="214" t="str">
        <x:v>Q71</x:v>
      </x:c>
      <x:c r="BZ1" s="214" t="str">
        <x:v>Q72</x:v>
      </x:c>
      <x:c r="CA1" s="214" t="str">
        <x:v>Q73</x:v>
      </x:c>
      <x:c r="CB1" s="214" t="str">
        <x:v>Q74</x:v>
      </x:c>
      <x:c r="CC1" s="214" t="str">
        <x:v>Q75</x:v>
      </x:c>
      <x:c r="CD1" s="214" t="str">
        <x:v>Q76</x:v>
      </x:c>
      <x:c r="CE1" s="214" t="str">
        <x:v>Q77</x:v>
      </x:c>
      <x:c r="CF1" s="214" t="str">
        <x:v>Q78</x:v>
      </x:c>
      <x:c r="CG1" s="214" t="str">
        <x:v>Q79</x:v>
      </x:c>
      <x:c r="CH1" s="214" t="str">
        <x:v>Q80</x:v>
      </x:c>
      <x:c r="CI1" s="214" t="str">
        <x:v>Q81</x:v>
      </x:c>
      <x:c r="CJ1" s="214" t="str">
        <x:v>Q82</x:v>
      </x:c>
      <x:c r="CK1" s="214" t="str">
        <x:v>Q83</x:v>
      </x:c>
      <x:c r="CL1" s="214" t="str">
        <x:v>Q84</x:v>
      </x:c>
      <x:c r="CM1" s="214" t="str">
        <x:v>Q85</x:v>
      </x:c>
      <x:c r="CN1" s="214" t="str">
        <x:v>Q86</x:v>
      </x:c>
      <x:c r="CO1" s="214" t="str">
        <x:v>Q87</x:v>
      </x:c>
      <x:c r="CP1" s="214" t="str">
        <x:v>Q88</x:v>
      </x:c>
      <x:c r="CQ1" s="214" t="str">
        <x:v>Q89</x:v>
      </x:c>
      <x:c r="CR1" s="214" t="str">
        <x:v>Q90</x:v>
      </x:c>
      <x:c r="CS1" s="214" t="str">
        <x:v>Q91</x:v>
      </x:c>
      <x:c r="CT1" s="214" t="str">
        <x:v>Q92</x:v>
      </x:c>
      <x:c r="CU1" s="214" t="str">
        <x:v>Q93</x:v>
      </x:c>
      <x:c r="CV1" s="214" t="str">
        <x:v>Q94</x:v>
      </x:c>
      <x:c r="CW1" s="214" t="str">
        <x:v>Q95</x:v>
      </x:c>
      <x:c r="CX1" s="214" t="str">
        <x:v>Q96</x:v>
      </x:c>
      <x:c r="CY1" s="214" t="str">
        <x:v>Q97</x:v>
      </x:c>
      <x:c r="CZ1" s="214" t="str">
        <x:v>Q98</x:v>
      </x:c>
      <x:c r="DA1" s="214" t="str">
        <x:v>Q99</x:v>
      </x:c>
      <x:c r="DB1" s="214" t="str">
        <x:v>Q100</x:v>
      </x:c>
    </x:row>
    <x:row r="2">
      <x:c r="A2" t="str">
        <x:v>アローラキュウコン-1</x:v>
      </x:c>
      <x:c r="B2" t="str">
        <x:v>アローラキュウコン</x:v>
      </x:c>
      <x:c r="C2" t="str">
        <x:v>ふぶき</x:v>
      </x:c>
      <x:c r="D2" s="60" t="n">
        <x:v>61.1688</x:v>
      </x:c>
      <x:c r="E2" s="60" t="n">
        <x:v>6.7871</x:v>
      </x:c>
      <x:c r="F2" s="60" t="n">
        <x:v>38.6797</x:v>
      </x:c>
      <x:c r="G2" s="60" t="n">
        <x:v>45.183</x:v>
      </x:c>
      <x:c r="H2" s="60" t="n">
        <x:v>46.6351</x:v>
      </x:c>
      <x:c r="I2" s="60" t="n">
        <x:v>47.6302</x:v>
      </x:c>
      <x:c r="J2" s="60" t="n">
        <x:v>48.3955</x:v>
      </x:c>
      <x:c r="K2" s="60" t="n">
        <x:v>49.0334</x:v>
      </x:c>
      <x:c r="L2" s="60" t="n">
        <x:v>49.6432</x:v>
      </x:c>
      <x:c r="M2" s="60" t="n">
        <x:v>50.185</x:v>
      </x:c>
      <x:c r="N2" s="60" t="n">
        <x:v>50.6377</x:v>
      </x:c>
      <x:c r="O2" s="60" t="n">
        <x:v>51.0897</x:v>
      </x:c>
      <x:c r="P2" s="60" t="n">
        <x:v>51.4901</x:v>
      </x:c>
      <x:c r="Q2" s="60" t="n">
        <x:v>51.936</x:v>
      </x:c>
      <x:c r="R2" s="60" t="n">
        <x:v>52.3463</x:v>
      </x:c>
      <x:c r="S2" s="60" t="n">
        <x:v>52.7596</x:v>
      </x:c>
      <x:c r="T2" s="60" t="n">
        <x:v>53.1156</x:v>
      </x:c>
      <x:c r="U2" s="60" t="n">
        <x:v>53.4364</x:v>
      </x:c>
      <x:c r="V2" s="60" t="n">
        <x:v>53.7718</x:v>
      </x:c>
      <x:c r="W2" s="60" t="n">
        <x:v>54.0829</x:v>
      </x:c>
      <x:c r="X2" s="60" t="n">
        <x:v>54.3468</x:v>
      </x:c>
      <x:c r="Y2" s="60" t="n">
        <x:v>54.6653</x:v>
      </x:c>
      <x:c r="Z2" s="60" t="n">
        <x:v>54.9779</x:v>
      </x:c>
      <x:c r="AA2" s="60" t="n">
        <x:v>55.3267</x:v>
      </x:c>
      <x:c r="AB2" s="60" t="n">
        <x:v>55.6287</x:v>
      </x:c>
      <x:c r="AC2" s="60" t="n">
        <x:v>55.8993</x:v>
      </x:c>
      <x:c r="AD2" s="60" t="n">
        <x:v>56.174</x:v>
      </x:c>
      <x:c r="AE2" s="60" t="n">
        <x:v>56.4486</x:v>
      </x:c>
      <x:c r="AF2" s="60" t="n">
        <x:v>56.7196</x:v>
      </x:c>
      <x:c r="AG2" s="60" t="n">
        <x:v>56.9871</x:v>
      </x:c>
      <x:c r="AH2" s="60" t="n">
        <x:v>57.2285</x:v>
      </x:c>
      <x:c r="AI2" s="60" t="n">
        <x:v>57.4563</x:v>
      </x:c>
      <x:c r="AJ2" s="60" t="n">
        <x:v>57.6911</x:v>
      </x:c>
      <x:c r="AK2" s="60" t="n">
        <x:v>57.9269</x:v>
      </x:c>
      <x:c r="AL2" s="60" t="n">
        <x:v>58.1403</x:v>
      </x:c>
      <x:c r="AM2" s="60" t="n">
        <x:v>58.3713</x:v>
      </x:c>
      <x:c r="AN2" s="60" t="n">
        <x:v>58.5748</x:v>
      </x:c>
      <x:c r="AO2" s="60" t="n">
        <x:v>58.8142</x:v>
      </x:c>
      <x:c r="AP2" s="60" t="n">
        <x:v>59.0387</x:v>
      </x:c>
      <x:c r="AQ2" s="60" t="n">
        <x:v>59.2624</x:v>
      </x:c>
      <x:c r="AR2" s="60" t="n">
        <x:v>59.4657</x:v>
      </x:c>
      <x:c r="AS2" s="60" t="n">
        <x:v>59.7045</x:v>
      </x:c>
      <x:c r="AT2" s="60" t="n">
        <x:v>59.9383</x:v>
      </x:c>
      <x:c r="AU2" s="60" t="n">
        <x:v>60.1292</x:v>
      </x:c>
      <x:c r="AV2" s="60" t="n">
        <x:v>60.3105</x:v>
      </x:c>
      <x:c r="AW2" s="60" t="n">
        <x:v>60.5194</x:v>
      </x:c>
      <x:c r="AX2" s="60" t="n">
        <x:v>60.7087</x:v>
      </x:c>
      <x:c r="AY2" s="60" t="n">
        <x:v>60.9106</x:v>
      </x:c>
      <x:c r="AZ2" s="60" t="n">
        <x:v>61.0946</x:v>
      </x:c>
      <x:c r="BA2" s="60" t="n">
        <x:v>61.2778</x:v>
      </x:c>
      <x:c r="BB2" s="60" t="n">
        <x:v>61.4524</x:v>
      </x:c>
      <x:c r="BC2" s="60" t="n">
        <x:v>61.6376</x:v>
      </x:c>
      <x:c r="BD2" s="60" t="n">
        <x:v>61.8318</x:v>
      </x:c>
      <x:c r="BE2" s="60" t="n">
        <x:v>62.0021</x:v>
      </x:c>
      <x:c r="BF2" s="60" t="n">
        <x:v>62.1745</x:v>
      </x:c>
      <x:c r="BG2" s="60" t="n">
        <x:v>62.3568</x:v>
      </x:c>
      <x:c r="BH2" s="60" t="n">
        <x:v>62.5328</x:v>
      </x:c>
      <x:c r="BI2" s="60" t="n">
        <x:v>62.7152</x:v>
      </x:c>
      <x:c r="BJ2" s="60" t="n">
        <x:v>62.9237</x:v>
      </x:c>
      <x:c r="BK2" s="60" t="n">
        <x:v>63.1154</x:v>
      </x:c>
      <x:c r="BL2" s="60" t="n">
        <x:v>63.2961</x:v>
      </x:c>
      <x:c r="BM2" s="60" t="n">
        <x:v>63.4889</x:v>
      </x:c>
      <x:c r="BN2" s="60" t="n">
        <x:v>63.6437</x:v>
      </x:c>
      <x:c r="BO2" s="60" t="n">
        <x:v>63.8185</x:v>
      </x:c>
      <x:c r="BP2" s="60" t="n">
        <x:v>63.9806</x:v>
      </x:c>
      <x:c r="BQ2" s="60" t="n">
        <x:v>64.1764</x:v>
      </x:c>
      <x:c r="BR2" s="60" t="n">
        <x:v>64.3574</x:v>
      </x:c>
      <x:c r="BS2" s="60" t="n">
        <x:v>64.5641</x:v>
      </x:c>
      <x:c r="BT2" s="60" t="n">
        <x:v>64.7288</x:v>
      </x:c>
      <x:c r="BU2" s="60" t="n">
        <x:v>64.9063</x:v>
      </x:c>
      <x:c r="BV2" s="60" t="n">
        <x:v>65.0919</x:v>
      </x:c>
      <x:c r="BW2" s="60" t="n">
        <x:v>65.2922</x:v>
      </x:c>
      <x:c r="BX2" s="60" t="n">
        <x:v>65.4687</x:v>
      </x:c>
      <x:c r="BY2" s="60" t="n">
        <x:v>65.6458</x:v>
      </x:c>
      <x:c r="BZ2" s="60" t="n">
        <x:v>65.8323</x:v>
      </x:c>
      <x:c r="CA2" s="60" t="n">
        <x:v>66.0152</x:v>
      </x:c>
      <x:c r="CB2" s="60" t="n">
        <x:v>66.1978</x:v>
      </x:c>
      <x:c r="CC2" s="60" t="n">
        <x:v>66.3715</x:v>
      </x:c>
      <x:c r="CD2" s="60" t="n">
        <x:v>66.5535</x:v>
      </x:c>
      <x:c r="CE2" s="60" t="n">
        <x:v>66.7434</x:v>
      </x:c>
      <x:c r="CF2" s="60" t="n">
        <x:v>66.9354</x:v>
      </x:c>
      <x:c r="CG2" s="60" t="n">
        <x:v>67.1572</x:v>
      </x:c>
      <x:c r="CH2" s="60" t="n">
        <x:v>67.3479</x:v>
      </x:c>
      <x:c r="CI2" s="60" t="n">
        <x:v>67.5689</x:v>
      </x:c>
      <x:c r="CJ2" s="60" t="n">
        <x:v>67.7641</x:v>
      </x:c>
      <x:c r="CK2" s="60" t="n">
        <x:v>67.9895</x:v>
      </x:c>
      <x:c r="CL2" s="60" t="n">
        <x:v>68.2038</x:v>
      </x:c>
      <x:c r="CM2" s="60" t="n">
        <x:v>68.4152</x:v>
      </x:c>
      <x:c r="CN2" s="60" t="n">
        <x:v>68.652</x:v>
      </x:c>
      <x:c r="CO2" s="60" t="n">
        <x:v>68.8818</x:v>
      </x:c>
      <x:c r="CP2" s="60" t="n">
        <x:v>69.1127</x:v>
      </x:c>
      <x:c r="CQ2" s="60" t="n">
        <x:v>69.342</x:v>
      </x:c>
      <x:c r="CR2" s="60" t="n">
        <x:v>69.6373</x:v>
      </x:c>
      <x:c r="CS2" s="60" t="n">
        <x:v>69.9085</x:v>
      </x:c>
      <x:c r="CT2" s="60" t="n">
        <x:v>70.173</x:v>
      </x:c>
      <x:c r="CU2" s="60" t="n">
        <x:v>70.4924</x:v>
      </x:c>
      <x:c r="CV2" s="60" t="n">
        <x:v>70.8602</x:v>
      </x:c>
      <x:c r="CW2" s="60" t="n">
        <x:v>71.2048</x:v>
      </x:c>
      <x:c r="CX2" s="60" t="n">
        <x:v>71.6101</x:v>
      </x:c>
      <x:c r="CY2" s="60" t="n">
        <x:v>72.1026</x:v>
      </x:c>
      <x:c r="CZ2" s="60" t="n">
        <x:v>72.8137</x:v>
      </x:c>
      <x:c r="DA2" s="60" t="n">
        <x:v>73.6356</x:v>
      </x:c>
      <x:c r="DB2" s="60" t="n">
        <x:v>78.3942</x:v>
      </x:c>
    </x:row>
    <x:row r="3">
      <x:c r="A3" t="str">
        <x:v>アローラキュウコン-2</x:v>
      </x:c>
      <x:c r="B3" t="str">
        <x:v>アローラキュウコン</x:v>
      </x:c>
      <x:c r="C3" t="str">
        <x:v>オーロラベール</x:v>
      </x:c>
      <x:c r="D3" s="60" t="n">
        <x:v>62.8592</x:v>
      </x:c>
      <x:c r="E3" s="60" t="n">
        <x:v>10.2433</x:v>
      </x:c>
      <x:c r="F3" s="60" t="n">
        <x:v>31.5983</x:v>
      </x:c>
      <x:c r="G3" s="60" t="n">
        <x:v>38.8747</x:v>
      </x:c>
      <x:c r="H3" s="60" t="n">
        <x:v>40.3188</x:v>
      </x:c>
      <x:c r="I3" s="60" t="n">
        <x:v>41.4484</x:v>
      </x:c>
      <x:c r="J3" s="60" t="n">
        <x:v>42.468</x:v>
      </x:c>
      <x:c r="K3" s="60" t="n">
        <x:v>43.4152</x:v>
      </x:c>
      <x:c r="L3" s="60" t="n">
        <x:v>44.2779</x:v>
      </x:c>
      <x:c r="M3" s="60" t="n">
        <x:v>44.9984</x:v>
      </x:c>
      <x:c r="N3" s="60" t="n">
        <x:v>45.8283</x:v>
      </x:c>
      <x:c r="O3" s="60" t="n">
        <x:v>46.5974</x:v>
      </x:c>
      <x:c r="P3" s="60" t="n">
        <x:v>47.3893</x:v>
      </x:c>
      <x:c r="Q3" s="60" t="n">
        <x:v>48.0928</x:v>
      </x:c>
      <x:c r="R3" s="60" t="n">
        <x:v>48.7756</x:v>
      </x:c>
      <x:c r="S3" s="60" t="n">
        <x:v>49.3734</x:v>
      </x:c>
      <x:c r="T3" s="60" t="n">
        <x:v>49.9662</x:v>
      </x:c>
      <x:c r="U3" s="60" t="n">
        <x:v>50.6425</x:v>
      </x:c>
      <x:c r="V3" s="60" t="n">
        <x:v>51.2788</x:v>
      </x:c>
      <x:c r="W3" s="60" t="n">
        <x:v>51.8703</x:v>
      </x:c>
      <x:c r="X3" s="60" t="n">
        <x:v>52.3991</x:v>
      </x:c>
      <x:c r="Y3" s="60" t="n">
        <x:v>52.8698</x:v>
      </x:c>
      <x:c r="Z3" s="60" t="n">
        <x:v>53.317</x:v>
      </x:c>
      <x:c r="AA3" s="60" t="n">
        <x:v>53.8217</x:v>
      </x:c>
      <x:c r="AB3" s="60" t="n">
        <x:v>54.3306</x:v>
      </x:c>
      <x:c r="AC3" s="60" t="n">
        <x:v>54.8227</x:v>
      </x:c>
      <x:c r="AD3" s="60" t="n">
        <x:v>55.2667</x:v>
      </x:c>
      <x:c r="AE3" s="60" t="n">
        <x:v>55.7414</x:v>
      </x:c>
      <x:c r="AF3" s="60" t="n">
        <x:v>56.1966</x:v>
      </x:c>
      <x:c r="AG3" s="60" t="n">
        <x:v>56.6386</x:v>
      </x:c>
      <x:c r="AH3" s="60" t="n">
        <x:v>57.0343</x:v>
      </x:c>
      <x:c r="AI3" s="60" t="n">
        <x:v>57.4392</x:v>
      </x:c>
      <x:c r="AJ3" s="60" t="n">
        <x:v>57.8251</x:v>
      </x:c>
      <x:c r="AK3" s="60" t="n">
        <x:v>58.2186</x:v>
      </x:c>
      <x:c r="AL3" s="60" t="n">
        <x:v>58.5866</x:v>
      </x:c>
      <x:c r="AM3" s="60" t="n">
        <x:v>58.9652</x:v>
      </x:c>
      <x:c r="AN3" s="60" t="n">
        <x:v>59.346</x:v>
      </x:c>
      <x:c r="AO3" s="60" t="n">
        <x:v>59.7129</x:v>
      </x:c>
      <x:c r="AP3" s="60" t="n">
        <x:v>60.0675</x:v>
      </x:c>
      <x:c r="AQ3" s="60" t="n">
        <x:v>60.4595</x:v>
      </x:c>
      <x:c r="AR3" s="60" t="n">
        <x:v>60.8468</x:v>
      </x:c>
      <x:c r="AS3" s="60" t="n">
        <x:v>61.2339</x:v>
      </x:c>
      <x:c r="AT3" s="60" t="n">
        <x:v>61.5678</x:v>
      </x:c>
      <x:c r="AU3" s="60" t="n">
        <x:v>61.9092</x:v>
      </x:c>
      <x:c r="AV3" s="60" t="n">
        <x:v>62.207</x:v>
      </x:c>
      <x:c r="AW3" s="60" t="n">
        <x:v>62.5468</x:v>
      </x:c>
      <x:c r="AX3" s="60" t="n">
        <x:v>62.8477</x:v>
      </x:c>
      <x:c r="AY3" s="60" t="n">
        <x:v>63.1553</x:v>
      </x:c>
      <x:c r="AZ3" s="60" t="n">
        <x:v>63.4641</x:v>
      </x:c>
      <x:c r="BA3" s="60" t="n">
        <x:v>63.7739</x:v>
      </x:c>
      <x:c r="BB3" s="60" t="n">
        <x:v>64.0565</x:v>
      </x:c>
      <x:c r="BC3" s="60" t="n">
        <x:v>64.3602</x:v>
      </x:c>
      <x:c r="BD3" s="60" t="n">
        <x:v>64.6941</x:v>
      </x:c>
      <x:c r="BE3" s="60" t="n">
        <x:v>64.9964</x:v>
      </x:c>
      <x:c r="BF3" s="60" t="n">
        <x:v>65.3051</x:v>
      </x:c>
      <x:c r="BG3" s="60" t="n">
        <x:v>65.55</x:v>
      </x:c>
      <x:c r="BH3" s="60" t="n">
        <x:v>65.8562</x:v>
      </x:c>
      <x:c r="BI3" s="60" t="n">
        <x:v>66.1667</x:v>
      </x:c>
      <x:c r="BJ3" s="60" t="n">
        <x:v>66.4352</x:v>
      </x:c>
      <x:c r="BK3" s="60" t="n">
        <x:v>66.7015</x:v>
      </x:c>
      <x:c r="BL3" s="60" t="n">
        <x:v>66.9899</x:v>
      </x:c>
      <x:c r="BM3" s="60" t="n">
        <x:v>67.2335</x:v>
      </x:c>
      <x:c r="BN3" s="60" t="n">
        <x:v>67.4758</x:v>
      </x:c>
      <x:c r="BO3" s="60" t="n">
        <x:v>67.7479</x:v>
      </x:c>
      <x:c r="BP3" s="60" t="n">
        <x:v>67.9819</x:v>
      </x:c>
      <x:c r="BQ3" s="60" t="n">
        <x:v>68.2054</x:v>
      </x:c>
      <x:c r="BR3" s="60" t="n">
        <x:v>68.4727</x:v>
      </x:c>
      <x:c r="BS3" s="60" t="n">
        <x:v>68.7056</x:v>
      </x:c>
      <x:c r="BT3" s="60" t="n">
        <x:v>68.9771</x:v>
      </x:c>
      <x:c r="BU3" s="60" t="n">
        <x:v>69.2247</x:v>
      </x:c>
      <x:c r="BV3" s="60" t="n">
        <x:v>69.5048</x:v>
      </x:c>
      <x:c r="BW3" s="60" t="n">
        <x:v>69.7319</x:v>
      </x:c>
      <x:c r="BX3" s="60" t="n">
        <x:v>69.987</x:v>
      </x:c>
      <x:c r="BY3" s="60" t="n">
        <x:v>70.2208</x:v>
      </x:c>
      <x:c r="BZ3" s="60" t="n">
        <x:v>70.4554</x:v>
      </x:c>
      <x:c r="CA3" s="60" t="n">
        <x:v>70.7252</x:v>
      </x:c>
      <x:c r="CB3" s="60" t="n">
        <x:v>70.9925</x:v>
      </x:c>
      <x:c r="CC3" s="60" t="n">
        <x:v>71.2257</x:v>
      </x:c>
      <x:c r="CD3" s="60" t="n">
        <x:v>71.4707</x:v>
      </x:c>
      <x:c r="CE3" s="60" t="n">
        <x:v>71.6903</x:v>
      </x:c>
      <x:c r="CF3" s="60" t="n">
        <x:v>71.9269</x:v>
      </x:c>
      <x:c r="CG3" s="60" t="n">
        <x:v>72.1928</x:v>
      </x:c>
      <x:c r="CH3" s="60" t="n">
        <x:v>72.4325</x:v>
      </x:c>
      <x:c r="CI3" s="60" t="n">
        <x:v>72.6586</x:v>
      </x:c>
      <x:c r="CJ3" s="60" t="n">
        <x:v>72.9325</x:v>
      </x:c>
      <x:c r="CK3" s="60" t="n">
        <x:v>73.1758</x:v>
      </x:c>
      <x:c r="CL3" s="60" t="n">
        <x:v>73.4065</x:v>
      </x:c>
      <x:c r="CM3" s="60" t="n">
        <x:v>73.6482</x:v>
      </x:c>
      <x:c r="CN3" s="60" t="n">
        <x:v>73.8974</x:v>
      </x:c>
      <x:c r="CO3" s="60" t="n">
        <x:v>74.1474</x:v>
      </x:c>
      <x:c r="CP3" s="60" t="n">
        <x:v>74.4126</x:v>
      </x:c>
      <x:c r="CQ3" s="60" t="n">
        <x:v>74.6906</x:v>
      </x:c>
      <x:c r="CR3" s="60" t="n">
        <x:v>74.9375</x:v>
      </x:c>
      <x:c r="CS3" s="60" t="n">
        <x:v>75.2329</x:v>
      </x:c>
      <x:c r="CT3" s="60" t="n">
        <x:v>75.5074</x:v>
      </x:c>
      <x:c r="CU3" s="60" t="n">
        <x:v>75.8303</x:v>
      </x:c>
      <x:c r="CV3" s="60" t="n">
        <x:v>76.1385</x:v>
      </x:c>
      <x:c r="CW3" s="60" t="n">
        <x:v>76.4875</x:v>
      </x:c>
      <x:c r="CX3" s="60" t="n">
        <x:v>76.9107</x:v>
      </x:c>
      <x:c r="CY3" s="60" t="n">
        <x:v>77.3199</x:v>
      </x:c>
      <x:c r="CZ3" s="60" t="n">
        <x:v>77.8065</x:v>
      </x:c>
      <x:c r="DA3" s="60" t="n">
        <x:v>78.5524</x:v>
      </x:c>
      <x:c r="DB3" s="60" t="n">
        <x:v>81.1136</x:v>
      </x:c>
    </x:row>
    <x:row r="4">
      <x:c r="A4" t="str">
        <x:v>アローラライチュウ-1</x:v>
      </x:c>
      <x:c r="B4" t="str">
        <x:v>アローラライチュウ</x:v>
      </x:c>
      <x:c r="C4" t="str">
        <x:v>共通</x:v>
      </x:c>
      <x:c r="D4" s="60" t="n">
        <x:v>63.359</x:v>
      </x:c>
      <x:c r="E4" s="60" t="n">
        <x:v>10.4322</x:v>
      </x:c>
      <x:c r="F4" s="60" t="n">
        <x:v>30.744</x:v>
      </x:c>
      <x:c r="G4" s="60" t="n">
        <x:v>39.8417</x:v>
      </x:c>
      <x:c r="H4" s="60" t="n">
        <x:v>41.5997</x:v>
      </x:c>
      <x:c r="I4" s="60" t="n">
        <x:v>42.9136</x:v>
      </x:c>
      <x:c r="J4" s="60" t="n">
        <x:v>43.8613</x:v>
      </x:c>
      <x:c r="K4" s="60" t="n">
        <x:v>44.8132</x:v>
      </x:c>
      <x:c r="L4" s="60" t="n">
        <x:v>45.5354</x:v>
      </x:c>
      <x:c r="M4" s="60" t="n">
        <x:v>46.3297</x:v>
      </x:c>
      <x:c r="N4" s="60" t="n">
        <x:v>47.1499</x:v>
      </x:c>
      <x:c r="O4" s="60" t="n">
        <x:v>47.9173</x:v>
      </x:c>
      <x:c r="P4" s="60" t="n">
        <x:v>48.5767</x:v>
      </x:c>
      <x:c r="Q4" s="60" t="n">
        <x:v>49.0811</x:v>
      </x:c>
      <x:c r="R4" s="60" t="n">
        <x:v>49.6804</x:v>
      </x:c>
      <x:c r="S4" s="60" t="n">
        <x:v>50.256</x:v>
      </x:c>
      <x:c r="T4" s="60" t="n">
        <x:v>50.792</x:v>
      </x:c>
      <x:c r="U4" s="60" t="n">
        <x:v>51.3541</x:v>
      </x:c>
      <x:c r="V4" s="60" t="n">
        <x:v>51.8302</x:v>
      </x:c>
      <x:c r="W4" s="60" t="n">
        <x:v>52.3444</x:v>
      </x:c>
      <x:c r="X4" s="60" t="n">
        <x:v>52.8169</x:v>
      </x:c>
      <x:c r="Y4" s="60" t="n">
        <x:v>53.2767</x:v>
      </x:c>
      <x:c r="Z4" s="60" t="n">
        <x:v>53.7357</x:v>
      </x:c>
      <x:c r="AA4" s="60" t="n">
        <x:v>54.1425</x:v>
      </x:c>
      <x:c r="AB4" s="60" t="n">
        <x:v>54.5877</x:v>
      </x:c>
      <x:c r="AC4" s="60" t="n">
        <x:v>54.9665</x:v>
      </x:c>
      <x:c r="AD4" s="60" t="n">
        <x:v>55.4183</x:v>
      </x:c>
      <x:c r="AE4" s="60" t="n">
        <x:v>55.8553</x:v>
      </x:c>
      <x:c r="AF4" s="60" t="n">
        <x:v>56.2246</x:v>
      </x:c>
      <x:c r="AG4" s="60" t="n">
        <x:v>56.6116</x:v>
      </x:c>
      <x:c r="AH4" s="60" t="n">
        <x:v>57.0009</x:v>
      </x:c>
      <x:c r="AI4" s="60" t="n">
        <x:v>57.3551</x:v>
      </x:c>
      <x:c r="AJ4" s="60" t="n">
        <x:v>57.7506</x:v>
      </x:c>
      <x:c r="AK4" s="60" t="n">
        <x:v>58.103</x:v>
      </x:c>
      <x:c r="AL4" s="60" t="n">
        <x:v>58.4584</x:v>
      </x:c>
      <x:c r="AM4" s="60" t="n">
        <x:v>58.8126</x:v>
      </x:c>
      <x:c r="AN4" s="60" t="n">
        <x:v>59.19</x:v>
      </x:c>
      <x:c r="AO4" s="60" t="n">
        <x:v>59.499</x:v>
      </x:c>
      <x:c r="AP4" s="60" t="n">
        <x:v>59.8371</x:v>
      </x:c>
      <x:c r="AQ4" s="60" t="n">
        <x:v>60.1903</x:v>
      </x:c>
      <x:c r="AR4" s="60" t="n">
        <x:v>60.527</x:v>
      </x:c>
      <x:c r="AS4" s="60" t="n">
        <x:v>60.8683</x:v>
      </x:c>
      <x:c r="AT4" s="60" t="n">
        <x:v>61.19</x:v>
      </x:c>
      <x:c r="AU4" s="60" t="n">
        <x:v>61.5347</x:v>
      </x:c>
      <x:c r="AV4" s="60" t="n">
        <x:v>61.8486</x:v>
      </x:c>
      <x:c r="AW4" s="60" t="n">
        <x:v>62.1328</x:v>
      </x:c>
      <x:c r="AX4" s="60" t="n">
        <x:v>62.4525</x:v>
      </x:c>
      <x:c r="AY4" s="60" t="n">
        <x:v>62.8145</x:v>
      </x:c>
      <x:c r="AZ4" s="60" t="n">
        <x:v>63.1096</x:v>
      </x:c>
      <x:c r="BA4" s="60" t="n">
        <x:v>63.4159</x:v>
      </x:c>
      <x:c r="BB4" s="60" t="n">
        <x:v>63.7332</x:v>
      </x:c>
      <x:c r="BC4" s="60" t="n">
        <x:v>64.0228</x:v>
      </x:c>
      <x:c r="BD4" s="60" t="n">
        <x:v>64.3487</x:v>
      </x:c>
      <x:c r="BE4" s="60" t="n">
        <x:v>64.6585</x:v>
      </x:c>
      <x:c r="BF4" s="60" t="n">
        <x:v>64.9682</x:v>
      </x:c>
      <x:c r="BG4" s="60" t="n">
        <x:v>65.2841</x:v>
      </x:c>
      <x:c r="BH4" s="60" t="n">
        <x:v>65.5721</x:v>
      </x:c>
      <x:c r="BI4" s="60" t="n">
        <x:v>65.8814</x:v>
      </x:c>
      <x:c r="BJ4" s="60" t="n">
        <x:v>66.1688</x:v>
      </x:c>
      <x:c r="BK4" s="60" t="n">
        <x:v>66.4706</x:v>
      </x:c>
      <x:c r="BL4" s="60" t="n">
        <x:v>66.7278</x:v>
      </x:c>
      <x:c r="BM4" s="60" t="n">
        <x:v>67.0165</x:v>
      </x:c>
      <x:c r="BN4" s="60" t="n">
        <x:v>67.3108</x:v>
      </x:c>
      <x:c r="BO4" s="60" t="n">
        <x:v>67.5964</x:v>
      </x:c>
      <x:c r="BP4" s="60" t="n">
        <x:v>67.8844</x:v>
      </x:c>
      <x:c r="BQ4" s="60" t="n">
        <x:v>68.1604</x:v>
      </x:c>
      <x:c r="BR4" s="60" t="n">
        <x:v>68.4003</x:v>
      </x:c>
      <x:c r="BS4" s="60" t="n">
        <x:v>68.6736</x:v>
      </x:c>
      <x:c r="BT4" s="60" t="n">
        <x:v>68.9512</x:v>
      </x:c>
      <x:c r="BU4" s="60" t="n">
        <x:v>69.2329</x:v>
      </x:c>
      <x:c r="BV4" s="60" t="n">
        <x:v>69.5326</x:v>
      </x:c>
      <x:c r="BW4" s="60" t="n">
        <x:v>69.8288</x:v>
      </x:c>
      <x:c r="BX4" s="60" t="n">
        <x:v>70.15</x:v>
      </x:c>
      <x:c r="BY4" s="60" t="n">
        <x:v>70.4214</x:v>
      </x:c>
      <x:c r="BZ4" s="60" t="n">
        <x:v>70.7166</x:v>
      </x:c>
      <x:c r="CA4" s="60" t="n">
        <x:v>71.0224</x:v>
      </x:c>
      <x:c r="CB4" s="60" t="n">
        <x:v>71.2826</x:v>
      </x:c>
      <x:c r="CC4" s="60" t="n">
        <x:v>71.5595</x:v>
      </x:c>
      <x:c r="CD4" s="60" t="n">
        <x:v>71.905</x:v>
      </x:c>
      <x:c r="CE4" s="60" t="n">
        <x:v>72.2008</x:v>
      </x:c>
      <x:c r="CF4" s="60" t="n">
        <x:v>72.4428</x:v>
      </x:c>
      <x:c r="CG4" s="60" t="n">
        <x:v>72.764</x:v>
      </x:c>
      <x:c r="CH4" s="60" t="n">
        <x:v>73.0501</x:v>
      </x:c>
      <x:c r="CI4" s="60" t="n">
        <x:v>73.3844</x:v>
      </x:c>
      <x:c r="CJ4" s="60" t="n">
        <x:v>73.6963</x:v>
      </x:c>
      <x:c r="CK4" s="60" t="n">
        <x:v>74.0214</x:v>
      </x:c>
      <x:c r="CL4" s="60" t="n">
        <x:v>74.3311</x:v>
      </x:c>
      <x:c r="CM4" s="60" t="n">
        <x:v>74.6633</x:v>
      </x:c>
      <x:c r="CN4" s="60" t="n">
        <x:v>74.9896</x:v>
      </x:c>
      <x:c r="CO4" s="60" t="n">
        <x:v>75.3125</x:v>
      </x:c>
      <x:c r="CP4" s="60" t="n">
        <x:v>75.672</x:v>
      </x:c>
      <x:c r="CQ4" s="60" t="n">
        <x:v>76.0688</x:v>
      </x:c>
      <x:c r="CR4" s="60" t="n">
        <x:v>76.4754</x:v>
      </x:c>
      <x:c r="CS4" s="60" t="n">
        <x:v>76.829</x:v>
      </x:c>
      <x:c r="CT4" s="60" t="n">
        <x:v>77.2948</x:v>
      </x:c>
      <x:c r="CU4" s="60" t="n">
        <x:v>77.7625</x:v>
      </x:c>
      <x:c r="CV4" s="60" t="n">
        <x:v>78.2445</x:v>
      </x:c>
      <x:c r="CW4" s="60" t="n">
        <x:v>78.8021</x:v>
      </x:c>
      <x:c r="CX4" s="60" t="n">
        <x:v>79.3437</x:v>
      </x:c>
      <x:c r="CY4" s="60" t="n">
        <x:v>80.0643</x:v>
      </x:c>
      <x:c r="CZ4" s="60" t="n">
        <x:v>80.8827</x:v>
      </x:c>
      <x:c r="DA4" s="60" t="n">
        <x:v>82.1601</x:v>
      </x:c>
      <x:c r="DB4" s="60" t="n">
        <x:v>87.6079</x:v>
      </x:c>
    </x:row>
    <x:row r="5">
      <x:c r="A5" t="str">
        <x:v>イベルタル-1</x:v>
      </x:c>
      <x:c r="B5" t="str">
        <x:v>イベルタル</x:v>
      </x:c>
      <x:c r="C5" t="str">
        <x:v>共通</x:v>
      </x:c>
      <x:c r="D5" s="60" t="n">
        <x:v>61.7604</x:v>
      </x:c>
      <x:c r="E5" s="60" t="n">
        <x:v>7.1283</x:v>
      </x:c>
      <x:c r="F5" s="60" t="n">
        <x:v>38.5622</x:v>
      </x:c>
      <x:c r="G5" s="60" t="n">
        <x:v>44.8995</x:v>
      </x:c>
      <x:c r="H5" s="60" t="n">
        <x:v>46.3563</x:v>
      </x:c>
      <x:c r="I5" s="60" t="n">
        <x:v>47.3736</x:v>
      </x:c>
      <x:c r="J5" s="60" t="n">
        <x:v>48.2689</x:v>
      </x:c>
      <x:c r="K5" s="60" t="n">
        <x:v>48.8859</x:v>
      </x:c>
      <x:c r="L5" s="60" t="n">
        <x:v>49.4517</x:v>
      </x:c>
      <x:c r="M5" s="60" t="n">
        <x:v>50.0104</x:v>
      </x:c>
      <x:c r="N5" s="60" t="n">
        <x:v>50.5319</x:v>
      </x:c>
      <x:c r="O5" s="60" t="n">
        <x:v>50.9748</x:v>
      </x:c>
      <x:c r="P5" s="60" t="n">
        <x:v>51.4895</x:v>
      </x:c>
      <x:c r="Q5" s="60" t="n">
        <x:v>51.9095</x:v>
      </x:c>
      <x:c r="R5" s="60" t="n">
        <x:v>52.4136</x:v>
      </x:c>
      <x:c r="S5" s="60" t="n">
        <x:v>52.8179</x:v>
      </x:c>
      <x:c r="T5" s="60" t="n">
        <x:v>53.1814</x:v>
      </x:c>
      <x:c r="U5" s="60" t="n">
        <x:v>53.5252</x:v>
      </x:c>
      <x:c r="V5" s="60" t="n">
        <x:v>53.9152</x:v>
      </x:c>
      <x:c r="W5" s="60" t="n">
        <x:v>54.31</x:v>
      </x:c>
      <x:c r="X5" s="60" t="n">
        <x:v>54.6191</x:v>
      </x:c>
      <x:c r="Y5" s="60" t="n">
        <x:v>54.922</x:v>
      </x:c>
      <x:c r="Z5" s="60" t="n">
        <x:v>55.2271</x:v>
      </x:c>
      <x:c r="AA5" s="60" t="n">
        <x:v>55.5146</x:v>
      </x:c>
      <x:c r="AB5" s="60" t="n">
        <x:v>55.8396</x:v>
      </x:c>
      <x:c r="AC5" s="60" t="n">
        <x:v>56.1316</x:v>
      </x:c>
      <x:c r="AD5" s="60" t="n">
        <x:v>56.4573</x:v>
      </x:c>
      <x:c r="AE5" s="60" t="n">
        <x:v>56.7568</x:v>
      </x:c>
      <x:c r="AF5" s="60" t="n">
        <x:v>57.0697</x:v>
      </x:c>
      <x:c r="AG5" s="60" t="n">
        <x:v>57.3699</x:v>
      </x:c>
      <x:c r="AH5" s="60" t="n">
        <x:v>57.6211</x:v>
      </x:c>
      <x:c r="AI5" s="60" t="n">
        <x:v>57.8753</x:v>
      </x:c>
      <x:c r="AJ5" s="60" t="n">
        <x:v>58.1064</x:v>
      </x:c>
      <x:c r="AK5" s="60" t="n">
        <x:v>58.3496</x:v>
      </x:c>
      <x:c r="AL5" s="60" t="n">
        <x:v>58.6075</x:v>
      </x:c>
      <x:c r="AM5" s="60" t="n">
        <x:v>58.8581</x:v>
      </x:c>
      <x:c r="AN5" s="60" t="n">
        <x:v>59.1318</x:v>
      </x:c>
      <x:c r="AO5" s="60" t="n">
        <x:v>59.3728</x:v>
      </x:c>
      <x:c r="AP5" s="60" t="n">
        <x:v>59.6046</x:v>
      </x:c>
      <x:c r="AQ5" s="60" t="n">
        <x:v>59.8389</x:v>
      </x:c>
      <x:c r="AR5" s="60" t="n">
        <x:v>60.0774</x:v>
      </x:c>
      <x:c r="AS5" s="60" t="n">
        <x:v>60.2774</x:v>
      </x:c>
      <x:c r="AT5" s="60" t="n">
        <x:v>60.52</x:v>
      </x:c>
      <x:c r="AU5" s="60" t="n">
        <x:v>60.7684</x:v>
      </x:c>
      <x:c r="AV5" s="60" t="n">
        <x:v>60.9761</x:v>
      </x:c>
      <x:c r="AW5" s="60" t="n">
        <x:v>61.1934</x:v>
      </x:c>
      <x:c r="AX5" s="60" t="n">
        <x:v>61.4049</x:v>
      </x:c>
      <x:c r="AY5" s="60" t="n">
        <x:v>61.5955</x:v>
      </x:c>
      <x:c r="AZ5" s="60" t="n">
        <x:v>61.8187</x:v>
      </x:c>
      <x:c r="BA5" s="60" t="n">
        <x:v>62.0148</x:v>
      </x:c>
      <x:c r="BB5" s="60" t="n">
        <x:v>62.21</x:v>
      </x:c>
      <x:c r="BC5" s="60" t="n">
        <x:v>62.4082</x:v>
      </x:c>
      <x:c r="BD5" s="60" t="n">
        <x:v>62.5935</x:v>
      </x:c>
      <x:c r="BE5" s="60" t="n">
        <x:v>62.8047</x:v>
      </x:c>
      <x:c r="BF5" s="60" t="n">
        <x:v>62.9994</x:v>
      </x:c>
      <x:c r="BG5" s="60" t="n">
        <x:v>63.1861</x:v>
      </x:c>
      <x:c r="BH5" s="60" t="n">
        <x:v>63.3603</x:v>
      </x:c>
      <x:c r="BI5" s="60" t="n">
        <x:v>63.532</x:v>
      </x:c>
      <x:c r="BJ5" s="60" t="n">
        <x:v>63.7566</x:v>
      </x:c>
      <x:c r="BK5" s="60" t="n">
        <x:v>63.9312</x:v>
      </x:c>
      <x:c r="BL5" s="60" t="n">
        <x:v>64.1058</x:v>
      </x:c>
      <x:c r="BM5" s="60" t="n">
        <x:v>64.3053</x:v>
      </x:c>
      <x:c r="BN5" s="60" t="n">
        <x:v>64.4752</x:v>
      </x:c>
      <x:c r="BO5" s="60" t="n">
        <x:v>64.6628</x:v>
      </x:c>
      <x:c r="BP5" s="60" t="n">
        <x:v>64.8603</x:v>
      </x:c>
      <x:c r="BQ5" s="60" t="n">
        <x:v>65.0622</x:v>
      </x:c>
      <x:c r="BR5" s="60" t="n">
        <x:v>65.2568</x:v>
      </x:c>
      <x:c r="BS5" s="60" t="n">
        <x:v>65.4484</x:v>
      </x:c>
      <x:c r="BT5" s="60" t="n">
        <x:v>65.663</x:v>
      </x:c>
      <x:c r="BU5" s="60" t="n">
        <x:v>65.8569</x:v>
      </x:c>
      <x:c r="BV5" s="60" t="n">
        <x:v>66.0433</x:v>
      </x:c>
      <x:c r="BW5" s="60" t="n">
        <x:v>66.2131</x:v>
      </x:c>
      <x:c r="BX5" s="60" t="n">
        <x:v>66.3992</x:v>
      </x:c>
      <x:c r="BY5" s="60" t="n">
        <x:v>66.6013</x:v>
      </x:c>
      <x:c r="BZ5" s="60" t="n">
        <x:v>66.7946</x:v>
      </x:c>
      <x:c r="CA5" s="60" t="n">
        <x:v>66.9982</x:v>
      </x:c>
      <x:c r="CB5" s="60" t="n">
        <x:v>67.1824</x:v>
      </x:c>
      <x:c r="CC5" s="60" t="n">
        <x:v>67.3683</x:v>
      </x:c>
      <x:c r="CD5" s="60" t="n">
        <x:v>67.5532</x:v>
      </x:c>
      <x:c r="CE5" s="60" t="n">
        <x:v>67.7327</x:v>
      </x:c>
      <x:c r="CF5" s="60" t="n">
        <x:v>67.9172</x:v>
      </x:c>
      <x:c r="CG5" s="60" t="n">
        <x:v>68.1067</x:v>
      </x:c>
      <x:c r="CH5" s="60" t="n">
        <x:v>68.2923</x:v>
      </x:c>
      <x:c r="CI5" s="60" t="n">
        <x:v>68.4863</x:v>
      </x:c>
      <x:c r="CJ5" s="60" t="n">
        <x:v>68.6962</x:v>
      </x:c>
      <x:c r="CK5" s="60" t="n">
        <x:v>68.8966</x:v>
      </x:c>
      <x:c r="CL5" s="60" t="n">
        <x:v>69.1324</x:v>
      </x:c>
      <x:c r="CM5" s="60" t="n">
        <x:v>69.3644</x:v>
      </x:c>
      <x:c r="CN5" s="60" t="n">
        <x:v>69.5553</x:v>
      </x:c>
      <x:c r="CO5" s="60" t="n">
        <x:v>69.7962</x:v>
      </x:c>
      <x:c r="CP5" s="60" t="n">
        <x:v>70.0378</x:v>
      </x:c>
      <x:c r="CQ5" s="60" t="n">
        <x:v>70.2724</x:v>
      </x:c>
      <x:c r="CR5" s="60" t="n">
        <x:v>70.5191</x:v>
      </x:c>
      <x:c r="CS5" s="60" t="n">
        <x:v>70.7928</x:v>
      </x:c>
      <x:c r="CT5" s="60" t="n">
        <x:v>71.0791</x:v>
      </x:c>
      <x:c r="CU5" s="60" t="n">
        <x:v>71.3785</x:v>
      </x:c>
      <x:c r="CV5" s="60" t="n">
        <x:v>71.699</x:v>
      </x:c>
      <x:c r="CW5" s="60" t="n">
        <x:v>72.0528</x:v>
      </x:c>
      <x:c r="CX5" s="60" t="n">
        <x:v>72.4508</x:v>
      </x:c>
      <x:c r="CY5" s="60" t="n">
        <x:v>72.9233</x:v>
      </x:c>
      <x:c r="CZ5" s="60" t="n">
        <x:v>73.4675</x:v>
      </x:c>
      <x:c r="DA5" s="60" t="n">
        <x:v>74.3493</x:v>
      </x:c>
      <x:c r="DB5" s="60" t="n">
        <x:v>77.8085</x:v>
      </x:c>
    </x:row>
    <x:row r="6">
      <x:c r="A6" t="str">
        <x:v>インテレオン-1</x:v>
      </x:c>
      <x:c r="B6" t="str">
        <x:v>インテレオン</x:v>
      </x:c>
      <x:c r="C6" t="str">
        <x:v>ねらいうち</x:v>
      </x:c>
      <x:c r="D6" s="60" t="n">
        <x:v>59.798</x:v>
      </x:c>
      <x:c r="E6" s="60" t="n">
        <x:v>9.5899</x:v>
      </x:c>
      <x:c r="F6" s="60" t="n">
        <x:v>33.5188</x:v>
      </x:c>
      <x:c r="G6" s="60" t="n">
        <x:v>38.6974</x:v>
      </x:c>
      <x:c r="H6" s="60" t="n">
        <x:v>40.2837</x:v>
      </x:c>
      <x:c r="I6" s="60" t="n">
        <x:v>41.4077</x:v>
      </x:c>
      <x:c r="J6" s="60" t="n">
        <x:v>42.3645</x:v>
      </x:c>
      <x:c r="K6" s="60" t="n">
        <x:v>43.1991</x:v>
      </x:c>
      <x:c r="L6" s="60" t="n">
        <x:v>43.9496</x:v>
      </x:c>
      <x:c r="M6" s="60" t="n">
        <x:v>44.7166</x:v>
      </x:c>
      <x:c r="N6" s="60" t="n">
        <x:v>45.3159</x:v>
      </x:c>
      <x:c r="O6" s="60" t="n">
        <x:v>45.8785</x:v>
      </x:c>
      <x:c r="P6" s="60" t="n">
        <x:v>46.409</x:v>
      </x:c>
      <x:c r="Q6" s="60" t="n">
        <x:v>46.9336</x:v>
      </x:c>
      <x:c r="R6" s="60" t="n">
        <x:v>47.4377</x:v>
      </x:c>
      <x:c r="S6" s="60" t="n">
        <x:v>47.9043</x:v>
      </x:c>
      <x:c r="T6" s="60" t="n">
        <x:v>48.4155</x:v>
      </x:c>
      <x:c r="U6" s="60" t="n">
        <x:v>48.8745</x:v>
      </x:c>
      <x:c r="V6" s="60" t="n">
        <x:v>49.2921</x:v>
      </x:c>
      <x:c r="W6" s="60" t="n">
        <x:v>49.7622</x:v>
      </x:c>
      <x:c r="X6" s="60" t="n">
        <x:v>50.2011</x:v>
      </x:c>
      <x:c r="Y6" s="60" t="n">
        <x:v>50.5892</x:v>
      </x:c>
      <x:c r="Z6" s="60" t="n">
        <x:v>50.984</x:v>
      </x:c>
      <x:c r="AA6" s="60" t="n">
        <x:v>51.3707</x:v>
      </x:c>
      <x:c r="AB6" s="60" t="n">
        <x:v>51.7569</x:v>
      </x:c>
      <x:c r="AC6" s="60" t="n">
        <x:v>52.0822</x:v>
      </x:c>
      <x:c r="AD6" s="60" t="n">
        <x:v>52.4417</x:v>
      </x:c>
      <x:c r="AE6" s="60" t="n">
        <x:v>52.7713</x:v>
      </x:c>
      <x:c r="AF6" s="60" t="n">
        <x:v>53.1093</x:v>
      </x:c>
      <x:c r="AG6" s="60" t="n">
        <x:v>53.4187</x:v>
      </x:c>
      <x:c r="AH6" s="60" t="n">
        <x:v>53.789</x:v>
      </x:c>
      <x:c r="AI6" s="60" t="n">
        <x:v>54.1015</x:v>
      </x:c>
      <x:c r="AJ6" s="60" t="n">
        <x:v>54.4627</x:v>
      </x:c>
      <x:c r="AK6" s="60" t="n">
        <x:v>54.7946</x:v>
      </x:c>
      <x:c r="AL6" s="60" t="n">
        <x:v>55.1202</x:v>
      </x:c>
      <x:c r="AM6" s="60" t="n">
        <x:v>55.4252</x:v>
      </x:c>
      <x:c r="AN6" s="60" t="n">
        <x:v>55.7502</x:v>
      </x:c>
      <x:c r="AO6" s="60" t="n">
        <x:v>56.0709</x:v>
      </x:c>
      <x:c r="AP6" s="60" t="n">
        <x:v>56.3574</x:v>
      </x:c>
      <x:c r="AQ6" s="60" t="n">
        <x:v>56.6272</x:v>
      </x:c>
      <x:c r="AR6" s="60" t="n">
        <x:v>56.9133</x:v>
      </x:c>
      <x:c r="AS6" s="60" t="n">
        <x:v>57.2379</x:v>
      </x:c>
      <x:c r="AT6" s="60" t="n">
        <x:v>57.4985</x:v>
      </x:c>
      <x:c r="AU6" s="60" t="n">
        <x:v>57.7961</x:v>
      </x:c>
      <x:c r="AV6" s="60" t="n">
        <x:v>58.0765</x:v>
      </x:c>
      <x:c r="AW6" s="60" t="n">
        <x:v>58.3781</x:v>
      </x:c>
      <x:c r="AX6" s="60" t="n">
        <x:v>58.6838</x:v>
      </x:c>
      <x:c r="AY6" s="60" t="n">
        <x:v>58.953</x:v>
      </x:c>
      <x:c r="AZ6" s="60" t="n">
        <x:v>59.235</x:v>
      </x:c>
      <x:c r="BA6" s="60" t="n">
        <x:v>59.5544</x:v>
      </x:c>
      <x:c r="BB6" s="60" t="n">
        <x:v>59.8115</x:v>
      </x:c>
      <x:c r="BC6" s="60" t="n">
        <x:v>60.0586</x:v>
      </x:c>
      <x:c r="BD6" s="60" t="n">
        <x:v>60.3189</x:v>
      </x:c>
      <x:c r="BE6" s="60" t="n">
        <x:v>60.6132</x:v>
      </x:c>
      <x:c r="BF6" s="60" t="n">
        <x:v>60.8974</x:v>
      </x:c>
      <x:c r="BG6" s="60" t="n">
        <x:v>61.1599</x:v>
      </x:c>
      <x:c r="BH6" s="60" t="n">
        <x:v>61.4121</x:v>
      </x:c>
      <x:c r="BI6" s="60" t="n">
        <x:v>61.7038</x:v>
      </x:c>
      <x:c r="BJ6" s="60" t="n">
        <x:v>61.9718</x:v>
      </x:c>
      <x:c r="BK6" s="60" t="n">
        <x:v>62.2535</x:v>
      </x:c>
      <x:c r="BL6" s="60" t="n">
        <x:v>62.5535</x:v>
      </x:c>
      <x:c r="BM6" s="60" t="n">
        <x:v>62.826</x:v>
      </x:c>
      <x:c r="BN6" s="60" t="n">
        <x:v>63.0991</x:v>
      </x:c>
      <x:c r="BO6" s="60" t="n">
        <x:v>63.3617</x:v>
      </x:c>
      <x:c r="BP6" s="60" t="n">
        <x:v>63.6126</x:v>
      </x:c>
      <x:c r="BQ6" s="60" t="n">
        <x:v>63.8979</x:v>
      </x:c>
      <x:c r="BR6" s="60" t="n">
        <x:v>64.19</x:v>
      </x:c>
      <x:c r="BS6" s="60" t="n">
        <x:v>64.499</x:v>
      </x:c>
      <x:c r="BT6" s="60" t="n">
        <x:v>64.7576</x:v>
      </x:c>
      <x:c r="BU6" s="60" t="n">
        <x:v>65.0206</x:v>
      </x:c>
      <x:c r="BV6" s="60" t="n">
        <x:v>65.2573</x:v>
      </x:c>
      <x:c r="BW6" s="60" t="n">
        <x:v>65.5018</x:v>
      </x:c>
      <x:c r="BX6" s="60" t="n">
        <x:v>65.8123</x:v>
      </x:c>
      <x:c r="BY6" s="60" t="n">
        <x:v>66.078</x:v>
      </x:c>
      <x:c r="BZ6" s="60" t="n">
        <x:v>66.3836</x:v>
      </x:c>
      <x:c r="CA6" s="60" t="n">
        <x:v>66.6279</x:v>
      </x:c>
      <x:c r="CB6" s="60" t="n">
        <x:v>66.8903</x:v>
      </x:c>
      <x:c r="CC6" s="60" t="n">
        <x:v>67.1582</x:v>
      </x:c>
      <x:c r="CD6" s="60" t="n">
        <x:v>67.4473</x:v>
      </x:c>
      <x:c r="CE6" s="60" t="n">
        <x:v>67.7438</x:v>
      </x:c>
      <x:c r="CF6" s="60" t="n">
        <x:v>68.0328</x:v>
      </x:c>
      <x:c r="CG6" s="60" t="n">
        <x:v>68.3171</x:v>
      </x:c>
      <x:c r="CH6" s="60" t="n">
        <x:v>68.5968</x:v>
      </x:c>
      <x:c r="CI6" s="60" t="n">
        <x:v>68.9087</x:v>
      </x:c>
      <x:c r="CJ6" s="60" t="n">
        <x:v>69.2253</x:v>
      </x:c>
      <x:c r="CK6" s="60" t="n">
        <x:v>69.5873</x:v>
      </x:c>
      <x:c r="CL6" s="60" t="n">
        <x:v>69.8979</x:v>
      </x:c>
      <x:c r="CM6" s="60" t="n">
        <x:v>70.236</x:v>
      </x:c>
      <x:c r="CN6" s="60" t="n">
        <x:v>70.6007</x:v>
      </x:c>
      <x:c r="CO6" s="60" t="n">
        <x:v>70.9944</x:v>
      </x:c>
      <x:c r="CP6" s="60" t="n">
        <x:v>71.4034</x:v>
      </x:c>
      <x:c r="CQ6" s="60" t="n">
        <x:v>71.775</x:v>
      </x:c>
      <x:c r="CR6" s="60" t="n">
        <x:v>72.1992</x:v>
      </x:c>
      <x:c r="CS6" s="60" t="n">
        <x:v>72.6667</x:v>
      </x:c>
      <x:c r="CT6" s="60" t="n">
        <x:v>73.1424</x:v>
      </x:c>
      <x:c r="CU6" s="60" t="n">
        <x:v>73.6383</x:v>
      </x:c>
      <x:c r="CV6" s="60" t="n">
        <x:v>74.1394</x:v>
      </x:c>
      <x:c r="CW6" s="60" t="n">
        <x:v>74.7253</x:v>
      </x:c>
      <x:c r="CX6" s="60" t="n">
        <x:v>75.285</x:v>
      </x:c>
      <x:c r="CY6" s="60" t="n">
        <x:v>76.0128</x:v>
      </x:c>
      <x:c r="CZ6" s="60" t="n">
        <x:v>76.8468</x:v>
      </x:c>
      <x:c r="DA6" s="60" t="n">
        <x:v>78.0758</x:v>
      </x:c>
      <x:c r="DB6" s="60" t="n">
        <x:v>81.601</x:v>
      </x:c>
    </x:row>
    <x:row r="7">
      <x:c r="A7" t="str">
        <x:v>インテレオン-2</x:v>
      </x:c>
      <x:c r="B7" t="str">
        <x:v>インテレオン</x:v>
      </x:c>
      <x:c r="C7" t="str">
        <x:v>アクアブレイク</x:v>
      </x:c>
      <x:c r="D7" s="60" t="n">
        <x:v>61.9186</x:v>
      </x:c>
      <x:c r="E7" s="60" t="n">
        <x:v>11.3781</x:v>
      </x:c>
      <x:c r="F7" s="60" t="n">
        <x:v>29.7502</x:v>
      </x:c>
      <x:c r="G7" s="60" t="n">
        <x:v>36.8509</x:v>
      </x:c>
      <x:c r="H7" s="60" t="n">
        <x:v>38.4232</x:v>
      </x:c>
      <x:c r="I7" s="60" t="n">
        <x:v>39.7224</x:v>
      </x:c>
      <x:c r="J7" s="60" t="n">
        <x:v>40.8157</x:v>
      </x:c>
      <x:c r="K7" s="60" t="n">
        <x:v>41.861</x:v>
      </x:c>
      <x:c r="L7" s="60" t="n">
        <x:v>42.8065</x:v>
      </x:c>
      <x:c r="M7" s="60" t="n">
        <x:v>43.6716</x:v>
      </x:c>
      <x:c r="N7" s="60" t="n">
        <x:v>44.4407</x:v>
      </x:c>
      <x:c r="O7" s="60" t="n">
        <x:v>45.0879</x:v>
      </x:c>
      <x:c r="P7" s="60" t="n">
        <x:v>45.6879</x:v>
      </x:c>
      <x:c r="Q7" s="60" t="n">
        <x:v>46.4021</x:v>
      </x:c>
      <x:c r="R7" s="60" t="n">
        <x:v>47.0389</x:v>
      </x:c>
      <x:c r="S7" s="60" t="n">
        <x:v>47.6353</x:v>
      </x:c>
      <x:c r="T7" s="60" t="n">
        <x:v>48.2744</x:v>
      </x:c>
      <x:c r="U7" s="60" t="n">
        <x:v>48.8732</x:v>
      </x:c>
      <x:c r="V7" s="60" t="n">
        <x:v>49.4795</x:v>
      </x:c>
      <x:c r="W7" s="60" t="n">
        <x:v>50.0442</x:v>
      </x:c>
      <x:c r="X7" s="60" t="n">
        <x:v>50.5505</x:v>
      </x:c>
      <x:c r="Y7" s="60" t="n">
        <x:v>51.0388</x:v>
      </x:c>
      <x:c r="Z7" s="60" t="n">
        <x:v>51.5004</x:v>
      </x:c>
      <x:c r="AA7" s="60" t="n">
        <x:v>51.9761</x:v>
      </x:c>
      <x:c r="AB7" s="60" t="n">
        <x:v>52.4221</x:v>
      </x:c>
      <x:c r="AC7" s="60" t="n">
        <x:v>52.8085</x:v>
      </x:c>
      <x:c r="AD7" s="60" t="n">
        <x:v>53.2804</x:v>
      </x:c>
      <x:c r="AE7" s="60" t="n">
        <x:v>53.7518</x:v>
      </x:c>
      <x:c r="AF7" s="60" t="n">
        <x:v>54.0951</x:v>
      </x:c>
      <x:c r="AG7" s="60" t="n">
        <x:v>54.5067</x:v>
      </x:c>
      <x:c r="AH7" s="60" t="n">
        <x:v>54.8253</x:v>
      </x:c>
      <x:c r="AI7" s="60" t="n">
        <x:v>55.2393</x:v>
      </x:c>
      <x:c r="AJ7" s="60" t="n">
        <x:v>55.6084</x:v>
      </x:c>
      <x:c r="AK7" s="60" t="n">
        <x:v>56.0292</x:v>
      </x:c>
      <x:c r="AL7" s="60" t="n">
        <x:v>56.4372</x:v>
      </x:c>
      <x:c r="AM7" s="60" t="n">
        <x:v>56.8369</x:v>
      </x:c>
      <x:c r="AN7" s="60" t="n">
        <x:v>57.2533</x:v>
      </x:c>
      <x:c r="AO7" s="60" t="n">
        <x:v>57.5911</x:v>
      </x:c>
      <x:c r="AP7" s="60" t="n">
        <x:v>57.9097</x:v>
      </x:c>
      <x:c r="AQ7" s="60" t="n">
        <x:v>58.3008</x:v>
      </x:c>
      <x:c r="AR7" s="60" t="n">
        <x:v>58.6514</x:v>
      </x:c>
      <x:c r="AS7" s="60" t="n">
        <x:v>58.9953</x:v>
      </x:c>
      <x:c r="AT7" s="60" t="n">
        <x:v>59.3263</x:v>
      </x:c>
      <x:c r="AU7" s="60" t="n">
        <x:v>59.6728</x:v>
      </x:c>
      <x:c r="AV7" s="60" t="n">
        <x:v>60.0071</x:v>
      </x:c>
      <x:c r="AW7" s="60" t="n">
        <x:v>60.3586</x:v>
      </x:c>
      <x:c r="AX7" s="60" t="n">
        <x:v>60.6806</x:v>
      </x:c>
      <x:c r="AY7" s="60" t="n">
        <x:v>61.0421</x:v>
      </x:c>
      <x:c r="AZ7" s="60" t="n">
        <x:v>61.3423</x:v>
      </x:c>
      <x:c r="BA7" s="60" t="n">
        <x:v>61.6907</x:v>
      </x:c>
      <x:c r="BB7" s="60" t="n">
        <x:v>62.0417</x:v>
      </x:c>
      <x:c r="BC7" s="60" t="n">
        <x:v>62.3785</x:v>
      </x:c>
      <x:c r="BD7" s="60" t="n">
        <x:v>62.718</x:v>
      </x:c>
      <x:c r="BE7" s="60" t="n">
        <x:v>63.0399</x:v>
      </x:c>
      <x:c r="BF7" s="60" t="n">
        <x:v>63.3506</x:v>
      </x:c>
      <x:c r="BG7" s="60" t="n">
        <x:v>63.7103</x:v>
      </x:c>
      <x:c r="BH7" s="60" t="n">
        <x:v>64.0224</x:v>
      </x:c>
      <x:c r="BI7" s="60" t="n">
        <x:v>64.3413</x:v>
      </x:c>
      <x:c r="BJ7" s="60" t="n">
        <x:v>64.6453</x:v>
      </x:c>
      <x:c r="BK7" s="60" t="n">
        <x:v>65.0229</x:v>
      </x:c>
      <x:c r="BL7" s="60" t="n">
        <x:v>65.3187</x:v>
      </x:c>
      <x:c r="BM7" s="60" t="n">
        <x:v>65.6396</x:v>
      </x:c>
      <x:c r="BN7" s="60" t="n">
        <x:v>65.9683</x:v>
      </x:c>
      <x:c r="BO7" s="60" t="n">
        <x:v>66.2869</x:v>
      </x:c>
      <x:c r="BP7" s="60" t="n">
        <x:v>66.624</x:v>
      </x:c>
      <x:c r="BQ7" s="60" t="n">
        <x:v>66.9756</x:v>
      </x:c>
      <x:c r="BR7" s="60" t="n">
        <x:v>67.3023</x:v>
      </x:c>
      <x:c r="BS7" s="60" t="n">
        <x:v>67.6189</x:v>
      </x:c>
      <x:c r="BT7" s="60" t="n">
        <x:v>67.9212</x:v>
      </x:c>
      <x:c r="BU7" s="60" t="n">
        <x:v>68.2215</x:v>
      </x:c>
      <x:c r="BV7" s="60" t="n">
        <x:v>68.5317</x:v>
      </x:c>
      <x:c r="BW7" s="60" t="n">
        <x:v>68.8592</x:v>
      </x:c>
      <x:c r="BX7" s="60" t="n">
        <x:v>69.2103</x:v>
      </x:c>
      <x:c r="BY7" s="60" t="n">
        <x:v>69.497</x:v>
      </x:c>
      <x:c r="BZ7" s="60" t="n">
        <x:v>69.8273</x:v>
      </x:c>
      <x:c r="CA7" s="60" t="n">
        <x:v>70.1834</x:v>
      </x:c>
      <x:c r="CB7" s="60" t="n">
        <x:v>70.5598</x:v>
      </x:c>
      <x:c r="CC7" s="60" t="n">
        <x:v>70.8712</x:v>
      </x:c>
      <x:c r="CD7" s="60" t="n">
        <x:v>71.2318</x:v>
      </x:c>
      <x:c r="CE7" s="60" t="n">
        <x:v>71.5956</x:v>
      </x:c>
      <x:c r="CF7" s="60" t="n">
        <x:v>71.9175</x:v>
      </x:c>
      <x:c r="CG7" s="60" t="n">
        <x:v>72.2848</x:v>
      </x:c>
      <x:c r="CH7" s="60" t="n">
        <x:v>72.6378</x:v>
      </x:c>
      <x:c r="CI7" s="60" t="n">
        <x:v>72.9995</x:v>
      </x:c>
      <x:c r="CJ7" s="60" t="n">
        <x:v>73.3346</x:v>
      </x:c>
      <x:c r="CK7" s="60" t="n">
        <x:v>73.7558</x:v>
      </x:c>
      <x:c r="CL7" s="60" t="n">
        <x:v>74.105</x:v>
      </x:c>
      <x:c r="CM7" s="60" t="n">
        <x:v>74.5193</x:v>
      </x:c>
      <x:c r="CN7" s="60" t="n">
        <x:v>74.9289</x:v>
      </x:c>
      <x:c r="CO7" s="60" t="n">
        <x:v>75.3329</x:v>
      </x:c>
      <x:c r="CP7" s="60" t="n">
        <x:v>75.7359</x:v>
      </x:c>
      <x:c r="CQ7" s="60" t="n">
        <x:v>76.1392</x:v>
      </x:c>
      <x:c r="CR7" s="60" t="n">
        <x:v>76.59</x:v>
      </x:c>
      <x:c r="CS7" s="60" t="n">
        <x:v>77.0461</x:v>
      </x:c>
      <x:c r="CT7" s="60" t="n">
        <x:v>77.5803</x:v>
      </x:c>
      <x:c r="CU7" s="60" t="n">
        <x:v>78.0435</x:v>
      </x:c>
      <x:c r="CV7" s="60" t="n">
        <x:v>78.5431</x:v>
      </x:c>
      <x:c r="CW7" s="60" t="n">
        <x:v>79.1699</x:v>
      </x:c>
      <x:c r="CX7" s="60" t="n">
        <x:v>79.7631</x:v>
      </x:c>
      <x:c r="CY7" s="60" t="n">
        <x:v>80.4752</x:v>
      </x:c>
      <x:c r="CZ7" s="60" t="n">
        <x:v>81.2286</x:v>
      </x:c>
      <x:c r="DA7" s="60" t="n">
        <x:v>82.3161</x:v>
      </x:c>
      <x:c r="DB7" s="60" t="n">
        <x:v>86.2967</x:v>
      </x:c>
    </x:row>
    <x:row r="8">
      <x:c r="A8" t="str">
        <x:v>ウッウ-1</x:v>
      </x:c>
      <x:c r="B8" t="str">
        <x:v>ウッウ</x:v>
      </x:c>
      <x:c r="C8" t="str">
        <x:v>なみのり</x:v>
      </x:c>
      <x:c r="D8" s="60" t="n">
        <x:v>60.698</x:v>
      </x:c>
      <x:c r="E8" s="60" t="n">
        <x:v>7.1375</x:v>
      </x:c>
      <x:c r="F8" s="60" t="n">
        <x:v>36.787</x:v>
      </x:c>
      <x:c r="G8" s="60" t="n">
        <x:v>44.1658</x:v>
      </x:c>
      <x:c r="H8" s="60" t="n">
        <x:v>45.4639</x:v>
      </x:c>
      <x:c r="I8" s="60" t="n">
        <x:v>46.4163</x:v>
      </x:c>
      <x:c r="J8" s="60" t="n">
        <x:v>47.1492</x:v>
      </x:c>
      <x:c r="K8" s="60" t="n">
        <x:v>47.8845</x:v>
      </x:c>
      <x:c r="L8" s="60" t="n">
        <x:v>48.5429</x:v>
      </x:c>
      <x:c r="M8" s="60" t="n">
        <x:v>49.1559</x:v>
      </x:c>
      <x:c r="N8" s="60" t="n">
        <x:v>49.6059</x:v>
      </x:c>
      <x:c r="O8" s="60" t="n">
        <x:v>50.0983</x:v>
      </x:c>
      <x:c r="P8" s="60" t="n">
        <x:v>50.59</x:v>
      </x:c>
      <x:c r="Q8" s="60" t="n">
        <x:v>50.9777</x:v>
      </x:c>
      <x:c r="R8" s="60" t="n">
        <x:v>51.3309</x:v>
      </x:c>
      <x:c r="S8" s="60" t="n">
        <x:v>51.7028</x:v>
      </x:c>
      <x:c r="T8" s="60" t="n">
        <x:v>52.1092</x:v>
      </x:c>
      <x:c r="U8" s="60" t="n">
        <x:v>52.4885</x:v>
      </x:c>
      <x:c r="V8" s="60" t="n">
        <x:v>52.8202</x:v>
      </x:c>
      <x:c r="W8" s="60" t="n">
        <x:v>53.214</x:v>
      </x:c>
      <x:c r="X8" s="60" t="n">
        <x:v>53.5432</x:v>
      </x:c>
      <x:c r="Y8" s="60" t="n">
        <x:v>53.8678</x:v>
      </x:c>
      <x:c r="Z8" s="60" t="n">
        <x:v>54.198</x:v>
      </x:c>
      <x:c r="AA8" s="60" t="n">
        <x:v>54.507</x:v>
      </x:c>
      <x:c r="AB8" s="60" t="n">
        <x:v>54.8045</x:v>
      </x:c>
      <x:c r="AC8" s="60" t="n">
        <x:v>55.1066</x:v>
      </x:c>
      <x:c r="AD8" s="60" t="n">
        <x:v>55.4161</x:v>
      </x:c>
      <x:c r="AE8" s="60" t="n">
        <x:v>55.6989</x:v>
      </x:c>
      <x:c r="AF8" s="60" t="n">
        <x:v>55.9743</x:v>
      </x:c>
      <x:c r="AG8" s="60" t="n">
        <x:v>56.24</x:v>
      </x:c>
      <x:c r="AH8" s="60" t="n">
        <x:v>56.5132</x:v>
      </x:c>
      <x:c r="AI8" s="60" t="n">
        <x:v>56.7622</x:v>
      </x:c>
      <x:c r="AJ8" s="60" t="n">
        <x:v>57.0044</x:v>
      </x:c>
      <x:c r="AK8" s="60" t="n">
        <x:v>57.2389</x:v>
      </x:c>
      <x:c r="AL8" s="60" t="n">
        <x:v>57.4742</x:v>
      </x:c>
      <x:c r="AM8" s="60" t="n">
        <x:v>57.7143</x:v>
      </x:c>
      <x:c r="AN8" s="60" t="n">
        <x:v>57.9699</x:v>
      </x:c>
      <x:c r="AO8" s="60" t="n">
        <x:v>58.2262</x:v>
      </x:c>
      <x:c r="AP8" s="60" t="n">
        <x:v>58.4524</x:v>
      </x:c>
      <x:c r="AQ8" s="60" t="n">
        <x:v>58.6741</x:v>
      </x:c>
      <x:c r="AR8" s="60" t="n">
        <x:v>58.915</x:v>
      </x:c>
      <x:c r="AS8" s="60" t="n">
        <x:v>59.1489</x:v>
      </x:c>
      <x:c r="AT8" s="60" t="n">
        <x:v>59.368</x:v>
      </x:c>
      <x:c r="AU8" s="60" t="n">
        <x:v>59.6019</x:v>
      </x:c>
      <x:c r="AV8" s="60" t="n">
        <x:v>59.8086</x:v>
      </x:c>
      <x:c r="AW8" s="60" t="n">
        <x:v>60.018</x:v>
      </x:c>
      <x:c r="AX8" s="60" t="n">
        <x:v>60.2354</x:v>
      </x:c>
      <x:c r="AY8" s="60" t="n">
        <x:v>60.4449</x:v>
      </x:c>
      <x:c r="AZ8" s="60" t="n">
        <x:v>60.6273</x:v>
      </x:c>
      <x:c r="BA8" s="60" t="n">
        <x:v>60.8085</x:v>
      </x:c>
      <x:c r="BB8" s="60" t="n">
        <x:v>61.0003</x:v>
      </x:c>
      <x:c r="BC8" s="60" t="n">
        <x:v>61.2093</x:v>
      </x:c>
      <x:c r="BD8" s="60" t="n">
        <x:v>61.4063</x:v>
      </x:c>
      <x:c r="BE8" s="60" t="n">
        <x:v>61.5956</x:v>
      </x:c>
      <x:c r="BF8" s="60" t="n">
        <x:v>61.8106</x:v>
      </x:c>
      <x:c r="BG8" s="60" t="n">
        <x:v>62.0263</x:v>
      </x:c>
      <x:c r="BH8" s="60" t="n">
        <x:v>62.2361</x:v>
      </x:c>
      <x:c r="BI8" s="60" t="n">
        <x:v>62.4233</x:v>
      </x:c>
      <x:c r="BJ8" s="60" t="n">
        <x:v>62.6033</x:v>
      </x:c>
      <x:c r="BK8" s="60" t="n">
        <x:v>62.7947</x:v>
      </x:c>
      <x:c r="BL8" s="60" t="n">
        <x:v>62.9808</x:v>
      </x:c>
      <x:c r="BM8" s="60" t="n">
        <x:v>63.1779</x:v>
      </x:c>
      <x:c r="BN8" s="60" t="n">
        <x:v>63.3637</x:v>
      </x:c>
      <x:c r="BO8" s="60" t="n">
        <x:v>63.5326</x:v>
      </x:c>
      <x:c r="BP8" s="60" t="n">
        <x:v>63.7231</x:v>
      </x:c>
      <x:c r="BQ8" s="60" t="n">
        <x:v>63.9136</x:v>
      </x:c>
      <x:c r="BR8" s="60" t="n">
        <x:v>64.1022</x:v>
      </x:c>
      <x:c r="BS8" s="60" t="n">
        <x:v>64.2896</x:v>
      </x:c>
      <x:c r="BT8" s="60" t="n">
        <x:v>64.517</x:v>
      </x:c>
      <x:c r="BU8" s="60" t="n">
        <x:v>64.6963</x:v>
      </x:c>
      <x:c r="BV8" s="60" t="n">
        <x:v>64.8827</x:v>
      </x:c>
      <x:c r="BW8" s="60" t="n">
        <x:v>65.0522</x:v>
      </x:c>
      <x:c r="BX8" s="60" t="n">
        <x:v>65.2446</x:v>
      </x:c>
      <x:c r="BY8" s="60" t="n">
        <x:v>65.4477</x:v>
      </x:c>
      <x:c r="BZ8" s="60" t="n">
        <x:v>65.6298</x:v>
      </x:c>
      <x:c r="CA8" s="60" t="n">
        <x:v>65.8136</x:v>
      </x:c>
      <x:c r="CB8" s="60" t="n">
        <x:v>66.0235</x:v>
      </x:c>
      <x:c r="CC8" s="60" t="n">
        <x:v>66.2171</x:v>
      </x:c>
      <x:c r="CD8" s="60" t="n">
        <x:v>66.4036</x:v>
      </x:c>
      <x:c r="CE8" s="60" t="n">
        <x:v>66.6158</x:v>
      </x:c>
      <x:c r="CF8" s="60" t="n">
        <x:v>66.8033</x:v>
      </x:c>
      <x:c r="CG8" s="60" t="n">
        <x:v>67.0023</x:v>
      </x:c>
      <x:c r="CH8" s="60" t="n">
        <x:v>67.1734</x:v>
      </x:c>
      <x:c r="CI8" s="60" t="n">
        <x:v>67.3813</x:v>
      </x:c>
      <x:c r="CJ8" s="60" t="n">
        <x:v>67.6088</x:v>
      </x:c>
      <x:c r="CK8" s="60" t="n">
        <x:v>67.8195</x:v>
      </x:c>
      <x:c r="CL8" s="60" t="n">
        <x:v>68.0463</x:v>
      </x:c>
      <x:c r="CM8" s="60" t="n">
        <x:v>68.3097</x:v>
      </x:c>
      <x:c r="CN8" s="60" t="n">
        <x:v>68.525</x:v>
      </x:c>
      <x:c r="CO8" s="60" t="n">
        <x:v>68.7861</x:v>
      </x:c>
      <x:c r="CP8" s="60" t="n">
        <x:v>69.0361</x:v>
      </x:c>
      <x:c r="CQ8" s="60" t="n">
        <x:v>69.2982</x:v>
      </x:c>
      <x:c r="CR8" s="60" t="n">
        <x:v>69.5633</x:v>
      </x:c>
      <x:c r="CS8" s="60" t="n">
        <x:v>69.8411</x:v>
      </x:c>
      <x:c r="CT8" s="60" t="n">
        <x:v>70.139</x:v>
      </x:c>
      <x:c r="CU8" s="60" t="n">
        <x:v>70.4618</x:v>
      </x:c>
      <x:c r="CV8" s="60" t="n">
        <x:v>70.865</x:v>
      </x:c>
      <x:c r="CW8" s="60" t="n">
        <x:v>71.2717</x:v>
      </x:c>
      <x:c r="CX8" s="60" t="n">
        <x:v>71.7278</x:v>
      </x:c>
      <x:c r="CY8" s="60" t="n">
        <x:v>72.1757</x:v>
      </x:c>
      <x:c r="CZ8" s="60" t="n">
        <x:v>72.8289</x:v>
      </x:c>
      <x:c r="DA8" s="60" t="n">
        <x:v>73.7188</x:v>
      </x:c>
      <x:c r="DB8" s="60" t="n">
        <x:v>78.1099</x:v>
      </x:c>
    </x:row>
    <x:row r="9">
      <x:c r="A9" t="str">
        <x:v>ウッウ-2</x:v>
      </x:c>
      <x:c r="B9" t="str">
        <x:v>ウッウ</x:v>
      </x:c>
      <x:c r="C9" t="str">
        <x:v>ダイビング</x:v>
      </x:c>
      <x:c r="D9" s="60" t="n">
        <x:v>62.7244</x:v>
      </x:c>
      <x:c r="E9" s="60" t="n">
        <x:v>11.0694</x:v>
      </x:c>
      <x:c r="F9" s="60" t="n">
        <x:v>29.6453</x:v>
      </x:c>
      <x:c r="G9" s="60" t="n">
        <x:v>37.7524</x:v>
      </x:c>
      <x:c r="H9" s="60" t="n">
        <x:v>39.6368</x:v>
      </x:c>
      <x:c r="I9" s="60" t="n">
        <x:v>41.058</x:v>
      </x:c>
      <x:c r="J9" s="60" t="n">
        <x:v>42.1276</x:v>
      </x:c>
      <x:c r="K9" s="60" t="n">
        <x:v>43.0522</x:v>
      </x:c>
      <x:c r="L9" s="60" t="n">
        <x:v>43.9394</x:v>
      </x:c>
      <x:c r="M9" s="60" t="n">
        <x:v>44.7432</x:v>
      </x:c>
      <x:c r="N9" s="60" t="n">
        <x:v>45.4655</x:v>
      </x:c>
      <x:c r="O9" s="60" t="n">
        <x:v>46.2186</x:v>
      </x:c>
      <x:c r="P9" s="60" t="n">
        <x:v>46.91</x:v>
      </x:c>
      <x:c r="Q9" s="60" t="n">
        <x:v>47.5515</x:v>
      </x:c>
      <x:c r="R9" s="60" t="n">
        <x:v>48.1865</x:v>
      </x:c>
      <x:c r="S9" s="60" t="n">
        <x:v>48.7879</x:v>
      </x:c>
      <x:c r="T9" s="60" t="n">
        <x:v>49.3849</x:v>
      </x:c>
      <x:c r="U9" s="60" t="n">
        <x:v>49.8995</x:v>
      </x:c>
      <x:c r="V9" s="60" t="n">
        <x:v>50.4486</x:v>
      </x:c>
      <x:c r="W9" s="60" t="n">
        <x:v>50.9959</x:v>
      </x:c>
      <x:c r="X9" s="60" t="n">
        <x:v>51.5183</x:v>
      </x:c>
      <x:c r="Y9" s="60" t="n">
        <x:v>51.9812</x:v>
      </x:c>
      <x:c r="Z9" s="60" t="n">
        <x:v>52.4794</x:v>
      </x:c>
      <x:c r="AA9" s="60" t="n">
        <x:v>52.8932</x:v>
      </x:c>
      <x:c r="AB9" s="60" t="n">
        <x:v>53.3283</x:v>
      </x:c>
      <x:c r="AC9" s="60" t="n">
        <x:v>53.8062</x:v>
      </x:c>
      <x:c r="AD9" s="60" t="n">
        <x:v>54.2807</x:v>
      </x:c>
      <x:c r="AE9" s="60" t="n">
        <x:v>54.6909</x:v>
      </x:c>
      <x:c r="AF9" s="60" t="n">
        <x:v>55.0993</x:v>
      </x:c>
      <x:c r="AG9" s="60" t="n">
        <x:v>55.5572</x:v>
      </x:c>
      <x:c r="AH9" s="60" t="n">
        <x:v>55.9859</x:v>
      </x:c>
      <x:c r="AI9" s="60" t="n">
        <x:v>56.3726</x:v>
      </x:c>
      <x:c r="AJ9" s="60" t="n">
        <x:v>56.773</x:v>
      </x:c>
      <x:c r="AK9" s="60" t="n">
        <x:v>57.1478</x:v>
      </x:c>
      <x:c r="AL9" s="60" t="n">
        <x:v>57.5469</x:v>
      </x:c>
      <x:c r="AM9" s="60" t="n">
        <x:v>57.9085</x:v>
      </x:c>
      <x:c r="AN9" s="60" t="n">
        <x:v>58.2701</x:v>
      </x:c>
      <x:c r="AO9" s="60" t="n">
        <x:v>58.6661</x:v>
      </x:c>
      <x:c r="AP9" s="60" t="n">
        <x:v>59.0019</x:v>
      </x:c>
      <x:c r="AQ9" s="60" t="n">
        <x:v>59.3768</x:v>
      </x:c>
      <x:c r="AR9" s="60" t="n">
        <x:v>59.7119</x:v>
      </x:c>
      <x:c r="AS9" s="60" t="n">
        <x:v>60.0763</x:v>
      </x:c>
      <x:c r="AT9" s="60" t="n">
        <x:v>60.3826</x:v>
      </x:c>
      <x:c r="AU9" s="60" t="n">
        <x:v>60.7458</x:v>
      </x:c>
      <x:c r="AV9" s="60" t="n">
        <x:v>61.059</x:v>
      </x:c>
      <x:c r="AW9" s="60" t="n">
        <x:v>61.3779</x:v>
      </x:c>
      <x:c r="AX9" s="60" t="n">
        <x:v>61.7149</x:v>
      </x:c>
      <x:c r="AY9" s="60" t="n">
        <x:v>62.0827</x:v>
      </x:c>
      <x:c r="AZ9" s="60" t="n">
        <x:v>62.4001</x:v>
      </x:c>
      <x:c r="BA9" s="60" t="n">
        <x:v>62.7119</x:v>
      </x:c>
      <x:c r="BB9" s="60" t="n">
        <x:v>63.0104</x:v>
      </x:c>
      <x:c r="BC9" s="60" t="n">
        <x:v>63.3805</x:v>
      </x:c>
      <x:c r="BD9" s="60" t="n">
        <x:v>63.7132</x:v>
      </x:c>
      <x:c r="BE9" s="60" t="n">
        <x:v>64.0293</x:v>
      </x:c>
      <x:c r="BF9" s="60" t="n">
        <x:v>64.397</x:v>
      </x:c>
      <x:c r="BG9" s="60" t="n">
        <x:v>64.6642</x:v>
      </x:c>
      <x:c r="BH9" s="60" t="n">
        <x:v>64.9935</x:v>
      </x:c>
      <x:c r="BI9" s="60" t="n">
        <x:v>65.317</x:v>
      </x:c>
      <x:c r="BJ9" s="60" t="n">
        <x:v>65.6189</x:v>
      </x:c>
      <x:c r="BK9" s="60" t="n">
        <x:v>65.9228</x:v>
      </x:c>
      <x:c r="BL9" s="60" t="n">
        <x:v>66.2264</x:v>
      </x:c>
      <x:c r="BM9" s="60" t="n">
        <x:v>66.5593</x:v>
      </x:c>
      <x:c r="BN9" s="60" t="n">
        <x:v>66.8765</x:v>
      </x:c>
      <x:c r="BO9" s="60" t="n">
        <x:v>67.1874</x:v>
      </x:c>
      <x:c r="BP9" s="60" t="n">
        <x:v>67.5005</x:v>
      </x:c>
      <x:c r="BQ9" s="60" t="n">
        <x:v>67.8088</x:v>
      </x:c>
      <x:c r="BR9" s="60" t="n">
        <x:v>68.0974</x:v>
      </x:c>
      <x:c r="BS9" s="60" t="n">
        <x:v>68.4066</x:v>
      </x:c>
      <x:c r="BT9" s="60" t="n">
        <x:v>68.7255</x:v>
      </x:c>
      <x:c r="BU9" s="60" t="n">
        <x:v>69.0485</x:v>
      </x:c>
      <x:c r="BV9" s="60" t="n">
        <x:v>69.3725</x:v>
      </x:c>
      <x:c r="BW9" s="60" t="n">
        <x:v>69.704</x:v>
      </x:c>
      <x:c r="BX9" s="60" t="n">
        <x:v>70.0203</x:v>
      </x:c>
      <x:c r="BY9" s="60" t="n">
        <x:v>70.2918</x:v>
      </x:c>
      <x:c r="BZ9" s="60" t="n">
        <x:v>70.6182</x:v>
      </x:c>
      <x:c r="CA9" s="60" t="n">
        <x:v>70.9133</x:v>
      </x:c>
      <x:c r="CB9" s="60" t="n">
        <x:v>71.261</x:v>
      </x:c>
      <x:c r="CC9" s="60" t="n">
        <x:v>71.575</x:v>
      </x:c>
      <x:c r="CD9" s="60" t="n">
        <x:v>71.912</x:v>
      </x:c>
      <x:c r="CE9" s="60" t="n">
        <x:v>72.2518</x:v>
      </x:c>
      <x:c r="CF9" s="60" t="n">
        <x:v>72.5764</x:v>
      </x:c>
      <x:c r="CG9" s="60" t="n">
        <x:v>72.9222</x:v>
      </x:c>
      <x:c r="CH9" s="60" t="n">
        <x:v>73.2921</x:v>
      </x:c>
      <x:c r="CI9" s="60" t="n">
        <x:v>73.6275</x:v>
      </x:c>
      <x:c r="CJ9" s="60" t="n">
        <x:v>73.9705</x:v>
      </x:c>
      <x:c r="CK9" s="60" t="n">
        <x:v>74.3038</x:v>
      </x:c>
      <x:c r="CL9" s="60" t="n">
        <x:v>74.6569</x:v>
      </x:c>
      <x:c r="CM9" s="60" t="n">
        <x:v>75.0015</x:v>
      </x:c>
      <x:c r="CN9" s="60" t="n">
        <x:v>75.3824</x:v>
      </x:c>
      <x:c r="CO9" s="60" t="n">
        <x:v>75.7108</x:v>
      </x:c>
      <x:c r="CP9" s="60" t="n">
        <x:v>76.0642</x:v>
      </x:c>
      <x:c r="CQ9" s="60" t="n">
        <x:v>76.4344</x:v>
      </x:c>
      <x:c r="CR9" s="60" t="n">
        <x:v>76.7892</x:v>
      </x:c>
      <x:c r="CS9" s="60" t="n">
        <x:v>77.1957</x:v>
      </x:c>
      <x:c r="CT9" s="60" t="n">
        <x:v>77.5898</x:v>
      </x:c>
      <x:c r="CU9" s="60" t="n">
        <x:v>77.9705</x:v>
      </x:c>
      <x:c r="CV9" s="60" t="n">
        <x:v>78.4135</x:v>
      </x:c>
      <x:c r="CW9" s="60" t="n">
        <x:v>78.9422</x:v>
      </x:c>
      <x:c r="CX9" s="60" t="n">
        <x:v>79.442</x:v>
      </x:c>
      <x:c r="CY9" s="60" t="n">
        <x:v>80.0333</x:v>
      </x:c>
      <x:c r="CZ9" s="60" t="n">
        <x:v>80.818</x:v>
      </x:c>
      <x:c r="DA9" s="60" t="n">
        <x:v>81.8605</x:v>
      </x:c>
      <x:c r="DB9" s="60" t="n">
        <x:v>85.5367</x:v>
      </x:c>
    </x:row>
    <x:row r="10">
      <x:c r="A10" t="str">
        <x:v>エースバーン-1</x:v>
      </x:c>
      <x:c r="B10" t="str">
        <x:v>エースバーン</x:v>
      </x:c>
      <x:c r="C10" t="str">
        <x:v>共通</x:v>
      </x:c>
      <x:c r="D10" s="60" t="n">
        <x:v>60.4355</x:v>
      </x:c>
      <x:c r="E10" s="60" t="n">
        <x:v>11.5064</x:v>
      </x:c>
      <x:c r="F10" s="60" t="n">
        <x:v>27.7371</x:v>
      </x:c>
      <x:c r="G10" s="60" t="n">
        <x:v>35.554</x:v>
      </x:c>
      <x:c r="H10" s="60" t="n">
        <x:v>37.1405</x:v>
      </x:c>
      <x:c r="I10" s="60" t="n">
        <x:v>38.2928</x:v>
      </x:c>
      <x:c r="J10" s="60" t="n">
        <x:v>39.4313</x:v>
      </x:c>
      <x:c r="K10" s="60" t="n">
        <x:v>40.4794</x:v>
      </x:c>
      <x:c r="L10" s="60" t="n">
        <x:v>41.3506</x:v>
      </x:c>
      <x:c r="M10" s="60" t="n">
        <x:v>42.1503</x:v>
      </x:c>
      <x:c r="N10" s="60" t="n">
        <x:v>42.9933</x:v>
      </x:c>
      <x:c r="O10" s="60" t="n">
        <x:v>43.7282</x:v>
      </x:c>
      <x:c r="P10" s="60" t="n">
        <x:v>44.412</x:v>
      </x:c>
      <x:c r="Q10" s="60" t="n">
        <x:v>45.0729</x:v>
      </x:c>
      <x:c r="R10" s="60" t="n">
        <x:v>45.6853</x:v>
      </x:c>
      <x:c r="S10" s="60" t="n">
        <x:v>46.3017</x:v>
      </x:c>
      <x:c r="T10" s="60" t="n">
        <x:v>46.8556</x:v>
      </x:c>
      <x:c r="U10" s="60" t="n">
        <x:v>47.4061</x:v>
      </x:c>
      <x:c r="V10" s="60" t="n">
        <x:v>48.0066</x:v>
      </x:c>
      <x:c r="W10" s="60" t="n">
        <x:v>48.4259</x:v>
      </x:c>
      <x:c r="X10" s="60" t="n">
        <x:v>48.9788</x:v>
      </x:c>
      <x:c r="Y10" s="60" t="n">
        <x:v>49.4878</x:v>
      </x:c>
      <x:c r="Z10" s="60" t="n">
        <x:v>49.943</x:v>
      </x:c>
      <x:c r="AA10" s="60" t="n">
        <x:v>50.3611</x:v>
      </x:c>
      <x:c r="AB10" s="60" t="n">
        <x:v>50.7969</x:v>
      </x:c>
      <x:c r="AC10" s="60" t="n">
        <x:v>51.2421</x:v>
      </x:c>
      <x:c r="AD10" s="60" t="n">
        <x:v>51.6865</x:v>
      </x:c>
      <x:c r="AE10" s="60" t="n">
        <x:v>52.0915</x:v>
      </x:c>
      <x:c r="AF10" s="60" t="n">
        <x:v>52.5069</x:v>
      </x:c>
      <x:c r="AG10" s="60" t="n">
        <x:v>52.9101</x:v>
      </x:c>
      <x:c r="AH10" s="60" t="n">
        <x:v>53.3187</x:v>
      </x:c>
      <x:c r="AI10" s="60" t="n">
        <x:v>53.7317</x:v>
      </x:c>
      <x:c r="AJ10" s="60" t="n">
        <x:v>54.1397</x:v>
      </x:c>
      <x:c r="AK10" s="60" t="n">
        <x:v>54.5342</x:v>
      </x:c>
      <x:c r="AL10" s="60" t="n">
        <x:v>54.8912</x:v>
      </x:c>
      <x:c r="AM10" s="60" t="n">
        <x:v>55.2248</x:v>
      </x:c>
      <x:c r="AN10" s="60" t="n">
        <x:v>55.5722</x:v>
      </x:c>
      <x:c r="AO10" s="60" t="n">
        <x:v>55.9351</x:v>
      </x:c>
      <x:c r="AP10" s="60" t="n">
        <x:v>56.2749</x:v>
      </x:c>
      <x:c r="AQ10" s="60" t="n">
        <x:v>56.5891</x:v>
      </x:c>
      <x:c r="AR10" s="60" t="n">
        <x:v>56.9277</x:v>
      </x:c>
      <x:c r="AS10" s="60" t="n">
        <x:v>57.3035</x:v>
      </x:c>
      <x:c r="AT10" s="60" t="n">
        <x:v>57.6648</x:v>
      </x:c>
      <x:c r="AU10" s="60" t="n">
        <x:v>58.001</x:v>
      </x:c>
      <x:c r="AV10" s="60" t="n">
        <x:v>58.3302</x:v>
      </x:c>
      <x:c r="AW10" s="60" t="n">
        <x:v>58.6759</x:v>
      </x:c>
      <x:c r="AX10" s="60" t="n">
        <x:v>59.0141</x:v>
      </x:c>
      <x:c r="AY10" s="60" t="n">
        <x:v>59.3286</x:v>
      </x:c>
      <x:c r="AZ10" s="60" t="n">
        <x:v>59.6702</x:v>
      </x:c>
      <x:c r="BA10" s="60" t="n">
        <x:v>59.9843</x:v>
      </x:c>
      <x:c r="BB10" s="60" t="n">
        <x:v>60.3168</x:v>
      </x:c>
      <x:c r="BC10" s="60" t="n">
        <x:v>60.692</x:v>
      </x:c>
      <x:c r="BD10" s="60" t="n">
        <x:v>61.017</x:v>
      </x:c>
      <x:c r="BE10" s="60" t="n">
        <x:v>61.3279</x:v>
      </x:c>
      <x:c r="BF10" s="60" t="n">
        <x:v>61.651</x:v>
      </x:c>
      <x:c r="BG10" s="60" t="n">
        <x:v>61.948</x:v>
      </x:c>
      <x:c r="BH10" s="60" t="n">
        <x:v>62.2701</x:v>
      </x:c>
      <x:c r="BI10" s="60" t="n">
        <x:v>62.5984</x:v>
      </x:c>
      <x:c r="BJ10" s="60" t="n">
        <x:v>62.899</x:v>
      </x:c>
      <x:c r="BK10" s="60" t="n">
        <x:v>63.2029</x:v>
      </x:c>
      <x:c r="BL10" s="60" t="n">
        <x:v>63.5495</x:v>
      </x:c>
      <x:c r="BM10" s="60" t="n">
        <x:v>63.8785</x:v>
      </x:c>
      <x:c r="BN10" s="60" t="n">
        <x:v>64.1824</x:v>
      </x:c>
      <x:c r="BO10" s="60" t="n">
        <x:v>64.5414</x:v>
      </x:c>
      <x:c r="BP10" s="60" t="n">
        <x:v>64.8492</x:v>
      </x:c>
      <x:c r="BQ10" s="60" t="n">
        <x:v>65.1538</x:v>
      </x:c>
      <x:c r="BR10" s="60" t="n">
        <x:v>65.4775</x:v>
      </x:c>
      <x:c r="BS10" s="60" t="n">
        <x:v>65.7882</x:v>
      </x:c>
      <x:c r="BT10" s="60" t="n">
        <x:v>66.143</x:v>
      </x:c>
      <x:c r="BU10" s="60" t="n">
        <x:v>66.4456</x:v>
      </x:c>
      <x:c r="BV10" s="60" t="n">
        <x:v>66.752</x:v>
      </x:c>
      <x:c r="BW10" s="60" t="n">
        <x:v>67.1025</x:v>
      </x:c>
      <x:c r="BX10" s="60" t="n">
        <x:v>67.4701</x:v>
      </x:c>
      <x:c r="BY10" s="60" t="n">
        <x:v>67.7856</x:v>
      </x:c>
      <x:c r="BZ10" s="60" t="n">
        <x:v>68.1147</x:v>
      </x:c>
      <x:c r="CA10" s="60" t="n">
        <x:v>68.4473</x:v>
      </x:c>
      <x:c r="CB10" s="60" t="n">
        <x:v>68.821</x:v>
      </x:c>
      <x:c r="CC10" s="60" t="n">
        <x:v>69.2043</x:v>
      </x:c>
      <x:c r="CD10" s="60" t="n">
        <x:v>69.6274</x:v>
      </x:c>
      <x:c r="CE10" s="60" t="n">
        <x:v>69.9628</x:v>
      </x:c>
      <x:c r="CF10" s="60" t="n">
        <x:v>70.3143</x:v>
      </x:c>
      <x:c r="CG10" s="60" t="n">
        <x:v>70.6865</x:v>
      </x:c>
      <x:c r="CH10" s="60" t="n">
        <x:v>71.0792</x:v>
      </x:c>
      <x:c r="CI10" s="60" t="n">
        <x:v>71.4652</x:v>
      </x:c>
      <x:c r="CJ10" s="60" t="n">
        <x:v>71.8678</x:v>
      </x:c>
      <x:c r="CK10" s="60" t="n">
        <x:v>72.2639</x:v>
      </x:c>
      <x:c r="CL10" s="60" t="n">
        <x:v>72.6948</x:v>
      </x:c>
      <x:c r="CM10" s="60" t="n">
        <x:v>73.1156</x:v>
      </x:c>
      <x:c r="CN10" s="60" t="n">
        <x:v>73.5472</x:v>
      </x:c>
      <x:c r="CO10" s="60" t="n">
        <x:v>74.0077</x:v>
      </x:c>
      <x:c r="CP10" s="60" t="n">
        <x:v>74.4498</x:v>
      </x:c>
      <x:c r="CQ10" s="60" t="n">
        <x:v>74.9197</x:v>
      </x:c>
      <x:c r="CR10" s="60" t="n">
        <x:v>75.4311</x:v>
      </x:c>
      <x:c r="CS10" s="60" t="n">
        <x:v>75.9457</x:v>
      </x:c>
      <x:c r="CT10" s="60" t="n">
        <x:v>76.4651</x:v>
      </x:c>
      <x:c r="CU10" s="60" t="n">
        <x:v>77.0865</x:v>
      </x:c>
      <x:c r="CV10" s="60" t="n">
        <x:v>77.7724</x:v>
      </x:c>
      <x:c r="CW10" s="60" t="n">
        <x:v>78.4741</x:v>
      </x:c>
      <x:c r="CX10" s="60" t="n">
        <x:v>79.2726</x:v>
      </x:c>
      <x:c r="CY10" s="60" t="n">
        <x:v>80.2024</x:v>
      </x:c>
      <x:c r="CZ10" s="60" t="n">
        <x:v>81.2028</x:v>
      </x:c>
      <x:c r="DA10" s="60" t="n">
        <x:v>82.7507</x:v>
      </x:c>
      <x:c r="DB10" s="60" t="n">
        <x:v>87.1474</x:v>
      </x:c>
    </x:row>
    <x:row r="11">
      <x:c r="A11" t="str">
        <x:v>エーフィ-1</x:v>
      </x:c>
      <x:c r="B11" t="str">
        <x:v>エーフィ</x:v>
      </x:c>
      <x:c r="C11" t="str">
        <x:v>共通</x:v>
      </x:c>
      <x:c r="D11" s="60" t="n">
        <x:v>62.8768</x:v>
      </x:c>
      <x:c r="E11" s="60" t="n">
        <x:v>9.5399</x:v>
      </x:c>
      <x:c r="F11" s="60" t="n">
        <x:v>33.4823</x:v>
      </x:c>
      <x:c r="G11" s="60" t="n">
        <x:v>41.0888</x:v>
      </x:c>
      <x:c r="H11" s="60" t="n">
        <x:v>42.6452</x:v>
      </x:c>
      <x:c r="I11" s="60" t="n">
        <x:v>43.8595</x:v>
      </x:c>
      <x:c r="J11" s="60" t="n">
        <x:v>44.8077</x:v>
      </x:c>
      <x:c r="K11" s="60" t="n">
        <x:v>45.7114</x:v>
      </x:c>
      <x:c r="L11" s="60" t="n">
        <x:v>46.5969</x:v>
      </x:c>
      <x:c r="M11" s="60" t="n">
        <x:v>47.2821</x:v>
      </x:c>
      <x:c r="N11" s="60" t="n">
        <x:v>47.9647</x:v>
      </x:c>
      <x:c r="O11" s="60" t="n">
        <x:v>48.6285</x:v>
      </x:c>
      <x:c r="P11" s="60" t="n">
        <x:v>49.2257</x:v>
      </x:c>
      <x:c r="Q11" s="60" t="n">
        <x:v>49.7123</x:v>
      </x:c>
      <x:c r="R11" s="60" t="n">
        <x:v>50.3322</x:v>
      </x:c>
      <x:c r="S11" s="60" t="n">
        <x:v>50.8749</x:v>
      </x:c>
      <x:c r="T11" s="60" t="n">
        <x:v>51.3869</x:v>
      </x:c>
      <x:c r="U11" s="60" t="n">
        <x:v>51.9085</x:v>
      </x:c>
      <x:c r="V11" s="60" t="n">
        <x:v>52.394</x:v>
      </x:c>
      <x:c r="W11" s="60" t="n">
        <x:v>52.845</x:v>
      </x:c>
      <x:c r="X11" s="60" t="n">
        <x:v>53.2647</x:v>
      </x:c>
      <x:c r="Y11" s="60" t="n">
        <x:v>53.7062</x:v>
      </x:c>
      <x:c r="Z11" s="60" t="n">
        <x:v>54.1271</x:v>
      </x:c>
      <x:c r="AA11" s="60" t="n">
        <x:v>54.5476</x:v>
      </x:c>
      <x:c r="AB11" s="60" t="n">
        <x:v>54.9367</x:v>
      </x:c>
      <x:c r="AC11" s="60" t="n">
        <x:v>55.3264</x:v>
      </x:c>
      <x:c r="AD11" s="60" t="n">
        <x:v>55.6827</x:v>
      </x:c>
      <x:c r="AE11" s="60" t="n">
        <x:v>56.0469</x:v>
      </x:c>
      <x:c r="AF11" s="60" t="n">
        <x:v>56.3967</x:v>
      </x:c>
      <x:c r="AG11" s="60" t="n">
        <x:v>56.7523</x:v>
      </x:c>
      <x:c r="AH11" s="60" t="n">
        <x:v>57.0716</x:v>
      </x:c>
      <x:c r="AI11" s="60" t="n">
        <x:v>57.4048</x:v>
      </x:c>
      <x:c r="AJ11" s="60" t="n">
        <x:v>57.7439</x:v>
      </x:c>
      <x:c r="AK11" s="60" t="n">
        <x:v>58.1004</x:v>
      </x:c>
      <x:c r="AL11" s="60" t="n">
        <x:v>58.4337</x:v>
      </x:c>
      <x:c r="AM11" s="60" t="n">
        <x:v>58.763</x:v>
      </x:c>
      <x:c r="AN11" s="60" t="n">
        <x:v>59.1026</x:v>
      </x:c>
      <x:c r="AO11" s="60" t="n">
        <x:v>59.4151</x:v>
      </x:c>
      <x:c r="AP11" s="60" t="n">
        <x:v>59.7155</x:v>
      </x:c>
      <x:c r="AQ11" s="60" t="n">
        <x:v>60.0605</x:v>
      </x:c>
      <x:c r="AR11" s="60" t="n">
        <x:v>60.3927</x:v>
      </x:c>
      <x:c r="AS11" s="60" t="n">
        <x:v>60.7227</x:v>
      </x:c>
      <x:c r="AT11" s="60" t="n">
        <x:v>61.0001</x:v>
      </x:c>
      <x:c r="AU11" s="60" t="n">
        <x:v>61.312</x:v>
      </x:c>
      <x:c r="AV11" s="60" t="n">
        <x:v>61.5726</x:v>
      </x:c>
      <x:c r="AW11" s="60" t="n">
        <x:v>61.8842</x:v>
      </x:c>
      <x:c r="AX11" s="60" t="n">
        <x:v>62.1868</x:v>
      </x:c>
      <x:c r="AY11" s="60" t="n">
        <x:v>62.4772</x:v>
      </x:c>
      <x:c r="AZ11" s="60" t="n">
        <x:v>62.7806</x:v>
      </x:c>
      <x:c r="BA11" s="60" t="n">
        <x:v>63.0632</x:v>
      </x:c>
      <x:c r="BB11" s="60" t="n">
        <x:v>63.3319</x:v>
      </x:c>
      <x:c r="BC11" s="60" t="n">
        <x:v>63.6362</x:v>
      </x:c>
      <x:c r="BD11" s="60" t="n">
        <x:v>63.9219</x:v>
      </x:c>
      <x:c r="BE11" s="60" t="n">
        <x:v>64.1673</x:v>
      </x:c>
      <x:c r="BF11" s="60" t="n">
        <x:v>64.4214</x:v>
      </x:c>
      <x:c r="BG11" s="60" t="n">
        <x:v>64.6754</x:v>
      </x:c>
      <x:c r="BH11" s="60" t="n">
        <x:v>64.9476</x:v>
      </x:c>
      <x:c r="BI11" s="60" t="n">
        <x:v>65.2257</x:v>
      </x:c>
      <x:c r="BJ11" s="60" t="n">
        <x:v>65.5026</x:v>
      </x:c>
      <x:c r="BK11" s="60" t="n">
        <x:v>65.7534</x:v>
      </x:c>
      <x:c r="BL11" s="60" t="n">
        <x:v>66.028</x:v>
      </x:c>
      <x:c r="BM11" s="60" t="n">
        <x:v>66.2965</x:v>
      </x:c>
      <x:c r="BN11" s="60" t="n">
        <x:v>66.5661</x:v>
      </x:c>
      <x:c r="BO11" s="60" t="n">
        <x:v>66.816</x:v>
      </x:c>
      <x:c r="BP11" s="60" t="n">
        <x:v>67.0777</x:v>
      </x:c>
      <x:c r="BQ11" s="60" t="n">
        <x:v>67.3701</x:v>
      </x:c>
      <x:c r="BR11" s="60" t="n">
        <x:v>67.6219</x:v>
      </x:c>
      <x:c r="BS11" s="60" t="n">
        <x:v>67.8843</x:v>
      </x:c>
      <x:c r="BT11" s="60" t="n">
        <x:v>68.1572</x:v>
      </x:c>
      <x:c r="BU11" s="60" t="n">
        <x:v>68.4112</x:v>
      </x:c>
      <x:c r="BV11" s="60" t="n">
        <x:v>68.6575</x:v>
      </x:c>
      <x:c r="BW11" s="60" t="n">
        <x:v>68.9275</x:v>
      </x:c>
      <x:c r="BX11" s="60" t="n">
        <x:v>69.2176</x:v>
      </x:c>
      <x:c r="BY11" s="60" t="n">
        <x:v>69.4651</x:v>
      </x:c>
      <x:c r="BZ11" s="60" t="n">
        <x:v>69.7409</x:v>
      </x:c>
      <x:c r="CA11" s="60" t="n">
        <x:v>69.9813</x:v>
      </x:c>
      <x:c r="CB11" s="60" t="n">
        <x:v>70.1986</x:v>
      </x:c>
      <x:c r="CC11" s="60" t="n">
        <x:v>70.4518</x:v>
      </x:c>
      <x:c r="CD11" s="60" t="n">
        <x:v>70.7213</x:v>
      </x:c>
      <x:c r="CE11" s="60" t="n">
        <x:v>70.9921</x:v>
      </x:c>
      <x:c r="CF11" s="60" t="n">
        <x:v>71.2736</x:v>
      </x:c>
      <x:c r="CG11" s="60" t="n">
        <x:v>71.5647</x:v>
      </x:c>
      <x:c r="CH11" s="60" t="n">
        <x:v>71.8219</x:v>
      </x:c>
      <x:c r="CI11" s="60" t="n">
        <x:v>72.1259</x:v>
      </x:c>
      <x:c r="CJ11" s="60" t="n">
        <x:v>72.3989</x:v>
      </x:c>
      <x:c r="CK11" s="60" t="n">
        <x:v>72.6482</x:v>
      </x:c>
      <x:c r="CL11" s="60" t="n">
        <x:v>72.9357</x:v>
      </x:c>
      <x:c r="CM11" s="60" t="n">
        <x:v>73.2062</x:v>
      </x:c>
      <x:c r="CN11" s="60" t="n">
        <x:v>73.5173</x:v>
      </x:c>
      <x:c r="CO11" s="60" t="n">
        <x:v>73.7986</x:v>
      </x:c>
      <x:c r="CP11" s="60" t="n">
        <x:v>74.1034</x:v>
      </x:c>
      <x:c r="CQ11" s="60" t="n">
        <x:v>74.4261</x:v>
      </x:c>
      <x:c r="CR11" s="60" t="n">
        <x:v>74.7758</x:v>
      </x:c>
      <x:c r="CS11" s="60" t="n">
        <x:v>75.103</x:v>
      </x:c>
      <x:c r="CT11" s="60" t="n">
        <x:v>75.4726</x:v>
      </x:c>
      <x:c r="CU11" s="60" t="n">
        <x:v>75.8706</x:v>
      </x:c>
      <x:c r="CV11" s="60" t="n">
        <x:v>76.2788</x:v>
      </x:c>
      <x:c r="CW11" s="60" t="n">
        <x:v>76.7051</x:v>
      </x:c>
      <x:c r="CX11" s="60" t="n">
        <x:v>77.1563</x:v>
      </x:c>
      <x:c r="CY11" s="60" t="n">
        <x:v>77.7366</x:v>
      </x:c>
      <x:c r="CZ11" s="60" t="n">
        <x:v>78.4727</x:v>
      </x:c>
      <x:c r="DA11" s="60" t="n">
        <x:v>79.5283</x:v>
      </x:c>
      <x:c r="DB11" s="60" t="n">
        <x:v>83.2291</x:v>
      </x:c>
    </x:row>
    <x:row r="12">
      <x:c r="A12" t="str">
        <x:v>グレイシア-1</x:v>
      </x:c>
      <x:c r="B12" t="str">
        <x:v>グレイシア</x:v>
      </x:c>
      <x:c r="C12" t="str">
        <x:v>共通</x:v>
      </x:c>
      <x:c r="D12" s="60" t="n">
        <x:v>62.1786</x:v>
      </x:c>
      <x:c r="E12" s="60" t="n">
        <x:v>11.8492</x:v>
      </x:c>
      <x:c r="F12" s="60" t="n">
        <x:v>28.7682</x:v>
      </x:c>
      <x:c r="G12" s="60" t="n">
        <x:v>36.0674</x:v>
      </x:c>
      <x:c r="H12" s="60" t="n">
        <x:v>37.6974</x:v>
      </x:c>
      <x:c r="I12" s="60" t="n">
        <x:v>38.9249</x:v>
      </x:c>
      <x:c r="J12" s="60" t="n">
        <x:v>40.2162</x:v>
      </x:c>
      <x:c r="K12" s="60" t="n">
        <x:v>41.2809</x:v>
      </x:c>
      <x:c r="L12" s="60" t="n">
        <x:v>42.3493</x:v>
      </x:c>
      <x:c r="M12" s="60" t="n">
        <x:v>43.1961</x:v>
      </x:c>
      <x:c r="N12" s="60" t="n">
        <x:v>43.9705</x:v>
      </x:c>
      <x:c r="O12" s="60" t="n">
        <x:v>44.7536</x:v>
      </x:c>
      <x:c r="P12" s="60" t="n">
        <x:v>45.478</x:v>
      </x:c>
      <x:c r="Q12" s="60" t="n">
        <x:v>46.1168</x:v>
      </x:c>
      <x:c r="R12" s="60" t="n">
        <x:v>46.7219</x:v>
      </x:c>
      <x:c r="S12" s="60" t="n">
        <x:v>47.3466</x:v>
      </x:c>
      <x:c r="T12" s="60" t="n">
        <x:v>47.9938</x:v>
      </x:c>
      <x:c r="U12" s="60" t="n">
        <x:v>48.5878</x:v>
      </x:c>
      <x:c r="V12" s="60" t="n">
        <x:v>49.2114</x:v>
      </x:c>
      <x:c r="W12" s="60" t="n">
        <x:v>49.7986</x:v>
      </x:c>
      <x:c r="X12" s="60" t="n">
        <x:v>50.3522</x:v>
      </x:c>
      <x:c r="Y12" s="60" t="n">
        <x:v>50.9005</x:v>
      </x:c>
      <x:c r="Z12" s="60" t="n">
        <x:v>51.3586</x:v>
      </x:c>
      <x:c r="AA12" s="60" t="n">
        <x:v>51.8289</x:v>
      </x:c>
      <x:c r="AB12" s="60" t="n">
        <x:v>52.2567</x:v>
      </x:c>
      <x:c r="AC12" s="60" t="n">
        <x:v>52.6978</x:v>
      </x:c>
      <x:c r="AD12" s="60" t="n">
        <x:v>53.141</x:v>
      </x:c>
      <x:c r="AE12" s="60" t="n">
        <x:v>53.6068</x:v>
      </x:c>
      <x:c r="AF12" s="60" t="n">
        <x:v>54.0557</x:v>
      </x:c>
      <x:c r="AG12" s="60" t="n">
        <x:v>54.4662</x:v>
      </x:c>
      <x:c r="AH12" s="60" t="n">
        <x:v>54.8829</x:v>
      </x:c>
      <x:c r="AI12" s="60" t="n">
        <x:v>55.239</x:v>
      </x:c>
      <x:c r="AJ12" s="60" t="n">
        <x:v>55.663</x:v>
      </x:c>
      <x:c r="AK12" s="60" t="n">
        <x:v>56.0908</x:v>
      </x:c>
      <x:c r="AL12" s="60" t="n">
        <x:v>56.4789</x:v>
      </x:c>
      <x:c r="AM12" s="60" t="n">
        <x:v>56.8546</x:v>
      </x:c>
      <x:c r="AN12" s="60" t="n">
        <x:v>57.2452</x:v>
      </x:c>
      <x:c r="AO12" s="60" t="n">
        <x:v>57.5782</x:v>
      </x:c>
      <x:c r="AP12" s="60" t="n">
        <x:v>57.9863</x:v>
      </x:c>
      <x:c r="AQ12" s="60" t="n">
        <x:v>58.3689</x:v>
      </x:c>
      <x:c r="AR12" s="60" t="n">
        <x:v>58.7383</x:v>
      </x:c>
      <x:c r="AS12" s="60" t="n">
        <x:v>59.1056</x:v>
      </x:c>
      <x:c r="AT12" s="60" t="n">
        <x:v>59.4077</x:v>
      </x:c>
      <x:c r="AU12" s="60" t="n">
        <x:v>59.782</x:v>
      </x:c>
      <x:c r="AV12" s="60" t="n">
        <x:v>60.1857</x:v>
      </x:c>
      <x:c r="AW12" s="60" t="n">
        <x:v>60.5537</x:v>
      </x:c>
      <x:c r="AX12" s="60" t="n">
        <x:v>60.8917</x:v>
      </x:c>
      <x:c r="AY12" s="60" t="n">
        <x:v>61.2196</x:v>
      </x:c>
      <x:c r="AZ12" s="60" t="n">
        <x:v>61.5725</x:v>
      </x:c>
      <x:c r="BA12" s="60" t="n">
        <x:v>61.9571</x:v>
      </x:c>
      <x:c r="BB12" s="60" t="n">
        <x:v>62.2843</x:v>
      </x:c>
      <x:c r="BC12" s="60" t="n">
        <x:v>62.6191</x:v>
      </x:c>
      <x:c r="BD12" s="60" t="n">
        <x:v>62.9679</x:v>
      </x:c>
      <x:c r="BE12" s="60" t="n">
        <x:v>63.2991</x:v>
      </x:c>
      <x:c r="BF12" s="60" t="n">
        <x:v>63.6412</x:v>
      </x:c>
      <x:c r="BG12" s="60" t="n">
        <x:v>63.9948</x:v>
      </x:c>
      <x:c r="BH12" s="60" t="n">
        <x:v>64.342</x:v>
      </x:c>
      <x:c r="BI12" s="60" t="n">
        <x:v>64.656</x:v>
      </x:c>
      <x:c r="BJ12" s="60" t="n">
        <x:v>64.9911</x:v>
      </x:c>
      <x:c r="BK12" s="60" t="n">
        <x:v>65.3559</x:v>
      </x:c>
      <x:c r="BL12" s="60" t="n">
        <x:v>65.6942</x:v>
      </x:c>
      <x:c r="BM12" s="60" t="n">
        <x:v>66.0152</x:v>
      </x:c>
      <x:c r="BN12" s="60" t="n">
        <x:v>66.355</x:v>
      </x:c>
      <x:c r="BO12" s="60" t="n">
        <x:v>66.6542</x:v>
      </x:c>
      <x:c r="BP12" s="60" t="n">
        <x:v>67.0221</x:v>
      </x:c>
      <x:c r="BQ12" s="60" t="n">
        <x:v>67.4145</x:v>
      </x:c>
      <x:c r="BR12" s="60" t="n">
        <x:v>67.7245</x:v>
      </x:c>
      <x:c r="BS12" s="60" t="n">
        <x:v>68.0594</x:v>
      </x:c>
      <x:c r="BT12" s="60" t="n">
        <x:v>68.4018</x:v>
      </x:c>
      <x:c r="BU12" s="60" t="n">
        <x:v>68.7175</x:v>
      </x:c>
      <x:c r="BV12" s="60" t="n">
        <x:v>69.0503</x:v>
      </x:c>
      <x:c r="BW12" s="60" t="n">
        <x:v>69.3798</x:v>
      </x:c>
      <x:c r="BX12" s="60" t="n">
        <x:v>69.7335</x:v>
      </x:c>
      <x:c r="BY12" s="60" t="n">
        <x:v>70.0653</x:v>
      </x:c>
      <x:c r="BZ12" s="60" t="n">
        <x:v>70.4441</x:v>
      </x:c>
      <x:c r="CA12" s="60" t="n">
        <x:v>70.7835</x:v>
      </x:c>
      <x:c r="CB12" s="60" t="n">
        <x:v>71.1743</x:v>
      </x:c>
      <x:c r="CC12" s="60" t="n">
        <x:v>71.4872</x:v>
      </x:c>
      <x:c r="CD12" s="60" t="n">
        <x:v>71.8591</x:v>
      </x:c>
      <x:c r="CE12" s="60" t="n">
        <x:v>72.2265</x:v>
      </x:c>
      <x:c r="CF12" s="60" t="n">
        <x:v>72.5716</x:v>
      </x:c>
      <x:c r="CG12" s="60" t="n">
        <x:v>72.9509</x:v>
      </x:c>
      <x:c r="CH12" s="60" t="n">
        <x:v>73.3039</x:v>
      </x:c>
      <x:c r="CI12" s="60" t="n">
        <x:v>73.6784</x:v>
      </x:c>
      <x:c r="CJ12" s="60" t="n">
        <x:v>74.0774</x:v>
      </x:c>
      <x:c r="CK12" s="60" t="n">
        <x:v>74.4614</x:v>
      </x:c>
      <x:c r="CL12" s="60" t="n">
        <x:v>74.8569</x:v>
      </x:c>
      <x:c r="CM12" s="60" t="n">
        <x:v>75.2701</x:v>
      </x:c>
      <x:c r="CN12" s="60" t="n">
        <x:v>75.6895</x:v>
      </x:c>
      <x:c r="CO12" s="60" t="n">
        <x:v>76.0951</x:v>
      </x:c>
      <x:c r="CP12" s="60" t="n">
        <x:v>76.5238</x:v>
      </x:c>
      <x:c r="CQ12" s="60" t="n">
        <x:v>76.9939</x:v>
      </x:c>
      <x:c r="CR12" s="60" t="n">
        <x:v>77.398</x:v>
      </x:c>
      <x:c r="CS12" s="60" t="n">
        <x:v>77.904</x:v>
      </x:c>
      <x:c r="CT12" s="60" t="n">
        <x:v>78.4579</x:v>
      </x:c>
      <x:c r="CU12" s="60" t="n">
        <x:v>79.035</x:v>
      </x:c>
      <x:c r="CV12" s="60" t="n">
        <x:v>79.6217</x:v>
      </x:c>
      <x:c r="CW12" s="60" t="n">
        <x:v>80.2505</x:v>
      </x:c>
      <x:c r="CX12" s="60" t="n">
        <x:v>80.8905</x:v>
      </x:c>
      <x:c r="CY12" s="60" t="n">
        <x:v>81.5941</x:v>
      </x:c>
      <x:c r="CZ12" s="60" t="n">
        <x:v>82.4902</x:v>
      </x:c>
      <x:c r="DA12" s="60" t="n">
        <x:v>83.6129</x:v>
      </x:c>
      <x:c r="DB12" s="60" t="n">
        <x:v>87.9383</x:v>
      </x:c>
    </x:row>
    <x:row r="13">
      <x:c r="A13" t="str">
        <x:v>グレンアルマ-1</x:v>
      </x:c>
      <x:c r="B13" t="str">
        <x:v>グレンアルマ</x:v>
      </x:c>
      <x:c r="C13" t="str">
        <x:v>ほのおのうず</x:v>
      </x:c>
      <x:c r="D13" s="60" t="n">
        <x:v>62.2472</x:v>
      </x:c>
      <x:c r="E13" s="60" t="n">
        <x:v>8.3567</x:v>
      </x:c>
      <x:c r="F13" s="60" t="n">
        <x:v>37.5076</x:v>
      </x:c>
      <x:c r="G13" s="60" t="n">
        <x:v>43.1548</x:v>
      </x:c>
      <x:c r="H13" s="60" t="n">
        <x:v>44.562</x:v>
      </x:c>
      <x:c r="I13" s="60" t="n">
        <x:v>45.5736</x:v>
      </x:c>
      <x:c r="J13" s="60" t="n">
        <x:v>46.2814</x:v>
      </x:c>
      <x:c r="K13" s="60" t="n">
        <x:v>47.045</x:v>
      </x:c>
      <x:c r="L13" s="60" t="n">
        <x:v>47.733</x:v>
      </x:c>
      <x:c r="M13" s="60" t="n">
        <x:v>48.3349</x:v>
      </x:c>
      <x:c r="N13" s="60" t="n">
        <x:v>48.9206</x:v>
      </x:c>
      <x:c r="O13" s="60" t="n">
        <x:v>49.5265</x:v>
      </x:c>
      <x:c r="P13" s="60" t="n">
        <x:v>50.0265</x:v>
      </x:c>
      <x:c r="Q13" s="60" t="n">
        <x:v>50.5402</x:v>
      </x:c>
      <x:c r="R13" s="60" t="n">
        <x:v>51.0237</x:v>
      </x:c>
      <x:c r="S13" s="60" t="n">
        <x:v>51.4876</x:v>
      </x:c>
      <x:c r="T13" s="60" t="n">
        <x:v>52.0147</x:v>
      </x:c>
      <x:c r="U13" s="60" t="n">
        <x:v>52.4459</x:v>
      </x:c>
      <x:c r="V13" s="60" t="n">
        <x:v>52.8611</x:v>
      </x:c>
      <x:c r="W13" s="60" t="n">
        <x:v>53.2482</x:v>
      </x:c>
      <x:c r="X13" s="60" t="n">
        <x:v>53.6733</x:v>
      </x:c>
      <x:c r="Y13" s="60" t="n">
        <x:v>54.1005</x:v>
      </x:c>
      <x:c r="Z13" s="60" t="n">
        <x:v>54.4852</x:v>
      </x:c>
      <x:c r="AA13" s="60" t="n">
        <x:v>54.865</x:v>
      </x:c>
      <x:c r="AB13" s="60" t="n">
        <x:v>55.2172</x:v>
      </x:c>
      <x:c r="AC13" s="60" t="n">
        <x:v>55.6028</x:v>
      </x:c>
      <x:c r="AD13" s="60" t="n">
        <x:v>55.9867</x:v>
      </x:c>
      <x:c r="AE13" s="60" t="n">
        <x:v>56.3098</x:v>
      </x:c>
      <x:c r="AF13" s="60" t="n">
        <x:v>56.6344</x:v>
      </x:c>
      <x:c r="AG13" s="60" t="n">
        <x:v>56.9511</x:v>
      </x:c>
      <x:c r="AH13" s="60" t="n">
        <x:v>57.3022</x:v>
      </x:c>
      <x:c r="AI13" s="60" t="n">
        <x:v>57.6245</x:v>
      </x:c>
      <x:c r="AJ13" s="60" t="n">
        <x:v>57.9617</x:v>
      </x:c>
      <x:c r="AK13" s="60" t="n">
        <x:v>58.226</x:v>
      </x:c>
      <x:c r="AL13" s="60" t="n">
        <x:v>58.5009</x:v>
      </x:c>
      <x:c r="AM13" s="60" t="n">
        <x:v>58.7974</x:v>
      </x:c>
      <x:c r="AN13" s="60" t="n">
        <x:v>59.093</x:v>
      </x:c>
      <x:c r="AO13" s="60" t="n">
        <x:v>59.3276</x:v>
      </x:c>
      <x:c r="AP13" s="60" t="n">
        <x:v>59.5976</x:v>
      </x:c>
      <x:c r="AQ13" s="60" t="n">
        <x:v>59.8663</x:v>
      </x:c>
      <x:c r="AR13" s="60" t="n">
        <x:v>60.1668</x:v>
      </x:c>
      <x:c r="AS13" s="60" t="n">
        <x:v>60.4349</x:v>
      </x:c>
      <x:c r="AT13" s="60" t="n">
        <x:v>60.682</x:v>
      </x:c>
      <x:c r="AU13" s="60" t="n">
        <x:v>60.961</x:v>
      </x:c>
      <x:c r="AV13" s="60" t="n">
        <x:v>61.2584</x:v>
      </x:c>
      <x:c r="AW13" s="60" t="n">
        <x:v>61.5019</x:v>
      </x:c>
      <x:c r="AX13" s="60" t="n">
        <x:v>61.7507</x:v>
      </x:c>
      <x:c r="AY13" s="60" t="n">
        <x:v>61.9931</x:v>
      </x:c>
      <x:c r="AZ13" s="60" t="n">
        <x:v>62.2503</x:v>
      </x:c>
      <x:c r="BA13" s="60" t="n">
        <x:v>62.4975</x:v>
      </x:c>
      <x:c r="BB13" s="60" t="n">
        <x:v>62.7171</x:v>
      </x:c>
      <x:c r="BC13" s="60" t="n">
        <x:v>62.9685</x:v>
      </x:c>
      <x:c r="BD13" s="60" t="n">
        <x:v>63.2081</x:v>
      </x:c>
      <x:c r="BE13" s="60" t="n">
        <x:v>63.43</x:v>
      </x:c>
      <x:c r="BF13" s="60" t="n">
        <x:v>63.6721</x:v>
      </x:c>
      <x:c r="BG13" s="60" t="n">
        <x:v>63.9086</x:v>
      </x:c>
      <x:c r="BH13" s="60" t="n">
        <x:v>64.1668</x:v>
      </x:c>
      <x:c r="BI13" s="60" t="n">
        <x:v>64.3956</x:v>
      </x:c>
      <x:c r="BJ13" s="60" t="n">
        <x:v>64.6338</x:v>
      </x:c>
      <x:c r="BK13" s="60" t="n">
        <x:v>64.8825</x:v>
      </x:c>
      <x:c r="BL13" s="60" t="n">
        <x:v>65.1233</x:v>
      </x:c>
      <x:c r="BM13" s="60" t="n">
        <x:v>65.3607</x:v>
      </x:c>
      <x:c r="BN13" s="60" t="n">
        <x:v>65.6022</x:v>
      </x:c>
      <x:c r="BO13" s="60" t="n">
        <x:v>65.8404</x:v>
      </x:c>
      <x:c r="BP13" s="60" t="n">
        <x:v>66.0548</x:v>
      </x:c>
      <x:c r="BQ13" s="60" t="n">
        <x:v>66.2944</x:v>
      </x:c>
      <x:c r="BR13" s="60" t="n">
        <x:v>66.5251</x:v>
      </x:c>
      <x:c r="BS13" s="60" t="n">
        <x:v>66.7796</x:v>
      </x:c>
      <x:c r="BT13" s="60" t="n">
        <x:v>66.993</x:v>
      </x:c>
      <x:c r="BU13" s="60" t="n">
        <x:v>67.2379</x:v>
      </x:c>
      <x:c r="BV13" s="60" t="n">
        <x:v>67.4958</x:v>
      </x:c>
      <x:c r="BW13" s="60" t="n">
        <x:v>67.7076</x:v>
      </x:c>
      <x:c r="BX13" s="60" t="n">
        <x:v>67.9554</x:v>
      </x:c>
      <x:c r="BY13" s="60" t="n">
        <x:v>68.159</x:v>
      </x:c>
      <x:c r="BZ13" s="60" t="n">
        <x:v>68.3819</x:v>
      </x:c>
      <x:c r="CA13" s="60" t="n">
        <x:v>68.5952</x:v>
      </x:c>
      <x:c r="CB13" s="60" t="n">
        <x:v>68.8046</x:v>
      </x:c>
      <x:c r="CC13" s="60" t="n">
        <x:v>69.0231</x:v>
      </x:c>
      <x:c r="CD13" s="60" t="n">
        <x:v>69.2352</x:v>
      </x:c>
      <x:c r="CE13" s="60" t="n">
        <x:v>69.4499</x:v>
      </x:c>
      <x:c r="CF13" s="60" t="n">
        <x:v>69.6784</x:v>
      </x:c>
      <x:c r="CG13" s="60" t="n">
        <x:v>69.9242</x:v>
      </x:c>
      <x:c r="CH13" s="60" t="n">
        <x:v>70.1783</x:v>
      </x:c>
      <x:c r="CI13" s="60" t="n">
        <x:v>70.4037</x:v>
      </x:c>
      <x:c r="CJ13" s="60" t="n">
        <x:v>70.6323</x:v>
      </x:c>
      <x:c r="CK13" s="60" t="n">
        <x:v>70.8784</x:v>
      </x:c>
      <x:c r="CL13" s="60" t="n">
        <x:v>71.1209</x:v>
      </x:c>
      <x:c r="CM13" s="60" t="n">
        <x:v>71.3332</x:v>
      </x:c>
      <x:c r="CN13" s="60" t="n">
        <x:v>71.5827</x:v>
      </x:c>
      <x:c r="CO13" s="60" t="n">
        <x:v>71.839</x:v>
      </x:c>
      <x:c r="CP13" s="60" t="n">
        <x:v>72.0698</x:v>
      </x:c>
      <x:c r="CQ13" s="60" t="n">
        <x:v>72.3282</x:v>
      </x:c>
      <x:c r="CR13" s="60" t="n">
        <x:v>72.5675</x:v>
      </x:c>
      <x:c r="CS13" s="60" t="n">
        <x:v>72.8807</x:v>
      </x:c>
      <x:c r="CT13" s="60" t="n">
        <x:v>73.1387</x:v>
      </x:c>
      <x:c r="CU13" s="60" t="n">
        <x:v>73.4274</x:v>
      </x:c>
      <x:c r="CV13" s="60" t="n">
        <x:v>73.7613</x:v>
      </x:c>
      <x:c r="CW13" s="60" t="n">
        <x:v>74.0892</x:v>
      </x:c>
      <x:c r="CX13" s="60" t="n">
        <x:v>74.4535</x:v>
      </x:c>
      <x:c r="CY13" s="60" t="n">
        <x:v>74.8806</x:v>
      </x:c>
      <x:c r="CZ13" s="60" t="n">
        <x:v>75.4707</x:v>
      </x:c>
      <x:c r="DA13" s="60" t="n">
        <x:v>76.1698</x:v>
      </x:c>
      <x:c r="DB13" s="60" t="n">
        <x:v>78.717</x:v>
      </x:c>
    </x:row>
    <x:row r="14">
      <x:c r="A14" t="str">
        <x:v>グレンアルマ-2</x:v>
      </x:c>
      <x:c r="B14" t="str">
        <x:v>グレンアルマ</x:v>
      </x:c>
      <x:c r="C14" t="str">
        <x:v>アーマーキャノン</x:v>
      </x:c>
      <x:c r="D14" s="60" t="n">
        <x:v>61.3734</x:v>
      </x:c>
      <x:c r="E14" s="60" t="n">
        <x:v>7.2102</x:v>
      </x:c>
      <x:c r="F14" s="60" t="n">
        <x:v>36.9765</x:v>
      </x:c>
      <x:c r="G14" s="60" t="n">
        <x:v>44.511</x:v>
      </x:c>
      <x:c r="H14" s="60" t="n">
        <x:v>45.8215</x:v>
      </x:c>
      <x:c r="I14" s="60" t="n">
        <x:v>46.8907</x:v>
      </x:c>
      <x:c r="J14" s="60" t="n">
        <x:v>47.6399</x:v>
      </x:c>
      <x:c r="K14" s="60" t="n">
        <x:v>48.4227</x:v>
      </x:c>
      <x:c r="L14" s="60" t="n">
        <x:v>49.0117</x:v>
      </x:c>
      <x:c r="M14" s="60" t="n">
        <x:v>49.5894</x:v>
      </x:c>
      <x:c r="N14" s="60" t="n">
        <x:v>50.1046</x:v>
      </x:c>
      <x:c r="O14" s="60" t="n">
        <x:v>50.5991</x:v>
      </x:c>
      <x:c r="P14" s="60" t="n">
        <x:v>51.0652</x:v>
      </x:c>
      <x:c r="Q14" s="60" t="n">
        <x:v>51.476</x:v>
      </x:c>
      <x:c r="R14" s="60" t="n">
        <x:v>51.8483</x:v>
      </x:c>
      <x:c r="S14" s="60" t="n">
        <x:v>52.2811</x:v>
      </x:c>
      <x:c r="T14" s="60" t="n">
        <x:v>52.6409</x:v>
      </x:c>
      <x:c r="U14" s="60" t="n">
        <x:v>53.0457</x:v>
      </x:c>
      <x:c r="V14" s="60" t="n">
        <x:v>53.446</x:v>
      </x:c>
      <x:c r="W14" s="60" t="n">
        <x:v>53.7775</x:v>
      </x:c>
      <x:c r="X14" s="60" t="n">
        <x:v>54.1234</x:v>
      </x:c>
      <x:c r="Y14" s="60" t="n">
        <x:v>54.4628</x:v>
      </x:c>
      <x:c r="Z14" s="60" t="n">
        <x:v>54.7974</x:v>
      </x:c>
      <x:c r="AA14" s="60" t="n">
        <x:v>55.1223</x:v>
      </x:c>
      <x:c r="AB14" s="60" t="n">
        <x:v>55.4356</x:v>
      </x:c>
      <x:c r="AC14" s="60" t="n">
        <x:v>55.7466</x:v>
      </x:c>
      <x:c r="AD14" s="60" t="n">
        <x:v>56.0572</x:v>
      </x:c>
      <x:c r="AE14" s="60" t="n">
        <x:v>56.3492</x:v>
      </x:c>
      <x:c r="AF14" s="60" t="n">
        <x:v>56.6435</x:v>
      </x:c>
      <x:c r="AG14" s="60" t="n">
        <x:v>56.9194</x:v>
      </x:c>
      <x:c r="AH14" s="60" t="n">
        <x:v>57.1648</x:v>
      </x:c>
      <x:c r="AI14" s="60" t="n">
        <x:v>57.4084</x:v>
      </x:c>
      <x:c r="AJ14" s="60" t="n">
        <x:v>57.659</x:v>
      </x:c>
      <x:c r="AK14" s="60" t="n">
        <x:v>57.9176</x:v>
      </x:c>
      <x:c r="AL14" s="60" t="n">
        <x:v>58.1683</x:v>
      </x:c>
      <x:c r="AM14" s="60" t="n">
        <x:v>58.4129</x:v>
      </x:c>
      <x:c r="AN14" s="60" t="n">
        <x:v>58.644</x:v>
      </x:c>
      <x:c r="AO14" s="60" t="n">
        <x:v>58.914</x:v>
      </x:c>
      <x:c r="AP14" s="60" t="n">
        <x:v>59.147</x:v>
      </x:c>
      <x:c r="AQ14" s="60" t="n">
        <x:v>59.4127</x:v>
      </x:c>
      <x:c r="AR14" s="60" t="n">
        <x:v>59.6522</x:v>
      </x:c>
      <x:c r="AS14" s="60" t="n">
        <x:v>59.8972</x:v>
      </x:c>
      <x:c r="AT14" s="60" t="n">
        <x:v>60.1139</x:v>
      </x:c>
      <x:c r="AU14" s="60" t="n">
        <x:v>60.3325</x:v>
      </x:c>
      <x:c r="AV14" s="60" t="n">
        <x:v>60.5476</x:v>
      </x:c>
      <x:c r="AW14" s="60" t="n">
        <x:v>60.7759</x:v>
      </x:c>
      <x:c r="AX14" s="60" t="n">
        <x:v>60.9842</x:v>
      </x:c>
      <x:c r="AY14" s="60" t="n">
        <x:v>61.1983</x:v>
      </x:c>
      <x:c r="AZ14" s="60" t="n">
        <x:v>61.3892</x:v>
      </x:c>
      <x:c r="BA14" s="60" t="n">
        <x:v>61.6063</x:v>
      </x:c>
      <x:c r="BB14" s="60" t="n">
        <x:v>61.8044</x:v>
      </x:c>
      <x:c r="BC14" s="60" t="n">
        <x:v>61.9803</x:v>
      </x:c>
      <x:c r="BD14" s="60" t="n">
        <x:v>62.1773</x:v>
      </x:c>
      <x:c r="BE14" s="60" t="n">
        <x:v>62.3832</x:v>
      </x:c>
      <x:c r="BF14" s="60" t="n">
        <x:v>62.568</x:v>
      </x:c>
      <x:c r="BG14" s="60" t="n">
        <x:v>62.7411</x:v>
      </x:c>
      <x:c r="BH14" s="60" t="n">
        <x:v>62.9397</x:v>
      </x:c>
      <x:c r="BI14" s="60" t="n">
        <x:v>63.1055</x:v>
      </x:c>
      <x:c r="BJ14" s="60" t="n">
        <x:v>63.3102</x:v>
      </x:c>
      <x:c r="BK14" s="60" t="n">
        <x:v>63.508</x:v>
      </x:c>
      <x:c r="BL14" s="60" t="n">
        <x:v>63.6961</x:v>
      </x:c>
      <x:c r="BM14" s="60" t="n">
        <x:v>63.908</x:v>
      </x:c>
      <x:c r="BN14" s="60" t="n">
        <x:v>64.1047</x:v>
      </x:c>
      <x:c r="BO14" s="60" t="n">
        <x:v>64.3033</x:v>
      </x:c>
      <x:c r="BP14" s="60" t="n">
        <x:v>64.4939</x:v>
      </x:c>
      <x:c r="BQ14" s="60" t="n">
        <x:v>64.6921</x:v>
      </x:c>
      <x:c r="BR14" s="60" t="n">
        <x:v>64.8752</x:v>
      </x:c>
      <x:c r="BS14" s="60" t="n">
        <x:v>65.0473</x:v>
      </x:c>
      <x:c r="BT14" s="60" t="n">
        <x:v>65.2322</x:v>
      </x:c>
      <x:c r="BU14" s="60" t="n">
        <x:v>65.4207</x:v>
      </x:c>
      <x:c r="BV14" s="60" t="n">
        <x:v>65.6158</x:v>
      </x:c>
      <x:c r="BW14" s="60" t="n">
        <x:v>65.7906</x:v>
      </x:c>
      <x:c r="BX14" s="60" t="n">
        <x:v>65.983</x:v>
      </x:c>
      <x:c r="BY14" s="60" t="n">
        <x:v>66.1774</x:v>
      </x:c>
      <x:c r="BZ14" s="60" t="n">
        <x:v>66.3613</x:v>
      </x:c>
      <x:c r="CA14" s="60" t="n">
        <x:v>66.5535</x:v>
      </x:c>
      <x:c r="CB14" s="60" t="n">
        <x:v>66.7554</x:v>
      </x:c>
      <x:c r="CC14" s="60" t="n">
        <x:v>66.956</x:v>
      </x:c>
      <x:c r="CD14" s="60" t="n">
        <x:v>67.1352</x:v>
      </x:c>
      <x:c r="CE14" s="60" t="n">
        <x:v>67.3287</x:v>
      </x:c>
      <x:c r="CF14" s="60" t="n">
        <x:v>67.5299</x:v>
      </x:c>
      <x:c r="CG14" s="60" t="n">
        <x:v>67.7263</x:v>
      </x:c>
      <x:c r="CH14" s="60" t="n">
        <x:v>67.9436</x:v>
      </x:c>
      <x:c r="CI14" s="60" t="n">
        <x:v>68.1543</x:v>
      </x:c>
      <x:c r="CJ14" s="60" t="n">
        <x:v>68.374</x:v>
      </x:c>
      <x:c r="CK14" s="60" t="n">
        <x:v>68.6004</x:v>
      </x:c>
      <x:c r="CL14" s="60" t="n">
        <x:v>68.8058</x:v>
      </x:c>
      <x:c r="CM14" s="60" t="n">
        <x:v>69.0295</x:v>
      </x:c>
      <x:c r="CN14" s="60" t="n">
        <x:v>69.2557</x:v>
      </x:c>
      <x:c r="CO14" s="60" t="n">
        <x:v>69.512</x:v>
      </x:c>
      <x:c r="CP14" s="60" t="n">
        <x:v>69.7491</x:v>
      </x:c>
      <x:c r="CQ14" s="60" t="n">
        <x:v>69.9859</x:v>
      </x:c>
      <x:c r="CR14" s="60" t="n">
        <x:v>70.258</x:v>
      </x:c>
      <x:c r="CS14" s="60" t="n">
        <x:v>70.5487</x:v>
      </x:c>
      <x:c r="CT14" s="60" t="n">
        <x:v>70.874</x:v>
      </x:c>
      <x:c r="CU14" s="60" t="n">
        <x:v>71.1614</x:v>
      </x:c>
      <x:c r="CV14" s="60" t="n">
        <x:v>71.5363</x:v>
      </x:c>
      <x:c r="CW14" s="60" t="n">
        <x:v>71.9272</x:v>
      </x:c>
      <x:c r="CX14" s="60" t="n">
        <x:v>72.3376</x:v>
      </x:c>
      <x:c r="CY14" s="60" t="n">
        <x:v>72.8179</x:v>
      </x:c>
      <x:c r="CZ14" s="60" t="n">
        <x:v>73.5063</x:v>
      </x:c>
      <x:c r="DA14" s="60" t="n">
        <x:v>74.4771</x:v>
      </x:c>
      <x:c r="DB14" s="60" t="n">
        <x:v>78.9338</x:v>
      </x:c>
    </x:row>
    <x:row r="15">
      <x:c r="A15" t="str">
        <x:v>ゲッコウガ-1</x:v>
      </x:c>
      <x:c r="B15" t="str">
        <x:v>ゲッコウガ</x:v>
      </x:c>
      <x:c r="C15" t="str">
        <x:v>みずしゅりけん</x:v>
      </x:c>
      <x:c r="D15" s="60" t="n">
        <x:v>60.2166</x:v>
      </x:c>
      <x:c r="E15" s="60" t="n">
        <x:v>11.8977</x:v>
      </x:c>
      <x:c r="F15" s="60" t="n">
        <x:v>26.5304</x:v>
      </x:c>
      <x:c r="G15" s="60" t="n">
        <x:v>34.6834</x:v>
      </x:c>
      <x:c r="H15" s="60" t="n">
        <x:v>36.2659</x:v>
      </x:c>
      <x:c r="I15" s="60" t="n">
        <x:v>37.4232</x:v>
      </x:c>
      <x:c r="J15" s="60" t="n">
        <x:v>38.574</x:v>
      </x:c>
      <x:c r="K15" s="60" t="n">
        <x:v>39.68</x:v>
      </x:c>
      <x:c r="L15" s="60" t="n">
        <x:v>40.62</x:v>
      </x:c>
      <x:c r="M15" s="60" t="n">
        <x:v>41.4613</x:v>
      </x:c>
      <x:c r="N15" s="60" t="n">
        <x:v>42.2462</x:v>
      </x:c>
      <x:c r="O15" s="60" t="n">
        <x:v>43.0191</x:v>
      </x:c>
      <x:c r="P15" s="60" t="n">
        <x:v>43.7432</x:v>
      </x:c>
      <x:c r="Q15" s="60" t="n">
        <x:v>44.4263</x:v>
      </x:c>
      <x:c r="R15" s="60" t="n">
        <x:v>45.0507</x:v>
      </x:c>
      <x:c r="S15" s="60" t="n">
        <x:v>45.6497</x:v>
      </x:c>
      <x:c r="T15" s="60" t="n">
        <x:v>46.2087</x:v>
      </x:c>
      <x:c r="U15" s="60" t="n">
        <x:v>46.8372</x:v>
      </x:c>
      <x:c r="V15" s="60" t="n">
        <x:v>47.3582</x:v>
      </x:c>
      <x:c r="W15" s="60" t="n">
        <x:v>47.8568</x:v>
      </x:c>
      <x:c r="X15" s="60" t="n">
        <x:v>48.363</x:v>
      </x:c>
      <x:c r="Y15" s="60" t="n">
        <x:v>48.8792</x:v>
      </x:c>
      <x:c r="Z15" s="60" t="n">
        <x:v>49.3666</x:v>
      </x:c>
      <x:c r="AA15" s="60" t="n">
        <x:v>49.829</x:v>
      </x:c>
      <x:c r="AB15" s="60" t="n">
        <x:v>50.248</x:v>
      </x:c>
      <x:c r="AC15" s="60" t="n">
        <x:v>50.7261</x:v>
      </x:c>
      <x:c r="AD15" s="60" t="n">
        <x:v>51.1345</x:v>
      </x:c>
      <x:c r="AE15" s="60" t="n">
        <x:v>51.5809</x:v>
      </x:c>
      <x:c r="AF15" s="60" t="n">
        <x:v>52.0161</x:v>
      </x:c>
      <x:c r="AG15" s="60" t="n">
        <x:v>52.4654</x:v>
      </x:c>
      <x:c r="AH15" s="60" t="n">
        <x:v>52.8539</x:v>
      </x:c>
      <x:c r="AI15" s="60" t="n">
        <x:v>53.2494</x:v>
      </x:c>
      <x:c r="AJ15" s="60" t="n">
        <x:v>53.5979</x:v>
      </x:c>
      <x:c r="AK15" s="60" t="n">
        <x:v>54.0068</x:v>
      </x:c>
      <x:c r="AL15" s="60" t="n">
        <x:v>54.3807</x:v>
      </x:c>
      <x:c r="AM15" s="60" t="n">
        <x:v>54.7598</x:v>
      </x:c>
      <x:c r="AN15" s="60" t="n">
        <x:v>55.1728</x:v>
      </x:c>
      <x:c r="AO15" s="60" t="n">
        <x:v>55.5428</x:v>
      </x:c>
      <x:c r="AP15" s="60" t="n">
        <x:v>55.8647</x:v>
      </x:c>
      <x:c r="AQ15" s="60" t="n">
        <x:v>56.2474</x:v>
      </x:c>
      <x:c r="AR15" s="60" t="n">
        <x:v>56.5949</x:v>
      </x:c>
      <x:c r="AS15" s="60" t="n">
        <x:v>56.929</x:v>
      </x:c>
      <x:c r="AT15" s="60" t="n">
        <x:v>57.2985</x:v>
      </x:c>
      <x:c r="AU15" s="60" t="n">
        <x:v>57.6467</x:v>
      </x:c>
      <x:c r="AV15" s="60" t="n">
        <x:v>58.0095</x:v>
      </x:c>
      <x:c r="AW15" s="60" t="n">
        <x:v>58.3379</x:v>
      </x:c>
      <x:c r="AX15" s="60" t="n">
        <x:v>58.6377</x:v>
      </x:c>
      <x:c r="AY15" s="60" t="n">
        <x:v>58.9637</x:v>
      </x:c>
      <x:c r="AZ15" s="60" t="n">
        <x:v>59.3103</x:v>
      </x:c>
      <x:c r="BA15" s="60" t="n">
        <x:v>59.6893</x:v>
      </x:c>
      <x:c r="BB15" s="60" t="n">
        <x:v>60.0341</x:v>
      </x:c>
      <x:c r="BC15" s="60" t="n">
        <x:v>60.3827</x:v>
      </x:c>
      <x:c r="BD15" s="60" t="n">
        <x:v>60.6856</x:v>
      </x:c>
      <x:c r="BE15" s="60" t="n">
        <x:v>60.9762</x:v>
      </x:c>
      <x:c r="BF15" s="60" t="n">
        <x:v>61.3526</x:v>
      </x:c>
      <x:c r="BG15" s="60" t="n">
        <x:v>61.6802</x:v>
      </x:c>
      <x:c r="BH15" s="60" t="n">
        <x:v>62.0028</x:v>
      </x:c>
      <x:c r="BI15" s="60" t="n">
        <x:v>62.3447</x:v>
      </x:c>
      <x:c r="BJ15" s="60" t="n">
        <x:v>62.7084</x:v>
      </x:c>
      <x:c r="BK15" s="60" t="n">
        <x:v>63.0221</x:v>
      </x:c>
      <x:c r="BL15" s="60" t="n">
        <x:v>63.3761</x:v>
      </x:c>
      <x:c r="BM15" s="60" t="n">
        <x:v>63.7323</x:v>
      </x:c>
      <x:c r="BN15" s="60" t="n">
        <x:v>64.0319</x:v>
      </x:c>
      <x:c r="BO15" s="60" t="n">
        <x:v>64.3377</x:v>
      </x:c>
      <x:c r="BP15" s="60" t="n">
        <x:v>64.6814</x:v>
      </x:c>
      <x:c r="BQ15" s="60" t="n">
        <x:v>65.0114</x:v>
      </x:c>
      <x:c r="BR15" s="60" t="n">
        <x:v>65.3623</x:v>
      </x:c>
      <x:c r="BS15" s="60" t="n">
        <x:v>65.6809</x:v>
      </x:c>
      <x:c r="BT15" s="60" t="n">
        <x:v>65.989</x:v>
      </x:c>
      <x:c r="BU15" s="60" t="n">
        <x:v>66.3759</x:v>
      </x:c>
      <x:c r="BV15" s="60" t="n">
        <x:v>66.6895</x:v>
      </x:c>
      <x:c r="BW15" s="60" t="n">
        <x:v>67.0644</x:v>
      </x:c>
      <x:c r="BX15" s="60" t="n">
        <x:v>67.4175</x:v>
      </x:c>
      <x:c r="BY15" s="60" t="n">
        <x:v>67.772</x:v>
      </x:c>
      <x:c r="BZ15" s="60" t="n">
        <x:v>68.1116</x:v>
      </x:c>
      <x:c r="CA15" s="60" t="n">
        <x:v>68.4772</x:v>
      </x:c>
      <x:c r="CB15" s="60" t="n">
        <x:v>68.8408</x:v>
      </x:c>
      <x:c r="CC15" s="60" t="n">
        <x:v>69.1922</x:v>
      </x:c>
      <x:c r="CD15" s="60" t="n">
        <x:v>69.5923</x:v>
      </x:c>
      <x:c r="CE15" s="60" t="n">
        <x:v>70.0248</x:v>
      </x:c>
      <x:c r="CF15" s="60" t="n">
        <x:v>70.3855</x:v>
      </x:c>
      <x:c r="CG15" s="60" t="n">
        <x:v>70.7963</x:v>
      </x:c>
      <x:c r="CH15" s="60" t="n">
        <x:v>71.2211</x:v>
      </x:c>
      <x:c r="CI15" s="60" t="n">
        <x:v>71.5992</x:v>
      </x:c>
      <x:c r="CJ15" s="60" t="n">
        <x:v>72.0006</x:v>
      </x:c>
      <x:c r="CK15" s="60" t="n">
        <x:v>72.4213</x:v>
      </x:c>
      <x:c r="CL15" s="60" t="n">
        <x:v>72.8614</x:v>
      </x:c>
      <x:c r="CM15" s="60" t="n">
        <x:v>73.3286</x:v>
      </x:c>
      <x:c r="CN15" s="60" t="n">
        <x:v>73.8009</x:v>
      </x:c>
      <x:c r="CO15" s="60" t="n">
        <x:v>74.2868</x:v>
      </x:c>
      <x:c r="CP15" s="60" t="n">
        <x:v>74.8344</x:v>
      </x:c>
      <x:c r="CQ15" s="60" t="n">
        <x:v>75.3382</x:v>
      </x:c>
      <x:c r="CR15" s="60" t="n">
        <x:v>75.8141</x:v>
      </x:c>
      <x:c r="CS15" s="60" t="n">
        <x:v>76.3561</x:v>
      </x:c>
      <x:c r="CT15" s="60" t="n">
        <x:v>76.9071</x:v>
      </x:c>
      <x:c r="CU15" s="60" t="n">
        <x:v>77.5878</x:v>
      </x:c>
      <x:c r="CV15" s="60" t="n">
        <x:v>78.2594</x:v>
      </x:c>
      <x:c r="CW15" s="60" t="n">
        <x:v>79.0526</x:v>
      </x:c>
      <x:c r="CX15" s="60" t="n">
        <x:v>79.8311</x:v>
      </x:c>
      <x:c r="CY15" s="60" t="n">
        <x:v>80.8931</x:v>
      </x:c>
      <x:c r="CZ15" s="60" t="n">
        <x:v>81.9644</x:v>
      </x:c>
      <x:c r="DA15" s="60" t="n">
        <x:v>83.4813</x:v>
      </x:c>
      <x:c r="DB15" s="60" t="n">
        <x:v>88.4702</x:v>
      </x:c>
    </x:row>
    <x:row r="16">
      <x:c r="A16" t="str">
        <x:v>ゲッコウガ-2</x:v>
      </x:c>
      <x:c r="B16" t="str">
        <x:v>ゲッコウガ</x:v>
      </x:c>
      <x:c r="C16" t="str">
        <x:v>なみのり</x:v>
      </x:c>
      <x:c r="D16" s="60" t="n">
        <x:v>59.9909</x:v>
      </x:c>
      <x:c r="E16" s="60" t="n">
        <x:v>13.081</x:v>
      </x:c>
      <x:c r="F16" s="60" t="n">
        <x:v>24.8779</x:v>
      </x:c>
      <x:c r="G16" s="60" t="n">
        <x:v>32.3782</x:v>
      </x:c>
      <x:c r="H16" s="60" t="n">
        <x:v>34.144</x:v>
      </x:c>
      <x:c r="I16" s="60" t="n">
        <x:v>35.3979</x:v>
      </x:c>
      <x:c r="J16" s="60" t="n">
        <x:v>36.4345</x:v>
      </x:c>
      <x:c r="K16" s="60" t="n">
        <x:v>37.5054</x:v>
      </x:c>
      <x:c r="L16" s="60" t="n">
        <x:v>38.5697</x:v>
      </x:c>
      <x:c r="M16" s="60" t="n">
        <x:v>39.4574</x:v>
      </x:c>
      <x:c r="N16" s="60" t="n">
        <x:v>40.2272</x:v>
      </x:c>
      <x:c r="O16" s="60" t="n">
        <x:v>41.0061</x:v>
      </x:c>
      <x:c r="P16" s="60" t="n">
        <x:v>41.7263</x:v>
      </x:c>
      <x:c r="Q16" s="60" t="n">
        <x:v>42.4661</x:v>
      </x:c>
      <x:c r="R16" s="60" t="n">
        <x:v>43.307</x:v>
      </x:c>
      <x:c r="S16" s="60" t="n">
        <x:v>43.957</x:v>
      </x:c>
      <x:c r="T16" s="60" t="n">
        <x:v>44.6213</x:v>
      </x:c>
      <x:c r="U16" s="60" t="n">
        <x:v>45.2004</x:v>
      </x:c>
      <x:c r="V16" s="60" t="n">
        <x:v>45.79</x:v>
      </x:c>
      <x:c r="W16" s="60" t="n">
        <x:v>46.3258</x:v>
      </x:c>
      <x:c r="X16" s="60" t="n">
        <x:v>46.9084</x:v>
      </x:c>
      <x:c r="Y16" s="60" t="n">
        <x:v>47.4441</x:v>
      </x:c>
      <x:c r="Z16" s="60" t="n">
        <x:v>47.9493</x:v>
      </x:c>
      <x:c r="AA16" s="60" t="n">
        <x:v>48.386</x:v>
      </x:c>
      <x:c r="AB16" s="60" t="n">
        <x:v>48.9</x:v>
      </x:c>
      <x:c r="AC16" s="60" t="n">
        <x:v>49.425</x:v>
      </x:c>
      <x:c r="AD16" s="60" t="n">
        <x:v>49.8714</x:v>
      </x:c>
      <x:c r="AE16" s="60" t="n">
        <x:v>50.313</x:v>
      </x:c>
      <x:c r="AF16" s="60" t="n">
        <x:v>50.7887</x:v>
      </x:c>
      <x:c r="AG16" s="60" t="n">
        <x:v>51.2331</x:v>
      </x:c>
      <x:c r="AH16" s="60" t="n">
        <x:v>51.6933</x:v>
      </x:c>
      <x:c r="AI16" s="60" t="n">
        <x:v>52.075</x:v>
      </x:c>
      <x:c r="AJ16" s="60" t="n">
        <x:v>52.4935</x:v>
      </x:c>
      <x:c r="AK16" s="60" t="n">
        <x:v>52.8799</x:v>
      </x:c>
      <x:c r="AL16" s="60" t="n">
        <x:v>53.3887</x:v>
      </x:c>
      <x:c r="AM16" s="60" t="n">
        <x:v>53.8142</x:v>
      </x:c>
      <x:c r="AN16" s="60" t="n">
        <x:v>54.2532</x:v>
      </x:c>
      <x:c r="AO16" s="60" t="n">
        <x:v>54.6491</x:v>
      </x:c>
      <x:c r="AP16" s="60" t="n">
        <x:v>55.0897</x:v>
      </x:c>
      <x:c r="AQ16" s="60" t="n">
        <x:v>55.531</x:v>
      </x:c>
      <x:c r="AR16" s="60" t="n">
        <x:v>55.9387</x:v>
      </x:c>
      <x:c r="AS16" s="60" t="n">
        <x:v>56.3642</x:v>
      </x:c>
      <x:c r="AT16" s="60" t="n">
        <x:v>56.7475</x:v>
      </x:c>
      <x:c r="AU16" s="60" t="n">
        <x:v>57.091</x:v>
      </x:c>
      <x:c r="AV16" s="60" t="n">
        <x:v>57.4116</x:v>
      </x:c>
      <x:c r="AW16" s="60" t="n">
        <x:v>57.7837</x:v>
      </x:c>
      <x:c r="AX16" s="60" t="n">
        <x:v>58.2522</x:v>
      </x:c>
      <x:c r="AY16" s="60" t="n">
        <x:v>58.6505</x:v>
      </x:c>
      <x:c r="AZ16" s="60" t="n">
        <x:v>59.0256</x:v>
      </x:c>
      <x:c r="BA16" s="60" t="n">
        <x:v>59.4277</x:v>
      </x:c>
      <x:c r="BB16" s="60" t="n">
        <x:v>59.8157</x:v>
      </x:c>
      <x:c r="BC16" s="60" t="n">
        <x:v>60.2172</x:v>
      </x:c>
      <x:c r="BD16" s="60" t="n">
        <x:v>60.5552</x:v>
      </x:c>
      <x:c r="BE16" s="60" t="n">
        <x:v>60.9199</x:v>
      </x:c>
      <x:c r="BF16" s="60" t="n">
        <x:v>61.2511</x:v>
      </x:c>
      <x:c r="BG16" s="60" t="n">
        <x:v>61.6062</x:v>
      </x:c>
      <x:c r="BH16" s="60" t="n">
        <x:v>61.9367</x:v>
      </x:c>
      <x:c r="BI16" s="60" t="n">
        <x:v>62.3129</x:v>
      </x:c>
      <x:c r="BJ16" s="60" t="n">
        <x:v>62.6709</x:v>
      </x:c>
      <x:c r="BK16" s="60" t="n">
        <x:v>63.0613</x:v>
      </x:c>
      <x:c r="BL16" s="60" t="n">
        <x:v>63.4022</x:v>
      </x:c>
      <x:c r="BM16" s="60" t="n">
        <x:v>63.802</x:v>
      </x:c>
      <x:c r="BN16" s="60" t="n">
        <x:v>64.2231</x:v>
      </x:c>
      <x:c r="BO16" s="60" t="n">
        <x:v>64.5742</x:v>
      </x:c>
      <x:c r="BP16" s="60" t="n">
        <x:v>64.9281</x:v>
      </x:c>
      <x:c r="BQ16" s="60" t="n">
        <x:v>65.3073</x:v>
      </x:c>
      <x:c r="BR16" s="60" t="n">
        <x:v>65.6533</x:v>
      </x:c>
      <x:c r="BS16" s="60" t="n">
        <x:v>66.0151</x:v>
      </x:c>
      <x:c r="BT16" s="60" t="n">
        <x:v>66.4087</x:v>
      </x:c>
      <x:c r="BU16" s="60" t="n">
        <x:v>66.7754</x:v>
      </x:c>
      <x:c r="BV16" s="60" t="n">
        <x:v>67.1737</x:v>
      </x:c>
      <x:c r="BW16" s="60" t="n">
        <x:v>67.5883</x:v>
      </x:c>
      <x:c r="BX16" s="60" t="n">
        <x:v>67.9693</x:v>
      </x:c>
      <x:c r="BY16" s="60" t="n">
        <x:v>68.4034</x:v>
      </x:c>
      <x:c r="BZ16" s="60" t="n">
        <x:v>68.7954</x:v>
      </x:c>
      <x:c r="CA16" s="60" t="n">
        <x:v>69.1914</x:v>
      </x:c>
      <x:c r="CB16" s="60" t="n">
        <x:v>69.5497</x:v>
      </x:c>
      <x:c r="CC16" s="60" t="n">
        <x:v>69.9806</x:v>
      </x:c>
      <x:c r="CD16" s="60" t="n">
        <x:v>70.4351</x:v>
      </x:c>
      <x:c r="CE16" s="60" t="n">
        <x:v>70.8509</x:v>
      </x:c>
      <x:c r="CF16" s="60" t="n">
        <x:v>71.2611</x:v>
      </x:c>
      <x:c r="CG16" s="60" t="n">
        <x:v>71.7159</x:v>
      </x:c>
      <x:c r="CH16" s="60" t="n">
        <x:v>72.1069</x:v>
      </x:c>
      <x:c r="CI16" s="60" t="n">
        <x:v>72.5757</x:v>
      </x:c>
      <x:c r="CJ16" s="60" t="n">
        <x:v>73.0376</x:v>
      </x:c>
      <x:c r="CK16" s="60" t="n">
        <x:v>73.4484</x:v>
      </x:c>
      <x:c r="CL16" s="60" t="n">
        <x:v>73.8512</x:v>
      </x:c>
      <x:c r="CM16" s="60" t="n">
        <x:v>74.3724</x:v>
      </x:c>
      <x:c r="CN16" s="60" t="n">
        <x:v>74.8653</x:v>
      </x:c>
      <x:c r="CO16" s="60" t="n">
        <x:v>75.363</x:v>
      </x:c>
      <x:c r="CP16" s="60" t="n">
        <x:v>75.9407</x:v>
      </x:c>
      <x:c r="CQ16" s="60" t="n">
        <x:v>76.5351</x:v>
      </x:c>
      <x:c r="CR16" s="60" t="n">
        <x:v>77.0911</x:v>
      </x:c>
      <x:c r="CS16" s="60" t="n">
        <x:v>77.665</x:v>
      </x:c>
      <x:c r="CT16" s="60" t="n">
        <x:v>78.3379</x:v>
      </x:c>
      <x:c r="CU16" s="60" t="n">
        <x:v>79.1404</x:v>
      </x:c>
      <x:c r="CV16" s="60" t="n">
        <x:v>79.8425</x:v>
      </x:c>
      <x:c r="CW16" s="60" t="n">
        <x:v>80.826</x:v>
      </x:c>
      <x:c r="CX16" s="60" t="n">
        <x:v>81.7527</x:v>
      </x:c>
      <x:c r="CY16" s="60" t="n">
        <x:v>82.817</x:v>
      </x:c>
      <x:c r="CZ16" s="60" t="n">
        <x:v>84.1599</x:v>
      </x:c>
      <x:c r="DA16" s="60" t="n">
        <x:v>85.7298</x:v>
      </x:c>
      <x:c r="DB16" s="60" t="n">
        <x:v>91.5005</x:v>
      </x:c>
    </x:row>
    <x:row r="17">
      <x:c r="A17" t="str">
        <x:v>サンダー-1</x:v>
      </x:c>
      <x:c r="B17" t="str">
        <x:v>サンダー</x:v>
      </x:c>
      <x:c r="C17" t="str">
        <x:v>共通</x:v>
      </x:c>
      <x:c r="D17" s="60" t="n">
        <x:v>61.1001</x:v>
      </x:c>
      <x:c r="E17" s="60" t="n">
        <x:v>7.2329</x:v>
      </x:c>
      <x:c r="F17" s="60" t="n">
        <x:v>37.6587</x:v>
      </x:c>
      <x:c r="G17" s="60" t="n">
        <x:v>44.3472</x:v>
      </x:c>
      <x:c r="H17" s="60" t="n">
        <x:v>45.7035</x:v>
      </x:c>
      <x:c r="I17" s="60" t="n">
        <x:v>46.733</x:v>
      </x:c>
      <x:c r="J17" s="60" t="n">
        <x:v>47.4775</x:v>
      </x:c>
      <x:c r="K17" s="60" t="n">
        <x:v>48.1384</x:v>
      </x:c>
      <x:c r="L17" s="60" t="n">
        <x:v>48.7101</x:v>
      </x:c>
      <x:c r="M17" s="60" t="n">
        <x:v>49.2564</x:v>
      </x:c>
      <x:c r="N17" s="60" t="n">
        <x:v>49.7891</x:v>
      </x:c>
      <x:c r="O17" s="60" t="n">
        <x:v>50.3365</x:v>
      </x:c>
      <x:c r="P17" s="60" t="n">
        <x:v>50.7864</x:v>
      </x:c>
      <x:c r="Q17" s="60" t="n">
        <x:v>51.2023</x:v>
      </x:c>
      <x:c r="R17" s="60" t="n">
        <x:v>51.6101</x:v>
      </x:c>
      <x:c r="S17" s="60" t="n">
        <x:v>52.0073</x:v>
      </x:c>
      <x:c r="T17" s="60" t="n">
        <x:v>52.3833</x:v>
      </x:c>
      <x:c r="U17" s="60" t="n">
        <x:v>52.7906</x:v>
      </x:c>
      <x:c r="V17" s="60" t="n">
        <x:v>53.1677</x:v>
      </x:c>
      <x:c r="W17" s="60" t="n">
        <x:v>53.5013</x:v>
      </x:c>
      <x:c r="X17" s="60" t="n">
        <x:v>53.8284</x:v>
      </x:c>
      <x:c r="Y17" s="60" t="n">
        <x:v>54.1589</x:v>
      </x:c>
      <x:c r="Z17" s="60" t="n">
        <x:v>54.4703</x:v>
      </x:c>
      <x:c r="AA17" s="60" t="n">
        <x:v>54.8075</x:v>
      </x:c>
      <x:c r="AB17" s="60" t="n">
        <x:v>55.1222</x:v>
      </x:c>
      <x:c r="AC17" s="60" t="n">
        <x:v>55.4379</x:v>
      </x:c>
      <x:c r="AD17" s="60" t="n">
        <x:v>55.7294</x:v>
      </x:c>
      <x:c r="AE17" s="60" t="n">
        <x:v>56.0008</x:v>
      </x:c>
      <x:c r="AF17" s="60" t="n">
        <x:v>56.2855</x:v>
      </x:c>
      <x:c r="AG17" s="60" t="n">
        <x:v>56.5589</x:v>
      </x:c>
      <x:c r="AH17" s="60" t="n">
        <x:v>56.8091</x:v>
      </x:c>
      <x:c r="AI17" s="60" t="n">
        <x:v>57.0557</x:v>
      </x:c>
      <x:c r="AJ17" s="60" t="n">
        <x:v>57.3371</x:v>
      </x:c>
      <x:c r="AK17" s="60" t="n">
        <x:v>57.5809</x:v>
      </x:c>
      <x:c r="AL17" s="60" t="n">
        <x:v>57.8626</x:v>
      </x:c>
      <x:c r="AM17" s="60" t="n">
        <x:v>58.1023</x:v>
      </x:c>
      <x:c r="AN17" s="60" t="n">
        <x:v>58.3419</x:v>
      </x:c>
      <x:c r="AO17" s="60" t="n">
        <x:v>58.6146</x:v>
      </x:c>
      <x:c r="AP17" s="60" t="n">
        <x:v>58.8664</x:v>
      </x:c>
      <x:c r="AQ17" s="60" t="n">
        <x:v>59.0992</x:v>
      </x:c>
      <x:c r="AR17" s="60" t="n">
        <x:v>59.3257</x:v>
      </x:c>
      <x:c r="AS17" s="60" t="n">
        <x:v>59.5748</x:v>
      </x:c>
      <x:c r="AT17" s="60" t="n">
        <x:v>59.7947</x:v>
      </x:c>
      <x:c r="AU17" s="60" t="n">
        <x:v>60.0247</x:v>
      </x:c>
      <x:c r="AV17" s="60" t="n">
        <x:v>60.2397</x:v>
      </x:c>
      <x:c r="AW17" s="60" t="n">
        <x:v>60.4539</x:v>
      </x:c>
      <x:c r="AX17" s="60" t="n">
        <x:v>60.6624</x:v>
      </x:c>
      <x:c r="AY17" s="60" t="n">
        <x:v>60.879</x:v>
      </x:c>
      <x:c r="AZ17" s="60" t="n">
        <x:v>61.0878</x:v>
      </x:c>
      <x:c r="BA17" s="60" t="n">
        <x:v>61.2654</x:v>
      </x:c>
      <x:c r="BB17" s="60" t="n">
        <x:v>61.451</x:v>
      </x:c>
      <x:c r="BC17" s="60" t="n">
        <x:v>61.6703</x:v>
      </x:c>
      <x:c r="BD17" s="60" t="n">
        <x:v>61.8445</x:v>
      </x:c>
      <x:c r="BE17" s="60" t="n">
        <x:v>62.0342</x:v>
      </x:c>
      <x:c r="BF17" s="60" t="n">
        <x:v>62.2264</x:v>
      </x:c>
      <x:c r="BG17" s="60" t="n">
        <x:v>62.4236</x:v>
      </x:c>
      <x:c r="BH17" s="60" t="n">
        <x:v>62.606</x:v>
      </x:c>
      <x:c r="BI17" s="60" t="n">
        <x:v>62.803</x:v>
      </x:c>
      <x:c r="BJ17" s="60" t="n">
        <x:v>62.9992</x:v>
      </x:c>
      <x:c r="BK17" s="60" t="n">
        <x:v>63.1992</x:v>
      </x:c>
      <x:c r="BL17" s="60" t="n">
        <x:v>63.3895</x:v>
      </x:c>
      <x:c r="BM17" s="60" t="n">
        <x:v>63.5822</x:v>
      </x:c>
      <x:c r="BN17" s="60" t="n">
        <x:v>63.7708</x:v>
      </x:c>
      <x:c r="BO17" s="60" t="n">
        <x:v>63.9726</x:v>
      </x:c>
      <x:c r="BP17" s="60" t="n">
        <x:v>64.1679</x:v>
      </x:c>
      <x:c r="BQ17" s="60" t="n">
        <x:v>64.3581</x:v>
      </x:c>
      <x:c r="BR17" s="60" t="n">
        <x:v>64.5658</x:v>
      </x:c>
      <x:c r="BS17" s="60" t="n">
        <x:v>64.7638</x:v>
      </x:c>
      <x:c r="BT17" s="60" t="n">
        <x:v>64.9431</x:v>
      </x:c>
      <x:c r="BU17" s="60" t="n">
        <x:v>65.1363</x:v>
      </x:c>
      <x:c r="BV17" s="60" t="n">
        <x:v>65.3229</x:v>
      </x:c>
      <x:c r="BW17" s="60" t="n">
        <x:v>65.51</x:v>
      </x:c>
      <x:c r="BX17" s="60" t="n">
        <x:v>65.711</x:v>
      </x:c>
      <x:c r="BY17" s="60" t="n">
        <x:v>65.8888</x:v>
      </x:c>
      <x:c r="BZ17" s="60" t="n">
        <x:v>66.0757</x:v>
      </x:c>
      <x:c r="CA17" s="60" t="n">
        <x:v>66.2864</x:v>
      </x:c>
      <x:c r="CB17" s="60" t="n">
        <x:v>66.4679</x:v>
      </x:c>
      <x:c r="CC17" s="60" t="n">
        <x:v>66.6525</x:v>
      </x:c>
      <x:c r="CD17" s="60" t="n">
        <x:v>66.8285</x:v>
      </x:c>
      <x:c r="CE17" s="60" t="n">
        <x:v>67.0443</x:v>
      </x:c>
      <x:c r="CF17" s="60" t="n">
        <x:v>67.2707</x:v>
      </x:c>
      <x:c r="CG17" s="60" t="n">
        <x:v>67.4808</x:v>
      </x:c>
      <x:c r="CH17" s="60" t="n">
        <x:v>67.6833</x:v>
      </x:c>
      <x:c r="CI17" s="60" t="n">
        <x:v>67.8551</x:v>
      </x:c>
      <x:c r="CJ17" s="60" t="n">
        <x:v>68.0945</x:v>
      </x:c>
      <x:c r="CK17" s="60" t="n">
        <x:v>68.3082</x:v>
      </x:c>
      <x:c r="CL17" s="60" t="n">
        <x:v>68.5451</x:v>
      </x:c>
      <x:c r="CM17" s="60" t="n">
        <x:v>68.7805</x:v>
      </x:c>
      <x:c r="CN17" s="60" t="n">
        <x:v>69.0292</x:v>
      </x:c>
      <x:c r="CO17" s="60" t="n">
        <x:v>69.274</x:v>
      </x:c>
      <x:c r="CP17" s="60" t="n">
        <x:v>69.5224</x:v>
      </x:c>
      <x:c r="CQ17" s="60" t="n">
        <x:v>69.7831</x:v>
      </x:c>
      <x:c r="CR17" s="60" t="n">
        <x:v>70.0695</x:v>
      </x:c>
      <x:c r="CS17" s="60" t="n">
        <x:v>70.3483</x:v>
      </x:c>
      <x:c r="CT17" s="60" t="n">
        <x:v>70.6768</x:v>
      </x:c>
      <x:c r="CU17" s="60" t="n">
        <x:v>71.028</x:v>
      </x:c>
      <x:c r="CV17" s="60" t="n">
        <x:v>71.3796</x:v>
      </x:c>
      <x:c r="CW17" s="60" t="n">
        <x:v>71.7634</x:v>
      </x:c>
      <x:c r="CX17" s="60" t="n">
        <x:v>72.2206</x:v>
      </x:c>
      <x:c r="CY17" s="60" t="n">
        <x:v>72.7615</x:v>
      </x:c>
      <x:c r="CZ17" s="60" t="n">
        <x:v>73.5367</x:v>
      </x:c>
      <x:c r="DA17" s="60" t="n">
        <x:v>74.5177</x:v>
      </x:c>
      <x:c r="DB17" s="60" t="n">
        <x:v>78.1868</x:v>
      </x:c>
    </x:row>
    <x:row r="18">
      <x:c r="A18" t="str">
        <x:v>サーナイト-1</x:v>
      </x:c>
      <x:c r="B18" t="str">
        <x:v>サーナイト</x:v>
      </x:c>
      <x:c r="C18" t="str">
        <x:v>共通</x:v>
      </x:c>
      <x:c r="D18" s="60" t="n">
        <x:v>61.0305</x:v>
      </x:c>
      <x:c r="E18" s="60" t="n">
        <x:v>6.8488</x:v>
      </x:c>
      <x:c r="F18" s="60" t="n">
        <x:v>37.6708</x:v>
      </x:c>
      <x:c r="G18" s="60" t="n">
        <x:v>44.9645</x:v>
      </x:c>
      <x:c r="H18" s="60" t="n">
        <x:v>46.2093</x:v>
      </x:c>
      <x:c r="I18" s="60" t="n">
        <x:v>47.2734</x:v>
      </x:c>
      <x:c r="J18" s="60" t="n">
        <x:v>48.0618</x:v>
      </x:c>
      <x:c r="K18" s="60" t="n">
        <x:v>48.7504</x:v>
      </x:c>
      <x:c r="L18" s="60" t="n">
        <x:v>49.3408</x:v>
      </x:c>
      <x:c r="M18" s="60" t="n">
        <x:v>49.921</x:v>
      </x:c>
      <x:c r="N18" s="60" t="n">
        <x:v>50.391</x:v>
      </x:c>
      <x:c r="O18" s="60" t="n">
        <x:v>50.8553</x:v>
      </x:c>
      <x:c r="P18" s="60" t="n">
        <x:v>51.2819</x:v>
      </x:c>
      <x:c r="Q18" s="60" t="n">
        <x:v>51.702</x:v>
      </x:c>
      <x:c r="R18" s="60" t="n">
        <x:v>52.115</x:v>
      </x:c>
      <x:c r="S18" s="60" t="n">
        <x:v>52.4636</x:v>
      </x:c>
      <x:c r="T18" s="60" t="n">
        <x:v>52.8365</x:v>
      </x:c>
      <x:c r="U18" s="60" t="n">
        <x:v>53.1904</x:v>
      </x:c>
      <x:c r="V18" s="60" t="n">
        <x:v>53.5518</x:v>
      </x:c>
      <x:c r="W18" s="60" t="n">
        <x:v>53.8942</x:v>
      </x:c>
      <x:c r="X18" s="60" t="n">
        <x:v>54.2043</x:v>
      </x:c>
      <x:c r="Y18" s="60" t="n">
        <x:v>54.5116</x:v>
      </x:c>
      <x:c r="Z18" s="60" t="n">
        <x:v>54.7992</x:v>
      </x:c>
      <x:c r="AA18" s="60" t="n">
        <x:v>55.1179</x:v>
      </x:c>
      <x:c r="AB18" s="60" t="n">
        <x:v>55.4098</x:v>
      </x:c>
      <x:c r="AC18" s="60" t="n">
        <x:v>55.7015</x:v>
      </x:c>
      <x:c r="AD18" s="60" t="n">
        <x:v>56.008</x:v>
      </x:c>
      <x:c r="AE18" s="60" t="n">
        <x:v>56.2755</x:v>
      </x:c>
      <x:c r="AF18" s="60" t="n">
        <x:v>56.5449</x:v>
      </x:c>
      <x:c r="AG18" s="60" t="n">
        <x:v>56.7878</x:v>
      </x:c>
      <x:c r="AH18" s="60" t="n">
        <x:v>57.0566</x:v>
      </x:c>
      <x:c r="AI18" s="60" t="n">
        <x:v>57.2699</x:v>
      </x:c>
      <x:c r="AJ18" s="60" t="n">
        <x:v>57.5048</x:v>
      </x:c>
      <x:c r="AK18" s="60" t="n">
        <x:v>57.7432</x:v>
      </x:c>
      <x:c r="AL18" s="60" t="n">
        <x:v>57.992</x:v>
      </x:c>
      <x:c r="AM18" s="60" t="n">
        <x:v>58.2251</x:v>
      </x:c>
      <x:c r="AN18" s="60" t="n">
        <x:v>58.4556</x:v>
      </x:c>
      <x:c r="AO18" s="60" t="n">
        <x:v>58.6794</x:v>
      </x:c>
      <x:c r="AP18" s="60" t="n">
        <x:v>58.9039</x:v>
      </x:c>
      <x:c r="AQ18" s="60" t="n">
        <x:v>59.1294</x:v>
      </x:c>
      <x:c r="AR18" s="60" t="n">
        <x:v>59.367</x:v>
      </x:c>
      <x:c r="AS18" s="60" t="n">
        <x:v>59.5588</x:v>
      </x:c>
      <x:c r="AT18" s="60" t="n">
        <x:v>59.786</x:v>
      </x:c>
      <x:c r="AU18" s="60" t="n">
        <x:v>59.9852</x:v>
      </x:c>
      <x:c r="AV18" s="60" t="n">
        <x:v>60.204</x:v>
      </x:c>
      <x:c r="AW18" s="60" t="n">
        <x:v>60.393</x:v>
      </x:c>
      <x:c r="AX18" s="60" t="n">
        <x:v>60.6286</x:v>
      </x:c>
      <x:c r="AY18" s="60" t="n">
        <x:v>60.8066</x:v>
      </x:c>
      <x:c r="AZ18" s="60" t="n">
        <x:v>60.9892</x:v>
      </x:c>
      <x:c r="BA18" s="60" t="n">
        <x:v>61.1755</x:v>
      </x:c>
      <x:c r="BB18" s="60" t="n">
        <x:v>61.3791</x:v>
      </x:c>
      <x:c r="BC18" s="60" t="n">
        <x:v>61.5726</x:v>
      </x:c>
      <x:c r="BD18" s="60" t="n">
        <x:v>61.7566</x:v>
      </x:c>
      <x:c r="BE18" s="60" t="n">
        <x:v>61.9596</x:v>
      </x:c>
      <x:c r="BF18" s="60" t="n">
        <x:v>62.1511</x:v>
      </x:c>
      <x:c r="BG18" s="60" t="n">
        <x:v>62.3188</x:v>
      </x:c>
      <x:c r="BH18" s="60" t="n">
        <x:v>62.5036</x:v>
      </x:c>
      <x:c r="BI18" s="60" t="n">
        <x:v>62.6754</x:v>
      </x:c>
      <x:c r="BJ18" s="60" t="n">
        <x:v>62.8385</x:v>
      </x:c>
      <x:c r="BK18" s="60" t="n">
        <x:v>63.0112</x:v>
      </x:c>
      <x:c r="BL18" s="60" t="n">
        <x:v>63.1903</x:v>
      </x:c>
      <x:c r="BM18" s="60" t="n">
        <x:v>63.3633</x:v>
      </x:c>
      <x:c r="BN18" s="60" t="n">
        <x:v>63.5294</x:v>
      </x:c>
      <x:c r="BO18" s="60" t="n">
        <x:v>63.7091</x:v>
      </x:c>
      <x:c r="BP18" s="60" t="n">
        <x:v>63.8926</x:v>
      </x:c>
      <x:c r="BQ18" s="60" t="n">
        <x:v>64.064</x:v>
      </x:c>
      <x:c r="BR18" s="60" t="n">
        <x:v>64.2628</x:v>
      </x:c>
      <x:c r="BS18" s="60" t="n">
        <x:v>64.4597</x:v>
      </x:c>
      <x:c r="BT18" s="60" t="n">
        <x:v>64.6287</x:v>
      </x:c>
      <x:c r="BU18" s="60" t="n">
        <x:v>64.8244</x:v>
      </x:c>
      <x:c r="BV18" s="60" t="n">
        <x:v>65.0177</x:v>
      </x:c>
      <x:c r="BW18" s="60" t="n">
        <x:v>65.1869</x:v>
      </x:c>
      <x:c r="BX18" s="60" t="n">
        <x:v>65.3528</x:v>
      </x:c>
      <x:c r="BY18" s="60" t="n">
        <x:v>65.5338</x:v>
      </x:c>
      <x:c r="BZ18" s="60" t="n">
        <x:v>65.6894</x:v>
      </x:c>
      <x:c r="CA18" s="60" t="n">
        <x:v>65.8971</x:v>
      </x:c>
      <x:c r="CB18" s="60" t="n">
        <x:v>66.0861</x:v>
      </x:c>
      <x:c r="CC18" s="60" t="n">
        <x:v>66.2849</x:v>
      </x:c>
      <x:c r="CD18" s="60" t="n">
        <x:v>66.4788</x:v>
      </x:c>
      <x:c r="CE18" s="60" t="n">
        <x:v>66.6683</x:v>
      </x:c>
      <x:c r="CF18" s="60" t="n">
        <x:v>66.8498</x:v>
      </x:c>
      <x:c r="CG18" s="60" t="n">
        <x:v>67.0175</x:v>
      </x:c>
      <x:c r="CH18" s="60" t="n">
        <x:v>67.2108</x:v>
      </x:c>
      <x:c r="CI18" s="60" t="n">
        <x:v>67.3957</x:v>
      </x:c>
      <x:c r="CJ18" s="60" t="n">
        <x:v>67.5995</x:v>
      </x:c>
      <x:c r="CK18" s="60" t="n">
        <x:v>67.8018</x:v>
      </x:c>
      <x:c r="CL18" s="60" t="n">
        <x:v>68.017</x:v>
      </x:c>
      <x:c r="CM18" s="60" t="n">
        <x:v>68.2305</x:v>
      </x:c>
      <x:c r="CN18" s="60" t="n">
        <x:v>68.4706</x:v>
      </x:c>
      <x:c r="CO18" s="60" t="n">
        <x:v>68.7247</x:v>
      </x:c>
      <x:c r="CP18" s="60" t="n">
        <x:v>68.9591</x:v>
      </x:c>
      <x:c r="CQ18" s="60" t="n">
        <x:v>69.2356</x:v>
      </x:c>
      <x:c r="CR18" s="60" t="n">
        <x:v>69.493</x:v>
      </x:c>
      <x:c r="CS18" s="60" t="n">
        <x:v>69.8087</x:v>
      </x:c>
      <x:c r="CT18" s="60" t="n">
        <x:v>70.1218</x:v>
      </x:c>
      <x:c r="CU18" s="60" t="n">
        <x:v>70.4482</x:v>
      </x:c>
      <x:c r="CV18" s="60" t="n">
        <x:v>70.7891</x:v>
      </x:c>
      <x:c r="CW18" s="60" t="n">
        <x:v>71.1763</x:v>
      </x:c>
      <x:c r="CX18" s="60" t="n">
        <x:v>71.5865</x:v>
      </x:c>
      <x:c r="CY18" s="60" t="n">
        <x:v>72.1308</x:v>
      </x:c>
      <x:c r="CZ18" s="60" t="n">
        <x:v>72.7935</x:v>
      </x:c>
      <x:c r="DA18" s="60" t="n">
        <x:v>73.765</x:v>
      </x:c>
      <x:c r="DB18" s="60" t="n">
        <x:v>78.6152</x:v>
      </x:c>
    </x:row>
    <x:row r="19">
      <x:c r="A19" t="str">
        <x:v>シャンデラ-1</x:v>
      </x:c>
      <x:c r="B19" t="str">
        <x:v>シャンデラ</x:v>
      </x:c>
      <x:c r="C19" t="str">
        <x:v>共通</x:v>
      </x:c>
      <x:c r="D19" s="60" t="n">
        <x:v>61.2184</x:v>
      </x:c>
      <x:c r="E19" s="60" t="n">
        <x:v>7.9894</x:v>
      </x:c>
      <x:c r="F19" s="60" t="n">
        <x:v>34.806</x:v>
      </x:c>
      <x:c r="G19" s="60" t="n">
        <x:v>42.792</x:v>
      </x:c>
      <x:c r="H19" s="60" t="n">
        <x:v>44.1906</x:v>
      </x:c>
      <x:c r="I19" s="60" t="n">
        <x:v>45.2596</x:v>
      </x:c>
      <x:c r="J19" s="60" t="n">
        <x:v>46.113</x:v>
      </x:c>
      <x:c r="K19" s="60" t="n">
        <x:v>46.8932</x:v>
      </x:c>
      <x:c r="L19" s="60" t="n">
        <x:v>47.5734</x:v>
      </x:c>
      <x:c r="M19" s="60" t="n">
        <x:v>48.2264</x:v>
      </x:c>
      <x:c r="N19" s="60" t="n">
        <x:v>48.7469</x:v>
      </x:c>
      <x:c r="O19" s="60" t="n">
        <x:v>49.3264</x:v>
      </x:c>
      <x:c r="P19" s="60" t="n">
        <x:v>49.83</x:v>
      </x:c>
      <x:c r="Q19" s="60" t="n">
        <x:v>50.2869</x:v>
      </x:c>
      <x:c r="R19" s="60" t="n">
        <x:v>50.7265</x:v>
      </x:c>
      <x:c r="S19" s="60" t="n">
        <x:v>51.1356</x:v>
      </x:c>
      <x:c r="T19" s="60" t="n">
        <x:v>51.5525</x:v>
      </x:c>
      <x:c r="U19" s="60" t="n">
        <x:v>51.9794</x:v>
      </x:c>
      <x:c r="V19" s="60" t="n">
        <x:v>52.4003</x:v>
      </x:c>
      <x:c r="W19" s="60" t="n">
        <x:v>52.8244</x:v>
      </x:c>
      <x:c r="X19" s="60" t="n">
        <x:v>53.1886</x:v>
      </x:c>
      <x:c r="Y19" s="60" t="n">
        <x:v>53.546</x:v>
      </x:c>
      <x:c r="Z19" s="60" t="n">
        <x:v>53.872</x:v>
      </x:c>
      <x:c r="AA19" s="60" t="n">
        <x:v>54.2273</x:v>
      </x:c>
      <x:c r="AB19" s="60" t="n">
        <x:v>54.6466</x:v>
      </x:c>
      <x:c r="AC19" s="60" t="n">
        <x:v>55.0028</x:v>
      </x:c>
      <x:c r="AD19" s="60" t="n">
        <x:v>55.3282</x:v>
      </x:c>
      <x:c r="AE19" s="60" t="n">
        <x:v>55.6436</x:v>
      </x:c>
      <x:c r="AF19" s="60" t="n">
        <x:v>55.9516</x:v>
      </x:c>
      <x:c r="AG19" s="60" t="n">
        <x:v>56.2365</x:v>
      </x:c>
      <x:c r="AH19" s="60" t="n">
        <x:v>56.5055</x:v>
      </x:c>
      <x:c r="AI19" s="60" t="n">
        <x:v>56.7636</x:v>
      </x:c>
      <x:c r="AJ19" s="60" t="n">
        <x:v>57.0696</x:v>
      </x:c>
      <x:c r="AK19" s="60" t="n">
        <x:v>57.3422</x:v>
      </x:c>
      <x:c r="AL19" s="60" t="n">
        <x:v>57.6225</x:v>
      </x:c>
      <x:c r="AM19" s="60" t="n">
        <x:v>57.9163</x:v>
      </x:c>
      <x:c r="AN19" s="60" t="n">
        <x:v>58.1799</x:v>
      </x:c>
      <x:c r="AO19" s="60" t="n">
        <x:v>58.4139</x:v>
      </x:c>
      <x:c r="AP19" s="60" t="n">
        <x:v>58.6583</x:v>
      </x:c>
      <x:c r="AQ19" s="60" t="n">
        <x:v>58.9182</x:v>
      </x:c>
      <x:c r="AR19" s="60" t="n">
        <x:v>59.206</x:v>
      </x:c>
      <x:c r="AS19" s="60" t="n">
        <x:v>59.492</x:v>
      </x:c>
      <x:c r="AT19" s="60" t="n">
        <x:v>59.7604</x:v>
      </x:c>
      <x:c r="AU19" s="60" t="n">
        <x:v>59.975</x:v>
      </x:c>
      <x:c r="AV19" s="60" t="n">
        <x:v>60.224</x:v>
      </x:c>
      <x:c r="AW19" s="60" t="n">
        <x:v>60.4707</x:v>
      </x:c>
      <x:c r="AX19" s="60" t="n">
        <x:v>60.7114</x:v>
      </x:c>
      <x:c r="AY19" s="60" t="n">
        <x:v>60.9392</x:v>
      </x:c>
      <x:c r="AZ19" s="60" t="n">
        <x:v>61.1653</x:v>
      </x:c>
      <x:c r="BA19" s="60" t="n">
        <x:v>61.406</x:v>
      </x:c>
      <x:c r="BB19" s="60" t="n">
        <x:v>61.6328</x:v>
      </x:c>
      <x:c r="BC19" s="60" t="n">
        <x:v>61.8489</x:v>
      </x:c>
      <x:c r="BD19" s="60" t="n">
        <x:v>62.0565</x:v>
      </x:c>
      <x:c r="BE19" s="60" t="n">
        <x:v>62.2591</x:v>
      </x:c>
      <x:c r="BF19" s="60" t="n">
        <x:v>62.4831</x:v>
      </x:c>
      <x:c r="BG19" s="60" t="n">
        <x:v>62.6901</x:v>
      </x:c>
      <x:c r="BH19" s="60" t="n">
        <x:v>62.9005</x:v>
      </x:c>
      <x:c r="BI19" s="60" t="n">
        <x:v>63.1136</x:v>
      </x:c>
      <x:c r="BJ19" s="60" t="n">
        <x:v>63.3318</x:v>
      </x:c>
      <x:c r="BK19" s="60" t="n">
        <x:v>63.5693</x:v>
      </x:c>
      <x:c r="BL19" s="60" t="n">
        <x:v>63.7822</x:v>
      </x:c>
      <x:c r="BM19" s="60" t="n">
        <x:v>63.9848</x:v>
      </x:c>
      <x:c r="BN19" s="60" t="n">
        <x:v>64.1768</x:v>
      </x:c>
      <x:c r="BO19" s="60" t="n">
        <x:v>64.3928</x:v>
      </x:c>
      <x:c r="BP19" s="60" t="n">
        <x:v>64.6116</x:v>
      </x:c>
      <x:c r="BQ19" s="60" t="n">
        <x:v>64.819</x:v>
      </x:c>
      <x:c r="BR19" s="60" t="n">
        <x:v>65.0501</x:v>
      </x:c>
      <x:c r="BS19" s="60" t="n">
        <x:v>65.2567</x:v>
      </x:c>
      <x:c r="BT19" s="60" t="n">
        <x:v>65.4716</x:v>
      </x:c>
      <x:c r="BU19" s="60" t="n">
        <x:v>65.7113</x:v>
      </x:c>
      <x:c r="BV19" s="60" t="n">
        <x:v>65.8848</x:v>
      </x:c>
      <x:c r="BW19" s="60" t="n">
        <x:v>66.0836</x:v>
      </x:c>
      <x:c r="BX19" s="60" t="n">
        <x:v>66.2783</x:v>
      </x:c>
      <x:c r="BY19" s="60" t="n">
        <x:v>66.5005</x:v>
      </x:c>
      <x:c r="BZ19" s="60" t="n">
        <x:v>66.7329</x:v>
      </x:c>
      <x:c r="CA19" s="60" t="n">
        <x:v>66.9396</x:v>
      </x:c>
      <x:c r="CB19" s="60" t="n">
        <x:v>67.1566</x:v>
      </x:c>
      <x:c r="CC19" s="60" t="n">
        <x:v>67.3798</x:v>
      </x:c>
      <x:c r="CD19" s="60" t="n">
        <x:v>67.5798</x:v>
      </x:c>
      <x:c r="CE19" s="60" t="n">
        <x:v>67.811</x:v>
      </x:c>
      <x:c r="CF19" s="60" t="n">
        <x:v>68.0333</x:v>
      </x:c>
      <x:c r="CG19" s="60" t="n">
        <x:v>68.2667</x:v>
      </x:c>
      <x:c r="CH19" s="60" t="n">
        <x:v>68.4854</x:v>
      </x:c>
      <x:c r="CI19" s="60" t="n">
        <x:v>68.7228</x:v>
      </x:c>
      <x:c r="CJ19" s="60" t="n">
        <x:v>68.967</x:v>
      </x:c>
      <x:c r="CK19" s="60" t="n">
        <x:v>69.2139</x:v>
      </x:c>
      <x:c r="CL19" s="60" t="n">
        <x:v>69.4638</x:v>
      </x:c>
      <x:c r="CM19" s="60" t="n">
        <x:v>69.7007</x:v>
      </x:c>
      <x:c r="CN19" s="60" t="n">
        <x:v>69.947</x:v>
      </x:c>
      <x:c r="CO19" s="60" t="n">
        <x:v>70.238</x:v>
      </x:c>
      <x:c r="CP19" s="60" t="n">
        <x:v>70.5279</x:v>
      </x:c>
      <x:c r="CQ19" s="60" t="n">
        <x:v>70.8401</x:v>
      </x:c>
      <x:c r="CR19" s="60" t="n">
        <x:v>71.1198</x:v>
      </x:c>
      <x:c r="CS19" s="60" t="n">
        <x:v>71.4733</x:v>
      </x:c>
      <x:c r="CT19" s="60" t="n">
        <x:v>71.7953</x:v>
      </x:c>
      <x:c r="CU19" s="60" t="n">
        <x:v>72.2011</x:v>
      </x:c>
      <x:c r="CV19" s="60" t="n">
        <x:v>72.5842</x:v>
      </x:c>
      <x:c r="CW19" s="60" t="n">
        <x:v>73.0644</x:v>
      </x:c>
      <x:c r="CX19" s="60" t="n">
        <x:v>73.5674</x:v>
      </x:c>
      <x:c r="CY19" s="60" t="n">
        <x:v>74.0933</x:v>
      </x:c>
      <x:c r="CZ19" s="60" t="n">
        <x:v>74.8403</x:v>
      </x:c>
      <x:c r="DA19" s="60" t="n">
        <x:v>75.7944</x:v>
      </x:c>
      <x:c r="DB19" s="60" t="n">
        <x:v>81.279</x:v>
      </x:c>
    </x:row>
    <x:row r="20">
      <x:c r="A20" t="str">
        <x:v>ジュナイパー-1</x:v>
      </x:c>
      <x:c r="B20" t="str">
        <x:v>ジュナイパー</x:v>
      </x:c>
      <x:c r="C20" t="str">
        <x:v>かげぬい</x:v>
      </x:c>
      <x:c r="D20" s="60" t="n">
        <x:v>59.5609</x:v>
      </x:c>
      <x:c r="E20" s="60" t="n">
        <x:v>9.8019</x:v>
      </x:c>
      <x:c r="F20" s="60" t="n">
        <x:v>32.7864</x:v>
      </x:c>
      <x:c r="G20" s="60" t="n">
        <x:v>38.0931</x:v>
      </x:c>
      <x:c r="H20" s="60" t="n">
        <x:v>39.7337</x:v>
      </x:c>
      <x:c r="I20" s="60" t="n">
        <x:v>40.8131</x:v>
      </x:c>
      <x:c r="J20" s="60" t="n">
        <x:v>41.8945</x:v>
      </x:c>
      <x:c r="K20" s="60" t="n">
        <x:v>42.8095</x:v>
      </x:c>
      <x:c r="L20" s="60" t="n">
        <x:v>43.5484</x:v>
      </x:c>
      <x:c r="M20" s="60" t="n">
        <x:v>44.1422</x:v>
      </x:c>
      <x:c r="N20" s="60" t="n">
        <x:v>44.8149</x:v>
      </x:c>
      <x:c r="O20" s="60" t="n">
        <x:v>45.3805</x:v>
      </x:c>
      <x:c r="P20" s="60" t="n">
        <x:v>45.8924</x:v>
      </x:c>
      <x:c r="Q20" s="60" t="n">
        <x:v>46.4324</x:v>
      </x:c>
      <x:c r="R20" s="60" t="n">
        <x:v>46.9042</x:v>
      </x:c>
      <x:c r="S20" s="60" t="n">
        <x:v>47.4432</x:v>
      </x:c>
      <x:c r="T20" s="60" t="n">
        <x:v>47.9106</x:v>
      </x:c>
      <x:c r="U20" s="60" t="n">
        <x:v>48.3823</x:v>
      </x:c>
      <x:c r="V20" s="60" t="n">
        <x:v>48.8204</x:v>
      </x:c>
      <x:c r="W20" s="60" t="n">
        <x:v>49.2521</x:v>
      </x:c>
      <x:c r="X20" s="60" t="n">
        <x:v>49.673</x:v>
      </x:c>
      <x:c r="Y20" s="60" t="n">
        <x:v>50.108</x:v>
      </x:c>
      <x:c r="Z20" s="60" t="n">
        <x:v>50.4938</x:v>
      </x:c>
      <x:c r="AA20" s="60" t="n">
        <x:v>50.8869</x:v>
      </x:c>
      <x:c r="AB20" s="60" t="n">
        <x:v>51.3101</x:v>
      </x:c>
      <x:c r="AC20" s="60" t="n">
        <x:v>51.6769</x:v>
      </x:c>
      <x:c r="AD20" s="60" t="n">
        <x:v>52.0155</x:v>
      </x:c>
      <x:c r="AE20" s="60" t="n">
        <x:v>52.3981</x:v>
      </x:c>
      <x:c r="AF20" s="60" t="n">
        <x:v>52.775</x:v>
      </x:c>
      <x:c r="AG20" s="60" t="n">
        <x:v>53.1187</x:v>
      </x:c>
      <x:c r="AH20" s="60" t="n">
        <x:v>53.4708</x:v>
      </x:c>
      <x:c r="AI20" s="60" t="n">
        <x:v>53.8294</x:v>
      </x:c>
      <x:c r="AJ20" s="60" t="n">
        <x:v>54.1559</x:v>
      </x:c>
      <x:c r="AK20" s="60" t="n">
        <x:v>54.4682</x:v>
      </x:c>
      <x:c r="AL20" s="60" t="n">
        <x:v>54.7484</x:v>
      </x:c>
      <x:c r="AM20" s="60" t="n">
        <x:v>55.081</x:v>
      </x:c>
      <x:c r="AN20" s="60" t="n">
        <x:v>55.4011</x:v>
      </x:c>
      <x:c r="AO20" s="60" t="n">
        <x:v>55.736</x:v>
      </x:c>
      <x:c r="AP20" s="60" t="n">
        <x:v>56.0261</x:v>
      </x:c>
      <x:c r="AQ20" s="60" t="n">
        <x:v>56.3277</x:v>
      </x:c>
      <x:c r="AR20" s="60" t="n">
        <x:v>56.6525</x:v>
      </x:c>
      <x:c r="AS20" s="60" t="n">
        <x:v>56.9276</x:v>
      </x:c>
      <x:c r="AT20" s="60" t="n">
        <x:v>57.2091</x:v>
      </x:c>
      <x:c r="AU20" s="60" t="n">
        <x:v>57.5142</x:v>
      </x:c>
      <x:c r="AV20" s="60" t="n">
        <x:v>57.7928</x:v>
      </x:c>
      <x:c r="AW20" s="60" t="n">
        <x:v>58.0927</x:v>
      </x:c>
      <x:c r="AX20" s="60" t="n">
        <x:v>58.3944</x:v>
      </x:c>
      <x:c r="AY20" s="60" t="n">
        <x:v>58.7084</x:v>
      </x:c>
      <x:c r="AZ20" s="60" t="n">
        <x:v>58.9948</x:v>
      </x:c>
      <x:c r="BA20" s="60" t="n">
        <x:v>59.3045</x:v>
      </x:c>
      <x:c r="BB20" s="60" t="n">
        <x:v>59.5554</x:v>
      </x:c>
      <x:c r="BC20" s="60" t="n">
        <x:v>59.8409</x:v>
      </x:c>
      <x:c r="BD20" s="60" t="n">
        <x:v>60.131</x:v>
      </x:c>
      <x:c r="BE20" s="60" t="n">
        <x:v>60.3711</x:v>
      </x:c>
      <x:c r="BF20" s="60" t="n">
        <x:v>60.6796</x:v>
      </x:c>
      <x:c r="BG20" s="60" t="n">
        <x:v>60.9526</x:v>
      </x:c>
      <x:c r="BH20" s="60" t="n">
        <x:v>61.2459</x:v>
      </x:c>
      <x:c r="BI20" s="60" t="n">
        <x:v>61.5237</x:v>
      </x:c>
      <x:c r="BJ20" s="60" t="n">
        <x:v>61.7708</x:v>
      </x:c>
      <x:c r="BK20" s="60" t="n">
        <x:v>62.031</x:v>
      </x:c>
      <x:c r="BL20" s="60" t="n">
        <x:v>62.2827</x:v>
      </x:c>
      <x:c r="BM20" s="60" t="n">
        <x:v>62.5605</x:v>
      </x:c>
      <x:c r="BN20" s="60" t="n">
        <x:v>62.8262</x:v>
      </x:c>
      <x:c r="BO20" s="60" t="n">
        <x:v>63.1104</x:v>
      </x:c>
      <x:c r="BP20" s="60" t="n">
        <x:v>63.3955</x:v>
      </x:c>
      <x:c r="BQ20" s="60" t="n">
        <x:v>63.6427</x:v>
      </x:c>
      <x:c r="BR20" s="60" t="n">
        <x:v>63.9148</x:v>
      </x:c>
      <x:c r="BS20" s="60" t="n">
        <x:v>64.1965</x:v>
      </x:c>
      <x:c r="BT20" s="60" t="n">
        <x:v>64.4848</x:v>
      </x:c>
      <x:c r="BU20" s="60" t="n">
        <x:v>64.7691</x:v>
      </x:c>
      <x:c r="BV20" s="60" t="n">
        <x:v>65.0221</x:v>
      </x:c>
      <x:c r="BW20" s="60" t="n">
        <x:v>65.3136</x:v>
      </x:c>
      <x:c r="BX20" s="60" t="n">
        <x:v>65.6151</x:v>
      </x:c>
      <x:c r="BY20" s="60" t="n">
        <x:v>65.9037</x:v>
      </x:c>
      <x:c r="BZ20" s="60" t="n">
        <x:v>66.186</x:v>
      </x:c>
      <x:c r="CA20" s="60" t="n">
        <x:v>66.4755</x:v>
      </x:c>
      <x:c r="CB20" s="60" t="n">
        <x:v>66.7174</x:v>
      </x:c>
      <x:c r="CC20" s="60" t="n">
        <x:v>67.0242</x:v>
      </x:c>
      <x:c r="CD20" s="60" t="n">
        <x:v>67.3286</x:v>
      </x:c>
      <x:c r="CE20" s="60" t="n">
        <x:v>67.634</x:v>
      </x:c>
      <x:c r="CF20" s="60" t="n">
        <x:v>67.9123</x:v>
      </x:c>
      <x:c r="CG20" s="60" t="n">
        <x:v>68.2606</x:v>
      </x:c>
      <x:c r="CH20" s="60" t="n">
        <x:v>68.5872</x:v>
      </x:c>
      <x:c r="CI20" s="60" t="n">
        <x:v>68.8874</x:v>
      </x:c>
      <x:c r="CJ20" s="60" t="n">
        <x:v>69.1905</x:v>
      </x:c>
      <x:c r="CK20" s="60" t="n">
        <x:v>69.5395</x:v>
      </x:c>
      <x:c r="CL20" s="60" t="n">
        <x:v>69.8537</x:v>
      </x:c>
      <x:c r="CM20" s="60" t="n">
        <x:v>70.2171</x:v>
      </x:c>
      <x:c r="CN20" s="60" t="n">
        <x:v>70.5613</x:v>
      </x:c>
      <x:c r="CO20" s="60" t="n">
        <x:v>70.971</x:v>
      </x:c>
      <x:c r="CP20" s="60" t="n">
        <x:v>71.3862</x:v>
      </x:c>
      <x:c r="CQ20" s="60" t="n">
        <x:v>71.8142</x:v>
      </x:c>
      <x:c r="CR20" s="60" t="n">
        <x:v>72.2339</x:v>
      </x:c>
      <x:c r="CS20" s="60" t="n">
        <x:v>72.7077</x:v>
      </x:c>
      <x:c r="CT20" s="60" t="n">
        <x:v>73.2175</x:v>
      </x:c>
      <x:c r="CU20" s="60" t="n">
        <x:v>73.7985</x:v>
      </x:c>
      <x:c r="CV20" s="60" t="n">
        <x:v>74.3575</x:v>
      </x:c>
      <x:c r="CW20" s="60" t="n">
        <x:v>74.9214</x:v>
      </x:c>
      <x:c r="CX20" s="60" t="n">
        <x:v>75.5468</x:v>
      </x:c>
      <x:c r="CY20" s="60" t="n">
        <x:v>76.3196</x:v>
      </x:c>
      <x:c r="CZ20" s="60" t="n">
        <x:v>77.2528</x:v>
      </x:c>
      <x:c r="DA20" s="60" t="n">
        <x:v>78.5363</x:v>
      </x:c>
      <x:c r="DB20" s="60" t="n">
        <x:v>82.9516</x:v>
      </x:c>
    </x:row>
    <x:row r="21">
      <x:c r="A21" t="str">
        <x:v>ジュナイパー-2</x:v>
      </x:c>
      <x:c r="B21" t="str">
        <x:v>ジュナイパー</x:v>
      </x:c>
      <x:c r="C21" t="str">
        <x:v>はっぱカッター</x:v>
      </x:c>
      <x:c r="D21" s="60" t="n">
        <x:v>60.4074</x:v>
      </x:c>
      <x:c r="E21" s="60" t="n">
        <x:v>11.1868</x:v>
      </x:c>
      <x:c r="F21" s="60" t="n">
        <x:v>28.0861</x:v>
      </x:c>
      <x:c r="G21" s="60" t="n">
        <x:v>36.2098</x:v>
      </x:c>
      <x:c r="H21" s="60" t="n">
        <x:v>37.7456</x:v>
      </x:c>
      <x:c r="I21" s="60" t="n">
        <x:v>38.8597</x:v>
      </x:c>
      <x:c r="J21" s="60" t="n">
        <x:v>39.93</x:v>
      </x:c>
      <x:c r="K21" s="60" t="n">
        <x:v>40.9343</x:v>
      </x:c>
      <x:c r="L21" s="60" t="n">
        <x:v>41.7082</x:v>
      </x:c>
      <x:c r="M21" s="60" t="n">
        <x:v>42.5805</x:v>
      </x:c>
      <x:c r="N21" s="60" t="n">
        <x:v>43.2996</x:v>
      </x:c>
      <x:c r="O21" s="60" t="n">
        <x:v>44.1303</x:v>
      </x:c>
      <x:c r="P21" s="60" t="n">
        <x:v>44.7818</x:v>
      </x:c>
      <x:c r="Q21" s="60" t="n">
        <x:v>45.487</x:v>
      </x:c>
      <x:c r="R21" s="60" t="n">
        <x:v>46.0402</x:v>
      </x:c>
      <x:c r="S21" s="60" t="n">
        <x:v>46.6159</x:v>
      </x:c>
      <x:c r="T21" s="60" t="n">
        <x:v>47.2188</x:v>
      </x:c>
      <x:c r="U21" s="60" t="n">
        <x:v>47.7311</x:v>
      </x:c>
      <x:c r="V21" s="60" t="n">
        <x:v>48.2329</x:v>
      </x:c>
      <x:c r="W21" s="60" t="n">
        <x:v>48.7285</x:v>
      </x:c>
      <x:c r="X21" s="60" t="n">
        <x:v>49.1677</x:v>
      </x:c>
      <x:c r="Y21" s="60" t="n">
        <x:v>49.6473</x:v>
      </x:c>
      <x:c r="Z21" s="60" t="n">
        <x:v>50.2059</x:v>
      </x:c>
      <x:c r="AA21" s="60" t="n">
        <x:v>50.6364</x:v>
      </x:c>
      <x:c r="AB21" s="60" t="n">
        <x:v>51.0558</x:v>
      </x:c>
      <x:c r="AC21" s="60" t="n">
        <x:v>51.5144</x:v>
      </x:c>
      <x:c r="AD21" s="60" t="n">
        <x:v>51.9195</x:v>
      </x:c>
      <x:c r="AE21" s="60" t="n">
        <x:v>52.3395</x:v>
      </x:c>
      <x:c r="AF21" s="60" t="n">
        <x:v>52.7642</x:v>
      </x:c>
      <x:c r="AG21" s="60" t="n">
        <x:v>53.1746</x:v>
      </x:c>
      <x:c r="AH21" s="60" t="n">
        <x:v>53.5624</x:v>
      </x:c>
      <x:c r="AI21" s="60" t="n">
        <x:v>53.9165</x:v>
      </x:c>
      <x:c r="AJ21" s="60" t="n">
        <x:v>54.3059</x:v>
      </x:c>
      <x:c r="AK21" s="60" t="n">
        <x:v>54.6631</x:v>
      </x:c>
      <x:c r="AL21" s="60" t="n">
        <x:v>55.0042</x:v>
      </x:c>
      <x:c r="AM21" s="60" t="n">
        <x:v>55.3512</x:v>
      </x:c>
      <x:c r="AN21" s="60" t="n">
        <x:v>55.6664</x:v>
      </x:c>
      <x:c r="AO21" s="60" t="n">
        <x:v>56.0208</x:v>
      </x:c>
      <x:c r="AP21" s="60" t="n">
        <x:v>56.3534</x:v>
      </x:c>
      <x:c r="AQ21" s="60" t="n">
        <x:v>56.7201</x:v>
      </x:c>
      <x:c r="AR21" s="60" t="n">
        <x:v>57.0589</x:v>
      </x:c>
      <x:c r="AS21" s="60" t="n">
        <x:v>57.3828</x:v>
      </x:c>
      <x:c r="AT21" s="60" t="n">
        <x:v>57.7395</x:v>
      </x:c>
      <x:c r="AU21" s="60" t="n">
        <x:v>58.075</x:v>
      </x:c>
      <x:c r="AV21" s="60" t="n">
        <x:v>58.4275</x:v>
      </x:c>
      <x:c r="AW21" s="60" t="n">
        <x:v>58.7284</x:v>
      </x:c>
      <x:c r="AX21" s="60" t="n">
        <x:v>59.0812</x:v>
      </x:c>
      <x:c r="AY21" s="60" t="n">
        <x:v>59.4453</x:v>
      </x:c>
      <x:c r="AZ21" s="60" t="n">
        <x:v>59.7624</x:v>
      </x:c>
      <x:c r="BA21" s="60" t="n">
        <x:v>60.0566</x:v>
      </x:c>
      <x:c r="BB21" s="60" t="n">
        <x:v>60.3706</x:v>
      </x:c>
      <x:c r="BC21" s="60" t="n">
        <x:v>60.6882</x:v>
      </x:c>
      <x:c r="BD21" s="60" t="n">
        <x:v>61.0161</x:v>
      </x:c>
      <x:c r="BE21" s="60" t="n">
        <x:v>61.3345</x:v>
      </x:c>
      <x:c r="BF21" s="60" t="n">
        <x:v>61.6371</x:v>
      </x:c>
      <x:c r="BG21" s="60" t="n">
        <x:v>61.9387</x:v>
      </x:c>
      <x:c r="BH21" s="60" t="n">
        <x:v>62.2769</x:v>
      </x:c>
      <x:c r="BI21" s="60" t="n">
        <x:v>62.5863</x:v>
      </x:c>
      <x:c r="BJ21" s="60" t="n">
        <x:v>62.9267</x:v>
      </x:c>
      <x:c r="BK21" s="60" t="n">
        <x:v>63.2158</x:v>
      </x:c>
      <x:c r="BL21" s="60" t="n">
        <x:v>63.4912</x:v>
      </x:c>
      <x:c r="BM21" s="60" t="n">
        <x:v>63.7933</x:v>
      </x:c>
      <x:c r="BN21" s="60" t="n">
        <x:v>64.1237</x:v>
      </x:c>
      <x:c r="BO21" s="60" t="n">
        <x:v>64.4139</x:v>
      </x:c>
      <x:c r="BP21" s="60" t="n">
        <x:v>64.7553</x:v>
      </x:c>
      <x:c r="BQ21" s="60" t="n">
        <x:v>65.0331</x:v>
      </x:c>
      <x:c r="BR21" s="60" t="n">
        <x:v>65.3554</x:v>
      </x:c>
      <x:c r="BS21" s="60" t="n">
        <x:v>65.6677</x:v>
      </x:c>
      <x:c r="BT21" s="60" t="n">
        <x:v>65.9968</x:v>
      </x:c>
      <x:c r="BU21" s="60" t="n">
        <x:v>66.3029</x:v>
      </x:c>
      <x:c r="BV21" s="60" t="n">
        <x:v>66.6241</x:v>
      </x:c>
      <x:c r="BW21" s="60" t="n">
        <x:v>66.9425</x:v>
      </x:c>
      <x:c r="BX21" s="60" t="n">
        <x:v>67.2676</x:v>
      </x:c>
      <x:c r="BY21" s="60" t="n">
        <x:v>67.5704</x:v>
      </x:c>
      <x:c r="BZ21" s="60" t="n">
        <x:v>67.907</x:v>
      </x:c>
      <x:c r="CA21" s="60" t="n">
        <x:v>68.2578</x:v>
      </x:c>
      <x:c r="CB21" s="60" t="n">
        <x:v>68.5833</x:v>
      </x:c>
      <x:c r="CC21" s="60" t="n">
        <x:v>68.9629</x:v>
      </x:c>
      <x:c r="CD21" s="60" t="n">
        <x:v>69.2887</x:v>
      </x:c>
      <x:c r="CE21" s="60" t="n">
        <x:v>69.6775</x:v>
      </x:c>
      <x:c r="CF21" s="60" t="n">
        <x:v>70.0518</x:v>
      </x:c>
      <x:c r="CG21" s="60" t="n">
        <x:v>70.4219</x:v>
      </x:c>
      <x:c r="CH21" s="60" t="n">
        <x:v>70.795</x:v>
      </x:c>
      <x:c r="CI21" s="60" t="n">
        <x:v>71.1579</x:v>
      </x:c>
      <x:c r="CJ21" s="60" t="n">
        <x:v>71.5286</x:v>
      </x:c>
      <x:c r="CK21" s="60" t="n">
        <x:v>71.9079</x:v>
      </x:c>
      <x:c r="CL21" s="60" t="n">
        <x:v>72.2968</x:v>
      </x:c>
      <x:c r="CM21" s="60" t="n">
        <x:v>72.7008</x:v>
      </x:c>
      <x:c r="CN21" s="60" t="n">
        <x:v>73.1657</x:v>
      </x:c>
      <x:c r="CO21" s="60" t="n">
        <x:v>73.5434</x:v>
      </x:c>
      <x:c r="CP21" s="60" t="n">
        <x:v>73.9529</x:v>
      </x:c>
      <x:c r="CQ21" s="60" t="n">
        <x:v>74.4397</x:v>
      </x:c>
      <x:c r="CR21" s="60" t="n">
        <x:v>74.9234</x:v>
      </x:c>
      <x:c r="CS21" s="60" t="n">
        <x:v>75.4358</x:v>
      </x:c>
      <x:c r="CT21" s="60" t="n">
        <x:v>75.9609</x:v>
      </x:c>
      <x:c r="CU21" s="60" t="n">
        <x:v>76.5022</x:v>
      </x:c>
      <x:c r="CV21" s="60" t="n">
        <x:v>77.0862</x:v>
      </x:c>
      <x:c r="CW21" s="60" t="n">
        <x:v>77.8545</x:v>
      </x:c>
      <x:c r="CX21" s="60" t="n">
        <x:v>78.6909</x:v>
      </x:c>
      <x:c r="CY21" s="60" t="n">
        <x:v>79.4875</x:v>
      </x:c>
      <x:c r="CZ21" s="60" t="n">
        <x:v>80.5552</x:v>
      </x:c>
      <x:c r="DA21" s="60" t="n">
        <x:v>81.8414</x:v>
      </x:c>
      <x:c r="DB21" s="60" t="n">
        <x:v>86.0045</x:v>
      </x:c>
    </x:row>
    <x:row r="22">
      <x:c r="A22" t="str">
        <x:v>ジュラルドン-1</x:v>
      </x:c>
      <x:c r="B22" t="str">
        <x:v>ジュラルドン</x:v>
      </x:c>
      <x:c r="C22" t="str">
        <x:v>共通</x:v>
      </x:c>
      <x:c r="D22" s="60" t="n">
        <x:v>61.0161</x:v>
      </x:c>
      <x:c r="E22" s="60" t="n">
        <x:v>10.9105</x:v>
      </x:c>
      <x:c r="F22" s="60" t="n">
        <x:v>30.2038</x:v>
      </x:c>
      <x:c r="G22" s="60" t="n">
        <x:v>36.8623</x:v>
      </x:c>
      <x:c r="H22" s="60" t="n">
        <x:v>38.5169</x:v>
      </x:c>
      <x:c r="I22" s="60" t="n">
        <x:v>39.8797</x:v>
      </x:c>
      <x:c r="J22" s="60" t="n">
        <x:v>40.934</x:v>
      </x:c>
      <x:c r="K22" s="60" t="n">
        <x:v>41.8605</x:v>
      </x:c>
      <x:c r="L22" s="60" t="n">
        <x:v>42.7517</x:v>
      </x:c>
      <x:c r="M22" s="60" t="n">
        <x:v>43.5394</x:v>
      </x:c>
      <x:c r="N22" s="60" t="n">
        <x:v>44.3154</x:v>
      </x:c>
      <x:c r="O22" s="60" t="n">
        <x:v>44.9979</x:v>
      </x:c>
      <x:c r="P22" s="60" t="n">
        <x:v>45.6417</x:v>
      </x:c>
      <x:c r="Q22" s="60" t="n">
        <x:v>46.2707</x:v>
      </x:c>
      <x:c r="R22" s="60" t="n">
        <x:v>46.9009</x:v>
      </x:c>
      <x:c r="S22" s="60" t="n">
        <x:v>47.5027</x:v>
      </x:c>
      <x:c r="T22" s="60" t="n">
        <x:v>48.0255</x:v>
      </x:c>
      <x:c r="U22" s="60" t="n">
        <x:v>48.5851</x:v>
      </x:c>
      <x:c r="V22" s="60" t="n">
        <x:v>49.1423</x:v>
      </x:c>
      <x:c r="W22" s="60" t="n">
        <x:v>49.6392</x:v>
      </x:c>
      <x:c r="X22" s="60" t="n">
        <x:v>50.0891</x:v>
      </x:c>
      <x:c r="Y22" s="60" t="n">
        <x:v>50.5906</x:v>
      </x:c>
      <x:c r="Z22" s="60" t="n">
        <x:v>51.0188</x:v>
      </x:c>
      <x:c r="AA22" s="60" t="n">
        <x:v>51.4356</x:v>
      </x:c>
      <x:c r="AB22" s="60" t="n">
        <x:v>51.8851</x:v>
      </x:c>
      <x:c r="AC22" s="60" t="n">
        <x:v>52.2981</x:v>
      </x:c>
      <x:c r="AD22" s="60" t="n">
        <x:v>52.6878</x:v>
      </x:c>
      <x:c r="AE22" s="60" t="n">
        <x:v>53.1195</x:v>
      </x:c>
      <x:c r="AF22" s="60" t="n">
        <x:v>53.5119</x:v>
      </x:c>
      <x:c r="AG22" s="60" t="n">
        <x:v>53.9117</x:v>
      </x:c>
      <x:c r="AH22" s="60" t="n">
        <x:v>54.2972</x:v>
      </x:c>
      <x:c r="AI22" s="60" t="n">
        <x:v>54.6768</x:v>
      </x:c>
      <x:c r="AJ22" s="60" t="n">
        <x:v>55.0066</x:v>
      </x:c>
      <x:c r="AK22" s="60" t="n">
        <x:v>55.3866</x:v>
      </x:c>
      <x:c r="AL22" s="60" t="n">
        <x:v>55.7371</x:v>
      </x:c>
      <x:c r="AM22" s="60" t="n">
        <x:v>56.1425</x:v>
      </x:c>
      <x:c r="AN22" s="60" t="n">
        <x:v>56.5075</x:v>
      </x:c>
      <x:c r="AO22" s="60" t="n">
        <x:v>56.8699</x:v>
      </x:c>
      <x:c r="AP22" s="60" t="n">
        <x:v>57.2375</x:v>
      </x:c>
      <x:c r="AQ22" s="60" t="n">
        <x:v>57.5904</x:v>
      </x:c>
      <x:c r="AR22" s="60" t="n">
        <x:v>57.9252</x:v>
      </x:c>
      <x:c r="AS22" s="60" t="n">
        <x:v>58.2547</x:v>
      </x:c>
      <x:c r="AT22" s="60" t="n">
        <x:v>58.5807</x:v>
      </x:c>
      <x:c r="AU22" s="60" t="n">
        <x:v>58.9333</x:v>
      </x:c>
      <x:c r="AV22" s="60" t="n">
        <x:v>59.2351</x:v>
      </x:c>
      <x:c r="AW22" s="60" t="n">
        <x:v>59.5765</x:v>
      </x:c>
      <x:c r="AX22" s="60" t="n">
        <x:v>59.8642</x:v>
      </x:c>
      <x:c r="AY22" s="60" t="n">
        <x:v>60.154</x:v>
      </x:c>
      <x:c r="AZ22" s="60" t="n">
        <x:v>60.458</x:v>
      </x:c>
      <x:c r="BA22" s="60" t="n">
        <x:v>60.7774</x:v>
      </x:c>
      <x:c r="BB22" s="60" t="n">
        <x:v>61.078</x:v>
      </x:c>
      <x:c r="BC22" s="60" t="n">
        <x:v>61.4107</x:v>
      </x:c>
      <x:c r="BD22" s="60" t="n">
        <x:v>61.7628</x:v>
      </x:c>
      <x:c r="BE22" s="60" t="n">
        <x:v>62.0841</x:v>
      </x:c>
      <x:c r="BF22" s="60" t="n">
        <x:v>62.3594</x:v>
      </x:c>
      <x:c r="BG22" s="60" t="n">
        <x:v>62.646</x:v>
      </x:c>
      <x:c r="BH22" s="60" t="n">
        <x:v>62.9739</x:v>
      </x:c>
      <x:c r="BI22" s="60" t="n">
        <x:v>63.2622</x:v>
      </x:c>
      <x:c r="BJ22" s="60" t="n">
        <x:v>63.5741</x:v>
      </x:c>
      <x:c r="BK22" s="60" t="n">
        <x:v>63.9044</x:v>
      </x:c>
      <x:c r="BL22" s="60" t="n">
        <x:v>64.2169</x:v>
      </x:c>
      <x:c r="BM22" s="60" t="n">
        <x:v>64.5283</x:v>
      </x:c>
      <x:c r="BN22" s="60" t="n">
        <x:v>64.8144</x:v>
      </x:c>
      <x:c r="BO22" s="60" t="n">
        <x:v>65.0969</x:v>
      </x:c>
      <x:c r="BP22" s="60" t="n">
        <x:v>65.4201</x:v>
      </x:c>
      <x:c r="BQ22" s="60" t="n">
        <x:v>65.7252</x:v>
      </x:c>
      <x:c r="BR22" s="60" t="n">
        <x:v>66.0683</x:v>
      </x:c>
      <x:c r="BS22" s="60" t="n">
        <x:v>66.3542</x:v>
      </x:c>
      <x:c r="BT22" s="60" t="n">
        <x:v>66.6769</x:v>
      </x:c>
      <x:c r="BU22" s="60" t="n">
        <x:v>66.9756</x:v>
      </x:c>
      <x:c r="BV22" s="60" t="n">
        <x:v>67.2734</x:v>
      </x:c>
      <x:c r="BW22" s="60" t="n">
        <x:v>67.5853</x:v>
      </x:c>
      <x:c r="BX22" s="60" t="n">
        <x:v>67.8926</x:v>
      </x:c>
      <x:c r="BY22" s="60" t="n">
        <x:v>68.1992</x:v>
      </x:c>
      <x:c r="BZ22" s="60" t="n">
        <x:v>68.5091</x:v>
      </x:c>
      <x:c r="CA22" s="60" t="n">
        <x:v>68.809</x:v>
      </x:c>
      <x:c r="CB22" s="60" t="n">
        <x:v>69.1057</x:v>
      </x:c>
      <x:c r="CC22" s="60" t="n">
        <x:v>69.4558</x:v>
      </x:c>
      <x:c r="CD22" s="60" t="n">
        <x:v>69.7674</x:v>
      </x:c>
      <x:c r="CE22" s="60" t="n">
        <x:v>70.0534</x:v>
      </x:c>
      <x:c r="CF22" s="60" t="n">
        <x:v>70.3847</x:v>
      </x:c>
      <x:c r="CG22" s="60" t="n">
        <x:v>70.7378</x:v>
      </x:c>
      <x:c r="CH22" s="60" t="n">
        <x:v>71.0591</x:v>
      </x:c>
      <x:c r="CI22" s="60" t="n">
        <x:v>71.4208</x:v>
      </x:c>
      <x:c r="CJ22" s="60" t="n">
        <x:v>71.7897</x:v>
      </x:c>
      <x:c r="CK22" s="60" t="n">
        <x:v>72.2013</x:v>
      </x:c>
      <x:c r="CL22" s="60" t="n">
        <x:v>72.542</x:v>
      </x:c>
      <x:c r="CM22" s="60" t="n">
        <x:v>72.8654</x:v>
      </x:c>
      <x:c r="CN22" s="60" t="n">
        <x:v>73.3208</x:v>
      </x:c>
      <x:c r="CO22" s="60" t="n">
        <x:v>73.7032</x:v>
      </x:c>
      <x:c r="CP22" s="60" t="n">
        <x:v>74.0903</x:v>
      </x:c>
      <x:c r="CQ22" s="60" t="n">
        <x:v>74.5815</x:v>
      </x:c>
      <x:c r="CR22" s="60" t="n">
        <x:v>75.0366</x:v>
      </x:c>
      <x:c r="CS22" s="60" t="n">
        <x:v>75.5348</x:v>
      </x:c>
      <x:c r="CT22" s="60" t="n">
        <x:v>76.0521</x:v>
      </x:c>
      <x:c r="CU22" s="60" t="n">
        <x:v>76.6569</x:v>
      </x:c>
      <x:c r="CV22" s="60" t="n">
        <x:v>77.2096</x:v>
      </x:c>
      <x:c r="CW22" s="60" t="n">
        <x:v>77.8166</x:v>
      </x:c>
      <x:c r="CX22" s="60" t="n">
        <x:v>78.4742</x:v>
      </x:c>
      <x:c r="CY22" s="60" t="n">
        <x:v>79.2112</x:v>
      </x:c>
      <x:c r="CZ22" s="60" t="n">
        <x:v>80.2096</x:v>
      </x:c>
      <x:c r="DA22" s="60" t="n">
        <x:v>81.3773</x:v>
      </x:c>
      <x:c r="DB22" s="60" t="n">
        <x:v>85.5185</x:v>
      </x:c>
    </x:row>
    <x:row r="23">
      <x:c r="A23" t="str">
        <x:v>ドラパルト-1</x:v>
      </x:c>
      <x:c r="B23" t="str">
        <x:v>ドラパルト</x:v>
      </x:c>
      <x:c r="C23" t="str">
        <x:v>りゅうのまい</x:v>
      </x:c>
      <x:c r="D23" s="60" t="n">
        <x:v>62.0866</x:v>
      </x:c>
      <x:c r="E23" s="60" t="n">
        <x:v>12.135</x:v>
      </x:c>
      <x:c r="F23" s="60" t="n">
        <x:v>27.4529</x:v>
      </x:c>
      <x:c r="G23" s="60" t="n">
        <x:v>35.4815</x:v>
      </x:c>
      <x:c r="H23" s="60" t="n">
        <x:v>37.2832</x:v>
      </x:c>
      <x:c r="I23" s="60" t="n">
        <x:v>38.6613</x:v>
      </x:c>
      <x:c r="J23" s="60" t="n">
        <x:v>39.8298</x:v>
      </x:c>
      <x:c r="K23" s="60" t="n">
        <x:v>40.8202</x:v>
      </x:c>
      <x:c r="L23" s="60" t="n">
        <x:v>41.6875</x:v>
      </x:c>
      <x:c r="M23" s="60" t="n">
        <x:v>42.535</x:v>
      </x:c>
      <x:c r="N23" s="60" t="n">
        <x:v>43.2941</x:v>
      </x:c>
      <x:c r="O23" s="60" t="n">
        <x:v>44.0308</x:v>
      </x:c>
      <x:c r="P23" s="60" t="n">
        <x:v>44.8309</x:v>
      </x:c>
      <x:c r="Q23" s="60" t="n">
        <x:v>45.5593</x:v>
      </x:c>
      <x:c r="R23" s="60" t="n">
        <x:v>46.2345</x:v>
      </x:c>
      <x:c r="S23" s="60" t="n">
        <x:v>46.8282</x:v>
      </x:c>
      <x:c r="T23" s="60" t="n">
        <x:v>47.5465</x:v>
      </x:c>
      <x:c r="U23" s="60" t="n">
        <x:v>48.1812</x:v>
      </x:c>
      <x:c r="V23" s="60" t="n">
        <x:v>48.7459</x:v>
      </x:c>
      <x:c r="W23" s="60" t="n">
        <x:v>49.3007</x:v>
      </x:c>
      <x:c r="X23" s="60" t="n">
        <x:v>49.8399</x:v>
      </x:c>
      <x:c r="Y23" s="60" t="n">
        <x:v>50.3751</x:v>
      </x:c>
      <x:c r="Z23" s="60" t="n">
        <x:v>50.8923</x:v>
      </x:c>
      <x:c r="AA23" s="60" t="n">
        <x:v>51.3344</x:v>
      </x:c>
      <x:c r="AB23" s="60" t="n">
        <x:v>51.8297</x:v>
      </x:c>
      <x:c r="AC23" s="60" t="n">
        <x:v>52.319</x:v>
      </x:c>
      <x:c r="AD23" s="60" t="n">
        <x:v>52.8113</x:v>
      </x:c>
      <x:c r="AE23" s="60" t="n">
        <x:v>53.2587</x:v>
      </x:c>
      <x:c r="AF23" s="60" t="n">
        <x:v>53.7496</x:v>
      </x:c>
      <x:c r="AG23" s="60" t="n">
        <x:v>54.1667</x:v>
      </x:c>
      <x:c r="AH23" s="60" t="n">
        <x:v>54.5696</x:v>
      </x:c>
      <x:c r="AI23" s="60" t="n">
        <x:v>55.0531</x:v>
      </x:c>
      <x:c r="AJ23" s="60" t="n">
        <x:v>55.4523</x:v>
      </x:c>
      <x:c r="AK23" s="60" t="n">
        <x:v>55.8508</x:v>
      </x:c>
      <x:c r="AL23" s="60" t="n">
        <x:v>56.2047</x:v>
      </x:c>
      <x:c r="AM23" s="60" t="n">
        <x:v>56.6448</x:v>
      </x:c>
      <x:c r="AN23" s="60" t="n">
        <x:v>57.0051</x:v>
      </x:c>
      <x:c r="AO23" s="60" t="n">
        <x:v>57.3647</x:v>
      </x:c>
      <x:c r="AP23" s="60" t="n">
        <x:v>57.7418</x:v>
      </x:c>
      <x:c r="AQ23" s="60" t="n">
        <x:v>58.125</x:v>
      </x:c>
      <x:c r="AR23" s="60" t="n">
        <x:v>58.5436</x:v>
      </x:c>
      <x:c r="AS23" s="60" t="n">
        <x:v>58.9616</x:v>
      </x:c>
      <x:c r="AT23" s="60" t="n">
        <x:v>59.3146</x:v>
      </x:c>
      <x:c r="AU23" s="60" t="n">
        <x:v>59.6619</x:v>
      </x:c>
      <x:c r="AV23" s="60" t="n">
        <x:v>60.0429</x:v>
      </x:c>
      <x:c r="AW23" s="60" t="n">
        <x:v>60.3879</x:v>
      </x:c>
      <x:c r="AX23" s="60" t="n">
        <x:v>60.771</x:v>
      </x:c>
      <x:c r="AY23" s="60" t="n">
        <x:v>61.1576</x:v>
      </x:c>
      <x:c r="AZ23" s="60" t="n">
        <x:v>61.5201</x:v>
      </x:c>
      <x:c r="BA23" s="60" t="n">
        <x:v>61.8976</x:v>
      </x:c>
      <x:c r="BB23" s="60" t="n">
        <x:v>62.2617</x:v>
      </x:c>
      <x:c r="BC23" s="60" t="n">
        <x:v>62.607</x:v>
      </x:c>
      <x:c r="BD23" s="60" t="n">
        <x:v>62.9357</x:v>
      </x:c>
      <x:c r="BE23" s="60" t="n">
        <x:v>63.3074</x:v>
      </x:c>
      <x:c r="BF23" s="60" t="n">
        <x:v>63.6434</x:v>
      </x:c>
      <x:c r="BG23" s="60" t="n">
        <x:v>64.0092</x:v>
      </x:c>
      <x:c r="BH23" s="60" t="n">
        <x:v>64.3372</x:v>
      </x:c>
      <x:c r="BI23" s="60" t="n">
        <x:v>64.6338</x:v>
      </x:c>
      <x:c r="BJ23" s="60" t="n">
        <x:v>64.9731</x:v>
      </x:c>
      <x:c r="BK23" s="60" t="n">
        <x:v>65.2867</x:v>
      </x:c>
      <x:c r="BL23" s="60" t="n">
        <x:v>65.6146</x:v>
      </x:c>
      <x:c r="BM23" s="60" t="n">
        <x:v>65.9289</x:v>
      </x:c>
      <x:c r="BN23" s="60" t="n">
        <x:v>66.3257</x:v>
      </x:c>
      <x:c r="BO23" s="60" t="n">
        <x:v>66.6427</x:v>
      </x:c>
      <x:c r="BP23" s="60" t="n">
        <x:v>67.014</x:v>
      </x:c>
      <x:c r="BQ23" s="60" t="n">
        <x:v>67.4</x:v>
      </x:c>
      <x:c r="BR23" s="60" t="n">
        <x:v>67.7373</x:v>
      </x:c>
      <x:c r="BS23" s="60" t="n">
        <x:v>68.1034</x:v>
      </x:c>
      <x:c r="BT23" s="60" t="n">
        <x:v>68.4252</x:v>
      </x:c>
      <x:c r="BU23" s="60" t="n">
        <x:v>68.7748</x:v>
      </x:c>
      <x:c r="BV23" s="60" t="n">
        <x:v>69.1323</x:v>
      </x:c>
      <x:c r="BW23" s="60" t="n">
        <x:v>69.5004</x:v>
      </x:c>
      <x:c r="BX23" s="60" t="n">
        <x:v>69.8753</x:v>
      </x:c>
      <x:c r="BY23" s="60" t="n">
        <x:v>70.2558</x:v>
      </x:c>
      <x:c r="BZ23" s="60" t="n">
        <x:v>70.6192</x:v>
      </x:c>
      <x:c r="CA23" s="60" t="n">
        <x:v>70.9282</x:v>
      </x:c>
      <x:c r="CB23" s="60" t="n">
        <x:v>71.3276</x:v>
      </x:c>
      <x:c r="CC23" s="60" t="n">
        <x:v>71.6792</x:v>
      </x:c>
      <x:c r="CD23" s="60" t="n">
        <x:v>72.0508</x:v>
      </x:c>
      <x:c r="CE23" s="60" t="n">
        <x:v>72.4229</x:v>
      </x:c>
      <x:c r="CF23" s="60" t="n">
        <x:v>72.7579</x:v>
      </x:c>
      <x:c r="CG23" s="60" t="n">
        <x:v>73.1327</x:v>
      </x:c>
      <x:c r="CH23" s="60" t="n">
        <x:v>73.4925</x:v>
      </x:c>
      <x:c r="CI23" s="60" t="n">
        <x:v>73.8692</x:v>
      </x:c>
      <x:c r="CJ23" s="60" t="n">
        <x:v>74.2735</x:v>
      </x:c>
      <x:c r="CK23" s="60" t="n">
        <x:v>74.7073</x:v>
      </x:c>
      <x:c r="CL23" s="60" t="n">
        <x:v>75.1122</x:v>
      </x:c>
      <x:c r="CM23" s="60" t="n">
        <x:v>75.4913</x:v>
      </x:c>
      <x:c r="CN23" s="60" t="n">
        <x:v>75.9026</x:v>
      </x:c>
      <x:c r="CO23" s="60" t="n">
        <x:v>76.3586</x:v>
      </x:c>
      <x:c r="CP23" s="60" t="n">
        <x:v>76.7858</x:v>
      </x:c>
      <x:c r="CQ23" s="60" t="n">
        <x:v>77.2659</x:v>
      </x:c>
      <x:c r="CR23" s="60" t="n">
        <x:v>77.7845</x:v>
      </x:c>
      <x:c r="CS23" s="60" t="n">
        <x:v>78.3354</x:v>
      </x:c>
      <x:c r="CT23" s="60" t="n">
        <x:v>78.8089</x:v>
      </x:c>
      <x:c r="CU23" s="60" t="n">
        <x:v>79.3506</x:v>
      </x:c>
      <x:c r="CV23" s="60" t="n">
        <x:v>79.9495</x:v>
      </x:c>
      <x:c r="CW23" s="60" t="n">
        <x:v>80.5638</x:v>
      </x:c>
      <x:c r="CX23" s="60" t="n">
        <x:v>81.2112</x:v>
      </x:c>
      <x:c r="CY23" s="60" t="n">
        <x:v>81.9714</x:v>
      </x:c>
      <x:c r="CZ23" s="60" t="n">
        <x:v>82.8913</x:v>
      </x:c>
      <x:c r="DA23" s="60" t="n">
        <x:v>84.0994</x:v>
      </x:c>
      <x:c r="DB23" s="60" t="n">
        <x:v>87.2183</x:v>
      </x:c>
    </x:row>
    <x:row r="24">
      <x:c r="A24" t="str">
        <x:v>ドラパルト-2</x:v>
      </x:c>
      <x:c r="B24" t="str">
        <x:v>ドラパルト</x:v>
      </x:c>
      <x:c r="C24" t="str">
        <x:v>ゴーストダイブ</x:v>
      </x:c>
      <x:c r="D24" s="60" t="n">
        <x:v>61.5769</x:v>
      </x:c>
      <x:c r="E24" s="60" t="n">
        <x:v>11.9905</x:v>
      </x:c>
      <x:c r="F24" s="60" t="n">
        <x:v>28.5059</x:v>
      </x:c>
      <x:c r="G24" s="60" t="n">
        <x:v>35.6069</x:v>
      </x:c>
      <x:c r="H24" s="60" t="n">
        <x:v>37.1133</x:v>
      </x:c>
      <x:c r="I24" s="60" t="n">
        <x:v>38.3504</x:v>
      </x:c>
      <x:c r="J24" s="60" t="n">
        <x:v>39.3475</x:v>
      </x:c>
      <x:c r="K24" s="60" t="n">
        <x:v>40.4097</x:v>
      </x:c>
      <x:c r="L24" s="60" t="n">
        <x:v>41.3599</x:v>
      </x:c>
      <x:c r="M24" s="60" t="n">
        <x:v>42.1907</x:v>
      </x:c>
      <x:c r="N24" s="60" t="n">
        <x:v>42.938</x:v>
      </x:c>
      <x:c r="O24" s="60" t="n">
        <x:v>43.7161</x:v>
      </x:c>
      <x:c r="P24" s="60" t="n">
        <x:v>44.3877</x:v>
      </x:c>
      <x:c r="Q24" s="60" t="n">
        <x:v>45.0964</x:v>
      </x:c>
      <x:c r="R24" s="60" t="n">
        <x:v>45.7379</x:v>
      </x:c>
      <x:c r="S24" s="60" t="n">
        <x:v>46.3919</x:v>
      </x:c>
      <x:c r="T24" s="60" t="n">
        <x:v>47.0328</x:v>
      </x:c>
      <x:c r="U24" s="60" t="n">
        <x:v>47.6515</x:v>
      </x:c>
      <x:c r="V24" s="60" t="n">
        <x:v>48.278</x:v>
      </x:c>
      <x:c r="W24" s="60" t="n">
        <x:v>48.8491</x:v>
      </x:c>
      <x:c r="X24" s="60" t="n">
        <x:v>49.4262</x:v>
      </x:c>
      <x:c r="Y24" s="60" t="n">
        <x:v>49.9677</x:v>
      </x:c>
      <x:c r="Z24" s="60" t="n">
        <x:v>50.5206</x:v>
      </x:c>
      <x:c r="AA24" s="60" t="n">
        <x:v>51.0106</x:v>
      </x:c>
      <x:c r="AB24" s="60" t="n">
        <x:v>51.5072</x:v>
      </x:c>
      <x:c r="AC24" s="60" t="n">
        <x:v>52.0019</x:v>
      </x:c>
      <x:c r="AD24" s="60" t="n">
        <x:v>52.4892</x:v>
      </x:c>
      <x:c r="AE24" s="60" t="n">
        <x:v>52.9308</x:v>
      </x:c>
      <x:c r="AF24" s="60" t="n">
        <x:v>53.3795</x:v>
      </x:c>
      <x:c r="AG24" s="60" t="n">
        <x:v>53.7733</x:v>
      </x:c>
      <x:c r="AH24" s="60" t="n">
        <x:v>54.1798</x:v>
      </x:c>
      <x:c r="AI24" s="60" t="n">
        <x:v>54.5743</x:v>
      </x:c>
      <x:c r="AJ24" s="60" t="n">
        <x:v>54.9926</x:v>
      </x:c>
      <x:c r="AK24" s="60" t="n">
        <x:v>55.376</x:v>
      </x:c>
      <x:c r="AL24" s="60" t="n">
        <x:v>55.7545</x:v>
      </x:c>
      <x:c r="AM24" s="60" t="n">
        <x:v>56.1647</x:v>
      </x:c>
      <x:c r="AN24" s="60" t="n">
        <x:v>56.5493</x:v>
      </x:c>
      <x:c r="AO24" s="60" t="n">
        <x:v>56.9152</x:v>
      </x:c>
      <x:c r="AP24" s="60" t="n">
        <x:v>57.3106</x:v>
      </x:c>
      <x:c r="AQ24" s="60" t="n">
        <x:v>57.7475</x:v>
      </x:c>
      <x:c r="AR24" s="60" t="n">
        <x:v>58.171</x:v>
      </x:c>
      <x:c r="AS24" s="60" t="n">
        <x:v>58.5351</x:v>
      </x:c>
      <x:c r="AT24" s="60" t="n">
        <x:v>58.8905</x:v>
      </x:c>
      <x:c r="AU24" s="60" t="n">
        <x:v>59.2536</x:v>
      </x:c>
      <x:c r="AV24" s="60" t="n">
        <x:v>59.6396</x:v>
      </x:c>
      <x:c r="AW24" s="60" t="n">
        <x:v>60.0572</x:v>
      </x:c>
      <x:c r="AX24" s="60" t="n">
        <x:v>60.4354</x:v>
      </x:c>
      <x:c r="AY24" s="60" t="n">
        <x:v>60.8058</x:v>
      </x:c>
      <x:c r="AZ24" s="60" t="n">
        <x:v>61.1709</x:v>
      </x:c>
      <x:c r="BA24" s="60" t="n">
        <x:v>61.4983</x:v>
      </x:c>
      <x:c r="BB24" s="60" t="n">
        <x:v>61.8178</x:v>
      </x:c>
      <x:c r="BC24" s="60" t="n">
        <x:v>62.1696</x:v>
      </x:c>
      <x:c r="BD24" s="60" t="n">
        <x:v>62.4891</x:v>
      </x:c>
      <x:c r="BE24" s="60" t="n">
        <x:v>62.8379</x:v>
      </x:c>
      <x:c r="BF24" s="60" t="n">
        <x:v>63.1944</x:v>
      </x:c>
      <x:c r="BG24" s="60" t="n">
        <x:v>63.5368</x:v>
      </x:c>
      <x:c r="BH24" s="60" t="n">
        <x:v>63.8581</x:v>
      </x:c>
      <x:c r="BI24" s="60" t="n">
        <x:v>64.215</x:v>
      </x:c>
      <x:c r="BJ24" s="60" t="n">
        <x:v>64.5419</x:v>
      </x:c>
      <x:c r="BK24" s="60" t="n">
        <x:v>64.871</x:v>
      </x:c>
      <x:c r="BL24" s="60" t="n">
        <x:v>65.1775</x:v>
      </x:c>
      <x:c r="BM24" s="60" t="n">
        <x:v>65.5607</x:v>
      </x:c>
      <x:c r="BN24" s="60" t="n">
        <x:v>65.8758</x:v>
      </x:c>
      <x:c r="BO24" s="60" t="n">
        <x:v>66.2199</x:v>
      </x:c>
      <x:c r="BP24" s="60" t="n">
        <x:v>66.5705</x:v>
      </x:c>
      <x:c r="BQ24" s="60" t="n">
        <x:v>66.8645</x:v>
      </x:c>
      <x:c r="BR24" s="60" t="n">
        <x:v>67.2117</x:v>
      </x:c>
      <x:c r="BS24" s="60" t="n">
        <x:v>67.5317</x:v>
      </x:c>
      <x:c r="BT24" s="60" t="n">
        <x:v>67.8675</x:v>
      </x:c>
      <x:c r="BU24" s="60" t="n">
        <x:v>68.285</x:v>
      </x:c>
      <x:c r="BV24" s="60" t="n">
        <x:v>68.6017</x:v>
      </x:c>
      <x:c r="BW24" s="60" t="n">
        <x:v>68.9944</x:v>
      </x:c>
      <x:c r="BX24" s="60" t="n">
        <x:v>69.3144</x:v>
      </x:c>
      <x:c r="BY24" s="60" t="n">
        <x:v>69.6685</x:v>
      </x:c>
      <x:c r="BZ24" s="60" t="n">
        <x:v>70.0052</x:v>
      </x:c>
      <x:c r="CA24" s="60" t="n">
        <x:v>70.2867</x:v>
      </x:c>
      <x:c r="CB24" s="60" t="n">
        <x:v>70.5904</x:v>
      </x:c>
      <x:c r="CC24" s="60" t="n">
        <x:v>70.9371</x:v>
      </x:c>
      <x:c r="CD24" s="60" t="n">
        <x:v>71.2715</x:v>
      </x:c>
      <x:c r="CE24" s="60" t="n">
        <x:v>71.6426</x:v>
      </x:c>
      <x:c r="CF24" s="60" t="n">
        <x:v>72.0181</x:v>
      </x:c>
      <x:c r="CG24" s="60" t="n">
        <x:v>72.378</x:v>
      </x:c>
      <x:c r="CH24" s="60" t="n">
        <x:v>72.7446</x:v>
      </x:c>
      <x:c r="CI24" s="60" t="n">
        <x:v>73.1589</x:v>
      </x:c>
      <x:c r="CJ24" s="60" t="n">
        <x:v>73.5097</x:v>
      </x:c>
      <x:c r="CK24" s="60" t="n">
        <x:v>73.8965</x:v>
      </x:c>
      <x:c r="CL24" s="60" t="n">
        <x:v>74.2852</x:v>
      </x:c>
      <x:c r="CM24" s="60" t="n">
        <x:v>74.6864</x:v>
      </x:c>
      <x:c r="CN24" s="60" t="n">
        <x:v>75.0724</x:v>
      </x:c>
      <x:c r="CO24" s="60" t="n">
        <x:v>75.5548</x:v>
      </x:c>
      <x:c r="CP24" s="60" t="n">
        <x:v>76.0151</x:v>
      </x:c>
      <x:c r="CQ24" s="60" t="n">
        <x:v>76.5222</x:v>
      </x:c>
      <x:c r="CR24" s="60" t="n">
        <x:v>77.0037</x:v>
      </x:c>
      <x:c r="CS24" s="60" t="n">
        <x:v>77.4569</x:v>
      </x:c>
      <x:c r="CT24" s="60" t="n">
        <x:v>77.9529</x:v>
      </x:c>
      <x:c r="CU24" s="60" t="n">
        <x:v>78.5064</x:v>
      </x:c>
      <x:c r="CV24" s="60" t="n">
        <x:v>79.0856</x:v>
      </x:c>
      <x:c r="CW24" s="60" t="n">
        <x:v>79.7832</x:v>
      </x:c>
      <x:c r="CX24" s="60" t="n">
        <x:v>80.4509</x:v>
      </x:c>
      <x:c r="CY24" s="60" t="n">
        <x:v>81.2879</x:v>
      </x:c>
      <x:c r="CZ24" s="60" t="n">
        <x:v>82.2515</x:v>
      </x:c>
      <x:c r="DA24" s="60" t="n">
        <x:v>83.4197</x:v>
      </x:c>
      <x:c r="DB24" s="60" t="n">
        <x:v>87.1161</x:v>
      </x:c>
    </x:row>
    <x:row r="25">
      <x:c r="A25" t="str">
        <x:v>ニンフィア-1</x:v>
      </x:c>
      <x:c r="B25" t="str">
        <x:v>ニンフィア</x:v>
      </x:c>
      <x:c r="C25" t="str">
        <x:v>共通</x:v>
      </x:c>
      <x:c r="D25" s="60" t="n">
        <x:v>63.7139</x:v>
      </x:c>
      <x:c r="E25" s="60" t="n">
        <x:v>11.5829</x:v>
      </x:c>
      <x:c r="F25" s="60" t="n">
        <x:v>28.8964</x:v>
      </x:c>
      <x:c r="G25" s="60" t="n">
        <x:v>37.67</x:v>
      </x:c>
      <x:c r="H25" s="60" t="n">
        <x:v>39.4685</x:v>
      </x:c>
      <x:c r="I25" s="60" t="n">
        <x:v>40.7122</x:v>
      </x:c>
      <x:c r="J25" s="60" t="n">
        <x:v>41.7003</x:v>
      </x:c>
      <x:c r="K25" s="60" t="n">
        <x:v>42.6904</x:v>
      </x:c>
      <x:c r="L25" s="60" t="n">
        <x:v>43.5975</x:v>
      </x:c>
      <x:c r="M25" s="60" t="n">
        <x:v>44.4355</x:v>
      </x:c>
      <x:c r="N25" s="60" t="n">
        <x:v>45.2095</x:v>
      </x:c>
      <x:c r="O25" s="60" t="n">
        <x:v>46.0577</x:v>
      </x:c>
      <x:c r="P25" s="60" t="n">
        <x:v>46.8132</x:v>
      </x:c>
      <x:c r="Q25" s="60" t="n">
        <x:v>47.5529</x:v>
      </x:c>
      <x:c r="R25" s="60" t="n">
        <x:v>48.271</x:v>
      </x:c>
      <x:c r="S25" s="60" t="n">
        <x:v>48.8501</x:v>
      </x:c>
      <x:c r="T25" s="60" t="n">
        <x:v>49.4882</x:v>
      </x:c>
      <x:c r="U25" s="60" t="n">
        <x:v>50.0847</x:v>
      </x:c>
      <x:c r="V25" s="60" t="n">
        <x:v>50.6865</x:v>
      </x:c>
      <x:c r="W25" s="60" t="n">
        <x:v>51.2103</x:v>
      </x:c>
      <x:c r="X25" s="60" t="n">
        <x:v>51.7312</x:v>
      </x:c>
      <x:c r="Y25" s="60" t="n">
        <x:v>52.3586</x:v>
      </x:c>
      <x:c r="Z25" s="60" t="n">
        <x:v>52.9291</x:v>
      </x:c>
      <x:c r="AA25" s="60" t="n">
        <x:v>53.4584</x:v>
      </x:c>
      <x:c r="AB25" s="60" t="n">
        <x:v>53.9858</x:v>
      </x:c>
      <x:c r="AC25" s="60" t="n">
        <x:v>54.4576</x:v>
      </x:c>
      <x:c r="AD25" s="60" t="n">
        <x:v>55.0029</x:v>
      </x:c>
      <x:c r="AE25" s="60" t="n">
        <x:v>55.462</x:v>
      </x:c>
      <x:c r="AF25" s="60" t="n">
        <x:v>55.8854</x:v>
      </x:c>
      <x:c r="AG25" s="60" t="n">
        <x:v>56.3081</x:v>
      </x:c>
      <x:c r="AH25" s="60" t="n">
        <x:v>56.7838</x:v>
      </x:c>
      <x:c r="AI25" s="60" t="n">
        <x:v>57.2134</x:v>
      </x:c>
      <x:c r="AJ25" s="60" t="n">
        <x:v>57.6464</x:v>
      </x:c>
      <x:c r="AK25" s="60" t="n">
        <x:v>58.048</x:v>
      </x:c>
      <x:c r="AL25" s="60" t="n">
        <x:v>58.4186</x:v>
      </x:c>
      <x:c r="AM25" s="60" t="n">
        <x:v>58.7969</x:v>
      </x:c>
      <x:c r="AN25" s="60" t="n">
        <x:v>59.2539</x:v>
      </x:c>
      <x:c r="AO25" s="60" t="n">
        <x:v>59.6386</x:v>
      </x:c>
      <x:c r="AP25" s="60" t="n">
        <x:v>60.002</x:v>
      </x:c>
      <x:c r="AQ25" s="60" t="n">
        <x:v>60.3959</x:v>
      </x:c>
      <x:c r="AR25" s="60" t="n">
        <x:v>60.767</x:v>
      </x:c>
      <x:c r="AS25" s="60" t="n">
        <x:v>61.0877</x:v>
      </x:c>
      <x:c r="AT25" s="60" t="n">
        <x:v>61.4776</x:v>
      </x:c>
      <x:c r="AU25" s="60" t="n">
        <x:v>61.8294</x:v>
      </x:c>
      <x:c r="AV25" s="60" t="n">
        <x:v>62.217</x:v>
      </x:c>
      <x:c r="AW25" s="60" t="n">
        <x:v>62.5679</x:v>
      </x:c>
      <x:c r="AX25" s="60" t="n">
        <x:v>62.9782</x:v>
      </x:c>
      <x:c r="AY25" s="60" t="n">
        <x:v>63.3239</x:v>
      </x:c>
      <x:c r="AZ25" s="60" t="n">
        <x:v>63.6675</x:v>
      </x:c>
      <x:c r="BA25" s="60" t="n">
        <x:v>64.0197</x:v>
      </x:c>
      <x:c r="BB25" s="60" t="n">
        <x:v>64.3437</x:v>
      </x:c>
      <x:c r="BC25" s="60" t="n">
        <x:v>64.6563</x:v>
      </x:c>
      <x:c r="BD25" s="60" t="n">
        <x:v>64.9937</x:v>
      </x:c>
      <x:c r="BE25" s="60" t="n">
        <x:v>65.3429</x:v>
      </x:c>
      <x:c r="BF25" s="60" t="n">
        <x:v>65.7046</x:v>
      </x:c>
      <x:c r="BG25" s="60" t="n">
        <x:v>66.0305</x:v>
      </x:c>
      <x:c r="BH25" s="60" t="n">
        <x:v>66.3692</x:v>
      </x:c>
      <x:c r="BI25" s="60" t="n">
        <x:v>66.6989</x:v>
      </x:c>
      <x:c r="BJ25" s="60" t="n">
        <x:v>67.0052</x:v>
      </x:c>
      <x:c r="BK25" s="60" t="n">
        <x:v>67.3223</x:v>
      </x:c>
      <x:c r="BL25" s="60" t="n">
        <x:v>67.6298</x:v>
      </x:c>
      <x:c r="BM25" s="60" t="n">
        <x:v>67.9775</x:v>
      </x:c>
      <x:c r="BN25" s="60" t="n">
        <x:v>68.3156</x:v>
      </x:c>
      <x:c r="BO25" s="60" t="n">
        <x:v>68.6193</x:v>
      </x:c>
      <x:c r="BP25" s="60" t="n">
        <x:v>68.9439</x:v>
      </x:c>
      <x:c r="BQ25" s="60" t="n">
        <x:v>69.2727</x:v>
      </x:c>
      <x:c r="BR25" s="60" t="n">
        <x:v>69.5701</x:v>
      </x:c>
      <x:c r="BS25" s="60" t="n">
        <x:v>69.876</x:v>
      </x:c>
      <x:c r="BT25" s="60" t="n">
        <x:v>70.1685</x:v>
      </x:c>
      <x:c r="BU25" s="60" t="n">
        <x:v>70.5044</x:v>
      </x:c>
      <x:c r="BV25" s="60" t="n">
        <x:v>70.8272</x:v>
      </x:c>
      <x:c r="BW25" s="60" t="n">
        <x:v>71.1494</x:v>
      </x:c>
      <x:c r="BX25" s="60" t="n">
        <x:v>71.4876</x:v>
      </x:c>
      <x:c r="BY25" s="60" t="n">
        <x:v>71.8033</x:v>
      </x:c>
      <x:c r="BZ25" s="60" t="n">
        <x:v>72.1347</x:v>
      </x:c>
      <x:c r="CA25" s="60" t="n">
        <x:v>72.4549</x:v>
      </x:c>
      <x:c r="CB25" s="60" t="n">
        <x:v>72.7603</x:v>
      </x:c>
      <x:c r="CC25" s="60" t="n">
        <x:v>73.0712</x:v>
      </x:c>
      <x:c r="CD25" s="60" t="n">
        <x:v>73.4021</x:v>
      </x:c>
      <x:c r="CE25" s="60" t="n">
        <x:v>73.7277</x:v>
      </x:c>
      <x:c r="CF25" s="60" t="n">
        <x:v>74.0762</x:v>
      </x:c>
      <x:c r="CG25" s="60" t="n">
        <x:v>74.4287</x:v>
      </x:c>
      <x:c r="CH25" s="60" t="n">
        <x:v>74.7577</x:v>
      </x:c>
      <x:c r="CI25" s="60" t="n">
        <x:v>75.1194</x:v>
      </x:c>
      <x:c r="CJ25" s="60" t="n">
        <x:v>75.4665</x:v>
      </x:c>
      <x:c r="CK25" s="60" t="n">
        <x:v>75.7869</x:v>
      </x:c>
      <x:c r="CL25" s="60" t="n">
        <x:v>76.0892</x:v>
      </x:c>
      <x:c r="CM25" s="60" t="n">
        <x:v>76.4621</x:v>
      </x:c>
      <x:c r="CN25" s="60" t="n">
        <x:v>76.7911</x:v>
      </x:c>
      <x:c r="CO25" s="60" t="n">
        <x:v>77.1321</x:v>
      </x:c>
      <x:c r="CP25" s="60" t="n">
        <x:v>77.457</x:v>
      </x:c>
      <x:c r="CQ25" s="60" t="n">
        <x:v>77.7963</x:v>
      </x:c>
      <x:c r="CR25" s="60" t="n">
        <x:v>78.1496</x:v>
      </x:c>
      <x:c r="CS25" s="60" t="n">
        <x:v>78.5167</x:v>
      </x:c>
      <x:c r="CT25" s="60" t="n">
        <x:v>78.9445</x:v>
      </x:c>
      <x:c r="CU25" s="60" t="n">
        <x:v>79.3667</x:v>
      </x:c>
      <x:c r="CV25" s="60" t="n">
        <x:v>79.768</x:v>
      </x:c>
      <x:c r="CW25" s="60" t="n">
        <x:v>80.2407</x:v>
      </x:c>
      <x:c r="CX25" s="60" t="n">
        <x:v>80.815</x:v>
      </x:c>
      <x:c r="CY25" s="60" t="n">
        <x:v>81.3733</x:v>
      </x:c>
      <x:c r="CZ25" s="60" t="n">
        <x:v>82.0739</x:v>
      </x:c>
      <x:c r="DA25" s="60" t="n">
        <x:v>83.0404</x:v>
      </x:c>
      <x:c r="DB25" s="60" t="n">
        <x:v>85.9624</x:v>
      </x:c>
    </x:row>
    <x:row r="26">
      <x:c r="A26" t="str">
        <x:v>バクフーン-1</x:v>
      </x:c>
      <x:c r="B26" t="str">
        <x:v>バクフーン</x:v>
      </x:c>
      <x:c r="C26" t="str">
        <x:v>共通</x:v>
      </x:c>
      <x:c r="D26" s="60" t="n">
        <x:v>62.2869</x:v>
      </x:c>
      <x:c r="E26" s="60" t="n">
        <x:v>13.5848</x:v>
      </x:c>
      <x:c r="F26" s="60" t="n">
        <x:v>25.1208</x:v>
      </x:c>
      <x:c r="G26" s="60" t="n">
        <x:v>33.4128</x:v>
      </x:c>
      <x:c r="H26" s="60" t="n">
        <x:v>34.7343</x:v>
      </x:c>
      <x:c r="I26" s="60" t="n">
        <x:v>35.8945</x:v>
      </x:c>
      <x:c r="J26" s="60" t="n">
        <x:v>36.9979</x:v>
      </x:c>
      <x:c r="K26" s="60" t="n">
        <x:v>38.1252</x:v>
      </x:c>
      <x:c r="L26" s="60" t="n">
        <x:v>39.2228</x:v>
      </x:c>
      <x:c r="M26" s="60" t="n">
        <x:v>40.1875</x:v>
      </x:c>
      <x:c r="N26" s="60" t="n">
        <x:v>41.0709</x:v>
      </x:c>
      <x:c r="O26" s="60" t="n">
        <x:v>41.981</x:v>
      </x:c>
      <x:c r="P26" s="60" t="n">
        <x:v>42.8421</x:v>
      </x:c>
      <x:c r="Q26" s="60" t="n">
        <x:v>43.7086</x:v>
      </x:c>
      <x:c r="R26" s="60" t="n">
        <x:v>44.5334</x:v>
      </x:c>
      <x:c r="S26" s="60" t="n">
        <x:v>45.1768</x:v>
      </x:c>
      <x:c r="T26" s="60" t="n">
        <x:v>45.9061</x:v>
      </x:c>
      <x:c r="U26" s="60" t="n">
        <x:v>46.5741</x:v>
      </x:c>
      <x:c r="V26" s="60" t="n">
        <x:v>47.1869</x:v>
      </x:c>
      <x:c r="W26" s="60" t="n">
        <x:v>47.7974</x:v>
      </x:c>
      <x:c r="X26" s="60" t="n">
        <x:v>48.3792</x:v>
      </x:c>
      <x:c r="Y26" s="60" t="n">
        <x:v>48.9396</x:v>
      </x:c>
      <x:c r="Z26" s="60" t="n">
        <x:v>49.5324</x:v>
      </x:c>
      <x:c r="AA26" s="60" t="n">
        <x:v>50.0774</x:v>
      </x:c>
      <x:c r="AB26" s="60" t="n">
        <x:v>50.6394</x:v>
      </x:c>
      <x:c r="AC26" s="60" t="n">
        <x:v>51.1959</x:v>
      </x:c>
      <x:c r="AD26" s="60" t="n">
        <x:v>51.736</x:v>
      </x:c>
      <x:c r="AE26" s="60" t="n">
        <x:v>52.2346</x:v>
      </x:c>
      <x:c r="AF26" s="60" t="n">
        <x:v>52.7514</x:v>
      </x:c>
      <x:c r="AG26" s="60" t="n">
        <x:v>53.2353</x:v>
      </x:c>
      <x:c r="AH26" s="60" t="n">
        <x:v>53.7392</x:v>
      </x:c>
      <x:c r="AI26" s="60" t="n">
        <x:v>54.2702</x:v>
      </x:c>
      <x:c r="AJ26" s="60" t="n">
        <x:v>54.7681</x:v>
      </x:c>
      <x:c r="AK26" s="60" t="n">
        <x:v>55.2759</x:v>
      </x:c>
      <x:c r="AL26" s="60" t="n">
        <x:v>55.7319</x:v>
      </x:c>
      <x:c r="AM26" s="60" t="n">
        <x:v>56.2075</x:v>
      </x:c>
      <x:c r="AN26" s="60" t="n">
        <x:v>56.6443</x:v>
      </x:c>
      <x:c r="AO26" s="60" t="n">
        <x:v>57.0661</x:v>
      </x:c>
      <x:c r="AP26" s="60" t="n">
        <x:v>57.5257</x:v>
      </x:c>
      <x:c r="AQ26" s="60" t="n">
        <x:v>57.9928</x:v>
      </x:c>
      <x:c r="AR26" s="60" t="n">
        <x:v>58.4412</x:v>
      </x:c>
      <x:c r="AS26" s="60" t="n">
        <x:v>58.8601</x:v>
      </x:c>
      <x:c r="AT26" s="60" t="n">
        <x:v>59.253</x:v>
      </x:c>
      <x:c r="AU26" s="60" t="n">
        <x:v>59.6603</x:v>
      </x:c>
      <x:c r="AV26" s="60" t="n">
        <x:v>60.0758</x:v>
      </x:c>
      <x:c r="AW26" s="60" t="n">
        <x:v>60.5424</x:v>
      </x:c>
      <x:c r="AX26" s="60" t="n">
        <x:v>60.9051</x:v>
      </x:c>
      <x:c r="AY26" s="60" t="n">
        <x:v>61.3123</x:v>
      </x:c>
      <x:c r="AZ26" s="60" t="n">
        <x:v>61.6937</x:v>
      </x:c>
      <x:c r="BA26" s="60" t="n">
        <x:v>62.0946</x:v>
      </x:c>
      <x:c r="BB26" s="60" t="n">
        <x:v>62.49</x:v>
      </x:c>
      <x:c r="BC26" s="60" t="n">
        <x:v>62.931</x:v>
      </x:c>
      <x:c r="BD26" s="60" t="n">
        <x:v>63.3564</x:v>
      </x:c>
      <x:c r="BE26" s="60" t="n">
        <x:v>63.7838</x:v>
      </x:c>
      <x:c r="BF26" s="60" t="n">
        <x:v>64.1897</x:v>
      </x:c>
      <x:c r="BG26" s="60" t="n">
        <x:v>64.5695</x:v>
      </x:c>
      <x:c r="BH26" s="60" t="n">
        <x:v>64.989</x:v>
      </x:c>
      <x:c r="BI26" s="60" t="n">
        <x:v>65.3782</x:v>
      </x:c>
      <x:c r="BJ26" s="60" t="n">
        <x:v>65.7494</x:v>
      </x:c>
      <x:c r="BK26" s="60" t="n">
        <x:v>66.1039</x:v>
      </x:c>
      <x:c r="BL26" s="60" t="n">
        <x:v>66.5152</x:v>
      </x:c>
      <x:c r="BM26" s="60" t="n">
        <x:v>66.8545</x:v>
      </x:c>
      <x:c r="BN26" s="60" t="n">
        <x:v>67.2411</x:v>
      </x:c>
      <x:c r="BO26" s="60" t="n">
        <x:v>67.6377</x:v>
      </x:c>
      <x:c r="BP26" s="60" t="n">
        <x:v>68.052</x:v>
      </x:c>
      <x:c r="BQ26" s="60" t="n">
        <x:v>68.4901</x:v>
      </x:c>
      <x:c r="BR26" s="60" t="n">
        <x:v>68.8743</x:v>
      </x:c>
      <x:c r="BS26" s="60" t="n">
        <x:v>69.2482</x:v>
      </x:c>
      <x:c r="BT26" s="60" t="n">
        <x:v>69.6391</x:v>
      </x:c>
      <x:c r="BU26" s="60" t="n">
        <x:v>70.0401</x:v>
      </x:c>
      <x:c r="BV26" s="60" t="n">
        <x:v>70.3681</x:v>
      </x:c>
      <x:c r="BW26" s="60" t="n">
        <x:v>70.757</x:v>
      </x:c>
      <x:c r="BX26" s="60" t="n">
        <x:v>71.0973</x:v>
      </x:c>
      <x:c r="BY26" s="60" t="n">
        <x:v>71.4563</x:v>
      </x:c>
      <x:c r="BZ26" s="60" t="n">
        <x:v>71.8596</x:v>
      </x:c>
      <x:c r="CA26" s="60" t="n">
        <x:v>72.2364</x:v>
      </x:c>
      <x:c r="CB26" s="60" t="n">
        <x:v>72.6149</x:v>
      </x:c>
      <x:c r="CC26" s="60" t="n">
        <x:v>73.0144</x:v>
      </x:c>
      <x:c r="CD26" s="60" t="n">
        <x:v>73.4313</x:v>
      </x:c>
      <x:c r="CE26" s="60" t="n">
        <x:v>73.8055</x:v>
      </x:c>
      <x:c r="CF26" s="60" t="n">
        <x:v>74.2537</x:v>
      </x:c>
      <x:c r="CG26" s="60" t="n">
        <x:v>74.6515</x:v>
      </x:c>
      <x:c r="CH26" s="60" t="n">
        <x:v>75.0375</x:v>
      </x:c>
      <x:c r="CI26" s="60" t="n">
        <x:v>75.4351</x:v>
      </x:c>
      <x:c r="CJ26" s="60" t="n">
        <x:v>75.8609</x:v>
      </x:c>
      <x:c r="CK26" s="60" t="n">
        <x:v>76.3256</x:v>
      </x:c>
      <x:c r="CL26" s="60" t="n">
        <x:v>76.7204</x:v>
      </x:c>
      <x:c r="CM26" s="60" t="n">
        <x:v>77.2074</x:v>
      </x:c>
      <x:c r="CN26" s="60" t="n">
        <x:v>77.6914</x:v>
      </x:c>
      <x:c r="CO26" s="60" t="n">
        <x:v>78.1789</x:v>
      </x:c>
      <x:c r="CP26" s="60" t="n">
        <x:v>78.6561</x:v>
      </x:c>
      <x:c r="CQ26" s="60" t="n">
        <x:v>79.1079</x:v>
      </x:c>
      <x:c r="CR26" s="60" t="n">
        <x:v>79.6223</x:v>
      </x:c>
      <x:c r="CS26" s="60" t="n">
        <x:v>80.1785</x:v>
      </x:c>
      <x:c r="CT26" s="60" t="n">
        <x:v>80.7841</x:v>
      </x:c>
      <x:c r="CU26" s="60" t="n">
        <x:v>81.421</x:v>
      </x:c>
      <x:c r="CV26" s="60" t="n">
        <x:v>82.0569</x:v>
      </x:c>
      <x:c r="CW26" s="60" t="n">
        <x:v>82.7725</x:v>
      </x:c>
      <x:c r="CX26" s="60" t="n">
        <x:v>83.5081</x:v>
      </x:c>
      <x:c r="CY26" s="60" t="n">
        <x:v>84.3934</x:v>
      </x:c>
      <x:c r="CZ26" s="60" t="n">
        <x:v>85.4819</x:v>
      </x:c>
      <x:c r="DA26" s="60" t="n">
        <x:v>86.8219</x:v>
      </x:c>
      <x:c r="DB26" s="60" t="n">
        <x:v>90.4809</x:v>
      </x:c>
    </x:row>
    <x:row r="27">
      <x:c r="A27" t="str">
        <x:v>ピカチュウ-1</x:v>
      </x:c>
      <x:c r="B27" t="str">
        <x:v>ピカチュウ</x:v>
      </x:c>
      <x:c r="C27" t="str">
        <x:v>共通</x:v>
      </x:c>
      <x:c r="D27" s="60" t="n">
        <x:v>62.0862</x:v>
      </x:c>
      <x:c r="E27" s="60" t="n">
        <x:v>7.7454</x:v>
      </x:c>
      <x:c r="F27" s="60" t="n">
        <x:v>36.1926</x:v>
      </x:c>
      <x:c r="G27" s="60" t="n">
        <x:v>43.7278</x:v>
      </x:c>
      <x:c r="H27" s="60" t="n">
        <x:v>45.2844</x:v>
      </x:c>
      <x:c r="I27" s="60" t="n">
        <x:v>46.4541</x:v>
      </x:c>
      <x:c r="J27" s="60" t="n">
        <x:v>47.3687</x:v>
      </x:c>
      <x:c r="K27" s="60" t="n">
        <x:v>48.0764</x:v>
      </x:c>
      <x:c r="L27" s="60" t="n">
        <x:v>48.8064</x:v>
      </x:c>
      <x:c r="M27" s="60" t="n">
        <x:v>49.4295</x:v>
      </x:c>
      <x:c r="N27" s="60" t="n">
        <x:v>49.9771</x:v>
      </x:c>
      <x:c r="O27" s="60" t="n">
        <x:v>50.5437</x:v>
      </x:c>
      <x:c r="P27" s="60" t="n">
        <x:v>51.0469</x:v>
      </x:c>
      <x:c r="Q27" s="60" t="n">
        <x:v>51.4897</x:v>
      </x:c>
      <x:c r="R27" s="60" t="n">
        <x:v>51.9625</x:v>
      </x:c>
      <x:c r="S27" s="60" t="n">
        <x:v>52.3754</x:v>
      </x:c>
      <x:c r="T27" s="60" t="n">
        <x:v>52.8006</x:v>
      </x:c>
      <x:c r="U27" s="60" t="n">
        <x:v>53.2236</x:v>
      </x:c>
      <x:c r="V27" s="60" t="n">
        <x:v>53.6086</x:v>
      </x:c>
      <x:c r="W27" s="60" t="n">
        <x:v>53.985</x:v>
      </x:c>
      <x:c r="X27" s="60" t="n">
        <x:v>54.3601</x:v>
      </x:c>
      <x:c r="Y27" s="60" t="n">
        <x:v>54.7253</x:v>
      </x:c>
      <x:c r="Z27" s="60" t="n">
        <x:v>55.0394</x:v>
      </x:c>
      <x:c r="AA27" s="60" t="n">
        <x:v>55.3714</x:v>
      </x:c>
      <x:c r="AB27" s="60" t="n">
        <x:v>55.711</x:v>
      </x:c>
      <x:c r="AC27" s="60" t="n">
        <x:v>56.0361</x:v>
      </x:c>
      <x:c r="AD27" s="60" t="n">
        <x:v>56.3418</x:v>
      </x:c>
      <x:c r="AE27" s="60" t="n">
        <x:v>56.6569</x:v>
      </x:c>
      <x:c r="AF27" s="60" t="n">
        <x:v>56.9507</x:v>
      </x:c>
      <x:c r="AG27" s="60" t="n">
        <x:v>57.2405</x:v>
      </x:c>
      <x:c r="AH27" s="60" t="n">
        <x:v>57.5159</x:v>
      </x:c>
      <x:c r="AI27" s="60" t="n">
        <x:v>57.8075</x:v>
      </x:c>
      <x:c r="AJ27" s="60" t="n">
        <x:v>58.1125</x:v>
      </x:c>
      <x:c r="AK27" s="60" t="n">
        <x:v>58.4002</x:v>
      </x:c>
      <x:c r="AL27" s="60" t="n">
        <x:v>58.6604</x:v>
      </x:c>
      <x:c r="AM27" s="60" t="n">
        <x:v>58.9315</x:v>
      </x:c>
      <x:c r="AN27" s="60" t="n">
        <x:v>59.1996</x:v>
      </x:c>
      <x:c r="AO27" s="60" t="n">
        <x:v>59.4831</x:v>
      </x:c>
      <x:c r="AP27" s="60" t="n">
        <x:v>59.7167</x:v>
      </x:c>
      <x:c r="AQ27" s="60" t="n">
        <x:v>59.9795</x:v>
      </x:c>
      <x:c r="AR27" s="60" t="n">
        <x:v>60.2216</x:v>
      </x:c>
      <x:c r="AS27" s="60" t="n">
        <x:v>60.4485</x:v>
      </x:c>
      <x:c r="AT27" s="60" t="n">
        <x:v>60.7334</x:v>
      </x:c>
      <x:c r="AU27" s="60" t="n">
        <x:v>60.9847</x:v>
      </x:c>
      <x:c r="AV27" s="60" t="n">
        <x:v>61.2033</x:v>
      </x:c>
      <x:c r="AW27" s="60" t="n">
        <x:v>61.4198</x:v>
      </x:c>
      <x:c r="AX27" s="60" t="n">
        <x:v>61.6453</x:v>
      </x:c>
      <x:c r="AY27" s="60" t="n">
        <x:v>61.8667</x:v>
      </x:c>
      <x:c r="AZ27" s="60" t="n">
        <x:v>62.0867</x:v>
      </x:c>
      <x:c r="BA27" s="60" t="n">
        <x:v>62.2666</x:v>
      </x:c>
      <x:c r="BB27" s="60" t="n">
        <x:v>62.4939</x:v>
      </x:c>
      <x:c r="BC27" s="60" t="n">
        <x:v>62.7136</x:v>
      </x:c>
      <x:c r="BD27" s="60" t="n">
        <x:v>62.9192</x:v>
      </x:c>
      <x:c r="BE27" s="60" t="n">
        <x:v>63.1358</x:v>
      </x:c>
      <x:c r="BF27" s="60" t="n">
        <x:v>63.3541</x:v>
      </x:c>
      <x:c r="BG27" s="60" t="n">
        <x:v>63.5663</x:v>
      </x:c>
      <x:c r="BH27" s="60" t="n">
        <x:v>63.7954</x:v>
      </x:c>
      <x:c r="BI27" s="60" t="n">
        <x:v>64.019</x:v>
      </x:c>
      <x:c r="BJ27" s="60" t="n">
        <x:v>64.2173</x:v>
      </x:c>
      <x:c r="BK27" s="60" t="n">
        <x:v>64.4397</x:v>
      </x:c>
      <x:c r="BL27" s="60" t="n">
        <x:v>64.6467</x:v>
      </x:c>
      <x:c r="BM27" s="60" t="n">
        <x:v>64.8682</x:v>
      </x:c>
      <x:c r="BN27" s="60" t="n">
        <x:v>65.0599</x:v>
      </x:c>
      <x:c r="BO27" s="60" t="n">
        <x:v>65.2542</x:v>
      </x:c>
      <x:c r="BP27" s="60" t="n">
        <x:v>65.4423</x:v>
      </x:c>
      <x:c r="BQ27" s="60" t="n">
        <x:v>65.6561</x:v>
      </x:c>
      <x:c r="BR27" s="60" t="n">
        <x:v>65.8517</x:v>
      </x:c>
      <x:c r="BS27" s="60" t="n">
        <x:v>66.0646</x:v>
      </x:c>
      <x:c r="BT27" s="60" t="n">
        <x:v>66.2778</x:v>
      </x:c>
      <x:c r="BU27" s="60" t="n">
        <x:v>66.5184</x:v>
      </x:c>
      <x:c r="BV27" s="60" t="n">
        <x:v>66.7468</x:v>
      </x:c>
      <x:c r="BW27" s="60" t="n">
        <x:v>66.9732</x:v>
      </x:c>
      <x:c r="BX27" s="60" t="n">
        <x:v>67.1837</x:v>
      </x:c>
      <x:c r="BY27" s="60" t="n">
        <x:v>67.3539</x:v>
      </x:c>
      <x:c r="BZ27" s="60" t="n">
        <x:v>67.5483</x:v>
      </x:c>
      <x:c r="CA27" s="60" t="n">
        <x:v>67.7522</x:v>
      </x:c>
      <x:c r="CB27" s="60" t="n">
        <x:v>67.9489</x:v>
      </x:c>
      <x:c r="CC27" s="60" t="n">
        <x:v>68.1721</x:v>
      </x:c>
      <x:c r="CD27" s="60" t="n">
        <x:v>68.3466</x:v>
      </x:c>
      <x:c r="CE27" s="60" t="n">
        <x:v>68.5448</x:v>
      </x:c>
      <x:c r="CF27" s="60" t="n">
        <x:v>68.7747</x:v>
      </x:c>
      <x:c r="CG27" s="60" t="n">
        <x:v>68.9728</x:v>
      </x:c>
      <x:c r="CH27" s="60" t="n">
        <x:v>69.1709</x:v>
      </x:c>
      <x:c r="CI27" s="60" t="n">
        <x:v>69.4059</x:v>
      </x:c>
      <x:c r="CJ27" s="60" t="n">
        <x:v>69.6313</x:v>
      </x:c>
      <x:c r="CK27" s="60" t="n">
        <x:v>69.8854</x:v>
      </x:c>
      <x:c r="CL27" s="60" t="n">
        <x:v>70.1166</x:v>
      </x:c>
      <x:c r="CM27" s="60" t="n">
        <x:v>70.3811</x:v>
      </x:c>
      <x:c r="CN27" s="60" t="n">
        <x:v>70.6106</x:v>
      </x:c>
      <x:c r="CO27" s="60" t="n">
        <x:v>70.8535</x:v>
      </x:c>
      <x:c r="CP27" s="60" t="n">
        <x:v>71.1261</x:v>
      </x:c>
      <x:c r="CQ27" s="60" t="n">
        <x:v>71.3744</x:v>
      </x:c>
      <x:c r="CR27" s="60" t="n">
        <x:v>71.6326</x:v>
      </x:c>
      <x:c r="CS27" s="60" t="n">
        <x:v>71.9251</x:v>
      </x:c>
      <x:c r="CT27" s="60" t="n">
        <x:v>72.241</x:v>
      </x:c>
      <x:c r="CU27" s="60" t="n">
        <x:v>72.5403</x:v>
      </x:c>
      <x:c r="CV27" s="60" t="n">
        <x:v>72.8883</x:v>
      </x:c>
      <x:c r="CW27" s="60" t="n">
        <x:v>73.2888</x:v>
      </x:c>
      <x:c r="CX27" s="60" t="n">
        <x:v>73.7041</x:v>
      </x:c>
      <x:c r="CY27" s="60" t="n">
        <x:v>74.2436</x:v>
      </x:c>
      <x:c r="CZ27" s="60" t="n">
        <x:v>74.8915</x:v>
      </x:c>
      <x:c r="DA27" s="60" t="n">
        <x:v>75.6829</x:v>
      </x:c>
      <x:c r="DB27" s="60" t="n">
        <x:v>81.046</x:v>
      </x:c>
    </x:row>
    <x:row r="28">
      <x:c r="A28" t="str">
        <x:v>フシギバナ-1</x:v>
      </x:c>
      <x:c r="B28" t="str">
        <x:v>フシギバナ</x:v>
      </x:c>
      <x:c r="C28" t="str">
        <x:v>ソーラービーム</x:v>
      </x:c>
      <x:c r="D28" s="60" t="n">
        <x:v>60.5974</x:v>
      </x:c>
      <x:c r="E28" s="60" t="n">
        <x:v>9.3453</x:v>
      </x:c>
      <x:c r="F28" s="60" t="n">
        <x:v>33.9011</x:v>
      </x:c>
      <x:c r="G28" s="60" t="n">
        <x:v>39.719</x:v>
      </x:c>
      <x:c r="H28" s="60" t="n">
        <x:v>41.1572</x:v>
      </x:c>
      <x:c r="I28" s="60" t="n">
        <x:v>42.406</x:v>
      </x:c>
      <x:c r="J28" s="60" t="n">
        <x:v>43.3214</x:v>
      </x:c>
      <x:c r="K28" s="60" t="n">
        <x:v>44.2188</x:v>
      </x:c>
      <x:c r="L28" s="60" t="n">
        <x:v>44.9372</x:v>
      </x:c>
      <x:c r="M28" s="60" t="n">
        <x:v>45.6315</x:v>
      </x:c>
      <x:c r="N28" s="60" t="n">
        <x:v>46.2965</x:v>
      </x:c>
      <x:c r="O28" s="60" t="n">
        <x:v>46.8772</x:v>
      </x:c>
      <x:c r="P28" s="60" t="n">
        <x:v>47.444</x:v>
      </x:c>
      <x:c r="Q28" s="60" t="n">
        <x:v>47.9504</x:v>
      </x:c>
      <x:c r="R28" s="60" t="n">
        <x:v>48.4121</x:v>
      </x:c>
      <x:c r="S28" s="60" t="n">
        <x:v>48.9352</x:v>
      </x:c>
      <x:c r="T28" s="60" t="n">
        <x:v>49.4752</x:v>
      </x:c>
      <x:c r="U28" s="60" t="n">
        <x:v>49.9656</x:v>
      </x:c>
      <x:c r="V28" s="60" t="n">
        <x:v>50.3941</x:v>
      </x:c>
      <x:c r="W28" s="60" t="n">
        <x:v>50.8505</x:v>
      </x:c>
      <x:c r="X28" s="60" t="n">
        <x:v>51.2488</x:v>
      </x:c>
      <x:c r="Y28" s="60" t="n">
        <x:v>51.6283</x:v>
      </x:c>
      <x:c r="Z28" s="60" t="n">
        <x:v>52.0151</x:v>
      </x:c>
      <x:c r="AA28" s="60" t="n">
        <x:v>52.4194</x:v>
      </x:c>
      <x:c r="AB28" s="60" t="n">
        <x:v>52.8269</x:v>
      </x:c>
      <x:c r="AC28" s="60" t="n">
        <x:v>53.1639</x:v>
      </x:c>
      <x:c r="AD28" s="60" t="n">
        <x:v>53.5026</x:v>
      </x:c>
      <x:c r="AE28" s="60" t="n">
        <x:v>53.8522</x:v>
      </x:c>
      <x:c r="AF28" s="60" t="n">
        <x:v>54.1763</x:v>
      </x:c>
      <x:c r="AG28" s="60" t="n">
        <x:v>54.4899</x:v>
      </x:c>
      <x:c r="AH28" s="60" t="n">
        <x:v>54.8356</x:v>
      </x:c>
      <x:c r="AI28" s="60" t="n">
        <x:v>55.2017</x:v>
      </x:c>
      <x:c r="AJ28" s="60" t="n">
        <x:v>55.5256</x:v>
      </x:c>
      <x:c r="AK28" s="60" t="n">
        <x:v>55.8803</x:v>
      </x:c>
      <x:c r="AL28" s="60" t="n">
        <x:v>56.1756</x:v>
      </x:c>
      <x:c r="AM28" s="60" t="n">
        <x:v>56.541</x:v>
      </x:c>
      <x:c r="AN28" s="60" t="n">
        <x:v>56.8171</x:v>
      </x:c>
      <x:c r="AO28" s="60" t="n">
        <x:v>57.0912</x:v>
      </x:c>
      <x:c r="AP28" s="60" t="n">
        <x:v>57.4303</x:v>
      </x:c>
      <x:c r="AQ28" s="60" t="n">
        <x:v>57.7196</x:v>
      </x:c>
      <x:c r="AR28" s="60" t="n">
        <x:v>58.0009</x:v>
      </x:c>
      <x:c r="AS28" s="60" t="n">
        <x:v>58.2561</x:v>
      </x:c>
      <x:c r="AT28" s="60" t="n">
        <x:v>58.5344</x:v>
      </x:c>
      <x:c r="AU28" s="60" t="n">
        <x:v>58.796</x:v>
      </x:c>
      <x:c r="AV28" s="60" t="n">
        <x:v>59.0752</x:v>
      </x:c>
      <x:c r="AW28" s="60" t="n">
        <x:v>59.3524</x:v>
      </x:c>
      <x:c r="AX28" s="60" t="n">
        <x:v>59.6313</x:v>
      </x:c>
      <x:c r="AY28" s="60" t="n">
        <x:v>59.9165</x:v>
      </x:c>
      <x:c r="AZ28" s="60" t="n">
        <x:v>60.2113</x:v>
      </x:c>
      <x:c r="BA28" s="60" t="n">
        <x:v>60.4838</x:v>
      </x:c>
      <x:c r="BB28" s="60" t="n">
        <x:v>60.7697</x:v>
      </x:c>
      <x:c r="BC28" s="60" t="n">
        <x:v>61.0453</x:v>
      </x:c>
      <x:c r="BD28" s="60" t="n">
        <x:v>61.2753</x:v>
      </x:c>
      <x:c r="BE28" s="60" t="n">
        <x:v>61.5403</x:v>
      </x:c>
      <x:c r="BF28" s="60" t="n">
        <x:v>61.8196</x:v>
      </x:c>
      <x:c r="BG28" s="60" t="n">
        <x:v>62.0864</x:v>
      </x:c>
      <x:c r="BH28" s="60" t="n">
        <x:v>62.3733</x:v>
      </x:c>
      <x:c r="BI28" s="60" t="n">
        <x:v>62.6065</x:v>
      </x:c>
      <x:c r="BJ28" s="60" t="n">
        <x:v>62.8589</x:v>
      </x:c>
      <x:c r="BK28" s="60" t="n">
        <x:v>63.1118</x:v>
      </x:c>
      <x:c r="BL28" s="60" t="n">
        <x:v>63.3884</x:v>
      </x:c>
      <x:c r="BM28" s="60" t="n">
        <x:v>63.6385</x:v>
      </x:c>
      <x:c r="BN28" s="60" t="n">
        <x:v>63.8953</x:v>
      </x:c>
      <x:c r="BO28" s="60" t="n">
        <x:v>64.1646</x:v>
      </x:c>
      <x:c r="BP28" s="60" t="n">
        <x:v>64.4006</x:v>
      </x:c>
      <x:c r="BQ28" s="60" t="n">
        <x:v>64.647</x:v>
      </x:c>
      <x:c r="BR28" s="60" t="n">
        <x:v>64.9521</x:v>
      </x:c>
      <x:c r="BS28" s="60" t="n">
        <x:v>65.2128</x:v>
      </x:c>
      <x:c r="BT28" s="60" t="n">
        <x:v>65.4815</x:v>
      </x:c>
      <x:c r="BU28" s="60" t="n">
        <x:v>65.7181</x:v>
      </x:c>
      <x:c r="BV28" s="60" t="n">
        <x:v>65.9968</x:v>
      </x:c>
      <x:c r="BW28" s="60" t="n">
        <x:v>66.2192</x:v>
      </x:c>
      <x:c r="BX28" s="60" t="n">
        <x:v>66.5003</x:v>
      </x:c>
      <x:c r="BY28" s="60" t="n">
        <x:v>66.7582</x:v>
      </x:c>
      <x:c r="BZ28" s="60" t="n">
        <x:v>67.0131</x:v>
      </x:c>
      <x:c r="CA28" s="60" t="n">
        <x:v>67.265</x:v>
      </x:c>
      <x:c r="CB28" s="60" t="n">
        <x:v>67.5281</x:v>
      </x:c>
      <x:c r="CC28" s="60" t="n">
        <x:v>67.8151</x:v>
      </x:c>
      <x:c r="CD28" s="60" t="n">
        <x:v>68.0973</x:v>
      </x:c>
      <x:c r="CE28" s="60" t="n">
        <x:v>68.3704</x:v>
      </x:c>
      <x:c r="CF28" s="60" t="n">
        <x:v>68.672</x:v>
      </x:c>
      <x:c r="CG28" s="60" t="n">
        <x:v>68.8985</x:v>
      </x:c>
      <x:c r="CH28" s="60" t="n">
        <x:v>69.2059</x:v>
      </x:c>
      <x:c r="CI28" s="60" t="n">
        <x:v>69.4755</x:v>
      </x:c>
      <x:c r="CJ28" s="60" t="n">
        <x:v>69.7888</x:v>
      </x:c>
      <x:c r="CK28" s="60" t="n">
        <x:v>70.0921</x:v>
      </x:c>
      <x:c r="CL28" s="60" t="n">
        <x:v>70.3911</x:v>
      </x:c>
      <x:c r="CM28" s="60" t="n">
        <x:v>70.7114</x:v>
      </x:c>
      <x:c r="CN28" s="60" t="n">
        <x:v>71.0939</x:v>
      </x:c>
      <x:c r="CO28" s="60" t="n">
        <x:v>71.4441</x:v>
      </x:c>
      <x:c r="CP28" s="60" t="n">
        <x:v>71.7557</x:v>
      </x:c>
      <x:c r="CQ28" s="60" t="n">
        <x:v>72.1313</x:v>
      </x:c>
      <x:c r="CR28" s="60" t="n">
        <x:v>72.5498</x:v>
      </x:c>
      <x:c r="CS28" s="60" t="n">
        <x:v>72.9501</x:v>
      </x:c>
      <x:c r="CT28" s="60" t="n">
        <x:v>73.4092</x:v>
      </x:c>
      <x:c r="CU28" s="60" t="n">
        <x:v>73.8867</x:v>
      </x:c>
      <x:c r="CV28" s="60" t="n">
        <x:v>74.3483</x:v>
      </x:c>
      <x:c r="CW28" s="60" t="n">
        <x:v>74.8911</x:v>
      </x:c>
      <x:c r="CX28" s="60" t="n">
        <x:v>75.4607</x:v>
      </x:c>
      <x:c r="CY28" s="60" t="n">
        <x:v>76.1585</x:v>
      </x:c>
      <x:c r="CZ28" s="60" t="n">
        <x:v>76.9083</x:v>
      </x:c>
      <x:c r="DA28" s="60" t="n">
        <x:v>77.9046</x:v>
      </x:c>
      <x:c r="DB28" s="60" t="n">
        <x:v>81.6985</x:v>
      </x:c>
    </x:row>
    <x:row r="29">
      <x:c r="A29" t="str">
        <x:v>フシギバナ-2</x:v>
      </x:c>
      <x:c r="B29" t="str">
        <x:v>フシギバナ</x:v>
      </x:c>
      <x:c r="C29" t="str">
        <x:v>はなびらのまい</x:v>
      </x:c>
      <x:c r="D29" s="60" t="n">
        <x:v>62.0884</x:v>
      </x:c>
      <x:c r="E29" s="60" t="n">
        <x:v>8.0223</x:v>
      </x:c>
      <x:c r="F29" s="60" t="n">
        <x:v>37.3057</x:v>
      </x:c>
      <x:c r="G29" s="60" t="n">
        <x:v>43.6698</x:v>
      </x:c>
      <x:c r="H29" s="60" t="n">
        <x:v>44.9782</x:v>
      </x:c>
      <x:c r="I29" s="60" t="n">
        <x:v>45.9758</x:v>
      </x:c>
      <x:c r="J29" s="60" t="n">
        <x:v>46.7279</x:v>
      </x:c>
      <x:c r="K29" s="60" t="n">
        <x:v>47.3928</x:v>
      </x:c>
      <x:c r="L29" s="60" t="n">
        <x:v>48.0866</x:v>
      </x:c>
      <x:c r="M29" s="60" t="n">
        <x:v>48.6936</x:v>
      </x:c>
      <x:c r="N29" s="60" t="n">
        <x:v>49.2559</x:v>
      </x:c>
      <x:c r="O29" s="60" t="n">
        <x:v>49.7521</x:v>
      </x:c>
      <x:c r="P29" s="60" t="n">
        <x:v>50.2938</x:v>
      </x:c>
      <x:c r="Q29" s="60" t="n">
        <x:v>50.7519</x:v>
      </x:c>
      <x:c r="R29" s="60" t="n">
        <x:v>51.2815</x:v>
      </x:c>
      <x:c r="S29" s="60" t="n">
        <x:v>51.7087</x:v>
      </x:c>
      <x:c r="T29" s="60" t="n">
        <x:v>52.1451</x:v>
      </x:c>
      <x:c r="U29" s="60" t="n">
        <x:v>52.6126</x:v>
      </x:c>
      <x:c r="V29" s="60" t="n">
        <x:v>53.0401</x:v>
      </x:c>
      <x:c r="W29" s="60" t="n">
        <x:v>53.4941</x:v>
      </x:c>
      <x:c r="X29" s="60" t="n">
        <x:v>53.8725</x:v>
      </x:c>
      <x:c r="Y29" s="60" t="n">
        <x:v>54.241</x:v>
      </x:c>
      <x:c r="Z29" s="60" t="n">
        <x:v>54.6462</x:v>
      </x:c>
      <x:c r="AA29" s="60" t="n">
        <x:v>55.0458</x:v>
      </x:c>
      <x:c r="AB29" s="60" t="n">
        <x:v>55.4277</x:v>
      </x:c>
      <x:c r="AC29" s="60" t="n">
        <x:v>55.7876</x:v>
      </x:c>
      <x:c r="AD29" s="60" t="n">
        <x:v>56.1056</x:v>
      </x:c>
      <x:c r="AE29" s="60" t="n">
        <x:v>56.4413</x:v>
      </x:c>
      <x:c r="AF29" s="60" t="n">
        <x:v>56.7533</x:v>
      </x:c>
      <x:c r="AG29" s="60" t="n">
        <x:v>57.0791</x:v>
      </x:c>
      <x:c r="AH29" s="60" t="n">
        <x:v>57.376</x:v>
      </x:c>
      <x:c r="AI29" s="60" t="n">
        <x:v>57.6862</x:v>
      </x:c>
      <x:c r="AJ29" s="60" t="n">
        <x:v>58.0011</x:v>
      </x:c>
      <x:c r="AK29" s="60" t="n">
        <x:v>58.2745</x:v>
      </x:c>
      <x:c r="AL29" s="60" t="n">
        <x:v>58.5408</x:v>
      </x:c>
      <x:c r="AM29" s="60" t="n">
        <x:v>58.8256</x:v>
      </x:c>
      <x:c r="AN29" s="60" t="n">
        <x:v>59.093</x:v>
      </x:c>
      <x:c r="AO29" s="60" t="n">
        <x:v>59.3696</x:v>
      </x:c>
      <x:c r="AP29" s="60" t="n">
        <x:v>59.6424</x:v>
      </x:c>
      <x:c r="AQ29" s="60" t="n">
        <x:v>59.8779</x:v>
      </x:c>
      <x:c r="AR29" s="60" t="n">
        <x:v>60.1663</x:v>
      </x:c>
      <x:c r="AS29" s="60" t="n">
        <x:v>60.4286</x:v>
      </x:c>
      <x:c r="AT29" s="60" t="n">
        <x:v>60.6845</x:v>
      </x:c>
      <x:c r="AU29" s="60" t="n">
        <x:v>60.9099</x:v>
      </x:c>
      <x:c r="AV29" s="60" t="n">
        <x:v>61.1337</x:v>
      </x:c>
      <x:c r="AW29" s="60" t="n">
        <x:v>61.3743</x:v>
      </x:c>
      <x:c r="AX29" s="60" t="n">
        <x:v>61.6412</x:v>
      </x:c>
      <x:c r="AY29" s="60" t="n">
        <x:v>61.8729</x:v>
      </x:c>
      <x:c r="AZ29" s="60" t="n">
        <x:v>62.1296</x:v>
      </x:c>
      <x:c r="BA29" s="60" t="n">
        <x:v>62.3528</x:v>
      </x:c>
      <x:c r="BB29" s="60" t="n">
        <x:v>62.5998</x:v>
      </x:c>
      <x:c r="BC29" s="60" t="n">
        <x:v>62.8427</x:v>
      </x:c>
      <x:c r="BD29" s="60" t="n">
        <x:v>63.0638</x:v>
      </x:c>
      <x:c r="BE29" s="60" t="n">
        <x:v>63.2969</x:v>
      </x:c>
      <x:c r="BF29" s="60" t="n">
        <x:v>63.5346</x:v>
      </x:c>
      <x:c r="BG29" s="60" t="n">
        <x:v>63.781</x:v>
      </x:c>
      <x:c r="BH29" s="60" t="n">
        <x:v>64.0098</x:v>
      </x:c>
      <x:c r="BI29" s="60" t="n">
        <x:v>64.2267</x:v>
      </x:c>
      <x:c r="BJ29" s="60" t="n">
        <x:v>64.4388</x:v>
      </x:c>
      <x:c r="BK29" s="60" t="n">
        <x:v>64.6951</x:v>
      </x:c>
      <x:c r="BL29" s="60" t="n">
        <x:v>64.9193</x:v>
      </x:c>
      <x:c r="BM29" s="60" t="n">
        <x:v>65.1228</x:v>
      </x:c>
      <x:c r="BN29" s="60" t="n">
        <x:v>65.345</x:v>
      </x:c>
      <x:c r="BO29" s="60" t="n">
        <x:v>65.6104</x:v>
      </x:c>
      <x:c r="BP29" s="60" t="n">
        <x:v>65.8473</x:v>
      </x:c>
      <x:c r="BQ29" s="60" t="n">
        <x:v>66.0456</x:v>
      </x:c>
      <x:c r="BR29" s="60" t="n">
        <x:v>66.2747</x:v>
      </x:c>
      <x:c r="BS29" s="60" t="n">
        <x:v>66.4936</x:v>
      </x:c>
      <x:c r="BT29" s="60" t="n">
        <x:v>66.7188</x:v>
      </x:c>
      <x:c r="BU29" s="60" t="n">
        <x:v>66.9455</x:v>
      </x:c>
      <x:c r="BV29" s="60" t="n">
        <x:v>67.1569</x:v>
      </x:c>
      <x:c r="BW29" s="60" t="n">
        <x:v>67.3714</x:v>
      </x:c>
      <x:c r="BX29" s="60" t="n">
        <x:v>67.5886</x:v>
      </x:c>
      <x:c r="BY29" s="60" t="n">
        <x:v>67.8055</x:v>
      </x:c>
      <x:c r="BZ29" s="60" t="n">
        <x:v>68.0141</x:v>
      </x:c>
      <x:c r="CA29" s="60" t="n">
        <x:v>68.2617</x:v>
      </x:c>
      <x:c r="CB29" s="60" t="n">
        <x:v>68.4667</x:v>
      </x:c>
      <x:c r="CC29" s="60" t="n">
        <x:v>68.6573</x:v>
      </x:c>
      <x:c r="CD29" s="60" t="n">
        <x:v>68.8869</x:v>
      </x:c>
      <x:c r="CE29" s="60" t="n">
        <x:v>69.085</x:v>
      </x:c>
      <x:c r="CF29" s="60" t="n">
        <x:v>69.2699</x:v>
      </x:c>
      <x:c r="CG29" s="60" t="n">
        <x:v>69.4821</x:v>
      </x:c>
      <x:c r="CH29" s="60" t="n">
        <x:v>69.6972</x:v>
      </x:c>
      <x:c r="CI29" s="60" t="n">
        <x:v>69.8923</x:v>
      </x:c>
      <x:c r="CJ29" s="60" t="n">
        <x:v>70.1421</x:v>
      </x:c>
      <x:c r="CK29" s="60" t="n">
        <x:v>70.3765</x:v>
      </x:c>
      <x:c r="CL29" s="60" t="n">
        <x:v>70.6017</x:v>
      </x:c>
      <x:c r="CM29" s="60" t="n">
        <x:v>70.8177</x:v>
      </x:c>
      <x:c r="CN29" s="60" t="n">
        <x:v>71.0284</x:v>
      </x:c>
      <x:c r="CO29" s="60" t="n">
        <x:v>71.2644</x:v>
      </x:c>
      <x:c r="CP29" s="60" t="n">
        <x:v>71.5001</x:v>
      </x:c>
      <x:c r="CQ29" s="60" t="n">
        <x:v>71.715</x:v>
      </x:c>
      <x:c r="CR29" s="60" t="n">
        <x:v>71.9649</x:v>
      </x:c>
      <x:c r="CS29" s="60" t="n">
        <x:v>72.1891</x:v>
      </x:c>
      <x:c r="CT29" s="60" t="n">
        <x:v>72.4463</x:v>
      </x:c>
      <x:c r="CU29" s="60" t="n">
        <x:v>72.7169</x:v>
      </x:c>
      <x:c r="CV29" s="60" t="n">
        <x:v>72.9684</x:v>
      </x:c>
      <x:c r="CW29" s="60" t="n">
        <x:v>73.3011</x:v>
      </x:c>
      <x:c r="CX29" s="60" t="n">
        <x:v>73.6207</x:v>
      </x:c>
      <x:c r="CY29" s="60" t="n">
        <x:v>73.9623</x:v>
      </x:c>
      <x:c r="CZ29" s="60" t="n">
        <x:v>74.4261</x:v>
      </x:c>
      <x:c r="DA29" s="60" t="n">
        <x:v>75.1289</x:v>
      </x:c>
      <x:c r="DB29" s="60" t="n">
        <x:v>77.9332</x:v>
      </x:c>
    </x:row>
    <x:row r="30">
      <x:c r="A30" t="str">
        <x:v>マフォクシー-1</x:v>
      </x:c>
      <x:c r="B30" t="str">
        <x:v>マフォクシー</x:v>
      </x:c>
      <x:c r="C30" t="str">
        <x:v>ほのおのうず</x:v>
      </x:c>
      <x:c r="D30" s="60" t="n">
        <x:v>60.9289</x:v>
      </x:c>
      <x:c r="E30" s="60" t="n">
        <x:v>7.235</x:v>
      </x:c>
      <x:c r="F30" s="60" t="n">
        <x:v>36.1379</x:v>
      </x:c>
      <x:c r="G30" s="60" t="n">
        <x:v>44.1072</x:v>
      </x:c>
      <x:c r="H30" s="60" t="n">
        <x:v>45.4586</x:v>
      </x:c>
      <x:c r="I30" s="60" t="n">
        <x:v>46.4578</x:v>
      </x:c>
      <x:c r="J30" s="60" t="n">
        <x:v>47.2581</x:v>
      </x:c>
      <x:c r="K30" s="60" t="n">
        <x:v>48.0128</x:v>
      </x:c>
      <x:c r="L30" s="60" t="n">
        <x:v>48.6874</x:v>
      </x:c>
      <x:c r="M30" s="60" t="n">
        <x:v>49.2475</x:v>
      </x:c>
      <x:c r="N30" s="60" t="n">
        <x:v>49.7876</x:v>
      </x:c>
      <x:c r="O30" s="60" t="n">
        <x:v>50.1878</x:v>
      </x:c>
      <x:c r="P30" s="60" t="n">
        <x:v>50.6631</x:v>
      </x:c>
      <x:c r="Q30" s="60" t="n">
        <x:v>51.0773</x:v>
      </x:c>
      <x:c r="R30" s="60" t="n">
        <x:v>51.4658</x:v>
      </x:c>
      <x:c r="S30" s="60" t="n">
        <x:v>51.8383</x:v>
      </x:c>
      <x:c r="T30" s="60" t="n">
        <x:v>52.2146</x:v>
      </x:c>
      <x:c r="U30" s="60" t="n">
        <x:v>52.6018</x:v>
      </x:c>
      <x:c r="V30" s="60" t="n">
        <x:v>52.9684</x:v>
      </x:c>
      <x:c r="W30" s="60" t="n">
        <x:v>53.3626</x:v>
      </x:c>
      <x:c r="X30" s="60" t="n">
        <x:v>53.7065</x:v>
      </x:c>
      <x:c r="Y30" s="60" t="n">
        <x:v>54.0221</x:v>
      </x:c>
      <x:c r="Z30" s="60" t="n">
        <x:v>54.3276</x:v>
      </x:c>
      <x:c r="AA30" s="60" t="n">
        <x:v>54.6551</x:v>
      </x:c>
      <x:c r="AB30" s="60" t="n">
        <x:v>54.9734</x:v>
      </x:c>
      <x:c r="AC30" s="60" t="n">
        <x:v>55.2846</x:v>
      </x:c>
      <x:c r="AD30" s="60" t="n">
        <x:v>55.6076</x:v>
      </x:c>
      <x:c r="AE30" s="60" t="n">
        <x:v>55.8908</x:v>
      </x:c>
      <x:c r="AF30" s="60" t="n">
        <x:v>56.1836</x:v>
      </x:c>
      <x:c r="AG30" s="60" t="n">
        <x:v>56.4519</x:v>
      </x:c>
      <x:c r="AH30" s="60" t="n">
        <x:v>56.7161</x:v>
      </x:c>
      <x:c r="AI30" s="60" t="n">
        <x:v>56.9684</x:v>
      </x:c>
      <x:c r="AJ30" s="60" t="n">
        <x:v>57.2115</x:v>
      </x:c>
      <x:c r="AK30" s="60" t="n">
        <x:v>57.4488</x:v>
      </x:c>
      <x:c r="AL30" s="60" t="n">
        <x:v>57.6805</x:v>
      </x:c>
      <x:c r="AM30" s="60" t="n">
        <x:v>57.9364</x:v>
      </x:c>
      <x:c r="AN30" s="60" t="n">
        <x:v>58.1681</x:v>
      </x:c>
      <x:c r="AO30" s="60" t="n">
        <x:v>58.4038</x:v>
      </x:c>
      <x:c r="AP30" s="60" t="n">
        <x:v>58.6228</x:v>
      </x:c>
      <x:c r="AQ30" s="60" t="n">
        <x:v>58.8373</x:v>
      </x:c>
      <x:c r="AR30" s="60" t="n">
        <x:v>59.1034</x:v>
      </x:c>
      <x:c r="AS30" s="60" t="n">
        <x:v>59.3431</x:v>
      </x:c>
      <x:c r="AT30" s="60" t="n">
        <x:v>59.5912</x:v>
      </x:c>
      <x:c r="AU30" s="60" t="n">
        <x:v>59.8269</x:v>
      </x:c>
      <x:c r="AV30" s="60" t="n">
        <x:v>60.0268</x:v>
      </x:c>
      <x:c r="AW30" s="60" t="n">
        <x:v>60.2362</x:v>
      </x:c>
      <x:c r="AX30" s="60" t="n">
        <x:v>60.4632</x:v>
      </x:c>
      <x:c r="AY30" s="60" t="n">
        <x:v>60.6552</x:v>
      </x:c>
      <x:c r="AZ30" s="60" t="n">
        <x:v>60.8686</x:v>
      </x:c>
      <x:c r="BA30" s="60" t="n">
        <x:v>61.0717</x:v>
      </x:c>
      <x:c r="BB30" s="60" t="n">
        <x:v>61.2819</x:v>
      </x:c>
      <x:c r="BC30" s="60" t="n">
        <x:v>61.4673</x:v>
      </x:c>
      <x:c r="BD30" s="60" t="n">
        <x:v>61.6724</x:v>
      </x:c>
      <x:c r="BE30" s="60" t="n">
        <x:v>61.8674</x:v>
      </x:c>
      <x:c r="BF30" s="60" t="n">
        <x:v>62.0278</x:v>
      </x:c>
      <x:c r="BG30" s="60" t="n">
        <x:v>62.218</x:v>
      </x:c>
      <x:c r="BH30" s="60" t="n">
        <x:v>62.4124</x:v>
      </x:c>
      <x:c r="BI30" s="60" t="n">
        <x:v>62.6289</x:v>
      </x:c>
      <x:c r="BJ30" s="60" t="n">
        <x:v>62.8122</x:v>
      </x:c>
      <x:c r="BK30" s="60" t="n">
        <x:v>63.0333</x:v>
      </x:c>
      <x:c r="BL30" s="60" t="n">
        <x:v>63.222</x:v>
      </x:c>
      <x:c r="BM30" s="60" t="n">
        <x:v>63.3939</x:v>
      </x:c>
      <x:c r="BN30" s="60" t="n">
        <x:v>63.5873</x:v>
      </x:c>
      <x:c r="BO30" s="60" t="n">
        <x:v>63.7694</x:v>
      </x:c>
      <x:c r="BP30" s="60" t="n">
        <x:v>63.9567</x:v>
      </x:c>
      <x:c r="BQ30" s="60" t="n">
        <x:v>64.1526</x:v>
      </x:c>
      <x:c r="BR30" s="60" t="n">
        <x:v>64.3537</x:v>
      </x:c>
      <x:c r="BS30" s="60" t="n">
        <x:v>64.5575</x:v>
      </x:c>
      <x:c r="BT30" s="60" t="n">
        <x:v>64.7513</x:v>
      </x:c>
      <x:c r="BU30" s="60" t="n">
        <x:v>64.9401</x:v>
      </x:c>
      <x:c r="BV30" s="60" t="n">
        <x:v>65.1278</x:v>
      </x:c>
      <x:c r="BW30" s="60" t="n">
        <x:v>65.2937</x:v>
      </x:c>
      <x:c r="BX30" s="60" t="n">
        <x:v>65.4733</x:v>
      </x:c>
      <x:c r="BY30" s="60" t="n">
        <x:v>65.6472</x:v>
      </x:c>
      <x:c r="BZ30" s="60" t="n">
        <x:v>65.8641</x:v>
      </x:c>
      <x:c r="CA30" s="60" t="n">
        <x:v>66.0535</x:v>
      </x:c>
      <x:c r="CB30" s="60" t="n">
        <x:v>66.2521</x:v>
      </x:c>
      <x:c r="CC30" s="60" t="n">
        <x:v>66.4417</x:v>
      </x:c>
      <x:c r="CD30" s="60" t="n">
        <x:v>66.6347</x:v>
      </x:c>
      <x:c r="CE30" s="60" t="n">
        <x:v>66.8652</x:v>
      </x:c>
      <x:c r="CF30" s="60" t="n">
        <x:v>67.096</x:v>
      </x:c>
      <x:c r="CG30" s="60" t="n">
        <x:v>67.296</x:v>
      </x:c>
      <x:c r="CH30" s="60" t="n">
        <x:v>67.5223</x:v>
      </x:c>
      <x:c r="CI30" s="60" t="n">
        <x:v>67.7262</x:v>
      </x:c>
      <x:c r="CJ30" s="60" t="n">
        <x:v>67.9525</x:v>
      </x:c>
      <x:c r="CK30" s="60" t="n">
        <x:v>68.1707</x:v>
      </x:c>
      <x:c r="CL30" s="60" t="n">
        <x:v>68.3937</x:v>
      </x:c>
      <x:c r="CM30" s="60" t="n">
        <x:v>68.6141</x:v>
      </x:c>
      <x:c r="CN30" s="60" t="n">
        <x:v>68.8395</x:v>
      </x:c>
      <x:c r="CO30" s="60" t="n">
        <x:v>69.072</x:v>
      </x:c>
      <x:c r="CP30" s="60" t="n">
        <x:v>69.3502</x:v>
      </x:c>
      <x:c r="CQ30" s="60" t="n">
        <x:v>69.6317</x:v>
      </x:c>
      <x:c r="CR30" s="60" t="n">
        <x:v>69.9144</x:v>
      </x:c>
      <x:c r="CS30" s="60" t="n">
        <x:v>70.2114</x:v>
      </x:c>
      <x:c r="CT30" s="60" t="n">
        <x:v>70.5628</x:v>
      </x:c>
      <x:c r="CU30" s="60" t="n">
        <x:v>70.9043</x:v>
      </x:c>
      <x:c r="CV30" s="60" t="n">
        <x:v>71.2706</x:v>
      </x:c>
      <x:c r="CW30" s="60" t="n">
        <x:v>71.6542</x:v>
      </x:c>
      <x:c r="CX30" s="60" t="n">
        <x:v>72.1358</x:v>
      </x:c>
      <x:c r="CY30" s="60" t="n">
        <x:v>72.6637</x:v>
      </x:c>
      <x:c r="CZ30" s="60" t="n">
        <x:v>73.3847</x:v>
      </x:c>
      <x:c r="DA30" s="60" t="n">
        <x:v>74.3034</x:v>
      </x:c>
      <x:c r="DB30" s="60" t="n">
        <x:v>79.9422</x:v>
      </x:c>
    </x:row>
    <x:row r="31">
      <x:c r="A31" t="str">
        <x:v>マフォクシー-2</x:v>
      </x:c>
      <x:c r="B31" t="str">
        <x:v>マフォクシー</x:v>
      </x:c>
      <x:c r="C31" t="str">
        <x:v>ニトロチャージ</x:v>
      </x:c>
      <x:c r="D31" s="60" t="n">
        <x:v>62.7422</x:v>
      </x:c>
      <x:c r="E31" s="60" t="n">
        <x:v>11.2481</x:v>
      </x:c>
      <x:c r="F31" s="60" t="n">
        <x:v>30.2876</x:v>
      </x:c>
      <x:c r="G31" s="60" t="n">
        <x:v>37.6207</x:v>
      </x:c>
      <x:c r="H31" s="60" t="n">
        <x:v>39.4971</x:v>
      </x:c>
      <x:c r="I31" s="60" t="n">
        <x:v>40.8843</x:v>
      </x:c>
      <x:c r="J31" s="60" t="n">
        <x:v>41.9774</x:v>
      </x:c>
      <x:c r="K31" s="60" t="n">
        <x:v>42.871</x:v>
      </x:c>
      <x:c r="L31" s="60" t="n">
        <x:v>43.784</x:v>
      </x:c>
      <x:c r="M31" s="60" t="n">
        <x:v>44.6273</x:v>
      </x:c>
      <x:c r="N31" s="60" t="n">
        <x:v>45.4092</x:v>
      </x:c>
      <x:c r="O31" s="60" t="n">
        <x:v>46.1225</x:v>
      </x:c>
      <x:c r="P31" s="60" t="n">
        <x:v>46.7526</x:v>
      </x:c>
      <x:c r="Q31" s="60" t="n">
        <x:v>47.4379</x:v>
      </x:c>
      <x:c r="R31" s="60" t="n">
        <x:v>48.0493</x:v>
      </x:c>
      <x:c r="S31" s="60" t="n">
        <x:v>48.7124</x:v>
      </x:c>
      <x:c r="T31" s="60" t="n">
        <x:v>49.277</x:v>
      </x:c>
      <x:c r="U31" s="60" t="n">
        <x:v>49.8033</x:v>
      </x:c>
      <x:c r="V31" s="60" t="n">
        <x:v>50.2803</x:v>
      </x:c>
      <x:c r="W31" s="60" t="n">
        <x:v>50.8627</x:v>
      </x:c>
      <x:c r="X31" s="60" t="n">
        <x:v>51.3449</x:v>
      </x:c>
      <x:c r="Y31" s="60" t="n">
        <x:v>51.8636</x:v>
      </x:c>
      <x:c r="Z31" s="60" t="n">
        <x:v>52.388</x:v>
      </x:c>
      <x:c r="AA31" s="60" t="n">
        <x:v>52.8575</x:v>
      </x:c>
      <x:c r="AB31" s="60" t="n">
        <x:v>53.3575</x:v>
      </x:c>
      <x:c r="AC31" s="60" t="n">
        <x:v>53.8369</x:v>
      </x:c>
      <x:c r="AD31" s="60" t="n">
        <x:v>54.2027</x:v>
      </x:c>
      <x:c r="AE31" s="60" t="n">
        <x:v>54.6131</x:v>
      </x:c>
      <x:c r="AF31" s="60" t="n">
        <x:v>55.0018</x:v>
      </x:c>
      <x:c r="AG31" s="60" t="n">
        <x:v>55.4441</x:v>
      </x:c>
      <x:c r="AH31" s="60" t="n">
        <x:v>55.8565</x:v>
      </x:c>
      <x:c r="AI31" s="60" t="n">
        <x:v>56.2133</x:v>
      </x:c>
      <x:c r="AJ31" s="60" t="n">
        <x:v>56.5683</x:v>
      </x:c>
      <x:c r="AK31" s="60" t="n">
        <x:v>56.9541</x:v>
      </x:c>
      <x:c r="AL31" s="60" t="n">
        <x:v>57.3472</x:v>
      </x:c>
      <x:c r="AM31" s="60" t="n">
        <x:v>57.732</x:v>
      </x:c>
      <x:c r="AN31" s="60" t="n">
        <x:v>58.0815</x:v>
      </x:c>
      <x:c r="AO31" s="60" t="n">
        <x:v>58.446</x:v>
      </x:c>
      <x:c r="AP31" s="60" t="n">
        <x:v>58.8152</x:v>
      </x:c>
      <x:c r="AQ31" s="60" t="n">
        <x:v>59.205</x:v>
      </x:c>
      <x:c r="AR31" s="60" t="n">
        <x:v>59.5529</x:v>
      </x:c>
      <x:c r="AS31" s="60" t="n">
        <x:v>59.902</x:v>
      </x:c>
      <x:c r="AT31" s="60" t="n">
        <x:v>60.2487</x:v>
      </x:c>
      <x:c r="AU31" s="60" t="n">
        <x:v>60.6099</x:v>
      </x:c>
      <x:c r="AV31" s="60" t="n">
        <x:v>60.9543</x:v>
      </x:c>
      <x:c r="AW31" s="60" t="n">
        <x:v>61.2511</x:v>
      </x:c>
      <x:c r="AX31" s="60" t="n">
        <x:v>61.573</x:v>
      </x:c>
      <x:c r="AY31" s="60" t="n">
        <x:v>61.9045</x:v>
      </x:c>
      <x:c r="AZ31" s="60" t="n">
        <x:v>62.23</x:v>
      </x:c>
      <x:c r="BA31" s="60" t="n">
        <x:v>62.5287</x:v>
      </x:c>
      <x:c r="BB31" s="60" t="n">
        <x:v>62.9024</x:v>
      </x:c>
      <x:c r="BC31" s="60" t="n">
        <x:v>63.2247</x:v>
      </x:c>
      <x:c r="BD31" s="60" t="n">
        <x:v>63.5343</x:v>
      </x:c>
      <x:c r="BE31" s="60" t="n">
        <x:v>63.8786</x:v>
      </x:c>
      <x:c r="BF31" s="60" t="n">
        <x:v>64.2495</x:v>
      </x:c>
      <x:c r="BG31" s="60" t="n">
        <x:v>64.5647</x:v>
      </x:c>
      <x:c r="BH31" s="60" t="n">
        <x:v>64.8871</x:v>
      </x:c>
      <x:c r="BI31" s="60" t="n">
        <x:v>65.2314</x:v>
      </x:c>
      <x:c r="BJ31" s="60" t="n">
        <x:v>65.597</x:v>
      </x:c>
      <x:c r="BK31" s="60" t="n">
        <x:v>65.9092</x:v>
      </x:c>
      <x:c r="BL31" s="60" t="n">
        <x:v>66.246</x:v>
      </x:c>
      <x:c r="BM31" s="60" t="n">
        <x:v>66.5854</x:v>
      </x:c>
      <x:c r="BN31" s="60" t="n">
        <x:v>66.9102</x:v>
      </x:c>
      <x:c r="BO31" s="60" t="n">
        <x:v>67.23</x:v>
      </x:c>
      <x:c r="BP31" s="60" t="n">
        <x:v>67.5427</x:v>
      </x:c>
      <x:c r="BQ31" s="60" t="n">
        <x:v>67.8296</x:v>
      </x:c>
      <x:c r="BR31" s="60" t="n">
        <x:v>68.1228</x:v>
      </x:c>
      <x:c r="BS31" s="60" t="n">
        <x:v>68.3996</x:v>
      </x:c>
      <x:c r="BT31" s="60" t="n">
        <x:v>68.7475</x:v>
      </x:c>
      <x:c r="BU31" s="60" t="n">
        <x:v>69.0642</x:v>
      </x:c>
      <x:c r="BV31" s="60" t="n">
        <x:v>69.4073</x:v>
      </x:c>
      <x:c r="BW31" s="60" t="n">
        <x:v>69.7579</x:v>
      </x:c>
      <x:c r="BX31" s="60" t="n">
        <x:v>70.0602</x:v>
      </x:c>
      <x:c r="BY31" s="60" t="n">
        <x:v>70.4062</x:v>
      </x:c>
      <x:c r="BZ31" s="60" t="n">
        <x:v>70.7393</x:v>
      </x:c>
      <x:c r="CA31" s="60" t="n">
        <x:v>71.055</x:v>
      </x:c>
      <x:c r="CB31" s="60" t="n">
        <x:v>71.3791</x:v>
      </x:c>
      <x:c r="CC31" s="60" t="n">
        <x:v>71.6663</x:v>
      </x:c>
      <x:c r="CD31" s="60" t="n">
        <x:v>72.0026</x:v>
      </x:c>
      <x:c r="CE31" s="60" t="n">
        <x:v>72.3352</x:v>
      </x:c>
      <x:c r="CF31" s="60" t="n">
        <x:v>72.7205</x:v>
      </x:c>
      <x:c r="CG31" s="60" t="n">
        <x:v>73.0239</x:v>
      </x:c>
      <x:c r="CH31" s="60" t="n">
        <x:v>73.3918</x:v>
      </x:c>
      <x:c r="CI31" s="60" t="n">
        <x:v>73.7592</x:v>
      </x:c>
      <x:c r="CJ31" s="60" t="n">
        <x:v>74.1237</x:v>
      </x:c>
      <x:c r="CK31" s="60" t="n">
        <x:v>74.4913</x:v>
      </x:c>
      <x:c r="CL31" s="60" t="n">
        <x:v>74.8307</x:v>
      </x:c>
      <x:c r="CM31" s="60" t="n">
        <x:v>75.1815</x:v>
      </x:c>
      <x:c r="CN31" s="60" t="n">
        <x:v>75.5396</x:v>
      </x:c>
      <x:c r="CO31" s="60" t="n">
        <x:v>75.9126</x:v>
      </x:c>
      <x:c r="CP31" s="60" t="n">
        <x:v>76.2756</x:v>
      </x:c>
      <x:c r="CQ31" s="60" t="n">
        <x:v>76.6673</x:v>
      </x:c>
      <x:c r="CR31" s="60" t="n">
        <x:v>77.0644</x:v>
      </x:c>
      <x:c r="CS31" s="60" t="n">
        <x:v>77.4707</x:v>
      </x:c>
      <x:c r="CT31" s="60" t="n">
        <x:v>77.8699</x:v>
      </x:c>
      <x:c r="CU31" s="60" t="n">
        <x:v>78.3954</x:v>
      </x:c>
      <x:c r="CV31" s="60" t="n">
        <x:v>78.9291</x:v>
      </x:c>
      <x:c r="CW31" s="60" t="n">
        <x:v>79.5092</x:v>
      </x:c>
      <x:c r="CX31" s="60" t="n">
        <x:v>80.0442</x:v>
      </x:c>
      <x:c r="CY31" s="60" t="n">
        <x:v>80.7658</x:v>
      </x:c>
      <x:c r="CZ31" s="60" t="n">
        <x:v>81.7096</x:v>
      </x:c>
      <x:c r="DA31" s="60" t="n">
        <x:v>82.9895</x:v>
      </x:c>
      <x:c r="DB31" s="60" t="n">
        <x:v>87.454</x:v>
      </x:c>
    </x:row>
    <x:row r="32">
      <x:c r="A32" t="str">
        <x:v>ミュウ-1</x:v>
      </x:c>
      <x:c r="B32" t="str">
        <x:v>ミュウ</x:v>
      </x:c>
      <x:c r="C32" t="str">
        <x:v>共通</x:v>
      </x:c>
      <x:c r="D32" s="60" t="n">
        <x:v>60.4207</x:v>
      </x:c>
      <x:c r="E32" s="60" t="n">
        <x:v>10.3913</x:v>
      </x:c>
      <x:c r="F32" s="60" t="n">
        <x:v>30.5016</x:v>
      </x:c>
      <x:c r="G32" s="60" t="n">
        <x:v>37.2742</x:v>
      </x:c>
      <x:c r="H32" s="60" t="n">
        <x:v>39.1609</x:v>
      </x:c>
      <x:c r="I32" s="60" t="n">
        <x:v>40.4757</x:v>
      </x:c>
      <x:c r="J32" s="60" t="n">
        <x:v>41.4568</x:v>
      </x:c>
      <x:c r="K32" s="60" t="n">
        <x:v>42.3972</x:v>
      </x:c>
      <x:c r="L32" s="60" t="n">
        <x:v>43.1905</x:v>
      </x:c>
      <x:c r="M32" s="60" t="n">
        <x:v>43.9703</x:v>
      </x:c>
      <x:c r="N32" s="60" t="n">
        <x:v>44.7049</x:v>
      </x:c>
      <x:c r="O32" s="60" t="n">
        <x:v>45.2711</x:v>
      </x:c>
      <x:c r="P32" s="60" t="n">
        <x:v>45.9477</x:v>
      </x:c>
      <x:c r="Q32" s="60" t="n">
        <x:v>46.4832</x:v>
      </x:c>
      <x:c r="R32" s="60" t="n">
        <x:v>47.0397</x:v>
      </x:c>
      <x:c r="S32" s="60" t="n">
        <x:v>47.5851</x:v>
      </x:c>
      <x:c r="T32" s="60" t="n">
        <x:v>48.0798</x:v>
      </x:c>
      <x:c r="U32" s="60" t="n">
        <x:v>48.5034</x:v>
      </x:c>
      <x:c r="V32" s="60" t="n">
        <x:v>49.0208</x:v>
      </x:c>
      <x:c r="W32" s="60" t="n">
        <x:v>49.53</x:v>
      </x:c>
      <x:c r="X32" s="60" t="n">
        <x:v>49.9852</x:v>
      </x:c>
      <x:c r="Y32" s="60" t="n">
        <x:v>50.4379</x:v>
      </x:c>
      <x:c r="Z32" s="60" t="n">
        <x:v>50.9012</x:v>
      </x:c>
      <x:c r="AA32" s="60" t="n">
        <x:v>51.309</x:v>
      </x:c>
      <x:c r="AB32" s="60" t="n">
        <x:v>51.7244</x:v>
      </x:c>
      <x:c r="AC32" s="60" t="n">
        <x:v>52.1247</x:v>
      </x:c>
      <x:c r="AD32" s="60" t="n">
        <x:v>52.5326</x:v>
      </x:c>
      <x:c r="AE32" s="60" t="n">
        <x:v>52.9415</x:v>
      </x:c>
      <x:c r="AF32" s="60" t="n">
        <x:v>53.3002</x:v>
      </x:c>
      <x:c r="AG32" s="60" t="n">
        <x:v>53.6867</x:v>
      </x:c>
      <x:c r="AH32" s="60" t="n">
        <x:v>54.0421</x:v>
      </x:c>
      <x:c r="AI32" s="60" t="n">
        <x:v>54.3729</x:v>
      </x:c>
      <x:c r="AJ32" s="60" t="n">
        <x:v>54.7365</x:v>
      </x:c>
      <x:c r="AK32" s="60" t="n">
        <x:v>55.1018</x:v>
      </x:c>
      <x:c r="AL32" s="60" t="n">
        <x:v>55.4059</x:v>
      </x:c>
      <x:c r="AM32" s="60" t="n">
        <x:v>55.7059</x:v>
      </x:c>
      <x:c r="AN32" s="60" t="n">
        <x:v>56.0231</x:v>
      </x:c>
      <x:c r="AO32" s="60" t="n">
        <x:v>56.3594</x:v>
      </x:c>
      <x:c r="AP32" s="60" t="n">
        <x:v>56.683</x:v>
      </x:c>
      <x:c r="AQ32" s="60" t="n">
        <x:v>57.0426</x:v>
      </x:c>
      <x:c r="AR32" s="60" t="n">
        <x:v>57.3416</x:v>
      </x:c>
      <x:c r="AS32" s="60" t="n">
        <x:v>57.6543</x:v>
      </x:c>
      <x:c r="AT32" s="60" t="n">
        <x:v>58.0219</x:v>
      </x:c>
      <x:c r="AU32" s="60" t="n">
        <x:v>58.3654</x:v>
      </x:c>
      <x:c r="AV32" s="60" t="n">
        <x:v>58.6551</x:v>
      </x:c>
      <x:c r="AW32" s="60" t="n">
        <x:v>58.9573</x:v>
      </x:c>
      <x:c r="AX32" s="60" t="n">
        <x:v>59.2366</x:v>
      </x:c>
      <x:c r="AY32" s="60" t="n">
        <x:v>59.5607</x:v>
      </x:c>
      <x:c r="AZ32" s="60" t="n">
        <x:v>59.8383</x:v>
      </x:c>
      <x:c r="BA32" s="60" t="n">
        <x:v>60.1518</x:v>
      </x:c>
      <x:c r="BB32" s="60" t="n">
        <x:v>60.4431</x:v>
      </x:c>
      <x:c r="BC32" s="60" t="n">
        <x:v>60.7356</x:v>
      </x:c>
      <x:c r="BD32" s="60" t="n">
        <x:v>61.0149</x:v>
      </x:c>
      <x:c r="BE32" s="60" t="n">
        <x:v>61.3031</x:v>
      </x:c>
      <x:c r="BF32" s="60" t="n">
        <x:v>61.5758</x:v>
      </x:c>
      <x:c r="BG32" s="60" t="n">
        <x:v>61.8701</x:v>
      </x:c>
      <x:c r="BH32" s="60" t="n">
        <x:v>62.1593</x:v>
      </x:c>
      <x:c r="BI32" s="60" t="n">
        <x:v>62.4748</x:v>
      </x:c>
      <x:c r="BJ32" s="60" t="n">
        <x:v>62.7621</x:v>
      </x:c>
      <x:c r="BK32" s="60" t="n">
        <x:v>63.0734</x:v>
      </x:c>
      <x:c r="BL32" s="60" t="n">
        <x:v>63.3569</x:v>
      </x:c>
      <x:c r="BM32" s="60" t="n">
        <x:v>63.6408</x:v>
      </x:c>
      <x:c r="BN32" s="60" t="n">
        <x:v>63.9566</x:v>
      </x:c>
      <x:c r="BO32" s="60" t="n">
        <x:v>64.2571</x:v>
      </x:c>
      <x:c r="BP32" s="60" t="n">
        <x:v>64.5668</x:v>
      </x:c>
      <x:c r="BQ32" s="60" t="n">
        <x:v>64.8183</x:v>
      </x:c>
      <x:c r="BR32" s="60" t="n">
        <x:v>65.1266</x:v>
      </x:c>
      <x:c r="BS32" s="60" t="n">
        <x:v>65.4224</x:v>
      </x:c>
      <x:c r="BT32" s="60" t="n">
        <x:v>65.7432</x:v>
      </x:c>
      <x:c r="BU32" s="60" t="n">
        <x:v>66.0206</x:v>
      </x:c>
      <x:c r="BV32" s="60" t="n">
        <x:v>66.3361</x:v>
      </x:c>
      <x:c r="BW32" s="60" t="n">
        <x:v>66.6098</x:v>
      </x:c>
      <x:c r="BX32" s="60" t="n">
        <x:v>66.919</x:v>
      </x:c>
      <x:c r="BY32" s="60" t="n">
        <x:v>67.251</x:v>
      </x:c>
      <x:c r="BZ32" s="60" t="n">
        <x:v>67.5446</x:v>
      </x:c>
      <x:c r="CA32" s="60" t="n">
        <x:v>67.8676</x:v>
      </x:c>
      <x:c r="CB32" s="60" t="n">
        <x:v>68.1801</x:v>
      </x:c>
      <x:c r="CC32" s="60" t="n">
        <x:v>68.4791</x:v>
      </x:c>
      <x:c r="CD32" s="60" t="n">
        <x:v>68.8166</x:v>
      </x:c>
      <x:c r="CE32" s="60" t="n">
        <x:v>69.1168</x:v>
      </x:c>
      <x:c r="CF32" s="60" t="n">
        <x:v>69.4076</x:v>
      </x:c>
      <x:c r="CG32" s="60" t="n">
        <x:v>69.6576</x:v>
      </x:c>
      <x:c r="CH32" s="60" t="n">
        <x:v>70.0433</x:v>
      </x:c>
      <x:c r="CI32" s="60" t="n">
        <x:v>70.4125</x:v>
      </x:c>
      <x:c r="CJ32" s="60" t="n">
        <x:v>70.7093</x:v>
      </x:c>
      <x:c r="CK32" s="60" t="n">
        <x:v>71.0554</x:v>
      </x:c>
      <x:c r="CL32" s="60" t="n">
        <x:v>71.3956</x:v>
      </x:c>
      <x:c r="CM32" s="60" t="n">
        <x:v>71.7753</x:v>
      </x:c>
      <x:c r="CN32" s="60" t="n">
        <x:v>72.1545</x:v>
      </x:c>
      <x:c r="CO32" s="60" t="n">
        <x:v>72.581</x:v>
      </x:c>
      <x:c r="CP32" s="60" t="n">
        <x:v>72.9451</x:v>
      </x:c>
      <x:c r="CQ32" s="60" t="n">
        <x:v>73.3535</x:v>
      </x:c>
      <x:c r="CR32" s="60" t="n">
        <x:v>73.82</x:v>
      </x:c>
      <x:c r="CS32" s="60" t="n">
        <x:v>74.2677</x:v>
      </x:c>
      <x:c r="CT32" s="60" t="n">
        <x:v>74.762</x:v>
      </x:c>
      <x:c r="CU32" s="60" t="n">
        <x:v>75.316</x:v>
      </x:c>
      <x:c r="CV32" s="60" t="n">
        <x:v>75.8651</x:v>
      </x:c>
      <x:c r="CW32" s="60" t="n">
        <x:v>76.482</x:v>
      </x:c>
      <x:c r="CX32" s="60" t="n">
        <x:v>77.1216</x:v>
      </x:c>
      <x:c r="CY32" s="60" t="n">
        <x:v>77.956</x:v>
      </x:c>
      <x:c r="CZ32" s="60" t="n">
        <x:v>78.8946</x:v>
      </x:c>
      <x:c r="DA32" s="60" t="n">
        <x:v>80.0186</x:v>
      </x:c>
      <x:c r="DB32" s="60" t="n">
        <x:v>84.3607</x:v>
      </x:c>
    </x:row>
    <x:row r="33">
      <x:c r="A33" t="str">
        <x:v>ミュウツー(Y)-1</x:v>
      </x:c>
      <x:c r="B33" t="str">
        <x:v>ミュウツー(Y)</x:v>
      </x:c>
      <x:c r="C33" t="str">
        <x:v>共通</x:v>
      </x:c>
      <x:c r="D33" s="60" t="n">
        <x:v>62.0374</x:v>
      </x:c>
      <x:c r="E33" s="60" t="n">
        <x:v>11.1396</x:v>
      </x:c>
      <x:c r="F33" s="60" t="n">
        <x:v>30.8907</x:v>
      </x:c>
      <x:c r="G33" s="60" t="n">
        <x:v>37.4625</x:v>
      </x:c>
      <x:c r="H33" s="60" t="n">
        <x:v>39.1279</x:v>
      </x:c>
      <x:c r="I33" s="60" t="n">
        <x:v>40.4006</x:v>
      </x:c>
      <x:c r="J33" s="60" t="n">
        <x:v>41.4299</x:v>
      </x:c>
      <x:c r="K33" s="60" t="n">
        <x:v>42.4734</x:v>
      </x:c>
      <x:c r="L33" s="60" t="n">
        <x:v>43.3383</x:v>
      </x:c>
      <x:c r="M33" s="60" t="n">
        <x:v>44.1114</x:v>
      </x:c>
      <x:c r="N33" s="60" t="n">
        <x:v>44.8577</x:v>
      </x:c>
      <x:c r="O33" s="60" t="n">
        <x:v>45.5611</x:v>
      </x:c>
      <x:c r="P33" s="60" t="n">
        <x:v>46.2359</x:v>
      </x:c>
      <x:c r="Q33" s="60" t="n">
        <x:v>46.8718</x:v>
      </x:c>
      <x:c r="R33" s="60" t="n">
        <x:v>47.5053</x:v>
      </x:c>
      <x:c r="S33" s="60" t="n">
        <x:v>48.039</x:v>
      </x:c>
      <x:c r="T33" s="60" t="n">
        <x:v>48.6737</x:v>
      </x:c>
      <x:c r="U33" s="60" t="n">
        <x:v>49.299</x:v>
      </x:c>
      <x:c r="V33" s="60" t="n">
        <x:v>49.7699</x:v>
      </x:c>
      <x:c r="W33" s="60" t="n">
        <x:v>50.2752</x:v>
      </x:c>
      <x:c r="X33" s="60" t="n">
        <x:v>50.7777</x:v>
      </x:c>
      <x:c r="Y33" s="60" t="n">
        <x:v>51.2732</x:v>
      </x:c>
      <x:c r="Z33" s="60" t="n">
        <x:v>51.7672</x:v>
      </x:c>
      <x:c r="AA33" s="60" t="n">
        <x:v>52.2097</x:v>
      </x:c>
      <x:c r="AB33" s="60" t="n">
        <x:v>52.6172</x:v>
      </x:c>
      <x:c r="AC33" s="60" t="n">
        <x:v>53.0427</x:v>
      </x:c>
      <x:c r="AD33" s="60" t="n">
        <x:v>53.4122</x:v>
      </x:c>
      <x:c r="AE33" s="60" t="n">
        <x:v>53.8718</x:v>
      </x:c>
      <x:c r="AF33" s="60" t="n">
        <x:v>54.2855</x:v>
      </x:c>
      <x:c r="AG33" s="60" t="n">
        <x:v>54.7704</x:v>
      </x:c>
      <x:c r="AH33" s="60" t="n">
        <x:v>55.1488</x:v>
      </x:c>
      <x:c r="AI33" s="60" t="n">
        <x:v>55.5875</x:v>
      </x:c>
      <x:c r="AJ33" s="60" t="n">
        <x:v>56.0396</x:v>
      </x:c>
      <x:c r="AK33" s="60" t="n">
        <x:v>56.3957</x:v>
      </x:c>
      <x:c r="AL33" s="60" t="n">
        <x:v>56.7989</x:v>
      </x:c>
      <x:c r="AM33" s="60" t="n">
        <x:v>57.1693</x:v>
      </x:c>
      <x:c r="AN33" s="60" t="n">
        <x:v>57.5503</x:v>
      </x:c>
      <x:c r="AO33" s="60" t="n">
        <x:v>57.8949</x:v>
      </x:c>
      <x:c r="AP33" s="60" t="n">
        <x:v>58.2487</x:v>
      </x:c>
      <x:c r="AQ33" s="60" t="n">
        <x:v>58.5783</x:v>
      </x:c>
      <x:c r="AR33" s="60" t="n">
        <x:v>58.8963</x:v>
      </x:c>
      <x:c r="AS33" s="60" t="n">
        <x:v>59.2567</x:v>
      </x:c>
      <x:c r="AT33" s="60" t="n">
        <x:v>59.6036</x:v>
      </x:c>
      <x:c r="AU33" s="60" t="n">
        <x:v>59.9441</x:v>
      </x:c>
      <x:c r="AV33" s="60" t="n">
        <x:v>60.2468</x:v>
      </x:c>
      <x:c r="AW33" s="60" t="n">
        <x:v>60.5735</x:v>
      </x:c>
      <x:c r="AX33" s="60" t="n">
        <x:v>60.9297</x:v>
      </x:c>
      <x:c r="AY33" s="60" t="n">
        <x:v>61.2468</x:v>
      </x:c>
      <x:c r="AZ33" s="60" t="n">
        <x:v>61.5466</x:v>
      </x:c>
      <x:c r="BA33" s="60" t="n">
        <x:v>61.86</x:v>
      </x:c>
      <x:c r="BB33" s="60" t="n">
        <x:v>62.1569</x:v>
      </x:c>
      <x:c r="BC33" s="60" t="n">
        <x:v>62.478</x:v>
      </x:c>
      <x:c r="BD33" s="60" t="n">
        <x:v>62.8267</x:v>
      </x:c>
      <x:c r="BE33" s="60" t="n">
        <x:v>63.1621</x:v>
      </x:c>
      <x:c r="BF33" s="60" t="n">
        <x:v>63.4801</x:v>
      </x:c>
      <x:c r="BG33" s="60" t="n">
        <x:v>63.8392</x:v>
      </x:c>
      <x:c r="BH33" s="60" t="n">
        <x:v>64.137</x:v>
      </x:c>
      <x:c r="BI33" s="60" t="n">
        <x:v>64.4303</x:v>
      </x:c>
      <x:c r="BJ33" s="60" t="n">
        <x:v>64.7262</x:v>
      </x:c>
      <x:c r="BK33" s="60" t="n">
        <x:v>65.0451</x:v>
      </x:c>
      <x:c r="BL33" s="60" t="n">
        <x:v>65.38</x:v>
      </x:c>
      <x:c r="BM33" s="60" t="n">
        <x:v>65.6749</x:v>
      </x:c>
      <x:c r="BN33" s="60" t="n">
        <x:v>66.0103</x:v>
      </x:c>
      <x:c r="BO33" s="60" t="n">
        <x:v>66.3183</x:v>
      </x:c>
      <x:c r="BP33" s="60" t="n">
        <x:v>66.6191</x:v>
      </x:c>
      <x:c r="BQ33" s="60" t="n">
        <x:v>66.9119</x:v>
      </x:c>
      <x:c r="BR33" s="60" t="n">
        <x:v>67.2405</x:v>
      </x:c>
      <x:c r="BS33" s="60" t="n">
        <x:v>67.55</x:v>
      </x:c>
      <x:c r="BT33" s="60" t="n">
        <x:v>67.8375</x:v>
      </x:c>
      <x:c r="BU33" s="60" t="n">
        <x:v>68.1131</x:v>
      </x:c>
      <x:c r="BV33" s="60" t="n">
        <x:v>68.4104</x:v>
      </x:c>
      <x:c r="BW33" s="60" t="n">
        <x:v>68.7505</x:v>
      </x:c>
      <x:c r="BX33" s="60" t="n">
        <x:v>69.0471</x:v>
      </x:c>
      <x:c r="BY33" s="60" t="n">
        <x:v>69.3465</x:v>
      </x:c>
      <x:c r="BZ33" s="60" t="n">
        <x:v>69.6922</x:v>
      </x:c>
      <x:c r="CA33" s="60" t="n">
        <x:v>69.9905</x:v>
      </x:c>
      <x:c r="CB33" s="60" t="n">
        <x:v>70.3655</x:v>
      </x:c>
      <x:c r="CC33" s="60" t="n">
        <x:v>70.7021</x:v>
      </x:c>
      <x:c r="CD33" s="60" t="n">
        <x:v>71.0626</x:v>
      </x:c>
      <x:c r="CE33" s="60" t="n">
        <x:v>71.4517</x:v>
      </x:c>
      <x:c r="CF33" s="60" t="n">
        <x:v>71.7629</x:v>
      </x:c>
      <x:c r="CG33" s="60" t="n">
        <x:v>72.1167</x:v>
      </x:c>
      <x:c r="CH33" s="60" t="n">
        <x:v>72.4381</x:v>
      </x:c>
      <x:c r="CI33" s="60" t="n">
        <x:v>72.7848</x:v>
      </x:c>
      <x:c r="CJ33" s="60" t="n">
        <x:v>73.0886</x:v>
      </x:c>
      <x:c r="CK33" s="60" t="n">
        <x:v>73.4606</x:v>
      </x:c>
      <x:c r="CL33" s="60" t="n">
        <x:v>73.8749</x:v>
      </x:c>
      <x:c r="CM33" s="60" t="n">
        <x:v>74.2347</x:v>
      </x:c>
      <x:c r="CN33" s="60" t="n">
        <x:v>74.6663</x:v>
      </x:c>
      <x:c r="CO33" s="60" t="n">
        <x:v>75.1229</x:v>
      </x:c>
      <x:c r="CP33" s="60" t="n">
        <x:v>75.4926</x:v>
      </x:c>
      <x:c r="CQ33" s="60" t="n">
        <x:v>75.8992</x:v>
      </x:c>
      <x:c r="CR33" s="60" t="n">
        <x:v>76.3029</x:v>
      </x:c>
      <x:c r="CS33" s="60" t="n">
        <x:v>76.7511</x:v>
      </x:c>
      <x:c r="CT33" s="60" t="n">
        <x:v>77.2135</x:v>
      </x:c>
      <x:c r="CU33" s="60" t="n">
        <x:v>77.7713</x:v>
      </x:c>
      <x:c r="CV33" s="60" t="n">
        <x:v>78.2938</x:v>
      </x:c>
      <x:c r="CW33" s="60" t="n">
        <x:v>78.9035</x:v>
      </x:c>
      <x:c r="CX33" s="60" t="n">
        <x:v>79.6156</x:v>
      </x:c>
      <x:c r="CY33" s="60" t="n">
        <x:v>80.4076</x:v>
      </x:c>
      <x:c r="CZ33" s="60" t="n">
        <x:v>81.3228</x:v>
      </x:c>
      <x:c r="DA33" s="60" t="n">
        <x:v>82.7067</x:v>
      </x:c>
      <x:c r="DB33" s="60" t="n">
        <x:v>87.1537</x:v>
      </x:c>
    </x:row>
    <x:row r="34">
      <x:c r="A34" t="str">
        <x:v>ミライドン-1</x:v>
      </x:c>
      <x:c r="B34" t="str">
        <x:v>ミライドン</x:v>
      </x:c>
      <x:c r="C34" t="str">
        <x:v>チャージビーム</x:v>
      </x:c>
      <x:c r="D34" s="60" t="n">
        <x:v>60.7204</x:v>
      </x:c>
      <x:c r="E34" s="60" t="n">
        <x:v>10.3178</x:v>
      </x:c>
      <x:c r="F34" s="60" t="n">
        <x:v>31.6134</x:v>
      </x:c>
      <x:c r="G34" s="60" t="n">
        <x:v>37.8926</x:v>
      </x:c>
      <x:c r="H34" s="60" t="n">
        <x:v>39.4677</x:v>
      </x:c>
      <x:c r="I34" s="60" t="n">
        <x:v>40.686</x:v>
      </x:c>
      <x:c r="J34" s="60" t="n">
        <x:v>41.8527</x:v>
      </x:c>
      <x:c r="K34" s="60" t="n">
        <x:v>42.6796</x:v>
      </x:c>
      <x:c r="L34" s="60" t="n">
        <x:v>43.5131</x:v>
      </x:c>
      <x:c r="M34" s="60" t="n">
        <x:v>44.215</x:v>
      </x:c>
      <x:c r="N34" s="60" t="n">
        <x:v>44.9198</x:v>
      </x:c>
      <x:c r="O34" s="60" t="n">
        <x:v>45.5746</x:v>
      </x:c>
      <x:c r="P34" s="60" t="n">
        <x:v>46.1251</x:v>
      </x:c>
      <x:c r="Q34" s="60" t="n">
        <x:v>46.6981</x:v>
      </x:c>
      <x:c r="R34" s="60" t="n">
        <x:v>47.354</x:v>
      </x:c>
      <x:c r="S34" s="60" t="n">
        <x:v>47.8653</x:v>
      </x:c>
      <x:c r="T34" s="60" t="n">
        <x:v>48.406</x:v>
      </x:c>
      <x:c r="U34" s="60" t="n">
        <x:v>48.9414</x:v>
      </x:c>
      <x:c r="V34" s="60" t="n">
        <x:v>49.3883</x:v>
      </x:c>
      <x:c r="W34" s="60" t="n">
        <x:v>49.8549</x:v>
      </x:c>
      <x:c r="X34" s="60" t="n">
        <x:v>50.3615</x:v>
      </x:c>
      <x:c r="Y34" s="60" t="n">
        <x:v>50.8038</x:v>
      </x:c>
      <x:c r="Z34" s="60" t="n">
        <x:v>51.2125</x:v>
      </x:c>
      <x:c r="AA34" s="60" t="n">
        <x:v>51.6203</x:v>
      </x:c>
      <x:c r="AB34" s="60" t="n">
        <x:v>52.0446</x:v>
      </x:c>
      <x:c r="AC34" s="60" t="n">
        <x:v>52.4907</x:v>
      </x:c>
      <x:c r="AD34" s="60" t="n">
        <x:v>52.8822</x:v>
      </x:c>
      <x:c r="AE34" s="60" t="n">
        <x:v>53.2615</x:v>
      </x:c>
      <x:c r="AF34" s="60" t="n">
        <x:v>53.6336</x:v>
      </x:c>
      <x:c r="AG34" s="60" t="n">
        <x:v>54.0205</x:v>
      </x:c>
      <x:c r="AH34" s="60" t="n">
        <x:v>54.3596</x:v>
      </x:c>
      <x:c r="AI34" s="60" t="n">
        <x:v>54.7269</x:v>
      </x:c>
      <x:c r="AJ34" s="60" t="n">
        <x:v>55.1167</x:v>
      </x:c>
      <x:c r="AK34" s="60" t="n">
        <x:v>55.5202</x:v>
      </x:c>
      <x:c r="AL34" s="60" t="n">
        <x:v>55.8747</x:v>
      </x:c>
      <x:c r="AM34" s="60" t="n">
        <x:v>56.1801</x:v>
      </x:c>
      <x:c r="AN34" s="60" t="n">
        <x:v>56.5436</x:v>
      </x:c>
      <x:c r="AO34" s="60" t="n">
        <x:v>56.8968</x:v>
      </x:c>
      <x:c r="AP34" s="60" t="n">
        <x:v>57.222</x:v>
      </x:c>
      <x:c r="AQ34" s="60" t="n">
        <x:v>57.526</x:v>
      </x:c>
      <x:c r="AR34" s="60" t="n">
        <x:v>57.8433</x:v>
      </x:c>
      <x:c r="AS34" s="60" t="n">
        <x:v>58.1401</x:v>
      </x:c>
      <x:c r="AT34" s="60" t="n">
        <x:v>58.4671</x:v>
      </x:c>
      <x:c r="AU34" s="60" t="n">
        <x:v>58.7775</x:v>
      </x:c>
      <x:c r="AV34" s="60" t="n">
        <x:v>59.064</x:v>
      </x:c>
      <x:c r="AW34" s="60" t="n">
        <x:v>59.3598</x:v>
      </x:c>
      <x:c r="AX34" s="60" t="n">
        <x:v>59.6655</x:v>
      </x:c>
      <x:c r="AY34" s="60" t="n">
        <x:v>59.9315</x:v>
      </x:c>
      <x:c r="AZ34" s="60" t="n">
        <x:v>60.248</x:v>
      </x:c>
      <x:c r="BA34" s="60" t="n">
        <x:v>60.512</x:v>
      </x:c>
      <x:c r="BB34" s="60" t="n">
        <x:v>60.8357</x:v>
      </x:c>
      <x:c r="BC34" s="60" t="n">
        <x:v>61.1342</x:v>
      </x:c>
      <x:c r="BD34" s="60" t="n">
        <x:v>61.4364</x:v>
      </x:c>
      <x:c r="BE34" s="60" t="n">
        <x:v>61.7404</x:v>
      </x:c>
      <x:c r="BF34" s="60" t="n">
        <x:v>62.0429</x:v>
      </x:c>
      <x:c r="BG34" s="60" t="n">
        <x:v>62.2948</x:v>
      </x:c>
      <x:c r="BH34" s="60" t="n">
        <x:v>62.5987</x:v>
      </x:c>
      <x:c r="BI34" s="60" t="n">
        <x:v>62.9126</x:v>
      </x:c>
      <x:c r="BJ34" s="60" t="n">
        <x:v>63.2063</x:v>
      </x:c>
      <x:c r="BK34" s="60" t="n">
        <x:v>63.4672</x:v>
      </x:c>
      <x:c r="BL34" s="60" t="n">
        <x:v>63.7715</x:v>
      </x:c>
      <x:c r="BM34" s="60" t="n">
        <x:v>64.0746</x:v>
      </x:c>
      <x:c r="BN34" s="60" t="n">
        <x:v>64.3512</x:v>
      </x:c>
      <x:c r="BO34" s="60" t="n">
        <x:v>64.6114</x:v>
      </x:c>
      <x:c r="BP34" s="60" t="n">
        <x:v>64.8907</x:v>
      </x:c>
      <x:c r="BQ34" s="60" t="n">
        <x:v>65.1783</x:v>
      </x:c>
      <x:c r="BR34" s="60" t="n">
        <x:v>65.4414</x:v>
      </x:c>
      <x:c r="BS34" s="60" t="n">
        <x:v>65.7361</x:v>
      </x:c>
      <x:c r="BT34" s="60" t="n">
        <x:v>66.0035</x:v>
      </x:c>
      <x:c r="BU34" s="60" t="n">
        <x:v>66.3046</x:v>
      </x:c>
      <x:c r="BV34" s="60" t="n">
        <x:v>66.5601</x:v>
      </x:c>
      <x:c r="BW34" s="60" t="n">
        <x:v>66.8403</x:v>
      </x:c>
      <x:c r="BX34" s="60" t="n">
        <x:v>67.143</x:v>
      </x:c>
      <x:c r="BY34" s="60" t="n">
        <x:v>67.4264</x:v>
      </x:c>
      <x:c r="BZ34" s="60" t="n">
        <x:v>67.7297</x:v>
      </x:c>
      <x:c r="CA34" s="60" t="n">
        <x:v>68.0386</x:v>
      </x:c>
      <x:c r="CB34" s="60" t="n">
        <x:v>68.3331</x:v>
      </x:c>
      <x:c r="CC34" s="60" t="n">
        <x:v>68.6435</x:v>
      </x:c>
      <x:c r="CD34" s="60" t="n">
        <x:v>68.9076</x:v>
      </x:c>
      <x:c r="CE34" s="60" t="n">
        <x:v>69.2144</x:v>
      </x:c>
      <x:c r="CF34" s="60" t="n">
        <x:v>69.5547</x:v>
      </x:c>
      <x:c r="CG34" s="60" t="n">
        <x:v>69.8789</x:v>
      </x:c>
      <x:c r="CH34" s="60" t="n">
        <x:v>70.1972</x:v>
      </x:c>
      <x:c r="CI34" s="60" t="n">
        <x:v>70.4913</x:v>
      </x:c>
      <x:c r="CJ34" s="60" t="n">
        <x:v>70.8401</x:v>
      </x:c>
      <x:c r="CK34" s="60" t="n">
        <x:v>71.2273</x:v>
      </x:c>
      <x:c r="CL34" s="60" t="n">
        <x:v>71.5771</x:v>
      </x:c>
      <x:c r="CM34" s="60" t="n">
        <x:v>71.9303</x:v>
      </x:c>
      <x:c r="CN34" s="60" t="n">
        <x:v>72.2875</x:v>
      </x:c>
      <x:c r="CO34" s="60" t="n">
        <x:v>72.7665</x:v>
      </x:c>
      <x:c r="CP34" s="60" t="n">
        <x:v>73.1547</x:v>
      </x:c>
      <x:c r="CQ34" s="60" t="n">
        <x:v>73.5333</x:v>
      </x:c>
      <x:c r="CR34" s="60" t="n">
        <x:v>73.9765</x:v>
      </x:c>
      <x:c r="CS34" s="60" t="n">
        <x:v>74.4456</x:v>
      </x:c>
      <x:c r="CT34" s="60" t="n">
        <x:v>74.8791</x:v>
      </x:c>
      <x:c r="CU34" s="60" t="n">
        <x:v>75.3627</x:v>
      </x:c>
      <x:c r="CV34" s="60" t="n">
        <x:v>75.901</x:v>
      </x:c>
      <x:c r="CW34" s="60" t="n">
        <x:v>76.6133</x:v>
      </x:c>
      <x:c r="CX34" s="60" t="n">
        <x:v>77.2918</x:v>
      </x:c>
      <x:c r="CY34" s="60" t="n">
        <x:v>78.1095</x:v>
      </x:c>
      <x:c r="CZ34" s="60" t="n">
        <x:v>78.9597</x:v>
      </x:c>
      <x:c r="DA34" s="60" t="n">
        <x:v>80.1005</x:v>
      </x:c>
      <x:c r="DB34" s="60" t="n">
        <x:v>84.8698</x:v>
      </x:c>
    </x:row>
    <x:row r="35">
      <x:c r="A35" t="str">
        <x:v>ミライドン-2</x:v>
      </x:c>
      <x:c r="B35" t="str">
        <x:v>ミライドン</x:v>
      </x:c>
      <x:c r="C35" t="str">
        <x:v>イナズマドライブ</x:v>
      </x:c>
      <x:c r="D35" s="60" t="n">
        <x:v>61.1051</x:v>
      </x:c>
      <x:c r="E35" s="60" t="n">
        <x:v>12.9374</x:v>
      </x:c>
      <x:c r="F35" s="60" t="n">
        <x:v>25.5219</x:v>
      </x:c>
      <x:c r="G35" s="60" t="n">
        <x:v>33.33</x:v>
      </x:c>
      <x:c r="H35" s="60" t="n">
        <x:v>34.8658</x:v>
      </x:c>
      <x:c r="I35" s="60" t="n">
        <x:v>36.1285</x:v>
      </x:c>
      <x:c r="J35" s="60" t="n">
        <x:v>37.2605</x:v>
      </x:c>
      <x:c r="K35" s="60" t="n">
        <x:v>38.2923</x:v>
      </x:c>
      <x:c r="L35" s="60" t="n">
        <x:v>39.31</x:v>
      </x:c>
      <x:c r="M35" s="60" t="n">
        <x:v>40.3376</x:v>
      </x:c>
      <x:c r="N35" s="60" t="n">
        <x:v>41.2102</x:v>
      </x:c>
      <x:c r="O35" s="60" t="n">
        <x:v>42.0116</x:v>
      </x:c>
      <x:c r="P35" s="60" t="n">
        <x:v>42.8533</x:v>
      </x:c>
      <x:c r="Q35" s="60" t="n">
        <x:v>43.6234</x:v>
      </x:c>
      <x:c r="R35" s="60" t="n">
        <x:v>44.3563</x:v>
      </x:c>
      <x:c r="S35" s="60" t="n">
        <x:v>44.99</x:v>
      </x:c>
      <x:c r="T35" s="60" t="n">
        <x:v>45.6945</x:v>
      </x:c>
      <x:c r="U35" s="60" t="n">
        <x:v>46.3196</x:v>
      </x:c>
      <x:c r="V35" s="60" t="n">
        <x:v>46.9258</x:v>
      </x:c>
      <x:c r="W35" s="60" t="n">
        <x:v>47.5015</x:v>
      </x:c>
      <x:c r="X35" s="60" t="n">
        <x:v>48.0756</x:v>
      </x:c>
      <x:c r="Y35" s="60" t="n">
        <x:v>48.6295</x:v>
      </x:c>
      <x:c r="Z35" s="60" t="n">
        <x:v>49.18</x:v>
      </x:c>
      <x:c r="AA35" s="60" t="n">
        <x:v>49.7333</x:v>
      </x:c>
      <x:c r="AB35" s="60" t="n">
        <x:v>50.2275</x:v>
      </x:c>
      <x:c r="AC35" s="60" t="n">
        <x:v>50.6838</x:v>
      </x:c>
      <x:c r="AD35" s="60" t="n">
        <x:v>51.1282</x:v>
      </x:c>
      <x:c r="AE35" s="60" t="n">
        <x:v>51.6109</x:v>
      </x:c>
      <x:c r="AF35" s="60" t="n">
        <x:v>52.0938</x:v>
      </x:c>
      <x:c r="AG35" s="60" t="n">
        <x:v>52.5793</x:v>
      </x:c>
      <x:c r="AH35" s="60" t="n">
        <x:v>53.068</x:v>
      </x:c>
      <x:c r="AI35" s="60" t="n">
        <x:v>53.4667</x:v>
      </x:c>
      <x:c r="AJ35" s="60" t="n">
        <x:v>53.9059</x:v>
      </x:c>
      <x:c r="AK35" s="60" t="n">
        <x:v>54.3596</x:v>
      </x:c>
      <x:c r="AL35" s="60" t="n">
        <x:v>54.8042</x:v>
      </x:c>
      <x:c r="AM35" s="60" t="n">
        <x:v>55.1803</x:v>
      </x:c>
      <x:c r="AN35" s="60" t="n">
        <x:v>55.6061</x:v>
      </x:c>
      <x:c r="AO35" s="60" t="n">
        <x:v>56.0075</x:v>
      </x:c>
      <x:c r="AP35" s="60" t="n">
        <x:v>56.3751</x:v>
      </x:c>
      <x:c r="AQ35" s="60" t="n">
        <x:v>56.8013</x:v>
      </x:c>
      <x:c r="AR35" s="60" t="n">
        <x:v>57.2409</x:v>
      </x:c>
      <x:c r="AS35" s="60" t="n">
        <x:v>57.6822</x:v>
      </x:c>
      <x:c r="AT35" s="60" t="n">
        <x:v>58.0946</x:v>
      </x:c>
      <x:c r="AU35" s="60" t="n">
        <x:v>58.4998</x:v>
      </x:c>
      <x:c r="AV35" s="60" t="n">
        <x:v>58.946</x:v>
      </x:c>
      <x:c r="AW35" s="60" t="n">
        <x:v>59.3169</x:v>
      </x:c>
      <x:c r="AX35" s="60" t="n">
        <x:v>59.7279</x:v>
      </x:c>
      <x:c r="AY35" s="60" t="n">
        <x:v>60.0955</x:v>
      </x:c>
      <x:c r="AZ35" s="60" t="n">
        <x:v>60.4548</x:v>
      </x:c>
      <x:c r="BA35" s="60" t="n">
        <x:v>60.8579</x:v>
      </x:c>
      <x:c r="BB35" s="60" t="n">
        <x:v>61.2368</x:v>
      </x:c>
      <x:c r="BC35" s="60" t="n">
        <x:v>61.5874</x:v>
      </x:c>
      <x:c r="BD35" s="60" t="n">
        <x:v>61.9662</x:v>
      </x:c>
      <x:c r="BE35" s="60" t="n">
        <x:v>62.327</x:v>
      </x:c>
      <x:c r="BF35" s="60" t="n">
        <x:v>62.6617</x:v>
      </x:c>
      <x:c r="BG35" s="60" t="n">
        <x:v>62.9941</x:v>
      </x:c>
      <x:c r="BH35" s="60" t="n">
        <x:v>63.3328</x:v>
      </x:c>
      <x:c r="BI35" s="60" t="n">
        <x:v>63.7089</x:v>
      </x:c>
      <x:c r="BJ35" s="60" t="n">
        <x:v>64.0693</x:v>
      </x:c>
      <x:c r="BK35" s="60" t="n">
        <x:v>64.4318</x:v>
      </x:c>
      <x:c r="BL35" s="60" t="n">
        <x:v>64.822</x:v>
      </x:c>
      <x:c r="BM35" s="60" t="n">
        <x:v>65.2562</x:v>
      </x:c>
      <x:c r="BN35" s="60" t="n">
        <x:v>65.6306</x:v>
      </x:c>
      <x:c r="BO35" s="60" t="n">
        <x:v>65.9971</x:v>
      </x:c>
      <x:c r="BP35" s="60" t="n">
        <x:v>66.356</x:v>
      </x:c>
      <x:c r="BQ35" s="60" t="n">
        <x:v>66.6777</x:v>
      </x:c>
      <x:c r="BR35" s="60" t="n">
        <x:v>67.0565</x:v>
      </x:c>
      <x:c r="BS35" s="60" t="n">
        <x:v>67.4415</x:v>
      </x:c>
      <x:c r="BT35" s="60" t="n">
        <x:v>67.8512</x:v>
      </x:c>
      <x:c r="BU35" s="60" t="n">
        <x:v>68.177</x:v>
      </x:c>
      <x:c r="BV35" s="60" t="n">
        <x:v>68.5474</x:v>
      </x:c>
      <x:c r="BW35" s="60" t="n">
        <x:v>68.9195</x:v>
      </x:c>
      <x:c r="BX35" s="60" t="n">
        <x:v>69.2953</x:v>
      </x:c>
      <x:c r="BY35" s="60" t="n">
        <x:v>69.6767</x:v>
      </x:c>
      <x:c r="BZ35" s="60" t="n">
        <x:v>70.0542</x:v>
      </x:c>
      <x:c r="CA35" s="60" t="n">
        <x:v>70.4287</x:v>
      </x:c>
      <x:c r="CB35" s="60" t="n">
        <x:v>70.7965</x:v>
      </x:c>
      <x:c r="CC35" s="60" t="n">
        <x:v>71.1821</x:v>
      </x:c>
      <x:c r="CD35" s="60" t="n">
        <x:v>71.5563</x:v>
      </x:c>
      <x:c r="CE35" s="60" t="n">
        <x:v>71.9923</x:v>
      </x:c>
      <x:c r="CF35" s="60" t="n">
        <x:v>72.3921</x:v>
      </x:c>
      <x:c r="CG35" s="60" t="n">
        <x:v>72.7724</x:v>
      </x:c>
      <x:c r="CH35" s="60" t="n">
        <x:v>73.1536</x:v>
      </x:c>
      <x:c r="CI35" s="60" t="n">
        <x:v>73.5464</x:v>
      </x:c>
      <x:c r="CJ35" s="60" t="n">
        <x:v>73.9722</x:v>
      </x:c>
      <x:c r="CK35" s="60" t="n">
        <x:v>74.4075</x:v>
      </x:c>
      <x:c r="CL35" s="60" t="n">
        <x:v>74.8572</x:v>
      </x:c>
      <x:c r="CM35" s="60" t="n">
        <x:v>75.2765</x:v>
      </x:c>
      <x:c r="CN35" s="60" t="n">
        <x:v>75.7318</x:v>
      </x:c>
      <x:c r="CO35" s="60" t="n">
        <x:v>76.2073</x:v>
      </x:c>
      <x:c r="CP35" s="60" t="n">
        <x:v>76.7351</x:v>
      </x:c>
      <x:c r="CQ35" s="60" t="n">
        <x:v>77.2273</x:v>
      </x:c>
      <x:c r="CR35" s="60" t="n">
        <x:v>77.7256</x:v>
      </x:c>
      <x:c r="CS35" s="60" t="n">
        <x:v>78.3114</x:v>
      </x:c>
      <x:c r="CT35" s="60" t="n">
        <x:v>78.8491</x:v>
      </x:c>
      <x:c r="CU35" s="60" t="n">
        <x:v>79.5574</x:v>
      </x:c>
      <x:c r="CV35" s="60" t="n">
        <x:v>80.2767</x:v>
      </x:c>
      <x:c r="CW35" s="60" t="n">
        <x:v>80.9788</x:v>
      </x:c>
      <x:c r="CX35" s="60" t="n">
        <x:v>81.8279</x:v>
      </x:c>
      <x:c r="CY35" s="60" t="n">
        <x:v>82.7992</x:v>
      </x:c>
      <x:c r="CZ35" s="60" t="n">
        <x:v>83.9089</x:v>
      </x:c>
      <x:c r="DA35" s="60" t="n">
        <x:v>85.4249</x:v>
      </x:c>
      <x:c r="DB35" s="60" t="n">
        <x:v>89.828</x:v>
      </x:c>
    </x:row>
    <x:row r="36">
      <x:c r="A36" t="str">
        <x:v>ラウドボーン-1</x:v>
      </x:c>
      <x:c r="B36" t="str">
        <x:v>ラウドボーン</x:v>
      </x:c>
      <x:c r="C36" t="str">
        <x:v>共通</x:v>
      </x:c>
      <x:c r="D36" s="60" t="n">
        <x:v>60.0958</x:v>
      </x:c>
      <x:c r="E36" s="60" t="n">
        <x:v>8.4831</x:v>
      </x:c>
      <x:c r="F36" s="60" t="n">
        <x:v>35.8661</x:v>
      </x:c>
      <x:c r="G36" s="60" t="n">
        <x:v>41.1088</x:v>
      </x:c>
      <x:c r="H36" s="60" t="n">
        <x:v>42.575</x:v>
      </x:c>
      <x:c r="I36" s="60" t="n">
        <x:v>43.5609</x:v>
      </x:c>
      <x:c r="J36" s="60" t="n">
        <x:v>44.5322</x:v>
      </x:c>
      <x:c r="K36" s="60" t="n">
        <x:v>45.2933</x:v>
      </x:c>
      <x:c r="L36" s="60" t="n">
        <x:v>45.9689</x:v>
      </x:c>
      <x:c r="M36" s="60" t="n">
        <x:v>46.6002</x:v>
      </x:c>
      <x:c r="N36" s="60" t="n">
        <x:v>47.1525</x:v>
      </x:c>
      <x:c r="O36" s="60" t="n">
        <x:v>47.7258</x:v>
      </x:c>
      <x:c r="P36" s="60" t="n">
        <x:v>48.1905</x:v>
      </x:c>
      <x:c r="Q36" s="60" t="n">
        <x:v>48.6835</x:v>
      </x:c>
      <x:c r="R36" s="60" t="n">
        <x:v>49.1467</x:v>
      </x:c>
      <x:c r="S36" s="60" t="n">
        <x:v>49.554</x:v>
      </x:c>
      <x:c r="T36" s="60" t="n">
        <x:v>50.0009</x:v>
      </x:c>
      <x:c r="U36" s="60" t="n">
        <x:v>50.4148</x:v>
      </x:c>
      <x:c r="V36" s="60" t="n">
        <x:v>50.8101</x:v>
      </x:c>
      <x:c r="W36" s="60" t="n">
        <x:v>51.1868</x:v>
      </x:c>
      <x:c r="X36" s="60" t="n">
        <x:v>51.5635</x:v>
      </x:c>
      <x:c r="Y36" s="60" t="n">
        <x:v>51.9348</x:v>
      </x:c>
      <x:c r="Z36" s="60" t="n">
        <x:v>52.2588</x:v>
      </x:c>
      <x:c r="AA36" s="60" t="n">
        <x:v>52.62</x:v>
      </x:c>
      <x:c r="AB36" s="60" t="n">
        <x:v>52.9823</x:v>
      </x:c>
      <x:c r="AC36" s="60" t="n">
        <x:v>53.3206</x:v>
      </x:c>
      <x:c r="AD36" s="60" t="n">
        <x:v>53.6557</x:v>
      </x:c>
      <x:c r="AE36" s="60" t="n">
        <x:v>53.9649</x:v>
      </x:c>
      <x:c r="AF36" s="60" t="n">
        <x:v>54.3034</x:v>
      </x:c>
      <x:c r="AG36" s="60" t="n">
        <x:v>54.6095</x:v>
      </x:c>
      <x:c r="AH36" s="60" t="n">
        <x:v>54.8594</x:v>
      </x:c>
      <x:c r="AI36" s="60" t="n">
        <x:v>55.1623</x:v>
      </x:c>
      <x:c r="AJ36" s="60" t="n">
        <x:v>55.4399</x:v>
      </x:c>
      <x:c r="AK36" s="60" t="n">
        <x:v>55.7652</x:v>
      </x:c>
      <x:c r="AL36" s="60" t="n">
        <x:v>56.0353</x:v>
      </x:c>
      <x:c r="AM36" s="60" t="n">
        <x:v>56.3361</x:v>
      </x:c>
      <x:c r="AN36" s="60" t="n">
        <x:v>56.6225</x:v>
      </x:c>
      <x:c r="AO36" s="60" t="n">
        <x:v>56.9261</x:v>
      </x:c>
      <x:c r="AP36" s="60" t="n">
        <x:v>57.1794</x:v>
      </x:c>
      <x:c r="AQ36" s="60" t="n">
        <x:v>57.4483</x:v>
      </x:c>
      <x:c r="AR36" s="60" t="n">
        <x:v>57.7102</x:v>
      </x:c>
      <x:c r="AS36" s="60" t="n">
        <x:v>57.9782</x:v>
      </x:c>
      <x:c r="AT36" s="60" t="n">
        <x:v>58.237</x:v>
      </x:c>
      <x:c r="AU36" s="60" t="n">
        <x:v>58.4802</x:v>
      </x:c>
      <x:c r="AV36" s="60" t="n">
        <x:v>58.7118</x:v>
      </x:c>
      <x:c r="AW36" s="60" t="n">
        <x:v>59.0019</x:v>
      </x:c>
      <x:c r="AX36" s="60" t="n">
        <x:v>59.2382</x:v>
      </x:c>
      <x:c r="AY36" s="60" t="n">
        <x:v>59.4873</x:v>
      </x:c>
      <x:c r="AZ36" s="60" t="n">
        <x:v>59.7268</x:v>
      </x:c>
      <x:c r="BA36" s="60" t="n">
        <x:v>59.9989</x:v>
      </x:c>
      <x:c r="BB36" s="60" t="n">
        <x:v>60.2571</x:v>
      </x:c>
      <x:c r="BC36" s="60" t="n">
        <x:v>60.5212</x:v>
      </x:c>
      <x:c r="BD36" s="60" t="n">
        <x:v>60.7462</x:v>
      </x:c>
      <x:c r="BE36" s="60" t="n">
        <x:v>60.9754</x:v>
      </x:c>
      <x:c r="BF36" s="60" t="n">
        <x:v>61.1934</x:v>
      </x:c>
      <x:c r="BG36" s="60" t="n">
        <x:v>61.434</x:v>
      </x:c>
      <x:c r="BH36" s="60" t="n">
        <x:v>61.6781</x:v>
      </x:c>
      <x:c r="BI36" s="60" t="n">
        <x:v>61.9253</x:v>
      </x:c>
      <x:c r="BJ36" s="60" t="n">
        <x:v>62.1691</x:v>
      </x:c>
      <x:c r="BK36" s="60" t="n">
        <x:v>62.3935</x:v>
      </x:c>
      <x:c r="BL36" s="60" t="n">
        <x:v>62.6215</x:v>
      </x:c>
      <x:c r="BM36" s="60" t="n">
        <x:v>62.8519</x:v>
      </x:c>
      <x:c r="BN36" s="60" t="n">
        <x:v>63.093</x:v>
      </x:c>
      <x:c r="BO36" s="60" t="n">
        <x:v>63.315</x:v>
      </x:c>
      <x:c r="BP36" s="60" t="n">
        <x:v>63.5412</x:v>
      </x:c>
      <x:c r="BQ36" s="60" t="n">
        <x:v>63.7538</x:v>
      </x:c>
      <x:c r="BR36" s="60" t="n">
        <x:v>63.9722</x:v>
      </x:c>
      <x:c r="BS36" s="60" t="n">
        <x:v>64.1956</x:v>
      </x:c>
      <x:c r="BT36" s="60" t="n">
        <x:v>64.4154</x:v>
      </x:c>
      <x:c r="BU36" s="60" t="n">
        <x:v>64.6662</x:v>
      </x:c>
      <x:c r="BV36" s="60" t="n">
        <x:v>64.8811</x:v>
      </x:c>
      <x:c r="BW36" s="60" t="n">
        <x:v>65.1361</x:v>
      </x:c>
      <x:c r="BX36" s="60" t="n">
        <x:v>65.371</x:v>
      </x:c>
      <x:c r="BY36" s="60" t="n">
        <x:v>65.6188</x:v>
      </x:c>
      <x:c r="BZ36" s="60" t="n">
        <x:v>65.8734</x:v>
      </x:c>
      <x:c r="CA36" s="60" t="n">
        <x:v>66.1058</x:v>
      </x:c>
      <x:c r="CB36" s="60" t="n">
        <x:v>66.3472</x:v>
      </x:c>
      <x:c r="CC36" s="60" t="n">
        <x:v>66.5956</x:v>
      </x:c>
      <x:c r="CD36" s="60" t="n">
        <x:v>66.851</x:v>
      </x:c>
      <x:c r="CE36" s="60" t="n">
        <x:v>67.0861</x:v>
      </x:c>
      <x:c r="CF36" s="60" t="n">
        <x:v>67.3652</x:v>
      </x:c>
      <x:c r="CG36" s="60" t="n">
        <x:v>67.6174</x:v>
      </x:c>
      <x:c r="CH36" s="60" t="n">
        <x:v>67.8775</x:v>
      </x:c>
      <x:c r="CI36" s="60" t="n">
        <x:v>68.1355</x:v>
      </x:c>
      <x:c r="CJ36" s="60" t="n">
        <x:v>68.4024</x:v>
      </x:c>
      <x:c r="CK36" s="60" t="n">
        <x:v>68.6849</x:v>
      </x:c>
      <x:c r="CL36" s="60" t="n">
        <x:v>68.9998</x:v>
      </x:c>
      <x:c r="CM36" s="60" t="n">
        <x:v>69.289</x:v>
      </x:c>
      <x:c r="CN36" s="60" t="n">
        <x:v>69.5806</x:v>
      </x:c>
      <x:c r="CO36" s="60" t="n">
        <x:v>69.9021</x:v>
      </x:c>
      <x:c r="CP36" s="60" t="n">
        <x:v>70.2252</x:v>
      </x:c>
      <x:c r="CQ36" s="60" t="n">
        <x:v>70.5841</x:v>
      </x:c>
      <x:c r="CR36" s="60" t="n">
        <x:v>70.9216</x:v>
      </x:c>
      <x:c r="CS36" s="60" t="n">
        <x:v>71.3183</x:v>
      </x:c>
      <x:c r="CT36" s="60" t="n">
        <x:v>71.7136</x:v>
      </x:c>
      <x:c r="CU36" s="60" t="n">
        <x:v>72.1556</x:v>
      </x:c>
      <x:c r="CV36" s="60" t="n">
        <x:v>72.627</x:v>
      </x:c>
      <x:c r="CW36" s="60" t="n">
        <x:v>73.1184</x:v>
      </x:c>
      <x:c r="CX36" s="60" t="n">
        <x:v>73.6734</x:v>
      </x:c>
      <x:c r="CY36" s="60" t="n">
        <x:v>74.3343</x:v>
      </x:c>
      <x:c r="CZ36" s="60" t="n">
        <x:v>75.0639</x:v>
      </x:c>
      <x:c r="DA36" s="60" t="n">
        <x:v>76.0215</x:v>
      </x:c>
      <x:c r="DB36" s="60" t="n">
        <x:v>80.3998</x:v>
      </x:c>
    </x:row>
    <x:row r="37">
      <x:c r="A37" t="str">
        <x:v>ラティオス-1</x:v>
      </x:c>
      <x:c r="B37" t="str">
        <x:v>ラティオス</x:v>
      </x:c>
      <x:c r="C37" t="str">
        <x:v>共通</x:v>
      </x:c>
      <x:c r="D37" s="60" t="n">
        <x:v>61.7312</x:v>
      </x:c>
      <x:c r="E37" s="60" t="n">
        <x:v>7.0753</x:v>
      </x:c>
      <x:c r="F37" s="60" t="n">
        <x:v>38.4984</x:v>
      </x:c>
      <x:c r="G37" s="60" t="n">
        <x:v>45.0328</x:v>
      </x:c>
      <x:c r="H37" s="60" t="n">
        <x:v>46.3936</x:v>
      </x:c>
      <x:c r="I37" s="60" t="n">
        <x:v>47.5398</x:v>
      </x:c>
      <x:c r="J37" s="60" t="n">
        <x:v>48.279</x:v>
      </x:c>
      <x:c r="K37" s="60" t="n">
        <x:v>48.9245</x:v>
      </x:c>
      <x:c r="L37" s="60" t="n">
        <x:v>49.5393</x:v>
      </x:c>
      <x:c r="M37" s="60" t="n">
        <x:v>50.0917</x:v>
      </x:c>
      <x:c r="N37" s="60" t="n">
        <x:v>50.6026</x:v>
      </x:c>
      <x:c r="O37" s="60" t="n">
        <x:v>51.087</x:v>
      </x:c>
      <x:c r="P37" s="60" t="n">
        <x:v>51.4978</x:v>
      </x:c>
      <x:c r="Q37" s="60" t="n">
        <x:v>52.0134</x:v>
      </x:c>
      <x:c r="R37" s="60" t="n">
        <x:v>52.4395</x:v>
      </x:c>
      <x:c r="S37" s="60" t="n">
        <x:v>52.875</x:v>
      </x:c>
      <x:c r="T37" s="60" t="n">
        <x:v>53.2392</x:v>
      </x:c>
      <x:c r="U37" s="60" t="n">
        <x:v>53.6028</x:v>
      </x:c>
      <x:c r="V37" s="60" t="n">
        <x:v>53.9378</x:v>
      </x:c>
      <x:c r="W37" s="60" t="n">
        <x:v>54.2926</x:v>
      </x:c>
      <x:c r="X37" s="60" t="n">
        <x:v>54.6307</x:v>
      </x:c>
      <x:c r="Y37" s="60" t="n">
        <x:v>54.9634</x:v>
      </x:c>
      <x:c r="Z37" s="60" t="n">
        <x:v>55.2859</x:v>
      </x:c>
      <x:c r="AA37" s="60" t="n">
        <x:v>55.6415</x:v>
      </x:c>
      <x:c r="AB37" s="60" t="n">
        <x:v>55.9657</x:v>
      </x:c>
      <x:c r="AC37" s="60" t="n">
        <x:v>56.2566</x:v>
      </x:c>
      <x:c r="AD37" s="60" t="n">
        <x:v>56.5598</x:v>
      </x:c>
      <x:c r="AE37" s="60" t="n">
        <x:v>56.8251</x:v>
      </x:c>
      <x:c r="AF37" s="60" t="n">
        <x:v>57.0907</x:v>
      </x:c>
      <x:c r="AG37" s="60" t="n">
        <x:v>57.3547</x:v>
      </x:c>
      <x:c r="AH37" s="60" t="n">
        <x:v>57.615</x:v>
      </x:c>
      <x:c r="AI37" s="60" t="n">
        <x:v>57.8726</x:v>
      </x:c>
      <x:c r="AJ37" s="60" t="n">
        <x:v>58.1207</x:v>
      </x:c>
      <x:c r="AK37" s="60" t="n">
        <x:v>58.3981</x:v>
      </x:c>
      <x:c r="AL37" s="60" t="n">
        <x:v>58.6264</x:v>
      </x:c>
      <x:c r="AM37" s="60" t="n">
        <x:v>58.8899</x:v>
      </x:c>
      <x:c r="AN37" s="60" t="n">
        <x:v>59.0957</x:v>
      </x:c>
      <x:c r="AO37" s="60" t="n">
        <x:v>59.3467</x:v>
      </x:c>
      <x:c r="AP37" s="60" t="n">
        <x:v>59.5792</x:v>
      </x:c>
      <x:c r="AQ37" s="60" t="n">
        <x:v>59.8072</x:v>
      </x:c>
      <x:c r="AR37" s="60" t="n">
        <x:v>60.0167</x:v>
      </x:c>
      <x:c r="AS37" s="60" t="n">
        <x:v>60.2373</x:v>
      </x:c>
      <x:c r="AT37" s="60" t="n">
        <x:v>60.4584</x:v>
      </x:c>
      <x:c r="AU37" s="60" t="n">
        <x:v>60.6763</x:v>
      </x:c>
      <x:c r="AV37" s="60" t="n">
        <x:v>60.8834</x:v>
      </x:c>
      <x:c r="AW37" s="60" t="n">
        <x:v>61.1211</x:v>
      </x:c>
      <x:c r="AX37" s="60" t="n">
        <x:v>61.3402</x:v>
      </x:c>
      <x:c r="AY37" s="60" t="n">
        <x:v>61.5362</x:v>
      </x:c>
      <x:c r="AZ37" s="60" t="n">
        <x:v>61.7334</x:v>
      </x:c>
      <x:c r="BA37" s="60" t="n">
        <x:v>61.936</x:v>
      </x:c>
      <x:c r="BB37" s="60" t="n">
        <x:v>62.1593</x:v>
      </x:c>
      <x:c r="BC37" s="60" t="n">
        <x:v>62.3384</x:v>
      </x:c>
      <x:c r="BD37" s="60" t="n">
        <x:v>62.527</x:v>
      </x:c>
      <x:c r="BE37" s="60" t="n">
        <x:v>62.6861</x:v>
      </x:c>
      <x:c r="BF37" s="60" t="n">
        <x:v>62.8952</x:v>
      </x:c>
      <x:c r="BG37" s="60" t="n">
        <x:v>63.0889</x:v>
      </x:c>
      <x:c r="BH37" s="60" t="n">
        <x:v>63.2975</x:v>
      </x:c>
      <x:c r="BI37" s="60" t="n">
        <x:v>63.4827</x:v>
      </x:c>
      <x:c r="BJ37" s="60" t="n">
        <x:v>63.6611</x:v>
      </x:c>
      <x:c r="BK37" s="60" t="n">
        <x:v>63.8581</x:v>
      </x:c>
      <x:c r="BL37" s="60" t="n">
        <x:v>64.0521</x:v>
      </x:c>
      <x:c r="BM37" s="60" t="n">
        <x:v>64.253</x:v>
      </x:c>
      <x:c r="BN37" s="60" t="n">
        <x:v>64.4361</x:v>
      </x:c>
      <x:c r="BO37" s="60" t="n">
        <x:v>64.6307</x:v>
      </x:c>
      <x:c r="BP37" s="60" t="n">
        <x:v>64.82</x:v>
      </x:c>
      <x:c r="BQ37" s="60" t="n">
        <x:v>65.0019</x:v>
      </x:c>
      <x:c r="BR37" s="60" t="n">
        <x:v>65.1912</x:v>
      </x:c>
      <x:c r="BS37" s="60" t="n">
        <x:v>65.3886</x:v>
      </x:c>
      <x:c r="BT37" s="60" t="n">
        <x:v>65.5771</x:v>
      </x:c>
      <x:c r="BU37" s="60" t="n">
        <x:v>65.7479</x:v>
      </x:c>
      <x:c r="BV37" s="60" t="n">
        <x:v>65.9353</x:v>
      </x:c>
      <x:c r="BW37" s="60" t="n">
        <x:v>66.1367</x:v>
      </x:c>
      <x:c r="BX37" s="60" t="n">
        <x:v>66.313</x:v>
      </x:c>
      <x:c r="BY37" s="60" t="n">
        <x:v>66.4816</x:v>
      </x:c>
      <x:c r="BZ37" s="60" t="n">
        <x:v>66.6668</x:v>
      </x:c>
      <x:c r="CA37" s="60" t="n">
        <x:v>66.8771</x:v>
      </x:c>
      <x:c r="CB37" s="60" t="n">
        <x:v>67.0509</x:v>
      </x:c>
      <x:c r="CC37" s="60" t="n">
        <x:v>67.2561</x:v>
      </x:c>
      <x:c r="CD37" s="60" t="n">
        <x:v>67.4673</x:v>
      </x:c>
      <x:c r="CE37" s="60" t="n">
        <x:v>67.6809</x:v>
      </x:c>
      <x:c r="CF37" s="60" t="n">
        <x:v>67.8639</x:v>
      </x:c>
      <x:c r="CG37" s="60" t="n">
        <x:v>68.0507</x:v>
      </x:c>
      <x:c r="CH37" s="60" t="n">
        <x:v>68.2442</x:v>
      </x:c>
      <x:c r="CI37" s="60" t="n">
        <x:v>68.4386</x:v>
      </x:c>
      <x:c r="CJ37" s="60" t="n">
        <x:v>68.6724</x:v>
      </x:c>
      <x:c r="CK37" s="60" t="n">
        <x:v>68.9027</x:v>
      </x:c>
      <x:c r="CL37" s="60" t="n">
        <x:v>69.1235</x:v>
      </x:c>
      <x:c r="CM37" s="60" t="n">
        <x:v>69.3209</x:v>
      </x:c>
      <x:c r="CN37" s="60" t="n">
        <x:v>69.5116</x:v>
      </x:c>
      <x:c r="CO37" s="60" t="n">
        <x:v>69.7487</x:v>
      </x:c>
      <x:c r="CP37" s="60" t="n">
        <x:v>69.9716</x:v>
      </x:c>
      <x:c r="CQ37" s="60" t="n">
        <x:v>70.1923</x:v>
      </x:c>
      <x:c r="CR37" s="60" t="n">
        <x:v>70.4289</x:v>
      </x:c>
      <x:c r="CS37" s="60" t="n">
        <x:v>70.6962</x:v>
      </x:c>
      <x:c r="CT37" s="60" t="n">
        <x:v>70.9325</x:v>
      </x:c>
      <x:c r="CU37" s="60" t="n">
        <x:v>71.2691</x:v>
      </x:c>
      <x:c r="CV37" s="60" t="n">
        <x:v>71.59</x:v>
      </x:c>
      <x:c r="CW37" s="60" t="n">
        <x:v>72.01</x:v>
      </x:c>
      <x:c r="CX37" s="60" t="n">
        <x:v>72.3835</x:v>
      </x:c>
      <x:c r="CY37" s="60" t="n">
        <x:v>72.8476</x:v>
      </x:c>
      <x:c r="CZ37" s="60" t="n">
        <x:v>73.4076</x:v>
      </x:c>
      <x:c r="DA37" s="60" t="n">
        <x:v>74.245</x:v>
      </x:c>
      <x:c r="DB37" s="60" t="n">
        <x:v>78.0629</x:v>
      </x:c>
    </x:row>
    <x:row r="38">
      <x:c r="A38" t="str">
        <x:v>レシラム-1</x:v>
      </x:c>
      <x:c r="B38" t="str">
        <x:v>レシラム</x:v>
      </x:c>
      <x:c r="C38" t="str">
        <x:v>共通</x:v>
      </x:c>
      <x:c r="D38" s="60" t="n">
        <x:v>63.1744</x:v>
      </x:c>
      <x:c r="E38" s="60" t="n">
        <x:v>10.5353</x:v>
      </x:c>
      <x:c r="F38" s="60" t="n">
        <x:v>30.8813</x:v>
      </x:c>
      <x:c r="G38" s="60" t="n">
        <x:v>39.4928</x:v>
      </x:c>
      <x:c r="H38" s="60" t="n">
        <x:v>41.2552</x:v>
      </x:c>
      <x:c r="I38" s="60" t="n">
        <x:v>42.4293</x:v>
      </x:c>
      <x:c r="J38" s="60" t="n">
        <x:v>43.417</x:v>
      </x:c>
      <x:c r="K38" s="60" t="n">
        <x:v>44.3592</x:v>
      </x:c>
      <x:c r="L38" s="60" t="n">
        <x:v>45.2991</x:v>
      </x:c>
      <x:c r="M38" s="60" t="n">
        <x:v>46.0689</x:v>
      </x:c>
      <x:c r="N38" s="60" t="n">
        <x:v>46.8096</x:v>
      </x:c>
      <x:c r="O38" s="60" t="n">
        <x:v>47.4644</x:v>
      </x:c>
      <x:c r="P38" s="60" t="n">
        <x:v>48.1544</x:v>
      </x:c>
      <x:c r="Q38" s="60" t="n">
        <x:v>48.8113</x:v>
      </x:c>
      <x:c r="R38" s="60" t="n">
        <x:v>49.4416</x:v>
      </x:c>
      <x:c r="S38" s="60" t="n">
        <x:v>50.0358</x:v>
      </x:c>
      <x:c r="T38" s="60" t="n">
        <x:v>50.5281</x:v>
      </x:c>
      <x:c r="U38" s="60" t="n">
        <x:v>51.0131</x:v>
      </x:c>
      <x:c r="V38" s="60" t="n">
        <x:v>51.49</x:v>
      </x:c>
      <x:c r="W38" s="60" t="n">
        <x:v>51.9948</x:v>
      </x:c>
      <x:c r="X38" s="60" t="n">
        <x:v>52.475</x:v>
      </x:c>
      <x:c r="Y38" s="60" t="n">
        <x:v>52.9731</x:v>
      </x:c>
      <x:c r="Z38" s="60" t="n">
        <x:v>53.457</x:v>
      </x:c>
      <x:c r="AA38" s="60" t="n">
        <x:v>53.9078</x:v>
      </x:c>
      <x:c r="AB38" s="60" t="n">
        <x:v>54.353</x:v>
      </x:c>
      <x:c r="AC38" s="60" t="n">
        <x:v>54.7716</x:v>
      </x:c>
      <x:c r="AD38" s="60" t="n">
        <x:v>55.1656</x:v>
      </x:c>
      <x:c r="AE38" s="60" t="n">
        <x:v>55.5337</x:v>
      </x:c>
      <x:c r="AF38" s="60" t="n">
        <x:v>55.9454</x:v>
      </x:c>
      <x:c r="AG38" s="60" t="n">
        <x:v>56.3341</x:v>
      </x:c>
      <x:c r="AH38" s="60" t="n">
        <x:v>56.7038</x:v>
      </x:c>
      <x:c r="AI38" s="60" t="n">
        <x:v>57.0976</x:v>
      </x:c>
      <x:c r="AJ38" s="60" t="n">
        <x:v>57.4948</x:v>
      </x:c>
      <x:c r="AK38" s="60" t="n">
        <x:v>57.858</x:v>
      </x:c>
      <x:c r="AL38" s="60" t="n">
        <x:v>58.2153</x:v>
      </x:c>
      <x:c r="AM38" s="60" t="n">
        <x:v>58.5775</x:v>
      </x:c>
      <x:c r="AN38" s="60" t="n">
        <x:v>58.9346</x:v>
      </x:c>
      <x:c r="AO38" s="60" t="n">
        <x:v>59.2774</x:v>
      </x:c>
      <x:c r="AP38" s="60" t="n">
        <x:v>59.6359</x:v>
      </x:c>
      <x:c r="AQ38" s="60" t="n">
        <x:v>59.9625</x:v>
      </x:c>
      <x:c r="AR38" s="60" t="n">
        <x:v>60.3142</x:v>
      </x:c>
      <x:c r="AS38" s="60" t="n">
        <x:v>60.6408</x:v>
      </x:c>
      <x:c r="AT38" s="60" t="n">
        <x:v>60.9773</x:v>
      </x:c>
      <x:c r="AU38" s="60" t="n">
        <x:v>61.2855</x:v>
      </x:c>
      <x:c r="AV38" s="60" t="n">
        <x:v>61.6156</x:v>
      </x:c>
      <x:c r="AW38" s="60" t="n">
        <x:v>61.9562</x:v>
      </x:c>
      <x:c r="AX38" s="60" t="n">
        <x:v>62.3147</x:v>
      </x:c>
      <x:c r="AY38" s="60" t="n">
        <x:v>62.5879</x:v>
      </x:c>
      <x:c r="AZ38" s="60" t="n">
        <x:v>62.8945</x:v>
      </x:c>
      <x:c r="BA38" s="60" t="n">
        <x:v>63.2411</x:v>
      </x:c>
      <x:c r="BB38" s="60" t="n">
        <x:v>63.5397</x:v>
      </x:c>
      <x:c r="BC38" s="60" t="n">
        <x:v>63.864</x:v>
      </x:c>
      <x:c r="BD38" s="60" t="n">
        <x:v>64.1575</x:v>
      </x:c>
      <x:c r="BE38" s="60" t="n">
        <x:v>64.4737</x:v>
      </x:c>
      <x:c r="BF38" s="60" t="n">
        <x:v>64.7654</x:v>
      </x:c>
      <x:c r="BG38" s="60" t="n">
        <x:v>65.0413</x:v>
      </x:c>
      <x:c r="BH38" s="60" t="n">
        <x:v>65.345</x:v>
      </x:c>
      <x:c r="BI38" s="60" t="n">
        <x:v>65.6687</x:v>
      </x:c>
      <x:c r="BJ38" s="60" t="n">
        <x:v>65.9785</x:v>
      </x:c>
      <x:c r="BK38" s="60" t="n">
        <x:v>66.2647</x:v>
      </x:c>
      <x:c r="BL38" s="60" t="n">
        <x:v>66.5633</x:v>
      </x:c>
      <x:c r="BM38" s="60" t="n">
        <x:v>66.8626</x:v>
      </x:c>
      <x:c r="BN38" s="60" t="n">
        <x:v>67.1564</x:v>
      </x:c>
      <x:c r="BO38" s="60" t="n">
        <x:v>67.4628</x:v>
      </x:c>
      <x:c r="BP38" s="60" t="n">
        <x:v>67.7395</x:v>
      </x:c>
      <x:c r="BQ38" s="60" t="n">
        <x:v>68.003</x:v>
      </x:c>
      <x:c r="BR38" s="60" t="n">
        <x:v>68.2967</x:v>
      </x:c>
      <x:c r="BS38" s="60" t="n">
        <x:v>68.5717</x:v>
      </x:c>
      <x:c r="BT38" s="60" t="n">
        <x:v>68.85</x:v>
      </x:c>
      <x:c r="BU38" s="60" t="n">
        <x:v>69.1369</x:v>
      </x:c>
      <x:c r="BV38" s="60" t="n">
        <x:v>69.4029</x:v>
      </x:c>
      <x:c r="BW38" s="60" t="n">
        <x:v>69.6894</x:v>
      </x:c>
      <x:c r="BX38" s="60" t="n">
        <x:v>70.02</x:v>
      </x:c>
      <x:c r="BY38" s="60" t="n">
        <x:v>70.3264</x:v>
      </x:c>
      <x:c r="BZ38" s="60" t="n">
        <x:v>70.6071</x:v>
      </x:c>
      <x:c r="CA38" s="60" t="n">
        <x:v>70.9098</x:v>
      </x:c>
      <x:c r="CB38" s="60" t="n">
        <x:v>71.2308</x:v>
      </x:c>
      <x:c r="CC38" s="60" t="n">
        <x:v>71.5341</x:v>
      </x:c>
      <x:c r="CD38" s="60" t="n">
        <x:v>71.8176</x:v>
      </x:c>
      <x:c r="CE38" s="60" t="n">
        <x:v>72.1131</x:v>
      </x:c>
      <x:c r="CF38" s="60" t="n">
        <x:v>72.4027</x:v>
      </x:c>
      <x:c r="CG38" s="60" t="n">
        <x:v>72.6912</x:v>
      </x:c>
      <x:c r="CH38" s="60" t="n">
        <x:v>73.0268</x:v>
      </x:c>
      <x:c r="CI38" s="60" t="n">
        <x:v>73.309</x:v>
      </x:c>
      <x:c r="CJ38" s="60" t="n">
        <x:v>73.616</x:v>
      </x:c>
      <x:c r="CK38" s="60" t="n">
        <x:v>73.9447</x:v>
      </x:c>
      <x:c r="CL38" s="60" t="n">
        <x:v>74.2776</x:v>
      </x:c>
      <x:c r="CM38" s="60" t="n">
        <x:v>74.6281</x:v>
      </x:c>
      <x:c r="CN38" s="60" t="n">
        <x:v>74.9856</x:v>
      </x:c>
      <x:c r="CO38" s="60" t="n">
        <x:v>75.3439</x:v>
      </x:c>
      <x:c r="CP38" s="60" t="n">
        <x:v>75.7304</x:v>
      </x:c>
      <x:c r="CQ38" s="60" t="n">
        <x:v>76.0756</x:v>
      </x:c>
      <x:c r="CR38" s="60" t="n">
        <x:v>76.4802</x:v>
      </x:c>
      <x:c r="CS38" s="60" t="n">
        <x:v>76.8634</x:v>
      </x:c>
      <x:c r="CT38" s="60" t="n">
        <x:v>77.2798</x:v>
      </x:c>
      <x:c r="CU38" s="60" t="n">
        <x:v>77.7536</x:v>
      </x:c>
      <x:c r="CV38" s="60" t="n">
        <x:v>78.1862</x:v>
      </x:c>
      <x:c r="CW38" s="60" t="n">
        <x:v>78.7059</x:v>
      </x:c>
      <x:c r="CX38" s="60" t="n">
        <x:v>79.2882</x:v>
      </x:c>
      <x:c r="CY38" s="60" t="n">
        <x:v>79.9853</x:v>
      </x:c>
      <x:c r="CZ38" s="60" t="n">
        <x:v>80.8175</x:v>
      </x:c>
      <x:c r="DA38" s="60" t="n">
        <x:v>81.9688</x:v>
      </x:c>
      <x:c r="DB38" s="60" t="n">
        <x:v>86.905</x:v>
      </x:c>
    </x:row>
    <x:row r="39">
      <x:c r="A39" t="str">
        <x:v>ストリンダー-1</x:v>
      </x:c>
      <x:c r="B39" t="str">
        <x:v>ストリンダー</x:v>
      </x:c>
      <x:c r="C39" t="str">
        <x:v>共通</x:v>
      </x:c>
      <x:c r="D39" s="60" t="n">
        <x:v>61.9672</x:v>
      </x:c>
      <x:c r="E39" s="60" t="n">
        <x:v>11.0639</x:v>
      </x:c>
      <x:c r="F39" s="60" t="n">
        <x:v>30.2763</x:v>
      </x:c>
      <x:c r="G39" s="60" t="n">
        <x:v>37.5173</x:v>
      </x:c>
      <x:c r="H39" s="60" t="n">
        <x:v>39.0634</x:v>
      </x:c>
      <x:c r="I39" s="60" t="n">
        <x:v>40.2249</x:v>
      </x:c>
      <x:c r="J39" s="60" t="n">
        <x:v>41.3763</x:v>
      </x:c>
      <x:c r="K39" s="60" t="n">
        <x:v>42.4917</x:v>
      </x:c>
      <x:c r="L39" s="60" t="n">
        <x:v>43.3034</x:v>
      </x:c>
      <x:c r="M39" s="60" t="n">
        <x:v>44.1445</x:v>
      </x:c>
      <x:c r="N39" s="60" t="n">
        <x:v>44.9671</x:v>
      </x:c>
      <x:c r="O39" s="60" t="n">
        <x:v>45.7557</x:v>
      </x:c>
      <x:c r="P39" s="60" t="n">
        <x:v>46.3462</x:v>
      </x:c>
      <x:c r="Q39" s="60" t="n">
        <x:v>46.9564</x:v>
      </x:c>
      <x:c r="R39" s="60" t="n">
        <x:v>47.5446</x:v>
      </x:c>
      <x:c r="S39" s="60" t="n">
        <x:v>48.1721</x:v>
      </x:c>
      <x:c r="T39" s="60" t="n">
        <x:v>48.7598</x:v>
      </x:c>
      <x:c r="U39" s="60" t="n">
        <x:v>49.2976</x:v>
      </x:c>
      <x:c r="V39" s="60" t="n">
        <x:v>49.8328</x:v>
      </x:c>
      <x:c r="W39" s="60" t="n">
        <x:v>50.3795</x:v>
      </x:c>
      <x:c r="X39" s="60" t="n">
        <x:v>50.8342</x:v>
      </x:c>
      <x:c r="Y39" s="60" t="n">
        <x:v>51.3535</x:v>
      </x:c>
      <x:c r="Z39" s="60" t="n">
        <x:v>51.8353</x:v>
      </x:c>
      <x:c r="AA39" s="60" t="n">
        <x:v>52.3061</x:v>
      </x:c>
      <x:c r="AB39" s="60" t="n">
        <x:v>52.7422</x:v>
      </x:c>
      <x:c r="AC39" s="60" t="n">
        <x:v>53.1467</x:v>
      </x:c>
      <x:c r="AD39" s="60" t="n">
        <x:v>53.5787</x:v>
      </x:c>
      <x:c r="AE39" s="60" t="n">
        <x:v>54.0272</x:v>
      </x:c>
      <x:c r="AF39" s="60" t="n">
        <x:v>54.4218</x:v>
      </x:c>
      <x:c r="AG39" s="60" t="n">
        <x:v>54.7963</x:v>
      </x:c>
      <x:c r="AH39" s="60" t="n">
        <x:v>55.2275</x:v>
      </x:c>
      <x:c r="AI39" s="60" t="n">
        <x:v>55.6188</x:v>
      </x:c>
      <x:c r="AJ39" s="60" t="n">
        <x:v>55.9898</x:v>
      </x:c>
      <x:c r="AK39" s="60" t="n">
        <x:v>56.3011</x:v>
      </x:c>
      <x:c r="AL39" s="60" t="n">
        <x:v>56.6681</x:v>
      </x:c>
      <x:c r="AM39" s="60" t="n">
        <x:v>57.0157</x:v>
      </x:c>
      <x:c r="AN39" s="60" t="n">
        <x:v>57.3803</x:v>
      </x:c>
      <x:c r="AO39" s="60" t="n">
        <x:v>57.7178</x:v>
      </x:c>
      <x:c r="AP39" s="60" t="n">
        <x:v>58.0779</x:v>
      </x:c>
      <x:c r="AQ39" s="60" t="n">
        <x:v>58.4641</x:v>
      </x:c>
      <x:c r="AR39" s="60" t="n">
        <x:v>58.8075</x:v>
      </x:c>
      <x:c r="AS39" s="60" t="n">
        <x:v>59.1693</x:v>
      </x:c>
      <x:c r="AT39" s="60" t="n">
        <x:v>59.5126</x:v>
      </x:c>
      <x:c r="AU39" s="60" t="n">
        <x:v>59.8508</x:v>
      </x:c>
      <x:c r="AV39" s="60" t="n">
        <x:v>60.1885</x:v>
      </x:c>
      <x:c r="AW39" s="60" t="n">
        <x:v>60.5349</x:v>
      </x:c>
      <x:c r="AX39" s="60" t="n">
        <x:v>60.8817</x:v>
      </x:c>
      <x:c r="AY39" s="60" t="n">
        <x:v>61.1722</x:v>
      </x:c>
      <x:c r="AZ39" s="60" t="n">
        <x:v>61.4792</x:v>
      </x:c>
      <x:c r="BA39" s="60" t="n">
        <x:v>61.7945</x:v>
      </x:c>
      <x:c r="BB39" s="60" t="n">
        <x:v>62.0954</x:v>
      </x:c>
      <x:c r="BC39" s="60" t="n">
        <x:v>62.4106</x:v>
      </x:c>
      <x:c r="BD39" s="60" t="n">
        <x:v>62.7726</x:v>
      </x:c>
      <x:c r="BE39" s="60" t="n">
        <x:v>63.0709</x:v>
      </x:c>
      <x:c r="BF39" s="60" t="n">
        <x:v>63.3834</x:v>
      </x:c>
      <x:c r="BG39" s="60" t="n">
        <x:v>63.7201</x:v>
      </x:c>
      <x:c r="BH39" s="60" t="n">
        <x:v>64.0079</x:v>
      </x:c>
      <x:c r="BI39" s="60" t="n">
        <x:v>64.3229</x:v>
      </x:c>
      <x:c r="BJ39" s="60" t="n">
        <x:v>64.6468</x:v>
      </x:c>
      <x:c r="BK39" s="60" t="n">
        <x:v>64.9983</x:v>
      </x:c>
      <x:c r="BL39" s="60" t="n">
        <x:v>65.3005</x:v>
      </x:c>
      <x:c r="BM39" s="60" t="n">
        <x:v>65.5967</x:v>
      </x:c>
      <x:c r="BN39" s="60" t="n">
        <x:v>65.8801</x:v>
      </x:c>
      <x:c r="BO39" s="60" t="n">
        <x:v>66.1795</x:v>
      </x:c>
      <x:c r="BP39" s="60" t="n">
        <x:v>66.4873</x:v>
      </x:c>
      <x:c r="BQ39" s="60" t="n">
        <x:v>66.8186</x:v>
      </x:c>
      <x:c r="BR39" s="60" t="n">
        <x:v>67.1136</x:v>
      </x:c>
      <x:c r="BS39" s="60" t="n">
        <x:v>67.4455</x:v>
      </x:c>
      <x:c r="BT39" s="60" t="n">
        <x:v>67.7602</x:v>
      </x:c>
      <x:c r="BU39" s="60" t="n">
        <x:v>68.0767</x:v>
      </x:c>
      <x:c r="BV39" s="60" t="n">
        <x:v>68.3821</x:v>
      </x:c>
      <x:c r="BW39" s="60" t="n">
        <x:v>68.6694</x:v>
      </x:c>
      <x:c r="BX39" s="60" t="n">
        <x:v>68.9436</x:v>
      </x:c>
      <x:c r="BY39" s="60" t="n">
        <x:v>69.2704</x:v>
      </x:c>
      <x:c r="BZ39" s="60" t="n">
        <x:v>69.6201</x:v>
      </x:c>
      <x:c r="CA39" s="60" t="n">
        <x:v>69.9415</x:v>
      </x:c>
      <x:c r="CB39" s="60" t="n">
        <x:v>70.298</x:v>
      </x:c>
      <x:c r="CC39" s="60" t="n">
        <x:v>70.6035</x:v>
      </x:c>
      <x:c r="CD39" s="60" t="n">
        <x:v>70.9308</x:v>
      </x:c>
      <x:c r="CE39" s="60" t="n">
        <x:v>71.2433</x:v>
      </x:c>
      <x:c r="CF39" s="60" t="n">
        <x:v>71.5931</x:v>
      </x:c>
      <x:c r="CG39" s="60" t="n">
        <x:v>71.8921</x:v>
      </x:c>
      <x:c r="CH39" s="60" t="n">
        <x:v>72.2439</x:v>
      </x:c>
      <x:c r="CI39" s="60" t="n">
        <x:v>72.6054</x:v>
      </x:c>
      <x:c r="CJ39" s="60" t="n">
        <x:v>72.9604</x:v>
      </x:c>
      <x:c r="CK39" s="60" t="n">
        <x:v>73.3135</x:v>
      </x:c>
      <x:c r="CL39" s="60" t="n">
        <x:v>73.7249</x:v>
      </x:c>
      <x:c r="CM39" s="60" t="n">
        <x:v>74.0973</x:v>
      </x:c>
      <x:c r="CN39" s="60" t="n">
        <x:v>74.45</x:v>
      </x:c>
      <x:c r="CO39" s="60" t="n">
        <x:v>74.8154</x:v>
      </x:c>
      <x:c r="CP39" s="60" t="n">
        <x:v>75.3113</x:v>
      </x:c>
      <x:c r="CQ39" s="60" t="n">
        <x:v>75.7141</x:v>
      </x:c>
      <x:c r="CR39" s="60" t="n">
        <x:v>76.1428</x:v>
      </x:c>
      <x:c r="CS39" s="60" t="n">
        <x:v>76.6084</x:v>
      </x:c>
      <x:c r="CT39" s="60" t="n">
        <x:v>77.146</x:v>
      </x:c>
      <x:c r="CU39" s="60" t="n">
        <x:v>77.6603</x:v>
      </x:c>
      <x:c r="CV39" s="60" t="n">
        <x:v>78.1776</x:v>
      </x:c>
      <x:c r="CW39" s="60" t="n">
        <x:v>78.8053</x:v>
      </x:c>
      <x:c r="CX39" s="60" t="n">
        <x:v>79.4083</x:v>
      </x:c>
      <x:c r="CY39" s="60" t="n">
        <x:v>80.1065</x:v>
      </x:c>
      <x:c r="CZ39" s="60" t="n">
        <x:v>81.0696</x:v>
      </x:c>
      <x:c r="DA39" s="60" t="n">
        <x:v>82.3234</x:v>
      </x:c>
      <x:c r="DB39" s="60" t="n">
        <x:v>87.8554</x:v>
      </x:c>
    </x:row>
    <x:row r="40">
      <x:c r="A40" t="str">
        <x:v>アマージョ-1</x:v>
      </x:c>
      <x:c r="B40" t="str">
        <x:v>アマージョ</x:v>
      </x:c>
      <x:c r="C40" t="str">
        <x:v>共通</x:v>
      </x:c>
      <x:c r="D40" s="60" t="n">
        <x:v>61.5327</x:v>
      </x:c>
      <x:c r="E40" s="60" t="n">
        <x:v>12.1394</x:v>
      </x:c>
      <x:c r="F40" s="60" t="n">
        <x:v>26.1803</x:v>
      </x:c>
      <x:c r="G40" s="60" t="n">
        <x:v>34.9935</x:v>
      </x:c>
      <x:c r="H40" s="60" t="n">
        <x:v>36.7453</x:v>
      </x:c>
      <x:c r="I40" s="60" t="n">
        <x:v>38.0147</x:v>
      </x:c>
      <x:c r="J40" s="60" t="n">
        <x:v>39.1092</x:v>
      </x:c>
      <x:c r="K40" s="60" t="n">
        <x:v>40.1527</x:v>
      </x:c>
      <x:c r="L40" s="60" t="n">
        <x:v>41.0958</x:v>
      </x:c>
      <x:c r="M40" s="60" t="n">
        <x:v>41.9957</x:v>
      </x:c>
      <x:c r="N40" s="60" t="n">
        <x:v>42.6926</x:v>
      </x:c>
      <x:c r="O40" s="60" t="n">
        <x:v>43.4931</x:v>
      </x:c>
      <x:c r="P40" s="60" t="n">
        <x:v>44.1758</x:v>
      </x:c>
      <x:c r="Q40" s="60" t="n">
        <x:v>44.9964</x:v>
      </x:c>
      <x:c r="R40" s="60" t="n">
        <x:v>45.6848</x:v>
      </x:c>
      <x:c r="S40" s="60" t="n">
        <x:v>46.3792</x:v>
      </x:c>
      <x:c r="T40" s="60" t="n">
        <x:v>47.0615</x:v>
      </x:c>
      <x:c r="U40" s="60" t="n">
        <x:v>47.7584</x:v>
      </x:c>
      <x:c r="V40" s="60" t="n">
        <x:v>48.2674</x:v>
      </x:c>
      <x:c r="W40" s="60" t="n">
        <x:v>48.8886</x:v>
      </x:c>
      <x:c r="X40" s="60" t="n">
        <x:v>49.371</x:v>
      </x:c>
      <x:c r="Y40" s="60" t="n">
        <x:v>49.889</x:v>
      </x:c>
      <x:c r="Z40" s="60" t="n">
        <x:v>50.3681</x:v>
      </x:c>
      <x:c r="AA40" s="60" t="n">
        <x:v>50.8548</x:v>
      </x:c>
      <x:c r="AB40" s="60" t="n">
        <x:v>51.3707</x:v>
      </x:c>
      <x:c r="AC40" s="60" t="n">
        <x:v>51.822</x:v>
      </x:c>
      <x:c r="AD40" s="60" t="n">
        <x:v>52.2583</x:v>
      </x:c>
      <x:c r="AE40" s="60" t="n">
        <x:v>52.6665</x:v>
      </x:c>
      <x:c r="AF40" s="60" t="n">
        <x:v>53.0888</x:v>
      </x:c>
      <x:c r="AG40" s="60" t="n">
        <x:v>53.5983</x:v>
      </x:c>
      <x:c r="AH40" s="60" t="n">
        <x:v>54.0189</x:v>
      </x:c>
      <x:c r="AI40" s="60" t="n">
        <x:v>54.4591</x:v>
      </x:c>
      <x:c r="AJ40" s="60" t="n">
        <x:v>54.8592</x:v>
      </x:c>
      <x:c r="AK40" s="60" t="n">
        <x:v>55.2876</x:v>
      </x:c>
      <x:c r="AL40" s="60" t="n">
        <x:v>55.7146</x:v>
      </x:c>
      <x:c r="AM40" s="60" t="n">
        <x:v>56.1423</x:v>
      </x:c>
      <x:c r="AN40" s="60" t="n">
        <x:v>56.5185</x:v>
      </x:c>
      <x:c r="AO40" s="60" t="n">
        <x:v>56.8559</x:v>
      </x:c>
      <x:c r="AP40" s="60" t="n">
        <x:v>57.2434</x:v>
      </x:c>
      <x:c r="AQ40" s="60" t="n">
        <x:v>57.6191</x:v>
      </x:c>
      <x:c r="AR40" s="60" t="n">
        <x:v>58.0133</x:v>
      </x:c>
      <x:c r="AS40" s="60" t="n">
        <x:v>58.4116</x:v>
      </x:c>
      <x:c r="AT40" s="60" t="n">
        <x:v>58.7431</x:v>
      </x:c>
      <x:c r="AU40" s="60" t="n">
        <x:v>59.1419</x:v>
      </x:c>
      <x:c r="AV40" s="60" t="n">
        <x:v>59.4793</x:v>
      </x:c>
      <x:c r="AW40" s="60" t="n">
        <x:v>59.8268</x:v>
      </x:c>
      <x:c r="AX40" s="60" t="n">
        <x:v>60.1918</x:v>
      </x:c>
      <x:c r="AY40" s="60" t="n">
        <x:v>60.5639</x:v>
      </x:c>
      <x:c r="AZ40" s="60" t="n">
        <x:v>60.9456</x:v>
      </x:c>
      <x:c r="BA40" s="60" t="n">
        <x:v>61.319</x:v>
      </x:c>
      <x:c r="BB40" s="60" t="n">
        <x:v>61.6708</x:v>
      </x:c>
      <x:c r="BC40" s="60" t="n">
        <x:v>61.9875</x:v>
      </x:c>
      <x:c r="BD40" s="60" t="n">
        <x:v>62.3419</x:v>
      </x:c>
      <x:c r="BE40" s="60" t="n">
        <x:v>62.6738</x:v>
      </x:c>
      <x:c r="BF40" s="60" t="n">
        <x:v>63.0256</x:v>
      </x:c>
      <x:c r="BG40" s="60" t="n">
        <x:v>63.3472</x:v>
      </x:c>
      <x:c r="BH40" s="60" t="n">
        <x:v>63.7321</x:v>
      </x:c>
      <x:c r="BI40" s="60" t="n">
        <x:v>64.0733</x:v>
      </x:c>
      <x:c r="BJ40" s="60" t="n">
        <x:v>64.4289</x:v>
      </x:c>
      <x:c r="BK40" s="60" t="n">
        <x:v>64.8241</x:v>
      </x:c>
      <x:c r="BL40" s="60" t="n">
        <x:v>65.1723</x:v>
      </x:c>
      <x:c r="BM40" s="60" t="n">
        <x:v>65.5279</x:v>
      </x:c>
      <x:c r="BN40" s="60" t="n">
        <x:v>65.8861</x:v>
      </x:c>
      <x:c r="BO40" s="60" t="n">
        <x:v>66.2314</x:v>
      </x:c>
      <x:c r="BP40" s="60" t="n">
        <x:v>66.5575</x:v>
      </x:c>
      <x:c r="BQ40" s="60" t="n">
        <x:v>66.8943</x:v>
      </x:c>
      <x:c r="BR40" s="60" t="n">
        <x:v>67.2337</x:v>
      </x:c>
      <x:c r="BS40" s="60" t="n">
        <x:v>67.5989</x:v>
      </x:c>
      <x:c r="BT40" s="60" t="n">
        <x:v>67.9439</x:v>
      </x:c>
      <x:c r="BU40" s="60" t="n">
        <x:v>68.2646</x:v>
      </x:c>
      <x:c r="BV40" s="60" t="n">
        <x:v>68.5955</x:v>
      </x:c>
      <x:c r="BW40" s="60" t="n">
        <x:v>68.9278</x:v>
      </x:c>
      <x:c r="BX40" s="60" t="n">
        <x:v>69.3079</x:v>
      </x:c>
      <x:c r="BY40" s="60" t="n">
        <x:v>69.6331</x:v>
      </x:c>
      <x:c r="BZ40" s="60" t="n">
        <x:v>69.9647</x:v>
      </x:c>
      <x:c r="CA40" s="60" t="n">
        <x:v>70.3028</x:v>
      </x:c>
      <x:c r="CB40" s="60" t="n">
        <x:v>70.6654</x:v>
      </x:c>
      <x:c r="CC40" s="60" t="n">
        <x:v>71.0385</x:v>
      </x:c>
      <x:c r="CD40" s="60" t="n">
        <x:v>71.4044</x:v>
      </x:c>
      <x:c r="CE40" s="60" t="n">
        <x:v>71.7478</x:v>
      </x:c>
      <x:c r="CF40" s="60" t="n">
        <x:v>72.1043</x:v>
      </x:c>
      <x:c r="CG40" s="60" t="n">
        <x:v>72.4491</x:v>
      </x:c>
      <x:c r="CH40" s="60" t="n">
        <x:v>72.7927</x:v>
      </x:c>
      <x:c r="CI40" s="60" t="n">
        <x:v>73.1938</x:v>
      </x:c>
      <x:c r="CJ40" s="60" t="n">
        <x:v>73.6281</x:v>
      </x:c>
      <x:c r="CK40" s="60" t="n">
        <x:v>74.0013</x:v>
      </x:c>
      <x:c r="CL40" s="60" t="n">
        <x:v>74.3991</x:v>
      </x:c>
      <x:c r="CM40" s="60" t="n">
        <x:v>74.825</x:v>
      </x:c>
      <x:c r="CN40" s="60" t="n">
        <x:v>75.2937</x:v>
      </x:c>
      <x:c r="CO40" s="60" t="n">
        <x:v>75.7491</x:v>
      </x:c>
      <x:c r="CP40" s="60" t="n">
        <x:v>76.2321</x:v>
      </x:c>
      <x:c r="CQ40" s="60" t="n">
        <x:v>76.6965</x:v>
      </x:c>
      <x:c r="CR40" s="60" t="n">
        <x:v>77.2187</x:v>
      </x:c>
      <x:c r="CS40" s="60" t="n">
        <x:v>77.7293</x:v>
      </x:c>
      <x:c r="CT40" s="60" t="n">
        <x:v>78.2392</x:v>
      </x:c>
      <x:c r="CU40" s="60" t="n">
        <x:v>78.7798</x:v>
      </x:c>
      <x:c r="CV40" s="60" t="n">
        <x:v>79.4275</x:v>
      </x:c>
      <x:c r="CW40" s="60" t="n">
        <x:v>80.0336</x:v>
      </x:c>
      <x:c r="CX40" s="60" t="n">
        <x:v>80.801</x:v>
      </x:c>
      <x:c r="CY40" s="60" t="n">
        <x:v>81.5481</x:v>
      </x:c>
      <x:c r="CZ40" s="60" t="n">
        <x:v>82.6036</x:v>
      </x:c>
      <x:c r="DA40" s="60" t="n">
        <x:v>83.7463</x:v>
      </x:c>
      <x:c r="DB40" s="60" t="n">
        <x:v>86.8439</x:v>
      </x:c>
    </x:row>
    <x:row r="41">
      <x:c r="A41" t="str">
        <x:v>ウェーニバル-1</x:v>
      </x:c>
      <x:c r="B41" t="str">
        <x:v>ウェーニバル</x:v>
      </x:c>
      <x:c r="C41" t="str">
        <x:v>共通</x:v>
      </x:c>
      <x:c r="D41" s="60" t="n">
        <x:v>61.5131</x:v>
      </x:c>
      <x:c r="E41" s="60" t="n">
        <x:v>11.2296</x:v>
      </x:c>
      <x:c r="F41" s="60" t="n">
        <x:v>28.0032</x:v>
      </x:c>
      <x:c r="G41" s="60" t="n">
        <x:v>36.9039</x:v>
      </x:c>
      <x:c r="H41" s="60" t="n">
        <x:v>38.5625</x:v>
      </x:c>
      <x:c r="I41" s="60" t="n">
        <x:v>39.6727</x:v>
      </x:c>
      <x:c r="J41" s="60" t="n">
        <x:v>40.7176</x:v>
      </x:c>
      <x:c r="K41" s="60" t="n">
        <x:v>41.5968</x:v>
      </x:c>
      <x:c r="L41" s="60" t="n">
        <x:v>42.4024</x:v>
      </x:c>
      <x:c r="M41" s="60" t="n">
        <x:v>43.1611</x:v>
      </x:c>
      <x:c r="N41" s="60" t="n">
        <x:v>43.9995</x:v>
      </x:c>
      <x:c r="O41" s="60" t="n">
        <x:v>44.7641</x:v>
      </x:c>
      <x:c r="P41" s="60" t="n">
        <x:v>45.4663</x:v>
      </x:c>
      <x:c r="Q41" s="60" t="n">
        <x:v>46.0789</x:v>
      </x:c>
      <x:c r="R41" s="60" t="n">
        <x:v>46.779</x:v>
      </x:c>
      <x:c r="S41" s="60" t="n">
        <x:v>47.419</x:v>
      </x:c>
      <x:c r="T41" s="60" t="n">
        <x:v>48.0118</x:v>
      </x:c>
      <x:c r="U41" s="60" t="n">
        <x:v>48.5786</x:v>
      </x:c>
      <x:c r="V41" s="60" t="n">
        <x:v>49.1253</x:v>
      </x:c>
      <x:c r="W41" s="60" t="n">
        <x:v>49.6203</x:v>
      </x:c>
      <x:c r="X41" s="60" t="n">
        <x:v>50.1369</x:v>
      </x:c>
      <x:c r="Y41" s="60" t="n">
        <x:v>50.5985</x:v>
      </x:c>
      <x:c r="Z41" s="60" t="n">
        <x:v>51.0692</x:v>
      </x:c>
      <x:c r="AA41" s="60" t="n">
        <x:v>51.5268</x:v>
      </x:c>
      <x:c r="AB41" s="60" t="n">
        <x:v>51.9993</x:v>
      </x:c>
      <x:c r="AC41" s="60" t="n">
        <x:v>52.4324</x:v>
      </x:c>
      <x:c r="AD41" s="60" t="n">
        <x:v>52.8641</x:v>
      </x:c>
      <x:c r="AE41" s="60" t="n">
        <x:v>53.3264</x:v>
      </x:c>
      <x:c r="AF41" s="60" t="n">
        <x:v>53.715</x:v>
      </x:c>
      <x:c r="AG41" s="60" t="n">
        <x:v>54.1634</x:v>
      </x:c>
      <x:c r="AH41" s="60" t="n">
        <x:v>54.5855</x:v>
      </x:c>
      <x:c r="AI41" s="60" t="n">
        <x:v>54.9627</x:v>
      </x:c>
      <x:c r="AJ41" s="60" t="n">
        <x:v>55.3711</x:v>
      </x:c>
      <x:c r="AK41" s="60" t="n">
        <x:v>55.8183</x:v>
      </x:c>
      <x:c r="AL41" s="60" t="n">
        <x:v>56.2028</x:v>
      </x:c>
      <x:c r="AM41" s="60" t="n">
        <x:v>56.5815</x:v>
      </x:c>
      <x:c r="AN41" s="60" t="n">
        <x:v>56.958</x:v>
      </x:c>
      <x:c r="AO41" s="60" t="n">
        <x:v>57.2954</x:v>
      </x:c>
      <x:c r="AP41" s="60" t="n">
        <x:v>57.6677</x:v>
      </x:c>
      <x:c r="AQ41" s="60" t="n">
        <x:v>58.0209</x:v>
      </x:c>
      <x:c r="AR41" s="60" t="n">
        <x:v>58.3596</x:v>
      </x:c>
      <x:c r="AS41" s="60" t="n">
        <x:v>58.6937</x:v>
      </x:c>
      <x:c r="AT41" s="60" t="n">
        <x:v>59.0519</x:v>
      </x:c>
      <x:c r="AU41" s="60" t="n">
        <x:v>59.4054</x:v>
      </x:c>
      <x:c r="AV41" s="60" t="n">
        <x:v>59.7477</x:v>
      </x:c>
      <x:c r="AW41" s="60" t="n">
        <x:v>60.0522</x:v>
      </x:c>
      <x:c r="AX41" s="60" t="n">
        <x:v>60.441</x:v>
      </x:c>
      <x:c r="AY41" s="60" t="n">
        <x:v>60.8149</x:v>
      </x:c>
      <x:c r="AZ41" s="60" t="n">
        <x:v>61.1703</x:v>
      </x:c>
      <x:c r="BA41" s="60" t="n">
        <x:v>61.4545</x:v>
      </x:c>
      <x:c r="BB41" s="60" t="n">
        <x:v>61.7614</x:v>
      </x:c>
      <x:c r="BC41" s="60" t="n">
        <x:v>62.0568</x:v>
      </x:c>
      <x:c r="BD41" s="60" t="n">
        <x:v>62.3992</x:v>
      </x:c>
      <x:c r="BE41" s="60" t="n">
        <x:v>62.7363</x:v>
      </x:c>
      <x:c r="BF41" s="60" t="n">
        <x:v>63.0581</x:v>
      </x:c>
      <x:c r="BG41" s="60" t="n">
        <x:v>63.3394</x:v>
      </x:c>
      <x:c r="BH41" s="60" t="n">
        <x:v>63.6579</x:v>
      </x:c>
      <x:c r="BI41" s="60" t="n">
        <x:v>64.0272</x:v>
      </x:c>
      <x:c r="BJ41" s="60" t="n">
        <x:v>64.3346</x:v>
      </x:c>
      <x:c r="BK41" s="60" t="n">
        <x:v>64.6431</x:v>
      </x:c>
      <x:c r="BL41" s="60" t="n">
        <x:v>64.942</x:v>
      </x:c>
      <x:c r="BM41" s="60" t="n">
        <x:v>65.3058</x:v>
      </x:c>
      <x:c r="BN41" s="60" t="n">
        <x:v>65.5955</x:v>
      </x:c>
      <x:c r="BO41" s="60" t="n">
        <x:v>65.9341</x:v>
      </x:c>
      <x:c r="BP41" s="60" t="n">
        <x:v>66.2442</x:v>
      </x:c>
      <x:c r="BQ41" s="60" t="n">
        <x:v>66.5519</x:v>
      </x:c>
      <x:c r="BR41" s="60" t="n">
        <x:v>66.8757</x:v>
      </x:c>
      <x:c r="BS41" s="60" t="n">
        <x:v>67.1454</x:v>
      </x:c>
      <x:c r="BT41" s="60" t="n">
        <x:v>67.4905</x:v>
      </x:c>
      <x:c r="BU41" s="60" t="n">
        <x:v>67.8299</x:v>
      </x:c>
      <x:c r="BV41" s="60" t="n">
        <x:v>68.1726</x:v>
      </x:c>
      <x:c r="BW41" s="60" t="n">
        <x:v>68.4538</x:v>
      </x:c>
      <x:c r="BX41" s="60" t="n">
        <x:v>68.7327</x:v>
      </x:c>
      <x:c r="BY41" s="60" t="n">
        <x:v>69.0649</x:v>
      </x:c>
      <x:c r="BZ41" s="60" t="n">
        <x:v>69.3916</x:v>
      </x:c>
      <x:c r="CA41" s="60" t="n">
        <x:v>69.6928</x:v>
      </x:c>
      <x:c r="CB41" s="60" t="n">
        <x:v>70.0192</x:v>
      </x:c>
      <x:c r="CC41" s="60" t="n">
        <x:v>70.3946</x:v>
      </x:c>
      <x:c r="CD41" s="60" t="n">
        <x:v>70.6999</x:v>
      </x:c>
      <x:c r="CE41" s="60" t="n">
        <x:v>71.0756</x:v>
      </x:c>
      <x:c r="CF41" s="60" t="n">
        <x:v>71.3897</x:v>
      </x:c>
      <x:c r="CG41" s="60" t="n">
        <x:v>71.7744</x:v>
      </x:c>
      <x:c r="CH41" s="60" t="n">
        <x:v>72.1076</x:v>
      </x:c>
      <x:c r="CI41" s="60" t="n">
        <x:v>72.4713</x:v>
      </x:c>
      <x:c r="CJ41" s="60" t="n">
        <x:v>72.7919</x:v>
      </x:c>
      <x:c r="CK41" s="60" t="n">
        <x:v>73.1316</x:v>
      </x:c>
      <x:c r="CL41" s="60" t="n">
        <x:v>73.4847</x:v>
      </x:c>
      <x:c r="CM41" s="60" t="n">
        <x:v>73.8733</x:v>
      </x:c>
      <x:c r="CN41" s="60" t="n">
        <x:v>74.224</x:v>
      </x:c>
      <x:c r="CO41" s="60" t="n">
        <x:v>74.6153</x:v>
      </x:c>
      <x:c r="CP41" s="60" t="n">
        <x:v>75.0167</x:v>
      </x:c>
      <x:c r="CQ41" s="60" t="n">
        <x:v>75.4555</x:v>
      </x:c>
      <x:c r="CR41" s="60" t="n">
        <x:v>75.9054</x:v>
      </x:c>
      <x:c r="CS41" s="60" t="n">
        <x:v>76.4211</x:v>
      </x:c>
      <x:c r="CT41" s="60" t="n">
        <x:v>76.8005</x:v>
      </x:c>
      <x:c r="CU41" s="60" t="n">
        <x:v>77.2269</x:v>
      </x:c>
      <x:c r="CV41" s="60" t="n">
        <x:v>77.7544</x:v>
      </x:c>
      <x:c r="CW41" s="60" t="n">
        <x:v>78.3859</x:v>
      </x:c>
      <x:c r="CX41" s="60" t="n">
        <x:v>79.0147</x:v>
      </x:c>
      <x:c r="CY41" s="60" t="n">
        <x:v>79.6689</x:v>
      </x:c>
      <x:c r="CZ41" s="60" t="n">
        <x:v>80.535</x:v>
      </x:c>
      <x:c r="DA41" s="60" t="n">
        <x:v>81.7007</x:v>
      </x:c>
      <x:c r="DB41" s="60" t="n">
        <x:v>84.5298</x:v>
      </x:c>
    </x:row>
    <x:row r="42">
      <x:c r="A42" t="str">
        <x:v>ウーラオス-1</x:v>
      </x:c>
      <x:c r="B42" t="str">
        <x:v>ウーラオス</x:v>
      </x:c>
      <x:c r="C42" t="str">
        <x:v>あんこくきょうだ</x:v>
      </x:c>
      <x:c r="D42" s="60" t="n">
        <x:v>61.4851</x:v>
      </x:c>
      <x:c r="E42" s="60" t="n">
        <x:v>13.3455</x:v>
      </x:c>
      <x:c r="F42" s="60" t="n">
        <x:v>25.0421</x:v>
      </x:c>
      <x:c r="G42" s="60" t="n">
        <x:v>33.1189</x:v>
      </x:c>
      <x:c r="H42" s="60" t="n">
        <x:v>34.6376</x:v>
      </x:c>
      <x:c r="I42" s="60" t="n">
        <x:v>35.7809</x:v>
      </x:c>
      <x:c r="J42" s="60" t="n">
        <x:v>36.9045</x:v>
      </x:c>
      <x:c r="K42" s="60" t="n">
        <x:v>38.003</x:v>
      </x:c>
      <x:c r="L42" s="60" t="n">
        <x:v>38.9702</x:v>
      </x:c>
      <x:c r="M42" s="60" t="n">
        <x:v>40.008</x:v>
      </x:c>
      <x:c r="N42" s="60" t="n">
        <x:v>40.9993</x:v>
      </x:c>
      <x:c r="O42" s="60" t="n">
        <x:v>41.7471</x:v>
      </x:c>
      <x:c r="P42" s="60" t="n">
        <x:v>42.5584</x:v>
      </x:c>
      <x:c r="Q42" s="60" t="n">
        <x:v>43.3729</x:v>
      </x:c>
      <x:c r="R42" s="60" t="n">
        <x:v>44.1186</x:v>
      </x:c>
      <x:c r="S42" s="60" t="n">
        <x:v>44.8809</x:v>
      </x:c>
      <x:c r="T42" s="60" t="n">
        <x:v>45.5416</x:v>
      </x:c>
      <x:c r="U42" s="60" t="n">
        <x:v>46.129</x:v>
      </x:c>
      <x:c r="V42" s="60" t="n">
        <x:v>46.7262</x:v>
      </x:c>
      <x:c r="W42" s="60" t="n">
        <x:v>47.3</x:v>
      </x:c>
      <x:c r="X42" s="60" t="n">
        <x:v>47.9185</x:v>
      </x:c>
      <x:c r="Y42" s="60" t="n">
        <x:v>48.5029</x:v>
      </x:c>
      <x:c r="Z42" s="60" t="n">
        <x:v>49.0571</x:v>
      </x:c>
      <x:c r="AA42" s="60" t="n">
        <x:v>49.5689</x:v>
      </x:c>
      <x:c r="AB42" s="60" t="n">
        <x:v>50.1137</x:v>
      </x:c>
      <x:c r="AC42" s="60" t="n">
        <x:v>50.6413</x:v>
      </x:c>
      <x:c r="AD42" s="60" t="n">
        <x:v>51.1455</x:v>
      </x:c>
      <x:c r="AE42" s="60" t="n">
        <x:v>51.6142</x:v>
      </x:c>
      <x:c r="AF42" s="60" t="n">
        <x:v>52.1322</x:v>
      </x:c>
      <x:c r="AG42" s="60" t="n">
        <x:v>52.5742</x:v>
      </x:c>
      <x:c r="AH42" s="60" t="n">
        <x:v>53.0785</x:v>
      </x:c>
      <x:c r="AI42" s="60" t="n">
        <x:v>53.5759</x:v>
      </x:c>
      <x:c r="AJ42" s="60" t="n">
        <x:v>54.054</x:v>
      </x:c>
      <x:c r="AK42" s="60" t="n">
        <x:v>54.4797</x:v>
      </x:c>
      <x:c r="AL42" s="60" t="n">
        <x:v>54.9286</x:v>
      </x:c>
      <x:c r="AM42" s="60" t="n">
        <x:v>55.3815</x:v>
      </x:c>
      <x:c r="AN42" s="60" t="n">
        <x:v>55.8097</x:v>
      </x:c>
      <x:c r="AO42" s="60" t="n">
        <x:v>56.233</x:v>
      </x:c>
      <x:c r="AP42" s="60" t="n">
        <x:v>56.6673</x:v>
      </x:c>
      <x:c r="AQ42" s="60" t="n">
        <x:v>57.0765</x:v>
      </x:c>
      <x:c r="AR42" s="60" t="n">
        <x:v>57.5263</x:v>
      </x:c>
      <x:c r="AS42" s="60" t="n">
        <x:v>57.9875</x:v>
      </x:c>
      <x:c r="AT42" s="60" t="n">
        <x:v>58.3858</x:v>
      </x:c>
      <x:c r="AU42" s="60" t="n">
        <x:v>58.8197</x:v>
      </x:c>
      <x:c r="AV42" s="60" t="n">
        <x:v>59.2504</x:v>
      </x:c>
      <x:c r="AW42" s="60" t="n">
        <x:v>59.6288</x:v>
      </x:c>
      <x:c r="AX42" s="60" t="n">
        <x:v>60.0348</x:v>
      </x:c>
      <x:c r="AY42" s="60" t="n">
        <x:v>60.4348</x:v>
      </x:c>
      <x:c r="AZ42" s="60" t="n">
        <x:v>60.8097</x:v>
      </x:c>
      <x:c r="BA42" s="60" t="n">
        <x:v>61.1716</x:v>
      </x:c>
      <x:c r="BB42" s="60" t="n">
        <x:v>61.5818</x:v>
      </x:c>
      <x:c r="BC42" s="60" t="n">
        <x:v>61.9921</x:v>
      </x:c>
      <x:c r="BD42" s="60" t="n">
        <x:v>62.3906</x:v>
      </x:c>
      <x:c r="BE42" s="60" t="n">
        <x:v>62.7937</x:v>
      </x:c>
      <x:c r="BF42" s="60" t="n">
        <x:v>63.1793</x:v>
      </x:c>
      <x:c r="BG42" s="60" t="n">
        <x:v>63.5175</x:v>
      </x:c>
      <x:c r="BH42" s="60" t="n">
        <x:v>63.8799</x:v>
      </x:c>
      <x:c r="BI42" s="60" t="n">
        <x:v>64.2577</x:v>
      </x:c>
      <x:c r="BJ42" s="60" t="n">
        <x:v>64.6621</x:v>
      </x:c>
      <x:c r="BK42" s="60" t="n">
        <x:v>65.0617</x:v>
      </x:c>
      <x:c r="BL42" s="60" t="n">
        <x:v>65.4397</x:v>
      </x:c>
      <x:c r="BM42" s="60" t="n">
        <x:v>65.8085</x:v>
      </x:c>
      <x:c r="BN42" s="60" t="n">
        <x:v>66.1653</x:v>
      </x:c>
      <x:c r="BO42" s="60" t="n">
        <x:v>66.5619</x:v>
      </x:c>
      <x:c r="BP42" s="60" t="n">
        <x:v>66.9219</x:v>
      </x:c>
      <x:c r="BQ42" s="60" t="n">
        <x:v>67.3027</x:v>
      </x:c>
      <x:c r="BR42" s="60" t="n">
        <x:v>67.6839</x:v>
      </x:c>
      <x:c r="BS42" s="60" t="n">
        <x:v>68.0671</x:v>
      </x:c>
      <x:c r="BT42" s="60" t="n">
        <x:v>68.4461</x:v>
      </x:c>
      <x:c r="BU42" s="60" t="n">
        <x:v>68.8215</x:v>
      </x:c>
      <x:c r="BV42" s="60" t="n">
        <x:v>69.233</x:v>
      </x:c>
      <x:c r="BW42" s="60" t="n">
        <x:v>69.603</x:v>
      </x:c>
      <x:c r="BX42" s="60" t="n">
        <x:v>69.9957</x:v>
      </x:c>
      <x:c r="BY42" s="60" t="n">
        <x:v>70.4253</x:v>
      </x:c>
      <x:c r="BZ42" s="60" t="n">
        <x:v>70.7723</x:v>
      </x:c>
      <x:c r="CA42" s="60" t="n">
        <x:v>71.1279</x:v>
      </x:c>
      <x:c r="CB42" s="60" t="n">
        <x:v>71.5057</x:v>
      </x:c>
      <x:c r="CC42" s="60" t="n">
        <x:v>71.9182</x:v>
      </x:c>
      <x:c r="CD42" s="60" t="n">
        <x:v>72.3016</x:v>
      </x:c>
      <x:c r="CE42" s="60" t="n">
        <x:v>72.6855</x:v>
      </x:c>
      <x:c r="CF42" s="60" t="n">
        <x:v>73.0865</x:v>
      </x:c>
      <x:c r="CG42" s="60" t="n">
        <x:v>73.5178</x:v>
      </x:c>
      <x:c r="CH42" s="60" t="n">
        <x:v>73.9154</x:v>
      </x:c>
      <x:c r="CI42" s="60" t="n">
        <x:v>74.3215</x:v>
      </x:c>
      <x:c r="CJ42" s="60" t="n">
        <x:v>74.7282</x:v>
      </x:c>
      <x:c r="CK42" s="60" t="n">
        <x:v>75.2391</x:v>
      </x:c>
      <x:c r="CL42" s="60" t="n">
        <x:v>75.7161</x:v>
      </x:c>
      <x:c r="CM42" s="60" t="n">
        <x:v>76.1983</x:v>
      </x:c>
      <x:c r="CN42" s="60" t="n">
        <x:v>76.6832</x:v>
      </x:c>
      <x:c r="CO42" s="60" t="n">
        <x:v>77.1746</x:v>
      </x:c>
      <x:c r="CP42" s="60" t="n">
        <x:v>77.5936</x:v>
      </x:c>
      <x:c r="CQ42" s="60" t="n">
        <x:v>78.1101</x:v>
      </x:c>
      <x:c r="CR42" s="60" t="n">
        <x:v>78.6392</x:v>
      </x:c>
      <x:c r="CS42" s="60" t="n">
        <x:v>79.2269</x:v>
      </x:c>
      <x:c r="CT42" s="60" t="n">
        <x:v>79.8283</x:v>
      </x:c>
      <x:c r="CU42" s="60" t="n">
        <x:v>80.5102</x:v>
      </x:c>
      <x:c r="CV42" s="60" t="n">
        <x:v>81.2261</x:v>
      </x:c>
      <x:c r="CW42" s="60" t="n">
        <x:v>81.9364</x:v>
      </x:c>
      <x:c r="CX42" s="60" t="n">
        <x:v>82.768</x:v>
      </x:c>
      <x:c r="CY42" s="60" t="n">
        <x:v>83.7931</x:v>
      </x:c>
      <x:c r="CZ42" s="60" t="n">
        <x:v>84.9634</x:v>
      </x:c>
      <x:c r="DA42" s="60" t="n">
        <x:v>86.325</x:v>
      </x:c>
      <x:c r="DB42" s="60" t="n">
        <x:v>91.4065</x:v>
      </x:c>
    </x:row>
    <x:row r="43">
      <x:c r="A43" t="str">
        <x:v>ウーラオス-2</x:v>
      </x:c>
      <x:c r="B43" t="str">
        <x:v>ウーラオス</x:v>
      </x:c>
      <x:c r="C43" t="str">
        <x:v>すいりゅうれんだ</x:v>
      </x:c>
      <x:c r="D43" s="60" t="n">
        <x:v>61.4808</x:v>
      </x:c>
      <x:c r="E43" s="60" t="n">
        <x:v>11.2984</x:v>
      </x:c>
      <x:c r="F43" s="60" t="n">
        <x:v>28.3569</x:v>
      </x:c>
      <x:c r="G43" s="60" t="n">
        <x:v>36.6818</x:v>
      </x:c>
      <x:c r="H43" s="60" t="n">
        <x:v>38.1899</x:v>
      </x:c>
      <x:c r="I43" s="60" t="n">
        <x:v>39.2758</x:v>
      </x:c>
      <x:c r="J43" s="60" t="n">
        <x:v>40.269</x:v>
      </x:c>
      <x:c r="K43" s="60" t="n">
        <x:v>41.1919</x:v>
      </x:c>
      <x:c r="L43" s="60" t="n">
        <x:v>42.0768</x:v>
      </x:c>
      <x:c r="M43" s="60" t="n">
        <x:v>43.0237</x:v>
      </x:c>
      <x:c r="N43" s="60" t="n">
        <x:v>43.8831</x:v>
      </x:c>
      <x:c r="O43" s="60" t="n">
        <x:v>44.5847</x:v>
      </x:c>
      <x:c r="P43" s="60" t="n">
        <x:v>45.2411</x:v>
      </x:c>
      <x:c r="Q43" s="60" t="n">
        <x:v>45.9311</x:v>
      </x:c>
      <x:c r="R43" s="60" t="n">
        <x:v>46.6387</x:v>
      </x:c>
      <x:c r="S43" s="60" t="n">
        <x:v>47.2545</x:v>
      </x:c>
      <x:c r="T43" s="60" t="n">
        <x:v>47.8699</x:v>
      </x:c>
      <x:c r="U43" s="60" t="n">
        <x:v>48.4189</x:v>
      </x:c>
      <x:c r="V43" s="60" t="n">
        <x:v>48.9853</x:v>
      </x:c>
      <x:c r="W43" s="60" t="n">
        <x:v>49.5283</x:v>
      </x:c>
      <x:c r="X43" s="60" t="n">
        <x:v>50.0415</x:v>
      </x:c>
      <x:c r="Y43" s="60" t="n">
        <x:v>50.5124</x:v>
      </x:c>
      <x:c r="Z43" s="60" t="n">
        <x:v>50.951</x:v>
      </x:c>
      <x:c r="AA43" s="60" t="n">
        <x:v>51.4593</x:v>
      </x:c>
      <x:c r="AB43" s="60" t="n">
        <x:v>51.8833</x:v>
      </x:c>
      <x:c r="AC43" s="60" t="n">
        <x:v>52.3732</x:v>
      </x:c>
      <x:c r="AD43" s="60" t="n">
        <x:v>52.812</x:v>
      </x:c>
      <x:c r="AE43" s="60" t="n">
        <x:v>53.2289</x:v>
      </x:c>
      <x:c r="AF43" s="60" t="n">
        <x:v>53.6332</x:v>
      </x:c>
      <x:c r="AG43" s="60" t="n">
        <x:v>54.0587</x:v>
      </x:c>
      <x:c r="AH43" s="60" t="n">
        <x:v>54.5109</x:v>
      </x:c>
      <x:c r="AI43" s="60" t="n">
        <x:v>54.9555</x:v>
      </x:c>
      <x:c r="AJ43" s="60" t="n">
        <x:v>55.3323</x:v>
      </x:c>
      <x:c r="AK43" s="60" t="n">
        <x:v>55.7145</x:v>
      </x:c>
      <x:c r="AL43" s="60" t="n">
        <x:v>56.0828</x:v>
      </x:c>
      <x:c r="AM43" s="60" t="n">
        <x:v>56.4573</x:v>
      </x:c>
      <x:c r="AN43" s="60" t="n">
        <x:v>56.8391</x:v>
      </x:c>
      <x:c r="AO43" s="60" t="n">
        <x:v>57.24</x:v>
      </x:c>
      <x:c r="AP43" s="60" t="n">
        <x:v>57.5996</x:v>
      </x:c>
      <x:c r="AQ43" s="60" t="n">
        <x:v>57.9927</x:v>
      </x:c>
      <x:c r="AR43" s="60" t="n">
        <x:v>58.381</x:v>
      </x:c>
      <x:c r="AS43" s="60" t="n">
        <x:v>58.7311</x:v>
      </x:c>
      <x:c r="AT43" s="60" t="n">
        <x:v>59.0601</x:v>
      </x:c>
      <x:c r="AU43" s="60" t="n">
        <x:v>59.4306</x:v>
      </x:c>
      <x:c r="AV43" s="60" t="n">
        <x:v>59.748</x:v>
      </x:c>
      <x:c r="AW43" s="60" t="n">
        <x:v>60.121</x:v>
      </x:c>
      <x:c r="AX43" s="60" t="n">
        <x:v>60.437</x:v>
      </x:c>
      <x:c r="AY43" s="60" t="n">
        <x:v>60.8077</x:v>
      </x:c>
      <x:c r="AZ43" s="60" t="n">
        <x:v>61.1167</x:v>
      </x:c>
      <x:c r="BA43" s="60" t="n">
        <x:v>61.4495</x:v>
      </x:c>
      <x:c r="BB43" s="60" t="n">
        <x:v>61.7579</x:v>
      </x:c>
      <x:c r="BC43" s="60" t="n">
        <x:v>62.1344</x:v>
      </x:c>
      <x:c r="BD43" s="60" t="n">
        <x:v>62.4861</x:v>
      </x:c>
      <x:c r="BE43" s="60" t="n">
        <x:v>62.7996</x:v>
      </x:c>
      <x:c r="BF43" s="60" t="n">
        <x:v>63.1154</x:v>
      </x:c>
      <x:c r="BG43" s="60" t="n">
        <x:v>63.4314</x:v>
      </x:c>
      <x:c r="BH43" s="60" t="n">
        <x:v>63.7803</x:v>
      </x:c>
      <x:c r="BI43" s="60" t="n">
        <x:v>64.1275</x:v>
      </x:c>
      <x:c r="BJ43" s="60" t="n">
        <x:v>64.4591</x:v>
      </x:c>
      <x:c r="BK43" s="60" t="n">
        <x:v>64.7697</x:v>
      </x:c>
      <x:c r="BL43" s="60" t="n">
        <x:v>65.0788</x:v>
      </x:c>
      <x:c r="BM43" s="60" t="n">
        <x:v>65.4005</x:v>
      </x:c>
      <x:c r="BN43" s="60" t="n">
        <x:v>65.7051</x:v>
      </x:c>
      <x:c r="BO43" s="60" t="n">
        <x:v>66.0096</x:v>
      </x:c>
      <x:c r="BP43" s="60" t="n">
        <x:v>66.2769</x:v>
      </x:c>
      <x:c r="BQ43" s="60" t="n">
        <x:v>66.6063</x:v>
      </x:c>
      <x:c r="BR43" s="60" t="n">
        <x:v>66.9142</x:v>
      </x:c>
      <x:c r="BS43" s="60" t="n">
        <x:v>67.2513</x:v>
      </x:c>
      <x:c r="BT43" s="60" t="n">
        <x:v>67.5716</x:v>
      </x:c>
      <x:c r="BU43" s="60" t="n">
        <x:v>67.9462</x:v>
      </x:c>
      <x:c r="BV43" s="60" t="n">
        <x:v>68.311</x:v>
      </x:c>
      <x:c r="BW43" s="60" t="n">
        <x:v>68.629</x:v>
      </x:c>
      <x:c r="BX43" s="60" t="n">
        <x:v>68.9292</x:v>
      </x:c>
      <x:c r="BY43" s="60" t="n">
        <x:v>69.2315</x:v>
      </x:c>
      <x:c r="BZ43" s="60" t="n">
        <x:v>69.5176</x:v>
      </x:c>
      <x:c r="CA43" s="60" t="n">
        <x:v>69.8117</x:v>
      </x:c>
      <x:c r="CB43" s="60" t="n">
        <x:v>70.1481</x:v>
      </x:c>
      <x:c r="CC43" s="60" t="n">
        <x:v>70.4188</x:v>
      </x:c>
      <x:c r="CD43" s="60" t="n">
        <x:v>70.7373</x:v>
      </x:c>
      <x:c r="CE43" s="60" t="n">
        <x:v>71.06</x:v>
      </x:c>
      <x:c r="CF43" s="60" t="n">
        <x:v>71.4032</x:v>
      </x:c>
      <x:c r="CG43" s="60" t="n">
        <x:v>71.7759</x:v>
      </x:c>
      <x:c r="CH43" s="60" t="n">
        <x:v>72.1395</x:v>
      </x:c>
      <x:c r="CI43" s="60" t="n">
        <x:v>72.474</x:v>
      </x:c>
      <x:c r="CJ43" s="60" t="n">
        <x:v>72.8031</x:v>
      </x:c>
      <x:c r="CK43" s="60" t="n">
        <x:v>73.1539</x:v>
      </x:c>
      <x:c r="CL43" s="60" t="n">
        <x:v>73.5512</x:v>
      </x:c>
      <x:c r="CM43" s="60" t="n">
        <x:v>73.9231</x:v>
      </x:c>
      <x:c r="CN43" s="60" t="n">
        <x:v>74.265</x:v>
      </x:c>
      <x:c r="CO43" s="60" t="n">
        <x:v>74.6126</x:v>
      </x:c>
      <x:c r="CP43" s="60" t="n">
        <x:v>75.0161</x:v>
      </x:c>
      <x:c r="CQ43" s="60" t="n">
        <x:v>75.4465</x:v>
      </x:c>
      <x:c r="CR43" s="60" t="n">
        <x:v>75.8767</x:v>
      </x:c>
      <x:c r="CS43" s="60" t="n">
        <x:v>76.2861</x:v>
      </x:c>
      <x:c r="CT43" s="60" t="n">
        <x:v>76.7683</x:v>
      </x:c>
      <x:c r="CU43" s="60" t="n">
        <x:v>77.247</x:v>
      </x:c>
      <x:c r="CV43" s="60" t="n">
        <x:v>77.7656</x:v>
      </x:c>
      <x:c r="CW43" s="60" t="n">
        <x:v>78.32</x:v>
      </x:c>
      <x:c r="CX43" s="60" t="n">
        <x:v>78.9385</x:v>
      </x:c>
      <x:c r="CY43" s="60" t="n">
        <x:v>79.5483</x:v>
      </x:c>
      <x:c r="CZ43" s="60" t="n">
        <x:v>80.3499</x:v>
      </x:c>
      <x:c r="DA43" s="60" t="n">
        <x:v>81.4378</x:v>
      </x:c>
      <x:c r="DB43" s="60" t="n">
        <x:v>84.3155</x:v>
      </x:c>
    </x:row>
    <x:row r="44">
      <x:c r="A44" t="str">
        <x:v>エンペルト-1</x:v>
      </x:c>
      <x:c r="B44" t="str">
        <x:v>エンペルト</x:v>
      </x:c>
      <x:c r="C44" t="str">
        <x:v>共通</x:v>
      </x:c>
      <x:c r="D44" s="60" t="n">
        <x:v>61.487</x:v>
      </x:c>
      <x:c r="E44" s="60" t="n">
        <x:v>6.1363</x:v>
      </x:c>
      <x:c r="F44" s="60" t="n">
        <x:v>42.08</x:v>
      </x:c>
      <x:c r="G44" s="60" t="n">
        <x:v>47.5646</x:v>
      </x:c>
      <x:c r="H44" s="60" t="n">
        <x:v>48.6812</x:v>
      </x:c>
      <x:c r="I44" s="60" t="n">
        <x:v>49.4135</x:v>
      </x:c>
      <x:c r="J44" s="60" t="n">
        <x:v>50.058</x:v>
      </x:c>
      <x:c r="K44" s="60" t="n">
        <x:v>50.6584</x:v>
      </x:c>
      <x:c r="L44" s="60" t="n">
        <x:v>51.1107</x:v>
      </x:c>
      <x:c r="M44" s="60" t="n">
        <x:v>51.5597</x:v>
      </x:c>
      <x:c r="N44" s="60" t="n">
        <x:v>52.0264</x:v>
      </x:c>
      <x:c r="O44" s="60" t="n">
        <x:v>52.4062</x:v>
      </x:c>
      <x:c r="P44" s="60" t="n">
        <x:v>52.7657</x:v>
      </x:c>
      <x:c r="Q44" s="60" t="n">
        <x:v>53.1458</x:v>
      </x:c>
      <x:c r="R44" s="60" t="n">
        <x:v>53.4849</x:v>
      </x:c>
      <x:c r="S44" s="60" t="n">
        <x:v>53.774</x:v>
      </x:c>
      <x:c r="T44" s="60" t="n">
        <x:v>54.0867</x:v>
      </x:c>
      <x:c r="U44" s="60" t="n">
        <x:v>54.3808</x:v>
      </x:c>
      <x:c r="V44" s="60" t="n">
        <x:v>54.6895</x:v>
      </x:c>
      <x:c r="W44" s="60" t="n">
        <x:v>55.0186</x:v>
      </x:c>
      <x:c r="X44" s="60" t="n">
        <x:v>55.3159</x:v>
      </x:c>
      <x:c r="Y44" s="60" t="n">
        <x:v>55.6338</x:v>
      </x:c>
      <x:c r="Z44" s="60" t="n">
        <x:v>55.9029</x:v>
      </x:c>
      <x:c r="AA44" s="60" t="n">
        <x:v>56.2056</x:v>
      </x:c>
      <x:c r="AB44" s="60" t="n">
        <x:v>56.4625</x:v>
      </x:c>
      <x:c r="AC44" s="60" t="n">
        <x:v>56.7251</x:v>
      </x:c>
      <x:c r="AD44" s="60" t="n">
        <x:v>57.0114</x:v>
      </x:c>
      <x:c r="AE44" s="60" t="n">
        <x:v>57.2395</x:v>
      </x:c>
      <x:c r="AF44" s="60" t="n">
        <x:v>57.4607</x:v>
      </x:c>
      <x:c r="AG44" s="60" t="n">
        <x:v>57.691</x:v>
      </x:c>
      <x:c r="AH44" s="60" t="n">
        <x:v>57.9056</x:v>
      </x:c>
      <x:c r="AI44" s="60" t="n">
        <x:v>58.1306</x:v>
      </x:c>
      <x:c r="AJ44" s="60" t="n">
        <x:v>58.3226</x:v>
      </x:c>
      <x:c r="AK44" s="60" t="n">
        <x:v>58.5208</x:v>
      </x:c>
      <x:c r="AL44" s="60" t="n">
        <x:v>58.7003</x:v>
      </x:c>
      <x:c r="AM44" s="60" t="n">
        <x:v>58.9111</x:v>
      </x:c>
      <x:c r="AN44" s="60" t="n">
        <x:v>59.1016</x:v>
      </x:c>
      <x:c r="AO44" s="60" t="n">
        <x:v>59.2966</x:v>
      </x:c>
      <x:c r="AP44" s="60" t="n">
        <x:v>59.4988</x:v>
      </x:c>
      <x:c r="AQ44" s="60" t="n">
        <x:v>59.6915</x:v>
      </x:c>
      <x:c r="AR44" s="60" t="n">
        <x:v>59.8909</x:v>
      </x:c>
      <x:c r="AS44" s="60" t="n">
        <x:v>60.0739</x:v>
      </x:c>
      <x:c r="AT44" s="60" t="n">
        <x:v>60.2652</x:v>
      </x:c>
      <x:c r="AU44" s="60" t="n">
        <x:v>60.4304</x:v>
      </x:c>
      <x:c r="AV44" s="60" t="n">
        <x:v>60.6112</x:v>
      </x:c>
      <x:c r="AW44" s="60" t="n">
        <x:v>60.7958</x:v>
      </x:c>
      <x:c r="AX44" s="60" t="n">
        <x:v>60.9796</x:v>
      </x:c>
      <x:c r="AY44" s="60" t="n">
        <x:v>61.1504</x:v>
      </x:c>
      <x:c r="AZ44" s="60" t="n">
        <x:v>61.3239</x:v>
      </x:c>
      <x:c r="BA44" s="60" t="n">
        <x:v>61.4895</x:v>
      </x:c>
      <x:c r="BB44" s="60" t="n">
        <x:v>61.6703</x:v>
      </x:c>
      <x:c r="BC44" s="60" t="n">
        <x:v>61.8441</x:v>
      </x:c>
      <x:c r="BD44" s="60" t="n">
        <x:v>62.0025</x:v>
      </x:c>
      <x:c r="BE44" s="60" t="n">
        <x:v>62.1779</x:v>
      </x:c>
      <x:c r="BF44" s="60" t="n">
        <x:v>62.3389</x:v>
      </x:c>
      <x:c r="BG44" s="60" t="n">
        <x:v>62.487</x:v>
      </x:c>
      <x:c r="BH44" s="60" t="n">
        <x:v>62.667</x:v>
      </x:c>
      <x:c r="BI44" s="60" t="n">
        <x:v>62.8467</x:v>
      </x:c>
      <x:c r="BJ44" s="60" t="n">
        <x:v>63.003</x:v>
      </x:c>
      <x:c r="BK44" s="60" t="n">
        <x:v>63.1647</x:v>
      </x:c>
      <x:c r="BL44" s="60" t="n">
        <x:v>63.3321</x:v>
      </x:c>
      <x:c r="BM44" s="60" t="n">
        <x:v>63.4935</x:v>
      </x:c>
      <x:c r="BN44" s="60" t="n">
        <x:v>63.6478</x:v>
      </x:c>
      <x:c r="BO44" s="60" t="n">
        <x:v>63.7943</x:v>
      </x:c>
      <x:c r="BP44" s="60" t="n">
        <x:v>63.9463</x:v>
      </x:c>
      <x:c r="BQ44" s="60" t="n">
        <x:v>64.1011</x:v>
      </x:c>
      <x:c r="BR44" s="60" t="n">
        <x:v>64.2655</x:v>
      </x:c>
      <x:c r="BS44" s="60" t="n">
        <x:v>64.4336</x:v>
      </x:c>
      <x:c r="BT44" s="60" t="n">
        <x:v>64.602</x:v>
      </x:c>
      <x:c r="BU44" s="60" t="n">
        <x:v>64.7605</x:v>
      </x:c>
      <x:c r="BV44" s="60" t="n">
        <x:v>64.927</x:v>
      </x:c>
      <x:c r="BW44" s="60" t="n">
        <x:v>65.0941</x:v>
      </x:c>
      <x:c r="BX44" s="60" t="n">
        <x:v>65.2449</x:v>
      </x:c>
      <x:c r="BY44" s="60" t="n">
        <x:v>65.416</x:v>
      </x:c>
      <x:c r="BZ44" s="60" t="n">
        <x:v>65.5746</x:v>
      </x:c>
      <x:c r="CA44" s="60" t="n">
        <x:v>65.7515</x:v>
      </x:c>
      <x:c r="CB44" s="60" t="n">
        <x:v>65.9274</x:v>
      </x:c>
      <x:c r="CC44" s="60" t="n">
        <x:v>66.1086</x:v>
      </x:c>
      <x:c r="CD44" s="60" t="n">
        <x:v>66.2973</x:v>
      </x:c>
      <x:c r="CE44" s="60" t="n">
        <x:v>66.4761</x:v>
      </x:c>
      <x:c r="CF44" s="60" t="n">
        <x:v>66.6508</x:v>
      </x:c>
      <x:c r="CG44" s="60" t="n">
        <x:v>66.8348</x:v>
      </x:c>
      <x:c r="CH44" s="60" t="n">
        <x:v>67.0342</x:v>
      </x:c>
      <x:c r="CI44" s="60" t="n">
        <x:v>67.2353</x:v>
      </x:c>
      <x:c r="CJ44" s="60" t="n">
        <x:v>67.4168</x:v>
      </x:c>
      <x:c r="CK44" s="60" t="n">
        <x:v>67.6056</x:v>
      </x:c>
      <x:c r="CL44" s="60" t="n">
        <x:v>67.8342</x:v>
      </x:c>
      <x:c r="CM44" s="60" t="n">
        <x:v>68.0598</x:v>
      </x:c>
      <x:c r="CN44" s="60" t="n">
        <x:v>68.296</x:v>
      </x:c>
      <x:c r="CO44" s="60" t="n">
        <x:v>68.5026</x:v>
      </x:c>
      <x:c r="CP44" s="60" t="n">
        <x:v>68.739</x:v>
      </x:c>
      <x:c r="CQ44" s="60" t="n">
        <x:v>68.9551</x:v>
      </x:c>
      <x:c r="CR44" s="60" t="n">
        <x:v>69.2466</x:v>
      </x:c>
      <x:c r="CS44" s="60" t="n">
        <x:v>69.5247</x:v>
      </x:c>
      <x:c r="CT44" s="60" t="n">
        <x:v>69.8151</x:v>
      </x:c>
      <x:c r="CU44" s="60" t="n">
        <x:v>70.0986</x:v>
      </x:c>
      <x:c r="CV44" s="60" t="n">
        <x:v>70.4408</x:v>
      </x:c>
      <x:c r="CW44" s="60" t="n">
        <x:v>70.7826</x:v>
      </x:c>
      <x:c r="CX44" s="60" t="n">
        <x:v>71.1885</x:v>
      </x:c>
      <x:c r="CY44" s="60" t="n">
        <x:v>71.6645</x:v>
      </x:c>
      <x:c r="CZ44" s="60" t="n">
        <x:v>72.3218</x:v>
      </x:c>
      <x:c r="DA44" s="60" t="n">
        <x:v>73.1739</x:v>
      </x:c>
      <x:c r="DB44" s="60" t="n">
        <x:v>77.1815</x:v>
      </x:c>
    </x:row>
    <x:row r="45">
      <x:c r="A45" t="str">
        <x:v>オーダイル-1</x:v>
      </x:c>
      <x:c r="B45" t="str">
        <x:v>オーダイル</x:v>
      </x:c>
      <x:c r="C45" t="str">
        <x:v>共通</x:v>
      </x:c>
      <x:c r="D45" s="60" t="n">
        <x:v>61.4843</x:v>
      </x:c>
      <x:c r="E45" s="60" t="n">
        <x:v>13.2299</x:v>
      </x:c>
      <x:c r="F45" s="60" t="n">
        <x:v>25.2059</x:v>
      </x:c>
      <x:c r="G45" s="60" t="n">
        <x:v>33.5378</x:v>
      </x:c>
      <x:c r="H45" s="60" t="n">
        <x:v>34.9644</x:v>
      </x:c>
      <x:c r="I45" s="60" t="n">
        <x:v>36.0693</x:v>
      </x:c>
      <x:c r="J45" s="60" t="n">
        <x:v>37.1011</x:v>
      </x:c>
      <x:c r="K45" s="60" t="n">
        <x:v>38.1921</x:v>
      </x:c>
      <x:c r="L45" s="60" t="n">
        <x:v>39.2323</x:v>
      </x:c>
      <x:c r="M45" s="60" t="n">
        <x:v>40.1914</x:v>
      </x:c>
      <x:c r="N45" s="60" t="n">
        <x:v>41.0319</x:v>
      </x:c>
      <x:c r="O45" s="60" t="n">
        <x:v>41.8981</x:v>
      </x:c>
      <x:c r="P45" s="60" t="n">
        <x:v>42.7126</x:v>
      </x:c>
      <x:c r="Q45" s="60" t="n">
        <x:v>43.4054</x:v>
      </x:c>
      <x:c r="R45" s="60" t="n">
        <x:v>44.1327</x:v>
      </x:c>
      <x:c r="S45" s="60" t="n">
        <x:v>44.8657</x:v>
      </x:c>
      <x:c r="T45" s="60" t="n">
        <x:v>45.5968</x:v>
      </x:c>
      <x:c r="U45" s="60" t="n">
        <x:v>46.2107</x:v>
      </x:c>
      <x:c r="V45" s="60" t="n">
        <x:v>46.8636</x:v>
      </x:c>
      <x:c r="W45" s="60" t="n">
        <x:v>47.4704</x:v>
      </x:c>
      <x:c r="X45" s="60" t="n">
        <x:v>48.0037</x:v>
      </x:c>
      <x:c r="Y45" s="60" t="n">
        <x:v>48.5831</x:v>
      </x:c>
      <x:c r="Z45" s="60" t="n">
        <x:v>49.0978</x:v>
      </x:c>
      <x:c r="AA45" s="60" t="n">
        <x:v>49.6457</x:v>
      </x:c>
      <x:c r="AB45" s="60" t="n">
        <x:v>50.1925</x:v>
      </x:c>
      <x:c r="AC45" s="60" t="n">
        <x:v>50.6763</x:v>
      </x:c>
      <x:c r="AD45" s="60" t="n">
        <x:v>51.1842</x:v>
      </x:c>
      <x:c r="AE45" s="60" t="n">
        <x:v>51.6467</x:v>
      </x:c>
      <x:c r="AF45" s="60" t="n">
        <x:v>52.1584</x:v>
      </x:c>
      <x:c r="AG45" s="60" t="n">
        <x:v>52.6519</x:v>
      </x:c>
      <x:c r="AH45" s="60" t="n">
        <x:v>53.1702</x:v>
      </x:c>
      <x:c r="AI45" s="60" t="n">
        <x:v>53.617</x:v>
      </x:c>
      <x:c r="AJ45" s="60" t="n">
        <x:v>54.0713</x:v>
      </x:c>
      <x:c r="AK45" s="60" t="n">
        <x:v>54.5151</x:v>
      </x:c>
      <x:c r="AL45" s="60" t="n">
        <x:v>54.9344</x:v>
      </x:c>
      <x:c r="AM45" s="60" t="n">
        <x:v>55.4182</x:v>
      </x:c>
      <x:c r="AN45" s="60" t="n">
        <x:v>55.8759</x:v>
      </x:c>
      <x:c r="AO45" s="60" t="n">
        <x:v>56.3486</x:v>
      </x:c>
      <x:c r="AP45" s="60" t="n">
        <x:v>56.7719</x:v>
      </x:c>
      <x:c r="AQ45" s="60" t="n">
        <x:v>57.1765</x:v>
      </x:c>
      <x:c r="AR45" s="60" t="n">
        <x:v>57.573</x:v>
      </x:c>
      <x:c r="AS45" s="60" t="n">
        <x:v>57.9428</x:v>
      </x:c>
      <x:c r="AT45" s="60" t="n">
        <x:v>58.3361</x:v>
      </x:c>
      <x:c r="AU45" s="60" t="n">
        <x:v>58.7739</x:v>
      </x:c>
      <x:c r="AV45" s="60" t="n">
        <x:v>59.219</x:v>
      </x:c>
      <x:c r="AW45" s="60" t="n">
        <x:v>59.5742</x:v>
      </x:c>
      <x:c r="AX45" s="60" t="n">
        <x:v>60.0074</x:v>
      </x:c>
      <x:c r="AY45" s="60" t="n">
        <x:v>60.3922</x:v>
      </x:c>
      <x:c r="AZ45" s="60" t="n">
        <x:v>60.7731</x:v>
      </x:c>
      <x:c r="BA45" s="60" t="n">
        <x:v>61.1973</x:v>
      </x:c>
      <x:c r="BB45" s="60" t="n">
        <x:v>61.5999</x:v>
      </x:c>
      <x:c r="BC45" s="60" t="n">
        <x:v>61.9803</x:v>
      </x:c>
      <x:c r="BD45" s="60" t="n">
        <x:v>62.4105</x:v>
      </x:c>
      <x:c r="BE45" s="60" t="n">
        <x:v>62.768</x:v>
      </x:c>
      <x:c r="BF45" s="60" t="n">
        <x:v>63.2082</x:v>
      </x:c>
      <x:c r="BG45" s="60" t="n">
        <x:v>63.5696</x:v>
      </x:c>
      <x:c r="BH45" s="60" t="n">
        <x:v>63.9467</x:v>
      </x:c>
      <x:c r="BI45" s="60" t="n">
        <x:v>64.3308</x:v>
      </x:c>
      <x:c r="BJ45" s="60" t="n">
        <x:v>64.6789</x:v>
      </x:c>
      <x:c r="BK45" s="60" t="n">
        <x:v>65.0612</x:v>
      </x:c>
      <x:c r="BL45" s="60" t="n">
        <x:v>65.4431</x:v>
      </x:c>
      <x:c r="BM45" s="60" t="n">
        <x:v>65.7872</x:v>
      </x:c>
      <x:c r="BN45" s="60" t="n">
        <x:v>66.1886</x:v>
      </x:c>
      <x:c r="BO45" s="60" t="n">
        <x:v>66.5903</x:v>
      </x:c>
      <x:c r="BP45" s="60" t="n">
        <x:v>66.9503</x:v>
      </x:c>
      <x:c r="BQ45" s="60" t="n">
        <x:v>67.3144</x:v>
      </x:c>
      <x:c r="BR45" s="60" t="n">
        <x:v>67.6833</x:v>
      </x:c>
      <x:c r="BS45" s="60" t="n">
        <x:v>68.0593</x:v>
      </x:c>
      <x:c r="BT45" s="60" t="n">
        <x:v>68.4587</x:v>
      </x:c>
      <x:c r="BU45" s="60" t="n">
        <x:v>68.829</x:v>
      </x:c>
      <x:c r="BV45" s="60" t="n">
        <x:v>69.216</x:v>
      </x:c>
      <x:c r="BW45" s="60" t="n">
        <x:v>69.6096</x:v>
      </x:c>
      <x:c r="BX45" s="60" t="n">
        <x:v>69.9748</x:v>
      </x:c>
      <x:c r="BY45" s="60" t="n">
        <x:v>70.3847</x:v>
      </x:c>
      <x:c r="BZ45" s="60" t="n">
        <x:v>70.7033</x:v>
      </x:c>
      <x:c r="CA45" s="60" t="n">
        <x:v>71.0568</x:v>
      </x:c>
      <x:c r="CB45" s="60" t="n">
        <x:v>71.4341</x:v>
      </x:c>
      <x:c r="CC45" s="60" t="n">
        <x:v>71.7823</x:v>
      </x:c>
      <x:c r="CD45" s="60" t="n">
        <x:v>72.2045</x:v>
      </x:c>
      <x:c r="CE45" s="60" t="n">
        <x:v>72.5915</x:v>
      </x:c>
      <x:c r="CF45" s="60" t="n">
        <x:v>72.9566</x:v>
      </x:c>
      <x:c r="CG45" s="60" t="n">
        <x:v>73.3366</x:v>
      </x:c>
      <x:c r="CH45" s="60" t="n">
        <x:v>73.8713</x:v>
      </x:c>
      <x:c r="CI45" s="60" t="n">
        <x:v>74.3455</x:v>
      </x:c>
      <x:c r="CJ45" s="60" t="n">
        <x:v>74.754</x:v>
      </x:c>
      <x:c r="CK45" s="60" t="n">
        <x:v>75.2034</x:v>
      </x:c>
      <x:c r="CL45" s="60" t="n">
        <x:v>75.6636</x:v>
      </x:c>
      <x:c r="CM45" s="60" t="n">
        <x:v>76.1364</x:v>
      </x:c>
      <x:c r="CN45" s="60" t="n">
        <x:v>76.5952</x:v>
      </x:c>
      <x:c r="CO45" s="60" t="n">
        <x:v>77.048</x:v>
      </x:c>
      <x:c r="CP45" s="60" t="n">
        <x:v>77.5143</x:v>
      </x:c>
      <x:c r="CQ45" s="60" t="n">
        <x:v>78.0184</x:v>
      </x:c>
      <x:c r="CR45" s="60" t="n">
        <x:v>78.4967</x:v>
      </x:c>
      <x:c r="CS45" s="60" t="n">
        <x:v>79.1068</x:v>
      </x:c>
      <x:c r="CT45" s="60" t="n">
        <x:v>79.6554</x:v>
      </x:c>
      <x:c r="CU45" s="60" t="n">
        <x:v>80.3169</x:v>
      </x:c>
      <x:c r="CV45" s="60" t="n">
        <x:v>80.9689</x:v>
      </x:c>
      <x:c r="CW45" s="60" t="n">
        <x:v>81.774</x:v>
      </x:c>
      <x:c r="CX45" s="60" t="n">
        <x:v>82.6237</x:v>
      </x:c>
      <x:c r="CY45" s="60" t="n">
        <x:v>83.5402</x:v>
      </x:c>
      <x:c r="CZ45" s="60" t="n">
        <x:v>84.5606</x:v>
      </x:c>
      <x:c r="DA45" s="60" t="n">
        <x:v>85.8928</x:v>
      </x:c>
      <x:c r="DB45" s="60" t="n">
        <x:v>90.1585</x:v>
      </x:c>
    </x:row>
    <x:row r="46">
      <x:c r="A46" t="str">
        <x:v>カイリキー-1</x:v>
      </x:c>
      <x:c r="B46" t="str">
        <x:v>カイリキー</x:v>
      </x:c>
      <x:c r="C46" t="str">
        <x:v>共通</x:v>
      </x:c>
      <x:c r="D46" s="60" t="n">
        <x:v>62.0929</x:v>
      </x:c>
      <x:c r="E46" s="60" t="n">
        <x:v>12.3819</x:v>
      </x:c>
      <x:c r="F46" s="60" t="n">
        <x:v>27.4093</x:v>
      </x:c>
      <x:c r="G46" s="60" t="n">
        <x:v>35.3224</x:v>
      </x:c>
      <x:c r="H46" s="60" t="n">
        <x:v>36.7843</x:v>
      </x:c>
      <x:c r="I46" s="60" t="n">
        <x:v>37.8482</x:v>
      </x:c>
      <x:c r="J46" s="60" t="n">
        <x:v>38.9875</x:v>
      </x:c>
      <x:c r="K46" s="60" t="n">
        <x:v>39.9381</x:v>
      </x:c>
      <x:c r="L46" s="60" t="n">
        <x:v>40.9823</x:v>
      </x:c>
      <x:c r="M46" s="60" t="n">
        <x:v>41.8694</x:v>
      </x:c>
      <x:c r="N46" s="60" t="n">
        <x:v>42.7674</x:v>
      </x:c>
      <x:c r="O46" s="60" t="n">
        <x:v>43.5276</x:v>
      </x:c>
      <x:c r="P46" s="60" t="n">
        <x:v>44.2072</x:v>
      </x:c>
      <x:c r="Q46" s="60" t="n">
        <x:v>45.0103</x:v>
      </x:c>
      <x:c r="R46" s="60" t="n">
        <x:v>45.7148</x:v>
      </x:c>
      <x:c r="S46" s="60" t="n">
        <x:v>46.448</x:v>
      </x:c>
      <x:c r="T46" s="60" t="n">
        <x:v>47.1544</x:v>
      </x:c>
      <x:c r="U46" s="60" t="n">
        <x:v>47.7226</x:v>
      </x:c>
      <x:c r="V46" s="60" t="n">
        <x:v>48.338</x:v>
      </x:c>
      <x:c r="W46" s="60" t="n">
        <x:v>48.9085</x:v>
      </x:c>
      <x:c r="X46" s="60" t="n">
        <x:v>49.4201</x:v>
      </x:c>
      <x:c r="Y46" s="60" t="n">
        <x:v>49.9661</x:v>
      </x:c>
      <x:c r="Z46" s="60" t="n">
        <x:v>50.5056</x:v>
      </x:c>
      <x:c r="AA46" s="60" t="n">
        <x:v>50.9678</x:v>
      </x:c>
      <x:c r="AB46" s="60" t="n">
        <x:v>51.5353</x:v>
      </x:c>
      <x:c r="AC46" s="60" t="n">
        <x:v>52.0859</x:v>
      </x:c>
      <x:c r="AD46" s="60" t="n">
        <x:v>52.5221</x:v>
      </x:c>
      <x:c r="AE46" s="60" t="n">
        <x:v>52.9497</x:v>
      </x:c>
      <x:c r="AF46" s="60" t="n">
        <x:v>53.4463</x:v>
      </x:c>
      <x:c r="AG46" s="60" t="n">
        <x:v>53.8698</x:v>
      </x:c>
      <x:c r="AH46" s="60" t="n">
        <x:v>54.3495</x:v>
      </x:c>
      <x:c r="AI46" s="60" t="n">
        <x:v>54.775</x:v>
      </x:c>
      <x:c r="AJ46" s="60" t="n">
        <x:v>55.2715</x:v>
      </x:c>
      <x:c r="AK46" s="60" t="n">
        <x:v>55.7225</x:v>
      </x:c>
      <x:c r="AL46" s="60" t="n">
        <x:v>56.14</x:v>
      </x:c>
      <x:c r="AM46" s="60" t="n">
        <x:v>56.5679</x:v>
      </x:c>
      <x:c r="AN46" s="60" t="n">
        <x:v>57.0412</x:v>
      </x:c>
      <x:c r="AO46" s="60" t="n">
        <x:v>57.4414</x:v>
      </x:c>
      <x:c r="AP46" s="60" t="n">
        <x:v>57.8234</x:v>
      </x:c>
      <x:c r="AQ46" s="60" t="n">
        <x:v>58.209</x:v>
      </x:c>
      <x:c r="AR46" s="60" t="n">
        <x:v>58.6295</x:v>
      </x:c>
      <x:c r="AS46" s="60" t="n">
        <x:v>59.0441</x:v>
      </x:c>
      <x:c r="AT46" s="60" t="n">
        <x:v>59.4374</x:v>
      </x:c>
      <x:c r="AU46" s="60" t="n">
        <x:v>59.787</x:v>
      </x:c>
      <x:c r="AV46" s="60" t="n">
        <x:v>60.163</x:v>
      </x:c>
      <x:c r="AW46" s="60" t="n">
        <x:v>60.5474</x:v>
      </x:c>
      <x:c r="AX46" s="60" t="n">
        <x:v>60.945</x:v>
      </x:c>
      <x:c r="AY46" s="60" t="n">
        <x:v>61.3101</x:v>
      </x:c>
      <x:c r="AZ46" s="60" t="n">
        <x:v>61.7451</x:v>
      </x:c>
      <x:c r="BA46" s="60" t="n">
        <x:v>62.1006</x:v>
      </x:c>
      <x:c r="BB46" s="60" t="n">
        <x:v>62.4782</x:v>
      </x:c>
      <x:c r="BC46" s="60" t="n">
        <x:v>62.8324</x:v>
      </x:c>
      <x:c r="BD46" s="60" t="n">
        <x:v>63.1847</x:v>
      </x:c>
      <x:c r="BE46" s="60" t="n">
        <x:v>63.5425</x:v>
      </x:c>
      <x:c r="BF46" s="60" t="n">
        <x:v>63.907</x:v>
      </x:c>
      <x:c r="BG46" s="60" t="n">
        <x:v>64.2417</x:v>
      </x:c>
      <x:c r="BH46" s="60" t="n">
        <x:v>64.629</x:v>
      </x:c>
      <x:c r="BI46" s="60" t="n">
        <x:v>64.9646</x:v>
      </x:c>
      <x:c r="BJ46" s="60" t="n">
        <x:v>65.3171</x:v>
      </x:c>
      <x:c r="BK46" s="60" t="n">
        <x:v>65.6533</x:v>
      </x:c>
      <x:c r="BL46" s="60" t="n">
        <x:v>66.0149</x:v>
      </x:c>
      <x:c r="BM46" s="60" t="n">
        <x:v>66.3298</x:v>
      </x:c>
      <x:c r="BN46" s="60" t="n">
        <x:v>66.6848</x:v>
      </x:c>
      <x:c r="BO46" s="60" t="n">
        <x:v>67.0806</x:v>
      </x:c>
      <x:c r="BP46" s="60" t="n">
        <x:v>67.4894</x:v>
      </x:c>
      <x:c r="BQ46" s="60" t="n">
        <x:v>67.805</x:v>
      </x:c>
      <x:c r="BR46" s="60" t="n">
        <x:v>68.1368</x:v>
      </x:c>
      <x:c r="BS46" s="60" t="n">
        <x:v>68.5126</x:v>
      </x:c>
      <x:c r="BT46" s="60" t="n">
        <x:v>68.857</x:v>
      </x:c>
      <x:c r="BU46" s="60" t="n">
        <x:v>69.2096</x:v>
      </x:c>
      <x:c r="BV46" s="60" t="n">
        <x:v>69.526</x:v>
      </x:c>
      <x:c r="BW46" s="60" t="n">
        <x:v>69.8789</x:v>
      </x:c>
      <x:c r="BX46" s="60" t="n">
        <x:v>70.2441</x:v>
      </x:c>
      <x:c r="BY46" s="60" t="n">
        <x:v>70.5703</x:v>
      </x:c>
      <x:c r="BZ46" s="60" t="n">
        <x:v>70.9147</x:v>
      </x:c>
      <x:c r="CA46" s="60" t="n">
        <x:v>71.2492</x:v>
      </x:c>
      <x:c r="CB46" s="60" t="n">
        <x:v>71.5492</x:v>
      </x:c>
      <x:c r="CC46" s="60" t="n">
        <x:v>71.9361</x:v>
      </x:c>
      <x:c r="CD46" s="60" t="n">
        <x:v>72.2675</x:v>
      </x:c>
      <x:c r="CE46" s="60" t="n">
        <x:v>72.6423</x:v>
      </x:c>
      <x:c r="CF46" s="60" t="n">
        <x:v>72.9959</x:v>
      </x:c>
      <x:c r="CG46" s="60" t="n">
        <x:v>73.3406</x:v>
      </x:c>
      <x:c r="CH46" s="60" t="n">
        <x:v>73.7382</x:v>
      </x:c>
      <x:c r="CI46" s="60" t="n">
        <x:v>74.0865</x:v>
      </x:c>
      <x:c r="CJ46" s="60" t="n">
        <x:v>74.5067</x:v>
      </x:c>
      <x:c r="CK46" s="60" t="n">
        <x:v>74.9331</x:v>
      </x:c>
      <x:c r="CL46" s="60" t="n">
        <x:v>75.3597</x:v>
      </x:c>
      <x:c r="CM46" s="60" t="n">
        <x:v>75.7282</x:v>
      </x:c>
      <x:c r="CN46" s="60" t="n">
        <x:v>76.1237</x:v>
      </x:c>
      <x:c r="CO46" s="60" t="n">
        <x:v>76.4854</x:v>
      </x:c>
      <x:c r="CP46" s="60" t="n">
        <x:v>76.9036</x:v>
      </x:c>
      <x:c r="CQ46" s="60" t="n">
        <x:v>77.3925</x:v>
      </x:c>
      <x:c r="CR46" s="60" t="n">
        <x:v>77.8302</x:v>
      </x:c>
      <x:c r="CS46" s="60" t="n">
        <x:v>78.311</x:v>
      </x:c>
      <x:c r="CT46" s="60" t="n">
        <x:v>78.84</x:v>
      </x:c>
      <x:c r="CU46" s="60" t="n">
        <x:v>79.3534</x:v>
      </x:c>
      <x:c r="CV46" s="60" t="n">
        <x:v>80.0084</x:v>
      </x:c>
      <x:c r="CW46" s="60" t="n">
        <x:v>80.6324</x:v>
      </x:c>
      <x:c r="CX46" s="60" t="n">
        <x:v>81.2267</x:v>
      </x:c>
      <x:c r="CY46" s="60" t="n">
        <x:v>81.9703</x:v>
      </x:c>
      <x:c r="CZ46" s="60" t="n">
        <x:v>82.8914</x:v>
      </x:c>
      <x:c r="DA46" s="60" t="n">
        <x:v>83.9258</x:v>
      </x:c>
      <x:c r="DB46" s="60" t="n">
        <x:v>87.1612</x:v>
      </x:c>
    </x:row>
    <x:row r="47">
      <x:c r="A47" t="str">
        <x:v>カイリュー-1</x:v>
      </x:c>
      <x:c r="B47" t="str">
        <x:v>カイリュー</x:v>
      </x:c>
      <x:c r="C47" t="str">
        <x:v>はかいこうせん</x:v>
      </x:c>
      <x:c r="D47" s="60" t="n">
        <x:v>60.8406</x:v>
      </x:c>
      <x:c r="E47" s="60" t="n">
        <x:v>11.5474</x:v>
      </x:c>
      <x:c r="F47" s="60" t="n">
        <x:v>28.4623</x:v>
      </x:c>
      <x:c r="G47" s="60" t="n">
        <x:v>35.9345</x:v>
      </x:c>
      <x:c r="H47" s="60" t="n">
        <x:v>37.3436</x:v>
      </x:c>
      <x:c r="I47" s="60" t="n">
        <x:v>38.4911</x:v>
      </x:c>
      <x:c r="J47" s="60" t="n">
        <x:v>39.6908</x:v>
      </x:c>
      <x:c r="K47" s="60" t="n">
        <x:v>40.6436</x:v>
      </x:c>
      <x:c r="L47" s="60" t="n">
        <x:v>41.5915</x:v>
      </x:c>
      <x:c r="M47" s="60" t="n">
        <x:v>42.4255</x:v>
      </x:c>
      <x:c r="N47" s="60" t="n">
        <x:v>43.2792</x:v>
      </x:c>
      <x:c r="O47" s="60" t="n">
        <x:v>44.0222</x:v>
      </x:c>
      <x:c r="P47" s="60" t="n">
        <x:v>44.6341</x:v>
      </x:c>
      <x:c r="Q47" s="60" t="n">
        <x:v>45.2586</x:v>
      </x:c>
      <x:c r="R47" s="60" t="n">
        <x:v>45.9416</x:v>
      </x:c>
      <x:c r="S47" s="60" t="n">
        <x:v>46.5689</x:v>
      </x:c>
      <x:c r="T47" s="60" t="n">
        <x:v>47.1851</x:v>
      </x:c>
      <x:c r="U47" s="60" t="n">
        <x:v>47.7764</x:v>
      </x:c>
      <x:c r="V47" s="60" t="n">
        <x:v>48.3078</x:v>
      </x:c>
      <x:c r="W47" s="60" t="n">
        <x:v>48.7922</x:v>
      </x:c>
      <x:c r="X47" s="60" t="n">
        <x:v>49.32</x:v>
      </x:c>
      <x:c r="Y47" s="60" t="n">
        <x:v>49.7969</x:v>
      </x:c>
      <x:c r="Z47" s="60" t="n">
        <x:v>50.2964</x:v>
      </x:c>
      <x:c r="AA47" s="60" t="n">
        <x:v>50.7515</x:v>
      </x:c>
      <x:c r="AB47" s="60" t="n">
        <x:v>51.2122</x:v>
      </x:c>
      <x:c r="AC47" s="60" t="n">
        <x:v>51.6515</x:v>
      </x:c>
      <x:c r="AD47" s="60" t="n">
        <x:v>52.0396</x:v>
      </x:c>
      <x:c r="AE47" s="60" t="n">
        <x:v>52.433</x:v>
      </x:c>
      <x:c r="AF47" s="60" t="n">
        <x:v>52.8844</x:v>
      </x:c>
      <x:c r="AG47" s="60" t="n">
        <x:v>53.2669</x:v>
      </x:c>
      <x:c r="AH47" s="60" t="n">
        <x:v>53.655</x:v>
      </x:c>
      <x:c r="AI47" s="60" t="n">
        <x:v>54.1115</x:v>
      </x:c>
      <x:c r="AJ47" s="60" t="n">
        <x:v>54.489</x:v>
      </x:c>
      <x:c r="AK47" s="60" t="n">
        <x:v>54.8556</x:v>
      </x:c>
      <x:c r="AL47" s="60" t="n">
        <x:v>55.2433</x:v>
      </x:c>
      <x:c r="AM47" s="60" t="n">
        <x:v>55.625</x:v>
      </x:c>
      <x:c r="AN47" s="60" t="n">
        <x:v>56.0153</x:v>
      </x:c>
      <x:c r="AO47" s="60" t="n">
        <x:v>56.373</x:v>
      </x:c>
      <x:c r="AP47" s="60" t="n">
        <x:v>56.7384</x:v>
      </x:c>
      <x:c r="AQ47" s="60" t="n">
        <x:v>57.1045</x:v>
      </x:c>
      <x:c r="AR47" s="60" t="n">
        <x:v>57.4504</x:v>
      </x:c>
      <x:c r="AS47" s="60" t="n">
        <x:v>57.7494</x:v>
      </x:c>
      <x:c r="AT47" s="60" t="n">
        <x:v>58.0621</x:v>
      </x:c>
      <x:c r="AU47" s="60" t="n">
        <x:v>58.3833</x:v>
      </x:c>
      <x:c r="AV47" s="60" t="n">
        <x:v>58.749</x:v>
      </x:c>
      <x:c r="AW47" s="60" t="n">
        <x:v>59.0908</x:v>
      </x:c>
      <x:c r="AX47" s="60" t="n">
        <x:v>59.4288</x:v>
      </x:c>
      <x:c r="AY47" s="60" t="n">
        <x:v>59.792</x:v>
      </x:c>
      <x:c r="AZ47" s="60" t="n">
        <x:v>60.1298</x:v>
      </x:c>
      <x:c r="BA47" s="60" t="n">
        <x:v>60.4599</x:v>
      </x:c>
      <x:c r="BB47" s="60" t="n">
        <x:v>60.7935</x:v>
      </x:c>
      <x:c r="BC47" s="60" t="n">
        <x:v>61.1336</x:v>
      </x:c>
      <x:c r="BD47" s="60" t="n">
        <x:v>61.4714</x:v>
      </x:c>
      <x:c r="BE47" s="60" t="n">
        <x:v>61.7969</x:v>
      </x:c>
      <x:c r="BF47" s="60" t="n">
        <x:v>62.1438</x:v>
      </x:c>
      <x:c r="BG47" s="60" t="n">
        <x:v>62.4489</x:v>
      </x:c>
      <x:c r="BH47" s="60" t="n">
        <x:v>62.7928</x:v>
      </x:c>
      <x:c r="BI47" s="60" t="n">
        <x:v>63.0677</x:v>
      </x:c>
      <x:c r="BJ47" s="60" t="n">
        <x:v>63.3994</x:v>
      </x:c>
      <x:c r="BK47" s="60" t="n">
        <x:v>63.7268</x:v>
      </x:c>
      <x:c r="BL47" s="60" t="n">
        <x:v>64.0695</x:v>
      </x:c>
      <x:c r="BM47" s="60" t="n">
        <x:v>64.3854</x:v>
      </x:c>
      <x:c r="BN47" s="60" t="n">
        <x:v>64.6834</x:v>
      </x:c>
      <x:c r="BO47" s="60" t="n">
        <x:v>65.0415</x:v>
      </x:c>
      <x:c r="BP47" s="60" t="n">
        <x:v>65.3536</x:v>
      </x:c>
      <x:c r="BQ47" s="60" t="n">
        <x:v>65.6926</x:v>
      </x:c>
      <x:c r="BR47" s="60" t="n">
        <x:v>66.0147</x:v>
      </x:c>
      <x:c r="BS47" s="60" t="n">
        <x:v>66.3294</x:v>
      </x:c>
      <x:c r="BT47" s="60" t="n">
        <x:v>66.6798</x:v>
      </x:c>
      <x:c r="BU47" s="60" t="n">
        <x:v>66.9896</x:v>
      </x:c>
      <x:c r="BV47" s="60" t="n">
        <x:v>67.2794</x:v>
      </x:c>
      <x:c r="BW47" s="60" t="n">
        <x:v>67.6232</x:v>
      </x:c>
      <x:c r="BX47" s="60" t="n">
        <x:v>67.9311</x:v>
      </x:c>
      <x:c r="BY47" s="60" t="n">
        <x:v>68.2949</x:v>
      </x:c>
      <x:c r="BZ47" s="60" t="n">
        <x:v>68.6222</x:v>
      </x:c>
      <x:c r="CA47" s="60" t="n">
        <x:v>68.9963</x:v>
      </x:c>
      <x:c r="CB47" s="60" t="n">
        <x:v>69.3219</x:v>
      </x:c>
      <x:c r="CC47" s="60" t="n">
        <x:v>69.68</x:v>
      </x:c>
      <x:c r="CD47" s="60" t="n">
        <x:v>70.0342</x:v>
      </x:c>
      <x:c r="CE47" s="60" t="n">
        <x:v>70.4341</x:v>
      </x:c>
      <x:c r="CF47" s="60" t="n">
        <x:v>70.787</x:v>
      </x:c>
      <x:c r="CG47" s="60" t="n">
        <x:v>71.1273</x:v>
      </x:c>
      <x:c r="CH47" s="60" t="n">
        <x:v>71.5395</x:v>
      </x:c>
      <x:c r="CI47" s="60" t="n">
        <x:v>71.8919</x:v>
      </x:c>
      <x:c r="CJ47" s="60" t="n">
        <x:v>72.3398</x:v>
      </x:c>
      <x:c r="CK47" s="60" t="n">
        <x:v>72.7525</x:v>
      </x:c>
      <x:c r="CL47" s="60" t="n">
        <x:v>73.1335</x:v>
      </x:c>
      <x:c r="CM47" s="60" t="n">
        <x:v>73.5411</x:v>
      </x:c>
      <x:c r="CN47" s="60" t="n">
        <x:v>73.9799</x:v>
      </x:c>
      <x:c r="CO47" s="60" t="n">
        <x:v>74.422</x:v>
      </x:c>
      <x:c r="CP47" s="60" t="n">
        <x:v>74.8671</x:v>
      </x:c>
      <x:c r="CQ47" s="60" t="n">
        <x:v>75.3825</x:v>
      </x:c>
      <x:c r="CR47" s="60" t="n">
        <x:v>75.8752</x:v>
      </x:c>
      <x:c r="CS47" s="60" t="n">
        <x:v>76.3549</x:v>
      </x:c>
      <x:c r="CT47" s="60" t="n">
        <x:v>76.8968</x:v>
      </x:c>
      <x:c r="CU47" s="60" t="n">
        <x:v>77.458</x:v>
      </x:c>
      <x:c r="CV47" s="60" t="n">
        <x:v>78.1198</x:v>
      </x:c>
      <x:c r="CW47" s="60" t="n">
        <x:v>78.848</x:v>
      </x:c>
      <x:c r="CX47" s="60" t="n">
        <x:v>79.5578</x:v>
      </x:c>
      <x:c r="CY47" s="60" t="n">
        <x:v>80.4841</x:v>
      </x:c>
      <x:c r="CZ47" s="60" t="n">
        <x:v>81.5511</x:v>
      </x:c>
      <x:c r="DA47" s="60" t="n">
        <x:v>82.8565</x:v>
      </x:c>
      <x:c r="DB47" s="60" t="n">
        <x:v>86.6148</x:v>
      </x:c>
    </x:row>
    <x:row r="48">
      <x:c r="A48" t="str">
        <x:v>カイリュー-2</x:v>
      </x:c>
      <x:c r="B48" t="str">
        <x:v>カイリュー</x:v>
      </x:c>
      <x:c r="C48" t="str">
        <x:v>げきりん</x:v>
      </x:c>
      <x:c r="D48" s="60" t="n">
        <x:v>61.5803</x:v>
      </x:c>
      <x:c r="E48" s="60" t="n">
        <x:v>9.8071</x:v>
      </x:c>
      <x:c r="F48" s="60" t="n">
        <x:v>32.7084</x:v>
      </x:c>
      <x:c r="G48" s="60" t="n">
        <x:v>39.7738</x:v>
      </x:c>
      <x:c r="H48" s="60" t="n">
        <x:v>41.0262</x:v>
      </x:c>
      <x:c r="I48" s="60" t="n">
        <x:v>41.999</x:v>
      </x:c>
      <x:c r="J48" s="60" t="n">
        <x:v>42.8651</x:v>
      </x:c>
      <x:c r="K48" s="60" t="n">
        <x:v>43.6683</x:v>
      </x:c>
      <x:c r="L48" s="60" t="n">
        <x:v>44.4064</x:v>
      </x:c>
      <x:c r="M48" s="60" t="n">
        <x:v>45.235</x:v>
      </x:c>
      <x:c r="N48" s="60" t="n">
        <x:v>45.925</x:v>
      </x:c>
      <x:c r="O48" s="60" t="n">
        <x:v>46.6264</x:v>
      </x:c>
      <x:c r="P48" s="60" t="n">
        <x:v>47.2838</x:v>
      </x:c>
      <x:c r="Q48" s="60" t="n">
        <x:v>47.9332</x:v>
      </x:c>
      <x:c r="R48" s="60" t="n">
        <x:v>48.5007</x:v>
      </x:c>
      <x:c r="S48" s="60" t="n">
        <x:v>49.0792</x:v>
      </x:c>
      <x:c r="T48" s="60" t="n">
        <x:v>49.5757</x:v>
      </x:c>
      <x:c r="U48" s="60" t="n">
        <x:v>50.0446</x:v>
      </x:c>
      <x:c r="V48" s="60" t="n">
        <x:v>50.5763</x:v>
      </x:c>
      <x:c r="W48" s="60" t="n">
        <x:v>51.014</x:v>
      </x:c>
      <x:c r="X48" s="60" t="n">
        <x:v>51.4825</x:v>
      </x:c>
      <x:c r="Y48" s="60" t="n">
        <x:v>51.9443</x:v>
      </x:c>
      <x:c r="Z48" s="60" t="n">
        <x:v>52.4123</x:v>
      </x:c>
      <x:c r="AA48" s="60" t="n">
        <x:v>52.8478</x:v>
      </x:c>
      <x:c r="AB48" s="60" t="n">
        <x:v>53.2498</x:v>
      </x:c>
      <x:c r="AC48" s="60" t="n">
        <x:v>53.6461</x:v>
      </x:c>
      <x:c r="AD48" s="60" t="n">
        <x:v>54.0664</x:v>
      </x:c>
      <x:c r="AE48" s="60" t="n">
        <x:v>54.455</x:v>
      </x:c>
      <x:c r="AF48" s="60" t="n">
        <x:v>54.8542</x:v>
      </x:c>
      <x:c r="AG48" s="60" t="n">
        <x:v>55.2513</x:v>
      </x:c>
      <x:c r="AH48" s="60" t="n">
        <x:v>55.6033</x:v>
      </x:c>
      <x:c r="AI48" s="60" t="n">
        <x:v>55.9854</x:v>
      </x:c>
      <x:c r="AJ48" s="60" t="n">
        <x:v>56.3507</x:v>
      </x:c>
      <x:c r="AK48" s="60" t="n">
        <x:v>56.7073</x:v>
      </x:c>
      <x:c r="AL48" s="60" t="n">
        <x:v>57.0941</x:v>
      </x:c>
      <x:c r="AM48" s="60" t="n">
        <x:v>57.4438</x:v>
      </x:c>
      <x:c r="AN48" s="60" t="n">
        <x:v>57.7999</x:v>
      </x:c>
      <x:c r="AO48" s="60" t="n">
        <x:v>58.1448</x:v>
      </x:c>
      <x:c r="AP48" s="60" t="n">
        <x:v>58.4502</x:v>
      </x:c>
      <x:c r="AQ48" s="60" t="n">
        <x:v>58.7434</x:v>
      </x:c>
      <x:c r="AR48" s="60" t="n">
        <x:v>59.0364</x:v>
      </x:c>
      <x:c r="AS48" s="60" t="n">
        <x:v>59.335</x:v>
      </x:c>
      <x:c r="AT48" s="60" t="n">
        <x:v>59.6634</x:v>
      </x:c>
      <x:c r="AU48" s="60" t="n">
        <x:v>59.9585</x:v>
      </x:c>
      <x:c r="AV48" s="60" t="n">
        <x:v>60.308</x:v>
      </x:c>
      <x:c r="AW48" s="60" t="n">
        <x:v>60.624</x:v>
      </x:c>
      <x:c r="AX48" s="60" t="n">
        <x:v>60.9558</x:v>
      </x:c>
      <x:c r="AY48" s="60" t="n">
        <x:v>61.2667</x:v>
      </x:c>
      <x:c r="AZ48" s="60" t="n">
        <x:v>61.5818</x:v>
      </x:c>
      <x:c r="BA48" s="60" t="n">
        <x:v>61.8824</x:v>
      </x:c>
      <x:c r="BB48" s="60" t="n">
        <x:v>62.1637</x:v>
      </x:c>
      <x:c r="BC48" s="60" t="n">
        <x:v>62.4943</x:v>
      </x:c>
      <x:c r="BD48" s="60" t="n">
        <x:v>62.7591</x:v>
      </x:c>
      <x:c r="BE48" s="60" t="n">
        <x:v>63.0558</x:v>
      </x:c>
      <x:c r="BF48" s="60" t="n">
        <x:v>63.3281</x:v>
      </x:c>
      <x:c r="BG48" s="60" t="n">
        <x:v>63.6354</x:v>
      </x:c>
      <x:c r="BH48" s="60" t="n">
        <x:v>63.9066</x:v>
      </x:c>
      <x:c r="BI48" s="60" t="n">
        <x:v>64.1881</x:v>
      </x:c>
      <x:c r="BJ48" s="60" t="n">
        <x:v>64.4597</x:v>
      </x:c>
      <x:c r="BK48" s="60" t="n">
        <x:v>64.7529</x:v>
      </x:c>
      <x:c r="BL48" s="60" t="n">
        <x:v>65.0266</x:v>
      </x:c>
      <x:c r="BM48" s="60" t="n">
        <x:v>65.2855</x:v>
      </x:c>
      <x:c r="BN48" s="60" t="n">
        <x:v>65.5236</x:v>
      </x:c>
      <x:c r="BO48" s="60" t="n">
        <x:v>65.8076</x:v>
      </x:c>
      <x:c r="BP48" s="60" t="n">
        <x:v>66.0726</x:v>
      </x:c>
      <x:c r="BQ48" s="60" t="n">
        <x:v>66.3476</x:v>
      </x:c>
      <x:c r="BR48" s="60" t="n">
        <x:v>66.5952</x:v>
      </x:c>
      <x:c r="BS48" s="60" t="n">
        <x:v>66.87</x:v>
      </x:c>
      <x:c r="BT48" s="60" t="n">
        <x:v>67.1583</x:v>
      </x:c>
      <x:c r="BU48" s="60" t="n">
        <x:v>67.4404</x:v>
      </x:c>
      <x:c r="BV48" s="60" t="n">
        <x:v>67.727</x:v>
      </x:c>
      <x:c r="BW48" s="60" t="n">
        <x:v>67.9804</x:v>
      </x:c>
      <x:c r="BX48" s="60" t="n">
        <x:v>68.201</x:v>
      </x:c>
      <x:c r="BY48" s="60" t="n">
        <x:v>68.4549</x:v>
      </x:c>
      <x:c r="BZ48" s="60" t="n">
        <x:v>68.7259</x:v>
      </x:c>
      <x:c r="CA48" s="60" t="n">
        <x:v>68.9972</x:v>
      </x:c>
      <x:c r="CB48" s="60" t="n">
        <x:v>69.268</x:v>
      </x:c>
      <x:c r="CC48" s="60" t="n">
        <x:v>69.5513</x:v>
      </x:c>
      <x:c r="CD48" s="60" t="n">
        <x:v>69.8188</x:v>
      </x:c>
      <x:c r="CE48" s="60" t="n">
        <x:v>70.0707</x:v>
      </x:c>
      <x:c r="CF48" s="60" t="n">
        <x:v>70.3386</x:v>
      </x:c>
      <x:c r="CG48" s="60" t="n">
        <x:v>70.5735</x:v>
      </x:c>
      <x:c r="CH48" s="60" t="n">
        <x:v>70.8329</x:v>
      </x:c>
      <x:c r="CI48" s="60" t="n">
        <x:v>71.1415</x:v>
      </x:c>
      <x:c r="CJ48" s="60" t="n">
        <x:v>71.4146</x:v>
      </x:c>
      <x:c r="CK48" s="60" t="n">
        <x:v>71.6802</x:v>
      </x:c>
      <x:c r="CL48" s="60" t="n">
        <x:v>71.9843</x:v>
      </x:c>
      <x:c r="CM48" s="60" t="n">
        <x:v>72.2666</x:v>
      </x:c>
      <x:c r="CN48" s="60" t="n">
        <x:v>72.5573</x:v>
      </x:c>
      <x:c r="CO48" s="60" t="n">
        <x:v>72.809</x:v>
      </x:c>
      <x:c r="CP48" s="60" t="n">
        <x:v>73.0753</x:v>
      </x:c>
      <x:c r="CQ48" s="60" t="n">
        <x:v>73.4173</x:v>
      </x:c>
      <x:c r="CR48" s="60" t="n">
        <x:v>73.7449</x:v>
      </x:c>
      <x:c r="CS48" s="60" t="n">
        <x:v>74.059</x:v>
      </x:c>
      <x:c r="CT48" s="60" t="n">
        <x:v>74.436</x:v>
      </x:c>
      <x:c r="CU48" s="60" t="n">
        <x:v>74.776</x:v>
      </x:c>
      <x:c r="CV48" s="60" t="n">
        <x:v>75.1441</x:v>
      </x:c>
      <x:c r="CW48" s="60" t="n">
        <x:v>75.5405</x:v>
      </x:c>
      <x:c r="CX48" s="60" t="n">
        <x:v>76.0504</x:v>
      </x:c>
      <x:c r="CY48" s="60" t="n">
        <x:v>76.5582</x:v>
      </x:c>
      <x:c r="CZ48" s="60" t="n">
        <x:v>77.1854</x:v>
      </x:c>
      <x:c r="DA48" s="60" t="n">
        <x:v>77.9861</x:v>
      </x:c>
      <x:c r="DB48" s="60" t="n">
        <x:v>80.5631</x:v>
      </x:c>
    </x:row>
    <x:row r="49">
      <x:c r="A49" t="str">
        <x:v>ガブリアス-1</x:v>
      </x:c>
      <x:c r="B49" t="str">
        <x:v>ガブリアス</x:v>
      </x:c>
      <x:c r="C49" t="str">
        <x:v>共通</x:v>
      </x:c>
      <x:c r="D49" s="60" t="n">
        <x:v>61.1803</x:v>
      </x:c>
      <x:c r="E49" s="60" t="n">
        <x:v>6.2103</x:v>
      </x:c>
      <x:c r="F49" s="60" t="n">
        <x:v>41.7492</x:v>
      </x:c>
      <x:c r="G49" s="60" t="n">
        <x:v>47.2327</x:v>
      </x:c>
      <x:c r="H49" s="60" t="n">
        <x:v>48.419</x:v>
      </x:c>
      <x:c r="I49" s="60" t="n">
        <x:v>49.2166</x:v>
      </x:c>
      <x:c r="J49" s="60" t="n">
        <x:v>49.7868</x:v>
      </x:c>
      <x:c r="K49" s="60" t="n">
        <x:v>50.2897</x:v>
      </x:c>
      <x:c r="L49" s="60" t="n">
        <x:v>50.817</x:v>
      </x:c>
      <x:c r="M49" s="60" t="n">
        <x:v>51.2293</x:v>
      </x:c>
      <x:c r="N49" s="60" t="n">
        <x:v>51.6544</x:v>
      </x:c>
      <x:c r="O49" s="60" t="n">
        <x:v>52.0288</x:v>
      </x:c>
      <x:c r="P49" s="60" t="n">
        <x:v>52.3923</x:v>
      </x:c>
      <x:c r="Q49" s="60" t="n">
        <x:v>52.7821</x:v>
      </x:c>
      <x:c r="R49" s="60" t="n">
        <x:v>53.1222</x:v>
      </x:c>
      <x:c r="S49" s="60" t="n">
        <x:v>53.435</x:v>
      </x:c>
      <x:c r="T49" s="60" t="n">
        <x:v>53.7319</x:v>
      </x:c>
      <x:c r="U49" s="60" t="n">
        <x:v>54.0433</x:v>
      </x:c>
      <x:c r="V49" s="60" t="n">
        <x:v>54.332</x:v>
      </x:c>
      <x:c r="W49" s="60" t="n">
        <x:v>54.6369</x:v>
      </x:c>
      <x:c r="X49" s="60" t="n">
        <x:v>54.9298</x:v>
      </x:c>
      <x:c r="Y49" s="60" t="n">
        <x:v>55.2494</x:v>
      </x:c>
      <x:c r="Z49" s="60" t="n">
        <x:v>55.509</x:v>
      </x:c>
      <x:c r="AA49" s="60" t="n">
        <x:v>55.78</x:v>
      </x:c>
      <x:c r="AB49" s="60" t="n">
        <x:v>56.0635</x:v>
      </x:c>
      <x:c r="AC49" s="60" t="n">
        <x:v>56.3175</x:v>
      </x:c>
      <x:c r="AD49" s="60" t="n">
        <x:v>56.5412</x:v>
      </x:c>
      <x:c r="AE49" s="60" t="n">
        <x:v>56.7465</x:v>
      </x:c>
      <x:c r="AF49" s="60" t="n">
        <x:v>56.9982</x:v>
      </x:c>
      <x:c r="AG49" s="60" t="n">
        <x:v>57.218</x:v>
      </x:c>
      <x:c r="AH49" s="60" t="n">
        <x:v>57.4466</x:v>
      </x:c>
      <x:c r="AI49" s="60" t="n">
        <x:v>57.6708</x:v>
      </x:c>
      <x:c r="AJ49" s="60" t="n">
        <x:v>57.9021</x:v>
      </x:c>
      <x:c r="AK49" s="60" t="n">
        <x:v>58.1076</x:v>
      </x:c>
      <x:c r="AL49" s="60" t="n">
        <x:v>58.3187</x:v>
      </x:c>
      <x:c r="AM49" s="60" t="n">
        <x:v>58.5187</x:v>
      </x:c>
      <x:c r="AN49" s="60" t="n">
        <x:v>58.6989</x:v>
      </x:c>
      <x:c r="AO49" s="60" t="n">
        <x:v>58.906</x:v>
      </x:c>
      <x:c r="AP49" s="60" t="n">
        <x:v>59.098</x:v>
      </x:c>
      <x:c r="AQ49" s="60" t="n">
        <x:v>59.2838</x:v>
      </x:c>
      <x:c r="AR49" s="60" t="n">
        <x:v>59.5217</x:v>
      </x:c>
      <x:c r="AS49" s="60" t="n">
        <x:v>59.7157</x:v>
      </x:c>
      <x:c r="AT49" s="60" t="n">
        <x:v>59.8949</x:v>
      </x:c>
      <x:c r="AU49" s="60" t="n">
        <x:v>60.0641</x:v>
      </x:c>
      <x:c r="AV49" s="60" t="n">
        <x:v>60.2317</x:v>
      </x:c>
      <x:c r="AW49" s="60" t="n">
        <x:v>60.4214</x:v>
      </x:c>
      <x:c r="AX49" s="60" t="n">
        <x:v>60.6017</x:v>
      </x:c>
      <x:c r="AY49" s="60" t="n">
        <x:v>60.7993</x:v>
      </x:c>
      <x:c r="AZ49" s="60" t="n">
        <x:v>60.9639</x:v>
      </x:c>
      <x:c r="BA49" s="60" t="n">
        <x:v>61.1749</x:v>
      </x:c>
      <x:c r="BB49" s="60" t="n">
        <x:v>61.3412</x:v>
      </x:c>
      <x:c r="BC49" s="60" t="n">
        <x:v>61.5024</x:v>
      </x:c>
      <x:c r="BD49" s="60" t="n">
        <x:v>61.6587</x:v>
      </x:c>
      <x:c r="BE49" s="60" t="n">
        <x:v>61.8176</x:v>
      </x:c>
      <x:c r="BF49" s="60" t="n">
        <x:v>62.0048</x:v>
      </x:c>
      <x:c r="BG49" s="60" t="n">
        <x:v>62.1541</x:v>
      </x:c>
      <x:c r="BH49" s="60" t="n">
        <x:v>62.3193</x:v>
      </x:c>
      <x:c r="BI49" s="60" t="n">
        <x:v>62.4842</x:v>
      </x:c>
      <x:c r="BJ49" s="60" t="n">
        <x:v>62.6562</x:v>
      </x:c>
      <x:c r="BK49" s="60" t="n">
        <x:v>62.8124</x:v>
      </x:c>
      <x:c r="BL49" s="60" t="n">
        <x:v>62.9809</x:v>
      </x:c>
      <x:c r="BM49" s="60" t="n">
        <x:v>63.1218</x:v>
      </x:c>
      <x:c r="BN49" s="60" t="n">
        <x:v>63.3038</x:v>
      </x:c>
      <x:c r="BO49" s="60" t="n">
        <x:v>63.4663</x:v>
      </x:c>
      <x:c r="BP49" s="60" t="n">
        <x:v>63.6173</x:v>
      </x:c>
      <x:c r="BQ49" s="60" t="n">
        <x:v>63.7951</x:v>
      </x:c>
      <x:c r="BR49" s="60" t="n">
        <x:v>63.9565</x:v>
      </x:c>
      <x:c r="BS49" s="60" t="n">
        <x:v>64.125</x:v>
      </x:c>
      <x:c r="BT49" s="60" t="n">
        <x:v>64.2815</x:v>
      </x:c>
      <x:c r="BU49" s="60" t="n">
        <x:v>64.4304</x:v>
      </x:c>
      <x:c r="BV49" s="60" t="n">
        <x:v>64.5975</x:v>
      </x:c>
      <x:c r="BW49" s="60" t="n">
        <x:v>64.7663</x:v>
      </x:c>
      <x:c r="BX49" s="60" t="n">
        <x:v>64.9494</x:v>
      </x:c>
      <x:c r="BY49" s="60" t="n">
        <x:v>65.1169</x:v>
      </x:c>
      <x:c r="BZ49" s="60" t="n">
        <x:v>65.3004</x:v>
      </x:c>
      <x:c r="CA49" s="60" t="n">
        <x:v>65.5062</x:v>
      </x:c>
      <x:c r="CB49" s="60" t="n">
        <x:v>65.7057</x:v>
      </x:c>
      <x:c r="CC49" s="60" t="n">
        <x:v>65.8864</x:v>
      </x:c>
      <x:c r="CD49" s="60" t="n">
        <x:v>66.0868</x:v>
      </x:c>
      <x:c r="CE49" s="60" t="n">
        <x:v>66.2552</x:v>
      </x:c>
      <x:c r="CF49" s="60" t="n">
        <x:v>66.4393</x:v>
      </x:c>
      <x:c r="CG49" s="60" t="n">
        <x:v>66.631</x:v>
      </x:c>
      <x:c r="CH49" s="60" t="n">
        <x:v>66.8109</x:v>
      </x:c>
      <x:c r="CI49" s="60" t="n">
        <x:v>67.0027</x:v>
      </x:c>
      <x:c r="CJ49" s="60" t="n">
        <x:v>67.2188</x:v>
      </x:c>
      <x:c r="CK49" s="60" t="n">
        <x:v>67.4184</x:v>
      </x:c>
      <x:c r="CL49" s="60" t="n">
        <x:v>67.6297</x:v>
      </x:c>
      <x:c r="CM49" s="60" t="n">
        <x:v>67.8334</x:v>
      </x:c>
      <x:c r="CN49" s="60" t="n">
        <x:v>68.056</x:v>
      </x:c>
      <x:c r="CO49" s="60" t="n">
        <x:v>68.2917</x:v>
      </x:c>
      <x:c r="CP49" s="60" t="n">
        <x:v>68.5197</x:v>
      </x:c>
      <x:c r="CQ49" s="60" t="n">
        <x:v>68.8012</x:v>
      </x:c>
      <x:c r="CR49" s="60" t="n">
        <x:v>69.0888</x:v>
      </x:c>
      <x:c r="CS49" s="60" t="n">
        <x:v>69.3496</x:v>
      </x:c>
      <x:c r="CT49" s="60" t="n">
        <x:v>69.6746</x:v>
      </x:c>
      <x:c r="CU49" s="60" t="n">
        <x:v>70.0042</x:v>
      </x:c>
      <x:c r="CV49" s="60" t="n">
        <x:v>70.3427</x:v>
      </x:c>
      <x:c r="CW49" s="60" t="n">
        <x:v>70.721</x:v>
      </x:c>
      <x:c r="CX49" s="60" t="n">
        <x:v>71.1405</x:v>
      </x:c>
      <x:c r="CY49" s="60" t="n">
        <x:v>71.5887</x:v>
      </x:c>
      <x:c r="CZ49" s="60" t="n">
        <x:v>72.3384</x:v>
      </x:c>
      <x:c r="DA49" s="60" t="n">
        <x:v>73.2654</x:v>
      </x:c>
      <x:c r="DB49" s="60" t="n">
        <x:v>77.0986</x:v>
      </x:c>
    </x:row>
    <x:row r="50">
      <x:c r="A50" t="str">
        <x:v>ギャラドス-1</x:v>
      </x:c>
      <x:c r="B50" t="str">
        <x:v>ギャラドス</x:v>
      </x:c>
      <x:c r="C50" t="str">
        <x:v>共通</x:v>
      </x:c>
      <x:c r="D50" s="60" t="n">
        <x:v>61.9467</x:v>
      </x:c>
      <x:c r="E50" s="60" t="n">
        <x:v>13.0703</x:v>
      </x:c>
      <x:c r="F50" s="60" t="n">
        <x:v>25.6974</x:v>
      </x:c>
      <x:c r="G50" s="60" t="n">
        <x:v>34.0487</x:v>
      </x:c>
      <x:c r="H50" s="60" t="n">
        <x:v>35.4944</x:v>
      </x:c>
      <x:c r="I50" s="60" t="n">
        <x:v>36.6336</x:v>
      </x:c>
      <x:c r="J50" s="60" t="n">
        <x:v>37.6884</x:v>
      </x:c>
      <x:c r="K50" s="60" t="n">
        <x:v>38.7449</x:v>
      </x:c>
      <x:c r="L50" s="60" t="n">
        <x:v>39.7581</x:v>
      </x:c>
      <x:c r="M50" s="60" t="n">
        <x:v>40.6668</x:v>
      </x:c>
      <x:c r="N50" s="60" t="n">
        <x:v>41.5953</x:v>
      </x:c>
      <x:c r="O50" s="60" t="n">
        <x:v>42.4615</x:v>
      </x:c>
      <x:c r="P50" s="60" t="n">
        <x:v>43.2662</x:v>
      </x:c>
      <x:c r="Q50" s="60" t="n">
        <x:v>43.9339</x:v>
      </x:c>
      <x:c r="R50" s="60" t="n">
        <x:v>44.7012</x:v>
      </x:c>
      <x:c r="S50" s="60" t="n">
        <x:v>45.5046</x:v>
      </x:c>
      <x:c r="T50" s="60" t="n">
        <x:v>46.199</x:v>
      </x:c>
      <x:c r="U50" s="60" t="n">
        <x:v>46.8498</x:v>
      </x:c>
      <x:c r="V50" s="60" t="n">
        <x:v>47.4538</x:v>
      </x:c>
      <x:c r="W50" s="60" t="n">
        <x:v>47.9962</x:v>
      </x:c>
      <x:c r="X50" s="60" t="n">
        <x:v>48.5734</x:v>
      </x:c>
      <x:c r="Y50" s="60" t="n">
        <x:v>49.2267</x:v>
      </x:c>
      <x:c r="Z50" s="60" t="n">
        <x:v>49.6961</x:v>
      </x:c>
      <x:c r="AA50" s="60" t="n">
        <x:v>50.2003</x:v>
      </x:c>
      <x:c r="AB50" s="60" t="n">
        <x:v>50.7069</x:v>
      </x:c>
      <x:c r="AC50" s="60" t="n">
        <x:v>51.2859</x:v>
      </x:c>
      <x:c r="AD50" s="60" t="n">
        <x:v>51.7436</x:v>
      </x:c>
      <x:c r="AE50" s="60" t="n">
        <x:v>52.3019</x:v>
      </x:c>
      <x:c r="AF50" s="60" t="n">
        <x:v>52.7544</x:v>
      </x:c>
      <x:c r="AG50" s="60" t="n">
        <x:v>53.2285</x:v>
      </x:c>
      <x:c r="AH50" s="60" t="n">
        <x:v>53.6722</x:v>
      </x:c>
      <x:c r="AI50" s="60" t="n">
        <x:v>54.1673</x:v>
      </x:c>
      <x:c r="AJ50" s="60" t="n">
        <x:v>54.6659</x:v>
      </x:c>
      <x:c r="AK50" s="60" t="n">
        <x:v>55.1422</x:v>
      </x:c>
      <x:c r="AL50" s="60" t="n">
        <x:v>55.605</x:v>
      </x:c>
      <x:c r="AM50" s="60" t="n">
        <x:v>56.0751</x:v>
      </x:c>
      <x:c r="AN50" s="60" t="n">
        <x:v>56.5086</x:v>
      </x:c>
      <x:c r="AO50" s="60" t="n">
        <x:v>56.8977</x:v>
      </x:c>
      <x:c r="AP50" s="60" t="n">
        <x:v>57.3574</x:v>
      </x:c>
      <x:c r="AQ50" s="60" t="n">
        <x:v>57.8446</x:v>
      </x:c>
      <x:c r="AR50" s="60" t="n">
        <x:v>58.2329</x:v>
      </x:c>
      <x:c r="AS50" s="60" t="n">
        <x:v>58.6114</x:v>
      </x:c>
      <x:c r="AT50" s="60" t="n">
        <x:v>59.0616</x:v>
      </x:c>
      <x:c r="AU50" s="60" t="n">
        <x:v>59.4361</x:v>
      </x:c>
      <x:c r="AV50" s="60" t="n">
        <x:v>59.8378</x:v>
      </x:c>
      <x:c r="AW50" s="60" t="n">
        <x:v>60.2159</x:v>
      </x:c>
      <x:c r="AX50" s="60" t="n">
        <x:v>60.6392</x:v>
      </x:c>
      <x:c r="AY50" s="60" t="n">
        <x:v>61.0334</x:v>
      </x:c>
      <x:c r="AZ50" s="60" t="n">
        <x:v>61.4558</x:v>
      </x:c>
      <x:c r="BA50" s="60" t="n">
        <x:v>61.8773</x:v>
      </x:c>
      <x:c r="BB50" s="60" t="n">
        <x:v>62.2406</x:v>
      </x:c>
      <x:c r="BC50" s="60" t="n">
        <x:v>62.577</x:v>
      </x:c>
      <x:c r="BD50" s="60" t="n">
        <x:v>62.9593</x:v>
      </x:c>
      <x:c r="BE50" s="60" t="n">
        <x:v>63.3539</x:v>
      </x:c>
      <x:c r="BF50" s="60" t="n">
        <x:v>63.7302</x:v>
      </x:c>
      <x:c r="BG50" s="60" t="n">
        <x:v>64.0843</x:v>
      </x:c>
      <x:c r="BH50" s="60" t="n">
        <x:v>64.4772</x:v>
      </x:c>
      <x:c r="BI50" s="60" t="n">
        <x:v>64.8527</x:v>
      </x:c>
      <x:c r="BJ50" s="60" t="n">
        <x:v>65.2026</x:v>
      </x:c>
      <x:c r="BK50" s="60" t="n">
        <x:v>65.5881</x:v>
      </x:c>
      <x:c r="BL50" s="60" t="n">
        <x:v>65.9628</x:v>
      </x:c>
      <x:c r="BM50" s="60" t="n">
        <x:v>66.3477</x:v>
      </x:c>
      <x:c r="BN50" s="60" t="n">
        <x:v>66.7435</x:v>
      </x:c>
      <x:c r="BO50" s="60" t="n">
        <x:v>67.1147</x:v>
      </x:c>
      <x:c r="BP50" s="60" t="n">
        <x:v>67.4718</x:v>
      </x:c>
      <x:c r="BQ50" s="60" t="n">
        <x:v>67.8872</x:v>
      </x:c>
      <x:c r="BR50" s="60" t="n">
        <x:v>68.2497</x:v>
      </x:c>
      <x:c r="BS50" s="60" t="n">
        <x:v>68.6199</x:v>
      </x:c>
      <x:c r="BT50" s="60" t="n">
        <x:v>69.0507</x:v>
      </x:c>
      <x:c r="BU50" s="60" t="n">
        <x:v>69.4173</x:v>
      </x:c>
      <x:c r="BV50" s="60" t="n">
        <x:v>69.7726</x:v>
      </x:c>
      <x:c r="BW50" s="60" t="n">
        <x:v>70.0933</x:v>
      </x:c>
      <x:c r="BX50" s="60" t="n">
        <x:v>70.4481</x:v>
      </x:c>
      <x:c r="BY50" s="60" t="n">
        <x:v>70.7859</x:v>
      </x:c>
      <x:c r="BZ50" s="60" t="n">
        <x:v>71.1189</x:v>
      </x:c>
      <x:c r="CA50" s="60" t="n">
        <x:v>71.5308</x:v>
      </x:c>
      <x:c r="CB50" s="60" t="n">
        <x:v>71.8873</x:v>
      </x:c>
      <x:c r="CC50" s="60" t="n">
        <x:v>72.2418</x:v>
      </x:c>
      <x:c r="CD50" s="60" t="n">
        <x:v>72.6339</x:v>
      </x:c>
      <x:c r="CE50" s="60" t="n">
        <x:v>72.9911</x:v>
      </x:c>
      <x:c r="CF50" s="60" t="n">
        <x:v>73.3543</x:v>
      </x:c>
      <x:c r="CG50" s="60" t="n">
        <x:v>73.739</x:v>
      </x:c>
      <x:c r="CH50" s="60" t="n">
        <x:v>74.1827</x:v>
      </x:c>
      <x:c r="CI50" s="60" t="n">
        <x:v>74.5833</x:v>
      </x:c>
      <x:c r="CJ50" s="60" t="n">
        <x:v>75.0706</x:v>
      </x:c>
      <x:c r="CK50" s="60" t="n">
        <x:v>75.4632</x:v>
      </x:c>
      <x:c r="CL50" s="60" t="n">
        <x:v>75.912</x:v>
      </x:c>
      <x:c r="CM50" s="60" t="n">
        <x:v>76.375</x:v>
      </x:c>
      <x:c r="CN50" s="60" t="n">
        <x:v>76.797</x:v>
      </x:c>
      <x:c r="CO50" s="60" t="n">
        <x:v>77.2323</x:v>
      </x:c>
      <x:c r="CP50" s="60" t="n">
        <x:v>77.6938</x:v>
      </x:c>
      <x:c r="CQ50" s="60" t="n">
        <x:v>78.1636</x:v>
      </x:c>
      <x:c r="CR50" s="60" t="n">
        <x:v>78.6599</x:v>
      </x:c>
      <x:c r="CS50" s="60" t="n">
        <x:v>79.1616</x:v>
      </x:c>
      <x:c r="CT50" s="60" t="n">
        <x:v>79.7806</x:v>
      </x:c>
      <x:c r="CU50" s="60" t="n">
        <x:v>80.4018</x:v>
      </x:c>
      <x:c r="CV50" s="60" t="n">
        <x:v>81.0575</x:v>
      </x:c>
      <x:c r="CW50" s="60" t="n">
        <x:v>81.7523</x:v>
      </x:c>
      <x:c r="CX50" s="60" t="n">
        <x:v>82.5372</x:v>
      </x:c>
      <x:c r="CY50" s="60" t="n">
        <x:v>83.312</x:v>
      </x:c>
      <x:c r="CZ50" s="60" t="n">
        <x:v>84.2362</x:v>
      </x:c>
      <x:c r="DA50" s="60" t="n">
        <x:v>85.4594</x:v>
      </x:c>
      <x:c r="DB50" s="60" t="n">
        <x:v>89.3184</x:v>
      </x:c>
    </x:row>
    <x:row r="51">
      <x:c r="A51" t="str">
        <x:v>メガギャラドス-1</x:v>
      </x:c>
      <x:c r="B51" t="str">
        <x:v>メガギャラドス</x:v>
      </x:c>
      <x:c r="C51" t="str">
        <x:v>共通</x:v>
      </x:c>
      <x:c r="D51" s="60" t="n">
        <x:v>61.6486</x:v>
      </x:c>
      <x:c r="E51" s="60" t="n">
        <x:v>12.0363</x:v>
      </x:c>
      <x:c r="F51" s="60" t="n">
        <x:v>27.4812</x:v>
      </x:c>
      <x:c r="G51" s="60" t="n">
        <x:v>35.6351</x:v>
      </x:c>
      <x:c r="H51" s="60" t="n">
        <x:v>37.0143</x:v>
      </x:c>
      <x:c r="I51" s="60" t="n">
        <x:v>38.0648</x:v>
      </x:c>
      <x:c r="J51" s="60" t="n">
        <x:v>39.1196</x:v>
      </x:c>
      <x:c r="K51" s="60" t="n">
        <x:v>40.1024</x:v>
      </x:c>
      <x:c r="L51" s="60" t="n">
        <x:v>41.0815</x:v>
      </x:c>
      <x:c r="M51" s="60" t="n">
        <x:v>42.0559</x:v>
      </x:c>
      <x:c r="N51" s="60" t="n">
        <x:v>42.8121</x:v>
      </x:c>
      <x:c r="O51" s="60" t="n">
        <x:v>43.6904</x:v>
      </x:c>
      <x:c r="P51" s="60" t="n">
        <x:v>44.4392</x:v>
      </x:c>
      <x:c r="Q51" s="60" t="n">
        <x:v>45.1769</x:v>
      </x:c>
      <x:c r="R51" s="60" t="n">
        <x:v>45.847</x:v>
      </x:c>
      <x:c r="S51" s="60" t="n">
        <x:v>46.5017</x:v>
      </x:c>
      <x:c r="T51" s="60" t="n">
        <x:v>47.1492</x:v>
      </x:c>
      <x:c r="U51" s="60" t="n">
        <x:v>47.6974</x:v>
      </x:c>
      <x:c r="V51" s="60" t="n">
        <x:v>48.224</x:v>
      </x:c>
      <x:c r="W51" s="60" t="n">
        <x:v>48.7878</x:v>
      </x:c>
      <x:c r="X51" s="60" t="n">
        <x:v>49.3495</x:v>
      </x:c>
      <x:c r="Y51" s="60" t="n">
        <x:v>49.9108</x:v>
      </x:c>
      <x:c r="Z51" s="60" t="n">
        <x:v>50.4162</x:v>
      </x:c>
      <x:c r="AA51" s="60" t="n">
        <x:v>50.9064</x:v>
      </x:c>
      <x:c r="AB51" s="60" t="n">
        <x:v>51.396</x:v>
      </x:c>
      <x:c r="AC51" s="60" t="n">
        <x:v>51.8666</x:v>
      </x:c>
      <x:c r="AD51" s="60" t="n">
        <x:v>52.3064</x:v>
      </x:c>
      <x:c r="AE51" s="60" t="n">
        <x:v>52.7737</x:v>
      </x:c>
      <x:c r="AF51" s="60" t="n">
        <x:v>53.2263</x:v>
      </x:c>
      <x:c r="AG51" s="60" t="n">
        <x:v>53.6984</x:v>
      </x:c>
      <x:c r="AH51" s="60" t="n">
        <x:v>54.1543</x:v>
      </x:c>
      <x:c r="AI51" s="60" t="n">
        <x:v>54.5704</x:v>
      </x:c>
      <x:c r="AJ51" s="60" t="n">
        <x:v>54.978</x:v>
      </x:c>
      <x:c r="AK51" s="60" t="n">
        <x:v>55.4367</x:v>
      </x:c>
      <x:c r="AL51" s="60" t="n">
        <x:v>55.9057</x:v>
      </x:c>
      <x:c r="AM51" s="60" t="n">
        <x:v>56.3316</x:v>
      </x:c>
      <x:c r="AN51" s="60" t="n">
        <x:v>56.7272</x:v>
      </x:c>
      <x:c r="AO51" s="60" t="n">
        <x:v>57.1009</x:v>
      </x:c>
      <x:c r="AP51" s="60" t="n">
        <x:v>57.4877</x:v>
      </x:c>
      <x:c r="AQ51" s="60" t="n">
        <x:v>57.8924</x:v>
      </x:c>
      <x:c r="AR51" s="60" t="n">
        <x:v>58.2769</x:v>
      </x:c>
      <x:c r="AS51" s="60" t="n">
        <x:v>58.6264</x:v>
      </x:c>
      <x:c r="AT51" s="60" t="n">
        <x:v>59.0077</x:v>
      </x:c>
      <x:c r="AU51" s="60" t="n">
        <x:v>59.3883</x:v>
      </x:c>
      <x:c r="AV51" s="60" t="n">
        <x:v>59.7716</x:v>
      </x:c>
      <x:c r="AW51" s="60" t="n">
        <x:v>60.1472</x:v>
      </x:c>
      <x:c r="AX51" s="60" t="n">
        <x:v>60.4786</x:v>
      </x:c>
      <x:c r="AY51" s="60" t="n">
        <x:v>60.8463</x:v>
      </x:c>
      <x:c r="AZ51" s="60" t="n">
        <x:v>61.2193</x:v>
      </x:c>
      <x:c r="BA51" s="60" t="n">
        <x:v>61.5496</x:v>
      </x:c>
      <x:c r="BB51" s="60" t="n">
        <x:v>61.9188</x:v>
      </x:c>
      <x:c r="BC51" s="60" t="n">
        <x:v>62.2694</x:v>
      </x:c>
      <x:c r="BD51" s="60" t="n">
        <x:v>62.6302</x:v>
      </x:c>
      <x:c r="BE51" s="60" t="n">
        <x:v>63.0321</x:v>
      </x:c>
      <x:c r="BF51" s="60" t="n">
        <x:v>63.3843</x:v>
      </x:c>
      <x:c r="BG51" s="60" t="n">
        <x:v>63.7546</x:v>
      </x:c>
      <x:c r="BH51" s="60" t="n">
        <x:v>64.0993</x:v>
      </x:c>
      <x:c r="BI51" s="60" t="n">
        <x:v>64.4529</x:v>
      </x:c>
      <x:c r="BJ51" s="60" t="n">
        <x:v>64.7497</x:v>
      </x:c>
      <x:c r="BK51" s="60" t="n">
        <x:v>65.0962</x:v>
      </x:c>
      <x:c r="BL51" s="60" t="n">
        <x:v>65.4365</x:v>
      </x:c>
      <x:c r="BM51" s="60" t="n">
        <x:v>65.7912</x:v>
      </x:c>
      <x:c r="BN51" s="60" t="n">
        <x:v>66.1358</x:v>
      </x:c>
      <x:c r="BO51" s="60" t="n">
        <x:v>66.4953</x:v>
      </x:c>
      <x:c r="BP51" s="60" t="n">
        <x:v>66.8296</x:v>
      </x:c>
      <x:c r="BQ51" s="60" t="n">
        <x:v>67.203</x:v>
      </x:c>
      <x:c r="BR51" s="60" t="n">
        <x:v>67.4904</x:v>
      </x:c>
      <x:c r="BS51" s="60" t="n">
        <x:v>67.8545</x:v>
      </x:c>
      <x:c r="BT51" s="60" t="n">
        <x:v>68.2155</x:v>
      </x:c>
      <x:c r="BU51" s="60" t="n">
        <x:v>68.5644</x:v>
      </x:c>
      <x:c r="BV51" s="60" t="n">
        <x:v>68.8773</x:v>
      </x:c>
      <x:c r="BW51" s="60" t="n">
        <x:v>69.1727</x:v>
      </x:c>
      <x:c r="BX51" s="60" t="n">
        <x:v>69.4961</x:v>
      </x:c>
      <x:c r="BY51" s="60" t="n">
        <x:v>69.8544</x:v>
      </x:c>
      <x:c r="BZ51" s="60" t="n">
        <x:v>70.1619</x:v>
      </x:c>
      <x:c r="CA51" s="60" t="n">
        <x:v>70.4654</x:v>
      </x:c>
      <x:c r="CB51" s="60" t="n">
        <x:v>70.8343</x:v>
      </x:c>
      <x:c r="CC51" s="60" t="n">
        <x:v>71.1878</x:v>
      </x:c>
      <x:c r="CD51" s="60" t="n">
        <x:v>71.495</x:v>
      </x:c>
      <x:c r="CE51" s="60" t="n">
        <x:v>71.8906</x:v>
      </x:c>
      <x:c r="CF51" s="60" t="n">
        <x:v>72.234</x:v>
      </x:c>
      <x:c r="CG51" s="60" t="n">
        <x:v>72.5834</x:v>
      </x:c>
      <x:c r="CH51" s="60" t="n">
        <x:v>72.9454</x:v>
      </x:c>
      <x:c r="CI51" s="60" t="n">
        <x:v>73.349</x:v>
      </x:c>
      <x:c r="CJ51" s="60" t="n">
        <x:v>73.7106</x:v>
      </x:c>
      <x:c r="CK51" s="60" t="n">
        <x:v>74.0765</x:v>
      </x:c>
      <x:c r="CL51" s="60" t="n">
        <x:v>74.4518</x:v>
      </x:c>
      <x:c r="CM51" s="60" t="n">
        <x:v>74.8325</x:v>
      </x:c>
      <x:c r="CN51" s="60" t="n">
        <x:v>75.2942</x:v>
      </x:c>
      <x:c r="CO51" s="60" t="n">
        <x:v>75.72</x:v>
      </x:c>
      <x:c r="CP51" s="60" t="n">
        <x:v>76.1396</x:v>
      </x:c>
      <x:c r="CQ51" s="60" t="n">
        <x:v>76.5797</x:v>
      </x:c>
      <x:c r="CR51" s="60" t="n">
        <x:v>77.0625</x:v>
      </x:c>
      <x:c r="CS51" s="60" t="n">
        <x:v>77.5096</x:v>
      </x:c>
      <x:c r="CT51" s="60" t="n">
        <x:v>78.016</x:v>
      </x:c>
      <x:c r="CU51" s="60" t="n">
        <x:v>78.4798</x:v>
      </x:c>
      <x:c r="CV51" s="60" t="n">
        <x:v>79.0129</x:v>
      </x:c>
      <x:c r="CW51" s="60" t="n">
        <x:v>79.6341</x:v>
      </x:c>
      <x:c r="CX51" s="60" t="n">
        <x:v>80.3468</x:v>
      </x:c>
      <x:c r="CY51" s="60" t="n">
        <x:v>81.208</x:v>
      </x:c>
      <x:c r="CZ51" s="60" t="n">
        <x:v>82.0376</x:v>
      </x:c>
      <x:c r="DA51" s="60" t="n">
        <x:v>82.9348</x:v>
      </x:c>
      <x:c r="DB51" s="60" t="n">
        <x:v>85.6475</x:v>
      </x:c>
    </x:row>
    <x:row r="52">
      <x:c r="A52" t="str">
        <x:v>ギルガルド-1</x:v>
      </x:c>
      <x:c r="B52" t="str">
        <x:v>ギルガルド</x:v>
      </x:c>
      <x:c r="C52" t="str">
        <x:v>共通</x:v>
      </x:c>
      <x:c r="D52" s="60" t="n">
        <x:v>61.4795</x:v>
      </x:c>
      <x:c r="E52" s="60" t="n">
        <x:v>11.3176</x:v>
      </x:c>
      <x:c r="F52" s="60" t="n">
        <x:v>28.2575</x:v>
      </x:c>
      <x:c r="G52" s="60" t="n">
        <x:v>36.4082</x:v>
      </x:c>
      <x:c r="H52" s="60" t="n">
        <x:v>38.1252</x:v>
      </x:c>
      <x:c r="I52" s="60" t="n">
        <x:v>39.4943</x:v>
      </x:c>
      <x:c r="J52" s="60" t="n">
        <x:v>40.5862</x:v>
      </x:c>
      <x:c r="K52" s="60" t="n">
        <x:v>41.5793</x:v>
      </x:c>
      <x:c r="L52" s="60" t="n">
        <x:v>42.3978</x:v>
      </x:c>
      <x:c r="M52" s="60" t="n">
        <x:v>43.2677</x:v>
      </x:c>
      <x:c r="N52" s="60" t="n">
        <x:v>43.9795</x:v>
      </x:c>
      <x:c r="O52" s="60" t="n">
        <x:v>44.7333</x:v>
      </x:c>
      <x:c r="P52" s="60" t="n">
        <x:v>45.4403</x:v>
      </x:c>
      <x:c r="Q52" s="60" t="n">
        <x:v>46.0479</x:v>
      </x:c>
      <x:c r="R52" s="60" t="n">
        <x:v>46.6949</x:v>
      </x:c>
      <x:c r="S52" s="60" t="n">
        <x:v>47.3812</x:v>
      </x:c>
      <x:c r="T52" s="60" t="n">
        <x:v>48.0724</x:v>
      </x:c>
      <x:c r="U52" s="60" t="n">
        <x:v>48.5841</x:v>
      </x:c>
      <x:c r="V52" s="60" t="n">
        <x:v>49.0545</x:v>
      </x:c>
      <x:c r="W52" s="60" t="n">
        <x:v>49.601</x:v>
      </x:c>
      <x:c r="X52" s="60" t="n">
        <x:v>50.1677</x:v>
      </x:c>
      <x:c r="Y52" s="60" t="n">
        <x:v>50.6412</x:v>
      </x:c>
      <x:c r="Z52" s="60" t="n">
        <x:v>51.1603</x:v>
      </x:c>
      <x:c r="AA52" s="60" t="n">
        <x:v>51.5819</x:v>
      </x:c>
      <x:c r="AB52" s="60" t="n">
        <x:v>51.9675</x:v>
      </x:c>
      <x:c r="AC52" s="60" t="n">
        <x:v>52.4602</x:v>
      </x:c>
      <x:c r="AD52" s="60" t="n">
        <x:v>52.9389</x:v>
      </x:c>
      <x:c r="AE52" s="60" t="n">
        <x:v>53.3789</x:v>
      </x:c>
      <x:c r="AF52" s="60" t="n">
        <x:v>53.792</x:v>
      </x:c>
      <x:c r="AG52" s="60" t="n">
        <x:v>54.1771</x:v>
      </x:c>
      <x:c r="AH52" s="60" t="n">
        <x:v>54.5054</x:v>
      </x:c>
      <x:c r="AI52" s="60" t="n">
        <x:v>54.9014</x:v>
      </x:c>
      <x:c r="AJ52" s="60" t="n">
        <x:v>55.2873</x:v>
      </x:c>
      <x:c r="AK52" s="60" t="n">
        <x:v>55.6488</x:v>
      </x:c>
      <x:c r="AL52" s="60" t="n">
        <x:v>56.046</x:v>
      </x:c>
      <x:c r="AM52" s="60" t="n">
        <x:v>56.4263</x:v>
      </x:c>
      <x:c r="AN52" s="60" t="n">
        <x:v>56.8169</x:v>
      </x:c>
      <x:c r="AO52" s="60" t="n">
        <x:v>57.1995</x:v>
      </x:c>
      <x:c r="AP52" s="60" t="n">
        <x:v>57.5564</x:v>
      </x:c>
      <x:c r="AQ52" s="60" t="n">
        <x:v>57.8619</x:v>
      </x:c>
      <x:c r="AR52" s="60" t="n">
        <x:v>58.2125</x:v>
      </x:c>
      <x:c r="AS52" s="60" t="n">
        <x:v>58.5599</x:v>
      </x:c>
      <x:c r="AT52" s="60" t="n">
        <x:v>58.8949</x:v>
      </x:c>
      <x:c r="AU52" s="60" t="n">
        <x:v>59.2249</x:v>
      </x:c>
      <x:c r="AV52" s="60" t="n">
        <x:v>59.5775</x:v>
      </x:c>
      <x:c r="AW52" s="60" t="n">
        <x:v>59.913</x:v>
      </x:c>
      <x:c r="AX52" s="60" t="n">
        <x:v>60.2534</x:v>
      </x:c>
      <x:c r="AY52" s="60" t="n">
        <x:v>60.5823</x:v>
      </x:c>
      <x:c r="AZ52" s="60" t="n">
        <x:v>60.8638</x:v>
      </x:c>
      <x:c r="BA52" s="60" t="n">
        <x:v>61.2153</x:v>
      </x:c>
      <x:c r="BB52" s="60" t="n">
        <x:v>61.5833</x:v>
      </x:c>
      <x:c r="BC52" s="60" t="n">
        <x:v>61.9211</x:v>
      </x:c>
      <x:c r="BD52" s="60" t="n">
        <x:v>62.2849</x:v>
      </x:c>
      <x:c r="BE52" s="60" t="n">
        <x:v>62.6004</x:v>
      </x:c>
      <x:c r="BF52" s="60" t="n">
        <x:v>62.901</x:v>
      </x:c>
      <x:c r="BG52" s="60" t="n">
        <x:v>63.2463</x:v>
      </x:c>
      <x:c r="BH52" s="60" t="n">
        <x:v>63.5626</x:v>
      </x:c>
      <x:c r="BI52" s="60" t="n">
        <x:v>63.935</x:v>
      </x:c>
      <x:c r="BJ52" s="60" t="n">
        <x:v>64.2365</x:v>
      </x:c>
      <x:c r="BK52" s="60" t="n">
        <x:v>64.52</x:v>
      </x:c>
      <x:c r="BL52" s="60" t="n">
        <x:v>64.8652</x:v>
      </x:c>
      <x:c r="BM52" s="60" t="n">
        <x:v>65.1941</x:v>
      </x:c>
      <x:c r="BN52" s="60" t="n">
        <x:v>65.5342</x:v>
      </x:c>
      <x:c r="BO52" s="60" t="n">
        <x:v>65.8347</x:v>
      </x:c>
      <x:c r="BP52" s="60" t="n">
        <x:v>66.157</x:v>
      </x:c>
      <x:c r="BQ52" s="60" t="n">
        <x:v>66.4921</x:v>
      </x:c>
      <x:c r="BR52" s="60" t="n">
        <x:v>66.8295</x:v>
      </x:c>
      <x:c r="BS52" s="60" t="n">
        <x:v>67.1242</x:v>
      </x:c>
      <x:c r="BT52" s="60" t="n">
        <x:v>67.4466</x:v>
      </x:c>
      <x:c r="BU52" s="60" t="n">
        <x:v>67.7955</x:v>
      </x:c>
      <x:c r="BV52" s="60" t="n">
        <x:v>68.1205</x:v>
      </x:c>
      <x:c r="BW52" s="60" t="n">
        <x:v>68.4361</x:v>
      </x:c>
      <x:c r="BX52" s="60" t="n">
        <x:v>68.7636</x:v>
      </x:c>
      <x:c r="BY52" s="60" t="n">
        <x:v>69.0798</x:v>
      </x:c>
      <x:c r="BZ52" s="60" t="n">
        <x:v>69.3813</x:v>
      </x:c>
      <x:c r="CA52" s="60" t="n">
        <x:v>69.7045</x:v>
      </x:c>
      <x:c r="CB52" s="60" t="n">
        <x:v>70.0313</x:v>
      </x:c>
      <x:c r="CC52" s="60" t="n">
        <x:v>70.3357</x:v>
      </x:c>
      <x:c r="CD52" s="60" t="n">
        <x:v>70.6511</x:v>
      </x:c>
      <x:c r="CE52" s="60" t="n">
        <x:v>70.9849</x:v>
      </x:c>
      <x:c r="CF52" s="60" t="n">
        <x:v>71.3137</x:v>
      </x:c>
      <x:c r="CG52" s="60" t="n">
        <x:v>71.6429</x:v>
      </x:c>
      <x:c r="CH52" s="60" t="n">
        <x:v>72.0203</x:v>
      </x:c>
      <x:c r="CI52" s="60" t="n">
        <x:v>72.3811</x:v>
      </x:c>
      <x:c r="CJ52" s="60" t="n">
        <x:v>72.7588</x:v>
      </x:c>
      <x:c r="CK52" s="60" t="n">
        <x:v>73.1462</x:v>
      </x:c>
      <x:c r="CL52" s="60" t="n">
        <x:v>73.5222</x:v>
      </x:c>
      <x:c r="CM52" s="60" t="n">
        <x:v>73.8789</x:v>
      </x:c>
      <x:c r="CN52" s="60" t="n">
        <x:v>74.2752</x:v>
      </x:c>
      <x:c r="CO52" s="60" t="n">
        <x:v>74.7258</x:v>
      </x:c>
      <x:c r="CP52" s="60" t="n">
        <x:v>75.1355</x:v>
      </x:c>
      <x:c r="CQ52" s="60" t="n">
        <x:v>75.6155</x:v>
      </x:c>
      <x:c r="CR52" s="60" t="n">
        <x:v>76.1035</x:v>
      </x:c>
      <x:c r="CS52" s="60" t="n">
        <x:v>76.5309</x:v>
      </x:c>
      <x:c r="CT52" s="60" t="n">
        <x:v>76.9668</x:v>
      </x:c>
      <x:c r="CU52" s="60" t="n">
        <x:v>77.4484</x:v>
      </x:c>
      <x:c r="CV52" s="60" t="n">
        <x:v>78.1005</x:v>
      </x:c>
      <x:c r="CW52" s="60" t="n">
        <x:v>78.6927</x:v>
      </x:c>
      <x:c r="CX52" s="60" t="n">
        <x:v>79.417</x:v>
      </x:c>
      <x:c r="CY52" s="60" t="n">
        <x:v>80.1365</x:v>
      </x:c>
      <x:c r="CZ52" s="60" t="n">
        <x:v>81.0046</x:v>
      </x:c>
      <x:c r="DA52" s="60" t="n">
        <x:v>81.9528</x:v>
      </x:c>
      <x:c r="DB52" s="60" t="n">
        <x:v>85.0875</x:v>
      </x:c>
    </x:row>
    <x:row r="53">
      <x:c r="A53" t="str">
        <x:v>ザシアン-1</x:v>
      </x:c>
      <x:c r="B53" t="str">
        <x:v>ザシアン</x:v>
      </x:c>
      <x:c r="C53" t="str">
        <x:v>共通</x:v>
      </x:c>
      <x:c r="D53" s="60" t="n">
        <x:v>62.0643</x:v>
      </x:c>
      <x:c r="E53" s="60" t="n">
        <x:v>12.1936</x:v>
      </x:c>
      <x:c r="F53" s="60" t="n">
        <x:v>27.0376</x:v>
      </x:c>
      <x:c r="G53" s="60" t="n">
        <x:v>35.4043</x:v>
      </x:c>
      <x:c r="H53" s="60" t="n">
        <x:v>36.8758</x:v>
      </x:c>
      <x:c r="I53" s="60" t="n">
        <x:v>38.0948</x:v>
      </x:c>
      <x:c r="J53" s="60" t="n">
        <x:v>39.1365</x:v>
      </x:c>
      <x:c r="K53" s="60" t="n">
        <x:v>40.2175</x:v>
      </x:c>
      <x:c r="L53" s="60" t="n">
        <x:v>41.0771</x:v>
      </x:c>
      <x:c r="M53" s="60" t="n">
        <x:v>42.0896</x:v>
      </x:c>
      <x:c r="N53" s="60" t="n">
        <x:v>42.9968</x:v>
      </x:c>
      <x:c r="O53" s="60" t="n">
        <x:v>43.7725</x:v>
      </x:c>
      <x:c r="P53" s="60" t="n">
        <x:v>44.4675</x:v>
      </x:c>
      <x:c r="Q53" s="60" t="n">
        <x:v>45.2039</x:v>
      </x:c>
      <x:c r="R53" s="60" t="n">
        <x:v>45.9568</x:v>
      </x:c>
      <x:c r="S53" s="60" t="n">
        <x:v>46.6809</x:v>
      </x:c>
      <x:c r="T53" s="60" t="n">
        <x:v>47.324</x:v>
      </x:c>
      <x:c r="U53" s="60" t="n">
        <x:v>47.9736</x:v>
      </x:c>
      <x:c r="V53" s="60" t="n">
        <x:v>48.5774</x:v>
      </x:c>
      <x:c r="W53" s="60" t="n">
        <x:v>49.1583</x:v>
      </x:c>
      <x:c r="X53" s="60" t="n">
        <x:v>49.7108</x:v>
      </x:c>
      <x:c r="Y53" s="60" t="n">
        <x:v>50.2275</x:v>
      </x:c>
      <x:c r="Z53" s="60" t="n">
        <x:v>50.7646</x:v>
      </x:c>
      <x:c r="AA53" s="60" t="n">
        <x:v>51.2662</x:v>
      </x:c>
      <x:c r="AB53" s="60" t="n">
        <x:v>51.7576</x:v>
      </x:c>
      <x:c r="AC53" s="60" t="n">
        <x:v>52.2666</x:v>
      </x:c>
      <x:c r="AD53" s="60" t="n">
        <x:v>52.6712</x:v>
      </x:c>
      <x:c r="AE53" s="60" t="n">
        <x:v>53.2018</x:v>
      </x:c>
      <x:c r="AF53" s="60" t="n">
        <x:v>53.6124</x:v>
      </x:c>
      <x:c r="AG53" s="60" t="n">
        <x:v>54.1207</x:v>
      </x:c>
      <x:c r="AH53" s="60" t="n">
        <x:v>54.5431</x:v>
      </x:c>
      <x:c r="AI53" s="60" t="n">
        <x:v>55.0126</x:v>
      </x:c>
      <x:c r="AJ53" s="60" t="n">
        <x:v>55.4542</x:v>
      </x:c>
      <x:c r="AK53" s="60" t="n">
        <x:v>55.8322</x:v>
      </x:c>
      <x:c r="AL53" s="60" t="n">
        <x:v>56.2299</x:v>
      </x:c>
      <x:c r="AM53" s="60" t="n">
        <x:v>56.6702</x:v>
      </x:c>
      <x:c r="AN53" s="60" t="n">
        <x:v>57.0785</x:v>
      </x:c>
      <x:c r="AO53" s="60" t="n">
        <x:v>57.4836</x:v>
      </x:c>
      <x:c r="AP53" s="60" t="n">
        <x:v>57.8768</x:v>
      </x:c>
      <x:c r="AQ53" s="60" t="n">
        <x:v>58.2483</x:v>
      </x:c>
      <x:c r="AR53" s="60" t="n">
        <x:v>58.6551</x:v>
      </x:c>
      <x:c r="AS53" s="60" t="n">
        <x:v>59.0714</x:v>
      </x:c>
      <x:c r="AT53" s="60" t="n">
        <x:v>59.485</x:v>
      </x:c>
      <x:c r="AU53" s="60" t="n">
        <x:v>59.8518</x:v>
      </x:c>
      <x:c r="AV53" s="60" t="n">
        <x:v>60.2122</x:v>
      </x:c>
      <x:c r="AW53" s="60" t="n">
        <x:v>60.5769</x:v>
      </x:c>
      <x:c r="AX53" s="60" t="n">
        <x:v>60.9479</x:v>
      </x:c>
      <x:c r="AY53" s="60" t="n">
        <x:v>61.3439</x:v>
      </x:c>
      <x:c r="AZ53" s="60" t="n">
        <x:v>61.6901</x:v>
      </x:c>
      <x:c r="BA53" s="60" t="n">
        <x:v>62.0636</x:v>
      </x:c>
      <x:c r="BB53" s="60" t="n">
        <x:v>62.4123</x:v>
      </x:c>
      <x:c r="BC53" s="60" t="n">
        <x:v>62.8013</x:v>
      </x:c>
      <x:c r="BD53" s="60" t="n">
        <x:v>63.1273</x:v>
      </x:c>
      <x:c r="BE53" s="60" t="n">
        <x:v>63.4807</x:v>
      </x:c>
      <x:c r="BF53" s="60" t="n">
        <x:v>63.8285</x:v>
      </x:c>
      <x:c r="BG53" s="60" t="n">
        <x:v>64.2543</x:v>
      </x:c>
      <x:c r="BH53" s="60" t="n">
        <x:v>64.5949</x:v>
      </x:c>
      <x:c r="BI53" s="60" t="n">
        <x:v>64.9468</x:v>
      </x:c>
      <x:c r="BJ53" s="60" t="n">
        <x:v>65.2918</x:v>
      </x:c>
      <x:c r="BK53" s="60" t="n">
        <x:v>65.6334</x:v>
      </x:c>
      <x:c r="BL53" s="60" t="n">
        <x:v>65.9684</x:v>
      </x:c>
      <x:c r="BM53" s="60" t="n">
        <x:v>66.3069</x:v>
      </x:c>
      <x:c r="BN53" s="60" t="n">
        <x:v>66.6199</x:v>
      </x:c>
      <x:c r="BO53" s="60" t="n">
        <x:v>66.9821</x:v>
      </x:c>
      <x:c r="BP53" s="60" t="n">
        <x:v>67.3258</x:v>
      </x:c>
      <x:c r="BQ53" s="60" t="n">
        <x:v>67.6097</x:v>
      </x:c>
      <x:c r="BR53" s="60" t="n">
        <x:v>67.9864</x:v>
      </x:c>
      <x:c r="BS53" s="60" t="n">
        <x:v>68.329</x:v>
      </x:c>
      <x:c r="BT53" s="60" t="n">
        <x:v>68.6739</x:v>
      </x:c>
      <x:c r="BU53" s="60" t="n">
        <x:v>69.0269</x:v>
      </x:c>
      <x:c r="BV53" s="60" t="n">
        <x:v>69.3747</x:v>
      </x:c>
      <x:c r="BW53" s="60" t="n">
        <x:v>69.7239</x:v>
      </x:c>
      <x:c r="BX53" s="60" t="n">
        <x:v>70.0768</x:v>
      </x:c>
      <x:c r="BY53" s="60" t="n">
        <x:v>70.4272</x:v>
      </x:c>
      <x:c r="BZ53" s="60" t="n">
        <x:v>70.7726</x:v>
      </x:c>
      <x:c r="CA53" s="60" t="n">
        <x:v>71.098</x:v>
      </x:c>
      <x:c r="CB53" s="60" t="n">
        <x:v>71.4712</x:v>
      </x:c>
      <x:c r="CC53" s="60" t="n">
        <x:v>71.7933</x:v>
      </x:c>
      <x:c r="CD53" s="60" t="n">
        <x:v>72.0963</x:v>
      </x:c>
      <x:c r="CE53" s="60" t="n">
        <x:v>72.4445</x:v>
      </x:c>
      <x:c r="CF53" s="60" t="n">
        <x:v>72.8145</x:v>
      </x:c>
      <x:c r="CG53" s="60" t="n">
        <x:v>73.1573</x:v>
      </x:c>
      <x:c r="CH53" s="60" t="n">
        <x:v>73.5128</x:v>
      </x:c>
      <x:c r="CI53" s="60" t="n">
        <x:v>73.9046</x:v>
      </x:c>
      <x:c r="CJ53" s="60" t="n">
        <x:v>74.3508</x:v>
      </x:c>
      <x:c r="CK53" s="60" t="n">
        <x:v>74.6939</x:v>
      </x:c>
      <x:c r="CL53" s="60" t="n">
        <x:v>75.0529</x:v>
      </x:c>
      <x:c r="CM53" s="60" t="n">
        <x:v>75.4572</x:v>
      </x:c>
      <x:c r="CN53" s="60" t="n">
        <x:v>75.8449</x:v>
      </x:c>
      <x:c r="CO53" s="60" t="n">
        <x:v>76.2218</x:v>
      </x:c>
      <x:c r="CP53" s="60" t="n">
        <x:v>76.6642</x:v>
      </x:c>
      <x:c r="CQ53" s="60" t="n">
        <x:v>77.1028</x:v>
      </x:c>
      <x:c r="CR53" s="60" t="n">
        <x:v>77.5876</x:v>
      </x:c>
      <x:c r="CS53" s="60" t="n">
        <x:v>78.0554</x:v>
      </x:c>
      <x:c r="CT53" s="60" t="n">
        <x:v>78.5072</x:v>
      </x:c>
      <x:c r="CU53" s="60" t="n">
        <x:v>79.0601</x:v>
      </x:c>
      <x:c r="CV53" s="60" t="n">
        <x:v>79.5994</x:v>
      </x:c>
      <x:c r="CW53" s="60" t="n">
        <x:v>80.2291</x:v>
      </x:c>
      <x:c r="CX53" s="60" t="n">
        <x:v>80.8188</x:v>
      </x:c>
      <x:c r="CY53" s="60" t="n">
        <x:v>81.5455</x:v>
      </x:c>
      <x:c r="CZ53" s="60" t="n">
        <x:v>82.3849</x:v>
      </x:c>
      <x:c r="DA53" s="60" t="n">
        <x:v>83.4607</x:v>
      </x:c>
      <x:c r="DB53" s="60" t="n">
        <x:v>86.1494</x:v>
      </x:c>
    </x:row>
    <x:row r="54">
      <x:c r="A54" t="str">
        <x:v>スイクン-1</x:v>
      </x:c>
      <x:c r="B54" t="str">
        <x:v>スイクン</x:v>
      </x:c>
      <x:c r="C54" t="str">
        <x:v>共通</x:v>
      </x:c>
      <x:c r="D54" s="60" t="n">
        <x:v>62.0221</x:v>
      </x:c>
      <x:c r="E54" s="60" t="n">
        <x:v>7.8935</x:v>
      </x:c>
      <x:c r="F54" s="60" t="n">
        <x:v>36.0573</x:v>
      </x:c>
      <x:c r="G54" s="60" t="n">
        <x:v>43.5122</x:v>
      </x:c>
      <x:c r="H54" s="60" t="n">
        <x:v>44.9609</x:v>
      </x:c>
      <x:c r="I54" s="60" t="n">
        <x:v>45.9338</x:v>
      </x:c>
      <x:c r="J54" s="60" t="n">
        <x:v>46.8434</x:v>
      </x:c>
      <x:c r="K54" s="60" t="n">
        <x:v>47.6258</x:v>
      </x:c>
      <x:c r="L54" s="60" t="n">
        <x:v>48.2752</x:v>
      </x:c>
      <x:c r="M54" s="60" t="n">
        <x:v>48.9148</x:v>
      </x:c>
      <x:c r="N54" s="60" t="n">
        <x:v>49.5399</x:v>
      </x:c>
      <x:c r="O54" s="60" t="n">
        <x:v>50.1036</x:v>
      </x:c>
      <x:c r="P54" s="60" t="n">
        <x:v>50.6139</x:v>
      </x:c>
      <x:c r="Q54" s="60" t="n">
        <x:v>51.1258</x:v>
      </x:c>
      <x:c r="R54" s="60" t="n">
        <x:v>51.5687</x:v>
      </x:c>
      <x:c r="S54" s="60" t="n">
        <x:v>51.994</x:v>
      </x:c>
      <x:c r="T54" s="60" t="n">
        <x:v>52.412</x:v>
      </x:c>
      <x:c r="U54" s="60" t="n">
        <x:v>52.8223</x:v>
      </x:c>
      <x:c r="V54" s="60" t="n">
        <x:v>53.246</x:v>
      </x:c>
      <x:c r="W54" s="60" t="n">
        <x:v>53.6398</x:v>
      </x:c>
      <x:c r="X54" s="60" t="n">
        <x:v>54.0482</x:v>
      </x:c>
      <x:c r="Y54" s="60" t="n">
        <x:v>54.4559</x:v>
      </x:c>
      <x:c r="Z54" s="60" t="n">
        <x:v>54.7975</x:v>
      </x:c>
      <x:c r="AA54" s="60" t="n">
        <x:v>55.1687</x:v>
      </x:c>
      <x:c r="AB54" s="60" t="n">
        <x:v>55.5028</x:v>
      </x:c>
      <x:c r="AC54" s="60" t="n">
        <x:v>55.8361</x:v>
      </x:c>
      <x:c r="AD54" s="60" t="n">
        <x:v>56.1443</x:v>
      </x:c>
      <x:c r="AE54" s="60" t="n">
        <x:v>56.4628</x:v>
      </x:c>
      <x:c r="AF54" s="60" t="n">
        <x:v>56.7897</x:v>
      </x:c>
      <x:c r="AG54" s="60" t="n">
        <x:v>57.0878</x:v>
      </x:c>
      <x:c r="AH54" s="60" t="n">
        <x:v>57.3989</x:v>
      </x:c>
      <x:c r="AI54" s="60" t="n">
        <x:v>57.711</x:v>
      </x:c>
      <x:c r="AJ54" s="60" t="n">
        <x:v>58.0251</x:v>
      </x:c>
      <x:c r="AK54" s="60" t="n">
        <x:v>58.2991</x:v>
      </x:c>
      <x:c r="AL54" s="60" t="n">
        <x:v>58.5546</x:v>
      </x:c>
      <x:c r="AM54" s="60" t="n">
        <x:v>58.7944</x:v>
      </x:c>
      <x:c r="AN54" s="60" t="n">
        <x:v>59.0787</x:v>
      </x:c>
      <x:c r="AO54" s="60" t="n">
        <x:v>59.3585</x:v>
      </x:c>
      <x:c r="AP54" s="60" t="n">
        <x:v>59.647</x:v>
      </x:c>
      <x:c r="AQ54" s="60" t="n">
        <x:v>59.9306</x:v>
      </x:c>
      <x:c r="AR54" s="60" t="n">
        <x:v>60.1656</x:v>
      </x:c>
      <x:c r="AS54" s="60" t="n">
        <x:v>60.4279</x:v>
      </x:c>
      <x:c r="AT54" s="60" t="n">
        <x:v>60.6811</x:v>
      </x:c>
      <x:c r="AU54" s="60" t="n">
        <x:v>60.9154</x:v>
      </x:c>
      <x:c r="AV54" s="60" t="n">
        <x:v>61.1841</x:v>
      </x:c>
      <x:c r="AW54" s="60" t="n">
        <x:v>61.4347</x:v>
      </x:c>
      <x:c r="AX54" s="60" t="n">
        <x:v>61.7166</x:v>
      </x:c>
      <x:c r="AY54" s="60" t="n">
        <x:v>61.9405</x:v>
      </x:c>
      <x:c r="AZ54" s="60" t="n">
        <x:v>62.1874</x:v>
      </x:c>
      <x:c r="BA54" s="60" t="n">
        <x:v>62.4438</x:v>
      </x:c>
      <x:c r="BB54" s="60" t="n">
        <x:v>62.6428</x:v>
      </x:c>
      <x:c r="BC54" s="60" t="n">
        <x:v>62.8512</x:v>
      </x:c>
      <x:c r="BD54" s="60" t="n">
        <x:v>63.0501</x:v>
      </x:c>
      <x:c r="BE54" s="60" t="n">
        <x:v>63.2789</x:v>
      </x:c>
      <x:c r="BF54" s="60" t="n">
        <x:v>63.4968</x:v>
      </x:c>
      <x:c r="BG54" s="60" t="n">
        <x:v>63.7164</x:v>
      </x:c>
      <x:c r="BH54" s="60" t="n">
        <x:v>63.9026</x:v>
      </x:c>
      <x:c r="BI54" s="60" t="n">
        <x:v>64.1114</x:v>
      </x:c>
      <x:c r="BJ54" s="60" t="n">
        <x:v>64.324</x:v>
      </x:c>
      <x:c r="BK54" s="60" t="n">
        <x:v>64.5342</x:v>
      </x:c>
      <x:c r="BL54" s="60" t="n">
        <x:v>64.7602</x:v>
      </x:c>
      <x:c r="BM54" s="60" t="n">
        <x:v>64.9548</x:v>
      </x:c>
      <x:c r="BN54" s="60" t="n">
        <x:v>65.1459</x:v>
      </x:c>
      <x:c r="BO54" s="60" t="n">
        <x:v>65.3423</x:v>
      </x:c>
      <x:c r="BP54" s="60" t="n">
        <x:v>65.5637</x:v>
      </x:c>
      <x:c r="BQ54" s="60" t="n">
        <x:v>65.765</x:v>
      </x:c>
      <x:c r="BR54" s="60" t="n">
        <x:v>65.9908</x:v>
      </x:c>
      <x:c r="BS54" s="60" t="n">
        <x:v>66.177</x:v>
      </x:c>
      <x:c r="BT54" s="60" t="n">
        <x:v>66.3785</x:v>
      </x:c>
      <x:c r="BU54" s="60" t="n">
        <x:v>66.5869</x:v>
      </x:c>
      <x:c r="BV54" s="60" t="n">
        <x:v>66.7665</x:v>
      </x:c>
      <x:c r="BW54" s="60" t="n">
        <x:v>66.9782</x:v>
      </x:c>
      <x:c r="BX54" s="60" t="n">
        <x:v>67.1847</x:v>
      </x:c>
      <x:c r="BY54" s="60" t="n">
        <x:v>67.3848</x:v>
      </x:c>
      <x:c r="BZ54" s="60" t="n">
        <x:v>67.5985</x:v>
      </x:c>
      <x:c r="CA54" s="60" t="n">
        <x:v>67.7886</x:v>
      </x:c>
      <x:c r="CB54" s="60" t="n">
        <x:v>67.9982</x:v>
      </x:c>
      <x:c r="CC54" s="60" t="n">
        <x:v>68.1963</x:v>
      </x:c>
      <x:c r="CD54" s="60" t="n">
        <x:v>68.3791</x:v>
      </x:c>
      <x:c r="CE54" s="60" t="n">
        <x:v>68.564</x:v>
      </x:c>
      <x:c r="CF54" s="60" t="n">
        <x:v>68.7579</x:v>
      </x:c>
      <x:c r="CG54" s="60" t="n">
        <x:v>68.9608</x:v>
      </x:c>
      <x:c r="CH54" s="60" t="n">
        <x:v>69.1842</x:v>
      </x:c>
      <x:c r="CI54" s="60" t="n">
        <x:v>69.3943</x:v>
      </x:c>
      <x:c r="CJ54" s="60" t="n">
        <x:v>69.6348</x:v>
      </x:c>
      <x:c r="CK54" s="60" t="n">
        <x:v>69.8873</x:v>
      </x:c>
      <x:c r="CL54" s="60" t="n">
        <x:v>70.108</x:v>
      </x:c>
      <x:c r="CM54" s="60" t="n">
        <x:v>70.3324</x:v>
      </x:c>
      <x:c r="CN54" s="60" t="n">
        <x:v>70.5849</x:v>
      </x:c>
      <x:c r="CO54" s="60" t="n">
        <x:v>70.8386</x:v>
      </x:c>
      <x:c r="CP54" s="60" t="n">
        <x:v>71.0898</x:v>
      </x:c>
      <x:c r="CQ54" s="60" t="n">
        <x:v>71.3426</x:v>
      </x:c>
      <x:c r="CR54" s="60" t="n">
        <x:v>71.623</x:v>
      </x:c>
      <x:c r="CS54" s="60" t="n">
        <x:v>71.9232</x:v>
      </x:c>
      <x:c r="CT54" s="60" t="n">
        <x:v>72.2287</x:v>
      </x:c>
      <x:c r="CU54" s="60" t="n">
        <x:v>72.5672</x:v>
      </x:c>
      <x:c r="CV54" s="60" t="n">
        <x:v>72.9361</x:v>
      </x:c>
      <x:c r="CW54" s="60" t="n">
        <x:v>73.3764</x:v>
      </x:c>
      <x:c r="CX54" s="60" t="n">
        <x:v>73.8437</x:v>
      </x:c>
      <x:c r="CY54" s="60" t="n">
        <x:v>74.3213</x:v>
      </x:c>
      <x:c r="CZ54" s="60" t="n">
        <x:v>75.0203</x:v>
      </x:c>
      <x:c r="DA54" s="60" t="n">
        <x:v>76.0479</x:v>
      </x:c>
      <x:c r="DB54" s="60" t="n">
        <x:v>79.9173</x:v>
      </x:c>
    </x:row>
    <x:row r="55">
      <x:c r="A55" t="str">
        <x:v>ソウブレイズ-1</x:v>
      </x:c>
      <x:c r="B55" t="str">
        <x:v>ソウブレイズ</x:v>
      </x:c>
      <x:c r="C55" t="str">
        <x:v>共通</x:v>
      </x:c>
      <x:c r="D55" s="60" t="n">
        <x:v>61.5579</x:v>
      </x:c>
      <x:c r="E55" s="60" t="n">
        <x:v>11.6978</x:v>
      </x:c>
      <x:c r="F55" s="60" t="n">
        <x:v>27.9386</x:v>
      </x:c>
      <x:c r="G55" s="60" t="n">
        <x:v>36.0852</x:v>
      </x:c>
      <x:c r="H55" s="60" t="n">
        <x:v>37.6151</x:v>
      </x:c>
      <x:c r="I55" s="60" t="n">
        <x:v>38.9437</x:v>
      </x:c>
      <x:c r="J55" s="60" t="n">
        <x:v>39.8995</x:v>
      </x:c>
      <x:c r="K55" s="60" t="n">
        <x:v>40.8245</x:v>
      </x:c>
      <x:c r="L55" s="60" t="n">
        <x:v>41.6732</x:v>
      </x:c>
      <x:c r="M55" s="60" t="n">
        <x:v>42.4215</x:v>
      </x:c>
      <x:c r="N55" s="60" t="n">
        <x:v>43.2168</x:v>
      </x:c>
      <x:c r="O55" s="60" t="n">
        <x:v>43.942</x:v>
      </x:c>
      <x:c r="P55" s="60" t="n">
        <x:v>44.6924</x:v>
      </x:c>
      <x:c r="Q55" s="60" t="n">
        <x:v>45.3822</x:v>
      </x:c>
      <x:c r="R55" s="60" t="n">
        <x:v>46.0653</x:v>
      </x:c>
      <x:c r="S55" s="60" t="n">
        <x:v>46.7621</x:v>
      </x:c>
      <x:c r="T55" s="60" t="n">
        <x:v>47.3942</x:v>
      </x:c>
      <x:c r="U55" s="60" t="n">
        <x:v>47.9978</x:v>
      </x:c>
      <x:c r="V55" s="60" t="n">
        <x:v>48.6143</x:v>
      </x:c>
      <x:c r="W55" s="60" t="n">
        <x:v>49.1338</x:v>
      </x:c>
      <x:c r="X55" s="60" t="n">
        <x:v>49.7328</x:v>
      </x:c>
      <x:c r="Y55" s="60" t="n">
        <x:v>50.2094</x:v>
      </x:c>
      <x:c r="Z55" s="60" t="n">
        <x:v>50.7212</x:v>
      </x:c>
      <x:c r="AA55" s="60" t="n">
        <x:v>51.2052</x:v>
      </x:c>
      <x:c r="AB55" s="60" t="n">
        <x:v>51.6281</x:v>
      </x:c>
      <x:c r="AC55" s="60" t="n">
        <x:v>52.0763</x:v>
      </x:c>
      <x:c r="AD55" s="60" t="n">
        <x:v>52.5941</x:v>
      </x:c>
      <x:c r="AE55" s="60" t="n">
        <x:v>53.0925</x:v>
      </x:c>
      <x:c r="AF55" s="60" t="n">
        <x:v>53.5055</x:v>
      </x:c>
      <x:c r="AG55" s="60" t="n">
        <x:v>53.9252</x:v>
      </x:c>
      <x:c r="AH55" s="60" t="n">
        <x:v>54.3112</x:v>
      </x:c>
      <x:c r="AI55" s="60" t="n">
        <x:v>54.7447</x:v>
      </x:c>
      <x:c r="AJ55" s="60" t="n">
        <x:v>55.151</x:v>
      </x:c>
      <x:c r="AK55" s="60" t="n">
        <x:v>55.5331</x:v>
      </x:c>
      <x:c r="AL55" s="60" t="n">
        <x:v>55.9653</x:v>
      </x:c>
      <x:c r="AM55" s="60" t="n">
        <x:v>56.3945</x:v>
      </x:c>
      <x:c r="AN55" s="60" t="n">
        <x:v>56.8009</x:v>
      </x:c>
      <x:c r="AO55" s="60" t="n">
        <x:v>57.1495</x:v>
      </x:c>
      <x:c r="AP55" s="60" t="n">
        <x:v>57.5194</x:v>
      </x:c>
      <x:c r="AQ55" s="60" t="n">
        <x:v>57.911</x:v>
      </x:c>
      <x:c r="AR55" s="60" t="n">
        <x:v>58.2829</x:v>
      </x:c>
      <x:c r="AS55" s="60" t="n">
        <x:v>58.5931</x:v>
      </x:c>
      <x:c r="AT55" s="60" t="n">
        <x:v>58.9693</x:v>
      </x:c>
      <x:c r="AU55" s="60" t="n">
        <x:v>59.3024</x:v>
      </x:c>
      <x:c r="AV55" s="60" t="n">
        <x:v>59.6849</x:v>
      </x:c>
      <x:c r="AW55" s="60" t="n">
        <x:v>60.0735</x:v>
      </x:c>
      <x:c r="AX55" s="60" t="n">
        <x:v>60.4277</x:v>
      </x:c>
      <x:c r="AY55" s="60" t="n">
        <x:v>60.7986</x:v>
      </x:c>
      <x:c r="AZ55" s="60" t="n">
        <x:v>61.1316</x:v>
      </x:c>
      <x:c r="BA55" s="60" t="n">
        <x:v>61.4876</x:v>
      </x:c>
      <x:c r="BB55" s="60" t="n">
        <x:v>61.837</x:v>
      </x:c>
      <x:c r="BC55" s="60" t="n">
        <x:v>62.1691</x:v>
      </x:c>
      <x:c r="BD55" s="60" t="n">
        <x:v>62.4955</x:v>
      </x:c>
      <x:c r="BE55" s="60" t="n">
        <x:v>62.8164</x:v>
      </x:c>
      <x:c r="BF55" s="60" t="n">
        <x:v>63.1133</x:v>
      </x:c>
      <x:c r="BG55" s="60" t="n">
        <x:v>63.4858</x:v>
      </x:c>
      <x:c r="BH55" s="60" t="n">
        <x:v>63.8172</x:v>
      </x:c>
      <x:c r="BI55" s="60" t="n">
        <x:v>64.162</x:v>
      </x:c>
      <x:c r="BJ55" s="60" t="n">
        <x:v>64.5199</x:v>
      </x:c>
      <x:c r="BK55" s="60" t="n">
        <x:v>64.8774</x:v>
      </x:c>
      <x:c r="BL55" s="60" t="n">
        <x:v>65.2342</x:v>
      </x:c>
      <x:c r="BM55" s="60" t="n">
        <x:v>65.5288</x:v>
      </x:c>
      <x:c r="BN55" s="60" t="n">
        <x:v>65.8495</x:v>
      </x:c>
      <x:c r="BO55" s="60" t="n">
        <x:v>66.1949</x:v>
      </x:c>
      <x:c r="BP55" s="60" t="n">
        <x:v>66.4924</x:v>
      </x:c>
      <x:c r="BQ55" s="60" t="n">
        <x:v>66.7965</x:v>
      </x:c>
      <x:c r="BR55" s="60" t="n">
        <x:v>67.0985</x:v>
      </x:c>
      <x:c r="BS55" s="60" t="n">
        <x:v>67.4507</x:v>
      </x:c>
      <x:c r="BT55" s="60" t="n">
        <x:v>67.7806</x:v>
      </x:c>
      <x:c r="BU55" s="60" t="n">
        <x:v>68.1533</x:v>
      </x:c>
      <x:c r="BV55" s="60" t="n">
        <x:v>68.4966</x:v>
      </x:c>
      <x:c r="BW55" s="60" t="n">
        <x:v>68.8153</x:v>
      </x:c>
      <x:c r="BX55" s="60" t="n">
        <x:v>69.1424</x:v>
      </x:c>
      <x:c r="BY55" s="60" t="n">
        <x:v>69.4816</x:v>
      </x:c>
      <x:c r="BZ55" s="60" t="n">
        <x:v>69.7942</x:v>
      </x:c>
      <x:c r="CA55" s="60" t="n">
        <x:v>70.1304</x:v>
      </x:c>
      <x:c r="CB55" s="60" t="n">
        <x:v>70.4706</x:v>
      </x:c>
      <x:c r="CC55" s="60" t="n">
        <x:v>70.8154</x:v>
      </x:c>
      <x:c r="CD55" s="60" t="n">
        <x:v>71.1861</x:v>
      </x:c>
      <x:c r="CE55" s="60" t="n">
        <x:v>71.4861</x:v>
      </x:c>
      <x:c r="CF55" s="60" t="n">
        <x:v>71.8446</x:v>
      </x:c>
      <x:c r="CG55" s="60" t="n">
        <x:v>72.2267</x:v>
      </x:c>
      <x:c r="CH55" s="60" t="n">
        <x:v>72.6033</x:v>
      </x:c>
      <x:c r="CI55" s="60" t="n">
        <x:v>72.9723</x:v>
      </x:c>
      <x:c r="CJ55" s="60" t="n">
        <x:v>73.3653</x:v>
      </x:c>
      <x:c r="CK55" s="60" t="n">
        <x:v>73.7037</x:v>
      </x:c>
      <x:c r="CL55" s="60" t="n">
        <x:v>74.1051</x:v>
      </x:c>
      <x:c r="CM55" s="60" t="n">
        <x:v>74.4528</x:v>
      </x:c>
      <x:c r="CN55" s="60" t="n">
        <x:v>74.879</x:v>
      </x:c>
      <x:c r="CO55" s="60" t="n">
        <x:v>75.2492</x:v>
      </x:c>
      <x:c r="CP55" s="60" t="n">
        <x:v>75.6844</x:v>
      </x:c>
      <x:c r="CQ55" s="60" t="n">
        <x:v>76.0887</x:v>
      </x:c>
      <x:c r="CR55" s="60" t="n">
        <x:v>76.5342</x:v>
      </x:c>
      <x:c r="CS55" s="60" t="n">
        <x:v>77.0005</x:v>
      </x:c>
      <x:c r="CT55" s="60" t="n">
        <x:v>77.4778</x:v>
      </x:c>
      <x:c r="CU55" s="60" t="n">
        <x:v>77.9869</x:v>
      </x:c>
      <x:c r="CV55" s="60" t="n">
        <x:v>78.5244</x:v>
      </x:c>
      <x:c r="CW55" s="60" t="n">
        <x:v>79.0833</x:v>
      </x:c>
      <x:c r="CX55" s="60" t="n">
        <x:v>79.7708</x:v>
      </x:c>
      <x:c r="CY55" s="60" t="n">
        <x:v>80.392</x:v>
      </x:c>
      <x:c r="CZ55" s="60" t="n">
        <x:v>81.2876</x:v>
      </x:c>
      <x:c r="DA55" s="60" t="n">
        <x:v>82.4047</x:v>
      </x:c>
      <x:c r="DB55" s="60" t="n">
        <x:v>85.2369</x:v>
      </x:c>
    </x:row>
    <x:row r="56">
      <x:c r="A56" t="str">
        <x:v>ソルガレオ-1</x:v>
      </x:c>
      <x:c r="B56" t="str">
        <x:v>ソルガレオ</x:v>
      </x:c>
      <x:c r="C56" t="str">
        <x:v>共通</x:v>
      </x:c>
      <x:c r="D56" s="60" t="n">
        <x:v>61.9597</x:v>
      </x:c>
      <x:c r="E56" s="60" t="n">
        <x:v>6.1074</x:v>
      </x:c>
      <x:c r="F56" s="60" t="n">
        <x:v>41.9887</x:v>
      </x:c>
      <x:c r="G56" s="60" t="n">
        <x:v>47.9996</x:v>
      </x:c>
      <x:c r="H56" s="60" t="n">
        <x:v>48.9375</x:v>
      </x:c>
      <x:c r="I56" s="60" t="n">
        <x:v>49.7836</x:v>
      </x:c>
      <x:c r="J56" s="60" t="n">
        <x:v>50.4129</x:v>
      </x:c>
      <x:c r="K56" s="60" t="n">
        <x:v>50.9855</x:v>
      </x:c>
      <x:c r="L56" s="60" t="n">
        <x:v>51.5449</x:v>
      </x:c>
      <x:c r="M56" s="60" t="n">
        <x:v>52.0341</x:v>
      </x:c>
      <x:c r="N56" s="60" t="n">
        <x:v>52.5048</x:v>
      </x:c>
      <x:c r="O56" s="60" t="n">
        <x:v>52.9032</x:v>
      </x:c>
      <x:c r="P56" s="60" t="n">
        <x:v>53.2787</x:v>
      </x:c>
      <x:c r="Q56" s="60" t="n">
        <x:v>53.6394</x:v>
      </x:c>
      <x:c r="R56" s="60" t="n">
        <x:v>53.9798</x:v>
      </x:c>
      <x:c r="S56" s="60" t="n">
        <x:v>54.3569</x:v>
      </x:c>
      <x:c r="T56" s="60" t="n">
        <x:v>54.6874</x:v>
      </x:c>
      <x:c r="U56" s="60" t="n">
        <x:v>54.9579</x:v>
      </x:c>
      <x:c r="V56" s="60" t="n">
        <x:v>55.2385</x:v>
      </x:c>
      <x:c r="W56" s="60" t="n">
        <x:v>55.572</x:v>
      </x:c>
      <x:c r="X56" s="60" t="n">
        <x:v>55.8892</x:v>
      </x:c>
      <x:c r="Y56" s="60" t="n">
        <x:v>56.1771</x:v>
      </x:c>
      <x:c r="Z56" s="60" t="n">
        <x:v>56.4752</x:v>
      </x:c>
      <x:c r="AA56" s="60" t="n">
        <x:v>56.755</x:v>
      </x:c>
      <x:c r="AB56" s="60" t="n">
        <x:v>57.0584</x:v>
      </x:c>
      <x:c r="AC56" s="60" t="n">
        <x:v>57.3211</x:v>
      </x:c>
      <x:c r="AD56" s="60" t="n">
        <x:v>57.5789</x:v>
      </x:c>
      <x:c r="AE56" s="60" t="n">
        <x:v>57.8017</x:v>
      </x:c>
      <x:c r="AF56" s="60" t="n">
        <x:v>58.0261</x:v>
      </x:c>
      <x:c r="AG56" s="60" t="n">
        <x:v>58.2705</x:v>
      </x:c>
      <x:c r="AH56" s="60" t="n">
        <x:v>58.4891</x:v>
      </x:c>
      <x:c r="AI56" s="60" t="n">
        <x:v>58.686</x:v>
      </x:c>
      <x:c r="AJ56" s="60" t="n">
        <x:v>58.9106</x:v>
      </x:c>
      <x:c r="AK56" s="60" t="n">
        <x:v>59.09</x:v>
      </x:c>
      <x:c r="AL56" s="60" t="n">
        <x:v>59.2905</x:v>
      </x:c>
      <x:c r="AM56" s="60" t="n">
        <x:v>59.4845</x:v>
      </x:c>
      <x:c r="AN56" s="60" t="n">
        <x:v>59.6781</x:v>
      </x:c>
      <x:c r="AO56" s="60" t="n">
        <x:v>59.8541</x:v>
      </x:c>
      <x:c r="AP56" s="60" t="n">
        <x:v>60.0622</x:v>
      </x:c>
      <x:c r="AQ56" s="60" t="n">
        <x:v>60.2635</x:v>
      </x:c>
      <x:c r="AR56" s="60" t="n">
        <x:v>60.445</x:v>
      </x:c>
      <x:c r="AS56" s="60" t="n">
        <x:v>60.6234</x:v>
      </x:c>
      <x:c r="AT56" s="60" t="n">
        <x:v>60.8016</x:v>
      </x:c>
      <x:c r="AU56" s="60" t="n">
        <x:v>60.9715</x:v>
      </x:c>
      <x:c r="AV56" s="60" t="n">
        <x:v>61.1433</x:v>
      </x:c>
      <x:c r="AW56" s="60" t="n">
        <x:v>61.3146</x:v>
      </x:c>
      <x:c r="AX56" s="60" t="n">
        <x:v>61.4814</x:v>
      </x:c>
      <x:c r="AY56" s="60" t="n">
        <x:v>61.6609</x:v>
      </x:c>
      <x:c r="AZ56" s="60" t="n">
        <x:v>61.8177</x:v>
      </x:c>
      <x:c r="BA56" s="60" t="n">
        <x:v>61.9804</x:v>
      </x:c>
      <x:c r="BB56" s="60" t="n">
        <x:v>62.1567</x:v>
      </x:c>
      <x:c r="BC56" s="60" t="n">
        <x:v>62.3379</x:v>
      </x:c>
      <x:c r="BD56" s="60" t="n">
        <x:v>62.4989</x:v>
      </x:c>
      <x:c r="BE56" s="60" t="n">
        <x:v>62.675</x:v>
      </x:c>
      <x:c r="BF56" s="60" t="n">
        <x:v>62.8558</x:v>
      </x:c>
      <x:c r="BG56" s="60" t="n">
        <x:v>63.0067</x:v>
      </x:c>
      <x:c r="BH56" s="60" t="n">
        <x:v>63.1564</x:v>
      </x:c>
      <x:c r="BI56" s="60" t="n">
        <x:v>63.3138</x:v>
      </x:c>
      <x:c r="BJ56" s="60" t="n">
        <x:v>63.4614</x:v>
      </x:c>
      <x:c r="BK56" s="60" t="n">
        <x:v>63.6164</x:v>
      </x:c>
      <x:c r="BL56" s="60" t="n">
        <x:v>63.7724</x:v>
      </x:c>
      <x:c r="BM56" s="60" t="n">
        <x:v>63.9262</x:v>
      </x:c>
      <x:c r="BN56" s="60" t="n">
        <x:v>64.0911</x:v>
      </x:c>
      <x:c r="BO56" s="60" t="n">
        <x:v>64.2505</x:v>
      </x:c>
      <x:c r="BP56" s="60" t="n">
        <x:v>64.4054</x:v>
      </x:c>
      <x:c r="BQ56" s="60" t="n">
        <x:v>64.5764</x:v>
      </x:c>
      <x:c r="BR56" s="60" t="n">
        <x:v>64.7346</x:v>
      </x:c>
      <x:c r="BS56" s="60" t="n">
        <x:v>64.8769</x:v>
      </x:c>
      <x:c r="BT56" s="60" t="n">
        <x:v>65.0373</x:v>
      </x:c>
      <x:c r="BU56" s="60" t="n">
        <x:v>65.1929</x:v>
      </x:c>
      <x:c r="BV56" s="60" t="n">
        <x:v>65.359</x:v>
      </x:c>
      <x:c r="BW56" s="60" t="n">
        <x:v>65.5064</x:v>
      </x:c>
      <x:c r="BX56" s="60" t="n">
        <x:v>65.6635</x:v>
      </x:c>
      <x:c r="BY56" s="60" t="n">
        <x:v>65.8371</x:v>
      </x:c>
      <x:c r="BZ56" s="60" t="n">
        <x:v>66.0113</x:v>
      </x:c>
      <x:c r="CA56" s="60" t="n">
        <x:v>66.1745</x:v>
      </x:c>
      <x:c r="CB56" s="60" t="n">
        <x:v>66.3323</x:v>
      </x:c>
      <x:c r="CC56" s="60" t="n">
        <x:v>66.5102</x:v>
      </x:c>
      <x:c r="CD56" s="60" t="n">
        <x:v>66.6843</x:v>
      </x:c>
      <x:c r="CE56" s="60" t="n">
        <x:v>66.882</x:v>
      </x:c>
      <x:c r="CF56" s="60" t="n">
        <x:v>67.0494</x:v>
      </x:c>
      <x:c r="CG56" s="60" t="n">
        <x:v>67.2402</x:v>
      </x:c>
      <x:c r="CH56" s="60" t="n">
        <x:v>67.4347</x:v>
      </x:c>
      <x:c r="CI56" s="60" t="n">
        <x:v>67.6321</x:v>
      </x:c>
      <x:c r="CJ56" s="60" t="n">
        <x:v>67.8407</x:v>
      </x:c>
      <x:c r="CK56" s="60" t="n">
        <x:v>68.0415</x:v>
      </x:c>
      <x:c r="CL56" s="60" t="n">
        <x:v>68.2511</x:v>
      </x:c>
      <x:c r="CM56" s="60" t="n">
        <x:v>68.4676</x:v>
      </x:c>
      <x:c r="CN56" s="60" t="n">
        <x:v>68.6695</x:v>
      </x:c>
      <x:c r="CO56" s="60" t="n">
        <x:v>68.9305</x:v>
      </x:c>
      <x:c r="CP56" s="60" t="n">
        <x:v>69.182</x:v>
      </x:c>
      <x:c r="CQ56" s="60" t="n">
        <x:v>69.4126</x:v>
      </x:c>
      <x:c r="CR56" s="60" t="n">
        <x:v>69.6374</x:v>
      </x:c>
      <x:c r="CS56" s="60" t="n">
        <x:v>69.9207</x:v>
      </x:c>
      <x:c r="CT56" s="60" t="n">
        <x:v>70.2136</x:v>
      </x:c>
      <x:c r="CU56" s="60" t="n">
        <x:v>70.5022</x:v>
      </x:c>
      <x:c r="CV56" s="60" t="n">
        <x:v>70.8097</x:v>
      </x:c>
      <x:c r="CW56" s="60" t="n">
        <x:v>71.1809</x:v>
      </x:c>
      <x:c r="CX56" s="60" t="n">
        <x:v>71.5664</x:v>
      </x:c>
      <x:c r="CY56" s="60" t="n">
        <x:v>72.0764</x:v>
      </x:c>
      <x:c r="CZ56" s="60" t="n">
        <x:v>72.6838</x:v>
      </x:c>
      <x:c r="DA56" s="60" t="n">
        <x:v>73.5914</x:v>
      </x:c>
      <x:c r="DB56" s="60" t="n">
        <x:v>77.0435</x:v>
      </x:c>
    </x:row>
    <x:row r="57">
      <x:c r="A57" t="str">
        <x:v>タイレーツ-1</x:v>
      </x:c>
      <x:c r="B57" t="str">
        <x:v>タイレーツ</x:v>
      </x:c>
      <x:c r="C57" t="str">
        <x:v>はいすいのじん</x:v>
      </x:c>
      <x:c r="D57" s="60" t="n">
        <x:v>61.4716</x:v>
      </x:c>
      <x:c r="E57" s="60" t="n">
        <x:v>6.0874</x:v>
      </x:c>
      <x:c r="F57" s="60" t="n">
        <x:v>42.6665</x:v>
      </x:c>
      <x:c r="G57" s="60" t="n">
        <x:v>47.672</x:v>
      </x:c>
      <x:c r="H57" s="60" t="n">
        <x:v>48.7331</x:v>
      </x:c>
      <x:c r="I57" s="60" t="n">
        <x:v>49.612</x:v>
      </x:c>
      <x:c r="J57" s="60" t="n">
        <x:v>50.2633</x:v>
      </x:c>
      <x:c r="K57" s="60" t="n">
        <x:v>50.8388</x:v>
      </x:c>
      <x:c r="L57" s="60" t="n">
        <x:v>51.3555</x:v>
      </x:c>
      <x:c r="M57" s="60" t="n">
        <x:v>51.8154</x:v>
      </x:c>
      <x:c r="N57" s="60" t="n">
        <x:v>52.2358</x:v>
      </x:c>
      <x:c r="O57" s="60" t="n">
        <x:v>52.6484</x:v>
      </x:c>
      <x:c r="P57" s="60" t="n">
        <x:v>53.0405</x:v>
      </x:c>
      <x:c r="Q57" s="60" t="n">
        <x:v>53.4214</x:v>
      </x:c>
      <x:c r="R57" s="60" t="n">
        <x:v>53.7582</x:v>
      </x:c>
      <x:c r="S57" s="60" t="n">
        <x:v>54.104</x:v>
      </x:c>
      <x:c r="T57" s="60" t="n">
        <x:v>54.4074</x:v>
      </x:c>
      <x:c r="U57" s="60" t="n">
        <x:v>54.71</x:v>
      </x:c>
      <x:c r="V57" s="60" t="n">
        <x:v>54.9912</x:v>
      </x:c>
      <x:c r="W57" s="60" t="n">
        <x:v>55.2583</x:v>
      </x:c>
      <x:c r="X57" s="60" t="n">
        <x:v>55.5502</x:v>
      </x:c>
      <x:c r="Y57" s="60" t="n">
        <x:v>55.7869</x:v>
      </x:c>
      <x:c r="Z57" s="60" t="n">
        <x:v>56.0741</x:v>
      </x:c>
      <x:c r="AA57" s="60" t="n">
        <x:v>56.3068</x:v>
      </x:c>
      <x:c r="AB57" s="60" t="n">
        <x:v>56.523</x:v>
      </x:c>
      <x:c r="AC57" s="60" t="n">
        <x:v>56.76</x:v>
      </x:c>
      <x:c r="AD57" s="60" t="n">
        <x:v>57.0046</x:v>
      </x:c>
      <x:c r="AE57" s="60" t="n">
        <x:v>57.2603</x:v>
      </x:c>
      <x:c r="AF57" s="60" t="n">
        <x:v>57.4681</x:v>
      </x:c>
      <x:c r="AG57" s="60" t="n">
        <x:v>57.679</x:v>
      </x:c>
      <x:c r="AH57" s="60" t="n">
        <x:v>57.8748</x:v>
      </x:c>
      <x:c r="AI57" s="60" t="n">
        <x:v>58.0793</x:v>
      </x:c>
      <x:c r="AJ57" s="60" t="n">
        <x:v>58.2837</x:v>
      </x:c>
      <x:c r="AK57" s="60" t="n">
        <x:v>58.4825</x:v>
      </x:c>
      <x:c r="AL57" s="60" t="n">
        <x:v>58.6605</x:v>
      </x:c>
      <x:c r="AM57" s="60" t="n">
        <x:v>58.8523</x:v>
      </x:c>
      <x:c r="AN57" s="60" t="n">
        <x:v>59.051</x:v>
      </x:c>
      <x:c r="AO57" s="60" t="n">
        <x:v>59.2349</x:v>
      </x:c>
      <x:c r="AP57" s="60" t="n">
        <x:v>59.414</x:v>
      </x:c>
      <x:c r="AQ57" s="60" t="n">
        <x:v>59.614</x:v>
      </x:c>
      <x:c r="AR57" s="60" t="n">
        <x:v>59.7979</x:v>
      </x:c>
      <x:c r="AS57" s="60" t="n">
        <x:v>59.9811</x:v>
      </x:c>
      <x:c r="AT57" s="60" t="n">
        <x:v>60.1568</x:v>
      </x:c>
      <x:c r="AU57" s="60" t="n">
        <x:v>60.3206</x:v>
      </x:c>
      <x:c r="AV57" s="60" t="n">
        <x:v>60.5019</x:v>
      </x:c>
      <x:c r="AW57" s="60" t="n">
        <x:v>60.6758</x:v>
      </x:c>
      <x:c r="AX57" s="60" t="n">
        <x:v>60.8514</x:v>
      </x:c>
      <x:c r="AY57" s="60" t="n">
        <x:v>60.9936</x:v>
      </x:c>
      <x:c r="AZ57" s="60" t="n">
        <x:v>61.1518</x:v>
      </x:c>
      <x:c r="BA57" s="60" t="n">
        <x:v>61.3147</x:v>
      </x:c>
      <x:c r="BB57" s="60" t="n">
        <x:v>61.4556</x:v>
      </x:c>
      <x:c r="BC57" s="60" t="n">
        <x:v>61.5954</x:v>
      </x:c>
      <x:c r="BD57" s="60" t="n">
        <x:v>61.743</x:v>
      </x:c>
      <x:c r="BE57" s="60" t="n">
        <x:v>61.9101</x:v>
      </x:c>
      <x:c r="BF57" s="60" t="n">
        <x:v>62.0923</x:v>
      </x:c>
      <x:c r="BG57" s="60" t="n">
        <x:v>62.248</x:v>
      </x:c>
      <x:c r="BH57" s="60" t="n">
        <x:v>62.4037</x:v>
      </x:c>
      <x:c r="BI57" s="60" t="n">
        <x:v>62.5897</x:v>
      </x:c>
      <x:c r="BJ57" s="60" t="n">
        <x:v>62.7711</x:v>
      </x:c>
      <x:c r="BK57" s="60" t="n">
        <x:v>62.9432</x:v>
      </x:c>
      <x:c r="BL57" s="60" t="n">
        <x:v>63.1</x:v>
      </x:c>
      <x:c r="BM57" s="60" t="n">
        <x:v>63.2609</x:v>
      </x:c>
      <x:c r="BN57" s="60" t="n">
        <x:v>63.4169</x:v>
      </x:c>
      <x:c r="BO57" s="60" t="n">
        <x:v>63.5725</x:v>
      </x:c>
      <x:c r="BP57" s="60" t="n">
        <x:v>63.7235</x:v>
      </x:c>
      <x:c r="BQ57" s="60" t="n">
        <x:v>63.8881</x:v>
      </x:c>
      <x:c r="BR57" s="60" t="n">
        <x:v>64.075</x:v>
      </x:c>
      <x:c r="BS57" s="60" t="n">
        <x:v>64.2396</x:v>
      </x:c>
      <x:c r="BT57" s="60" t="n">
        <x:v>64.4019</x:v>
      </x:c>
      <x:c r="BU57" s="60" t="n">
        <x:v>64.5851</x:v>
      </x:c>
      <x:c r="BV57" s="60" t="n">
        <x:v>64.746</x:v>
      </x:c>
      <x:c r="BW57" s="60" t="n">
        <x:v>64.9266</x:v>
      </x:c>
      <x:c r="BX57" s="60" t="n">
        <x:v>65.1346</x:v>
      </x:c>
      <x:c r="BY57" s="60" t="n">
        <x:v>65.2799</x:v>
      </x:c>
      <x:c r="BZ57" s="60" t="n">
        <x:v>65.4615</x:v>
      </x:c>
      <x:c r="CA57" s="60" t="n">
        <x:v>65.6211</x:v>
      </x:c>
      <x:c r="CB57" s="60" t="n">
        <x:v>65.8201</x:v>
      </x:c>
      <x:c r="CC57" s="60" t="n">
        <x:v>66.0156</x:v>
      </x:c>
      <x:c r="CD57" s="60" t="n">
        <x:v>66.2211</x:v>
      </x:c>
      <x:c r="CE57" s="60" t="n">
        <x:v>66.4018</x:v>
      </x:c>
      <x:c r="CF57" s="60" t="n">
        <x:v>66.5896</x:v>
      </x:c>
      <x:c r="CG57" s="60" t="n">
        <x:v>66.78</x:v>
      </x:c>
      <x:c r="CH57" s="60" t="n">
        <x:v>66.9671</x:v>
      </x:c>
      <x:c r="CI57" s="60" t="n">
        <x:v>67.1532</x:v>
      </x:c>
      <x:c r="CJ57" s="60" t="n">
        <x:v>67.3875</x:v>
      </x:c>
      <x:c r="CK57" s="60" t="n">
        <x:v>67.6284</x:v>
      </x:c>
      <x:c r="CL57" s="60" t="n">
        <x:v>67.8483</x:v>
      </x:c>
      <x:c r="CM57" s="60" t="n">
        <x:v>68.0709</x:v>
      </x:c>
      <x:c r="CN57" s="60" t="n">
        <x:v>68.2948</x:v>
      </x:c>
      <x:c r="CO57" s="60" t="n">
        <x:v>68.5302</x:v>
      </x:c>
      <x:c r="CP57" s="60" t="n">
        <x:v>68.7773</x:v>
      </x:c>
      <x:c r="CQ57" s="60" t="n">
        <x:v>69.0326</x:v>
      </x:c>
      <x:c r="CR57" s="60" t="n">
        <x:v>69.3005</x:v>
      </x:c>
      <x:c r="CS57" s="60" t="n">
        <x:v>69.5747</x:v>
      </x:c>
      <x:c r="CT57" s="60" t="n">
        <x:v>69.8774</x:v>
      </x:c>
      <x:c r="CU57" s="60" t="n">
        <x:v>70.2005</x:v>
      </x:c>
      <x:c r="CV57" s="60" t="n">
        <x:v>70.5099</x:v>
      </x:c>
      <x:c r="CW57" s="60" t="n">
        <x:v>70.8727</x:v>
      </x:c>
      <x:c r="CX57" s="60" t="n">
        <x:v>71.305</x:v>
      </x:c>
      <x:c r="CY57" s="60" t="n">
        <x:v>71.8517</x:v>
      </x:c>
      <x:c r="CZ57" s="60" t="n">
        <x:v>72.4802</x:v>
      </x:c>
      <x:c r="DA57" s="60" t="n">
        <x:v>73.5453</x:v>
      </x:c>
      <x:c r="DB57" s="60" t="n">
        <x:v>76.9911</x:v>
      </x:c>
    </x:row>
    <x:row r="58">
      <x:c r="A58" t="str">
        <x:v>タイレーツ-2</x:v>
      </x:c>
      <x:c r="B58" t="str">
        <x:v>タイレーツ</x:v>
      </x:c>
      <x:c r="C58" t="str">
        <x:v>ふくろだたき</x:v>
      </x:c>
      <x:c r="D58" s="60" t="n">
        <x:v>61.7495</x:v>
      </x:c>
      <x:c r="E58" s="60" t="n">
        <x:v>12.4622</x:v>
      </x:c>
      <x:c r="F58" s="60" t="n">
        <x:v>26.6104</x:v>
      </x:c>
      <x:c r="G58" s="60" t="n">
        <x:v>34.7983</x:v>
      </x:c>
      <x:c r="H58" s="60" t="n">
        <x:v>36.2602</x:v>
      </x:c>
      <x:c r="I58" s="60" t="n">
        <x:v>37.3124</x:v>
      </x:c>
      <x:c r="J58" s="60" t="n">
        <x:v>38.376</x:v>
      </x:c>
      <x:c r="K58" s="60" t="n">
        <x:v>39.3144</x:v>
      </x:c>
      <x:c r="L58" s="60" t="n">
        <x:v>40.3934</x:v>
      </x:c>
      <x:c r="M58" s="60" t="n">
        <x:v>41.409</x:v>
      </x:c>
      <x:c r="N58" s="60" t="n">
        <x:v>42.3028</x:v>
      </x:c>
      <x:c r="O58" s="60" t="n">
        <x:v>43.1714</x:v>
      </x:c>
      <x:c r="P58" s="60" t="n">
        <x:v>43.9762</x:v>
      </x:c>
      <x:c r="Q58" s="60" t="n">
        <x:v>44.683</x:v>
      </x:c>
      <x:c r="R58" s="60" t="n">
        <x:v>45.3504</x:v>
      </x:c>
      <x:c r="S58" s="60" t="n">
        <x:v>46.0095</x:v>
      </x:c>
      <x:c r="T58" s="60" t="n">
        <x:v>46.6926</x:v>
      </x:c>
      <x:c r="U58" s="60" t="n">
        <x:v>47.3344</x:v>
      </x:c>
      <x:c r="V58" s="60" t="n">
        <x:v>47.9831</x:v>
      </x:c>
      <x:c r="W58" s="60" t="n">
        <x:v>48.5164</x:v>
      </x:c>
      <x:c r="X58" s="60" t="n">
        <x:v>49.0642</x:v>
      </x:c>
      <x:c r="Y58" s="60" t="n">
        <x:v>49.596</x:v>
      </x:c>
      <x:c r="Z58" s="60" t="n">
        <x:v>50.0797</x:v>
      </x:c>
      <x:c r="AA58" s="60" t="n">
        <x:v>50.5939</x:v>
      </x:c>
      <x:c r="AB58" s="60" t="n">
        <x:v>51.1303</x:v>
      </x:c>
      <x:c r="AC58" s="60" t="n">
        <x:v>51.6256</x:v>
      </x:c>
      <x:c r="AD58" s="60" t="n">
        <x:v>52.1421</x:v>
      </x:c>
      <x:c r="AE58" s="60" t="n">
        <x:v>52.6724</x:v>
      </x:c>
      <x:c r="AF58" s="60" t="n">
        <x:v>53.1201</x:v>
      </x:c>
      <x:c r="AG58" s="60" t="n">
        <x:v>53.5723</x:v>
      </x:c>
      <x:c r="AH58" s="60" t="n">
        <x:v>54.0087</x:v>
      </x:c>
      <x:c r="AI58" s="60" t="n">
        <x:v>54.4944</x:v>
      </x:c>
      <x:c r="AJ58" s="60" t="n">
        <x:v>54.9306</x:v>
      </x:c>
      <x:c r="AK58" s="60" t="n">
        <x:v>55.3959</x:v>
      </x:c>
      <x:c r="AL58" s="60" t="n">
        <x:v>55.8392</x:v>
      </x:c>
      <x:c r="AM58" s="60" t="n">
        <x:v>56.2259</x:v>
      </x:c>
      <x:c r="AN58" s="60" t="n">
        <x:v>56.6291</x:v>
      </x:c>
      <x:c r="AO58" s="60" t="n">
        <x:v>57.0299</x:v>
      </x:c>
      <x:c r="AP58" s="60" t="n">
        <x:v>57.4151</x:v>
      </x:c>
      <x:c r="AQ58" s="60" t="n">
        <x:v>57.8111</x:v>
      </x:c>
      <x:c r="AR58" s="60" t="n">
        <x:v>58.2283</x:v>
      </x:c>
      <x:c r="AS58" s="60" t="n">
        <x:v>58.6197</x:v>
      </x:c>
      <x:c r="AT58" s="60" t="n">
        <x:v>58.9863</x:v>
      </x:c>
      <x:c r="AU58" s="60" t="n">
        <x:v>59.3537</x:v>
      </x:c>
      <x:c r="AV58" s="60" t="n">
        <x:v>59.7472</x:v>
      </x:c>
      <x:c r="AW58" s="60" t="n">
        <x:v>60.1546</x:v>
      </x:c>
      <x:c r="AX58" s="60" t="n">
        <x:v>60.5293</x:v>
      </x:c>
      <x:c r="AY58" s="60" t="n">
        <x:v>60.9261</x:v>
      </x:c>
      <x:c r="AZ58" s="60" t="n">
        <x:v>61.3165</x:v>
      </x:c>
      <x:c r="BA58" s="60" t="n">
        <x:v>61.7148</x:v>
      </x:c>
      <x:c r="BB58" s="60" t="n">
        <x:v>62.0766</x:v>
      </x:c>
      <x:c r="BC58" s="60" t="n">
        <x:v>62.4537</x:v>
      </x:c>
      <x:c r="BD58" s="60" t="n">
        <x:v>62.7918</x:v>
      </x:c>
      <x:c r="BE58" s="60" t="n">
        <x:v>63.1565</x:v>
      </x:c>
      <x:c r="BF58" s="60" t="n">
        <x:v>63.5394</x:v>
      </x:c>
      <x:c r="BG58" s="60" t="n">
        <x:v>63.8749</x:v>
      </x:c>
      <x:c r="BH58" s="60" t="n">
        <x:v>64.2478</x:v>
      </x:c>
      <x:c r="BI58" s="60" t="n">
        <x:v>64.639</x:v>
      </x:c>
      <x:c r="BJ58" s="60" t="n">
        <x:v>65.0034</x:v>
      </x:c>
      <x:c r="BK58" s="60" t="n">
        <x:v>65.3169</x:v>
      </x:c>
      <x:c r="BL58" s="60" t="n">
        <x:v>65.7058</x:v>
      </x:c>
      <x:c r="BM58" s="60" t="n">
        <x:v>66.0395</x:v>
      </x:c>
      <x:c r="BN58" s="60" t="n">
        <x:v>66.4432</x:v>
      </x:c>
      <x:c r="BO58" s="60" t="n">
        <x:v>66.7696</x:v>
      </x:c>
      <x:c r="BP58" s="60" t="n">
        <x:v>67.0946</x:v>
      </x:c>
      <x:c r="BQ58" s="60" t="n">
        <x:v>67.4354</x:v>
      </x:c>
      <x:c r="BR58" s="60" t="n">
        <x:v>67.7529</x:v>
      </x:c>
      <x:c r="BS58" s="60" t="n">
        <x:v>68.089</x:v>
      </x:c>
      <x:c r="BT58" s="60" t="n">
        <x:v>68.4617</x:v>
      </x:c>
      <x:c r="BU58" s="60" t="n">
        <x:v>68.8413</x:v>
      </x:c>
      <x:c r="BV58" s="60" t="n">
        <x:v>69.2029</x:v>
      </x:c>
      <x:c r="BW58" s="60" t="n">
        <x:v>69.554</x:v>
      </x:c>
      <x:c r="BX58" s="60" t="n">
        <x:v>69.9138</x:v>
      </x:c>
      <x:c r="BY58" s="60" t="n">
        <x:v>70.2587</x:v>
      </x:c>
      <x:c r="BZ58" s="60" t="n">
        <x:v>70.5817</x:v>
      </x:c>
      <x:c r="CA58" s="60" t="n">
        <x:v>70.9059</x:v>
      </x:c>
      <x:c r="CB58" s="60" t="n">
        <x:v>71.2505</x:v>
      </x:c>
      <x:c r="CC58" s="60" t="n">
        <x:v>71.5884</x:v>
      </x:c>
      <x:c r="CD58" s="60" t="n">
        <x:v>71.9543</x:v>
      </x:c>
      <x:c r="CE58" s="60" t="n">
        <x:v>72.3679</x:v>
      </x:c>
      <x:c r="CF58" s="60" t="n">
        <x:v>72.7381</x:v>
      </x:c>
      <x:c r="CG58" s="60" t="n">
        <x:v>73.1158</x:v>
      </x:c>
      <x:c r="CH58" s="60" t="n">
        <x:v>73.5281</x:v>
      </x:c>
      <x:c r="CI58" s="60" t="n">
        <x:v>73.9343</x:v>
      </x:c>
      <x:c r="CJ58" s="60" t="n">
        <x:v>74.32</x:v>
      </x:c>
      <x:c r="CK58" s="60" t="n">
        <x:v>74.6528</x:v>
      </x:c>
      <x:c r="CL58" s="60" t="n">
        <x:v>74.9951</x:v>
      </x:c>
      <x:c r="CM58" s="60" t="n">
        <x:v>75.4024</x:v>
      </x:c>
      <x:c r="CN58" s="60" t="n">
        <x:v>75.7985</x:v>
      </x:c>
      <x:c r="CO58" s="60" t="n">
        <x:v>76.2237</x:v>
      </x:c>
      <x:c r="CP58" s="60" t="n">
        <x:v>76.6871</x:v>
      </x:c>
      <x:c r="CQ58" s="60" t="n">
        <x:v>77.1966</x:v>
      </x:c>
      <x:c r="CR58" s="60" t="n">
        <x:v>77.6092</x:v>
      </x:c>
      <x:c r="CS58" s="60" t="n">
        <x:v>78.0957</x:v>
      </x:c>
      <x:c r="CT58" s="60" t="n">
        <x:v>78.603</x:v>
      </x:c>
      <x:c r="CU58" s="60" t="n">
        <x:v>79.1621</x:v>
      </x:c>
      <x:c r="CV58" s="60" t="n">
        <x:v>79.8053</x:v>
      </x:c>
      <x:c r="CW58" s="60" t="n">
        <x:v>80.4454</x:v>
      </x:c>
      <x:c r="CX58" s="60" t="n">
        <x:v>81.0515</x:v>
      </x:c>
      <x:c r="CY58" s="60" t="n">
        <x:v>81.8413</x:v>
      </x:c>
      <x:c r="CZ58" s="60" t="n">
        <x:v>82.8099</x:v>
      </x:c>
      <x:c r="DA58" s="60" t="n">
        <x:v>84.05</x:v>
      </x:c>
      <x:c r="DB58" s="60" t="n">
        <x:v>87.6005</x:v>
      </x:c>
    </x:row>
    <x:row r="59">
      <x:c r="A59" t="str">
        <x:v>ダダリン-1</x:v>
      </x:c>
      <x:c r="B59" t="str">
        <x:v>ダダリン</x:v>
      </x:c>
      <x:c r="C59" t="str">
        <x:v>共通</x:v>
      </x:c>
      <x:c r="D59" s="60" t="n">
        <x:v>61.9155</x:v>
      </x:c>
      <x:c r="E59" s="60" t="n">
        <x:v>6.1997</x:v>
      </x:c>
      <x:c r="F59" s="60" t="n">
        <x:v>38.0134</x:v>
      </x:c>
      <x:c r="G59" s="60" t="n">
        <x:v>47.0143</x:v>
      </x:c>
      <x:c r="H59" s="60" t="n">
        <x:v>48.6749</x:v>
      </x:c>
      <x:c r="I59" s="60" t="n">
        <x:v>49.8353</x:v>
      </x:c>
      <x:c r="J59" s="60" t="n">
        <x:v>50.6734</x:v>
      </x:c>
      <x:c r="K59" s="60" t="n">
        <x:v>51.3591</x:v>
      </x:c>
      <x:c r="L59" s="60" t="n">
        <x:v>51.9203</x:v>
      </x:c>
      <x:c r="M59" s="60" t="n">
        <x:v>52.3973</x:v>
      </x:c>
      <x:c r="N59" s="60" t="n">
        <x:v>52.8123</x:v>
      </x:c>
      <x:c r="O59" s="60" t="n">
        <x:v>53.2388</x:v>
      </x:c>
      <x:c r="P59" s="60" t="n">
        <x:v>53.6217</x:v>
      </x:c>
      <x:c r="Q59" s="60" t="n">
        <x:v>53.9603</x:v>
      </x:c>
      <x:c r="R59" s="60" t="n">
        <x:v>54.3012</x:v>
      </x:c>
      <x:c r="S59" s="60" t="n">
        <x:v>54.6271</x:v>
      </x:c>
      <x:c r="T59" s="60" t="n">
        <x:v>54.9154</x:v>
      </x:c>
      <x:c r="U59" s="60" t="n">
        <x:v>55.1847</x:v>
      </x:c>
      <x:c r="V59" s="60" t="n">
        <x:v>55.4164</x:v>
      </x:c>
      <x:c r="W59" s="60" t="n">
        <x:v>55.6644</x:v>
      </x:c>
      <x:c r="X59" s="60" t="n">
        <x:v>55.9478</x:v>
      </x:c>
      <x:c r="Y59" s="60" t="n">
        <x:v>56.2149</x:v>
      </x:c>
      <x:c r="Z59" s="60" t="n">
        <x:v>56.4455</x:v>
      </x:c>
      <x:c r="AA59" s="60" t="n">
        <x:v>56.6978</x:v>
      </x:c>
      <x:c r="AB59" s="60" t="n">
        <x:v>56.9403</x:v>
      </x:c>
      <x:c r="AC59" s="60" t="n">
        <x:v>57.1517</x:v>
      </x:c>
      <x:c r="AD59" s="60" t="n">
        <x:v>57.3693</x:v>
      </x:c>
      <x:c r="AE59" s="60" t="n">
        <x:v>57.5635</x:v>
      </x:c>
      <x:c r="AF59" s="60" t="n">
        <x:v>57.7821</x:v>
      </x:c>
      <x:c r="AG59" s="60" t="n">
        <x:v>57.9954</x:v>
      </x:c>
      <x:c r="AH59" s="60" t="n">
        <x:v>58.1716</x:v>
      </x:c>
      <x:c r="AI59" s="60" t="n">
        <x:v>58.389</x:v>
      </x:c>
      <x:c r="AJ59" s="60" t="n">
        <x:v>58.5904</x:v>
      </x:c>
      <x:c r="AK59" s="60" t="n">
        <x:v>58.7945</x:v>
      </x:c>
      <x:c r="AL59" s="60" t="n">
        <x:v>58.9983</x:v>
      </x:c>
      <x:c r="AM59" s="60" t="n">
        <x:v>59.1898</x:v>
      </x:c>
      <x:c r="AN59" s="60" t="n">
        <x:v>59.3744</x:v>
      </x:c>
      <x:c r="AO59" s="60" t="n">
        <x:v>59.5742</x:v>
      </x:c>
      <x:c r="AP59" s="60" t="n">
        <x:v>59.74</x:v>
      </x:c>
      <x:c r="AQ59" s="60" t="n">
        <x:v>59.9191</x:v>
      </x:c>
      <x:c r="AR59" s="60" t="n">
        <x:v>60.1136</x:v>
      </x:c>
      <x:c r="AS59" s="60" t="n">
        <x:v>60.3044</x:v>
      </x:c>
      <x:c r="AT59" s="60" t="n">
        <x:v>60.4966</x:v>
      </x:c>
      <x:c r="AU59" s="60" t="n">
        <x:v>60.6668</x:v>
      </x:c>
      <x:c r="AV59" s="60" t="n">
        <x:v>60.8432</x:v>
      </x:c>
      <x:c r="AW59" s="60" t="n">
        <x:v>61.0074</x:v>
      </x:c>
      <x:c r="AX59" s="60" t="n">
        <x:v>61.1652</x:v>
      </x:c>
      <x:c r="AY59" s="60" t="n">
        <x:v>61.3325</x:v>
      </x:c>
      <x:c r="AZ59" s="60" t="n">
        <x:v>61.5253</x:v>
      </x:c>
      <x:c r="BA59" s="60" t="n">
        <x:v>61.7036</x:v>
      </x:c>
      <x:c r="BB59" s="60" t="n">
        <x:v>61.8691</x:v>
      </x:c>
      <x:c r="BC59" s="60" t="n">
        <x:v>62.0388</x:v>
      </x:c>
      <x:c r="BD59" s="60" t="n">
        <x:v>62.1937</x:v>
      </x:c>
      <x:c r="BE59" s="60" t="n">
        <x:v>62.3547</x:v>
      </x:c>
      <x:c r="BF59" s="60" t="n">
        <x:v>62.5141</x:v>
      </x:c>
      <x:c r="BG59" s="60" t="n">
        <x:v>62.7099</x:v>
      </x:c>
      <x:c r="BH59" s="60" t="n">
        <x:v>62.8829</x:v>
      </x:c>
      <x:c r="BI59" s="60" t="n">
        <x:v>63.0574</x:v>
      </x:c>
      <x:c r="BJ59" s="60" t="n">
        <x:v>63.2269</x:v>
      </x:c>
      <x:c r="BK59" s="60" t="n">
        <x:v>63.4008</x:v>
      </x:c>
      <x:c r="BL59" s="60" t="n">
        <x:v>63.5885</x:v>
      </x:c>
      <x:c r="BM59" s="60" t="n">
        <x:v>63.7487</x:v>
      </x:c>
      <x:c r="BN59" s="60" t="n">
        <x:v>63.9052</x:v>
      </x:c>
      <x:c r="BO59" s="60" t="n">
        <x:v>64.088</x:v>
      </x:c>
      <x:c r="BP59" s="60" t="n">
        <x:v>64.2698</x:v>
      </x:c>
      <x:c r="BQ59" s="60" t="n">
        <x:v>64.4221</x:v>
      </x:c>
      <x:c r="BR59" s="60" t="n">
        <x:v>64.619</x:v>
      </x:c>
      <x:c r="BS59" s="60" t="n">
        <x:v>64.7947</x:v>
      </x:c>
      <x:c r="BT59" s="60" t="n">
        <x:v>64.9656</x:v>
      </x:c>
      <x:c r="BU59" s="60" t="n">
        <x:v>65.1565</x:v>
      </x:c>
      <x:c r="BV59" s="60" t="n">
        <x:v>65.3233</x:v>
      </x:c>
      <x:c r="BW59" s="60" t="n">
        <x:v>65.5151</x:v>
      </x:c>
      <x:c r="BX59" s="60" t="n">
        <x:v>65.6871</x:v>
      </x:c>
      <x:c r="BY59" s="60" t="n">
        <x:v>65.8685</x:v>
      </x:c>
      <x:c r="BZ59" s="60" t="n">
        <x:v>66.0514</x:v>
      </x:c>
      <x:c r="CA59" s="60" t="n">
        <x:v>66.216</x:v>
      </x:c>
      <x:c r="CB59" s="60" t="n">
        <x:v>66.3818</x:v>
      </x:c>
      <x:c r="CC59" s="60" t="n">
        <x:v>66.5768</x:v>
      </x:c>
      <x:c r="CD59" s="60" t="n">
        <x:v>66.7634</x:v>
      </x:c>
      <x:c r="CE59" s="60" t="n">
        <x:v>66.9668</x:v>
      </x:c>
      <x:c r="CF59" s="60" t="n">
        <x:v>67.1423</x:v>
      </x:c>
      <x:c r="CG59" s="60" t="n">
        <x:v>67.3418</x:v>
      </x:c>
      <x:c r="CH59" s="60" t="n">
        <x:v>67.5685</x:v>
      </x:c>
      <x:c r="CI59" s="60" t="n">
        <x:v>67.7731</x:v>
      </x:c>
      <x:c r="CJ59" s="60" t="n">
        <x:v>67.9858</x:v>
      </x:c>
      <x:c r="CK59" s="60" t="n">
        <x:v>68.1734</x:v>
      </x:c>
      <x:c r="CL59" s="60" t="n">
        <x:v>68.3814</x:v>
      </x:c>
      <x:c r="CM59" s="60" t="n">
        <x:v>68.6102</x:v>
      </x:c>
      <x:c r="CN59" s="60" t="n">
        <x:v>68.8603</x:v>
      </x:c>
      <x:c r="CO59" s="60" t="n">
        <x:v>69.1127</x:v>
      </x:c>
      <x:c r="CP59" s="60" t="n">
        <x:v>69.3674</x:v>
      </x:c>
      <x:c r="CQ59" s="60" t="n">
        <x:v>69.6081</x:v>
      </x:c>
      <x:c r="CR59" s="60" t="n">
        <x:v>69.8455</x:v>
      </x:c>
      <x:c r="CS59" s="60" t="n">
        <x:v>70.1274</x:v>
      </x:c>
      <x:c r="CT59" s="60" t="n">
        <x:v>70.4378</x:v>
      </x:c>
      <x:c r="CU59" s="60" t="n">
        <x:v>70.7869</x:v>
      </x:c>
      <x:c r="CV59" s="60" t="n">
        <x:v>71.1436</x:v>
      </x:c>
      <x:c r="CW59" s="60" t="n">
        <x:v>71.52</x:v>
      </x:c>
      <x:c r="CX59" s="60" t="n">
        <x:v>71.9337</x:v>
      </x:c>
      <x:c r="CY59" s="60" t="n">
        <x:v>72.4242</x:v>
      </x:c>
      <x:c r="CZ59" s="60" t="n">
        <x:v>73.0341</x:v>
      </x:c>
      <x:c r="DA59" s="60" t="n">
        <x:v>73.9915</x:v>
      </x:c>
      <x:c r="DB59" s="60" t="n">
        <x:v>77.9724</x:v>
      </x:c>
    </x:row>
    <x:row r="60">
      <x:c r="A60" t="str">
        <x:v>デカヌチャン-1</x:v>
      </x:c>
      <x:c r="B60" t="str">
        <x:v>デカヌチャン</x:v>
      </x:c>
      <x:c r="C60" t="str">
        <x:v>共通</x:v>
      </x:c>
      <x:c r="D60" s="60" t="n">
        <x:v>61.5166</x:v>
      </x:c>
      <x:c r="E60" s="60" t="n">
        <x:v>5.8244</x:v>
      </x:c>
      <x:c r="F60" s="60" t="n">
        <x:v>41.0424</x:v>
      </x:c>
      <x:c r="G60" s="60" t="n">
        <x:v>48.4686</x:v>
      </x:c>
      <x:c r="H60" s="60" t="n">
        <x:v>49.6297</x:v>
      </x:c>
      <x:c r="I60" s="60" t="n">
        <x:v>50.3988</x:v>
      </x:c>
      <x:c r="J60" s="60" t="n">
        <x:v>51.0041</x:v>
      </x:c>
      <x:c r="K60" s="60" t="n">
        <x:v>51.5009</x:v>
      </x:c>
      <x:c r="L60" s="60" t="n">
        <x:v>51.979</x:v>
      </x:c>
      <x:c r="M60" s="60" t="n">
        <x:v>52.4116</x:v>
      </x:c>
      <x:c r="N60" s="60" t="n">
        <x:v>52.7648</x:v>
      </x:c>
      <x:c r="O60" s="60" t="n">
        <x:v>53.1515</x:v>
      </x:c>
      <x:c r="P60" s="60" t="n">
        <x:v>53.5179</x:v>
      </x:c>
      <x:c r="Q60" s="60" t="n">
        <x:v>53.8331</x:v>
      </x:c>
      <x:c r="R60" s="60" t="n">
        <x:v>54.1718</x:v>
      </x:c>
      <x:c r="S60" s="60" t="n">
        <x:v>54.4527</x:v>
      </x:c>
      <x:c r="T60" s="60" t="n">
        <x:v>54.7206</x:v>
      </x:c>
      <x:c r="U60" s="60" t="n">
        <x:v>55.0135</x:v>
      </x:c>
      <x:c r="V60" s="60" t="n">
        <x:v>55.2905</x:v>
      </x:c>
      <x:c r="W60" s="60" t="n">
        <x:v>55.5716</x:v>
      </x:c>
      <x:c r="X60" s="60" t="n">
        <x:v>55.8446</x:v>
      </x:c>
      <x:c r="Y60" s="60" t="n">
        <x:v>56.0809</x:v>
      </x:c>
      <x:c r="Z60" s="60" t="n">
        <x:v>56.3236</x:v>
      </x:c>
      <x:c r="AA60" s="60" t="n">
        <x:v>56.5488</x:v>
      </x:c>
      <x:c r="AB60" s="60" t="n">
        <x:v>56.7852</x:v>
      </x:c>
      <x:c r="AC60" s="60" t="n">
        <x:v>56.9837</x:v>
      </x:c>
      <x:c r="AD60" s="60" t="n">
        <x:v>57.2005</x:v>
      </x:c>
      <x:c r="AE60" s="60" t="n">
        <x:v>57.3997</x:v>
      </x:c>
      <x:c r="AF60" s="60" t="n">
        <x:v>57.5891</x:v>
      </x:c>
      <x:c r="AG60" s="60" t="n">
        <x:v>57.7941</x:v>
      </x:c>
      <x:c r="AH60" s="60" t="n">
        <x:v>57.9892</x:v>
      </x:c>
      <x:c r="AI60" s="60" t="n">
        <x:v>58.1897</x:v>
      </x:c>
      <x:c r="AJ60" s="60" t="n">
        <x:v>58.3855</x:v>
      </x:c>
      <x:c r="AK60" s="60" t="n">
        <x:v>58.5665</x:v>
      </x:c>
      <x:c r="AL60" s="60" t="n">
        <x:v>58.7488</x:v>
      </x:c>
      <x:c r="AM60" s="60" t="n">
        <x:v>58.9586</x:v>
      </x:c>
      <x:c r="AN60" s="60" t="n">
        <x:v>59.1291</x:v>
      </x:c>
      <x:c r="AO60" s="60" t="n">
        <x:v>59.2987</x:v>
      </x:c>
      <x:c r="AP60" s="60" t="n">
        <x:v>59.4621</x:v>
      </x:c>
      <x:c r="AQ60" s="60" t="n">
        <x:v>59.6326</x:v>
      </x:c>
      <x:c r="AR60" s="60" t="n">
        <x:v>59.7875</x:v>
      </x:c>
      <x:c r="AS60" s="60" t="n">
        <x:v>59.9522</x:v>
      </x:c>
      <x:c r="AT60" s="60" t="n">
        <x:v>60.147</x:v>
      </x:c>
      <x:c r="AU60" s="60" t="n">
        <x:v>60.3119</x:v>
      </x:c>
      <x:c r="AV60" s="60" t="n">
        <x:v>60.4812</x:v>
      </x:c>
      <x:c r="AW60" s="60" t="n">
        <x:v>60.6423</x:v>
      </x:c>
      <x:c r="AX60" s="60" t="n">
        <x:v>60.8083</x:v>
      </x:c>
      <x:c r="AY60" s="60" t="n">
        <x:v>60.9717</x:v>
      </x:c>
      <x:c r="AZ60" s="60" t="n">
        <x:v>61.134</x:v>
      </x:c>
      <x:c r="BA60" s="60" t="n">
        <x:v>61.3114</x:v>
      </x:c>
      <x:c r="BB60" s="60" t="n">
        <x:v>61.4657</x:v>
      </x:c>
      <x:c r="BC60" s="60" t="n">
        <x:v>61.6154</x:v>
      </x:c>
      <x:c r="BD60" s="60" t="n">
        <x:v>61.7699</x:v>
      </x:c>
      <x:c r="BE60" s="60" t="n">
        <x:v>61.9201</x:v>
      </x:c>
      <x:c r="BF60" s="60" t="n">
        <x:v>62.0892</x:v>
      </x:c>
      <x:c r="BG60" s="60" t="n">
        <x:v>62.2423</x:v>
      </x:c>
      <x:c r="BH60" s="60" t="n">
        <x:v>62.3944</x:v>
      </x:c>
      <x:c r="BI60" s="60" t="n">
        <x:v>62.559</x:v>
      </x:c>
      <x:c r="BJ60" s="60" t="n">
        <x:v>62.6905</x:v>
      </x:c>
      <x:c r="BK60" s="60" t="n">
        <x:v>62.8554</x:v>
      </x:c>
      <x:c r="BL60" s="60" t="n">
        <x:v>63.0312</x:v>
      </x:c>
      <x:c r="BM60" s="60" t="n">
        <x:v>63.1812</x:v>
      </x:c>
      <x:c r="BN60" s="60" t="n">
        <x:v>63.3498</x:v>
      </x:c>
      <x:c r="BO60" s="60" t="n">
        <x:v>63.5255</x:v>
      </x:c>
      <x:c r="BP60" s="60" t="n">
        <x:v>63.6956</x:v>
      </x:c>
      <x:c r="BQ60" s="60" t="n">
        <x:v>63.8469</x:v>
      </x:c>
      <x:c r="BR60" s="60" t="n">
        <x:v>64.0254</x:v>
      </x:c>
      <x:c r="BS60" s="60" t="n">
        <x:v>64.198</x:v>
      </x:c>
      <x:c r="BT60" s="60" t="n">
        <x:v>64.3459</x:v>
      </x:c>
      <x:c r="BU60" s="60" t="n">
        <x:v>64.4966</x:v>
      </x:c>
      <x:c r="BV60" s="60" t="n">
        <x:v>64.6504</x:v>
      </x:c>
      <x:c r="BW60" s="60" t="n">
        <x:v>64.8154</x:v>
      </x:c>
      <x:c r="BX60" s="60" t="n">
        <x:v>64.9713</x:v>
      </x:c>
      <x:c r="BY60" s="60" t="n">
        <x:v>65.1342</x:v>
      </x:c>
      <x:c r="BZ60" s="60" t="n">
        <x:v>65.3012</x:v>
      </x:c>
      <x:c r="CA60" s="60" t="n">
        <x:v>65.4835</x:v>
      </x:c>
      <x:c r="CB60" s="60" t="n">
        <x:v>65.6332</x:v>
      </x:c>
      <x:c r="CC60" s="60" t="n">
        <x:v>65.7948</x:v>
      </x:c>
      <x:c r="CD60" s="60" t="n">
        <x:v>65.9643</x:v>
      </x:c>
      <x:c r="CE60" s="60" t="n">
        <x:v>66.1584</x:v>
      </x:c>
      <x:c r="CF60" s="60" t="n">
        <x:v>66.3409</x:v>
      </x:c>
      <x:c r="CG60" s="60" t="n">
        <x:v>66.5473</x:v>
      </x:c>
      <x:c r="CH60" s="60" t="n">
        <x:v>66.7471</x:v>
      </x:c>
      <x:c r="CI60" s="60" t="n">
        <x:v>66.9502</x:v>
      </x:c>
      <x:c r="CJ60" s="60" t="n">
        <x:v>67.1585</x:v>
      </x:c>
      <x:c r="CK60" s="60" t="n">
        <x:v>67.3591</x:v>
      </x:c>
      <x:c r="CL60" s="60" t="n">
        <x:v>67.5865</x:v>
      </x:c>
      <x:c r="CM60" s="60" t="n">
        <x:v>67.8222</x:v>
      </x:c>
      <x:c r="CN60" s="60" t="n">
        <x:v>68.0511</x:v>
      </x:c>
      <x:c r="CO60" s="60" t="n">
        <x:v>68.2884</x:v>
      </x:c>
      <x:c r="CP60" s="60" t="n">
        <x:v>68.5043</x:v>
      </x:c>
      <x:c r="CQ60" s="60" t="n">
        <x:v>68.7542</x:v>
      </x:c>
      <x:c r="CR60" s="60" t="n">
        <x:v>69.0307</x:v>
      </x:c>
      <x:c r="CS60" s="60" t="n">
        <x:v>69.3245</x:v>
      </x:c>
      <x:c r="CT60" s="60" t="n">
        <x:v>69.6337</x:v>
      </x:c>
      <x:c r="CU60" s="60" t="n">
        <x:v>69.9526</x:v>
      </x:c>
      <x:c r="CV60" s="60" t="n">
        <x:v>70.3184</x:v>
      </x:c>
      <x:c r="CW60" s="60" t="n">
        <x:v>70.6496</x:v>
      </x:c>
      <x:c r="CX60" s="60" t="n">
        <x:v>71.1411</x:v>
      </x:c>
      <x:c r="CY60" s="60" t="n">
        <x:v>71.7067</x:v>
      </x:c>
      <x:c r="CZ60" s="60" t="n">
        <x:v>72.3727</x:v>
      </x:c>
      <x:c r="DA60" s="60" t="n">
        <x:v>73.2272</x:v>
      </x:c>
      <x:c r="DB60" s="60" t="n">
        <x:v>76.6043</x:v>
      </x:c>
    </x:row>
    <x:row r="61">
      <x:c r="A61" t="str">
        <x:v>ネギガナイト-1</x:v>
      </x:c>
      <x:c r="B61" t="str">
        <x:v>ネギガナイト</x:v>
      </x:c>
      <x:c r="C61" t="str">
        <x:v>共通</x:v>
      </x:c>
      <x:c r="D61" s="60" t="n">
        <x:v>61.3322</x:v>
      </x:c>
      <x:c r="E61" s="60" t="n">
        <x:v>12.9712</x:v>
      </x:c>
      <x:c r="F61" s="60" t="n">
        <x:v>25.3765</x:v>
      </x:c>
      <x:c r="G61" s="60" t="n">
        <x:v>33.4975</x:v>
      </x:c>
      <x:c r="H61" s="60" t="n">
        <x:v>34.9889</x:v>
      </x:c>
      <x:c r="I61" s="60" t="n">
        <x:v>36.3088</x:v>
      </x:c>
      <x:c r="J61" s="60" t="n">
        <x:v>37.5261</x:v>
      </x:c>
      <x:c r="K61" s="60" t="n">
        <x:v>38.53</x:v>
      </x:c>
      <x:c r="L61" s="60" t="n">
        <x:v>39.6947</x:v>
      </x:c>
      <x:c r="M61" s="60" t="n">
        <x:v>40.6537</x:v>
      </x:c>
      <x:c r="N61" s="60" t="n">
        <x:v>41.5047</x:v>
      </x:c>
      <x:c r="O61" s="60" t="n">
        <x:v>42.2947</x:v>
      </x:c>
      <x:c r="P61" s="60" t="n">
        <x:v>43.1077</x:v>
      </x:c>
      <x:c r="Q61" s="60" t="n">
        <x:v>43.7954</x:v>
      </x:c>
      <x:c r="R61" s="60" t="n">
        <x:v>44.4508</x:v>
      </x:c>
      <x:c r="S61" s="60" t="n">
        <x:v>45.2451</x:v>
      </x:c>
      <x:c r="T61" s="60" t="n">
        <x:v>45.9484</x:v>
      </x:c>
      <x:c r="U61" s="60" t="n">
        <x:v>46.6292</x:v>
      </x:c>
      <x:c r="V61" s="60" t="n">
        <x:v>47.203</x:v>
      </x:c>
      <x:c r="W61" s="60" t="n">
        <x:v>47.7132</x:v>
      </x:c>
      <x:c r="X61" s="60" t="n">
        <x:v>48.2334</x:v>
      </x:c>
      <x:c r="Y61" s="60" t="n">
        <x:v>48.7631</x:v>
      </x:c>
      <x:c r="Z61" s="60" t="n">
        <x:v>49.2651</x:v>
      </x:c>
      <x:c r="AA61" s="60" t="n">
        <x:v>49.8481</x:v>
      </x:c>
      <x:c r="AB61" s="60" t="n">
        <x:v>50.3979</x:v>
      </x:c>
      <x:c r="AC61" s="60" t="n">
        <x:v>50.8727</x:v>
      </x:c>
      <x:c r="AD61" s="60" t="n">
        <x:v>51.3462</x:v>
      </x:c>
      <x:c r="AE61" s="60" t="n">
        <x:v>51.8474</x:v>
      </x:c>
      <x:c r="AF61" s="60" t="n">
        <x:v>52.3205</x:v>
      </x:c>
      <x:c r="AG61" s="60" t="n">
        <x:v>52.7947</x:v>
      </x:c>
      <x:c r="AH61" s="60" t="n">
        <x:v>53.234</x:v>
      </x:c>
      <x:c r="AI61" s="60" t="n">
        <x:v>53.6769</x:v>
      </x:c>
      <x:c r="AJ61" s="60" t="n">
        <x:v>54.1329</x:v>
      </x:c>
      <x:c r="AK61" s="60" t="n">
        <x:v>54.6175</x:v>
      </x:c>
      <x:c r="AL61" s="60" t="n">
        <x:v>54.9912</x:v>
      </x:c>
      <x:c r="AM61" s="60" t="n">
        <x:v>55.438</x:v>
      </x:c>
      <x:c r="AN61" s="60" t="n">
        <x:v>55.8418</x:v>
      </x:c>
      <x:c r="AO61" s="60" t="n">
        <x:v>56.315</x:v>
      </x:c>
      <x:c r="AP61" s="60" t="n">
        <x:v>56.6863</x:v>
      </x:c>
      <x:c r="AQ61" s="60" t="n">
        <x:v>57.0871</x:v>
      </x:c>
      <x:c r="AR61" s="60" t="n">
        <x:v>57.4828</x:v>
      </x:c>
      <x:c r="AS61" s="60" t="n">
        <x:v>57.859</x:v>
      </x:c>
      <x:c r="AT61" s="60" t="n">
        <x:v>58.2658</x:v>
      </x:c>
      <x:c r="AU61" s="60" t="n">
        <x:v>58.6382</x:v>
      </x:c>
      <x:c r="AV61" s="60" t="n">
        <x:v>59.0326</x:v>
      </x:c>
      <x:c r="AW61" s="60" t="n">
        <x:v>59.4102</x:v>
      </x:c>
      <x:c r="AX61" s="60" t="n">
        <x:v>59.8357</x:v>
      </x:c>
      <x:c r="AY61" s="60" t="n">
        <x:v>60.2009</x:v>
      </x:c>
      <x:c r="AZ61" s="60" t="n">
        <x:v>60.5998</x:v>
      </x:c>
      <x:c r="BA61" s="60" t="n">
        <x:v>60.9769</x:v>
      </x:c>
      <x:c r="BB61" s="60" t="n">
        <x:v>61.4025</x:v>
      </x:c>
      <x:c r="BC61" s="60" t="n">
        <x:v>61.8031</x:v>
      </x:c>
      <x:c r="BD61" s="60" t="n">
        <x:v>62.1894</x:v>
      </x:c>
      <x:c r="BE61" s="60" t="n">
        <x:v>62.5343</x:v>
      </x:c>
      <x:c r="BF61" s="60" t="n">
        <x:v>62.8861</x:v>
      </x:c>
      <x:c r="BG61" s="60" t="n">
        <x:v>63.2612</x:v>
      </x:c>
      <x:c r="BH61" s="60" t="n">
        <x:v>63.6328</x:v>
      </x:c>
      <x:c r="BI61" s="60" t="n">
        <x:v>63.976</x:v>
      </x:c>
      <x:c r="BJ61" s="60" t="n">
        <x:v>64.3674</x:v>
      </x:c>
      <x:c r="BK61" s="60" t="n">
        <x:v>64.7384</x:v>
      </x:c>
      <x:c r="BL61" s="60" t="n">
        <x:v>65.1544</x:v>
      </x:c>
      <x:c r="BM61" s="60" t="n">
        <x:v>65.5099</x:v>
      </x:c>
      <x:c r="BN61" s="60" t="n">
        <x:v>65.854</x:v>
      </x:c>
      <x:c r="BO61" s="60" t="n">
        <x:v>66.2106</x:v>
      </x:c>
      <x:c r="BP61" s="60" t="n">
        <x:v>66.5748</x:v>
      </x:c>
      <x:c r="BQ61" s="60" t="n">
        <x:v>66.9168</x:v>
      </x:c>
      <x:c r="BR61" s="60" t="n">
        <x:v>67.2388</x:v>
      </x:c>
      <x:c r="BS61" s="60" t="n">
        <x:v>67.6097</x:v>
      </x:c>
      <x:c r="BT61" s="60" t="n">
        <x:v>68.0038</x:v>
      </x:c>
      <x:c r="BU61" s="60" t="n">
        <x:v>68.3684</x:v>
      </x:c>
      <x:c r="BV61" s="60" t="n">
        <x:v>68.7834</x:v>
      </x:c>
      <x:c r="BW61" s="60" t="n">
        <x:v>69.1284</x:v>
      </x:c>
      <x:c r="BX61" s="60" t="n">
        <x:v>69.5131</x:v>
      </x:c>
      <x:c r="BY61" s="60" t="n">
        <x:v>69.8599</x:v>
      </x:c>
      <x:c r="BZ61" s="60" t="n">
        <x:v>70.1652</x:v>
      </x:c>
      <x:c r="CA61" s="60" t="n">
        <x:v>70.5476</x:v>
      </x:c>
      <x:c r="CB61" s="60" t="n">
        <x:v>70.9044</x:v>
      </x:c>
      <x:c r="CC61" s="60" t="n">
        <x:v>71.3089</x:v>
      </x:c>
      <x:c r="CD61" s="60" t="n">
        <x:v>71.6638</x:v>
      </x:c>
      <x:c r="CE61" s="60" t="n">
        <x:v>72.0857</x:v>
      </x:c>
      <x:c r="CF61" s="60" t="n">
        <x:v>72.4734</x:v>
      </x:c>
      <x:c r="CG61" s="60" t="n">
        <x:v>72.9149</x:v>
      </x:c>
      <x:c r="CH61" s="60" t="n">
        <x:v>73.3661</x:v>
      </x:c>
      <x:c r="CI61" s="60" t="n">
        <x:v>73.7823</x:v>
      </x:c>
      <x:c r="CJ61" s="60" t="n">
        <x:v>74.2144</x:v>
      </x:c>
      <x:c r="CK61" s="60" t="n">
        <x:v>74.6596</x:v>
      </x:c>
      <x:c r="CL61" s="60" t="n">
        <x:v>75.0657</x:v>
      </x:c>
      <x:c r="CM61" s="60" t="n">
        <x:v>75.5437</x:v>
      </x:c>
      <x:c r="CN61" s="60" t="n">
        <x:v>76.0451</x:v>
      </x:c>
      <x:c r="CO61" s="60" t="n">
        <x:v>76.4831</x:v>
      </x:c>
      <x:c r="CP61" s="60" t="n">
        <x:v>77.0164</x:v>
      </x:c>
      <x:c r="CQ61" s="60" t="n">
        <x:v>77.4593</x:v>
      </x:c>
      <x:c r="CR61" s="60" t="n">
        <x:v>78.0555</x:v>
      </x:c>
      <x:c r="CS61" s="60" t="n">
        <x:v>78.6468</x:v>
      </x:c>
      <x:c r="CT61" s="60" t="n">
        <x:v>79.2686</x:v>
      </x:c>
      <x:c r="CU61" s="60" t="n">
        <x:v>79.9636</x:v>
      </x:c>
      <x:c r="CV61" s="60" t="n">
        <x:v>80.6874</x:v>
      </x:c>
      <x:c r="CW61" s="60" t="n">
        <x:v>81.4078</x:v>
      </x:c>
      <x:c r="CX61" s="60" t="n">
        <x:v>82.325</x:v>
      </x:c>
      <x:c r="CY61" s="60" t="n">
        <x:v>83.3482</x:v>
      </x:c>
      <x:c r="CZ61" s="60" t="n">
        <x:v>84.4085</x:v>
      </x:c>
      <x:c r="DA61" s="60" t="n">
        <x:v>85.8708</x:v>
      </x:c>
      <x:c r="DB61" s="60" t="n">
        <x:v>89.1794</x:v>
      </x:c>
    </x:row>
    <x:row r="62">
      <x:c r="A62" t="str">
        <x:v>ハッサム-1</x:v>
      </x:c>
      <x:c r="B62" t="str">
        <x:v>ハッサム</x:v>
      </x:c>
      <x:c r="C62" t="str">
        <x:v>ストライク</x:v>
      </x:c>
      <x:c r="D62" s="60" t="n">
        <x:v>59.8694</x:v>
      </x:c>
      <x:c r="E62" s="60" t="n">
        <x:v>13.0629</x:v>
      </x:c>
      <x:c r="F62" s="60" t="n">
        <x:v>25.2067</x:v>
      </x:c>
      <x:c r="G62" s="60" t="n">
        <x:v>32.4326</x:v>
      </x:c>
      <x:c r="H62" s="60" t="n">
        <x:v>34.1264</x:v>
      </x:c>
      <x:c r="I62" s="60" t="n">
        <x:v>35.3908</x:v>
      </x:c>
      <x:c r="J62" s="60" t="n">
        <x:v>36.3831</x:v>
      </x:c>
      <x:c r="K62" s="60" t="n">
        <x:v>37.4092</x:v>
      </x:c>
      <x:c r="L62" s="60" t="n">
        <x:v>38.4455</x:v>
      </x:c>
      <x:c r="M62" s="60" t="n">
        <x:v>39.3485</x:v>
      </x:c>
      <x:c r="N62" s="60" t="n">
        <x:v>40.1828</x:v>
      </x:c>
      <x:c r="O62" s="60" t="n">
        <x:v>40.8808</x:v>
      </x:c>
      <x:c r="P62" s="60" t="n">
        <x:v>41.6038</x:v>
      </x:c>
      <x:c r="Q62" s="60" t="n">
        <x:v>42.4187</x:v>
      </x:c>
      <x:c r="R62" s="60" t="n">
        <x:v>43.1679</x:v>
      </x:c>
      <x:c r="S62" s="60" t="n">
        <x:v>43.8864</x:v>
      </x:c>
      <x:c r="T62" s="60" t="n">
        <x:v>44.522</x:v>
      </x:c>
      <x:c r="U62" s="60" t="n">
        <x:v>45.1292</x:v>
      </x:c>
      <x:c r="V62" s="60" t="n">
        <x:v>45.6817</x:v>
      </x:c>
      <x:c r="W62" s="60" t="n">
        <x:v>46.2628</x:v>
      </x:c>
      <x:c r="X62" s="60" t="n">
        <x:v>46.8028</x:v>
      </x:c>
      <x:c r="Y62" s="60" t="n">
        <x:v>47.3001</x:v>
      </x:c>
      <x:c r="Z62" s="60" t="n">
        <x:v>47.8093</x:v>
      </x:c>
      <x:c r="AA62" s="60" t="n">
        <x:v>48.3081</x:v>
      </x:c>
      <x:c r="AB62" s="60" t="n">
        <x:v>48.8304</x:v>
      </x:c>
      <x:c r="AC62" s="60" t="n">
        <x:v>49.2938</x:v>
      </x:c>
      <x:c r="AD62" s="60" t="n">
        <x:v>49.7763</x:v>
      </x:c>
      <x:c r="AE62" s="60" t="n">
        <x:v>50.2036</x:v>
      </x:c>
      <x:c r="AF62" s="60" t="n">
        <x:v>50.6288</x:v>
      </x:c>
      <x:c r="AG62" s="60" t="n">
        <x:v>51.1018</x:v>
      </x:c>
      <x:c r="AH62" s="60" t="n">
        <x:v>51.5084</x:v>
      </x:c>
      <x:c r="AI62" s="60" t="n">
        <x:v>51.975</x:v>
      </x:c>
      <x:c r="AJ62" s="60" t="n">
        <x:v>52.394</x:v>
      </x:c>
      <x:c r="AK62" s="60" t="n">
        <x:v>52.7684</x:v>
      </x:c>
      <x:c r="AL62" s="60" t="n">
        <x:v>53.2254</x:v>
      </x:c>
      <x:c r="AM62" s="60" t="n">
        <x:v>53.6685</x:v>
      </x:c>
      <x:c r="AN62" s="60" t="n">
        <x:v>54.0838</x:v>
      </x:c>
      <x:c r="AO62" s="60" t="n">
        <x:v>54.5104</x:v>
      </x:c>
      <x:c r="AP62" s="60" t="n">
        <x:v>54.9506</x:v>
      </x:c>
      <x:c r="AQ62" s="60" t="n">
        <x:v>55.4062</x:v>
      </x:c>
      <x:c r="AR62" s="60" t="n">
        <x:v>55.8647</x:v>
      </x:c>
      <x:c r="AS62" s="60" t="n">
        <x:v>56.2653</x:v>
      </x:c>
      <x:c r="AT62" s="60" t="n">
        <x:v>56.6017</x:v>
      </x:c>
      <x:c r="AU62" s="60" t="n">
        <x:v>56.93</x:v>
      </x:c>
      <x:c r="AV62" s="60" t="n">
        <x:v>57.3286</x:v>
      </x:c>
      <x:c r="AW62" s="60" t="n">
        <x:v>57.6624</x:v>
      </x:c>
      <x:c r="AX62" s="60" t="n">
        <x:v>58.0607</x:v>
      </x:c>
      <x:c r="AY62" s="60" t="n">
        <x:v>58.5129</x:v>
      </x:c>
      <x:c r="AZ62" s="60" t="n">
        <x:v>58.864</x:v>
      </x:c>
      <x:c r="BA62" s="60" t="n">
        <x:v>59.266</x:v>
      </x:c>
      <x:c r="BB62" s="60" t="n">
        <x:v>59.6876</x:v>
      </x:c>
      <x:c r="BC62" s="60" t="n">
        <x:v>60.0401</x:v>
      </x:c>
      <x:c r="BD62" s="60" t="n">
        <x:v>60.3886</x:v>
      </x:c>
      <x:c r="BE62" s="60" t="n">
        <x:v>60.748</x:v>
      </x:c>
      <x:c r="BF62" s="60" t="n">
        <x:v>61.1292</x:v>
      </x:c>
      <x:c r="BG62" s="60" t="n">
        <x:v>61.434</x:v>
      </x:c>
      <x:c r="BH62" s="60" t="n">
        <x:v>61.8164</x:v>
      </x:c>
      <x:c r="BI62" s="60" t="n">
        <x:v>62.2138</x:v>
      </x:c>
      <x:c r="BJ62" s="60" t="n">
        <x:v>62.5712</x:v>
      </x:c>
      <x:c r="BK62" s="60" t="n">
        <x:v>62.9312</x:v>
      </x:c>
      <x:c r="BL62" s="60" t="n">
        <x:v>63.3388</x:v>
      </x:c>
      <x:c r="BM62" s="60" t="n">
        <x:v>63.7161</x:v>
      </x:c>
      <x:c r="BN62" s="60" t="n">
        <x:v>64.0559</x:v>
      </x:c>
      <x:c r="BO62" s="60" t="n">
        <x:v>64.4522</x:v>
      </x:c>
      <x:c r="BP62" s="60" t="n">
        <x:v>64.788</x:v>
      </x:c>
      <x:c r="BQ62" s="60" t="n">
        <x:v>65.1433</x:v>
      </x:c>
      <x:c r="BR62" s="60" t="n">
        <x:v>65.5375</x:v>
      </x:c>
      <x:c r="BS62" s="60" t="n">
        <x:v>65.9086</x:v>
      </x:c>
      <x:c r="BT62" s="60" t="n">
        <x:v>66.2458</x:v>
      </x:c>
      <x:c r="BU62" s="60" t="n">
        <x:v>66.6309</x:v>
      </x:c>
      <x:c r="BV62" s="60" t="n">
        <x:v>67.0374</x:v>
      </x:c>
      <x:c r="BW62" s="60" t="n">
        <x:v>67.4367</x:v>
      </x:c>
      <x:c r="BX62" s="60" t="n">
        <x:v>67.8082</x:v>
      </x:c>
      <x:c r="BY62" s="60" t="n">
        <x:v>68.1824</x:v>
      </x:c>
      <x:c r="BZ62" s="60" t="n">
        <x:v>68.594</x:v>
      </x:c>
      <x:c r="CA62" s="60" t="n">
        <x:v>68.9727</x:v>
      </x:c>
      <x:c r="CB62" s="60" t="n">
        <x:v>69.4438</x:v>
      </x:c>
      <x:c r="CC62" s="60" t="n">
        <x:v>69.8394</x:v>
      </x:c>
      <x:c r="CD62" s="60" t="n">
        <x:v>70.307</x:v>
      </x:c>
      <x:c r="CE62" s="60" t="n">
        <x:v>70.7277</x:v>
      </x:c>
      <x:c r="CF62" s="60" t="n">
        <x:v>71.1521</x:v>
      </x:c>
      <x:c r="CG62" s="60" t="n">
        <x:v>71.5701</x:v>
      </x:c>
      <x:c r="CH62" s="60" t="n">
        <x:v>72.0105</x:v>
      </x:c>
      <x:c r="CI62" s="60" t="n">
        <x:v>72.4496</x:v>
      </x:c>
      <x:c r="CJ62" s="60" t="n">
        <x:v>72.8834</x:v>
      </x:c>
      <x:c r="CK62" s="60" t="n">
        <x:v>73.3213</x:v>
      </x:c>
      <x:c r="CL62" s="60" t="n">
        <x:v>73.7728</x:v>
      </x:c>
      <x:c r="CM62" s="60" t="n">
        <x:v>74.242</x:v>
      </x:c>
      <x:c r="CN62" s="60" t="n">
        <x:v>74.7572</x:v>
      </x:c>
      <x:c r="CO62" s="60" t="n">
        <x:v>75.2956</x:v>
      </x:c>
      <x:c r="CP62" s="60" t="n">
        <x:v>75.8307</x:v>
      </x:c>
      <x:c r="CQ62" s="60" t="n">
        <x:v>76.3673</x:v>
      </x:c>
      <x:c r="CR62" s="60" t="n">
        <x:v>76.9373</x:v>
      </x:c>
      <x:c r="CS62" s="60" t="n">
        <x:v>77.5508</x:v>
      </x:c>
      <x:c r="CT62" s="60" t="n">
        <x:v>78.1986</x:v>
      </x:c>
      <x:c r="CU62" s="60" t="n">
        <x:v>78.9118</x:v>
      </x:c>
      <x:c r="CV62" s="60" t="n">
        <x:v>79.7816</x:v>
      </x:c>
      <x:c r="CW62" s="60" t="n">
        <x:v>80.7286</x:v>
      </x:c>
      <x:c r="CX62" s="60" t="n">
        <x:v>81.695</x:v>
      </x:c>
      <x:c r="CY62" s="60" t="n">
        <x:v>82.6212</x:v>
      </x:c>
      <x:c r="CZ62" s="60" t="n">
        <x:v>83.9557</x:v>
      </x:c>
      <x:c r="DA62" s="60" t="n">
        <x:v>85.5032</x:v>
      </x:c>
      <x:c r="DB62" s="60" t="n">
        <x:v>91.2698</x:v>
      </x:c>
    </x:row>
    <x:row r="63">
      <x:c r="A63" t="str">
        <x:v>ハッサム-2</x:v>
      </x:c>
      <x:c r="B63" t="str">
        <x:v>ハッサム</x:v>
      </x:c>
      <x:c r="C63" t="str">
        <x:v>ハッサム</x:v>
      </x:c>
      <x:c r="D63" s="60" t="n">
        <x:v>62.1776</x:v>
      </x:c>
      <x:c r="E63" s="60" t="n">
        <x:v>7.3887</x:v>
      </x:c>
      <x:c r="F63" s="60" t="n">
        <x:v>38.7335</x:v>
      </x:c>
      <x:c r="G63" s="60" t="n">
        <x:v>45.1268</x:v>
      </x:c>
      <x:c r="H63" s="60" t="n">
        <x:v>46.3595</x:v>
      </x:c>
      <x:c r="I63" s="60" t="n">
        <x:v>47.2259</x:v>
      </x:c>
      <x:c r="J63" s="60" t="n">
        <x:v>48.086</x:v>
      </x:c>
      <x:c r="K63" s="60" t="n">
        <x:v>48.69</x:v>
      </x:c>
      <x:c r="L63" s="60" t="n">
        <x:v>49.2292</x:v>
      </x:c>
      <x:c r="M63" s="60" t="n">
        <x:v>49.7835</x:v>
      </x:c>
      <x:c r="N63" s="60" t="n">
        <x:v>50.3455</x:v>
      </x:c>
      <x:c r="O63" s="60" t="n">
        <x:v>50.8305</x:v>
      </x:c>
      <x:c r="P63" s="60" t="n">
        <x:v>51.3482</x:v>
      </x:c>
      <x:c r="Q63" s="60" t="n">
        <x:v>51.8421</x:v>
      </x:c>
      <x:c r="R63" s="60" t="n">
        <x:v>52.2943</x:v>
      </x:c>
      <x:c r="S63" s="60" t="n">
        <x:v>52.746</x:v>
      </x:c>
      <x:c r="T63" s="60" t="n">
        <x:v>53.1656</x:v>
      </x:c>
      <x:c r="U63" s="60" t="n">
        <x:v>53.5589</x:v>
      </x:c>
      <x:c r="V63" s="60" t="n">
        <x:v>53.96</x:v>
      </x:c>
      <x:c r="W63" s="60" t="n">
        <x:v>54.3178</x:v>
      </x:c>
      <x:c r="X63" s="60" t="n">
        <x:v>54.7357</x:v>
      </x:c>
      <x:c r="Y63" s="60" t="n">
        <x:v>55.1056</x:v>
      </x:c>
      <x:c r="Z63" s="60" t="n">
        <x:v>55.4415</x:v>
      </x:c>
      <x:c r="AA63" s="60" t="n">
        <x:v>55.7556</x:v>
      </x:c>
      <x:c r="AB63" s="60" t="n">
        <x:v>56.0633</x:v>
      </x:c>
      <x:c r="AC63" s="60" t="n">
        <x:v>56.4199</x:v>
      </x:c>
      <x:c r="AD63" s="60" t="n">
        <x:v>56.7216</x:v>
      </x:c>
      <x:c r="AE63" s="60" t="n">
        <x:v>57.0668</x:v>
      </x:c>
      <x:c r="AF63" s="60" t="n">
        <x:v>57.3315</x:v>
      </x:c>
      <x:c r="AG63" s="60" t="n">
        <x:v>57.6293</x:v>
      </x:c>
      <x:c r="AH63" s="60" t="n">
        <x:v>57.9248</x:v>
      </x:c>
      <x:c r="AI63" s="60" t="n">
        <x:v>58.1745</x:v>
      </x:c>
      <x:c r="AJ63" s="60" t="n">
        <x:v>58.4707</x:v>
      </x:c>
      <x:c r="AK63" s="60" t="n">
        <x:v>58.7424</x:v>
      </x:c>
      <x:c r="AL63" s="60" t="n">
        <x:v>58.9908</x:v>
      </x:c>
      <x:c r="AM63" s="60" t="n">
        <x:v>59.2239</x:v>
      </x:c>
      <x:c r="AN63" s="60" t="n">
        <x:v>59.4759</x:v>
      </x:c>
      <x:c r="AO63" s="60" t="n">
        <x:v>59.7264</x:v>
      </x:c>
      <x:c r="AP63" s="60" t="n">
        <x:v>59.9319</x:v>
      </x:c>
      <x:c r="AQ63" s="60" t="n">
        <x:v>60.1678</x:v>
      </x:c>
      <x:c r="AR63" s="60" t="n">
        <x:v>60.3997</x:v>
      </x:c>
      <x:c r="AS63" s="60" t="n">
        <x:v>60.6263</x:v>
      </x:c>
      <x:c r="AT63" s="60" t="n">
        <x:v>60.8572</x:v>
      </x:c>
      <x:c r="AU63" s="60" t="n">
        <x:v>61.105</x:v>
      </x:c>
      <x:c r="AV63" s="60" t="n">
        <x:v>61.3168</x:v>
      </x:c>
      <x:c r="AW63" s="60" t="n">
        <x:v>61.5404</x:v>
      </x:c>
      <x:c r="AX63" s="60" t="n">
        <x:v>61.7996</x:v>
      </x:c>
      <x:c r="AY63" s="60" t="n">
        <x:v>62.0551</x:v>
      </x:c>
      <x:c r="AZ63" s="60" t="n">
        <x:v>62.2683</x:v>
      </x:c>
      <x:c r="BA63" s="60" t="n">
        <x:v>62.4803</x:v>
      </x:c>
      <x:c r="BB63" s="60" t="n">
        <x:v>62.7087</x:v>
      </x:c>
      <x:c r="BC63" s="60" t="n">
        <x:v>62.9345</x:v>
      </x:c>
      <x:c r="BD63" s="60" t="n">
        <x:v>63.1471</x:v>
      </x:c>
      <x:c r="BE63" s="60" t="n">
        <x:v>63.3406</x:v>
      </x:c>
      <x:c r="BF63" s="60" t="n">
        <x:v>63.5362</x:v>
      </x:c>
      <x:c r="BG63" s="60" t="n">
        <x:v>63.7078</x:v>
      </x:c>
      <x:c r="BH63" s="60" t="n">
        <x:v>63.9198</x:v>
      </x:c>
      <x:c r="BI63" s="60" t="n">
        <x:v>64.1203</x:v>
      </x:c>
      <x:c r="BJ63" s="60" t="n">
        <x:v>64.3279</x:v>
      </x:c>
      <x:c r="BK63" s="60" t="n">
        <x:v>64.537</x:v>
      </x:c>
      <x:c r="BL63" s="60" t="n">
        <x:v>64.7215</x:v>
      </x:c>
      <x:c r="BM63" s="60" t="n">
        <x:v>64.9094</x:v>
      </x:c>
      <x:c r="BN63" s="60" t="n">
        <x:v>65.0774</x:v>
      </x:c>
      <x:c r="BO63" s="60" t="n">
        <x:v>65.2616</x:v>
      </x:c>
      <x:c r="BP63" s="60" t="n">
        <x:v>65.4636</x:v>
      </x:c>
      <x:c r="BQ63" s="60" t="n">
        <x:v>65.6698</x:v>
      </x:c>
      <x:c r="BR63" s="60" t="n">
        <x:v>65.8433</x:v>
      </x:c>
      <x:c r="BS63" s="60" t="n">
        <x:v>66.0393</x:v>
      </x:c>
      <x:c r="BT63" s="60" t="n">
        <x:v>66.2264</x:v>
      </x:c>
      <x:c r="BU63" s="60" t="n">
        <x:v>66.4277</x:v>
      </x:c>
      <x:c r="BV63" s="60" t="n">
        <x:v>66.6344</x:v>
      </x:c>
      <x:c r="BW63" s="60" t="n">
        <x:v>66.8349</x:v>
      </x:c>
      <x:c r="BX63" s="60" t="n">
        <x:v>67.0331</x:v>
      </x:c>
      <x:c r="BY63" s="60" t="n">
        <x:v>67.2141</x:v>
      </x:c>
      <x:c r="BZ63" s="60" t="n">
        <x:v>67.3769</x:v>
      </x:c>
      <x:c r="CA63" s="60" t="n">
        <x:v>67.5749</x:v>
      </x:c>
      <x:c r="CB63" s="60" t="n">
        <x:v>67.7619</x:v>
      </x:c>
      <x:c r="CC63" s="60" t="n">
        <x:v>67.9554</x:v>
      </x:c>
      <x:c r="CD63" s="60" t="n">
        <x:v>68.1685</x:v>
      </x:c>
      <x:c r="CE63" s="60" t="n">
        <x:v>68.3908</x:v>
      </x:c>
      <x:c r="CF63" s="60" t="n">
        <x:v>68.5945</x:v>
      </x:c>
      <x:c r="CG63" s="60" t="n">
        <x:v>68.8039</x:v>
      </x:c>
      <x:c r="CH63" s="60" t="n">
        <x:v>68.9986</x:v>
      </x:c>
      <x:c r="CI63" s="60" t="n">
        <x:v>69.1857</x:v>
      </x:c>
      <x:c r="CJ63" s="60" t="n">
        <x:v>69.4022</x:v>
      </x:c>
      <x:c r="CK63" s="60" t="n">
        <x:v>69.5928</x:v>
      </x:c>
      <x:c r="CL63" s="60" t="n">
        <x:v>69.8129</x:v>
      </x:c>
      <x:c r="CM63" s="60" t="n">
        <x:v>70.0395</x:v>
      </x:c>
      <x:c r="CN63" s="60" t="n">
        <x:v>70.252</x:v>
      </x:c>
      <x:c r="CO63" s="60" t="n">
        <x:v>70.494</x:v>
      </x:c>
      <x:c r="CP63" s="60" t="n">
        <x:v>70.7158</x:v>
      </x:c>
      <x:c r="CQ63" s="60" t="n">
        <x:v>70.9484</x:v>
      </x:c>
      <x:c r="CR63" s="60" t="n">
        <x:v>71.2235</x:v>
      </x:c>
      <x:c r="CS63" s="60" t="n">
        <x:v>71.4896</x:v>
      </x:c>
      <x:c r="CT63" s="60" t="n">
        <x:v>71.7767</x:v>
      </x:c>
      <x:c r="CU63" s="60" t="n">
        <x:v>72.0725</x:v>
      </x:c>
      <x:c r="CV63" s="60" t="n">
        <x:v>72.3984</x:v>
      </x:c>
      <x:c r="CW63" s="60" t="n">
        <x:v>72.7396</x:v>
      </x:c>
      <x:c r="CX63" s="60" t="n">
        <x:v>73.149</x:v>
      </x:c>
      <x:c r="CY63" s="60" t="n">
        <x:v>73.6501</x:v>
      </x:c>
      <x:c r="CZ63" s="60" t="n">
        <x:v>74.2762</x:v>
      </x:c>
      <x:c r="DA63" s="60" t="n">
        <x:v>75.1234</x:v>
      </x:c>
      <x:c r="DB63" s="60" t="n">
        <x:v>78.7522</x:v>
      </x:c>
    </x:row>
    <x:row r="64">
      <x:c r="A64" t="str">
        <x:v>バシャーモ-1</x:v>
      </x:c>
      <x:c r="B64" t="str">
        <x:v>バシャーモ</x:v>
      </x:c>
      <x:c r="C64" t="str">
        <x:v>共通</x:v>
      </x:c>
      <x:c r="D64" s="60" t="n">
        <x:v>61.4538</x:v>
      </x:c>
      <x:c r="E64" s="60" t="n">
        <x:v>12.4809</x:v>
      </x:c>
      <x:c r="F64" s="60" t="n">
        <x:v>26.1042</x:v>
      </x:c>
      <x:c r="G64" s="60" t="n">
        <x:v>34.2887</x:v>
      </x:c>
      <x:c r="H64" s="60" t="n">
        <x:v>35.9051</x:v>
      </x:c>
      <x:c r="I64" s="60" t="n">
        <x:v>37.219</x:v>
      </x:c>
      <x:c r="J64" s="60" t="n">
        <x:v>38.3442</x:v>
      </x:c>
      <x:c r="K64" s="60" t="n">
        <x:v>39.4422</x:v>
      </x:c>
      <x:c r="L64" s="60" t="n">
        <x:v>40.4662</x:v>
      </x:c>
      <x:c r="M64" s="60" t="n">
        <x:v>41.4092</x:v>
      </x:c>
      <x:c r="N64" s="60" t="n">
        <x:v>42.3105</x:v>
      </x:c>
      <x:c r="O64" s="60" t="n">
        <x:v>43.1166</x:v>
      </x:c>
      <x:c r="P64" s="60" t="n">
        <x:v>43.8149</x:v>
      </x:c>
      <x:c r="Q64" s="60" t="n">
        <x:v>44.5297</x:v>
      </x:c>
      <x:c r="R64" s="60" t="n">
        <x:v>45.2383</x:v>
      </x:c>
      <x:c r="S64" s="60" t="n">
        <x:v>45.9475</x:v>
      </x:c>
      <x:c r="T64" s="60" t="n">
        <x:v>46.6024</x:v>
      </x:c>
      <x:c r="U64" s="60" t="n">
        <x:v>47.248</x:v>
      </x:c>
      <x:c r="V64" s="60" t="n">
        <x:v>47.8585</x:v>
      </x:c>
      <x:c r="W64" s="60" t="n">
        <x:v>48.3612</x:v>
      </x:c>
      <x:c r="X64" s="60" t="n">
        <x:v>48.9049</x:v>
      </x:c>
      <x:c r="Y64" s="60" t="n">
        <x:v>49.4056</x:v>
      </x:c>
      <x:c r="Z64" s="60" t="n">
        <x:v>49.8911</x:v>
      </x:c>
      <x:c r="AA64" s="60" t="n">
        <x:v>50.4274</x:v>
      </x:c>
      <x:c r="AB64" s="60" t="n">
        <x:v>50.9525</x:v>
      </x:c>
      <x:c r="AC64" s="60" t="n">
        <x:v>51.4334</x:v>
      </x:c>
      <x:c r="AD64" s="60" t="n">
        <x:v>51.914</x:v>
      </x:c>
      <x:c r="AE64" s="60" t="n">
        <x:v>52.3682</x:v>
      </x:c>
      <x:c r="AF64" s="60" t="n">
        <x:v>52.8368</x:v>
      </x:c>
      <x:c r="AG64" s="60" t="n">
        <x:v>53.274</x:v>
      </x:c>
      <x:c r="AH64" s="60" t="n">
        <x:v>53.7373</x:v>
      </x:c>
      <x:c r="AI64" s="60" t="n">
        <x:v>54.1794</x:v>
      </x:c>
      <x:c r="AJ64" s="60" t="n">
        <x:v>54.579</x:v>
      </x:c>
      <x:c r="AK64" s="60" t="n">
        <x:v>55.0069</x:v>
      </x:c>
      <x:c r="AL64" s="60" t="n">
        <x:v>55.4499</x:v>
      </x:c>
      <x:c r="AM64" s="60" t="n">
        <x:v>55.8584</x:v>
      </x:c>
      <x:c r="AN64" s="60" t="n">
        <x:v>56.2456</x:v>
      </x:c>
      <x:c r="AO64" s="60" t="n">
        <x:v>56.6345</x:v>
      </x:c>
      <x:c r="AP64" s="60" t="n">
        <x:v>57.0213</x:v>
      </x:c>
      <x:c r="AQ64" s="60" t="n">
        <x:v>57.4404</x:v>
      </x:c>
      <x:c r="AR64" s="60" t="n">
        <x:v>57.8212</x:v>
      </x:c>
      <x:c r="AS64" s="60" t="n">
        <x:v>58.1433</x:v>
      </x:c>
      <x:c r="AT64" s="60" t="n">
        <x:v>58.5441</x:v>
      </x:c>
      <x:c r="AU64" s="60" t="n">
        <x:v>58.9486</x:v>
      </x:c>
      <x:c r="AV64" s="60" t="n">
        <x:v>59.317</x:v>
      </x:c>
      <x:c r="AW64" s="60" t="n">
        <x:v>59.7215</x:v>
      </x:c>
      <x:c r="AX64" s="60" t="n">
        <x:v>60.0622</x:v>
      </x:c>
      <x:c r="AY64" s="60" t="n">
        <x:v>60.4807</x:v>
      </x:c>
      <x:c r="AZ64" s="60" t="n">
        <x:v>60.8714</x:v>
      </x:c>
      <x:c r="BA64" s="60" t="n">
        <x:v>61.2266</x:v>
      </x:c>
      <x:c r="BB64" s="60" t="n">
        <x:v>61.5873</x:v>
      </x:c>
      <x:c r="BC64" s="60" t="n">
        <x:v>61.9134</x:v>
      </x:c>
      <x:c r="BD64" s="60" t="n">
        <x:v>62.2715</x:v>
      </x:c>
      <x:c r="BE64" s="60" t="n">
        <x:v>62.6345</x:v>
      </x:c>
      <x:c r="BF64" s="60" t="n">
        <x:v>62.9855</x:v>
      </x:c>
      <x:c r="BG64" s="60" t="n">
        <x:v>63.3831</x:v>
      </x:c>
      <x:c r="BH64" s="60" t="n">
        <x:v>63.7605</x:v>
      </x:c>
      <x:c r="BI64" s="60" t="n">
        <x:v>64.1309</x:v>
      </x:c>
      <x:c r="BJ64" s="60" t="n">
        <x:v>64.4729</x:v>
      </x:c>
      <x:c r="BK64" s="60" t="n">
        <x:v>64.8025</x:v>
      </x:c>
      <x:c r="BL64" s="60" t="n">
        <x:v>65.1528</x:v>
      </x:c>
      <x:c r="BM64" s="60" t="n">
        <x:v>65.4895</x:v>
      </x:c>
      <x:c r="BN64" s="60" t="n">
        <x:v>65.8321</x:v>
      </x:c>
      <x:c r="BO64" s="60" t="n">
        <x:v>66.1831</x:v>
      </x:c>
      <x:c r="BP64" s="60" t="n">
        <x:v>66.54</x:v>
      </x:c>
      <x:c r="BQ64" s="60" t="n">
        <x:v>66.8905</x:v>
      </x:c>
      <x:c r="BR64" s="60" t="n">
        <x:v>67.2864</x:v>
      </x:c>
      <x:c r="BS64" s="60" t="n">
        <x:v>67.6519</x:v>
      </x:c>
      <x:c r="BT64" s="60" t="n">
        <x:v>68.0053</x:v>
      </x:c>
      <x:c r="BU64" s="60" t="n">
        <x:v>68.3113</x:v>
      </x:c>
      <x:c r="BV64" s="60" t="n">
        <x:v>68.6808</x:v>
      </x:c>
      <x:c r="BW64" s="60" t="n">
        <x:v>69.0342</x:v>
      </x:c>
      <x:c r="BX64" s="60" t="n">
        <x:v>69.36</x:v>
      </x:c>
      <x:c r="BY64" s="60" t="n">
        <x:v>69.7299</x:v>
      </x:c>
      <x:c r="BZ64" s="60" t="n">
        <x:v>70.095</x:v>
      </x:c>
      <x:c r="CA64" s="60" t="n">
        <x:v>70.4209</x:v>
      </x:c>
      <x:c r="CB64" s="60" t="n">
        <x:v>70.7744</x:v>
      </x:c>
      <x:c r="CC64" s="60" t="n">
        <x:v>71.1263</x:v>
      </x:c>
      <x:c r="CD64" s="60" t="n">
        <x:v>71.4988</x:v>
      </x:c>
      <x:c r="CE64" s="60" t="n">
        <x:v>71.865</x:v>
      </x:c>
      <x:c r="CF64" s="60" t="n">
        <x:v>72.2573</x:v>
      </x:c>
      <x:c r="CG64" s="60" t="n">
        <x:v>72.6068</x:v>
      </x:c>
      <x:c r="CH64" s="60" t="n">
        <x:v>73.0013</x:v>
      </x:c>
      <x:c r="CI64" s="60" t="n">
        <x:v>73.411</x:v>
      </x:c>
      <x:c r="CJ64" s="60" t="n">
        <x:v>73.8267</x:v>
      </x:c>
      <x:c r="CK64" s="60" t="n">
        <x:v>74.2476</x:v>
      </x:c>
      <x:c r="CL64" s="60" t="n">
        <x:v>74.6621</x:v>
      </x:c>
      <x:c r="CM64" s="60" t="n">
        <x:v>75.0889</x:v>
      </x:c>
      <x:c r="CN64" s="60" t="n">
        <x:v>75.5397</x:v>
      </x:c>
      <x:c r="CO64" s="60" t="n">
        <x:v>76.019</x:v>
      </x:c>
      <x:c r="CP64" s="60" t="n">
        <x:v>76.451</x:v>
      </x:c>
      <x:c r="CQ64" s="60" t="n">
        <x:v>77.0075</x:v>
      </x:c>
      <x:c r="CR64" s="60" t="n">
        <x:v>77.4859</x:v>
      </x:c>
      <x:c r="CS64" s="60" t="n">
        <x:v>78.0455</x:v>
      </x:c>
      <x:c r="CT64" s="60" t="n">
        <x:v>78.6534</x:v>
      </x:c>
      <x:c r="CU64" s="60" t="n">
        <x:v>79.2623</x:v>
      </x:c>
      <x:c r="CV64" s="60" t="n">
        <x:v>79.9467</x:v>
      </x:c>
      <x:c r="CW64" s="60" t="n">
        <x:v>80.6473</x:v>
      </x:c>
      <x:c r="CX64" s="60" t="n">
        <x:v>81.3915</x:v>
      </x:c>
      <x:c r="CY64" s="60" t="n">
        <x:v>82.2325</x:v>
      </x:c>
      <x:c r="CZ64" s="60" t="n">
        <x:v>83.2827</x:v>
      </x:c>
      <x:c r="DA64" s="60" t="n">
        <x:v>84.7119</x:v>
      </x:c>
      <x:c r="DB64" s="60" t="n">
        <x:v>88.1656</x:v>
      </x:c>
    </x:row>
    <x:row r="65">
      <x:c r="A65" t="str">
        <x:v>バンギラス-1</x:v>
      </x:c>
      <x:c r="B65" t="str">
        <x:v>バンギラス</x:v>
      </x:c>
      <x:c r="C65" t="str">
        <x:v>共通</x:v>
      </x:c>
      <x:c r="D65" s="60" t="n">
        <x:v>61.4501</x:v>
      </x:c>
      <x:c r="E65" s="60" t="n">
        <x:v>6.0401</x:v>
      </x:c>
      <x:c r="F65" s="60" t="n">
        <x:v>41.134</x:v>
      </x:c>
      <x:c r="G65" s="60" t="n">
        <x:v>47.8186</x:v>
      </x:c>
      <x:c r="H65" s="60" t="n">
        <x:v>49.0198</x:v>
      </x:c>
      <x:c r="I65" s="60" t="n">
        <x:v>49.7909</x:v>
      </x:c>
      <x:c r="J65" s="60" t="n">
        <x:v>50.3997</x:v>
      </x:c>
      <x:c r="K65" s="60" t="n">
        <x:v>50.8961</x:v>
      </x:c>
      <x:c r="L65" s="60" t="n">
        <x:v>51.4017</x:v>
      </x:c>
      <x:c r="M65" s="60" t="n">
        <x:v>51.8319</x:v>
      </x:c>
      <x:c r="N65" s="60" t="n">
        <x:v>52.25</x:v>
      </x:c>
      <x:c r="O65" s="60" t="n">
        <x:v>52.6095</x:v>
      </x:c>
      <x:c r="P65" s="60" t="n">
        <x:v>52.9713</x:v>
      </x:c>
      <x:c r="Q65" s="60" t="n">
        <x:v>53.3135</x:v>
      </x:c>
      <x:c r="R65" s="60" t="n">
        <x:v>53.6489</x:v>
      </x:c>
      <x:c r="S65" s="60" t="n">
        <x:v>53.9586</x:v>
      </x:c>
      <x:c r="T65" s="60" t="n">
        <x:v>54.2663</x:v>
      </x:c>
      <x:c r="U65" s="60" t="n">
        <x:v>54.5828</x:v>
      </x:c>
      <x:c r="V65" s="60" t="n">
        <x:v>54.9076</x:v>
      </x:c>
      <x:c r="W65" s="60" t="n">
        <x:v>55.1729</x:v>
      </x:c>
      <x:c r="X65" s="60" t="n">
        <x:v>55.4465</x:v>
      </x:c>
      <x:c r="Y65" s="60" t="n">
        <x:v>55.7332</x:v>
      </x:c>
      <x:c r="Z65" s="60" t="n">
        <x:v>56.0209</x:v>
      </x:c>
      <x:c r="AA65" s="60" t="n">
        <x:v>56.2577</x:v>
      </x:c>
      <x:c r="AB65" s="60" t="n">
        <x:v>56.4925</x:v>
      </x:c>
      <x:c r="AC65" s="60" t="n">
        <x:v>56.7729</x:v>
      </x:c>
      <x:c r="AD65" s="60" t="n">
        <x:v>57.0076</x:v>
      </x:c>
      <x:c r="AE65" s="60" t="n">
        <x:v>57.2236</x:v>
      </x:c>
      <x:c r="AF65" s="60" t="n">
        <x:v>57.443</x:v>
      </x:c>
      <x:c r="AG65" s="60" t="n">
        <x:v>57.6495</x:v>
      </x:c>
      <x:c r="AH65" s="60" t="n">
        <x:v>57.8582</x:v>
      </x:c>
      <x:c r="AI65" s="60" t="n">
        <x:v>58.0748</x:v>
      </x:c>
      <x:c r="AJ65" s="60" t="n">
        <x:v>58.2575</x:v>
      </x:c>
      <x:c r="AK65" s="60" t="n">
        <x:v>58.4619</x:v>
      </x:c>
      <x:c r="AL65" s="60" t="n">
        <x:v>58.6575</x:v>
      </x:c>
      <x:c r="AM65" s="60" t="n">
        <x:v>58.8662</x:v>
      </x:c>
      <x:c r="AN65" s="60" t="n">
        <x:v>59.0491</x:v>
      </x:c>
      <x:c r="AO65" s="60" t="n">
        <x:v>59.242</x:v>
      </x:c>
      <x:c r="AP65" s="60" t="n">
        <x:v>59.4245</x:v>
      </x:c>
      <x:c r="AQ65" s="60" t="n">
        <x:v>59.6123</x:v>
      </x:c>
      <x:c r="AR65" s="60" t="n">
        <x:v>59.8037</x:v>
      </x:c>
      <x:c r="AS65" s="60" t="n">
        <x:v>59.9887</x:v>
      </x:c>
      <x:c r="AT65" s="60" t="n">
        <x:v>60.164</x:v>
      </x:c>
      <x:c r="AU65" s="60" t="n">
        <x:v>60.3368</x:v>
      </x:c>
      <x:c r="AV65" s="60" t="n">
        <x:v>60.4998</x:v>
      </x:c>
      <x:c r="AW65" s="60" t="n">
        <x:v>60.6755</x:v>
      </x:c>
      <x:c r="AX65" s="60" t="n">
        <x:v>60.8326</x:v>
      </x:c>
      <x:c r="AY65" s="60" t="n">
        <x:v>61.0058</x:v>
      </x:c>
      <x:c r="AZ65" s="60" t="n">
        <x:v>61.1852</x:v>
      </x:c>
      <x:c r="BA65" s="60" t="n">
        <x:v>61.3706</x:v>
      </x:c>
      <x:c r="BB65" s="60" t="n">
        <x:v>61.5328</x:v>
      </x:c>
      <x:c r="BC65" s="60" t="n">
        <x:v>61.6825</x:v>
      </x:c>
      <x:c r="BD65" s="60" t="n">
        <x:v>61.8283</x:v>
      </x:c>
      <x:c r="BE65" s="60" t="n">
        <x:v>61.998</x:v>
      </x:c>
      <x:c r="BF65" s="60" t="n">
        <x:v>62.1465</x:v>
      </x:c>
      <x:c r="BG65" s="60" t="n">
        <x:v>62.3096</x:v>
      </x:c>
      <x:c r="BH65" s="60" t="n">
        <x:v>62.4862</x:v>
      </x:c>
      <x:c r="BI65" s="60" t="n">
        <x:v>62.6419</x:v>
      </x:c>
      <x:c r="BJ65" s="60" t="n">
        <x:v>62.8077</x:v>
      </x:c>
      <x:c r="BK65" s="60" t="n">
        <x:v>62.9738</x:v>
      </x:c>
      <x:c r="BL65" s="60" t="n">
        <x:v>63.1217</x:v>
      </x:c>
      <x:c r="BM65" s="60" t="n">
        <x:v>63.2859</x:v>
      </x:c>
      <x:c r="BN65" s="60" t="n">
        <x:v>63.4502</x:v>
      </x:c>
      <x:c r="BO65" s="60" t="n">
        <x:v>63.6349</x:v>
      </x:c>
      <x:c r="BP65" s="60" t="n">
        <x:v>63.7845</x:v>
      </x:c>
      <x:c r="BQ65" s="60" t="n">
        <x:v>63.9428</x:v>
      </x:c>
      <x:c r="BR65" s="60" t="n">
        <x:v>64.0864</x:v>
      </x:c>
      <x:c r="BS65" s="60" t="n">
        <x:v>64.2544</x:v>
      </x:c>
      <x:c r="BT65" s="60" t="n">
        <x:v>64.4269</x:v>
      </x:c>
      <x:c r="BU65" s="60" t="n">
        <x:v>64.5908</x:v>
      </x:c>
      <x:c r="BV65" s="60" t="n">
        <x:v>64.7486</x:v>
      </x:c>
      <x:c r="BW65" s="60" t="n">
        <x:v>64.9206</x:v>
      </x:c>
      <x:c r="BX65" s="60" t="n">
        <x:v>65.0943</x:v>
      </x:c>
      <x:c r="BY65" s="60" t="n">
        <x:v>65.2517</x:v>
      </x:c>
      <x:c r="BZ65" s="60" t="n">
        <x:v>65.437</x:v>
      </x:c>
      <x:c r="CA65" s="60" t="n">
        <x:v>65.6039</x:v>
      </x:c>
      <x:c r="CB65" s="60" t="n">
        <x:v>65.7765</x:v>
      </x:c>
      <x:c r="CC65" s="60" t="n">
        <x:v>65.951</x:v>
      </x:c>
      <x:c r="CD65" s="60" t="n">
        <x:v>66.111</x:v>
      </x:c>
      <x:c r="CE65" s="60" t="n">
        <x:v>66.2899</x:v>
      </x:c>
      <x:c r="CF65" s="60" t="n">
        <x:v>66.4763</x:v>
      </x:c>
      <x:c r="CG65" s="60" t="n">
        <x:v>66.6674</x:v>
      </x:c>
      <x:c r="CH65" s="60" t="n">
        <x:v>66.8839</x:v>
      </x:c>
      <x:c r="CI65" s="60" t="n">
        <x:v>67.0772</x:v>
      </x:c>
      <x:c r="CJ65" s="60" t="n">
        <x:v>67.3077</x:v>
      </x:c>
      <x:c r="CK65" s="60" t="n">
        <x:v>67.516</x:v>
      </x:c>
      <x:c r="CL65" s="60" t="n">
        <x:v>67.7375</x:v>
      </x:c>
      <x:c r="CM65" s="60" t="n">
        <x:v>67.945</x:v>
      </x:c>
      <x:c r="CN65" s="60" t="n">
        <x:v>68.1601</x:v>
      </x:c>
      <x:c r="CO65" s="60" t="n">
        <x:v>68.4049</x:v>
      </x:c>
      <x:c r="CP65" s="60" t="n">
        <x:v>68.6448</x:v>
      </x:c>
      <x:c r="CQ65" s="60" t="n">
        <x:v>68.9191</x:v>
      </x:c>
      <x:c r="CR65" s="60" t="n">
        <x:v>69.1843</x:v>
      </x:c>
      <x:c r="CS65" s="60" t="n">
        <x:v>69.4711</x:v>
      </x:c>
      <x:c r="CT65" s="60" t="n">
        <x:v>69.7692</x:v>
      </x:c>
      <x:c r="CU65" s="60" t="n">
        <x:v>70.0949</x:v>
      </x:c>
      <x:c r="CV65" s="60" t="n">
        <x:v>70.4157</x:v>
      </x:c>
      <x:c r="CW65" s="60" t="n">
        <x:v>70.7811</x:v>
      </x:c>
      <x:c r="CX65" s="60" t="n">
        <x:v>71.1869</x:v>
      </x:c>
      <x:c r="CY65" s="60" t="n">
        <x:v>71.7406</x:v>
      </x:c>
      <x:c r="CZ65" s="60" t="n">
        <x:v>72.3737</x:v>
      </x:c>
      <x:c r="DA65" s="60" t="n">
        <x:v>73.403</x:v>
      </x:c>
      <x:c r="DB65" s="60" t="n">
        <x:v>77.0265</x:v>
      </x:c>
    </x:row>
    <x:row r="66">
      <x:c r="A66" t="str">
        <x:v>パルキア-1</x:v>
      </x:c>
      <x:c r="B66" t="str">
        <x:v>パルキア</x:v>
      </x:c>
      <x:c r="C66" t="str">
        <x:v>共通</x:v>
      </x:c>
      <x:c r="D66" s="60" t="n">
        <x:v>61.87</x:v>
      </x:c>
      <x:c r="E66" s="60" t="n">
        <x:v>11.6833</x:v>
      </x:c>
      <x:c r="F66" s="60" t="n">
        <x:v>28.094</x:v>
      </x:c>
      <x:c r="G66" s="60" t="n">
        <x:v>36.2796</x:v>
      </x:c>
      <x:c r="H66" s="60" t="n">
        <x:v>37.752</x:v>
      </x:c>
      <x:c r="I66" s="60" t="n">
        <x:v>38.8149</x:v>
      </x:c>
      <x:c r="J66" s="60" t="n">
        <x:v>39.7922</x:v>
      </x:c>
      <x:c r="K66" s="60" t="n">
        <x:v>40.784</x:v>
      </x:c>
      <x:c r="L66" s="60" t="n">
        <x:v>41.8269</x:v>
      </x:c>
      <x:c r="M66" s="60" t="n">
        <x:v>42.7658</x:v>
      </x:c>
      <x:c r="N66" s="60" t="n">
        <x:v>43.5219</x:v>
      </x:c>
      <x:c r="O66" s="60" t="n">
        <x:v>44.2996</x:v>
      </x:c>
      <x:c r="P66" s="60" t="n">
        <x:v>45.0583</x:v>
      </x:c>
      <x:c r="Q66" s="60" t="n">
        <x:v>45.7713</x:v>
      </x:c>
      <x:c r="R66" s="60" t="n">
        <x:v>46.48</x:v>
      </x:c>
      <x:c r="S66" s="60" t="n">
        <x:v>47.1733</x:v>
      </x:c>
      <x:c r="T66" s="60" t="n">
        <x:v>47.773</x:v>
      </x:c>
      <x:c r="U66" s="60" t="n">
        <x:v>48.3198</x:v>
      </x:c>
      <x:c r="V66" s="60" t="n">
        <x:v>48.9376</x:v>
      </x:c>
      <x:c r="W66" s="60" t="n">
        <x:v>49.3971</x:v>
      </x:c>
      <x:c r="X66" s="60" t="n">
        <x:v>49.9043</x:v>
      </x:c>
      <x:c r="Y66" s="60" t="n">
        <x:v>50.4521</x:v>
      </x:c>
      <x:c r="Z66" s="60" t="n">
        <x:v>50.9723</x:v>
      </x:c>
      <x:c r="AA66" s="60" t="n">
        <x:v>51.502</x:v>
      </x:c>
      <x:c r="AB66" s="60" t="n">
        <x:v>51.9599</x:v>
      </x:c>
      <x:c r="AC66" s="60" t="n">
        <x:v>52.3775</x:v>
      </x:c>
      <x:c r="AD66" s="60" t="n">
        <x:v>52.8107</x:v>
      </x:c>
      <x:c r="AE66" s="60" t="n">
        <x:v>53.2715</x:v>
      </x:c>
      <x:c r="AF66" s="60" t="n">
        <x:v>53.7406</x:v>
      </x:c>
      <x:c r="AG66" s="60" t="n">
        <x:v>54.2167</x:v>
      </x:c>
      <x:c r="AH66" s="60" t="n">
        <x:v>54.6615</x:v>
      </x:c>
      <x:c r="AI66" s="60" t="n">
        <x:v>55.0133</x:v>
      </x:c>
      <x:c r="AJ66" s="60" t="n">
        <x:v>55.4532</x:v>
      </x:c>
      <x:c r="AK66" s="60" t="n">
        <x:v>55.8933</x:v>
      </x:c>
      <x:c r="AL66" s="60" t="n">
        <x:v>56.368</x:v>
      </x:c>
      <x:c r="AM66" s="60" t="n">
        <x:v>56.7658</x:v>
      </x:c>
      <x:c r="AN66" s="60" t="n">
        <x:v>57.1704</x:v>
      </x:c>
      <x:c r="AO66" s="60" t="n">
        <x:v>57.5832</x:v>
      </x:c>
      <x:c r="AP66" s="60" t="n">
        <x:v>57.9655</x:v>
      </x:c>
      <x:c r="AQ66" s="60" t="n">
        <x:v>58.3065</x:v>
      </x:c>
      <x:c r="AR66" s="60" t="n">
        <x:v>58.6718</x:v>
      </x:c>
      <x:c r="AS66" s="60" t="n">
        <x:v>59.0817</x:v>
      </x:c>
      <x:c r="AT66" s="60" t="n">
        <x:v>59.4228</x:v>
      </x:c>
      <x:c r="AU66" s="60" t="n">
        <x:v>59.7554</x:v>
      </x:c>
      <x:c r="AV66" s="60" t="n">
        <x:v>60.1136</x:v>
      </x:c>
      <x:c r="AW66" s="60" t="n">
        <x:v>60.5428</x:v>
      </x:c>
      <x:c r="AX66" s="60" t="n">
        <x:v>60.8798</x:v>
      </x:c>
      <x:c r="AY66" s="60" t="n">
        <x:v>61.2316</x:v>
      </x:c>
      <x:c r="AZ66" s="60" t="n">
        <x:v>61.5629</x:v>
      </x:c>
      <x:c r="BA66" s="60" t="n">
        <x:v>61.8977</x:v>
      </x:c>
      <x:c r="BB66" s="60" t="n">
        <x:v>62.2358</x:v>
      </x:c>
      <x:c r="BC66" s="60" t="n">
        <x:v>62.6254</x:v>
      </x:c>
      <x:c r="BD66" s="60" t="n">
        <x:v>62.9445</x:v>
      </x:c>
      <x:c r="BE66" s="60" t="n">
        <x:v>63.2972</x:v>
      </x:c>
      <x:c r="BF66" s="60" t="n">
        <x:v>63.6752</x:v>
      </x:c>
      <x:c r="BG66" s="60" t="n">
        <x:v>63.9799</x:v>
      </x:c>
      <x:c r="BH66" s="60" t="n">
        <x:v>64.2913</x:v>
      </x:c>
      <x:c r="BI66" s="60" t="n">
        <x:v>64.6032</x:v>
      </x:c>
      <x:c r="BJ66" s="60" t="n">
        <x:v>64.9362</x:v>
      </x:c>
      <x:c r="BK66" s="60" t="n">
        <x:v>65.3072</x:v>
      </x:c>
      <x:c r="BL66" s="60" t="n">
        <x:v>65.6614</x:v>
      </x:c>
      <x:c r="BM66" s="60" t="n">
        <x:v>65.9806</x:v>
      </x:c>
      <x:c r="BN66" s="60" t="n">
        <x:v>66.3099</x:v>
      </x:c>
      <x:c r="BO66" s="60" t="n">
        <x:v>66.6557</x:v>
      </x:c>
      <x:c r="BP66" s="60" t="n">
        <x:v>67.0027</x:v>
      </x:c>
      <x:c r="BQ66" s="60" t="n">
        <x:v>67.3362</x:v>
      </x:c>
      <x:c r="BR66" s="60" t="n">
        <x:v>67.6701</x:v>
      </x:c>
      <x:c r="BS66" s="60" t="n">
        <x:v>67.9557</x:v>
      </x:c>
      <x:c r="BT66" s="60" t="n">
        <x:v>68.3155</x:v>
      </x:c>
      <x:c r="BU66" s="60" t="n">
        <x:v>68.6377</x:v>
      </x:c>
      <x:c r="BV66" s="60" t="n">
        <x:v>68.9544</x:v>
      </x:c>
      <x:c r="BW66" s="60" t="n">
        <x:v>69.2558</x:v>
      </x:c>
      <x:c r="BX66" s="60" t="n">
        <x:v>69.5667</x:v>
      </x:c>
      <x:c r="BY66" s="60" t="n">
        <x:v>69.8934</x:v>
      </x:c>
      <x:c r="BZ66" s="60" t="n">
        <x:v>70.215</x:v>
      </x:c>
      <x:c r="CA66" s="60" t="n">
        <x:v>70.5214</x:v>
      </x:c>
      <x:c r="CB66" s="60" t="n">
        <x:v>70.8323</x:v>
      </x:c>
      <x:c r="CC66" s="60" t="n">
        <x:v>71.1403</x:v>
      </x:c>
      <x:c r="CD66" s="60" t="n">
        <x:v>71.4749</x:v>
      </x:c>
      <x:c r="CE66" s="60" t="n">
        <x:v>71.855</x:v>
      </x:c>
      <x:c r="CF66" s="60" t="n">
        <x:v>72.2137</x:v>
      </x:c>
      <x:c r="CG66" s="60" t="n">
        <x:v>72.5231</x:v>
      </x:c>
      <x:c r="CH66" s="60" t="n">
        <x:v>72.8769</x:v>
      </x:c>
      <x:c r="CI66" s="60" t="n">
        <x:v>73.2352</x:v>
      </x:c>
      <x:c r="CJ66" s="60" t="n">
        <x:v>73.5702</x:v>
      </x:c>
      <x:c r="CK66" s="60" t="n">
        <x:v>73.9036</x:v>
      </x:c>
      <x:c r="CL66" s="60" t="n">
        <x:v>74.2803</x:v>
      </x:c>
      <x:c r="CM66" s="60" t="n">
        <x:v>74.6538</x:v>
      </x:c>
      <x:c r="CN66" s="60" t="n">
        <x:v>75.0332</x:v>
      </x:c>
      <x:c r="CO66" s="60" t="n">
        <x:v>75.4293</x:v>
      </x:c>
      <x:c r="CP66" s="60" t="n">
        <x:v>75.8889</x:v>
      </x:c>
      <x:c r="CQ66" s="60" t="n">
        <x:v>76.3083</x:v>
      </x:c>
      <x:c r="CR66" s="60" t="n">
        <x:v>76.7504</x:v>
      </x:c>
      <x:c r="CS66" s="60" t="n">
        <x:v>77.1572</x:v>
      </x:c>
      <x:c r="CT66" s="60" t="n">
        <x:v>77.6268</x:v>
      </x:c>
      <x:c r="CU66" s="60" t="n">
        <x:v>78.0537</x:v>
      </x:c>
      <x:c r="CV66" s="60" t="n">
        <x:v>78.6263</x:v>
      </x:c>
      <x:c r="CW66" s="60" t="n">
        <x:v>79.1672</x:v>
      </x:c>
      <x:c r="CX66" s="60" t="n">
        <x:v>79.8561</x:v>
      </x:c>
      <x:c r="CY66" s="60" t="n">
        <x:v>80.4948</x:v>
      </x:c>
      <x:c r="CZ66" s="60" t="n">
        <x:v>81.2884</x:v>
      </x:c>
      <x:c r="DA66" s="60" t="n">
        <x:v>82.1462</x:v>
      </x:c>
      <x:c r="DB66" s="60" t="n">
        <x:v>84.376</x:v>
      </x:c>
    </x:row>
    <x:row r="67">
      <x:c r="A67" t="str">
        <x:v>パーモット-1</x:v>
      </x:c>
      <x:c r="B67" t="str">
        <x:v>パーモット</x:v>
      </x:c>
      <x:c r="C67" t="str">
        <x:v>共通</x:v>
      </x:c>
      <x:c r="D67" s="60" t="n">
        <x:v>61.8174</x:v>
      </x:c>
      <x:c r="E67" s="60" t="n">
        <x:v>12.8931</x:v>
      </x:c>
      <x:c r="F67" s="60" t="n">
        <x:v>26.0188</x:v>
      </x:c>
      <x:c r="G67" s="60" t="n">
        <x:v>34.2271</x:v>
      </x:c>
      <x:c r="H67" s="60" t="n">
        <x:v>35.5805</x:v>
      </x:c>
      <x:c r="I67" s="60" t="n">
        <x:v>36.7247</x:v>
      </x:c>
      <x:c r="J67" s="60" t="n">
        <x:v>37.8527</x:v>
      </x:c>
      <x:c r="K67" s="60" t="n">
        <x:v>38.8889</x:v>
      </x:c>
      <x:c r="L67" s="60" t="n">
        <x:v>39.9846</x:v>
      </x:c>
      <x:c r="M67" s="60" t="n">
        <x:v>40.9407</x:v>
      </x:c>
      <x:c r="N67" s="60" t="n">
        <x:v>41.8356</x:v>
      </x:c>
      <x:c r="O67" s="60" t="n">
        <x:v>42.5285</x:v>
      </x:c>
      <x:c r="P67" s="60" t="n">
        <x:v>43.3825</x:v>
      </x:c>
      <x:c r="Q67" s="60" t="n">
        <x:v>44.2189</x:v>
      </x:c>
      <x:c r="R67" s="60" t="n">
        <x:v>44.976</x:v>
      </x:c>
      <x:c r="S67" s="60" t="n">
        <x:v>45.6868</x:v>
      </x:c>
      <x:c r="T67" s="60" t="n">
        <x:v>46.3712</x:v>
      </x:c>
      <x:c r="U67" s="60" t="n">
        <x:v>46.9262</x:v>
      </x:c>
      <x:c r="V67" s="60" t="n">
        <x:v>47.5089</x:v>
      </x:c>
      <x:c r="W67" s="60" t="n">
        <x:v>48.1229</x:v>
      </x:c>
      <x:c r="X67" s="60" t="n">
        <x:v>48.6464</x:v>
      </x:c>
      <x:c r="Y67" s="60" t="n">
        <x:v>49.2011</x:v>
      </x:c>
      <x:c r="Z67" s="60" t="n">
        <x:v>49.7448</x:v>
      </x:c>
      <x:c r="AA67" s="60" t="n">
        <x:v>50.2807</x:v>
      </x:c>
      <x:c r="AB67" s="60" t="n">
        <x:v>50.8175</x:v>
      </x:c>
      <x:c r="AC67" s="60" t="n">
        <x:v>51.3486</x:v>
      </x:c>
      <x:c r="AD67" s="60" t="n">
        <x:v>51.8466</x:v>
      </x:c>
      <x:c r="AE67" s="60" t="n">
        <x:v>52.311</x:v>
      </x:c>
      <x:c r="AF67" s="60" t="n">
        <x:v>52.7946</x:v>
      </x:c>
      <x:c r="AG67" s="60" t="n">
        <x:v>53.2813</x:v>
      </x:c>
      <x:c r="AH67" s="60" t="n">
        <x:v>53.7275</x:v>
      </x:c>
      <x:c r="AI67" s="60" t="n">
        <x:v>54.1987</x:v>
      </x:c>
      <x:c r="AJ67" s="60" t="n">
        <x:v>54.6843</x:v>
      </x:c>
      <x:c r="AK67" s="60" t="n">
        <x:v>55.1247</x:v>
      </x:c>
      <x:c r="AL67" s="60" t="n">
        <x:v>55.5832</x:v>
      </x:c>
      <x:c r="AM67" s="60" t="n">
        <x:v>56.0095</x:v>
      </x:c>
      <x:c r="AN67" s="60" t="n">
        <x:v>56.4145</x:v>
      </x:c>
      <x:c r="AO67" s="60" t="n">
        <x:v>56.8474</x:v>
      </x:c>
      <x:c r="AP67" s="60" t="n">
        <x:v>57.2778</x:v>
      </x:c>
      <x:c r="AQ67" s="60" t="n">
        <x:v>57.7039</x:v>
      </x:c>
      <x:c r="AR67" s="60" t="n">
        <x:v>58.1202</x:v>
      </x:c>
      <x:c r="AS67" s="60" t="n">
        <x:v>58.4947</x:v>
      </x:c>
      <x:c r="AT67" s="60" t="n">
        <x:v>58.9159</x:v>
      </x:c>
      <x:c r="AU67" s="60" t="n">
        <x:v>59.3619</x:v>
      </x:c>
      <x:c r="AV67" s="60" t="n">
        <x:v>59.7413</x:v>
      </x:c>
      <x:c r="AW67" s="60" t="n">
        <x:v>60.1479</x:v>
      </x:c>
      <x:c r="AX67" s="60" t="n">
        <x:v>60.5208</x:v>
      </x:c>
      <x:c r="AY67" s="60" t="n">
        <x:v>60.8696</x:v>
      </x:c>
      <x:c r="AZ67" s="60" t="n">
        <x:v>61.2609</x:v>
      </x:c>
      <x:c r="BA67" s="60" t="n">
        <x:v>61.6227</x:v>
      </x:c>
      <x:c r="BB67" s="60" t="n">
        <x:v>61.97</x:v>
      </x:c>
      <x:c r="BC67" s="60" t="n">
        <x:v>62.4282</x:v>
      </x:c>
      <x:c r="BD67" s="60" t="n">
        <x:v>62.8319</x:v>
      </x:c>
      <x:c r="BE67" s="60" t="n">
        <x:v>63.2514</x:v>
      </x:c>
      <x:c r="BF67" s="60" t="n">
        <x:v>63.5962</x:v>
      </x:c>
      <x:c r="BG67" s="60" t="n">
        <x:v>63.9925</x:v>
      </x:c>
      <x:c r="BH67" s="60" t="n">
        <x:v>64.3342</x:v>
      </x:c>
      <x:c r="BI67" s="60" t="n">
        <x:v>64.6825</x:v>
      </x:c>
      <x:c r="BJ67" s="60" t="n">
        <x:v>65.0248</x:v>
      </x:c>
      <x:c r="BK67" s="60" t="n">
        <x:v>65.4127</x:v>
      </x:c>
      <x:c r="BL67" s="60" t="n">
        <x:v>65.8035</x:v>
      </x:c>
      <x:c r="BM67" s="60" t="n">
        <x:v>66.1331</x:v>
      </x:c>
      <x:c r="BN67" s="60" t="n">
        <x:v>66.4869</x:v>
      </x:c>
      <x:c r="BO67" s="60" t="n">
        <x:v>66.8654</x:v>
      </x:c>
      <x:c r="BP67" s="60" t="n">
        <x:v>67.2636</x:v>
      </x:c>
      <x:c r="BQ67" s="60" t="n">
        <x:v>67.6669</x:v>
      </x:c>
      <x:c r="BR67" s="60" t="n">
        <x:v>68.0322</x:v>
      </x:c>
      <x:c r="BS67" s="60" t="n">
        <x:v>68.3955</x:v>
      </x:c>
      <x:c r="BT67" s="60" t="n">
        <x:v>68.7725</x:v>
      </x:c>
      <x:c r="BU67" s="60" t="n">
        <x:v>69.118</x:v>
      </x:c>
      <x:c r="BV67" s="60" t="n">
        <x:v>69.4387</x:v>
      </x:c>
      <x:c r="BW67" s="60" t="n">
        <x:v>69.7781</x:v>
      </x:c>
      <x:c r="BX67" s="60" t="n">
        <x:v>70.1342</x:v>
      </x:c>
      <x:c r="BY67" s="60" t="n">
        <x:v>70.4772</x:v>
      </x:c>
      <x:c r="BZ67" s="60" t="n">
        <x:v>70.8564</x:v>
      </x:c>
      <x:c r="CA67" s="60" t="n">
        <x:v>71.2067</x:v>
      </x:c>
      <x:c r="CB67" s="60" t="n">
        <x:v>71.5298</x:v>
      </x:c>
      <x:c r="CC67" s="60" t="n">
        <x:v>71.9066</x:v>
      </x:c>
      <x:c r="CD67" s="60" t="n">
        <x:v>72.3252</x:v>
      </x:c>
      <x:c r="CE67" s="60" t="n">
        <x:v>72.7307</x:v>
      </x:c>
      <x:c r="CF67" s="60" t="n">
        <x:v>73.0689</x:v>
      </x:c>
      <x:c r="CG67" s="60" t="n">
        <x:v>73.5283</x:v>
      </x:c>
      <x:c r="CH67" s="60" t="n">
        <x:v>73.8866</x:v>
      </x:c>
      <x:c r="CI67" s="60" t="n">
        <x:v>74.3222</x:v>
      </x:c>
      <x:c r="CJ67" s="60" t="n">
        <x:v>74.7284</x:v>
      </x:c>
      <x:c r="CK67" s="60" t="n">
        <x:v>75.1431</x:v>
      </x:c>
      <x:c r="CL67" s="60" t="n">
        <x:v>75.5742</x:v>
      </x:c>
      <x:c r="CM67" s="60" t="n">
        <x:v>76.0006</x:v>
      </x:c>
      <x:c r="CN67" s="60" t="n">
        <x:v>76.4777</x:v>
      </x:c>
      <x:c r="CO67" s="60" t="n">
        <x:v>76.9274</x:v>
      </x:c>
      <x:c r="CP67" s="60" t="n">
        <x:v>77.3556</x:v>
      </x:c>
      <x:c r="CQ67" s="60" t="n">
        <x:v>77.8108</x:v>
      </x:c>
      <x:c r="CR67" s="60" t="n">
        <x:v>78.2548</x:v>
      </x:c>
      <x:c r="CS67" s="60" t="n">
        <x:v>78.803</x:v>
      </x:c>
      <x:c r="CT67" s="60" t="n">
        <x:v>79.4182</x:v>
      </x:c>
      <x:c r="CU67" s="60" t="n">
        <x:v>80.0516</x:v>
      </x:c>
      <x:c r="CV67" s="60" t="n">
        <x:v>80.6446</x:v>
      </x:c>
      <x:c r="CW67" s="60" t="n">
        <x:v>81.3044</x:v>
      </x:c>
      <x:c r="CX67" s="60" t="n">
        <x:v>82.063</x:v>
      </x:c>
      <x:c r="CY67" s="60" t="n">
        <x:v>82.9507</x:v>
      </x:c>
      <x:c r="CZ67" s="60" t="n">
        <x:v>84.0624</x:v>
      </x:c>
      <x:c r="DA67" s="60" t="n">
        <x:v>85.164</x:v>
      </x:c>
      <x:c r="DB67" s="60" t="n">
        <x:v>88.8352</x:v>
      </x:c>
    </x:row>
    <x:row r="68">
      <x:c r="A68" t="str">
        <x:v>ファイヤー-1</x:v>
      </x:c>
      <x:c r="B68" t="str">
        <x:v>ファイヤー</x:v>
      </x:c>
      <x:c r="C68" t="str">
        <x:v>共通</x:v>
      </x:c>
      <x:c r="D68" s="60" t="n">
        <x:v>61.5756</x:v>
      </x:c>
      <x:c r="E68" s="60" t="n">
        <x:v>6.1057</x:v>
      </x:c>
      <x:c r="F68" s="60" t="n">
        <x:v>41.811</x:v>
      </x:c>
      <x:c r="G68" s="60" t="n">
        <x:v>47.5097</x:v>
      </x:c>
      <x:c r="H68" s="60" t="n">
        <x:v>48.5967</x:v>
      </x:c>
      <x:c r="I68" s="60" t="n">
        <x:v>49.4682</x:v>
      </x:c>
      <x:c r="J68" s="60" t="n">
        <x:v>50.1079</x:v>
      </x:c>
      <x:c r="K68" s="60" t="n">
        <x:v>50.6515</x:v>
      </x:c>
      <x:c r="L68" s="60" t="n">
        <x:v>51.1164</x:v>
      </x:c>
      <x:c r="M68" s="60" t="n">
        <x:v>51.6636</x:v>
      </x:c>
      <x:c r="N68" s="60" t="n">
        <x:v>52.0759</x:v>
      </x:c>
      <x:c r="O68" s="60" t="n">
        <x:v>52.4753</x:v>
      </x:c>
      <x:c r="P68" s="60" t="n">
        <x:v>52.8633</x:v>
      </x:c>
      <x:c r="Q68" s="60" t="n">
        <x:v>53.248</x:v>
      </x:c>
      <x:c r="R68" s="60" t="n">
        <x:v>53.6265</x:v>
      </x:c>
      <x:c r="S68" s="60" t="n">
        <x:v>53.9862</x:v>
      </x:c>
      <x:c r="T68" s="60" t="n">
        <x:v>54.2823</x:v>
      </x:c>
      <x:c r="U68" s="60" t="n">
        <x:v>54.5931</x:v>
      </x:c>
      <x:c r="V68" s="60" t="n">
        <x:v>54.8596</x:v>
      </x:c>
      <x:c r="W68" s="60" t="n">
        <x:v>55.1688</x:v>
      </x:c>
      <x:c r="X68" s="60" t="n">
        <x:v>55.482</x:v>
      </x:c>
      <x:c r="Y68" s="60" t="n">
        <x:v>55.7858</x:v>
      </x:c>
      <x:c r="Z68" s="60" t="n">
        <x:v>56.103</x:v>
      </x:c>
      <x:c r="AA68" s="60" t="n">
        <x:v>56.3752</x:v>
      </x:c>
      <x:c r="AB68" s="60" t="n">
        <x:v>56.6484</x:v>
      </x:c>
      <x:c r="AC68" s="60" t="n">
        <x:v>56.8964</x:v>
      </x:c>
      <x:c r="AD68" s="60" t="n">
        <x:v>57.1265</x:v>
      </x:c>
      <x:c r="AE68" s="60" t="n">
        <x:v>57.3439</x:v>
      </x:c>
      <x:c r="AF68" s="60" t="n">
        <x:v>57.5891</x:v>
      </x:c>
      <x:c r="AG68" s="60" t="n">
        <x:v>57.8432</x:v>
      </x:c>
      <x:c r="AH68" s="60" t="n">
        <x:v>58.0767</x:v>
      </x:c>
      <x:c r="AI68" s="60" t="n">
        <x:v>58.312</x:v>
      </x:c>
      <x:c r="AJ68" s="60" t="n">
        <x:v>58.5423</x:v>
      </x:c>
      <x:c r="AK68" s="60" t="n">
        <x:v>58.7505</x:v>
      </x:c>
      <x:c r="AL68" s="60" t="n">
        <x:v>58.9399</x:v>
      </x:c>
      <x:c r="AM68" s="60" t="n">
        <x:v>59.1536</x:v>
      </x:c>
      <x:c r="AN68" s="60" t="n">
        <x:v>59.3413</x:v>
      </x:c>
      <x:c r="AO68" s="60" t="n">
        <x:v>59.5383</x:v>
      </x:c>
      <x:c r="AP68" s="60" t="n">
        <x:v>59.7205</x:v>
      </x:c>
      <x:c r="AQ68" s="60" t="n">
        <x:v>59.8963</x:v>
      </x:c>
      <x:c r="AR68" s="60" t="n">
        <x:v>60.0874</x:v>
      </x:c>
      <x:c r="AS68" s="60" t="n">
        <x:v>60.2774</x:v>
      </x:c>
      <x:c r="AT68" s="60" t="n">
        <x:v>60.4782</x:v>
      </x:c>
      <x:c r="AU68" s="60" t="n">
        <x:v>60.6452</x:v>
      </x:c>
      <x:c r="AV68" s="60" t="n">
        <x:v>60.8176</x:v>
      </x:c>
      <x:c r="AW68" s="60" t="n">
        <x:v>60.9718</x:v>
      </x:c>
      <x:c r="AX68" s="60" t="n">
        <x:v>61.1572</x:v>
      </x:c>
      <x:c r="AY68" s="60" t="n">
        <x:v>61.3167</x:v>
      </x:c>
      <x:c r="AZ68" s="60" t="n">
        <x:v>61.487</x:v>
      </x:c>
      <x:c r="BA68" s="60" t="n">
        <x:v>61.6219</x:v>
      </x:c>
      <x:c r="BB68" s="60" t="n">
        <x:v>61.7673</x:v>
      </x:c>
      <x:c r="BC68" s="60" t="n">
        <x:v>61.9422</x:v>
      </x:c>
      <x:c r="BD68" s="60" t="n">
        <x:v>62.1025</x:v>
      </x:c>
      <x:c r="BE68" s="60" t="n">
        <x:v>62.2762</x:v>
      </x:c>
      <x:c r="BF68" s="60" t="n">
        <x:v>62.4333</x:v>
      </x:c>
      <x:c r="BG68" s="60" t="n">
        <x:v>62.6007</x:v>
      </x:c>
      <x:c r="BH68" s="60" t="n">
        <x:v>62.769</x:v>
      </x:c>
      <x:c r="BI68" s="60" t="n">
        <x:v>62.909</x:v>
      </x:c>
      <x:c r="BJ68" s="60" t="n">
        <x:v>63.0665</x:v>
      </x:c>
      <x:c r="BK68" s="60" t="n">
        <x:v>63.214</x:v>
      </x:c>
      <x:c r="BL68" s="60" t="n">
        <x:v>63.3855</x:v>
      </x:c>
      <x:c r="BM68" s="60" t="n">
        <x:v>63.55</x:v>
      </x:c>
      <x:c r="BN68" s="60" t="n">
        <x:v>63.7339</x:v>
      </x:c>
      <x:c r="BO68" s="60" t="n">
        <x:v>63.8891</x:v>
      </x:c>
      <x:c r="BP68" s="60" t="n">
        <x:v>64.0344</x:v>
      </x:c>
      <x:c r="BQ68" s="60" t="n">
        <x:v>64.1966</x:v>
      </x:c>
      <x:c r="BR68" s="60" t="n">
        <x:v>64.3614</x:v>
      </x:c>
      <x:c r="BS68" s="60" t="n">
        <x:v>64.5257</x:v>
      </x:c>
      <x:c r="BT68" s="60" t="n">
        <x:v>64.6947</x:v>
      </x:c>
      <x:c r="BU68" s="60" t="n">
        <x:v>64.8565</x:v>
      </x:c>
      <x:c r="BV68" s="60" t="n">
        <x:v>65.0061</x:v>
      </x:c>
      <x:c r="BW68" s="60" t="n">
        <x:v>65.164</x:v>
      </x:c>
      <x:c r="BX68" s="60" t="n">
        <x:v>65.3099</x:v>
      </x:c>
      <x:c r="BY68" s="60" t="n">
        <x:v>65.4787</x:v>
      </x:c>
      <x:c r="BZ68" s="60" t="n">
        <x:v>65.6484</x:v>
      </x:c>
      <x:c r="CA68" s="60" t="n">
        <x:v>65.8238</x:v>
      </x:c>
      <x:c r="CB68" s="60" t="n">
        <x:v>65.9838</x:v>
      </x:c>
      <x:c r="CC68" s="60" t="n">
        <x:v>66.1499</x:v>
      </x:c>
      <x:c r="CD68" s="60" t="n">
        <x:v>66.3241</x:v>
      </x:c>
      <x:c r="CE68" s="60" t="n">
        <x:v>66.4862</x:v>
      </x:c>
      <x:c r="CF68" s="60" t="n">
        <x:v>66.6585</x:v>
      </x:c>
      <x:c r="CG68" s="60" t="n">
        <x:v>66.8567</x:v>
      </x:c>
      <x:c r="CH68" s="60" t="n">
        <x:v>67.0654</x:v>
      </x:c>
      <x:c r="CI68" s="60" t="n">
        <x:v>67.2418</x:v>
      </x:c>
      <x:c r="CJ68" s="60" t="n">
        <x:v>67.4268</x:v>
      </x:c>
      <x:c r="CK68" s="60" t="n">
        <x:v>67.625</x:v>
      </x:c>
      <x:c r="CL68" s="60" t="n">
        <x:v>67.8341</x:v>
      </x:c>
      <x:c r="CM68" s="60" t="n">
        <x:v>68.046</x:v>
      </x:c>
      <x:c r="CN68" s="60" t="n">
        <x:v>68.2815</x:v>
      </x:c>
      <x:c r="CO68" s="60" t="n">
        <x:v>68.493</x:v>
      </x:c>
      <x:c r="CP68" s="60" t="n">
        <x:v>68.7003</x:v>
      </x:c>
      <x:c r="CQ68" s="60" t="n">
        <x:v>68.9545</x:v>
      </x:c>
      <x:c r="CR68" s="60" t="n">
        <x:v>69.2117</x:v>
      </x:c>
      <x:c r="CS68" s="60" t="n">
        <x:v>69.4787</x:v>
      </x:c>
      <x:c r="CT68" s="60" t="n">
        <x:v>69.741</x:v>
      </x:c>
      <x:c r="CU68" s="60" t="n">
        <x:v>70.0712</x:v>
      </x:c>
      <x:c r="CV68" s="60" t="n">
        <x:v>70.3877</x:v>
      </x:c>
      <x:c r="CW68" s="60" t="n">
        <x:v>70.7668</x:v>
      </x:c>
      <x:c r="CX68" s="60" t="n">
        <x:v>71.2067</x:v>
      </x:c>
      <x:c r="CY68" s="60" t="n">
        <x:v>71.6976</x:v>
      </x:c>
      <x:c r="CZ68" s="60" t="n">
        <x:v>72.3064</x:v>
      </x:c>
      <x:c r="DA68" s="60" t="n">
        <x:v>73.2617</x:v>
      </x:c>
      <x:c r="DB68" s="60" t="n">
        <x:v>77.3761</x:v>
      </x:c>
    </x:row>
    <x:row r="69">
      <x:c r="A69" t="str">
        <x:v>マッシブーン-1</x:v>
      </x:c>
      <x:c r="B69" t="str">
        <x:v>マッシブーン</x:v>
      </x:c>
      <x:c r="C69" t="str">
        <x:v>共通</x:v>
      </x:c>
      <x:c r="D69" s="60" t="n">
        <x:v>62.2351</x:v>
      </x:c>
      <x:c r="E69" s="60" t="n">
        <x:v>6.9956</x:v>
      </x:c>
      <x:c r="F69" s="60" t="n">
        <x:v>36.0008</x:v>
      </x:c>
      <x:c r="G69" s="60" t="n">
        <x:v>45.5489</x:v>
      </x:c>
      <x:c r="H69" s="60" t="n">
        <x:v>47.4277</x:v>
      </x:c>
      <x:c r="I69" s="60" t="n">
        <x:v>48.5419</x:v>
      </x:c>
      <x:c r="J69" s="60" t="n">
        <x:v>49.5018</x:v>
      </x:c>
      <x:c r="K69" s="60" t="n">
        <x:v>50.3128</x:v>
      </x:c>
      <x:c r="L69" s="60" t="n">
        <x:v>50.9784</x:v>
      </x:c>
      <x:c r="M69" s="60" t="n">
        <x:v>51.5112</x:v>
      </x:c>
      <x:c r="N69" s="60" t="n">
        <x:v>52.0078</x:v>
      </x:c>
      <x:c r="O69" s="60" t="n">
        <x:v>52.4553</x:v>
      </x:c>
      <x:c r="P69" s="60" t="n">
        <x:v>52.8624</x:v>
      </x:c>
      <x:c r="Q69" s="60" t="n">
        <x:v>53.2769</x:v>
      </x:c>
      <x:c r="R69" s="60" t="n">
        <x:v>53.6369</x:v>
      </x:c>
      <x:c r="S69" s="60" t="n">
        <x:v>53.9397</x:v>
      </x:c>
      <x:c r="T69" s="60" t="n">
        <x:v>54.2553</x:v>
      </x:c>
      <x:c r="U69" s="60" t="n">
        <x:v>54.6187</x:v>
      </x:c>
      <x:c r="V69" s="60" t="n">
        <x:v>54.9516</x:v>
      </x:c>
      <x:c r="W69" s="60" t="n">
        <x:v>55.2551</x:v>
      </x:c>
      <x:c r="X69" s="60" t="n">
        <x:v>55.5204</x:v>
      </x:c>
      <x:c r="Y69" s="60" t="n">
        <x:v>55.823</x:v>
      </x:c>
      <x:c r="Z69" s="60" t="n">
        <x:v>56.0686</x:v>
      </x:c>
      <x:c r="AA69" s="60" t="n">
        <x:v>56.338</x:v>
      </x:c>
      <x:c r="AB69" s="60" t="n">
        <x:v>56.6057</x:v>
      </x:c>
      <x:c r="AC69" s="60" t="n">
        <x:v>56.8603</x:v>
      </x:c>
      <x:c r="AD69" s="60" t="n">
        <x:v>57.085</x:v>
      </x:c>
      <x:c r="AE69" s="60" t="n">
        <x:v>57.295</x:v>
      </x:c>
      <x:c r="AF69" s="60" t="n">
        <x:v>57.5294</x:v>
      </x:c>
      <x:c r="AG69" s="60" t="n">
        <x:v>57.7908</x:v>
      </x:c>
      <x:c r="AH69" s="60" t="n">
        <x:v>58.0256</x:v>
      </x:c>
      <x:c r="AI69" s="60" t="n">
        <x:v>58.2492</x:v>
      </x:c>
      <x:c r="AJ69" s="60" t="n">
        <x:v>58.5128</x:v>
      </x:c>
      <x:c r="AK69" s="60" t="n">
        <x:v>58.7168</x:v>
      </x:c>
      <x:c r="AL69" s="60" t="n">
        <x:v>58.9</x:v>
      </x:c>
      <x:c r="AM69" s="60" t="n">
        <x:v>59.1251</x:v>
      </x:c>
      <x:c r="AN69" s="60" t="n">
        <x:v>59.3465</x:v>
      </x:c>
      <x:c r="AO69" s="60" t="n">
        <x:v>59.5414</x:v>
      </x:c>
      <x:c r="AP69" s="60" t="n">
        <x:v>59.754</x:v>
      </x:c>
      <x:c r="AQ69" s="60" t="n">
        <x:v>59.9553</x:v>
      </x:c>
      <x:c r="AR69" s="60" t="n">
        <x:v>60.1484</x:v>
      </x:c>
      <x:c r="AS69" s="60" t="n">
        <x:v>60.368</x:v>
      </x:c>
      <x:c r="AT69" s="60" t="n">
        <x:v>60.5705</x:v>
      </x:c>
      <x:c r="AU69" s="60" t="n">
        <x:v>60.7682</x:v>
      </x:c>
      <x:c r="AV69" s="60" t="n">
        <x:v>60.9765</x:v>
      </x:c>
      <x:c r="AW69" s="60" t="n">
        <x:v>61.1623</x:v>
      </x:c>
      <x:c r="AX69" s="60" t="n">
        <x:v>61.3284</x:v>
      </x:c>
      <x:c r="AY69" s="60" t="n">
        <x:v>61.5132</x:v>
      </x:c>
      <x:c r="AZ69" s="60" t="n">
        <x:v>61.73</x:v>
      </x:c>
      <x:c r="BA69" s="60" t="n">
        <x:v>61.9291</x:v>
      </x:c>
      <x:c r="BB69" s="60" t="n">
        <x:v>62.1439</x:v>
      </x:c>
      <x:c r="BC69" s="60" t="n">
        <x:v>62.3166</x:v>
      </x:c>
      <x:c r="BD69" s="60" t="n">
        <x:v>62.5215</x:v>
      </x:c>
      <x:c r="BE69" s="60" t="n">
        <x:v>62.7277</x:v>
      </x:c>
      <x:c r="BF69" s="60" t="n">
        <x:v>62.9189</x:v>
      </x:c>
      <x:c r="BG69" s="60" t="n">
        <x:v>63.1087</x:v>
      </x:c>
      <x:c r="BH69" s="60" t="n">
        <x:v>63.284</x:v>
      </x:c>
      <x:c r="BI69" s="60" t="n">
        <x:v>63.4803</x:v>
      </x:c>
      <x:c r="BJ69" s="60" t="n">
        <x:v>63.6775</x:v>
      </x:c>
      <x:c r="BK69" s="60" t="n">
        <x:v>63.881</x:v>
      </x:c>
      <x:c r="BL69" s="60" t="n">
        <x:v>64.0923</x:v>
      </x:c>
      <x:c r="BM69" s="60" t="n">
        <x:v>64.2843</x:v>
      </x:c>
      <x:c r="BN69" s="60" t="n">
        <x:v>64.4924</x:v>
      </x:c>
      <x:c r="BO69" s="60" t="n">
        <x:v>64.6563</x:v>
      </x:c>
      <x:c r="BP69" s="60" t="n">
        <x:v>64.8564</x:v>
      </x:c>
      <x:c r="BQ69" s="60" t="n">
        <x:v>65.062</x:v>
      </x:c>
      <x:c r="BR69" s="60" t="n">
        <x:v>65.2642</x:v>
      </x:c>
      <x:c r="BS69" s="60" t="n">
        <x:v>65.449</x:v>
      </x:c>
      <x:c r="BT69" s="60" t="n">
        <x:v>65.6212</x:v>
      </x:c>
      <x:c r="BU69" s="60" t="n">
        <x:v>65.8204</x:v>
      </x:c>
      <x:c r="BV69" s="60" t="n">
        <x:v>66.0241</x:v>
      </x:c>
      <x:c r="BW69" s="60" t="n">
        <x:v>66.2426</x:v>
      </x:c>
      <x:c r="BX69" s="60" t="n">
        <x:v>66.4609</x:v>
      </x:c>
      <x:c r="BY69" s="60" t="n">
        <x:v>66.7093</x:v>
      </x:c>
      <x:c r="BZ69" s="60" t="n">
        <x:v>66.9179</x:v>
      </x:c>
      <x:c r="CA69" s="60" t="n">
        <x:v>67.1409</x:v>
      </x:c>
      <x:c r="CB69" s="60" t="n">
        <x:v>67.3282</x:v>
      </x:c>
      <x:c r="CC69" s="60" t="n">
        <x:v>67.5669</x:v>
      </x:c>
      <x:c r="CD69" s="60" t="n">
        <x:v>67.7553</x:v>
      </x:c>
      <x:c r="CE69" s="60" t="n">
        <x:v>67.9776</x:v>
      </x:c>
      <x:c r="CF69" s="60" t="n">
        <x:v>68.2083</x:v>
      </x:c>
      <x:c r="CG69" s="60" t="n">
        <x:v>68.4505</x:v>
      </x:c>
      <x:c r="CH69" s="60" t="n">
        <x:v>68.6596</x:v>
      </x:c>
      <x:c r="CI69" s="60" t="n">
        <x:v>68.8774</x:v>
      </x:c>
      <x:c r="CJ69" s="60" t="n">
        <x:v>69.1039</x:v>
      </x:c>
      <x:c r="CK69" s="60" t="n">
        <x:v>69.3507</x:v>
      </x:c>
      <x:c r="CL69" s="60" t="n">
        <x:v>69.5998</x:v>
      </x:c>
      <x:c r="CM69" s="60" t="n">
        <x:v>69.9013</x:v>
      </x:c>
      <x:c r="CN69" s="60" t="n">
        <x:v>70.1348</x:v>
      </x:c>
      <x:c r="CO69" s="60" t="n">
        <x:v>70.3983</x:v>
      </x:c>
      <x:c r="CP69" s="60" t="n">
        <x:v>70.6666</x:v>
      </x:c>
      <x:c r="CQ69" s="60" t="n">
        <x:v>70.9478</x:v>
      </x:c>
      <x:c r="CR69" s="60" t="n">
        <x:v>71.2778</x:v>
      </x:c>
      <x:c r="CS69" s="60" t="n">
        <x:v>71.5877</x:v>
      </x:c>
      <x:c r="CT69" s="60" t="n">
        <x:v>71.952</x:v>
      </x:c>
      <x:c r="CU69" s="60" t="n">
        <x:v>72.3157</x:v>
      </x:c>
      <x:c r="CV69" s="60" t="n">
        <x:v>72.7295</x:v>
      </x:c>
      <x:c r="CW69" s="60" t="n">
        <x:v>73.1199</x:v>
      </x:c>
      <x:c r="CX69" s="60" t="n">
        <x:v>73.5518</x:v>
      </x:c>
      <x:c r="CY69" s="60" t="n">
        <x:v>74.0487</x:v>
      </x:c>
      <x:c r="CZ69" s="60" t="n">
        <x:v>74.6999</x:v>
      </x:c>
      <x:c r="DA69" s="60" t="n">
        <x:v>75.7553</x:v>
      </x:c>
      <x:c r="DB69" s="60" t="n">
        <x:v>79.4417</x:v>
      </x:c>
    </x:row>
    <x:row r="70">
      <x:c r="A70" t="str">
        <x:v>マリルリ-1</x:v>
      </x:c>
      <x:c r="B70" t="str">
        <x:v>マリルリ</x:v>
      </x:c>
      <x:c r="C70" t="str">
        <x:v>共通</x:v>
      </x:c>
      <x:c r="D70" s="60" t="n">
        <x:v>62.225</x:v>
      </x:c>
      <x:c r="E70" s="60" t="n">
        <x:v>12.501</x:v>
      </x:c>
      <x:c r="F70" s="60" t="n">
        <x:v>26.9918</x:v>
      </x:c>
      <x:c r="G70" s="60" t="n">
        <x:v>35.0541</x:v>
      </x:c>
      <x:c r="H70" s="60" t="n">
        <x:v>36.4027</x:v>
      </x:c>
      <x:c r="I70" s="60" t="n">
        <x:v>37.4922</x:v>
      </x:c>
      <x:c r="J70" s="60" t="n">
        <x:v>38.6085</x:v>
      </x:c>
      <x:c r="K70" s="60" t="n">
        <x:v>39.581</x:v>
      </x:c>
      <x:c r="L70" s="60" t="n">
        <x:v>40.6559</x:v>
      </x:c>
      <x:c r="M70" s="60" t="n">
        <x:v>41.5528</x:v>
      </x:c>
      <x:c r="N70" s="60" t="n">
        <x:v>42.5091</x:v>
      </x:c>
      <x:c r="O70" s="60" t="n">
        <x:v>43.4145</x:v>
      </x:c>
      <x:c r="P70" s="60" t="n">
        <x:v>44.1788</x:v>
      </x:c>
      <x:c r="Q70" s="60" t="n">
        <x:v>44.9787</x:v>
      </x:c>
      <x:c r="R70" s="60" t="n">
        <x:v>45.7166</x:v>
      </x:c>
      <x:c r="S70" s="60" t="n">
        <x:v>46.3212</x:v>
      </x:c>
      <x:c r="T70" s="60" t="n">
        <x:v>47.0066</x:v>
      </x:c>
      <x:c r="U70" s="60" t="n">
        <x:v>47.6272</x:v>
      </x:c>
      <x:c r="V70" s="60" t="n">
        <x:v>48.2341</x:v>
      </x:c>
      <x:c r="W70" s="60" t="n">
        <x:v>48.7936</x:v>
      </x:c>
      <x:c r="X70" s="60" t="n">
        <x:v>49.3689</x:v>
      </x:c>
      <x:c r="Y70" s="60" t="n">
        <x:v>49.9419</x:v>
      </x:c>
      <x:c r="Z70" s="60" t="n">
        <x:v>50.4864</x:v>
      </x:c>
      <x:c r="AA70" s="60" t="n">
        <x:v>51.0247</x:v>
      </x:c>
      <x:c r="AB70" s="60" t="n">
        <x:v>51.6203</x:v>
      </x:c>
      <x:c r="AC70" s="60" t="n">
        <x:v>52.0631</x:v>
      </x:c>
      <x:c r="AD70" s="60" t="n">
        <x:v>52.5612</x:v>
      </x:c>
      <x:c r="AE70" s="60" t="n">
        <x:v>52.9853</x:v>
      </x:c>
      <x:c r="AF70" s="60" t="n">
        <x:v>53.5144</x:v>
      </x:c>
      <x:c r="AG70" s="60" t="n">
        <x:v>53.9795</x:v>
      </x:c>
      <x:c r="AH70" s="60" t="n">
        <x:v>54.4637</x:v>
      </x:c>
      <x:c r="AI70" s="60" t="n">
        <x:v>54.9447</x:v>
      </x:c>
      <x:c r="AJ70" s="60" t="n">
        <x:v>55.4279</x:v>
      </x:c>
      <x:c r="AK70" s="60" t="n">
        <x:v>55.9139</x:v>
      </x:c>
      <x:c r="AL70" s="60" t="n">
        <x:v>56.3311</x:v>
      </x:c>
      <x:c r="AM70" s="60" t="n">
        <x:v>56.7882</x:v>
      </x:c>
      <x:c r="AN70" s="60" t="n">
        <x:v>57.2246</x:v>
      </x:c>
      <x:c r="AO70" s="60" t="n">
        <x:v>57.6734</x:v>
      </x:c>
      <x:c r="AP70" s="60" t="n">
        <x:v>58.0787</x:v>
      </x:c>
      <x:c r="AQ70" s="60" t="n">
        <x:v>58.5007</x:v>
      </x:c>
      <x:c r="AR70" s="60" t="n">
        <x:v>58.8325</x:v>
      </x:c>
      <x:c r="AS70" s="60" t="n">
        <x:v>59.2106</x:v>
      </x:c>
      <x:c r="AT70" s="60" t="n">
        <x:v>59.6079</x:v>
      </x:c>
      <x:c r="AU70" s="60" t="n">
        <x:v>59.9786</x:v>
      </x:c>
      <x:c r="AV70" s="60" t="n">
        <x:v>60.3829</x:v>
      </x:c>
      <x:c r="AW70" s="60" t="n">
        <x:v>60.7883</x:v>
      </x:c>
      <x:c r="AX70" s="60" t="n">
        <x:v>61.1269</x:v>
      </x:c>
      <x:c r="AY70" s="60" t="n">
        <x:v>61.5483</x:v>
      </x:c>
      <x:c r="AZ70" s="60" t="n">
        <x:v>61.8884</x:v>
      </x:c>
      <x:c r="BA70" s="60" t="n">
        <x:v>62.2474</x:v>
      </x:c>
      <x:c r="BB70" s="60" t="n">
        <x:v>62.6296</x:v>
      </x:c>
      <x:c r="BC70" s="60" t="n">
        <x:v>63.0301</x:v>
      </x:c>
      <x:c r="BD70" s="60" t="n">
        <x:v>63.4136</x:v>
      </x:c>
      <x:c r="BE70" s="60" t="n">
        <x:v>63.8321</x:v>
      </x:c>
      <x:c r="BF70" s="60" t="n">
        <x:v>64.2173</x:v>
      </x:c>
      <x:c r="BG70" s="60" t="n">
        <x:v>64.6052</x:v>
      </x:c>
      <x:c r="BH70" s="60" t="n">
        <x:v>64.9508</x:v>
      </x:c>
      <x:c r="BI70" s="60" t="n">
        <x:v>65.2982</x:v>
      </x:c>
      <x:c r="BJ70" s="60" t="n">
        <x:v>65.6884</x:v>
      </x:c>
      <x:c r="BK70" s="60" t="n">
        <x:v>66.0262</x:v>
      </x:c>
      <x:c r="BL70" s="60" t="n">
        <x:v>66.328</x:v>
      </x:c>
      <x:c r="BM70" s="60" t="n">
        <x:v>66.7133</x:v>
      </x:c>
      <x:c r="BN70" s="60" t="n">
        <x:v>67.0573</x:v>
      </x:c>
      <x:c r="BO70" s="60" t="n">
        <x:v>67.4263</x:v>
      </x:c>
      <x:c r="BP70" s="60" t="n">
        <x:v>67.7632</x:v>
      </x:c>
      <x:c r="BQ70" s="60" t="n">
        <x:v>68.1227</x:v>
      </x:c>
      <x:c r="BR70" s="60" t="n">
        <x:v>68.4544</x:v>
      </x:c>
      <x:c r="BS70" s="60" t="n">
        <x:v>68.782</x:v>
      </x:c>
      <x:c r="BT70" s="60" t="n">
        <x:v>69.1337</x:v>
      </x:c>
      <x:c r="BU70" s="60" t="n">
        <x:v>69.5478</x:v>
      </x:c>
      <x:c r="BV70" s="60" t="n">
        <x:v>69.8979</x:v>
      </x:c>
      <x:c r="BW70" s="60" t="n">
        <x:v>70.2378</x:v>
      </x:c>
      <x:c r="BX70" s="60" t="n">
        <x:v>70.6204</x:v>
      </x:c>
      <x:c r="BY70" s="60" t="n">
        <x:v>70.9406</x:v>
      </x:c>
      <x:c r="BZ70" s="60" t="n">
        <x:v>71.2541</x:v>
      </x:c>
      <x:c r="CA70" s="60" t="n">
        <x:v>71.5974</x:v>
      </x:c>
      <x:c r="CB70" s="60" t="n">
        <x:v>71.9687</x:v>
      </x:c>
      <x:c r="CC70" s="60" t="n">
        <x:v>72.3128</x:v>
      </x:c>
      <x:c r="CD70" s="60" t="n">
        <x:v>72.6457</x:v>
      </x:c>
      <x:c r="CE70" s="60" t="n">
        <x:v>72.9786</x:v>
      </x:c>
      <x:c r="CF70" s="60" t="n">
        <x:v>73.2958</x:v>
      </x:c>
      <x:c r="CG70" s="60" t="n">
        <x:v>73.6585</x:v>
      </x:c>
      <x:c r="CH70" s="60" t="n">
        <x:v>74.0298</x:v>
      </x:c>
      <x:c r="CI70" s="60" t="n">
        <x:v>74.4062</x:v>
      </x:c>
      <x:c r="CJ70" s="60" t="n">
        <x:v>74.7522</x:v>
      </x:c>
      <x:c r="CK70" s="60" t="n">
        <x:v>75.135</x:v>
      </x:c>
      <x:c r="CL70" s="60" t="n">
        <x:v>75.5303</x:v>
      </x:c>
      <x:c r="CM70" s="60" t="n">
        <x:v>75.8988</x:v>
      </x:c>
      <x:c r="CN70" s="60" t="n">
        <x:v>76.3559</x:v>
      </x:c>
      <x:c r="CO70" s="60" t="n">
        <x:v>76.7645</x:v>
      </x:c>
      <x:c r="CP70" s="60" t="n">
        <x:v>77.1717</x:v>
      </x:c>
      <x:c r="CQ70" s="60" t="n">
        <x:v>77.5794</x:v>
      </x:c>
      <x:c r="CR70" s="60" t="n">
        <x:v>78.0476</x:v>
      </x:c>
      <x:c r="CS70" s="60" t="n">
        <x:v>78.4801</x:v>
      </x:c>
      <x:c r="CT70" s="60" t="n">
        <x:v>78.9668</x:v>
      </x:c>
      <x:c r="CU70" s="60" t="n">
        <x:v>79.4884</x:v>
      </x:c>
      <x:c r="CV70" s="60" t="n">
        <x:v>79.991</x:v>
      </x:c>
      <x:c r="CW70" s="60" t="n">
        <x:v>80.5084</x:v>
      </x:c>
      <x:c r="CX70" s="60" t="n">
        <x:v>81.1355</x:v>
      </x:c>
      <x:c r="CY70" s="60" t="n">
        <x:v>81.8758</x:v>
      </x:c>
      <x:c r="CZ70" s="60" t="n">
        <x:v>82.7861</x:v>
      </x:c>
      <x:c r="DA70" s="60" t="n">
        <x:v>83.788</x:v>
      </x:c>
      <x:c r="DB70" s="60" t="n">
        <x:v>86.5279</x:v>
      </x:c>
    </x:row>
    <x:row r="71">
      <x:c r="A71" t="str">
        <x:v>ミミッキュ-1</x:v>
      </x:c>
      <x:c r="B71" t="str">
        <x:v>ミミッキュ</x:v>
      </x:c>
      <x:c r="C71" t="str">
        <x:v>じゃれつく</x:v>
      </x:c>
      <x:c r="D71" s="60" t="n">
        <x:v>60.5165</x:v>
      </x:c>
      <x:c r="E71" s="60" t="n">
        <x:v>13.2149</x:v>
      </x:c>
      <x:c r="F71" s="60" t="n">
        <x:v>25.6774</x:v>
      </x:c>
      <x:c r="G71" s="60" t="n">
        <x:v>32.6541</x:v>
      </x:c>
      <x:c r="H71" s="60" t="n">
        <x:v>34.2853</x:v>
      </x:c>
      <x:c r="I71" s="60" t="n">
        <x:v>35.5542</x:v>
      </x:c>
      <x:c r="J71" s="60" t="n">
        <x:v>36.5328</x:v>
      </x:c>
      <x:c r="K71" s="60" t="n">
        <x:v>37.5567</x:v>
      </x:c>
      <x:c r="L71" s="60" t="n">
        <x:v>38.5883</x:v>
      </x:c>
      <x:c r="M71" s="60" t="n">
        <x:v>39.6093</x:v>
      </x:c>
      <x:c r="N71" s="60" t="n">
        <x:v>40.4441</x:v>
      </x:c>
      <x:c r="O71" s="60" t="n">
        <x:v>41.198</x:v>
      </x:c>
      <x:c r="P71" s="60" t="n">
        <x:v>41.9081</x:v>
      </x:c>
      <x:c r="Q71" s="60" t="n">
        <x:v>42.6722</x:v>
      </x:c>
      <x:c r="R71" s="60" t="n">
        <x:v>43.4926</x:v>
      </x:c>
      <x:c r="S71" s="60" t="n">
        <x:v>44.1772</x:v>
      </x:c>
      <x:c r="T71" s="60" t="n">
        <x:v>44.8709</x:v>
      </x:c>
      <x:c r="U71" s="60" t="n">
        <x:v>45.4532</x:v>
      </x:c>
      <x:c r="V71" s="60" t="n">
        <x:v>46.0981</x:v>
      </x:c>
      <x:c r="W71" s="60" t="n">
        <x:v>46.6742</x:v>
      </x:c>
      <x:c r="X71" s="60" t="n">
        <x:v>47.1936</x:v>
      </x:c>
      <x:c r="Y71" s="60" t="n">
        <x:v>47.7647</x:v>
      </x:c>
      <x:c r="Z71" s="60" t="n">
        <x:v>48.2863</x:v>
      </x:c>
      <x:c r="AA71" s="60" t="n">
        <x:v>48.8231</x:v>
      </x:c>
      <x:c r="AB71" s="60" t="n">
        <x:v>49.2939</x:v>
      </x:c>
      <x:c r="AC71" s="60" t="n">
        <x:v>49.7862</x:v>
      </x:c>
      <x:c r="AD71" s="60" t="n">
        <x:v>50.2757</x:v>
      </x:c>
      <x:c r="AE71" s="60" t="n">
        <x:v>50.7672</x:v>
      </x:c>
      <x:c r="AF71" s="60" t="n">
        <x:v>51.2134</x:v>
      </x:c>
      <x:c r="AG71" s="60" t="n">
        <x:v>51.6522</x:v>
      </x:c>
      <x:c r="AH71" s="60" t="n">
        <x:v>52.1109</x:v>
      </x:c>
      <x:c r="AI71" s="60" t="n">
        <x:v>52.5358</x:v>
      </x:c>
      <x:c r="AJ71" s="60" t="n">
        <x:v>52.9981</x:v>
      </x:c>
      <x:c r="AK71" s="60" t="n">
        <x:v>53.4608</x:v>
      </x:c>
      <x:c r="AL71" s="60" t="n">
        <x:v>53.8877</x:v>
      </x:c>
      <x:c r="AM71" s="60" t="n">
        <x:v>54.2967</x:v>
      </x:c>
      <x:c r="AN71" s="60" t="n">
        <x:v>54.721</x:v>
      </x:c>
      <x:c r="AO71" s="60" t="n">
        <x:v>55.1701</x:v>
      </x:c>
      <x:c r="AP71" s="60" t="n">
        <x:v>55.6174</x:v>
      </x:c>
      <x:c r="AQ71" s="60" t="n">
        <x:v>56.087</x:v>
      </x:c>
      <x:c r="AR71" s="60" t="n">
        <x:v>56.5226</x:v>
      </x:c>
      <x:c r="AS71" s="60" t="n">
        <x:v>56.9118</x:v>
      </x:c>
      <x:c r="AT71" s="60" t="n">
        <x:v>57.3444</x:v>
      </x:c>
      <x:c r="AU71" s="60" t="n">
        <x:v>57.7187</x:v>
      </x:c>
      <x:c r="AV71" s="60" t="n">
        <x:v>58.0488</x:v>
      </x:c>
      <x:c r="AW71" s="60" t="n">
        <x:v>58.4462</x:v>
      </x:c>
      <x:c r="AX71" s="60" t="n">
        <x:v>58.8352</x:v>
      </x:c>
      <x:c r="AY71" s="60" t="n">
        <x:v>59.2495</x:v>
      </x:c>
      <x:c r="AZ71" s="60" t="n">
        <x:v>59.6576</x:v>
      </x:c>
      <x:c r="BA71" s="60" t="n">
        <x:v>60.0238</x:v>
      </x:c>
      <x:c r="BB71" s="60" t="n">
        <x:v>60.4132</x:v>
      </x:c>
      <x:c r="BC71" s="60" t="n">
        <x:v>60.7777</x:v>
      </x:c>
      <x:c r="BD71" s="60" t="n">
        <x:v>61.1594</x:v>
      </x:c>
      <x:c r="BE71" s="60" t="n">
        <x:v>61.5202</x:v>
      </x:c>
      <x:c r="BF71" s="60" t="n">
        <x:v>61.9394</x:v>
      </x:c>
      <x:c r="BG71" s="60" t="n">
        <x:v>62.3191</x:v>
      </x:c>
      <x:c r="BH71" s="60" t="n">
        <x:v>62.686</x:v>
      </x:c>
      <x:c r="BI71" s="60" t="n">
        <x:v>63.0675</x:v>
      </x:c>
      <x:c r="BJ71" s="60" t="n">
        <x:v>63.4081</x:v>
      </x:c>
      <x:c r="BK71" s="60" t="n">
        <x:v>63.7946</x:v>
      </x:c>
      <x:c r="BL71" s="60" t="n">
        <x:v>64.1413</x:v>
      </x:c>
      <x:c r="BM71" s="60" t="n">
        <x:v>64.5147</x:v>
      </x:c>
      <x:c r="BN71" s="60" t="n">
        <x:v>64.9251</x:v>
      </x:c>
      <x:c r="BO71" s="60" t="n">
        <x:v>65.3107</x:v>
      </x:c>
      <x:c r="BP71" s="60" t="n">
        <x:v>65.6765</x:v>
      </x:c>
      <x:c r="BQ71" s="60" t="n">
        <x:v>66.0497</x:v>
      </x:c>
      <x:c r="BR71" s="60" t="n">
        <x:v>66.4282</x:v>
      </x:c>
      <x:c r="BS71" s="60" t="n">
        <x:v>66.7845</x:v>
      </x:c>
      <x:c r="BT71" s="60" t="n">
        <x:v>67.1607</x:v>
      </x:c>
      <x:c r="BU71" s="60" t="n">
        <x:v>67.5944</x:v>
      </x:c>
      <x:c r="BV71" s="60" t="n">
        <x:v>67.9225</x:v>
      </x:c>
      <x:c r="BW71" s="60" t="n">
        <x:v>68.3001</x:v>
      </x:c>
      <x:c r="BX71" s="60" t="n">
        <x:v>68.667</x:v>
      </x:c>
      <x:c r="BY71" s="60" t="n">
        <x:v>69.0749</x:v>
      </x:c>
      <x:c r="BZ71" s="60" t="n">
        <x:v>69.4595</x:v>
      </x:c>
      <x:c r="CA71" s="60" t="n">
        <x:v>69.868</x:v>
      </x:c>
      <x:c r="CB71" s="60" t="n">
        <x:v>70.3124</x:v>
      </x:c>
      <x:c r="CC71" s="60" t="n">
        <x:v>70.7361</x:v>
      </x:c>
      <x:c r="CD71" s="60" t="n">
        <x:v>71.1525</x:v>
      </x:c>
      <x:c r="CE71" s="60" t="n">
        <x:v>71.5645</x:v>
      </x:c>
      <x:c r="CF71" s="60" t="n">
        <x:v>72.0026</x:v>
      </x:c>
      <x:c r="CG71" s="60" t="n">
        <x:v>72.4369</x:v>
      </x:c>
      <x:c r="CH71" s="60" t="n">
        <x:v>72.838</x:v>
      </x:c>
      <x:c r="CI71" s="60" t="n">
        <x:v>73.2474</x:v>
      </x:c>
      <x:c r="CJ71" s="60" t="n">
        <x:v>73.676</x:v>
      </x:c>
      <x:c r="CK71" s="60" t="n">
        <x:v>74.1409</x:v>
      </x:c>
      <x:c r="CL71" s="60" t="n">
        <x:v>74.6396</x:v>
      </x:c>
      <x:c r="CM71" s="60" t="n">
        <x:v>75.0959</x:v>
      </x:c>
      <x:c r="CN71" s="60" t="n">
        <x:v>75.5436</x:v>
      </x:c>
      <x:c r="CO71" s="60" t="n">
        <x:v>76.1174</x:v>
      </x:c>
      <x:c r="CP71" s="60" t="n">
        <x:v>76.6271</x:v>
      </x:c>
      <x:c r="CQ71" s="60" t="n">
        <x:v>77.1872</x:v>
      </x:c>
      <x:c r="CR71" s="60" t="n">
        <x:v>77.6844</x:v>
      </x:c>
      <x:c r="CS71" s="60" t="n">
        <x:v>78.2978</x:v>
      </x:c>
      <x:c r="CT71" s="60" t="n">
        <x:v>78.9387</x:v>
      </x:c>
      <x:c r="CU71" s="60" t="n">
        <x:v>79.6132</x:v>
      </x:c>
      <x:c r="CV71" s="60" t="n">
        <x:v>80.4724</x:v>
      </x:c>
      <x:c r="CW71" s="60" t="n">
        <x:v>81.2271</x:v>
      </x:c>
      <x:c r="CX71" s="60" t="n">
        <x:v>82.1673</x:v>
      </x:c>
      <x:c r="CY71" s="60" t="n">
        <x:v>83.2149</x:v>
      </x:c>
      <x:c r="CZ71" s="60" t="n">
        <x:v>84.4144</x:v>
      </x:c>
      <x:c r="DA71" s="60" t="n">
        <x:v>85.9296</x:v>
      </x:c>
      <x:c r="DB71" s="60" t="n">
        <x:v>91.3174</x:v>
      </x:c>
    </x:row>
    <x:row r="72">
      <x:c r="A72" t="str">
        <x:v>ミミッキュ-2</x:v>
      </x:c>
      <x:c r="B72" t="str">
        <x:v>ミミッキュ</x:v>
      </x:c>
      <x:c r="C72" t="str">
        <x:v>シャドークロー</x:v>
      </x:c>
      <x:c r="D72" s="60" t="n">
        <x:v>61.7684</x:v>
      </x:c>
      <x:c r="E72" s="60" t="n">
        <x:v>10.5037</x:v>
      </x:c>
      <x:c r="F72" s="60" t="n">
        <x:v>29.8737</x:v>
      </x:c>
      <x:c r="G72" s="60" t="n">
        <x:v>38.3037</x:v>
      </x:c>
      <x:c r="H72" s="60" t="n">
        <x:v>39.8667</x:v>
      </x:c>
      <x:c r="I72" s="60" t="n">
        <x:v>41.0342</x:v>
      </x:c>
      <x:c r="J72" s="60" t="n">
        <x:v>42.0283</x:v>
      </x:c>
      <x:c r="K72" s="60" t="n">
        <x:v>42.9162</x:v>
      </x:c>
      <x:c r="L72" s="60" t="n">
        <x:v>43.7332</x:v>
      </x:c>
      <x:c r="M72" s="60" t="n">
        <x:v>44.3564</x:v>
      </x:c>
      <x:c r="N72" s="60" t="n">
        <x:v>45.1456</x:v>
      </x:c>
      <x:c r="O72" s="60" t="n">
        <x:v>45.8467</x:v>
      </x:c>
      <x:c r="P72" s="60" t="n">
        <x:v>46.4974</x:v>
      </x:c>
      <x:c r="Q72" s="60" t="n">
        <x:v>47.2128</x:v>
      </x:c>
      <x:c r="R72" s="60" t="n">
        <x:v>47.822</x:v>
      </x:c>
      <x:c r="S72" s="60" t="n">
        <x:v>48.4637</x:v>
      </x:c>
      <x:c r="T72" s="60" t="n">
        <x:v>49.0648</x:v>
      </x:c>
      <x:c r="U72" s="60" t="n">
        <x:v>49.6283</x:v>
      </x:c>
      <x:c r="V72" s="60" t="n">
        <x:v>50.2311</x:v>
      </x:c>
      <x:c r="W72" s="60" t="n">
        <x:v>50.6777</x:v>
      </x:c>
      <x:c r="X72" s="60" t="n">
        <x:v>51.1001</x:v>
      </x:c>
      <x:c r="Y72" s="60" t="n">
        <x:v>51.6289</x:v>
      </x:c>
      <x:c r="Z72" s="60" t="n">
        <x:v>52.0657</x:v>
      </x:c>
      <x:c r="AA72" s="60" t="n">
        <x:v>52.5246</x:v>
      </x:c>
      <x:c r="AB72" s="60" t="n">
        <x:v>52.9469</x:v>
      </x:c>
      <x:c r="AC72" s="60" t="n">
        <x:v>53.3909</x:v>
      </x:c>
      <x:c r="AD72" s="60" t="n">
        <x:v>53.7972</x:v>
      </x:c>
      <x:c r="AE72" s="60" t="n">
        <x:v>54.1986</x:v>
      </x:c>
      <x:c r="AF72" s="60" t="n">
        <x:v>54.5615</x:v>
      </x:c>
      <x:c r="AG72" s="60" t="n">
        <x:v>54.9458</x:v>
      </x:c>
      <x:c r="AH72" s="60" t="n">
        <x:v>55.3493</x:v>
      </x:c>
      <x:c r="AI72" s="60" t="n">
        <x:v>55.736</x:v>
      </x:c>
      <x:c r="AJ72" s="60" t="n">
        <x:v>56.1408</x:v>
      </x:c>
      <x:c r="AK72" s="60" t="n">
        <x:v>56.5523</x:v>
      </x:c>
      <x:c r="AL72" s="60" t="n">
        <x:v>56.9019</x:v>
      </x:c>
      <x:c r="AM72" s="60" t="n">
        <x:v>57.2424</x:v>
      </x:c>
      <x:c r="AN72" s="60" t="n">
        <x:v>57.5798</x:v>
      </x:c>
      <x:c r="AO72" s="60" t="n">
        <x:v>57.9527</x:v>
      </x:c>
      <x:c r="AP72" s="60" t="n">
        <x:v>58.2763</x:v>
      </x:c>
      <x:c r="AQ72" s="60" t="n">
        <x:v>58.6275</x:v>
      </x:c>
      <x:c r="AR72" s="60" t="n">
        <x:v>58.9725</x:v>
      </x:c>
      <x:c r="AS72" s="60" t="n">
        <x:v>59.2489</x:v>
      </x:c>
      <x:c r="AT72" s="60" t="n">
        <x:v>59.5722</x:v>
      </x:c>
      <x:c r="AU72" s="60" t="n">
        <x:v>59.8722</x:v>
      </x:c>
      <x:c r="AV72" s="60" t="n">
        <x:v>60.2078</x:v>
      </x:c>
      <x:c r="AW72" s="60" t="n">
        <x:v>60.5718</x:v>
      </x:c>
      <x:c r="AX72" s="60" t="n">
        <x:v>60.8702</x:v>
      </x:c>
      <x:c r="AY72" s="60" t="n">
        <x:v>61.2302</x:v>
      </x:c>
      <x:c r="AZ72" s="60" t="n">
        <x:v>61.5446</x:v>
      </x:c>
      <x:c r="BA72" s="60" t="n">
        <x:v>61.8946</x:v>
      </x:c>
      <x:c r="BB72" s="60" t="n">
        <x:v>62.1751</x:v>
      </x:c>
      <x:c r="BC72" s="60" t="n">
        <x:v>62.4734</x:v>
      </x:c>
      <x:c r="BD72" s="60" t="n">
        <x:v>62.7717</x:v>
      </x:c>
      <x:c r="BE72" s="60" t="n">
        <x:v>63.0714</x:v>
      </x:c>
      <x:c r="BF72" s="60" t="n">
        <x:v>63.3466</x:v>
      </x:c>
      <x:c r="BG72" s="60" t="n">
        <x:v>63.64</x:v>
      </x:c>
      <x:c r="BH72" s="60" t="n">
        <x:v>63.9723</x:v>
      </x:c>
      <x:c r="BI72" s="60" t="n">
        <x:v>64.3163</x:v>
      </x:c>
      <x:c r="BJ72" s="60" t="n">
        <x:v>64.6241</x:v>
      </x:c>
      <x:c r="BK72" s="60" t="n">
        <x:v>64.8862</x:v>
      </x:c>
      <x:c r="BL72" s="60" t="n">
        <x:v>65.212</x:v>
      </x:c>
      <x:c r="BM72" s="60" t="n">
        <x:v>65.4852</x:v>
      </x:c>
      <x:c r="BN72" s="60" t="n">
        <x:v>65.8011</x:v>
      </x:c>
      <x:c r="BO72" s="60" t="n">
        <x:v>66.0975</x:v>
      </x:c>
      <x:c r="BP72" s="60" t="n">
        <x:v>66.3782</x:v>
      </x:c>
      <x:c r="BQ72" s="60" t="n">
        <x:v>66.6752</x:v>
      </x:c>
      <x:c r="BR72" s="60" t="n">
        <x:v>66.9555</x:v>
      </x:c>
      <x:c r="BS72" s="60" t="n">
        <x:v>67.2676</x:v>
      </x:c>
      <x:c r="BT72" s="60" t="n">
        <x:v>67.5573</x:v>
      </x:c>
      <x:c r="BU72" s="60" t="n">
        <x:v>67.8434</x:v>
      </x:c>
      <x:c r="BV72" s="60" t="n">
        <x:v>68.1051</x:v>
      </x:c>
      <x:c r="BW72" s="60" t="n">
        <x:v>68.4035</x:v>
      </x:c>
      <x:c r="BX72" s="60" t="n">
        <x:v>68.7203</x:v>
      </x:c>
      <x:c r="BY72" s="60" t="n">
        <x:v>69.011</x:v>
      </x:c>
      <x:c r="BZ72" s="60" t="n">
        <x:v>69.2691</x:v>
      </x:c>
      <x:c r="CA72" s="60" t="n">
        <x:v>69.5866</x:v>
      </x:c>
      <x:c r="CB72" s="60" t="n">
        <x:v>69.8674</x:v>
      </x:c>
      <x:c r="CC72" s="60" t="n">
        <x:v>70.1934</x:v>
      </x:c>
      <x:c r="CD72" s="60" t="n">
        <x:v>70.5154</x:v>
      </x:c>
      <x:c r="CE72" s="60" t="n">
        <x:v>70.7889</x:v>
      </x:c>
      <x:c r="CF72" s="60" t="n">
        <x:v>71.0631</x:v>
      </x:c>
      <x:c r="CG72" s="60" t="n">
        <x:v>71.3751</x:v>
      </x:c>
      <x:c r="CH72" s="60" t="n">
        <x:v>71.6854</x:v>
      </x:c>
      <x:c r="CI72" s="60" t="n">
        <x:v>72.0194</x:v>
      </x:c>
      <x:c r="CJ72" s="60" t="n">
        <x:v>72.3216</x:v>
      </x:c>
      <x:c r="CK72" s="60" t="n">
        <x:v>72.6422</x:v>
      </x:c>
      <x:c r="CL72" s="60" t="n">
        <x:v>72.9411</x:v>
      </x:c>
      <x:c r="CM72" s="60" t="n">
        <x:v>73.2707</x:v>
      </x:c>
      <x:c r="CN72" s="60" t="n">
        <x:v>73.656</x:v>
      </x:c>
      <x:c r="CO72" s="60" t="n">
        <x:v>73.9717</x:v>
      </x:c>
      <x:c r="CP72" s="60" t="n">
        <x:v>74.3448</x:v>
      </x:c>
      <x:c r="CQ72" s="60" t="n">
        <x:v>74.6957</x:v>
      </x:c>
      <x:c r="CR72" s="60" t="n">
        <x:v>75.0786</x:v>
      </x:c>
      <x:c r="CS72" s="60" t="n">
        <x:v>75.4746</x:v>
      </x:c>
      <x:c r="CT72" s="60" t="n">
        <x:v>75.8578</x:v>
      </x:c>
      <x:c r="CU72" s="60" t="n">
        <x:v>76.2994</x:v>
      </x:c>
      <x:c r="CV72" s="60" t="n">
        <x:v>76.7736</x:v>
      </x:c>
      <x:c r="CW72" s="60" t="n">
        <x:v>77.2114</x:v>
      </x:c>
      <x:c r="CX72" s="60" t="n">
        <x:v>77.6945</x:v>
      </x:c>
      <x:c r="CY72" s="60" t="n">
        <x:v>78.2293</x:v>
      </x:c>
      <x:c r="CZ72" s="60" t="n">
        <x:v>78.8957</x:v>
      </x:c>
      <x:c r="DA72" s="60" t="n">
        <x:v>79.7403</x:v>
      </x:c>
      <x:c r="DB72" s="60" t="n">
        <x:v>82.3519</x:v>
      </x:c>
    </x:row>
    <x:row r="73">
      <x:c r="A73" t="str">
        <x:v>ミュウツー(X)-1</x:v>
      </x:c>
      <x:c r="B73" t="str">
        <x:v>ミュウツー(X)</x:v>
      </x:c>
      <x:c r="C73" t="str">
        <x:v>共通</x:v>
      </x:c>
      <x:c r="D73" s="60" t="n">
        <x:v>62.4013</x:v>
      </x:c>
      <x:c r="E73" s="60" t="n">
        <x:v>5.6473</x:v>
      </x:c>
      <x:c r="F73" s="60" t="n">
        <x:v>42.012</x:v>
      </x:c>
      <x:c r="G73" s="60" t="n">
        <x:v>50.4614</x:v>
      </x:c>
      <x:c r="H73" s="60" t="n">
        <x:v>51.4386</x:v>
      </x:c>
      <x:c r="I73" s="60" t="n">
        <x:v>52.1246</x:v>
      </x:c>
      <x:c r="J73" s="60" t="n">
        <x:v>52.6461</x:v>
      </x:c>
      <x:c r="K73" s="60" t="n">
        <x:v>53.1263</x:v>
      </x:c>
      <x:c r="L73" s="60" t="n">
        <x:v>53.5305</x:v>
      </x:c>
      <x:c r="M73" s="60" t="n">
        <x:v>53.8933</x:v>
      </x:c>
      <x:c r="N73" s="60" t="n">
        <x:v>54.2147</x:v>
      </x:c>
      <x:c r="O73" s="60" t="n">
        <x:v>54.5394</x:v>
      </x:c>
      <x:c r="P73" s="60" t="n">
        <x:v>54.857</x:v>
      </x:c>
      <x:c r="Q73" s="60" t="n">
        <x:v>55.1379</x:v>
      </x:c>
      <x:c r="R73" s="60" t="n">
        <x:v>55.4606</x:v>
      </x:c>
      <x:c r="S73" s="60" t="n">
        <x:v>55.6877</x:v>
      </x:c>
      <x:c r="T73" s="60" t="n">
        <x:v>55.9628</x:v>
      </x:c>
      <x:c r="U73" s="60" t="n">
        <x:v>56.1955</x:v>
      </x:c>
      <x:c r="V73" s="60" t="n">
        <x:v>56.4153</x:v>
      </x:c>
      <x:c r="W73" s="60" t="n">
        <x:v>56.6733</x:v>
      </x:c>
      <x:c r="X73" s="60" t="n">
        <x:v>56.9112</x:v>
      </x:c>
      <x:c r="Y73" s="60" t="n">
        <x:v>57.125</x:v>
      </x:c>
      <x:c r="Z73" s="60" t="n">
        <x:v>57.3339</x:v>
      </x:c>
      <x:c r="AA73" s="60" t="n">
        <x:v>57.5325</x:v>
      </x:c>
      <x:c r="AB73" s="60" t="n">
        <x:v>57.7506</x:v>
      </x:c>
      <x:c r="AC73" s="60" t="n">
        <x:v>57.9441</x:v>
      </x:c>
      <x:c r="AD73" s="60" t="n">
        <x:v>58.149</x:v>
      </x:c>
      <x:c r="AE73" s="60" t="n">
        <x:v>58.3245</x:v>
      </x:c>
      <x:c r="AF73" s="60" t="n">
        <x:v>58.5076</x:v>
      </x:c>
      <x:c r="AG73" s="60" t="n">
        <x:v>58.6942</x:v>
      </x:c>
      <x:c r="AH73" s="60" t="n">
        <x:v>58.8803</x:v>
      </x:c>
      <x:c r="AI73" s="60" t="n">
        <x:v>59.0548</x:v>
      </x:c>
      <x:c r="AJ73" s="60" t="n">
        <x:v>59.217</x:v>
      </x:c>
      <x:c r="AK73" s="60" t="n">
        <x:v>59.3778</x:v>
      </x:c>
      <x:c r="AL73" s="60" t="n">
        <x:v>59.5516</x:v>
      </x:c>
      <x:c r="AM73" s="60" t="n">
        <x:v>59.7062</x:v>
      </x:c>
      <x:c r="AN73" s="60" t="n">
        <x:v>59.8712</x:v>
      </x:c>
      <x:c r="AO73" s="60" t="n">
        <x:v>60.0252</x:v>
      </x:c>
      <x:c r="AP73" s="60" t="n">
        <x:v>60.2061</x:v>
      </x:c>
      <x:c r="AQ73" s="60" t="n">
        <x:v>60.3631</x:v>
      </x:c>
      <x:c r="AR73" s="60" t="n">
        <x:v>60.5061</x:v>
      </x:c>
      <x:c r="AS73" s="60" t="n">
        <x:v>60.6762</x:v>
      </x:c>
      <x:c r="AT73" s="60" t="n">
        <x:v>60.8071</x:v>
      </x:c>
      <x:c r="AU73" s="60" t="n">
        <x:v>60.9747</x:v>
      </x:c>
      <x:c r="AV73" s="60" t="n">
        <x:v>61.1275</x:v>
      </x:c>
      <x:c r="AW73" s="60" t="n">
        <x:v>61.2785</x:v>
      </x:c>
      <x:c r="AX73" s="60" t="n">
        <x:v>61.4359</x:v>
      </x:c>
      <x:c r="AY73" s="60" t="n">
        <x:v>61.6004</x:v>
      </x:c>
      <x:c r="AZ73" s="60" t="n">
        <x:v>61.7568</x:v>
      </x:c>
      <x:c r="BA73" s="60" t="n">
        <x:v>61.9098</x:v>
      </x:c>
      <x:c r="BB73" s="60" t="n">
        <x:v>62.0529</x:v>
      </x:c>
      <x:c r="BC73" s="60" t="n">
        <x:v>62.2056</x:v>
      </x:c>
      <x:c r="BD73" s="60" t="n">
        <x:v>62.3524</x:v>
      </x:c>
      <x:c r="BE73" s="60" t="n">
        <x:v>62.5005</x:v>
      </x:c>
      <x:c r="BF73" s="60" t="n">
        <x:v>62.6469</x:v>
      </x:c>
      <x:c r="BG73" s="60" t="n">
        <x:v>62.8245</x:v>
      </x:c>
      <x:c r="BH73" s="60" t="n">
        <x:v>62.973</x:v>
      </x:c>
      <x:c r="BI73" s="60" t="n">
        <x:v>63.1406</x:v>
      </x:c>
      <x:c r="BJ73" s="60" t="n">
        <x:v>63.2976</x:v>
      </x:c>
      <x:c r="BK73" s="60" t="n">
        <x:v>63.4615</x:v>
      </x:c>
      <x:c r="BL73" s="60" t="n">
        <x:v>63.6226</x:v>
      </x:c>
      <x:c r="BM73" s="60" t="n">
        <x:v>63.8007</x:v>
      </x:c>
      <x:c r="BN73" s="60" t="n">
        <x:v>63.9632</x:v>
      </x:c>
      <x:c r="BO73" s="60" t="n">
        <x:v>64.1083</x:v>
      </x:c>
      <x:c r="BP73" s="60" t="n">
        <x:v>64.2689</x:v>
      </x:c>
      <x:c r="BQ73" s="60" t="n">
        <x:v>64.4295</x:v>
      </x:c>
      <x:c r="BR73" s="60" t="n">
        <x:v>64.5871</x:v>
      </x:c>
      <x:c r="BS73" s="60" t="n">
        <x:v>64.7288</x:v>
      </x:c>
      <x:c r="BT73" s="60" t="n">
        <x:v>64.9014</x:v>
      </x:c>
      <x:c r="BU73" s="60" t="n">
        <x:v>65.0841</x:v>
      </x:c>
      <x:c r="BV73" s="60" t="n">
        <x:v>65.2435</x:v>
      </x:c>
      <x:c r="BW73" s="60" t="n">
        <x:v>65.4085</x:v>
      </x:c>
      <x:c r="BX73" s="60" t="n">
        <x:v>65.5729</x:v>
      </x:c>
      <x:c r="BY73" s="60" t="n">
        <x:v>65.7339</x:v>
      </x:c>
      <x:c r="BZ73" s="60" t="n">
        <x:v>65.9159</x:v>
      </x:c>
      <x:c r="CA73" s="60" t="n">
        <x:v>66.0964</x:v>
      </x:c>
      <x:c r="CB73" s="60" t="n">
        <x:v>66.2759</x:v>
      </x:c>
      <x:c r="CC73" s="60" t="n">
        <x:v>66.5083</x:v>
      </x:c>
      <x:c r="CD73" s="60" t="n">
        <x:v>66.6875</x:v>
      </x:c>
      <x:c r="CE73" s="60" t="n">
        <x:v>66.8705</x:v>
      </x:c>
      <x:c r="CF73" s="60" t="n">
        <x:v>67.0649</x:v>
      </x:c>
      <x:c r="CG73" s="60" t="n">
        <x:v>67.2779</x:v>
      </x:c>
      <x:c r="CH73" s="60" t="n">
        <x:v>67.4997</x:v>
      </x:c>
      <x:c r="CI73" s="60" t="n">
        <x:v>67.742</x:v>
      </x:c>
      <x:c r="CJ73" s="60" t="n">
        <x:v>67.939</x:v>
      </x:c>
      <x:c r="CK73" s="60" t="n">
        <x:v>68.1844</x:v>
      </x:c>
      <x:c r="CL73" s="60" t="n">
        <x:v>68.4071</x:v>
      </x:c>
      <x:c r="CM73" s="60" t="n">
        <x:v>68.6483</x:v>
      </x:c>
      <x:c r="CN73" s="60" t="n">
        <x:v>68.8816</x:v>
      </x:c>
      <x:c r="CO73" s="60" t="n">
        <x:v>69.1328</x:v>
      </x:c>
      <x:c r="CP73" s="60" t="n">
        <x:v>69.4182</x:v>
      </x:c>
      <x:c r="CQ73" s="60" t="n">
        <x:v>69.7273</x:v>
      </x:c>
      <x:c r="CR73" s="60" t="n">
        <x:v>70.0195</x:v>
      </x:c>
      <x:c r="CS73" s="60" t="n">
        <x:v>70.3178</x:v>
      </x:c>
      <x:c r="CT73" s="60" t="n">
        <x:v>70.6325</x:v>
      </x:c>
      <x:c r="CU73" s="60" t="n">
        <x:v>70.9848</x:v>
      </x:c>
      <x:c r="CV73" s="60" t="n">
        <x:v>71.3176</x:v>
      </x:c>
      <x:c r="CW73" s="60" t="n">
        <x:v>71.7314</x:v>
      </x:c>
      <x:c r="CX73" s="60" t="n">
        <x:v>72.1856</x:v>
      </x:c>
      <x:c r="CY73" s="60" t="n">
        <x:v>72.7807</x:v>
      </x:c>
      <x:c r="CZ73" s="60" t="n">
        <x:v>73.4139</x:v>
      </x:c>
      <x:c r="DA73" s="60" t="n">
        <x:v>74.3749</x:v>
      </x:c>
      <x:c r="DB73" s="60" t="n">
        <x:v>78.749</x:v>
      </x:c>
    </x:row>
    <x:row r="74">
      <x:c r="A74" t="str">
        <x:v>メタグロス-1</x:v>
      </x:c>
      <x:c r="B74" t="str">
        <x:v>メタグロス</x:v>
      </x:c>
      <x:c r="C74" t="str">
        <x:v>共通</x:v>
      </x:c>
      <x:c r="D74" s="60" t="n">
        <x:v>62.2078</x:v>
      </x:c>
      <x:c r="E74" s="60" t="n">
        <x:v>9.1391</x:v>
      </x:c>
      <x:c r="F74" s="60" t="n">
        <x:v>34.6866</x:v>
      </x:c>
      <x:c r="G74" s="60" t="n">
        <x:v>41.3833</x:v>
      </x:c>
      <x:c r="H74" s="60" t="n">
        <x:v>42.7092</x:v>
      </x:c>
      <x:c r="I74" s="60" t="n">
        <x:v>43.6526</x:v>
      </x:c>
      <x:c r="J74" s="60" t="n">
        <x:v>44.4293</x:v>
      </x:c>
      <x:c r="K74" s="60" t="n">
        <x:v>45.2072</x:v>
      </x:c>
      <x:c r="L74" s="60" t="n">
        <x:v>45.9166</x:v>
      </x:c>
      <x:c r="M74" s="60" t="n">
        <x:v>46.6469</x:v>
      </x:c>
      <x:c r="N74" s="60" t="n">
        <x:v>47.3727</x:v>
      </x:c>
      <x:c r="O74" s="60" t="n">
        <x:v>48.1103</x:v>
      </x:c>
      <x:c r="P74" s="60" t="n">
        <x:v>48.7321</x:v>
      </x:c>
      <x:c r="Q74" s="60" t="n">
        <x:v>49.3216</x:v>
      </x:c>
      <x:c r="R74" s="60" t="n">
        <x:v>49.8185</x:v>
      </x:c>
      <x:c r="S74" s="60" t="n">
        <x:v>50.3364</x:v>
      </x:c>
      <x:c r="T74" s="60" t="n">
        <x:v>50.8417</x:v>
      </x:c>
      <x:c r="U74" s="60" t="n">
        <x:v>51.3494</x:v>
      </x:c>
      <x:c r="V74" s="60" t="n">
        <x:v>51.8325</x:v>
      </x:c>
      <x:c r="W74" s="60" t="n">
        <x:v>52.3175</x:v>
      </x:c>
      <x:c r="X74" s="60" t="n">
        <x:v>52.7426</x:v>
      </x:c>
      <x:c r="Y74" s="60" t="n">
        <x:v>53.1917</x:v>
      </x:c>
      <x:c r="Z74" s="60" t="n">
        <x:v>53.6275</x:v>
      </x:c>
      <x:c r="AA74" s="60" t="n">
        <x:v>54.0154</x:v>
      </x:c>
      <x:c r="AB74" s="60" t="n">
        <x:v>54.4394</x:v>
      </x:c>
      <x:c r="AC74" s="60" t="n">
        <x:v>54.8576</x:v>
      </x:c>
      <x:c r="AD74" s="60" t="n">
        <x:v>55.2899</x:v>
      </x:c>
      <x:c r="AE74" s="60" t="n">
        <x:v>55.6999</x:v>
      </x:c>
      <x:c r="AF74" s="60" t="n">
        <x:v>56.0393</x:v>
      </x:c>
      <x:c r="AG74" s="60" t="n">
        <x:v>56.3915</x:v>
      </x:c>
      <x:c r="AH74" s="60" t="n">
        <x:v>56.7887</x:v>
      </x:c>
      <x:c r="AI74" s="60" t="n">
        <x:v>57.1573</x:v>
      </x:c>
      <x:c r="AJ74" s="60" t="n">
        <x:v>57.5365</x:v>
      </x:c>
      <x:c r="AK74" s="60" t="n">
        <x:v>57.8856</x:v>
      </x:c>
      <x:c r="AL74" s="60" t="n">
        <x:v>58.2164</x:v>
      </x:c>
      <x:c r="AM74" s="60" t="n">
        <x:v>58.5606</x:v>
      </x:c>
      <x:c r="AN74" s="60" t="n">
        <x:v>58.8892</x:v>
      </x:c>
      <x:c r="AO74" s="60" t="n">
        <x:v>59.2287</x:v>
      </x:c>
      <x:c r="AP74" s="60" t="n">
        <x:v>59.5263</x:v>
      </x:c>
      <x:c r="AQ74" s="60" t="n">
        <x:v>59.8345</x:v>
      </x:c>
      <x:c r="AR74" s="60" t="n">
        <x:v>60.1305</x:v>
      </x:c>
      <x:c r="AS74" s="60" t="n">
        <x:v>60.4259</x:v>
      </x:c>
      <x:c r="AT74" s="60" t="n">
        <x:v>60.7157</x:v>
      </x:c>
      <x:c r="AU74" s="60" t="n">
        <x:v>61.0094</x:v>
      </x:c>
      <x:c r="AV74" s="60" t="n">
        <x:v>61.2878</x:v>
      </x:c>
      <x:c r="AW74" s="60" t="n">
        <x:v>61.5727</x:v>
      </x:c>
      <x:c r="AX74" s="60" t="n">
        <x:v>61.8354</x:v>
      </x:c>
      <x:c r="AY74" s="60" t="n">
        <x:v>62.0986</x:v>
      </x:c>
      <x:c r="AZ74" s="60" t="n">
        <x:v>62.3805</x:v>
      </x:c>
      <x:c r="BA74" s="60" t="n">
        <x:v>62.6763</x:v>
      </x:c>
      <x:c r="BB74" s="60" t="n">
        <x:v>63.0116</x:v>
      </x:c>
      <x:c r="BC74" s="60" t="n">
        <x:v>63.295</x:v>
      </x:c>
      <x:c r="BD74" s="60" t="n">
        <x:v>63.5691</x:v>
      </x:c>
      <x:c r="BE74" s="60" t="n">
        <x:v>63.8341</x:v>
      </x:c>
      <x:c r="BF74" s="60" t="n">
        <x:v>64.0913</x:v>
      </x:c>
      <x:c r="BG74" s="60" t="n">
        <x:v>64.3756</x:v>
      </x:c>
      <x:c r="BH74" s="60" t="n">
        <x:v>64.6295</x:v>
      </x:c>
      <x:c r="BI74" s="60" t="n">
        <x:v>64.8785</x:v>
      </x:c>
      <x:c r="BJ74" s="60" t="n">
        <x:v>65.1418</x:v>
      </x:c>
      <x:c r="BK74" s="60" t="n">
        <x:v>65.3917</x:v>
      </x:c>
      <x:c r="BL74" s="60" t="n">
        <x:v>65.6694</x:v>
      </x:c>
      <x:c r="BM74" s="60" t="n">
        <x:v>65.8922</x:v>
      </x:c>
      <x:c r="BN74" s="60" t="n">
        <x:v>66.1238</x:v>
      </x:c>
      <x:c r="BO74" s="60" t="n">
        <x:v>66.3751</x:v>
      </x:c>
      <x:c r="BP74" s="60" t="n">
        <x:v>66.5962</x:v>
      </x:c>
      <x:c r="BQ74" s="60" t="n">
        <x:v>66.8271</x:v>
      </x:c>
      <x:c r="BR74" s="60" t="n">
        <x:v>67.0721</x:v>
      </x:c>
      <x:c r="BS74" s="60" t="n">
        <x:v>67.3229</x:v>
      </x:c>
      <x:c r="BT74" s="60" t="n">
        <x:v>67.5432</x:v>
      </x:c>
      <x:c r="BU74" s="60" t="n">
        <x:v>67.7942</x:v>
      </x:c>
      <x:c r="BV74" s="60" t="n">
        <x:v>68.0617</x:v>
      </x:c>
      <x:c r="BW74" s="60" t="n">
        <x:v>68.2961</x:v>
      </x:c>
      <x:c r="BX74" s="60" t="n">
        <x:v>68.5487</x:v>
      </x:c>
      <x:c r="BY74" s="60" t="n">
        <x:v>68.7601</x:v>
      </x:c>
      <x:c r="BZ74" s="60" t="n">
        <x:v>68.9825</x:v>
      </x:c>
      <x:c r="CA74" s="60" t="n">
        <x:v>69.2146</x:v>
      </x:c>
      <x:c r="CB74" s="60" t="n">
        <x:v>69.4518</x:v>
      </x:c>
      <x:c r="CC74" s="60" t="n">
        <x:v>69.6781</x:v>
      </x:c>
      <x:c r="CD74" s="60" t="n">
        <x:v>69.896</x:v>
      </x:c>
      <x:c r="CE74" s="60" t="n">
        <x:v>70.1214</x:v>
      </x:c>
      <x:c r="CF74" s="60" t="n">
        <x:v>70.3442</x:v>
      </x:c>
      <x:c r="CG74" s="60" t="n">
        <x:v>70.562</x:v>
      </x:c>
      <x:c r="CH74" s="60" t="n">
        <x:v>70.8099</x:v>
      </x:c>
      <x:c r="CI74" s="60" t="n">
        <x:v>71.0284</x:v>
      </x:c>
      <x:c r="CJ74" s="60" t="n">
        <x:v>71.2546</x:v>
      </x:c>
      <x:c r="CK74" s="60" t="n">
        <x:v>71.501</x:v>
      </x:c>
      <x:c r="CL74" s="60" t="n">
        <x:v>71.7619</x:v>
      </x:c>
      <x:c r="CM74" s="60" t="n">
        <x:v>71.9788</x:v>
      </x:c>
      <x:c r="CN74" s="60" t="n">
        <x:v>72.223</x:v>
      </x:c>
      <x:c r="CO74" s="60" t="n">
        <x:v>72.454</x:v>
      </x:c>
      <x:c r="CP74" s="60" t="n">
        <x:v>72.6868</x:v>
      </x:c>
      <x:c r="CQ74" s="60" t="n">
        <x:v>72.9527</x:v>
      </x:c>
      <x:c r="CR74" s="60" t="n">
        <x:v>73.2243</x:v>
      </x:c>
      <x:c r="CS74" s="60" t="n">
        <x:v>73.5174</x:v>
      </x:c>
      <x:c r="CT74" s="60" t="n">
        <x:v>73.8302</x:v>
      </x:c>
      <x:c r="CU74" s="60" t="n">
        <x:v>74.1364</x:v>
      </x:c>
      <x:c r="CV74" s="60" t="n">
        <x:v>74.477</x:v>
      </x:c>
      <x:c r="CW74" s="60" t="n">
        <x:v>74.8155</x:v>
      </x:c>
      <x:c r="CX74" s="60" t="n">
        <x:v>75.2155</x:v>
      </x:c>
      <x:c r="CY74" s="60" t="n">
        <x:v>75.6711</x:v>
      </x:c>
      <x:c r="CZ74" s="60" t="n">
        <x:v>76.1963</x:v>
      </x:c>
      <x:c r="DA74" s="60" t="n">
        <x:v>76.9756</x:v>
      </x:c>
      <x:c r="DB74" s="60" t="n">
        <x:v>79.4468</x:v>
      </x:c>
    </x:row>
    <x:row r="75">
      <x:c r="A75" t="str">
        <x:v>リザードン-1</x:v>
      </x:c>
      <x:c r="B75" t="str">
        <x:v>リザードン</x:v>
      </x:c>
      <x:c r="C75" t="str">
        <x:v>だいもんじ</x:v>
      </x:c>
      <x:c r="D75" s="60" t="n">
        <x:v>62.1152</x:v>
      </x:c>
      <x:c r="E75" s="60" t="n">
        <x:v>11.296</x:v>
      </x:c>
      <x:c r="F75" s="60" t="n">
        <x:v>29.769</x:v>
      </x:c>
      <x:c r="G75" s="60" t="n">
        <x:v>37.2041</x:v>
      </x:c>
      <x:c r="H75" s="60" t="n">
        <x:v>38.746</x:v>
      </x:c>
      <x:c r="I75" s="60" t="n">
        <x:v>39.9661</x:v>
      </x:c>
      <x:c r="J75" s="60" t="n">
        <x:v>41.0512</x:v>
      </x:c>
      <x:c r="K75" s="60" t="n">
        <x:v>42.022</x:v>
      </x:c>
      <x:c r="L75" s="60" t="n">
        <x:v>42.9991</x:v>
      </x:c>
      <x:c r="M75" s="60" t="n">
        <x:v>43.8888</x:v>
      </x:c>
      <x:c r="N75" s="60" t="n">
        <x:v>44.7916</x:v>
      </x:c>
      <x:c r="O75" s="60" t="n">
        <x:v>45.4843</x:v>
      </x:c>
      <x:c r="P75" s="60" t="n">
        <x:v>46.0921</x:v>
      </x:c>
      <x:c r="Q75" s="60" t="n">
        <x:v>46.7674</x:v>
      </x:c>
      <x:c r="R75" s="60" t="n">
        <x:v>47.3771</x:v>
      </x:c>
      <x:c r="S75" s="60" t="n">
        <x:v>48.0618</x:v>
      </x:c>
      <x:c r="T75" s="60" t="n">
        <x:v>48.6142</x:v>
      </x:c>
      <x:c r="U75" s="60" t="n">
        <x:v>49.2045</x:v>
      </x:c>
      <x:c r="V75" s="60" t="n">
        <x:v>49.7784</x:v>
      </x:c>
      <x:c r="W75" s="60" t="n">
        <x:v>50.2751</x:v>
      </x:c>
      <x:c r="X75" s="60" t="n">
        <x:v>50.7166</x:v>
      </x:c>
      <x:c r="Y75" s="60" t="n">
        <x:v>51.2149</x:v>
      </x:c>
      <x:c r="Z75" s="60" t="n">
        <x:v>51.649</x:v>
      </x:c>
      <x:c r="AA75" s="60" t="n">
        <x:v>52.1195</x:v>
      </x:c>
      <x:c r="AB75" s="60" t="n">
        <x:v>52.6482</x:v>
      </x:c>
      <x:c r="AC75" s="60" t="n">
        <x:v>53.0982</x:v>
      </x:c>
      <x:c r="AD75" s="60" t="n">
        <x:v>53.4972</x:v>
      </x:c>
      <x:c r="AE75" s="60" t="n">
        <x:v>53.8835</x:v>
      </x:c>
      <x:c r="AF75" s="60" t="n">
        <x:v>54.3393</x:v>
      </x:c>
      <x:c r="AG75" s="60" t="n">
        <x:v>54.7732</x:v>
      </x:c>
      <x:c r="AH75" s="60" t="n">
        <x:v>55.2186</x:v>
      </x:c>
      <x:c r="AI75" s="60" t="n">
        <x:v>55.6301</x:v>
      </x:c>
      <x:c r="AJ75" s="60" t="n">
        <x:v>56.0561</x:v>
      </x:c>
      <x:c r="AK75" s="60" t="n">
        <x:v>56.4378</x:v>
      </x:c>
      <x:c r="AL75" s="60" t="n">
        <x:v>56.8141</x:v>
      </x:c>
      <x:c r="AM75" s="60" t="n">
        <x:v>57.1374</x:v>
      </x:c>
      <x:c r="AN75" s="60" t="n">
        <x:v>57.4942</x:v>
      </x:c>
      <x:c r="AO75" s="60" t="n">
        <x:v>57.8489</x:v>
      </x:c>
      <x:c r="AP75" s="60" t="n">
        <x:v>58.2334</x:v>
      </x:c>
      <x:c r="AQ75" s="60" t="n">
        <x:v>58.5952</x:v>
      </x:c>
      <x:c r="AR75" s="60" t="n">
        <x:v>58.96</x:v>
      </x:c>
      <x:c r="AS75" s="60" t="n">
        <x:v>59.2991</x:v>
      </x:c>
      <x:c r="AT75" s="60" t="n">
        <x:v>59.6448</x:v>
      </x:c>
      <x:c r="AU75" s="60" t="n">
        <x:v>59.9888</x:v>
      </x:c>
      <x:c r="AV75" s="60" t="n">
        <x:v>60.3154</x:v>
      </x:c>
      <x:c r="AW75" s="60" t="n">
        <x:v>60.6482</x:v>
      </x:c>
      <x:c r="AX75" s="60" t="n">
        <x:v>60.9832</x:v>
      </x:c>
      <x:c r="AY75" s="60" t="n">
        <x:v>61.3096</x:v>
      </x:c>
      <x:c r="AZ75" s="60" t="n">
        <x:v>61.6268</x:v>
      </x:c>
      <x:c r="BA75" s="60" t="n">
        <x:v>61.9602</x:v>
      </x:c>
      <x:c r="BB75" s="60" t="n">
        <x:v>62.2806</x:v>
      </x:c>
      <x:c r="BC75" s="60" t="n">
        <x:v>62.5853</x:v>
      </x:c>
      <x:c r="BD75" s="60" t="n">
        <x:v>62.9254</x:v>
      </x:c>
      <x:c r="BE75" s="60" t="n">
        <x:v>63.2847</x:v>
      </x:c>
      <x:c r="BF75" s="60" t="n">
        <x:v>63.6055</x:v>
      </x:c>
      <x:c r="BG75" s="60" t="n">
        <x:v>63.8983</x:v>
      </x:c>
      <x:c r="BH75" s="60" t="n">
        <x:v>64.2218</x:v>
      </x:c>
      <x:c r="BI75" s="60" t="n">
        <x:v>64.5404</x:v>
      </x:c>
      <x:c r="BJ75" s="60" t="n">
        <x:v>64.8687</x:v>
      </x:c>
      <x:c r="BK75" s="60" t="n">
        <x:v>65.171</x:v>
      </x:c>
      <x:c r="BL75" s="60" t="n">
        <x:v>65.4897</x:v>
      </x:c>
      <x:c r="BM75" s="60" t="n">
        <x:v>65.7869</x:v>
      </x:c>
      <x:c r="BN75" s="60" t="n">
        <x:v>66.1123</x:v>
      </x:c>
      <x:c r="BO75" s="60" t="n">
        <x:v>66.4343</x:v>
      </x:c>
      <x:c r="BP75" s="60" t="n">
        <x:v>66.7606</x:v>
      </x:c>
      <x:c r="BQ75" s="60" t="n">
        <x:v>67.0828</x:v>
      </x:c>
      <x:c r="BR75" s="60" t="n">
        <x:v>67.3836</x:v>
      </x:c>
      <x:c r="BS75" s="60" t="n">
        <x:v>67.7121</x:v>
      </x:c>
      <x:c r="BT75" s="60" t="n">
        <x:v>68.0347</x:v>
      </x:c>
      <x:c r="BU75" s="60" t="n">
        <x:v>68.4225</x:v>
      </x:c>
      <x:c r="BV75" s="60" t="n">
        <x:v>68.734</x:v>
      </x:c>
      <x:c r="BW75" s="60" t="n">
        <x:v>69.0539</x:v>
      </x:c>
      <x:c r="BX75" s="60" t="n">
        <x:v>69.404</x:v>
      </x:c>
      <x:c r="BY75" s="60" t="n">
        <x:v>69.6981</x:v>
      </x:c>
      <x:c r="BZ75" s="60" t="n">
        <x:v>70.0139</x:v>
      </x:c>
      <x:c r="CA75" s="60" t="n">
        <x:v>70.3223</x:v>
      </x:c>
      <x:c r="CB75" s="60" t="n">
        <x:v>70.6396</x:v>
      </x:c>
      <x:c r="CC75" s="60" t="n">
        <x:v>70.9767</x:v>
      </x:c>
      <x:c r="CD75" s="60" t="n">
        <x:v>71.2924</x:v>
      </x:c>
      <x:c r="CE75" s="60" t="n">
        <x:v>71.6563</x:v>
      </x:c>
      <x:c r="CF75" s="60" t="n">
        <x:v>71.9806</x:v>
      </x:c>
      <x:c r="CG75" s="60" t="n">
        <x:v>72.2988</x:v>
      </x:c>
      <x:c r="CH75" s="60" t="n">
        <x:v>72.6506</x:v>
      </x:c>
      <x:c r="CI75" s="60" t="n">
        <x:v>72.9849</x:v>
      </x:c>
      <x:c r="CJ75" s="60" t="n">
        <x:v>73.3536</x:v>
      </x:c>
      <x:c r="CK75" s="60" t="n">
        <x:v>73.7419</x:v>
      </x:c>
      <x:c r="CL75" s="60" t="n">
        <x:v>74.1107</x:v>
      </x:c>
      <x:c r="CM75" s="60" t="n">
        <x:v>74.488</x:v>
      </x:c>
      <x:c r="CN75" s="60" t="n">
        <x:v>74.8502</x:v>
      </x:c>
      <x:c r="CO75" s="60" t="n">
        <x:v>75.2138</x:v>
      </x:c>
      <x:c r="CP75" s="60" t="n">
        <x:v>75.629</x:v>
      </x:c>
      <x:c r="CQ75" s="60" t="n">
        <x:v>76.117</x:v>
      </x:c>
      <x:c r="CR75" s="60" t="n">
        <x:v>76.534</x:v>
      </x:c>
      <x:c r="CS75" s="60" t="n">
        <x:v>77.0601</x:v>
      </x:c>
      <x:c r="CT75" s="60" t="n">
        <x:v>77.5125</x:v>
      </x:c>
      <x:c r="CU75" s="60" t="n">
        <x:v>78.04</x:v>
      </x:c>
      <x:c r="CV75" s="60" t="n">
        <x:v>78.5628</x:v>
      </x:c>
      <x:c r="CW75" s="60" t="n">
        <x:v>79.1844</x:v>
      </x:c>
      <x:c r="CX75" s="60" t="n">
        <x:v>79.9112</x:v>
      </x:c>
      <x:c r="CY75" s="60" t="n">
        <x:v>80.6241</x:v>
      </x:c>
      <x:c r="CZ75" s="60" t="n">
        <x:v>81.4977</x:v>
      </x:c>
      <x:c r="DA75" s="60" t="n">
        <x:v>82.7447</x:v>
      </x:c>
      <x:c r="DB75" s="60" t="n">
        <x:v>87.1693</x:v>
      </x:c>
    </x:row>
    <x:row r="76">
      <x:c r="A76" t="str">
        <x:v>リザードン-2</x:v>
      </x:c>
      <x:c r="B76" t="str">
        <x:v>リザードン</x:v>
      </x:c>
      <x:c r="C76" t="str">
        <x:v>フレアドライブ</x:v>
      </x:c>
      <x:c r="D76" s="60" t="n">
        <x:v>61.6252</x:v>
      </x:c>
      <x:c r="E76" s="60" t="n">
        <x:v>10.9884</x:v>
      </x:c>
      <x:c r="F76" s="60" t="n">
        <x:v>29.4042</x:v>
      </x:c>
      <x:c r="G76" s="60" t="n">
        <x:v>37.3346</x:v>
      </x:c>
      <x:c r="H76" s="60" t="n">
        <x:v>38.7888</x:v>
      </x:c>
      <x:c r="I76" s="60" t="n">
        <x:v>39.7179</x:v>
      </x:c>
      <x:c r="J76" s="60" t="n">
        <x:v>40.7806</x:v>
      </x:c>
      <x:c r="K76" s="60" t="n">
        <x:v>41.6613</x:v>
      </x:c>
      <x:c r="L76" s="60" t="n">
        <x:v>42.6386</x:v>
      </x:c>
      <x:c r="M76" s="60" t="n">
        <x:v>43.5323</x:v>
      </x:c>
      <x:c r="N76" s="60" t="n">
        <x:v>44.3395</x:v>
      </x:c>
      <x:c r="O76" s="60" t="n">
        <x:v>45.0568</x:v>
      </x:c>
      <x:c r="P76" s="60" t="n">
        <x:v>45.8232</x:v>
      </x:c>
      <x:c r="Q76" s="60" t="n">
        <x:v>46.4408</x:v>
      </x:c>
      <x:c r="R76" s="60" t="n">
        <x:v>47.1128</x:v>
      </x:c>
      <x:c r="S76" s="60" t="n">
        <x:v>47.7549</x:v>
      </x:c>
      <x:c r="T76" s="60" t="n">
        <x:v>48.2979</x:v>
      </x:c>
      <x:c r="U76" s="60" t="n">
        <x:v>48.8467</x:v>
      </x:c>
      <x:c r="V76" s="60" t="n">
        <x:v>49.3565</x:v>
      </x:c>
      <x:c r="W76" s="60" t="n">
        <x:v>49.8693</x:v>
      </x:c>
      <x:c r="X76" s="60" t="n">
        <x:v>50.4132</x:v>
      </x:c>
      <x:c r="Y76" s="60" t="n">
        <x:v>50.9072</x:v>
      </x:c>
      <x:c r="Z76" s="60" t="n">
        <x:v>51.3722</x:v>
      </x:c>
      <x:c r="AA76" s="60" t="n">
        <x:v>51.8545</x:v>
      </x:c>
      <x:c r="AB76" s="60" t="n">
        <x:v>52.2986</x:v>
      </x:c>
      <x:c r="AC76" s="60" t="n">
        <x:v>52.7703</x:v>
      </x:c>
      <x:c r="AD76" s="60" t="n">
        <x:v>53.1524</x:v>
      </x:c>
      <x:c r="AE76" s="60" t="n">
        <x:v>53.5834</x:v>
      </x:c>
      <x:c r="AF76" s="60" t="n">
        <x:v>53.9866</x:v>
      </x:c>
      <x:c r="AG76" s="60" t="n">
        <x:v>54.4227</x:v>
      </x:c>
      <x:c r="AH76" s="60" t="n">
        <x:v>54.8396</x:v>
      </x:c>
      <x:c r="AI76" s="60" t="n">
        <x:v>55.2606</x:v>
      </x:c>
      <x:c r="AJ76" s="60" t="n">
        <x:v>55.6507</x:v>
      </x:c>
      <x:c r="AK76" s="60" t="n">
        <x:v>56.1082</x:v>
      </x:c>
      <x:c r="AL76" s="60" t="n">
        <x:v>56.5172</x:v>
      </x:c>
      <x:c r="AM76" s="60" t="n">
        <x:v>56.8869</x:v>
      </x:c>
      <x:c r="AN76" s="60" t="n">
        <x:v>57.2934</x:v>
      </x:c>
      <x:c r="AO76" s="60" t="n">
        <x:v>57.6345</x:v>
      </x:c>
      <x:c r="AP76" s="60" t="n">
        <x:v>57.9836</x:v>
      </x:c>
      <x:c r="AQ76" s="60" t="n">
        <x:v>58.3482</x:v>
      </x:c>
      <x:c r="AR76" s="60" t="n">
        <x:v>58.7134</x:v>
      </x:c>
      <x:c r="AS76" s="60" t="n">
        <x:v>59.0675</x:v>
      </x:c>
      <x:c r="AT76" s="60" t="n">
        <x:v>59.3939</x:v>
      </x:c>
      <x:c r="AU76" s="60" t="n">
        <x:v>59.7413</x:v>
      </x:c>
      <x:c r="AV76" s="60" t="n">
        <x:v>60.099</x:v>
      </x:c>
      <x:c r="AW76" s="60" t="n">
        <x:v>60.4272</x:v>
      </x:c>
      <x:c r="AX76" s="60" t="n">
        <x:v>60.7814</x:v>
      </x:c>
      <x:c r="AY76" s="60" t="n">
        <x:v>61.0743</x:v>
      </x:c>
      <x:c r="AZ76" s="60" t="n">
        <x:v>61.3884</x:v>
      </x:c>
      <x:c r="BA76" s="60" t="n">
        <x:v>61.6643</x:v>
      </x:c>
      <x:c r="BB76" s="60" t="n">
        <x:v>62.0467</x:v>
      </x:c>
      <x:c r="BC76" s="60" t="n">
        <x:v>62.3913</x:v>
      </x:c>
      <x:c r="BD76" s="60" t="n">
        <x:v>62.7139</x:v>
      </x:c>
      <x:c r="BE76" s="60" t="n">
        <x:v>63.0618</x:v>
      </x:c>
      <x:c r="BF76" s="60" t="n">
        <x:v>63.399</x:v>
      </x:c>
      <x:c r="BG76" s="60" t="n">
        <x:v>63.7432</x:v>
      </x:c>
      <x:c r="BH76" s="60" t="n">
        <x:v>64.03</x:v>
      </x:c>
      <x:c r="BI76" s="60" t="n">
        <x:v>64.3282</x:v>
      </x:c>
      <x:c r="BJ76" s="60" t="n">
        <x:v>64.6331</x:v>
      </x:c>
      <x:c r="BK76" s="60" t="n">
        <x:v>64.9473</x:v>
      </x:c>
      <x:c r="BL76" s="60" t="n">
        <x:v>65.2502</x:v>
      </x:c>
      <x:c r="BM76" s="60" t="n">
        <x:v>65.5601</x:v>
      </x:c>
      <x:c r="BN76" s="60" t="n">
        <x:v>65.886</x:v>
      </x:c>
      <x:c r="BO76" s="60" t="n">
        <x:v>66.1842</x:v>
      </x:c>
      <x:c r="BP76" s="60" t="n">
        <x:v>66.5207</x:v>
      </x:c>
      <x:c r="BQ76" s="60" t="n">
        <x:v>66.8549</x:v>
      </x:c>
      <x:c r="BR76" s="60" t="n">
        <x:v>67.1607</x:v>
      </x:c>
      <x:c r="BS76" s="60" t="n">
        <x:v>67.454</x:v>
      </x:c>
      <x:c r="BT76" s="60" t="n">
        <x:v>67.7643</x:v>
      </x:c>
      <x:c r="BU76" s="60" t="n">
        <x:v>68.0678</x:v>
      </x:c>
      <x:c r="BV76" s="60" t="n">
        <x:v>68.374</x:v>
      </x:c>
      <x:c r="BW76" s="60" t="n">
        <x:v>68.6592</x:v>
      </x:c>
      <x:c r="BX76" s="60" t="n">
        <x:v>68.9348</x:v>
      </x:c>
      <x:c r="BY76" s="60" t="n">
        <x:v>69.2413</x:v>
      </x:c>
      <x:c r="BZ76" s="60" t="n">
        <x:v>69.5222</x:v>
      </x:c>
      <x:c r="CA76" s="60" t="n">
        <x:v>69.8014</x:v>
      </x:c>
      <x:c r="CB76" s="60" t="n">
        <x:v>70.107</x:v>
      </x:c>
      <x:c r="CC76" s="60" t="n">
        <x:v>70.4375</x:v>
      </x:c>
      <x:c r="CD76" s="60" t="n">
        <x:v>70.7353</x:v>
      </x:c>
      <x:c r="CE76" s="60" t="n">
        <x:v>71.025</x:v>
      </x:c>
      <x:c r="CF76" s="60" t="n">
        <x:v>71.3458</x:v>
      </x:c>
      <x:c r="CG76" s="60" t="n">
        <x:v>71.7124</x:v>
      </x:c>
      <x:c r="CH76" s="60" t="n">
        <x:v>72.02</x:v>
      </x:c>
      <x:c r="CI76" s="60" t="n">
        <x:v>72.3246</x:v>
      </x:c>
      <x:c r="CJ76" s="60" t="n">
        <x:v>72.6473</x:v>
      </x:c>
      <x:c r="CK76" s="60" t="n">
        <x:v>72.9491</x:v>
      </x:c>
      <x:c r="CL76" s="60" t="n">
        <x:v>73.2815</x:v>
      </x:c>
      <x:c r="CM76" s="60" t="n">
        <x:v>73.6161</x:v>
      </x:c>
      <x:c r="CN76" s="60" t="n">
        <x:v>73.9972</x:v>
      </x:c>
      <x:c r="CO76" s="60" t="n">
        <x:v>74.3538</x:v>
      </x:c>
      <x:c r="CP76" s="60" t="n">
        <x:v>74.7231</x:v>
      </x:c>
      <x:c r="CQ76" s="60" t="n">
        <x:v>75.1401</x:v>
      </x:c>
      <x:c r="CR76" s="60" t="n">
        <x:v>75.5453</x:v>
      </x:c>
      <x:c r="CS76" s="60" t="n">
        <x:v>75.9329</x:v>
      </x:c>
      <x:c r="CT76" s="60" t="n">
        <x:v>76.3276</x:v>
      </x:c>
      <x:c r="CU76" s="60" t="n">
        <x:v>76.7328</x:v>
      </x:c>
      <x:c r="CV76" s="60" t="n">
        <x:v>77.1998</x:v>
      </x:c>
      <x:c r="CW76" s="60" t="n">
        <x:v>77.7236</x:v>
      </x:c>
      <x:c r="CX76" s="60" t="n">
        <x:v>78.2807</x:v>
      </x:c>
      <x:c r="CY76" s="60" t="n">
        <x:v>78.9202</x:v>
      </x:c>
      <x:c r="CZ76" s="60" t="n">
        <x:v>79.5925</x:v>
      </x:c>
      <x:c r="DA76" s="60" t="n">
        <x:v>80.3555</x:v>
      </x:c>
      <x:c r="DB76" s="60" t="n">
        <x:v>82.7563</x:v>
      </x:c>
    </x:row>
    <x:row r="77">
      <x:c r="A77" t="str">
        <x:v>メガリザードンX-1</x:v>
      </x:c>
      <x:c r="B77" t="str">
        <x:v>メガリザードンX</x:v>
      </x:c>
      <x:c r="C77" t="str">
        <x:v>共通</x:v>
      </x:c>
      <x:c r="D77" s="60" t="n">
        <x:v>61.769</x:v>
      </x:c>
      <x:c r="E77" s="60" t="n">
        <x:v>11.7984</x:v>
      </x:c>
      <x:c r="F77" s="60" t="n">
        <x:v>28.0727</x:v>
      </x:c>
      <x:c r="G77" s="60" t="n">
        <x:v>36.1185</x:v>
      </x:c>
      <x:c r="H77" s="60" t="n">
        <x:v>37.5653</x:v>
      </x:c>
      <x:c r="I77" s="60" t="n">
        <x:v>38.5741</x:v>
      </x:c>
      <x:c r="J77" s="60" t="n">
        <x:v>39.6258</x:v>
      </x:c>
      <x:c r="K77" s="60" t="n">
        <x:v>40.6149</x:v>
      </x:c>
      <x:c r="L77" s="60" t="n">
        <x:v>41.5243</x:v>
      </x:c>
      <x:c r="M77" s="60" t="n">
        <x:v>42.5022</x:v>
      </x:c>
      <x:c r="N77" s="60" t="n">
        <x:v>43.2889</x:v>
      </x:c>
      <x:c r="O77" s="60" t="n">
        <x:v>44.0292</x:v>
      </x:c>
      <x:c r="P77" s="60" t="n">
        <x:v>44.8105</x:v>
      </x:c>
      <x:c r="Q77" s="60" t="n">
        <x:v>45.5835</x:v>
      </x:c>
      <x:c r="R77" s="60" t="n">
        <x:v>46.2122</x:v>
      </x:c>
      <x:c r="S77" s="60" t="n">
        <x:v>46.9064</x:v>
      </x:c>
      <x:c r="T77" s="60" t="n">
        <x:v>47.4697</x:v>
      </x:c>
      <x:c r="U77" s="60" t="n">
        <x:v>48.0561</x:v>
      </x:c>
      <x:c r="V77" s="60" t="n">
        <x:v>48.5845</x:v>
      </x:c>
      <x:c r="W77" s="60" t="n">
        <x:v>49.1445</x:v>
      </x:c>
      <x:c r="X77" s="60" t="n">
        <x:v>49.7224</x:v>
      </x:c>
      <x:c r="Y77" s="60" t="n">
        <x:v>50.2377</x:v>
      </x:c>
      <x:c r="Z77" s="60" t="n">
        <x:v>50.7643</x:v>
      </x:c>
      <x:c r="AA77" s="60" t="n">
        <x:v>51.221</x:v>
      </x:c>
      <x:c r="AB77" s="60" t="n">
        <x:v>51.7373</x:v>
      </x:c>
      <x:c r="AC77" s="60" t="n">
        <x:v>52.138</x:v>
      </x:c>
      <x:c r="AD77" s="60" t="n">
        <x:v>52.5871</x:v>
      </x:c>
      <x:c r="AE77" s="60" t="n">
        <x:v>53.067</x:v>
      </x:c>
      <x:c r="AF77" s="60" t="n">
        <x:v>53.4697</x:v>
      </x:c>
      <x:c r="AG77" s="60" t="n">
        <x:v>53.9688</x:v>
      </x:c>
      <x:c r="AH77" s="60" t="n">
        <x:v>54.4168</x:v>
      </x:c>
      <x:c r="AI77" s="60" t="n">
        <x:v>54.8728</x:v>
      </x:c>
      <x:c r="AJ77" s="60" t="n">
        <x:v>55.3055</x:v>
      </x:c>
      <x:c r="AK77" s="60" t="n">
        <x:v>55.7622</x:v>
      </x:c>
      <x:c r="AL77" s="60" t="n">
        <x:v>56.1631</x:v>
      </x:c>
      <x:c r="AM77" s="60" t="n">
        <x:v>56.6037</x:v>
      </x:c>
      <x:c r="AN77" s="60" t="n">
        <x:v>56.9822</x:v>
      </x:c>
      <x:c r="AO77" s="60" t="n">
        <x:v>57.3665</x:v>
      </x:c>
      <x:c r="AP77" s="60" t="n">
        <x:v>57.7442</x:v>
      </x:c>
      <x:c r="AQ77" s="60" t="n">
        <x:v>58.113</x:v>
      </x:c>
      <x:c r="AR77" s="60" t="n">
        <x:v>58.5154</x:v>
      </x:c>
      <x:c r="AS77" s="60" t="n">
        <x:v>58.9013</x:v>
      </x:c>
      <x:c r="AT77" s="60" t="n">
        <x:v>59.2556</x:v>
      </x:c>
      <x:c r="AU77" s="60" t="n">
        <x:v>59.6089</x:v>
      </x:c>
      <x:c r="AV77" s="60" t="n">
        <x:v>60.0374</x:v>
      </x:c>
      <x:c r="AW77" s="60" t="n">
        <x:v>60.3866</x:v>
      </x:c>
      <x:c r="AX77" s="60" t="n">
        <x:v>60.7469</x:v>
      </x:c>
      <x:c r="AY77" s="60" t="n">
        <x:v>61.0499</x:v>
      </x:c>
      <x:c r="AZ77" s="60" t="n">
        <x:v>61.3934</x:v>
      </x:c>
      <x:c r="BA77" s="60" t="n">
        <x:v>61.7244</x:v>
      </x:c>
      <x:c r="BB77" s="60" t="n">
        <x:v>62.1138</x:v>
      </x:c>
      <x:c r="BC77" s="60" t="n">
        <x:v>62.4709</x:v>
      </x:c>
      <x:c r="BD77" s="60" t="n">
        <x:v>62.8375</x:v>
      </x:c>
      <x:c r="BE77" s="60" t="n">
        <x:v>63.1544</x:v>
      </x:c>
      <x:c r="BF77" s="60" t="n">
        <x:v>63.493</x:v>
      </x:c>
      <x:c r="BG77" s="60" t="n">
        <x:v>63.8647</x:v>
      </x:c>
      <x:c r="BH77" s="60" t="n">
        <x:v>64.2382</x:v>
      </x:c>
      <x:c r="BI77" s="60" t="n">
        <x:v>64.5714</x:v>
      </x:c>
      <x:c r="BJ77" s="60" t="n">
        <x:v>64.8715</x:v>
      </x:c>
      <x:c r="BK77" s="60" t="n">
        <x:v>65.2428</x:v>
      </x:c>
      <x:c r="BL77" s="60" t="n">
        <x:v>65.5411</x:v>
      </x:c>
      <x:c r="BM77" s="60" t="n">
        <x:v>65.8789</x:v>
      </x:c>
      <x:c r="BN77" s="60" t="n">
        <x:v>66.2109</x:v>
      </x:c>
      <x:c r="BO77" s="60" t="n">
        <x:v>66.5951</x:v>
      </x:c>
      <x:c r="BP77" s="60" t="n">
        <x:v>66.935</x:v>
      </x:c>
      <x:c r="BQ77" s="60" t="n">
        <x:v>67.2784</x:v>
      </x:c>
      <x:c r="BR77" s="60" t="n">
        <x:v>67.5957</x:v>
      </x:c>
      <x:c r="BS77" s="60" t="n">
        <x:v>67.9263</x:v>
      </x:c>
      <x:c r="BT77" s="60" t="n">
        <x:v>68.2529</x:v>
      </x:c>
      <x:c r="BU77" s="60" t="n">
        <x:v>68.6056</x:v>
      </x:c>
      <x:c r="BV77" s="60" t="n">
        <x:v>68.9033</x:v>
      </x:c>
      <x:c r="BW77" s="60" t="n">
        <x:v>69.2361</x:v>
      </x:c>
      <x:c r="BX77" s="60" t="n">
        <x:v>69.5314</x:v>
      </x:c>
      <x:c r="BY77" s="60" t="n">
        <x:v>69.8534</x:v>
      </x:c>
      <x:c r="BZ77" s="60" t="n">
        <x:v>70.1704</x:v>
      </x:c>
      <x:c r="CA77" s="60" t="n">
        <x:v>70.4956</x:v>
      </x:c>
      <x:c r="CB77" s="60" t="n">
        <x:v>70.7873</x:v>
      </x:c>
      <x:c r="CC77" s="60" t="n">
        <x:v>71.139</x:v>
      </x:c>
      <x:c r="CD77" s="60" t="n">
        <x:v>71.464</x:v>
      </x:c>
      <x:c r="CE77" s="60" t="n">
        <x:v>71.8169</x:v>
      </x:c>
      <x:c r="CF77" s="60" t="n">
        <x:v>72.1807</x:v>
      </x:c>
      <x:c r="CG77" s="60" t="n">
        <x:v>72.517</x:v>
      </x:c>
      <x:c r="CH77" s="60" t="n">
        <x:v>72.8799</x:v>
      </x:c>
      <x:c r="CI77" s="60" t="n">
        <x:v>73.2257</x:v>
      </x:c>
      <x:c r="CJ77" s="60" t="n">
        <x:v>73.5494</x:v>
      </x:c>
      <x:c r="CK77" s="60" t="n">
        <x:v>73.9353</x:v>
      </x:c>
      <x:c r="CL77" s="60" t="n">
        <x:v>74.3236</x:v>
      </x:c>
      <x:c r="CM77" s="60" t="n">
        <x:v>74.6717</x:v>
      </x:c>
      <x:c r="CN77" s="60" t="n">
        <x:v>75.1167</x:v>
      </x:c>
      <x:c r="CO77" s="60" t="n">
        <x:v>75.5225</x:v>
      </x:c>
      <x:c r="CP77" s="60" t="n">
        <x:v>75.9192</x:v>
      </x:c>
      <x:c r="CQ77" s="60" t="n">
        <x:v>76.3683</x:v>
      </x:c>
      <x:c r="CR77" s="60" t="n">
        <x:v>76.7676</x:v>
      </x:c>
      <x:c r="CS77" s="60" t="n">
        <x:v>77.3055</x:v>
      </x:c>
      <x:c r="CT77" s="60" t="n">
        <x:v>77.7452</x:v>
      </x:c>
      <x:c r="CU77" s="60" t="n">
        <x:v>78.1796</x:v>
      </x:c>
      <x:c r="CV77" s="60" t="n">
        <x:v>78.6835</x:v>
      </x:c>
      <x:c r="CW77" s="60" t="n">
        <x:v>79.2714</x:v>
      </x:c>
      <x:c r="CX77" s="60" t="n">
        <x:v>80.0061</x:v>
      </x:c>
      <x:c r="CY77" s="60" t="n">
        <x:v>80.7068</x:v>
      </x:c>
      <x:c r="CZ77" s="60" t="n">
        <x:v>81.4942</x:v>
      </x:c>
      <x:c r="DA77" s="60" t="n">
        <x:v>82.383</x:v>
      </x:c>
      <x:c r="DB77" s="60" t="n">
        <x:v>85.3116</x:v>
      </x:c>
    </x:row>
    <x:row r="78">
      <x:c r="A78" t="str">
        <x:v>メガリザードンY-1</x:v>
      </x:c>
      <x:c r="B78" t="str">
        <x:v>メガリザードンY</x:v>
      </x:c>
      <x:c r="C78" t="str">
        <x:v>共通</x:v>
      </x:c>
      <x:c r="D78" s="60" t="n">
        <x:v>62.654</x:v>
      </x:c>
      <x:c r="E78" s="60" t="n">
        <x:v>11.8137</x:v>
      </x:c>
      <x:c r="F78" s="60" t="n">
        <x:v>26.9794</x:v>
      </x:c>
      <x:c r="G78" s="60" t="n">
        <x:v>36.2645</x:v>
      </x:c>
      <x:c r="H78" s="60" t="n">
        <x:v>38.011</x:v>
      </x:c>
      <x:c r="I78" s="60" t="n">
        <x:v>39.3039</x:v>
      </x:c>
      <x:c r="J78" s="60" t="n">
        <x:v>40.3823</x:v>
      </x:c>
      <x:c r="K78" s="60" t="n">
        <x:v>41.2471</x:v>
      </x:c>
      <x:c r="L78" s="60" t="n">
        <x:v>42.2311</x:v>
      </x:c>
      <x:c r="M78" s="60" t="n">
        <x:v>43.0346</x:v>
      </x:c>
      <x:c r="N78" s="60" t="n">
        <x:v>43.9466</x:v>
      </x:c>
      <x:c r="O78" s="60" t="n">
        <x:v>44.7708</x:v>
      </x:c>
      <x:c r="P78" s="60" t="n">
        <x:v>45.5727</x:v>
      </x:c>
      <x:c r="Q78" s="60" t="n">
        <x:v>46.3147</x:v>
      </x:c>
      <x:c r="R78" s="60" t="n">
        <x:v>46.9837</x:v>
      </x:c>
      <x:c r="S78" s="60" t="n">
        <x:v>47.683</x:v>
      </x:c>
      <x:c r="T78" s="60" t="n">
        <x:v>48.3125</x:v>
      </x:c>
      <x:c r="U78" s="60" t="n">
        <x:v>48.9229</x:v>
      </x:c>
      <x:c r="V78" s="60" t="n">
        <x:v>49.5558</x:v>
      </x:c>
      <x:c r="W78" s="60" t="n">
        <x:v>50.0552</x:v>
      </x:c>
      <x:c r="X78" s="60" t="n">
        <x:v>50.5886</x:v>
      </x:c>
      <x:c r="Y78" s="60" t="n">
        <x:v>51.1498</x:v>
      </x:c>
      <x:c r="Z78" s="60" t="n">
        <x:v>51.6502</x:v>
      </x:c>
      <x:c r="AA78" s="60" t="n">
        <x:v>52.1914</x:v>
      </x:c>
      <x:c r="AB78" s="60" t="n">
        <x:v>52.6691</x:v>
      </x:c>
      <x:c r="AC78" s="60" t="n">
        <x:v>53.1781</x:v>
      </x:c>
      <x:c r="AD78" s="60" t="n">
        <x:v>53.6515</x:v>
      </x:c>
      <x:c r="AE78" s="60" t="n">
        <x:v>54.1052</x:v>
      </x:c>
      <x:c r="AF78" s="60" t="n">
        <x:v>54.5423</x:v>
      </x:c>
      <x:c r="AG78" s="60" t="n">
        <x:v>55.0349</x:v>
      </x:c>
      <x:c r="AH78" s="60" t="n">
        <x:v>55.4741</x:v>
      </x:c>
      <x:c r="AI78" s="60" t="n">
        <x:v>55.9586</x:v>
      </x:c>
      <x:c r="AJ78" s="60" t="n">
        <x:v>56.3713</x:v>
      </x:c>
      <x:c r="AK78" s="60" t="n">
        <x:v>56.7949</x:v>
      </x:c>
      <x:c r="AL78" s="60" t="n">
        <x:v>57.2111</x:v>
      </x:c>
      <x:c r="AM78" s="60" t="n">
        <x:v>57.603</x:v>
      </x:c>
      <x:c r="AN78" s="60" t="n">
        <x:v>57.9724</x:v>
      </x:c>
      <x:c r="AO78" s="60" t="n">
        <x:v>58.3876</x:v>
      </x:c>
      <x:c r="AP78" s="60" t="n">
        <x:v>58.7151</x:v>
      </x:c>
      <x:c r="AQ78" s="60" t="n">
        <x:v>59.1528</x:v>
      </x:c>
      <x:c r="AR78" s="60" t="n">
        <x:v>59.5323</x:v>
      </x:c>
      <x:c r="AS78" s="60" t="n">
        <x:v>59.8652</x:v>
      </x:c>
      <x:c r="AT78" s="60" t="n">
        <x:v>60.2543</x:v>
      </x:c>
      <x:c r="AU78" s="60" t="n">
        <x:v>60.6514</x:v>
      </x:c>
      <x:c r="AV78" s="60" t="n">
        <x:v>61.0314</x:v>
      </x:c>
      <x:c r="AW78" s="60" t="n">
        <x:v>61.3905</x:v>
      </x:c>
      <x:c r="AX78" s="60" t="n">
        <x:v>61.743</x:v>
      </x:c>
      <x:c r="AY78" s="60" t="n">
        <x:v>62.0747</x:v>
      </x:c>
      <x:c r="AZ78" s="60" t="n">
        <x:v>62.4157</x:v>
      </x:c>
      <x:c r="BA78" s="60" t="n">
        <x:v>62.7459</x:v>
      </x:c>
      <x:c r="BB78" s="60" t="n">
        <x:v>63.0944</x:v>
      </x:c>
      <x:c r="BC78" s="60" t="n">
        <x:v>63.415</x:v>
      </x:c>
      <x:c r="BD78" s="60" t="n">
        <x:v>63.7868</x:v>
      </x:c>
      <x:c r="BE78" s="60" t="n">
        <x:v>64.1798</x:v>
      </x:c>
      <x:c r="BF78" s="60" t="n">
        <x:v>64.5157</x:v>
      </x:c>
      <x:c r="BG78" s="60" t="n">
        <x:v>64.8566</x:v>
      </x:c>
      <x:c r="BH78" s="60" t="n">
        <x:v>65.2033</x:v>
      </x:c>
      <x:c r="BI78" s="60" t="n">
        <x:v>65.5625</x:v>
      </x:c>
      <x:c r="BJ78" s="60" t="n">
        <x:v>65.9042</x:v>
      </x:c>
      <x:c r="BK78" s="60" t="n">
        <x:v>66.266</x:v>
      </x:c>
      <x:c r="BL78" s="60" t="n">
        <x:v>66.644</x:v>
      </x:c>
      <x:c r="BM78" s="60" t="n">
        <x:v>66.9519</x:v>
      </x:c>
      <x:c r="BN78" s="60" t="n">
        <x:v>67.2916</x:v>
      </x:c>
      <x:c r="BO78" s="60" t="n">
        <x:v>67.6145</x:v>
      </x:c>
      <x:c r="BP78" s="60" t="n">
        <x:v>67.9499</x:v>
      </x:c>
      <x:c r="BQ78" s="60" t="n">
        <x:v>68.2371</x:v>
      </x:c>
      <x:c r="BR78" s="60" t="n">
        <x:v>68.5647</x:v>
      </x:c>
      <x:c r="BS78" s="60" t="n">
        <x:v>68.8742</x:v>
      </x:c>
      <x:c r="BT78" s="60" t="n">
        <x:v>69.2252</x:v>
      </x:c>
      <x:c r="BU78" s="60" t="n">
        <x:v>69.5314</x:v>
      </x:c>
      <x:c r="BV78" s="60" t="n">
        <x:v>69.8739</x:v>
      </x:c>
      <x:c r="BW78" s="60" t="n">
        <x:v>70.1835</x:v>
      </x:c>
      <x:c r="BX78" s="60" t="n">
        <x:v>70.5101</x:v>
      </x:c>
      <x:c r="BY78" s="60" t="n">
        <x:v>70.8174</x:v>
      </x:c>
      <x:c r="BZ78" s="60" t="n">
        <x:v>71.1654</x:v>
      </x:c>
      <x:c r="CA78" s="60" t="n">
        <x:v>71.488</x:v>
      </x:c>
      <x:c r="CB78" s="60" t="n">
        <x:v>71.869</x:v>
      </x:c>
      <x:c r="CC78" s="60" t="n">
        <x:v>72.1299</x:v>
      </x:c>
      <x:c r="CD78" s="60" t="n">
        <x:v>72.4847</x:v>
      </x:c>
      <x:c r="CE78" s="60" t="n">
        <x:v>72.8508</x:v>
      </x:c>
      <x:c r="CF78" s="60" t="n">
        <x:v>73.1871</x:v>
      </x:c>
      <x:c r="CG78" s="60" t="n">
        <x:v>73.5128</x:v>
      </x:c>
      <x:c r="CH78" s="60" t="n">
        <x:v>73.8001</x:v>
      </x:c>
      <x:c r="CI78" s="60" t="n">
        <x:v>74.1181</x:v>
      </x:c>
      <x:c r="CJ78" s="60" t="n">
        <x:v>74.4671</x:v>
      </x:c>
      <x:c r="CK78" s="60" t="n">
        <x:v>74.8525</x:v>
      </x:c>
      <x:c r="CL78" s="60" t="n">
        <x:v>75.2079</x:v>
      </x:c>
      <x:c r="CM78" s="60" t="n">
        <x:v>75.6241</x:v>
      </x:c>
      <x:c r="CN78" s="60" t="n">
        <x:v>75.967</x:v>
      </x:c>
      <x:c r="CO78" s="60" t="n">
        <x:v>76.3366</x:v>
      </x:c>
      <x:c r="CP78" s="60" t="n">
        <x:v>76.7281</x:v>
      </x:c>
      <x:c r="CQ78" s="60" t="n">
        <x:v>77.114</x:v>
      </x:c>
      <x:c r="CR78" s="60" t="n">
        <x:v>77.5521</x:v>
      </x:c>
      <x:c r="CS78" s="60" t="n">
        <x:v>77.9399</x:v>
      </x:c>
      <x:c r="CT78" s="60" t="n">
        <x:v>78.3732</x:v>
      </x:c>
      <x:c r="CU78" s="60" t="n">
        <x:v>78.8945</x:v>
      </x:c>
      <x:c r="CV78" s="60" t="n">
        <x:v>79.3686</x:v>
      </x:c>
      <x:c r="CW78" s="60" t="n">
        <x:v>79.8561</x:v>
      </x:c>
      <x:c r="CX78" s="60" t="n">
        <x:v>80.3761</x:v>
      </x:c>
      <x:c r="CY78" s="60" t="n">
        <x:v>81.05</x:v>
      </x:c>
      <x:c r="CZ78" s="60" t="n">
        <x:v>81.7354</x:v>
      </x:c>
      <x:c r="DA78" s="60" t="n">
        <x:v>82.7884</x:v>
      </x:c>
      <x:c r="DB78" s="60" t="n">
        <x:v>85.8703</x:v>
      </x:c>
    </x:row>
    <x:row r="79">
      <x:c r="A79" t="str">
        <x:v>ルカリオ-1</x:v>
      </x:c>
      <x:c r="B79" t="str">
        <x:v>ルカリオ</x:v>
      </x:c>
      <x:c r="C79" t="str">
        <x:v>しんそく</x:v>
      </x:c>
      <x:c r="D79" s="60" t="n">
        <x:v>60.7098</x:v>
      </x:c>
      <x:c r="E79" s="60" t="n">
        <x:v>13.6585</x:v>
      </x:c>
      <x:c r="F79" s="60" t="n">
        <x:v>23.5692</x:v>
      </x:c>
      <x:c r="G79" s="60" t="n">
        <x:v>31.6102</x:v>
      </x:c>
      <x:c r="H79" s="60" t="n">
        <x:v>33.4739</x:v>
      </x:c>
      <x:c r="I79" s="60" t="n">
        <x:v>34.7783</x:v>
      </x:c>
      <x:c r="J79" s="60" t="n">
        <x:v>36.0669</x:v>
      </x:c>
      <x:c r="K79" s="60" t="n">
        <x:v>37.2018</x:v>
      </x:c>
      <x:c r="L79" s="60" t="n">
        <x:v>38.1525</x:v>
      </x:c>
      <x:c r="M79" s="60" t="n">
        <x:v>39.1326</x:v>
      </x:c>
      <x:c r="N79" s="60" t="n">
        <x:v>39.9433</x:v>
      </x:c>
      <x:c r="O79" s="60" t="n">
        <x:v>40.7574</x:v>
      </x:c>
      <x:c r="P79" s="60" t="n">
        <x:v>41.5562</x:v>
      </x:c>
      <x:c r="Q79" s="60" t="n">
        <x:v>42.3212</x:v>
      </x:c>
      <x:c r="R79" s="60" t="n">
        <x:v>43.1369</x:v>
      </x:c>
      <x:c r="S79" s="60" t="n">
        <x:v>43.943</x:v>
      </x:c>
      <x:c r="T79" s="60" t="n">
        <x:v>44.6993</x:v>
      </x:c>
      <x:c r="U79" s="60" t="n">
        <x:v>45.2882</x:v>
      </x:c>
      <x:c r="V79" s="60" t="n">
        <x:v>45.97</x:v>
      </x:c>
      <x:c r="W79" s="60" t="n">
        <x:v>46.5219</x:v>
      </x:c>
      <x:c r="X79" s="60" t="n">
        <x:v>47.1146</x:v>
      </x:c>
      <x:c r="Y79" s="60" t="n">
        <x:v>47.6663</x:v>
      </x:c>
      <x:c r="Z79" s="60" t="n">
        <x:v>48.2085</x:v>
      </x:c>
      <x:c r="AA79" s="60" t="n">
        <x:v>48.7617</x:v>
      </x:c>
      <x:c r="AB79" s="60" t="n">
        <x:v>49.2993</x:v>
      </x:c>
      <x:c r="AC79" s="60" t="n">
        <x:v>49.7938</x:v>
      </x:c>
      <x:c r="AD79" s="60" t="n">
        <x:v>50.2851</x:v>
      </x:c>
      <x:c r="AE79" s="60" t="n">
        <x:v>50.7508</x:v>
      </x:c>
      <x:c r="AF79" s="60" t="n">
        <x:v>51.157</x:v>
      </x:c>
      <x:c r="AG79" s="60" t="n">
        <x:v>51.6198</x:v>
      </x:c>
      <x:c r="AH79" s="60" t="n">
        <x:v>52.0628</x:v>
      </x:c>
      <x:c r="AI79" s="60" t="n">
        <x:v>52.534</x:v>
      </x:c>
      <x:c r="AJ79" s="60" t="n">
        <x:v>53.0246</x:v>
      </x:c>
      <x:c r="AK79" s="60" t="n">
        <x:v>53.4648</x:v>
      </x:c>
      <x:c r="AL79" s="60" t="n">
        <x:v>53.884</x:v>
      </x:c>
      <x:c r="AM79" s="60" t="n">
        <x:v>54.3288</x:v>
      </x:c>
      <x:c r="AN79" s="60" t="n">
        <x:v>54.7473</x:v>
      </x:c>
      <x:c r="AO79" s="60" t="n">
        <x:v>55.1576</x:v>
      </x:c>
      <x:c r="AP79" s="60" t="n">
        <x:v>55.5906</x:v>
      </x:c>
      <x:c r="AQ79" s="60" t="n">
        <x:v>56.052</x:v>
      </x:c>
      <x:c r="AR79" s="60" t="n">
        <x:v>56.5507</x:v>
      </x:c>
      <x:c r="AS79" s="60" t="n">
        <x:v>56.9394</x:v>
      </x:c>
      <x:c r="AT79" s="60" t="n">
        <x:v>57.3739</x:v>
      </x:c>
      <x:c r="AU79" s="60" t="n">
        <x:v>57.7839</x:v>
      </x:c>
      <x:c r="AV79" s="60" t="n">
        <x:v>58.1662</x:v>
      </x:c>
      <x:c r="AW79" s="60" t="n">
        <x:v>58.5777</x:v>
      </x:c>
      <x:c r="AX79" s="60" t="n">
        <x:v>58.9795</x:v>
      </x:c>
      <x:c r="AY79" s="60" t="n">
        <x:v>59.4042</x:v>
      </x:c>
      <x:c r="AZ79" s="60" t="n">
        <x:v>59.7725</x:v>
      </x:c>
      <x:c r="BA79" s="60" t="n">
        <x:v>60.0921</x:v>
      </x:c>
      <x:c r="BB79" s="60" t="n">
        <x:v>60.4708</x:v>
      </x:c>
      <x:c r="BC79" s="60" t="n">
        <x:v>60.8743</x:v>
      </x:c>
      <x:c r="BD79" s="60" t="n">
        <x:v>61.2474</x:v>
      </x:c>
      <x:c r="BE79" s="60" t="n">
        <x:v>61.6287</x:v>
      </x:c>
      <x:c r="BF79" s="60" t="n">
        <x:v>62.0107</x:v>
      </x:c>
      <x:c r="BG79" s="60" t="n">
        <x:v>62.3931</x:v>
      </x:c>
      <x:c r="BH79" s="60" t="n">
        <x:v>62.7873</x:v>
      </x:c>
      <x:c r="BI79" s="60" t="n">
        <x:v>63.2209</x:v>
      </x:c>
      <x:c r="BJ79" s="60" t="n">
        <x:v>63.6581</x:v>
      </x:c>
      <x:c r="BK79" s="60" t="n">
        <x:v>64.0639</x:v>
      </x:c>
      <x:c r="BL79" s="60" t="n">
        <x:v>64.4494</x:v>
      </x:c>
      <x:c r="BM79" s="60" t="n">
        <x:v>64.7939</x:v>
      </x:c>
      <x:c r="BN79" s="60" t="n">
        <x:v>65.2022</x:v>
      </x:c>
      <x:c r="BO79" s="60" t="n">
        <x:v>65.57</x:v>
      </x:c>
      <x:c r="BP79" s="60" t="n">
        <x:v>65.9309</x:v>
      </x:c>
      <x:c r="BQ79" s="60" t="n">
        <x:v>66.3648</x:v>
      </x:c>
      <x:c r="BR79" s="60" t="n">
        <x:v>66.7714</x:v>
      </x:c>
      <x:c r="BS79" s="60" t="n">
        <x:v>67.1788</x:v>
      </x:c>
      <x:c r="BT79" s="60" t="n">
        <x:v>67.5512</x:v>
      </x:c>
      <x:c r="BU79" s="60" t="n">
        <x:v>67.9125</x:v>
      </x:c>
      <x:c r="BV79" s="60" t="n">
        <x:v>68.2895</x:v>
      </x:c>
      <x:c r="BW79" s="60" t="n">
        <x:v>68.7101</x:v>
      </x:c>
      <x:c r="BX79" s="60" t="n">
        <x:v>69.126</x:v>
      </x:c>
      <x:c r="BY79" s="60" t="n">
        <x:v>69.5131</x:v>
      </x:c>
      <x:c r="BZ79" s="60" t="n">
        <x:v>69.904</x:v>
      </x:c>
      <x:c r="CA79" s="60" t="n">
        <x:v>70.3135</x:v>
      </x:c>
      <x:c r="CB79" s="60" t="n">
        <x:v>70.7045</x:v>
      </x:c>
      <x:c r="CC79" s="60" t="n">
        <x:v>71.1181</x:v>
      </x:c>
      <x:c r="CD79" s="60" t="n">
        <x:v>71.5429</x:v>
      </x:c>
      <x:c r="CE79" s="60" t="n">
        <x:v>71.936</x:v>
      </x:c>
      <x:c r="CF79" s="60" t="n">
        <x:v>72.4009</x:v>
      </x:c>
      <x:c r="CG79" s="60" t="n">
        <x:v>72.8104</x:v>
      </x:c>
      <x:c r="CH79" s="60" t="n">
        <x:v>73.3007</x:v>
      </x:c>
      <x:c r="CI79" s="60" t="n">
        <x:v>73.7646</x:v>
      </x:c>
      <x:c r="CJ79" s="60" t="n">
        <x:v>74.2208</x:v>
      </x:c>
      <x:c r="CK79" s="60" t="n">
        <x:v>74.6963</x:v>
      </x:c>
      <x:c r="CL79" s="60" t="n">
        <x:v>75.1966</x:v>
      </x:c>
      <x:c r="CM79" s="60" t="n">
        <x:v>75.6903</x:v>
      </x:c>
      <x:c r="CN79" s="60" t="n">
        <x:v>76.2003</x:v>
      </x:c>
      <x:c r="CO79" s="60" t="n">
        <x:v>76.6704</x:v>
      </x:c>
      <x:c r="CP79" s="60" t="n">
        <x:v>77.1647</x:v>
      </x:c>
      <x:c r="CQ79" s="60" t="n">
        <x:v>77.7846</x:v>
      </x:c>
      <x:c r="CR79" s="60" t="n">
        <x:v>78.4521</x:v>
      </x:c>
      <x:c r="CS79" s="60" t="n">
        <x:v>79.0625</x:v>
      </x:c>
      <x:c r="CT79" s="60" t="n">
        <x:v>79.8552</x:v>
      </x:c>
      <x:c r="CU79" s="60" t="n">
        <x:v>80.6035</x:v>
      </x:c>
      <x:c r="CV79" s="60" t="n">
        <x:v>81.4895</x:v>
      </x:c>
      <x:c r="CW79" s="60" t="n">
        <x:v>82.3254</x:v>
      </x:c>
      <x:c r="CX79" s="60" t="n">
        <x:v>83.259</x:v>
      </x:c>
      <x:c r="CY79" s="60" t="n">
        <x:v>84.3584</x:v>
      </x:c>
      <x:c r="CZ79" s="60" t="n">
        <x:v>85.7667</x:v>
      </x:c>
      <x:c r="DA79" s="60" t="n">
        <x:v>87.5245</x:v>
      </x:c>
      <x:c r="DB79" s="60" t="n">
        <x:v>92.2721</x:v>
      </x:c>
    </x:row>
    <x:row r="80">
      <x:c r="A80" t="str">
        <x:v>ルカリオ-2</x:v>
      </x:c>
      <x:c r="B80" t="str">
        <x:v>ルカリオ</x:v>
      </x:c>
      <x:c r="C80" t="str">
        <x:v>グロウパンチ</x:v>
      </x:c>
      <x:c r="D80" s="60" t="n">
        <x:v>61.907</x:v>
      </x:c>
      <x:c r="E80" s="60" t="n">
        <x:v>12.7079</x:v>
      </x:c>
      <x:c r="F80" s="60" t="n">
        <x:v>26.658</x:v>
      </x:c>
      <x:c r="G80" s="60" t="n">
        <x:v>34.5958</x:v>
      </x:c>
      <x:c r="H80" s="60" t="n">
        <x:v>35.9841</x:v>
      </x:c>
      <x:c r="I80" s="60" t="n">
        <x:v>37.0605</x:v>
      </x:c>
      <x:c r="J80" s="60" t="n">
        <x:v>38.1382</x:v>
      </x:c>
      <x:c r="K80" s="60" t="n">
        <x:v>39.14</x:v>
      </x:c>
      <x:c r="L80" s="60" t="n">
        <x:v>40.1108</x:v>
      </x:c>
      <x:c r="M80" s="60" t="n">
        <x:v>41.1261</x:v>
      </x:c>
      <x:c r="N80" s="60" t="n">
        <x:v>41.9672</x:v>
      </x:c>
      <x:c r="O80" s="60" t="n">
        <x:v>42.9207</x:v>
      </x:c>
      <x:c r="P80" s="60" t="n">
        <x:v>43.6966</x:v>
      </x:c>
      <x:c r="Q80" s="60" t="n">
        <x:v>44.3883</x:v>
      </x:c>
      <x:c r="R80" s="60" t="n">
        <x:v>45.2387</x:v>
      </x:c>
      <x:c r="S80" s="60" t="n">
        <x:v>45.8518</x:v>
      </x:c>
      <x:c r="T80" s="60" t="n">
        <x:v>46.4977</x:v>
      </x:c>
      <x:c r="U80" s="60" t="n">
        <x:v>47.2027</x:v>
      </x:c>
      <x:c r="V80" s="60" t="n">
        <x:v>47.779</x:v>
      </x:c>
      <x:c r="W80" s="60" t="n">
        <x:v>48.3638</x:v>
      </x:c>
      <x:c r="X80" s="60" t="n">
        <x:v>48.9138</x:v>
      </x:c>
      <x:c r="Y80" s="60" t="n">
        <x:v>49.5204</x:v>
      </x:c>
      <x:c r="Z80" s="60" t="n">
        <x:v>49.9949</x:v>
      </x:c>
      <x:c r="AA80" s="60" t="n">
        <x:v>50.5519</x:v>
      </x:c>
      <x:c r="AB80" s="60" t="n">
        <x:v>51.0432</x:v>
      </x:c>
      <x:c r="AC80" s="60" t="n">
        <x:v>51.5236</x:v>
      </x:c>
      <x:c r="AD80" s="60" t="n">
        <x:v>52.0598</x:v>
      </x:c>
      <x:c r="AE80" s="60" t="n">
        <x:v>52.5153</x:v>
      </x:c>
      <x:c r="AF80" s="60" t="n">
        <x:v>53.0407</x:v>
      </x:c>
      <x:c r="AG80" s="60" t="n">
        <x:v>53.5371</x:v>
      </x:c>
      <x:c r="AH80" s="60" t="n">
        <x:v>54.0128</x:v>
      </x:c>
      <x:c r="AI80" s="60" t="n">
        <x:v>54.4764</x:v>
      </x:c>
      <x:c r="AJ80" s="60" t="n">
        <x:v>54.9269</x:v>
      </x:c>
      <x:c r="AK80" s="60" t="n">
        <x:v>55.41</x:v>
      </x:c>
      <x:c r="AL80" s="60" t="n">
        <x:v>55.8539</x:v>
      </x:c>
      <x:c r="AM80" s="60" t="n">
        <x:v>56.2769</x:v>
      </x:c>
      <x:c r="AN80" s="60" t="n">
        <x:v>56.6971</x:v>
      </x:c>
      <x:c r="AO80" s="60" t="n">
        <x:v>57.0974</x:v>
      </x:c>
      <x:c r="AP80" s="60" t="n">
        <x:v>57.5043</x:v>
      </x:c>
      <x:c r="AQ80" s="60" t="n">
        <x:v>57.8747</x:v>
      </x:c>
      <x:c r="AR80" s="60" t="n">
        <x:v>58.3331</x:v>
      </x:c>
      <x:c r="AS80" s="60" t="n">
        <x:v>58.7127</x:v>
      </x:c>
      <x:c r="AT80" s="60" t="n">
        <x:v>59.105</x:v>
      </x:c>
      <x:c r="AU80" s="60" t="n">
        <x:v>59.4862</x:v>
      </x:c>
      <x:c r="AV80" s="60" t="n">
        <x:v>59.8845</x:v>
      </x:c>
      <x:c r="AW80" s="60" t="n">
        <x:v>60.2662</x:v>
      </x:c>
      <x:c r="AX80" s="60" t="n">
        <x:v>60.6445</x:v>
      </x:c>
      <x:c r="AY80" s="60" t="n">
        <x:v>61.0438</x:v>
      </x:c>
      <x:c r="AZ80" s="60" t="n">
        <x:v>61.4279</x:v>
      </x:c>
      <x:c r="BA80" s="60" t="n">
        <x:v>61.8421</x:v>
      </x:c>
      <x:c r="BB80" s="60" t="n">
        <x:v>62.2422</x:v>
      </x:c>
      <x:c r="BC80" s="60" t="n">
        <x:v>62.634</x:v>
      </x:c>
      <x:c r="BD80" s="60" t="n">
        <x:v>63.0184</x:v>
      </x:c>
      <x:c r="BE80" s="60" t="n">
        <x:v>63.3841</x:v>
      </x:c>
      <x:c r="BF80" s="60" t="n">
        <x:v>63.7718</x:v>
      </x:c>
      <x:c r="BG80" s="60" t="n">
        <x:v>64.1063</x:v>
      </x:c>
      <x:c r="BH80" s="60" t="n">
        <x:v>64.453</x:v>
      </x:c>
      <x:c r="BI80" s="60" t="n">
        <x:v>64.8784</x:v>
      </x:c>
      <x:c r="BJ80" s="60" t="n">
        <x:v>65.2352</x:v>
      </x:c>
      <x:c r="BK80" s="60" t="n">
        <x:v>65.6066</x:v>
      </x:c>
      <x:c r="BL80" s="60" t="n">
        <x:v>65.9803</x:v>
      </x:c>
      <x:c r="BM80" s="60" t="n">
        <x:v>66.3475</x:v>
      </x:c>
      <x:c r="BN80" s="60" t="n">
        <x:v>66.7048</x:v>
      </x:c>
      <x:c r="BO80" s="60" t="n">
        <x:v>67.0201</x:v>
      </x:c>
      <x:c r="BP80" s="60" t="n">
        <x:v>67.3812</x:v>
      </x:c>
      <x:c r="BQ80" s="60" t="n">
        <x:v>67.7233</x:v>
      </x:c>
      <x:c r="BR80" s="60" t="n">
        <x:v>68.0798</x:v>
      </x:c>
      <x:c r="BS80" s="60" t="n">
        <x:v>68.4307</x:v>
      </x:c>
      <x:c r="BT80" s="60" t="n">
        <x:v>68.7835</x:v>
      </x:c>
      <x:c r="BU80" s="60" t="n">
        <x:v>69.1188</x:v>
      </x:c>
      <x:c r="BV80" s="60" t="n">
        <x:v>69.5445</x:v>
      </x:c>
      <x:c r="BW80" s="60" t="n">
        <x:v>69.8856</x:v>
      </x:c>
      <x:c r="BX80" s="60" t="n">
        <x:v>70.2085</x:v>
      </x:c>
      <x:c r="BY80" s="60" t="n">
        <x:v>70.524</x:v>
      </x:c>
      <x:c r="BZ80" s="60" t="n">
        <x:v>70.9044</x:v>
      </x:c>
      <x:c r="CA80" s="60" t="n">
        <x:v>71.2775</x:v>
      </x:c>
      <x:c r="CB80" s="60" t="n">
        <x:v>71.6499</x:v>
      </x:c>
      <x:c r="CC80" s="60" t="n">
        <x:v>72.0008</x:v>
      </x:c>
      <x:c r="CD80" s="60" t="n">
        <x:v>72.3957</x:v>
      </x:c>
      <x:c r="CE80" s="60" t="n">
        <x:v>72.7634</x:v>
      </x:c>
      <x:c r="CF80" s="60" t="n">
        <x:v>73.15</x:v>
      </x:c>
      <x:c r="CG80" s="60" t="n">
        <x:v>73.513</x:v>
      </x:c>
      <x:c r="CH80" s="60" t="n">
        <x:v>73.8896</x:v>
      </x:c>
      <x:c r="CI80" s="60" t="n">
        <x:v>74.2955</x:v>
      </x:c>
      <x:c r="CJ80" s="60" t="n">
        <x:v>74.6679</x:v>
      </x:c>
      <x:c r="CK80" s="60" t="n">
        <x:v>75.0713</x:v>
      </x:c>
      <x:c r="CL80" s="60" t="n">
        <x:v>75.4754</x:v>
      </x:c>
      <x:c r="CM80" s="60" t="n">
        <x:v>75.8629</x:v>
      </x:c>
      <x:c r="CN80" s="60" t="n">
        <x:v>76.2887</x:v>
      </x:c>
      <x:c r="CO80" s="60" t="n">
        <x:v>76.7471</x:v>
      </x:c>
      <x:c r="CP80" s="60" t="n">
        <x:v>77.1832</x:v>
      </x:c>
      <x:c r="CQ80" s="60" t="n">
        <x:v>77.677</x:v>
      </x:c>
      <x:c r="CR80" s="60" t="n">
        <x:v>78.1112</x:v>
      </x:c>
      <x:c r="CS80" s="60" t="n">
        <x:v>78.6314</x:v>
      </x:c>
      <x:c r="CT80" s="60" t="n">
        <x:v>79.1063</x:v>
      </x:c>
      <x:c r="CU80" s="60" t="n">
        <x:v>79.6182</x:v>
      </x:c>
      <x:c r="CV80" s="60" t="n">
        <x:v>80.2448</x:v>
      </x:c>
      <x:c r="CW80" s="60" t="n">
        <x:v>80.847</x:v>
      </x:c>
      <x:c r="CX80" s="60" t="n">
        <x:v>81.6102</x:v>
      </x:c>
      <x:c r="CY80" s="60" t="n">
        <x:v>82.4139</x:v>
      </x:c>
      <x:c r="CZ80" s="60" t="n">
        <x:v>83.274</x:v>
      </x:c>
      <x:c r="DA80" s="60" t="n">
        <x:v>84.4385</x:v>
      </x:c>
      <x:c r="DB80" s="60" t="n">
        <x:v>87.2548</x:v>
      </x:c>
    </x:row>
    <x:row r="81">
      <x:c r="A81" t="str">
        <x:v>メガルカリオ-1</x:v>
      </x:c>
      <x:c r="B81" t="str">
        <x:v>メガルカリオ</x:v>
      </x:c>
      <x:c r="C81" t="str">
        <x:v>共通</x:v>
      </x:c>
      <x:c r="D81" s="60" t="n">
        <x:v>61.2205</x:v>
      </x:c>
      <x:c r="E81" s="60" t="n">
        <x:v>12.2544</x:v>
      </x:c>
      <x:c r="F81" s="60" t="n">
        <x:v>26.821</x:v>
      </x:c>
      <x:c r="G81" s="60" t="n">
        <x:v>34.6948</x:v>
      </x:c>
      <x:c r="H81" s="60" t="n">
        <x:v>36.2492</x:v>
      </x:c>
      <x:c r="I81" s="60" t="n">
        <x:v>37.5322</x:v>
      </x:c>
      <x:c r="J81" s="60" t="n">
        <x:v>38.6729</x:v>
      </x:c>
      <x:c r="K81" s="60" t="n">
        <x:v>39.7387</x:v>
      </x:c>
      <x:c r="L81" s="60" t="n">
        <x:v>40.7269</x:v>
      </x:c>
      <x:c r="M81" s="60" t="n">
        <x:v>41.6253</x:v>
      </x:c>
      <x:c r="N81" s="60" t="n">
        <x:v>42.4611</x:v>
      </x:c>
      <x:c r="O81" s="60" t="n">
        <x:v>43.203</x:v>
      </x:c>
      <x:c r="P81" s="60" t="n">
        <x:v>43.9486</x:v>
      </x:c>
      <x:c r="Q81" s="60" t="n">
        <x:v>44.6916</x:v>
      </x:c>
      <x:c r="R81" s="60" t="n">
        <x:v>45.3614</x:v>
      </x:c>
      <x:c r="S81" s="60" t="n">
        <x:v>46.0303</x:v>
      </x:c>
      <x:c r="T81" s="60" t="n">
        <x:v>46.6781</x:v>
      </x:c>
      <x:c r="U81" s="60" t="n">
        <x:v>47.2333</x:v>
      </x:c>
      <x:c r="V81" s="60" t="n">
        <x:v>47.8299</x:v>
      </x:c>
      <x:c r="W81" s="60" t="n">
        <x:v>48.3686</x:v>
      </x:c>
      <x:c r="X81" s="60" t="n">
        <x:v>48.8902</x:v>
      </x:c>
      <x:c r="Y81" s="60" t="n">
        <x:v>49.4192</x:v>
      </x:c>
      <x:c r="Z81" s="60" t="n">
        <x:v>49.9127</x:v>
      </x:c>
      <x:c r="AA81" s="60" t="n">
        <x:v>50.386</x:v>
      </x:c>
      <x:c r="AB81" s="60" t="n">
        <x:v>50.8636</x:v>
      </x:c>
      <x:c r="AC81" s="60" t="n">
        <x:v>51.3341</x:v>
      </x:c>
      <x:c r="AD81" s="60" t="n">
        <x:v>51.7708</x:v>
      </x:c>
      <x:c r="AE81" s="60" t="n">
        <x:v>52.235</x:v>
      </x:c>
      <x:c r="AF81" s="60" t="n">
        <x:v>52.68</x:v>
      </x:c>
      <x:c r="AG81" s="60" t="n">
        <x:v>53.1556</x:v>
      </x:c>
      <x:c r="AH81" s="60" t="n">
        <x:v>53.6124</x:v>
      </x:c>
      <x:c r="AI81" s="60" t="n">
        <x:v>54.0701</x:v>
      </x:c>
      <x:c r="AJ81" s="60" t="n">
        <x:v>54.5171</x:v>
      </x:c>
      <x:c r="AK81" s="60" t="n">
        <x:v>54.8692</x:v>
      </x:c>
      <x:c r="AL81" s="60" t="n">
        <x:v>55.2649</x:v>
      </x:c>
      <x:c r="AM81" s="60" t="n">
        <x:v>55.6735</x:v>
      </x:c>
      <x:c r="AN81" s="60" t="n">
        <x:v>56.0977</x:v>
      </x:c>
      <x:c r="AO81" s="60" t="n">
        <x:v>56.503</x:v>
      </x:c>
      <x:c r="AP81" s="60" t="n">
        <x:v>56.8576</x:v>
      </x:c>
      <x:c r="AQ81" s="60" t="n">
        <x:v>57.2483</x:v>
      </x:c>
      <x:c r="AR81" s="60" t="n">
        <x:v>57.5957</x:v>
      </x:c>
      <x:c r="AS81" s="60" t="n">
        <x:v>57.9464</x:v>
      </x:c>
      <x:c r="AT81" s="60" t="n">
        <x:v>58.332</x:v>
      </x:c>
      <x:c r="AU81" s="60" t="n">
        <x:v>58.6799</x:v>
      </x:c>
      <x:c r="AV81" s="60" t="n">
        <x:v>59.0594</x:v>
      </x:c>
      <x:c r="AW81" s="60" t="n">
        <x:v>59.486</x:v>
      </x:c>
      <x:c r="AX81" s="60" t="n">
        <x:v>59.8675</x:v>
      </x:c>
      <x:c r="AY81" s="60" t="n">
        <x:v>60.1953</x:v>
      </x:c>
      <x:c r="AZ81" s="60" t="n">
        <x:v>60.5632</x:v>
      </x:c>
      <x:c r="BA81" s="60" t="n">
        <x:v>60.9049</x:v>
      </x:c>
      <x:c r="BB81" s="60" t="n">
        <x:v>61.3234</x:v>
      </x:c>
      <x:c r="BC81" s="60" t="n">
        <x:v>61.6948</x:v>
      </x:c>
      <x:c r="BD81" s="60" t="n">
        <x:v>62.0716</x:v>
      </x:c>
      <x:c r="BE81" s="60" t="n">
        <x:v>62.3951</x:v>
      </x:c>
      <x:c r="BF81" s="60" t="n">
        <x:v>62.7423</x:v>
      </x:c>
      <x:c r="BG81" s="60" t="n">
        <x:v>63.0916</x:v>
      </x:c>
      <x:c r="BH81" s="60" t="n">
        <x:v>63.4825</x:v>
      </x:c>
      <x:c r="BI81" s="60" t="n">
        <x:v>63.8219</x:v>
      </x:c>
      <x:c r="BJ81" s="60" t="n">
        <x:v>64.1442</x:v>
      </x:c>
      <x:c r="BK81" s="60" t="n">
        <x:v>64.4558</x:v>
      </x:c>
      <x:c r="BL81" s="60" t="n">
        <x:v>64.7821</x:v>
      </x:c>
      <x:c r="BM81" s="60" t="n">
        <x:v>65.1229</x:v>
      </x:c>
      <x:c r="BN81" s="60" t="n">
        <x:v>65.4727</x:v>
      </x:c>
      <x:c r="BO81" s="60" t="n">
        <x:v>65.8249</x:v>
      </x:c>
      <x:c r="BP81" s="60" t="n">
        <x:v>66.2203</x:v>
      </x:c>
      <x:c r="BQ81" s="60" t="n">
        <x:v>66.5404</x:v>
      </x:c>
      <x:c r="BR81" s="60" t="n">
        <x:v>66.8433</x:v>
      </x:c>
      <x:c r="BS81" s="60" t="n">
        <x:v>67.1652</x:v>
      </x:c>
      <x:c r="BT81" s="60" t="n">
        <x:v>67.5168</x:v>
      </x:c>
      <x:c r="BU81" s="60" t="n">
        <x:v>67.8512</x:v>
      </x:c>
      <x:c r="BV81" s="60" t="n">
        <x:v>68.2043</x:v>
      </x:c>
      <x:c r="BW81" s="60" t="n">
        <x:v>68.5241</x:v>
      </x:c>
      <x:c r="BX81" s="60" t="n">
        <x:v>68.8733</x:v>
      </x:c>
      <x:c r="BY81" s="60" t="n">
        <x:v>69.2679</x:v>
      </x:c>
      <x:c r="BZ81" s="60" t="n">
        <x:v>69.6036</x:v>
      </x:c>
      <x:c r="CA81" s="60" t="n">
        <x:v>69.9601</x:v>
      </x:c>
      <x:c r="CB81" s="60" t="n">
        <x:v>70.2962</x:v>
      </x:c>
      <x:c r="CC81" s="60" t="n">
        <x:v>70.6838</x:v>
      </x:c>
      <x:c r="CD81" s="60" t="n">
        <x:v>71.0216</x:v>
      </x:c>
      <x:c r="CE81" s="60" t="n">
        <x:v>71.3998</x:v>
      </x:c>
      <x:c r="CF81" s="60" t="n">
        <x:v>71.7738</x:v>
      </x:c>
      <x:c r="CG81" s="60" t="n">
        <x:v>72.1463</x:v>
      </x:c>
      <x:c r="CH81" s="60" t="n">
        <x:v>72.5071</x:v>
      </x:c>
      <x:c r="CI81" s="60" t="n">
        <x:v>72.9725</x:v>
      </x:c>
      <x:c r="CJ81" s="60" t="n">
        <x:v>73.3996</x:v>
      </x:c>
      <x:c r="CK81" s="60" t="n">
        <x:v>73.8451</x:v>
      </x:c>
      <x:c r="CL81" s="60" t="n">
        <x:v>74.2682</x:v>
      </x:c>
      <x:c r="CM81" s="60" t="n">
        <x:v>74.6865</x:v>
      </x:c>
      <x:c r="CN81" s="60" t="n">
        <x:v>75.1051</x:v>
      </x:c>
      <x:c r="CO81" s="60" t="n">
        <x:v>75.5626</x:v>
      </x:c>
      <x:c r="CP81" s="60" t="n">
        <x:v>75.9842</x:v>
      </x:c>
      <x:c r="CQ81" s="60" t="n">
        <x:v>76.4532</x:v>
      </x:c>
      <x:c r="CR81" s="60" t="n">
        <x:v>76.9915</x:v>
      </x:c>
      <x:c r="CS81" s="60" t="n">
        <x:v>77.5692</x:v>
      </x:c>
      <x:c r="CT81" s="60" t="n">
        <x:v>78.141</x:v>
      </x:c>
      <x:c r="CU81" s="60" t="n">
        <x:v>78.8309</x:v>
      </x:c>
      <x:c r="CV81" s="60" t="n">
        <x:v>79.4823</x:v>
      </x:c>
      <x:c r="CW81" s="60" t="n">
        <x:v>80.1107</x:v>
      </x:c>
      <x:c r="CX81" s="60" t="n">
        <x:v>80.8953</x:v>
      </x:c>
      <x:c r="CY81" s="60" t="n">
        <x:v>81.8507</x:v>
      </x:c>
      <x:c r="CZ81" s="60" t="n">
        <x:v>83.0049</x:v>
      </x:c>
      <x:c r="DA81" s="60" t="n">
        <x:v>84.183</x:v>
      </x:c>
      <x:c r="DB81" s="60" t="n">
        <x:v>87.2378</x:v>
      </x:c>
    </x:row>
    <x:row r="82">
      <x:c r="A82" t="str">
        <x:v>アブソル-1</x:v>
      </x:c>
      <x:c r="B82" t="str">
        <x:v>アブソル</x:v>
      </x:c>
      <x:c r="C82" t="str">
        <x:v>共通</x:v>
      </x:c>
      <x:c r="D82" s="60" t="n">
        <x:v>60.2566</x:v>
      </x:c>
      <x:c r="E82" s="60" t="n">
        <x:v>13.0348</x:v>
      </x:c>
      <x:c r="F82" s="60" t="n">
        <x:v>24.8326</x:v>
      </x:c>
      <x:c r="G82" s="60" t="n">
        <x:v>32.711</x:v>
      </x:c>
      <x:c r="H82" s="60" t="n">
        <x:v>34.449</x:v>
      </x:c>
      <x:c r="I82" s="60" t="n">
        <x:v>35.6053</x:v>
      </x:c>
      <x:c r="J82" s="60" t="n">
        <x:v>36.6634</x:v>
      </x:c>
      <x:c r="K82" s="60" t="n">
        <x:v>37.7622</x:v>
      </x:c>
      <x:c r="L82" s="60" t="n">
        <x:v>38.7701</x:v>
      </x:c>
      <x:c r="M82" s="60" t="n">
        <x:v>39.7162</x:v>
      </x:c>
      <x:c r="N82" s="60" t="n">
        <x:v>40.531</x:v>
      </x:c>
      <x:c r="O82" s="60" t="n">
        <x:v>41.2623</x:v>
      </x:c>
      <x:c r="P82" s="60" t="n">
        <x:v>42.0044</x:v>
      </x:c>
      <x:c r="Q82" s="60" t="n">
        <x:v>42.8581</x:v>
      </x:c>
      <x:c r="R82" s="60" t="n">
        <x:v>43.5566</x:v>
      </x:c>
      <x:c r="S82" s="60" t="n">
        <x:v>44.2195</x:v>
      </x:c>
      <x:c r="T82" s="60" t="n">
        <x:v>44.8399</x:v>
      </x:c>
      <x:c r="U82" s="60" t="n">
        <x:v>45.4578</x:v>
      </x:c>
      <x:c r="V82" s="60" t="n">
        <x:v>46.059</x:v>
      </x:c>
      <x:c r="W82" s="60" t="n">
        <x:v>46.5724</x:v>
      </x:c>
      <x:c r="X82" s="60" t="n">
        <x:v>47.1608</x:v>
      </x:c>
      <x:c r="Y82" s="60" t="n">
        <x:v>47.7466</x:v>
      </x:c>
      <x:c r="Z82" s="60" t="n">
        <x:v>48.2652</x:v>
      </x:c>
      <x:c r="AA82" s="60" t="n">
        <x:v>48.7473</x:v>
      </x:c>
      <x:c r="AB82" s="60" t="n">
        <x:v>49.227</x:v>
      </x:c>
      <x:c r="AC82" s="60" t="n">
        <x:v>49.7155</x:v>
      </x:c>
      <x:c r="AD82" s="60" t="n">
        <x:v>50.1462</x:v>
      </x:c>
      <x:c r="AE82" s="60" t="n">
        <x:v>50.6337</x:v>
      </x:c>
      <x:c r="AF82" s="60" t="n">
        <x:v>51.1246</x:v>
      </x:c>
      <x:c r="AG82" s="60" t="n">
        <x:v>51.5997</x:v>
      </x:c>
      <x:c r="AH82" s="60" t="n">
        <x:v>51.9921</x:v>
      </x:c>
      <x:c r="AI82" s="60" t="n">
        <x:v>52.4356</x:v>
      </x:c>
      <x:c r="AJ82" s="60" t="n">
        <x:v>52.8634</x:v>
      </x:c>
      <x:c r="AK82" s="60" t="n">
        <x:v>53.2745</x:v>
      </x:c>
      <x:c r="AL82" s="60" t="n">
        <x:v>53.7076</x:v>
      </x:c>
      <x:c r="AM82" s="60" t="n">
        <x:v>54.1563</x:v>
      </x:c>
      <x:c r="AN82" s="60" t="n">
        <x:v>54.5884</x:v>
      </x:c>
      <x:c r="AO82" s="60" t="n">
        <x:v>55.0014</x:v>
      </x:c>
      <x:c r="AP82" s="60" t="n">
        <x:v>55.4371</x:v>
      </x:c>
      <x:c r="AQ82" s="60" t="n">
        <x:v>55.8632</x:v>
      </x:c>
      <x:c r="AR82" s="60" t="n">
        <x:v>56.2355</x:v>
      </x:c>
      <x:c r="AS82" s="60" t="n">
        <x:v>56.6238</x:v>
      </x:c>
      <x:c r="AT82" s="60" t="n">
        <x:v>56.982</x:v>
      </x:c>
      <x:c r="AU82" s="60" t="n">
        <x:v>57.3971</x:v>
      </x:c>
      <x:c r="AV82" s="60" t="n">
        <x:v>57.7781</x:v>
      </x:c>
      <x:c r="AW82" s="60" t="n">
        <x:v>58.1864</x:v>
      </x:c>
      <x:c r="AX82" s="60" t="n">
        <x:v>58.6125</x:v>
      </x:c>
      <x:c r="AY82" s="60" t="n">
        <x:v>58.9962</x:v>
      </x:c>
      <x:c r="AZ82" s="60" t="n">
        <x:v>59.3974</x:v>
      </x:c>
      <x:c r="BA82" s="60" t="n">
        <x:v>59.7778</x:v>
      </x:c>
      <x:c r="BB82" s="60" t="n">
        <x:v>60.121</x:v>
      </x:c>
      <x:c r="BC82" s="60" t="n">
        <x:v>60.5014</x:v>
      </x:c>
      <x:c r="BD82" s="60" t="n">
        <x:v>60.9012</x:v>
      </x:c>
      <x:c r="BE82" s="60" t="n">
        <x:v>61.2657</x:v>
      </x:c>
      <x:c r="BF82" s="60" t="n">
        <x:v>61.5918</x:v>
      </x:c>
      <x:c r="BG82" s="60" t="n">
        <x:v>61.9761</x:v>
      </x:c>
      <x:c r="BH82" s="60" t="n">
        <x:v>62.329</x:v>
      </x:c>
      <x:c r="BI82" s="60" t="n">
        <x:v>62.6057</x:v>
      </x:c>
      <x:c r="BJ82" s="60" t="n">
        <x:v>63.011</x:v>
      </x:c>
      <x:c r="BK82" s="60" t="n">
        <x:v>63.3685</x:v>
      </x:c>
      <x:c r="BL82" s="60" t="n">
        <x:v>63.6944</x:v>
      </x:c>
      <x:c r="BM82" s="60" t="n">
        <x:v>64.0843</x:v>
      </x:c>
      <x:c r="BN82" s="60" t="n">
        <x:v>64.462</x:v>
      </x:c>
      <x:c r="BO82" s="60" t="n">
        <x:v>64.8372</x:v>
      </x:c>
      <x:c r="BP82" s="60" t="n">
        <x:v>65.2417</x:v>
      </x:c>
      <x:c r="BQ82" s="60" t="n">
        <x:v>65.6344</x:v>
      </x:c>
      <x:c r="BR82" s="60" t="n">
        <x:v>65.9448</x:v>
      </x:c>
      <x:c r="BS82" s="60" t="n">
        <x:v>66.3253</x:v>
      </x:c>
      <x:c r="BT82" s="60" t="n">
        <x:v>66.7139</x:v>
      </x:c>
      <x:c r="BU82" s="60" t="n">
        <x:v>67.0963</x:v>
      </x:c>
      <x:c r="BV82" s="60" t="n">
        <x:v>67.5124</x:v>
      </x:c>
      <x:c r="BW82" s="60" t="n">
        <x:v>67.9156</x:v>
      </x:c>
      <x:c r="BX82" s="60" t="n">
        <x:v>68.3072</x:v>
      </x:c>
      <x:c r="BY82" s="60" t="n">
        <x:v>68.7092</x:v>
      </x:c>
      <x:c r="BZ82" s="60" t="n">
        <x:v>69.107</x:v>
      </x:c>
      <x:c r="CA82" s="60" t="n">
        <x:v>69.483</x:v>
      </x:c>
      <x:c r="CB82" s="60" t="n">
        <x:v>69.8945</x:v>
      </x:c>
      <x:c r="CC82" s="60" t="n">
        <x:v>70.2768</x:v>
      </x:c>
      <x:c r="CD82" s="60" t="n">
        <x:v>70.6577</x:v>
      </x:c>
      <x:c r="CE82" s="60" t="n">
        <x:v>71.0702</x:v>
      </x:c>
      <x:c r="CF82" s="60" t="n">
        <x:v>71.5241</x:v>
      </x:c>
      <x:c r="CG82" s="60" t="n">
        <x:v>71.9528</x:v>
      </x:c>
      <x:c r="CH82" s="60" t="n">
        <x:v>72.3699</x:v>
      </x:c>
      <x:c r="CI82" s="60" t="n">
        <x:v>72.8085</x:v>
      </x:c>
      <x:c r="CJ82" s="60" t="n">
        <x:v>73.2121</x:v>
      </x:c>
      <x:c r="CK82" s="60" t="n">
        <x:v>73.6267</x:v>
      </x:c>
      <x:c r="CL82" s="60" t="n">
        <x:v>74.0338</x:v>
      </x:c>
      <x:c r="CM82" s="60" t="n">
        <x:v>74.4936</x:v>
      </x:c>
      <x:c r="CN82" s="60" t="n">
        <x:v>74.9824</x:v>
      </x:c>
      <x:c r="CO82" s="60" t="n">
        <x:v>75.5244</x:v>
      </x:c>
      <x:c r="CP82" s="60" t="n">
        <x:v>76.107</x:v>
      </x:c>
      <x:c r="CQ82" s="60" t="n">
        <x:v>76.7146</x:v>
      </x:c>
      <x:c r="CR82" s="60" t="n">
        <x:v>77.2666</x:v>
      </x:c>
      <x:c r="CS82" s="60" t="n">
        <x:v>77.8042</x:v>
      </x:c>
      <x:c r="CT82" s="60" t="n">
        <x:v>78.5223</x:v>
      </x:c>
      <x:c r="CU82" s="60" t="n">
        <x:v>79.2336</x:v>
      </x:c>
      <x:c r="CV82" s="60" t="n">
        <x:v>79.9729</x:v>
      </x:c>
      <x:c r="CW82" s="60" t="n">
        <x:v>80.6913</x:v>
      </x:c>
      <x:c r="CX82" s="60" t="n">
        <x:v>81.6904</x:v>
      </x:c>
      <x:c r="CY82" s="60" t="n">
        <x:v>82.879</x:v>
      </x:c>
      <x:c r="CZ82" s="60" t="n">
        <x:v>84.0792</x:v>
      </x:c>
      <x:c r="DA82" s="60" t="n">
        <x:v>85.6691</x:v>
      </x:c>
      <x:c r="DB82" s="60" t="n">
        <x:v>91.6751</x:v>
      </x:c>
    </x:row>
    <x:row r="83">
      <x:c r="A83" t="str">
        <x:v>ガラルギャロップ-1</x:v>
      </x:c>
      <x:c r="B83" t="str">
        <x:v>ガラルギャロップ</x:v>
      </x:c>
      <x:c r="C83" t="str">
        <x:v>共通</x:v>
      </x:c>
      <x:c r="D83" s="60" t="n">
        <x:v>61.9546</x:v>
      </x:c>
      <x:c r="E83" s="60" t="n">
        <x:v>13.1398</x:v>
      </x:c>
      <x:c r="F83" s="60" t="n">
        <x:v>25.6472</x:v>
      </x:c>
      <x:c r="G83" s="60" t="n">
        <x:v>33.8987</x:v>
      </x:c>
      <x:c r="H83" s="60" t="n">
        <x:v>35.3556</x:v>
      </x:c>
      <x:c r="I83" s="60" t="n">
        <x:v>36.4623</x:v>
      </x:c>
      <x:c r="J83" s="60" t="n">
        <x:v>37.5778</x:v>
      </x:c>
      <x:c r="K83" s="60" t="n">
        <x:v>38.5982</x:v>
      </x:c>
      <x:c r="L83" s="60" t="n">
        <x:v>39.6858</x:v>
      </x:c>
      <x:c r="M83" s="60" t="n">
        <x:v>40.6265</x:v>
      </x:c>
      <x:c r="N83" s="60" t="n">
        <x:v>41.5549</x:v>
      </x:c>
      <x:c r="O83" s="60" t="n">
        <x:v>42.3118</x:v>
      </x:c>
      <x:c r="P83" s="60" t="n">
        <x:v>43.176</x:v>
      </x:c>
      <x:c r="Q83" s="60" t="n">
        <x:v>44.0172</x:v>
      </x:c>
      <x:c r="R83" s="60" t="n">
        <x:v>44.6868</x:v>
      </x:c>
      <x:c r="S83" s="60" t="n">
        <x:v>45.4374</x:v>
      </x:c>
      <x:c r="T83" s="60" t="n">
        <x:v>46.1575</x:v>
      </x:c>
      <x:c r="U83" s="60" t="n">
        <x:v>46.768</x:v>
      </x:c>
      <x:c r="V83" s="60" t="n">
        <x:v>47.3687</x:v>
      </x:c>
      <x:c r="W83" s="60" t="n">
        <x:v>47.9835</x:v>
      </x:c>
      <x:c r="X83" s="60" t="n">
        <x:v>48.5288</x:v>
      </x:c>
      <x:c r="Y83" s="60" t="n">
        <x:v>49.0823</x:v>
      </x:c>
      <x:c r="Z83" s="60" t="n">
        <x:v>49.6455</x:v>
      </x:c>
      <x:c r="AA83" s="60" t="n">
        <x:v>50.1939</x:v>
      </x:c>
      <x:c r="AB83" s="60" t="n">
        <x:v>50.7852</x:v>
      </x:c>
      <x:c r="AC83" s="60" t="n">
        <x:v>51.2475</x:v>
      </x:c>
      <x:c r="AD83" s="60" t="n">
        <x:v>51.7896</x:v>
      </x:c>
      <x:c r="AE83" s="60" t="n">
        <x:v>52.2991</x:v>
      </x:c>
      <x:c r="AF83" s="60" t="n">
        <x:v>52.7734</x:v>
      </x:c>
      <x:c r="AG83" s="60" t="n">
        <x:v>53.2523</x:v>
      </x:c>
      <x:c r="AH83" s="60" t="n">
        <x:v>53.7487</x:v>
      </x:c>
      <x:c r="AI83" s="60" t="n">
        <x:v>54.2266</x:v>
      </x:c>
      <x:c r="AJ83" s="60" t="n">
        <x:v>54.6571</x:v>
      </x:c>
      <x:c r="AK83" s="60" t="n">
        <x:v>55.1053</x:v>
      </x:c>
      <x:c r="AL83" s="60" t="n">
        <x:v>55.583</x:v>
      </x:c>
      <x:c r="AM83" s="60" t="n">
        <x:v>56.0314</x:v>
      </x:c>
      <x:c r="AN83" s="60" t="n">
        <x:v>56.4511</x:v>
      </x:c>
      <x:c r="AO83" s="60" t="n">
        <x:v>56.8688</x:v>
      </x:c>
      <x:c r="AP83" s="60" t="n">
        <x:v>57.3508</x:v>
      </x:c>
      <x:c r="AQ83" s="60" t="n">
        <x:v>57.7722</x:v>
      </x:c>
      <x:c r="AR83" s="60" t="n">
        <x:v>58.1863</x:v>
      </x:c>
      <x:c r="AS83" s="60" t="n">
        <x:v>58.6013</x:v>
      </x:c>
      <x:c r="AT83" s="60" t="n">
        <x:v>58.9575</x:v>
      </x:c>
      <x:c r="AU83" s="60" t="n">
        <x:v>59.3828</x:v>
      </x:c>
      <x:c r="AV83" s="60" t="n">
        <x:v>59.8047</x:v>
      </x:c>
      <x:c r="AW83" s="60" t="n">
        <x:v>60.1768</x:v>
      </x:c>
      <x:c r="AX83" s="60" t="n">
        <x:v>60.59</x:v>
      </x:c>
      <x:c r="AY83" s="60" t="n">
        <x:v>61.0046</x:v>
      </x:c>
      <x:c r="AZ83" s="60" t="n">
        <x:v>61.3737</x:v>
      </x:c>
      <x:c r="BA83" s="60" t="n">
        <x:v>61.7736</x:v>
      </x:c>
      <x:c r="BB83" s="60" t="n">
        <x:v>62.1857</x:v>
      </x:c>
      <x:c r="BC83" s="60" t="n">
        <x:v>62.5832</x:v>
      </x:c>
      <x:c r="BD83" s="60" t="n">
        <x:v>62.9823</x:v>
      </x:c>
      <x:c r="BE83" s="60" t="n">
        <x:v>63.3883</x:v>
      </x:c>
      <x:c r="BF83" s="60" t="n">
        <x:v>63.7794</x:v>
      </x:c>
      <x:c r="BG83" s="60" t="n">
        <x:v>64.1063</x:v>
      </x:c>
      <x:c r="BH83" s="60" t="n">
        <x:v>64.4638</x:v>
      </x:c>
      <x:c r="BI83" s="60" t="n">
        <x:v>64.848</x:v>
      </x:c>
      <x:c r="BJ83" s="60" t="n">
        <x:v>65.2494</x:v>
      </x:c>
      <x:c r="BK83" s="60" t="n">
        <x:v>65.6131</x:v>
      </x:c>
      <x:c r="BL83" s="60" t="n">
        <x:v>66.0192</x:v>
      </x:c>
      <x:c r="BM83" s="60" t="n">
        <x:v>66.3866</x:v>
      </x:c>
      <x:c r="BN83" s="60" t="n">
        <x:v>66.7553</x:v>
      </x:c>
      <x:c r="BO83" s="60" t="n">
        <x:v>67.1087</x:v>
      </x:c>
      <x:c r="BP83" s="60" t="n">
        <x:v>67.4999</x:v>
      </x:c>
      <x:c r="BQ83" s="60" t="n">
        <x:v>67.886</x:v>
      </x:c>
      <x:c r="BR83" s="60" t="n">
        <x:v>68.2156</x:v>
      </x:c>
      <x:c r="BS83" s="60" t="n">
        <x:v>68.6146</x:v>
      </x:c>
      <x:c r="BT83" s="60" t="n">
        <x:v>68.9691</x:v>
      </x:c>
      <x:c r="BU83" s="60" t="n">
        <x:v>69.3325</x:v>
      </x:c>
      <x:c r="BV83" s="60" t="n">
        <x:v>69.6824</x:v>
      </x:c>
      <x:c r="BW83" s="60" t="n">
        <x:v>70.0958</x:v>
      </x:c>
      <x:c r="BX83" s="60" t="n">
        <x:v>70.4703</x:v>
      </x:c>
      <x:c r="BY83" s="60" t="n">
        <x:v>70.8382</x:v>
      </x:c>
      <x:c r="BZ83" s="60" t="n">
        <x:v>71.1966</x:v>
      </x:c>
      <x:c r="CA83" s="60" t="n">
        <x:v>71.5357</x:v>
      </x:c>
      <x:c r="CB83" s="60" t="n">
        <x:v>71.9033</x:v>
      </x:c>
      <x:c r="CC83" s="60" t="n">
        <x:v>72.2527</x:v>
      </x:c>
      <x:c r="CD83" s="60" t="n">
        <x:v>72.6945</x:v>
      </x:c>
      <x:c r="CE83" s="60" t="n">
        <x:v>73.1001</x:v>
      </x:c>
      <x:c r="CF83" s="60" t="n">
        <x:v>73.4923</x:v>
      </x:c>
      <x:c r="CG83" s="60" t="n">
        <x:v>73.9469</x:v>
      </x:c>
      <x:c r="CH83" s="60" t="n">
        <x:v>74.298</x:v>
      </x:c>
      <x:c r="CI83" s="60" t="n">
        <x:v>74.6808</x:v>
      </x:c>
      <x:c r="CJ83" s="60" t="n">
        <x:v>75.1469</x:v>
      </x:c>
      <x:c r="CK83" s="60" t="n">
        <x:v>75.5586</x:v>
      </x:c>
      <x:c r="CL83" s="60" t="n">
        <x:v>75.9552</x:v>
      </x:c>
      <x:c r="CM83" s="60" t="n">
        <x:v>76.3779</x:v>
      </x:c>
      <x:c r="CN83" s="60" t="n">
        <x:v>76.8512</x:v>
      </x:c>
      <x:c r="CO83" s="60" t="n">
        <x:v>77.3136</x:v>
      </x:c>
      <x:c r="CP83" s="60" t="n">
        <x:v>77.7393</x:v>
      </x:c>
      <x:c r="CQ83" s="60" t="n">
        <x:v>78.2373</x:v>
      </x:c>
      <x:c r="CR83" s="60" t="n">
        <x:v>78.7705</x:v>
      </x:c>
      <x:c r="CS83" s="60" t="n">
        <x:v>79.3105</x:v>
      </x:c>
      <x:c r="CT83" s="60" t="n">
        <x:v>79.8793</x:v>
      </x:c>
      <x:c r="CU83" s="60" t="n">
        <x:v>80.5117</x:v>
      </x:c>
      <x:c r="CV83" s="60" t="n">
        <x:v>81.1908</x:v>
      </x:c>
      <x:c r="CW83" s="60" t="n">
        <x:v>81.8513</x:v>
      </x:c>
      <x:c r="CX83" s="60" t="n">
        <x:v>82.4871</x:v>
      </x:c>
      <x:c r="CY83" s="60" t="n">
        <x:v>83.4327</x:v>
      </x:c>
      <x:c r="CZ83" s="60" t="n">
        <x:v>84.4994</x:v>
      </x:c>
      <x:c r="DA83" s="60" t="n">
        <x:v>85.943</x:v>
      </x:c>
      <x:c r="DB83" s="60" t="n">
        <x:v>89.9609</x:v>
      </x:c>
    </x:row>
    <x:row r="84">
      <x:c r="A84" t="str">
        <x:v>ゲンガー-1</x:v>
      </x:c>
      <x:c r="B84" t="str">
        <x:v>ゲンガー</x:v>
      </x:c>
      <x:c r="C84" t="str">
        <x:v>共通</x:v>
      </x:c>
      <x:c r="D84" s="60" t="n">
        <x:v>61.0824</x:v>
      </x:c>
      <x:c r="E84" s="60" t="n">
        <x:v>13.6252</x:v>
      </x:c>
      <x:c r="F84" s="60" t="n">
        <x:v>24.0829</x:v>
      </x:c>
      <x:c r="G84" s="60" t="n">
        <x:v>32.0997</x:v>
      </x:c>
      <x:c r="H84" s="60" t="n">
        <x:v>33.7633</x:v>
      </x:c>
      <x:c r="I84" s="60" t="n">
        <x:v>35.1041</x:v>
      </x:c>
      <x:c r="J84" s="60" t="n">
        <x:v>36.2756</x:v>
      </x:c>
      <x:c r="K84" s="60" t="n">
        <x:v>37.456</x:v>
      </x:c>
      <x:c r="L84" s="60" t="n">
        <x:v>38.3993</x:v>
      </x:c>
      <x:c r="M84" s="60" t="n">
        <x:v>39.3685</x:v>
      </x:c>
      <x:c r="N84" s="60" t="n">
        <x:v>40.2295</x:v>
      </x:c>
      <x:c r="O84" s="60" t="n">
        <x:v>41.0826</x:v>
      </x:c>
      <x:c r="P84" s="60" t="n">
        <x:v>41.8853</x:v>
      </x:c>
      <x:c r="Q84" s="60" t="n">
        <x:v>42.6953</x:v>
      </x:c>
      <x:c r="R84" s="60" t="n">
        <x:v>43.495</x:v>
      </x:c>
      <x:c r="S84" s="60" t="n">
        <x:v>44.2684</x:v>
      </x:c>
      <x:c r="T84" s="60" t="n">
        <x:v>44.936</x:v>
      </x:c>
      <x:c r="U84" s="60" t="n">
        <x:v>45.6971</x:v>
      </x:c>
      <x:c r="V84" s="60" t="n">
        <x:v>46.2774</x:v>
      </x:c>
      <x:c r="W84" s="60" t="n">
        <x:v>46.8499</x:v>
      </x:c>
      <x:c r="X84" s="60" t="n">
        <x:v>47.4364</x:v>
      </x:c>
      <x:c r="Y84" s="60" t="n">
        <x:v>47.9724</x:v>
      </x:c>
      <x:c r="Z84" s="60" t="n">
        <x:v>48.5676</x:v>
      </x:c>
      <x:c r="AA84" s="60" t="n">
        <x:v>49.1477</x:v>
      </x:c>
      <x:c r="AB84" s="60" t="n">
        <x:v>49.6095</x:v>
      </x:c>
      <x:c r="AC84" s="60" t="n">
        <x:v>50.1552</x:v>
      </x:c>
      <x:c r="AD84" s="60" t="n">
        <x:v>50.6492</x:v>
      </x:c>
      <x:c r="AE84" s="60" t="n">
        <x:v>51.0948</x:v>
      </x:c>
      <x:c r="AF84" s="60" t="n">
        <x:v>51.5854</x:v>
      </x:c>
      <x:c r="AG84" s="60" t="n">
        <x:v>52.0393</x:v>
      </x:c>
      <x:c r="AH84" s="60" t="n">
        <x:v>52.477</x:v>
      </x:c>
      <x:c r="AI84" s="60" t="n">
        <x:v>52.9354</x:v>
      </x:c>
      <x:c r="AJ84" s="60" t="n">
        <x:v>53.3944</x:v>
      </x:c>
      <x:c r="AK84" s="60" t="n">
        <x:v>53.8363</x:v>
      </x:c>
      <x:c r="AL84" s="60" t="n">
        <x:v>54.319</x:v>
      </x:c>
      <x:c r="AM84" s="60" t="n">
        <x:v>54.7818</x:v>
      </x:c>
      <x:c r="AN84" s="60" t="n">
        <x:v>55.2076</x:v>
      </x:c>
      <x:c r="AO84" s="60" t="n">
        <x:v>55.6758</x:v>
      </x:c>
      <x:c r="AP84" s="60" t="n">
        <x:v>56.0711</x:v>
      </x:c>
      <x:c r="AQ84" s="60" t="n">
        <x:v>56.4856</x:v>
      </x:c>
      <x:c r="AR84" s="60" t="n">
        <x:v>56.9029</x:v>
      </x:c>
      <x:c r="AS84" s="60" t="n">
        <x:v>57.3757</x:v>
      </x:c>
      <x:c r="AT84" s="60" t="n">
        <x:v>57.8102</x:v>
      </x:c>
      <x:c r="AU84" s="60" t="n">
        <x:v>58.2189</x:v>
      </x:c>
      <x:c r="AV84" s="60" t="n">
        <x:v>58.7005</x:v>
      </x:c>
      <x:c r="AW84" s="60" t="n">
        <x:v>59.0795</x:v>
      </x:c>
      <x:c r="AX84" s="60" t="n">
        <x:v>59.4998</x:v>
      </x:c>
      <x:c r="AY84" s="60" t="n">
        <x:v>59.8532</x:v>
      </x:c>
      <x:c r="AZ84" s="60" t="n">
        <x:v>60.2326</x:v>
      </x:c>
      <x:c r="BA84" s="60" t="n">
        <x:v>60.6532</x:v>
      </x:c>
      <x:c r="BB84" s="60" t="n">
        <x:v>61.0387</x:v>
      </x:c>
      <x:c r="BC84" s="60" t="n">
        <x:v>61.4428</x:v>
      </x:c>
      <x:c r="BD84" s="60" t="n">
        <x:v>61.7774</x:v>
      </x:c>
      <x:c r="BE84" s="60" t="n">
        <x:v>62.1392</x:v>
      </x:c>
      <x:c r="BF84" s="60" t="n">
        <x:v>62.5203</x:v>
      </x:c>
      <x:c r="BG84" s="60" t="n">
        <x:v>62.9392</x:v>
      </x:c>
      <x:c r="BH84" s="60" t="n">
        <x:v>63.3043</x:v>
      </x:c>
      <x:c r="BI84" s="60" t="n">
        <x:v>63.686</x:v>
      </x:c>
      <x:c r="BJ84" s="60" t="n">
        <x:v>64.09</x:v>
      </x:c>
      <x:c r="BK84" s="60" t="n">
        <x:v>64.4977</x:v>
      </x:c>
      <x:c r="BL84" s="60" t="n">
        <x:v>64.9028</x:v>
      </x:c>
      <x:c r="BM84" s="60" t="n">
        <x:v>65.2546</x:v>
      </x:c>
      <x:c r="BN84" s="60" t="n">
        <x:v>65.645</x:v>
      </x:c>
      <x:c r="BO84" s="60" t="n">
        <x:v>66.0271</x:v>
      </x:c>
      <x:c r="BP84" s="60" t="n">
        <x:v>66.424</x:v>
      </x:c>
      <x:c r="BQ84" s="60" t="n">
        <x:v>66.8612</x:v>
      </x:c>
      <x:c r="BR84" s="60" t="n">
        <x:v>67.2168</x:v>
      </x:c>
      <x:c r="BS84" s="60" t="n">
        <x:v>67.6307</x:v>
      </x:c>
      <x:c r="BT84" s="60" t="n">
        <x:v>68.0222</x:v>
      </x:c>
      <x:c r="BU84" s="60" t="n">
        <x:v>68.3708</x:v>
      </x:c>
      <x:c r="BV84" s="60" t="n">
        <x:v>68.7631</x:v>
      </x:c>
      <x:c r="BW84" s="60" t="n">
        <x:v>69.1359</x:v>
      </x:c>
      <x:c r="BX84" s="60" t="n">
        <x:v>69.5384</x:v>
      </x:c>
      <x:c r="BY84" s="60" t="n">
        <x:v>69.9224</x:v>
      </x:c>
      <x:c r="BZ84" s="60" t="n">
        <x:v>70.3634</x:v>
      </x:c>
      <x:c r="CA84" s="60" t="n">
        <x:v>70.7474</x:v>
      </x:c>
      <x:c r="CB84" s="60" t="n">
        <x:v>71.1605</x:v>
      </x:c>
      <x:c r="CC84" s="60" t="n">
        <x:v>71.5668</x:v>
      </x:c>
      <x:c r="CD84" s="60" t="n">
        <x:v>71.9797</x:v>
      </x:c>
      <x:c r="CE84" s="60" t="n">
        <x:v>72.4168</x:v>
      </x:c>
      <x:c r="CF84" s="60" t="n">
        <x:v>72.85</x:v>
      </x:c>
      <x:c r="CG84" s="60" t="n">
        <x:v>73.2815</x:v>
      </x:c>
      <x:c r="CH84" s="60" t="n">
        <x:v>73.7144</x:v>
      </x:c>
      <x:c r="CI84" s="60" t="n">
        <x:v>74.1621</x:v>
      </x:c>
      <x:c r="CJ84" s="60" t="n">
        <x:v>74.6787</x:v>
      </x:c>
      <x:c r="CK84" s="60" t="n">
        <x:v>75.0858</x:v>
      </x:c>
      <x:c r="CL84" s="60" t="n">
        <x:v>75.5486</x:v>
      </x:c>
      <x:c r="CM84" s="60" t="n">
        <x:v>76.0073</x:v>
      </x:c>
      <x:c r="CN84" s="60" t="n">
        <x:v>76.4972</x:v>
      </x:c>
      <x:c r="CO84" s="60" t="n">
        <x:v>77.0073</x:v>
      </x:c>
      <x:c r="CP84" s="60" t="n">
        <x:v>77.4986</x:v>
      </x:c>
      <x:c r="CQ84" s="60" t="n">
        <x:v>78.0444</x:v>
      </x:c>
      <x:c r="CR84" s="60" t="n">
        <x:v>78.6981</x:v>
      </x:c>
      <x:c r="CS84" s="60" t="n">
        <x:v>79.2757</x:v>
      </x:c>
      <x:c r="CT84" s="60" t="n">
        <x:v>79.9285</x:v>
      </x:c>
      <x:c r="CU84" s="60" t="n">
        <x:v>80.7666</x:v>
      </x:c>
      <x:c r="CV84" s="60" t="n">
        <x:v>81.6316</x:v>
      </x:c>
      <x:c r="CW84" s="60" t="n">
        <x:v>82.423</x:v>
      </x:c>
      <x:c r="CX84" s="60" t="n">
        <x:v>83.25</x:v>
      </x:c>
      <x:c r="CY84" s="60" t="n">
        <x:v>84.3612</x:v>
      </x:c>
      <x:c r="CZ84" s="60" t="n">
        <x:v>85.7366</x:v>
      </x:c>
      <x:c r="DA84" s="60" t="n">
        <x:v>87.4036</x:v>
      </x:c>
      <x:c r="DB84" s="60" t="n">
        <x:v>91.9086</x:v>
      </x:c>
    </x:row>
    <x:row r="85">
      <x:c r="A85" t="str">
        <x:v>ゼラオラ-1</x:v>
      </x:c>
      <x:c r="B85" t="str">
        <x:v>ゼラオラ</x:v>
      </x:c>
      <x:c r="C85" t="str">
        <x:v>ほうでん</x:v>
      </x:c>
      <x:c r="D85" s="60" t="n">
        <x:v>62.3218</x:v>
      </x:c>
      <x:c r="E85" s="60" t="n">
        <x:v>12.4492</x:v>
      </x:c>
      <x:c r="F85" s="60" t="n">
        <x:v>26.2327</x:v>
      </x:c>
      <x:c r="G85" s="60" t="n">
        <x:v>34.9881</x:v>
      </x:c>
      <x:c r="H85" s="60" t="n">
        <x:v>36.6628</x:v>
      </x:c>
      <x:c r="I85" s="60" t="n">
        <x:v>37.897</x:v>
      </x:c>
      <x:c r="J85" s="60" t="n">
        <x:v>39.0064</x:v>
      </x:c>
      <x:c r="K85" s="60" t="n">
        <x:v>39.9445</x:v>
      </x:c>
      <x:c r="L85" s="60" t="n">
        <x:v>40.8328</x:v>
      </x:c>
      <x:c r="M85" s="60" t="n">
        <x:v>41.8616</x:v>
      </x:c>
      <x:c r="N85" s="60" t="n">
        <x:v>42.7058</x:v>
      </x:c>
      <x:c r="O85" s="60" t="n">
        <x:v>43.6296</x:v>
      </x:c>
      <x:c r="P85" s="60" t="n">
        <x:v>44.3717</x:v>
      </x:c>
      <x:c r="Q85" s="60" t="n">
        <x:v>45.0753</x:v>
      </x:c>
      <x:c r="R85" s="60" t="n">
        <x:v>45.7787</x:v>
      </x:c>
      <x:c r="S85" s="60" t="n">
        <x:v>46.6196</x:v>
      </x:c>
      <x:c r="T85" s="60" t="n">
        <x:v>47.3667</x:v>
      </x:c>
      <x:c r="U85" s="60" t="n">
        <x:v>47.93</x:v>
      </x:c>
      <x:c r="V85" s="60" t="n">
        <x:v>48.5523</x:v>
      </x:c>
      <x:c r="W85" s="60" t="n">
        <x:v>49.2178</x:v>
      </x:c>
      <x:c r="X85" s="60" t="n">
        <x:v>49.686</x:v>
      </x:c>
      <x:c r="Y85" s="60" t="n">
        <x:v>50.2417</x:v>
      </x:c>
      <x:c r="Z85" s="60" t="n">
        <x:v>50.7333</x:v>
      </x:c>
      <x:c r="AA85" s="60" t="n">
        <x:v>51.2451</x:v>
      </x:c>
      <x:c r="AB85" s="60" t="n">
        <x:v>51.7227</x:v>
      </x:c>
      <x:c r="AC85" s="60" t="n">
        <x:v>52.2543</x:v>
      </x:c>
      <x:c r="AD85" s="60" t="n">
        <x:v>52.7862</x:v>
      </x:c>
      <x:c r="AE85" s="60" t="n">
        <x:v>53.2478</x:v>
      </x:c>
      <x:c r="AF85" s="60" t="n">
        <x:v>53.7081</x:v>
      </x:c>
      <x:c r="AG85" s="60" t="n">
        <x:v>54.1707</x:v>
      </x:c>
      <x:c r="AH85" s="60" t="n">
        <x:v>54.6542</x:v>
      </x:c>
      <x:c r="AI85" s="60" t="n">
        <x:v>55.0973</x:v>
      </x:c>
      <x:c r="AJ85" s="60" t="n">
        <x:v>55.5169</x:v>
      </x:c>
      <x:c r="AK85" s="60" t="n">
        <x:v>55.9858</x:v>
      </x:c>
      <x:c r="AL85" s="60" t="n">
        <x:v>56.4264</x:v>
      </x:c>
      <x:c r="AM85" s="60" t="n">
        <x:v>56.8818</x:v>
      </x:c>
      <x:c r="AN85" s="60" t="n">
        <x:v>57.2998</x:v>
      </x:c>
      <x:c r="AO85" s="60" t="n">
        <x:v>57.7375</x:v>
      </x:c>
      <x:c r="AP85" s="60" t="n">
        <x:v>58.1205</x:v>
      </x:c>
      <x:c r="AQ85" s="60" t="n">
        <x:v>58.4958</x:v>
      </x:c>
      <x:c r="AR85" s="60" t="n">
        <x:v>58.8757</x:v>
      </x:c>
      <x:c r="AS85" s="60" t="n">
        <x:v>59.2517</x:v>
      </x:c>
      <x:c r="AT85" s="60" t="n">
        <x:v>59.6568</x:v>
      </x:c>
      <x:c r="AU85" s="60" t="n">
        <x:v>60.062</x:v>
      </x:c>
      <x:c r="AV85" s="60" t="n">
        <x:v>60.4555</x:v>
      </x:c>
      <x:c r="AW85" s="60" t="n">
        <x:v>60.8369</x:v>
      </x:c>
      <x:c r="AX85" s="60" t="n">
        <x:v>61.2472</x:v>
      </x:c>
      <x:c r="AY85" s="60" t="n">
        <x:v>61.5794</x:v>
      </x:c>
      <x:c r="AZ85" s="60" t="n">
        <x:v>61.9492</x:v>
      </x:c>
      <x:c r="BA85" s="60" t="n">
        <x:v>62.2933</x:v>
      </x:c>
      <x:c r="BB85" s="60" t="n">
        <x:v>62.6921</x:v>
      </x:c>
      <x:c r="BC85" s="60" t="n">
        <x:v>63.0716</x:v>
      </x:c>
      <x:c r="BD85" s="60" t="n">
        <x:v>63.4263</x:v>
      </x:c>
      <x:c r="BE85" s="60" t="n">
        <x:v>63.7354</x:v>
      </x:c>
      <x:c r="BF85" s="60" t="n">
        <x:v>64.101</x:v>
      </x:c>
      <x:c r="BG85" s="60" t="n">
        <x:v>64.513</x:v>
      </x:c>
      <x:c r="BH85" s="60" t="n">
        <x:v>64.8736</x:v>
      </x:c>
      <x:c r="BI85" s="60" t="n">
        <x:v>65.2677</x:v>
      </x:c>
      <x:c r="BJ85" s="60" t="n">
        <x:v>65.5974</x:v>
      </x:c>
      <x:c r="BK85" s="60" t="n">
        <x:v>65.948</x:v>
      </x:c>
      <x:c r="BL85" s="60" t="n">
        <x:v>66.3122</x:v>
      </x:c>
      <x:c r="BM85" s="60" t="n">
        <x:v>66.6729</x:v>
      </x:c>
      <x:c r="BN85" s="60" t="n">
        <x:v>67.054</x:v>
      </x:c>
      <x:c r="BO85" s="60" t="n">
        <x:v>67.3756</x:v>
      </x:c>
      <x:c r="BP85" s="60" t="n">
        <x:v>67.7394</x:v>
      </x:c>
      <x:c r="BQ85" s="60" t="n">
        <x:v>68.0645</x:v>
      </x:c>
      <x:c r="BR85" s="60" t="n">
        <x:v>68.4137</x:v>
      </x:c>
      <x:c r="BS85" s="60" t="n">
        <x:v>68.7786</x:v>
      </x:c>
      <x:c r="BT85" s="60" t="n">
        <x:v>69.1109</x:v>
      </x:c>
      <x:c r="BU85" s="60" t="n">
        <x:v>69.45</x:v>
      </x:c>
      <x:c r="BV85" s="60" t="n">
        <x:v>69.7847</x:v>
      </x:c>
      <x:c r="BW85" s="60" t="n">
        <x:v>70.1652</x:v>
      </x:c>
      <x:c r="BX85" s="60" t="n">
        <x:v>70.5077</x:v>
      </x:c>
      <x:c r="BY85" s="60" t="n">
        <x:v>70.8773</x:v>
      </x:c>
      <x:c r="BZ85" s="60" t="n">
        <x:v>71.2486</x:v>
      </x:c>
      <x:c r="CA85" s="60" t="n">
        <x:v>71.609</x:v>
      </x:c>
      <x:c r="CB85" s="60" t="n">
        <x:v>71.9425</x:v>
      </x:c>
      <x:c r="CC85" s="60" t="n">
        <x:v>72.2762</x:v>
      </x:c>
      <x:c r="CD85" s="60" t="n">
        <x:v>72.6414</x:v>
      </x:c>
      <x:c r="CE85" s="60" t="n">
        <x:v>72.9627</x:v>
      </x:c>
      <x:c r="CF85" s="60" t="n">
        <x:v>73.3268</x:v>
      </x:c>
      <x:c r="CG85" s="60" t="n">
        <x:v>73.6802</x:v>
      </x:c>
      <x:c r="CH85" s="60" t="n">
        <x:v>74.0482</x:v>
      </x:c>
      <x:c r="CI85" s="60" t="n">
        <x:v>74.3951</x:v>
      </x:c>
      <x:c r="CJ85" s="60" t="n">
        <x:v>74.7863</x:v>
      </x:c>
      <x:c r="CK85" s="60" t="n">
        <x:v>75.1627</x:v>
      </x:c>
      <x:c r="CL85" s="60" t="n">
        <x:v>75.5666</x:v>
      </x:c>
      <x:c r="CM85" s="60" t="n">
        <x:v>75.961</x:v>
      </x:c>
      <x:c r="CN85" s="60" t="n">
        <x:v>76.38</x:v>
      </x:c>
      <x:c r="CO85" s="60" t="n">
        <x:v>76.8095</x:v>
      </x:c>
      <x:c r="CP85" s="60" t="n">
        <x:v>77.2506</x:v>
      </x:c>
      <x:c r="CQ85" s="60" t="n">
        <x:v>77.6665</x:v>
      </x:c>
      <x:c r="CR85" s="60" t="n">
        <x:v>78.1068</x:v>
      </x:c>
      <x:c r="CS85" s="60" t="n">
        <x:v>78.5777</x:v>
      </x:c>
      <x:c r="CT85" s="60" t="n">
        <x:v>79.1439</x:v>
      </x:c>
      <x:c r="CU85" s="60" t="n">
        <x:v>79.6623</x:v>
      </x:c>
      <x:c r="CV85" s="60" t="n">
        <x:v>80.2021</x:v>
      </x:c>
      <x:c r="CW85" s="60" t="n">
        <x:v>80.7715</x:v>
      </x:c>
      <x:c r="CX85" s="60" t="n">
        <x:v>81.4404</x:v>
      </x:c>
      <x:c r="CY85" s="60" t="n">
        <x:v>82.1439</x:v>
      </x:c>
      <x:c r="CZ85" s="60" t="n">
        <x:v>82.9732</x:v>
      </x:c>
      <x:c r="DA85" s="60" t="n">
        <x:v>84.1235</x:v>
      </x:c>
      <x:c r="DB85" s="60" t="n">
        <x:v>86.8801</x:v>
      </x:c>
    </x:row>
    <x:row r="86">
      <x:c r="A86" t="str">
        <x:v>ゼラオラ-2</x:v>
      </x:c>
      <x:c r="B86" t="str">
        <x:v>ゼラオラ</x:v>
      </x:c>
      <x:c r="C86" t="str">
        <x:v>ワイルドボルト</x:v>
      </x:c>
      <x:c r="D86" s="60" t="n">
        <x:v>61.5855</x:v>
      </x:c>
      <x:c r="E86" s="60" t="n">
        <x:v>13.667</x:v>
      </x:c>
      <x:c r="F86" s="60" t="n">
        <x:v>25.1618</x:v>
      </x:c>
      <x:c r="G86" s="60" t="n">
        <x:v>32.865</x:v>
      </x:c>
      <x:c r="H86" s="60" t="n">
        <x:v>34.2379</x:v>
      </x:c>
      <x:c r="I86" s="60" t="n">
        <x:v>35.5145</x:v>
      </x:c>
      <x:c r="J86" s="60" t="n">
        <x:v>36.4994</x:v>
      </x:c>
      <x:c r="K86" s="60" t="n">
        <x:v>37.5477</x:v>
      </x:c>
      <x:c r="L86" s="60" t="n">
        <x:v>38.5536</x:v>
      </x:c>
      <x:c r="M86" s="60" t="n">
        <x:v>39.5128</x:v>
      </x:c>
      <x:c r="N86" s="60" t="n">
        <x:v>40.5251</x:v>
      </x:c>
      <x:c r="O86" s="60" t="n">
        <x:v>41.357</x:v>
      </x:c>
      <x:c r="P86" s="60" t="n">
        <x:v>42.1757</x:v>
      </x:c>
      <x:c r="Q86" s="60" t="n">
        <x:v>42.8696</x:v>
      </x:c>
      <x:c r="R86" s="60" t="n">
        <x:v>43.7535</x:v>
      </x:c>
      <x:c r="S86" s="60" t="n">
        <x:v>44.5201</x:v>
      </x:c>
      <x:c r="T86" s="60" t="n">
        <x:v>45.2052</x:v>
      </x:c>
      <x:c r="U86" s="60" t="n">
        <x:v>45.8459</x:v>
      </x:c>
      <x:c r="V86" s="60" t="n">
        <x:v>46.4664</x:v>
      </x:c>
      <x:c r="W86" s="60" t="n">
        <x:v>47.0511</x:v>
      </x:c>
      <x:c r="X86" s="60" t="n">
        <x:v>47.6075</x:v>
      </x:c>
      <x:c r="Y86" s="60" t="n">
        <x:v>48.1162</x:v>
      </x:c>
      <x:c r="Z86" s="60" t="n">
        <x:v>48.6719</x:v>
      </x:c>
      <x:c r="AA86" s="60" t="n">
        <x:v>49.3101</x:v>
      </x:c>
      <x:c r="AB86" s="60" t="n">
        <x:v>49.8847</x:v>
      </x:c>
      <x:c r="AC86" s="60" t="n">
        <x:v>50.4218</x:v>
      </x:c>
      <x:c r="AD86" s="60" t="n">
        <x:v>50.9355</x:v>
      </x:c>
      <x:c r="AE86" s="60" t="n">
        <x:v>51.4318</x:v>
      </x:c>
      <x:c r="AF86" s="60" t="n">
        <x:v>51.9125</x:v>
      </x:c>
      <x:c r="AG86" s="60" t="n">
        <x:v>52.4353</x:v>
      </x:c>
      <x:c r="AH86" s="60" t="n">
        <x:v>52.9468</x:v>
      </x:c>
      <x:c r="AI86" s="60" t="n">
        <x:v>53.457</x:v>
      </x:c>
      <x:c r="AJ86" s="60" t="n">
        <x:v>53.914</x:v>
      </x:c>
      <x:c r="AK86" s="60" t="n">
        <x:v>54.3727</x:v>
      </x:c>
      <x:c r="AL86" s="60" t="n">
        <x:v>54.863</x:v>
      </x:c>
      <x:c r="AM86" s="60" t="n">
        <x:v>55.2905</x:v>
      </x:c>
      <x:c r="AN86" s="60" t="n">
        <x:v>55.7254</x:v>
      </x:c>
      <x:c r="AO86" s="60" t="n">
        <x:v>56.1995</x:v>
      </x:c>
      <x:c r="AP86" s="60" t="n">
        <x:v>56.622</x:v>
      </x:c>
      <x:c r="AQ86" s="60" t="n">
        <x:v>57.0624</x:v>
      </x:c>
      <x:c r="AR86" s="60" t="n">
        <x:v>57.5012</x:v>
      </x:c>
      <x:c r="AS86" s="60" t="n">
        <x:v>57.9383</x:v>
      </x:c>
      <x:c r="AT86" s="60" t="n">
        <x:v>58.3873</x:v>
      </x:c>
      <x:c r="AU86" s="60" t="n">
        <x:v>58.7961</x:v>
      </x:c>
      <x:c r="AV86" s="60" t="n">
        <x:v>59.2523</x:v>
      </x:c>
      <x:c r="AW86" s="60" t="n">
        <x:v>59.6805</x:v>
      </x:c>
      <x:c r="AX86" s="60" t="n">
        <x:v>60.052</x:v>
      </x:c>
      <x:c r="AY86" s="60" t="n">
        <x:v>60.429</x:v>
      </x:c>
      <x:c r="AZ86" s="60" t="n">
        <x:v>60.8341</x:v>
      </x:c>
      <x:c r="BA86" s="60" t="n">
        <x:v>61.2058</x:v>
      </x:c>
      <x:c r="BB86" s="60" t="n">
        <x:v>61.6455</x:v>
      </x:c>
      <x:c r="BC86" s="60" t="n">
        <x:v>62.0509</x:v>
      </x:c>
      <x:c r="BD86" s="60" t="n">
        <x:v>62.4574</x:v>
      </x:c>
      <x:c r="BE86" s="60" t="n">
        <x:v>62.8383</x:v>
      </x:c>
      <x:c r="BF86" s="60" t="n">
        <x:v>63.2392</x:v>
      </x:c>
      <x:c r="BG86" s="60" t="n">
        <x:v>63.6868</x:v>
      </x:c>
      <x:c r="BH86" s="60" t="n">
        <x:v>64.1023</x:v>
      </x:c>
      <x:c r="BI86" s="60" t="n">
        <x:v>64.5333</x:v>
      </x:c>
      <x:c r="BJ86" s="60" t="n">
        <x:v>64.8777</x:v>
      </x:c>
      <x:c r="BK86" s="60" t="n">
        <x:v>65.2708</x:v>
      </x:c>
      <x:c r="BL86" s="60" t="n">
        <x:v>65.6798</x:v>
      </x:c>
      <x:c r="BM86" s="60" t="n">
        <x:v>66.0592</x:v>
      </x:c>
      <x:c r="BN86" s="60" t="n">
        <x:v>66.4506</x:v>
      </x:c>
      <x:c r="BO86" s="60" t="n">
        <x:v>66.8323</x:v>
      </x:c>
      <x:c r="BP86" s="60" t="n">
        <x:v>67.2164</x:v>
      </x:c>
      <x:c r="BQ86" s="60" t="n">
        <x:v>67.5898</x:v>
      </x:c>
      <x:c r="BR86" s="60" t="n">
        <x:v>68.0077</x:v>
      </x:c>
      <x:c r="BS86" s="60" t="n">
        <x:v>68.3495</x:v>
      </x:c>
      <x:c r="BT86" s="60" t="n">
        <x:v>68.7258</x:v>
      </x:c>
      <x:c r="BU86" s="60" t="n">
        <x:v>69.082</x:v>
      </x:c>
      <x:c r="BV86" s="60" t="n">
        <x:v>69.445</x:v>
      </x:c>
      <x:c r="BW86" s="60" t="n">
        <x:v>69.9147</x:v>
      </x:c>
      <x:c r="BX86" s="60" t="n">
        <x:v>70.2812</x:v>
      </x:c>
      <x:c r="BY86" s="60" t="n">
        <x:v>70.7218</x:v>
      </x:c>
      <x:c r="BZ86" s="60" t="n">
        <x:v>71.1272</x:v>
      </x:c>
      <x:c r="CA86" s="60" t="n">
        <x:v>71.5151</x:v>
      </x:c>
      <x:c r="CB86" s="60" t="n">
        <x:v>71.8887</x:v>
      </x:c>
      <x:c r="CC86" s="60" t="n">
        <x:v>72.2627</x:v>
      </x:c>
      <x:c r="CD86" s="60" t="n">
        <x:v>72.7056</x:v>
      </x:c>
      <x:c r="CE86" s="60" t="n">
        <x:v>73.129</x:v>
      </x:c>
      <x:c r="CF86" s="60" t="n">
        <x:v>73.5468</x:v>
      </x:c>
      <x:c r="CG86" s="60" t="n">
        <x:v>73.9587</x:v>
      </x:c>
      <x:c r="CH86" s="60" t="n">
        <x:v>74.3938</x:v>
      </x:c>
      <x:c r="CI86" s="60" t="n">
        <x:v>74.7997</x:v>
      </x:c>
      <x:c r="CJ86" s="60" t="n">
        <x:v>75.2472</x:v>
      </x:c>
      <x:c r="CK86" s="60" t="n">
        <x:v>75.7357</x:v>
      </x:c>
      <x:c r="CL86" s="60" t="n">
        <x:v>76.236</x:v>
      </x:c>
      <x:c r="CM86" s="60" t="n">
        <x:v>76.6839</x:v>
      </x:c>
      <x:c r="CN86" s="60" t="n">
        <x:v>77.165</x:v>
      </x:c>
      <x:c r="CO86" s="60" t="n">
        <x:v>77.6436</x:v>
      </x:c>
      <x:c r="CP86" s="60" t="n">
        <x:v>78.1738</x:v>
      </x:c>
      <x:c r="CQ86" s="60" t="n">
        <x:v>78.7725</x:v>
      </x:c>
      <x:c r="CR86" s="60" t="n">
        <x:v>79.2907</x:v>
      </x:c>
      <x:c r="CS86" s="60" t="n">
        <x:v>79.8826</x:v>
      </x:c>
      <x:c r="CT86" s="60" t="n">
        <x:v>80.4475</x:v>
      </x:c>
      <x:c r="CU86" s="60" t="n">
        <x:v>81.0778</x:v>
      </x:c>
      <x:c r="CV86" s="60" t="n">
        <x:v>81.7809</x:v>
      </x:c>
      <x:c r="CW86" s="60" t="n">
        <x:v>82.5102</x:v>
      </x:c>
      <x:c r="CX86" s="60" t="n">
        <x:v>83.4291</x:v>
      </x:c>
      <x:c r="CY86" s="60" t="n">
        <x:v>84.31</x:v>
      </x:c>
      <x:c r="CZ86" s="60" t="n">
        <x:v>85.3325</x:v>
      </x:c>
      <x:c r="DA86" s="60" t="n">
        <x:v>86.8098</x:v>
      </x:c>
      <x:c r="DB86" s="60" t="n">
        <x:v>92.4955</x:v>
      </x:c>
    </x:row>
    <x:row r="87">
      <x:c r="A87" t="str">
        <x:v>ゾロアーク-1</x:v>
      </x:c>
      <x:c r="B87" t="str">
        <x:v>ゾロアーク</x:v>
      </x:c>
      <x:c r="C87" t="str">
        <x:v>共通</x:v>
      </x:c>
      <x:c r="D87" s="60" t="n">
        <x:v>59.7549</x:v>
      </x:c>
      <x:c r="E87" s="60" t="n">
        <x:v>12.8033</x:v>
      </x:c>
      <x:c r="F87" s="60" t="n">
        <x:v>25.0771</x:v>
      </x:c>
      <x:c r="G87" s="60" t="n">
        <x:v>32.5711</x:v>
      </x:c>
      <x:c r="H87" s="60" t="n">
        <x:v>34.431</x:v>
      </x:c>
      <x:c r="I87" s="60" t="n">
        <x:v>35.629</x:v>
      </x:c>
      <x:c r="J87" s="60" t="n">
        <x:v>36.9318</x:v>
      </x:c>
      <x:c r="K87" s="60" t="n">
        <x:v>37.9204</x:v>
      </x:c>
      <x:c r="L87" s="60" t="n">
        <x:v>38.7972</x:v>
      </x:c>
      <x:c r="M87" s="60" t="n">
        <x:v>39.6036</x:v>
      </x:c>
      <x:c r="N87" s="60" t="n">
        <x:v>40.4956</x:v>
      </x:c>
      <x:c r="O87" s="60" t="n">
        <x:v>41.2111</x:v>
      </x:c>
      <x:c r="P87" s="60" t="n">
        <x:v>41.9899</x:v>
      </x:c>
      <x:c r="Q87" s="60" t="n">
        <x:v>42.7199</x:v>
      </x:c>
      <x:c r="R87" s="60" t="n">
        <x:v>43.44</x:v>
      </x:c>
      <x:c r="S87" s="60" t="n">
        <x:v>44.1746</x:v>
      </x:c>
      <x:c r="T87" s="60" t="n">
        <x:v>44.7553</x:v>
      </x:c>
      <x:c r="U87" s="60" t="n">
        <x:v>45.3351</x:v>
      </x:c>
      <x:c r="V87" s="60" t="n">
        <x:v>45.9642</x:v>
      </x:c>
      <x:c r="W87" s="60" t="n">
        <x:v>46.4776</x:v>
      </x:c>
      <x:c r="X87" s="60" t="n">
        <x:v>46.9874</x:v>
      </x:c>
      <x:c r="Y87" s="60" t="n">
        <x:v>47.496</x:v>
      </x:c>
      <x:c r="Z87" s="60" t="n">
        <x:v>47.9625</x:v>
      </x:c>
      <x:c r="AA87" s="60" t="n">
        <x:v>48.4742</x:v>
      </x:c>
      <x:c r="AB87" s="60" t="n">
        <x:v>48.9639</x:v>
      </x:c>
      <x:c r="AC87" s="60" t="n">
        <x:v>49.4253</x:v>
      </x:c>
      <x:c r="AD87" s="60" t="n">
        <x:v>49.8664</x:v>
      </x:c>
      <x:c r="AE87" s="60" t="n">
        <x:v>50.324</x:v>
      </x:c>
      <x:c r="AF87" s="60" t="n">
        <x:v>50.7804</x:v>
      </x:c>
      <x:c r="AG87" s="60" t="n">
        <x:v>51.2847</x:v>
      </x:c>
      <x:c r="AH87" s="60" t="n">
        <x:v>51.695</x:v>
      </x:c>
      <x:c r="AI87" s="60" t="n">
        <x:v>52.079</x:v>
      </x:c>
      <x:c r="AJ87" s="60" t="n">
        <x:v>52.5329</x:v>
      </x:c>
      <x:c r="AK87" s="60" t="n">
        <x:v>52.944</x:v>
      </x:c>
      <x:c r="AL87" s="60" t="n">
        <x:v>53.3552</x:v>
      </x:c>
      <x:c r="AM87" s="60" t="n">
        <x:v>53.8042</x:v>
      </x:c>
      <x:c r="AN87" s="60" t="n">
        <x:v>54.1654</x:v>
      </x:c>
      <x:c r="AO87" s="60" t="n">
        <x:v>54.5521</x:v>
      </x:c>
      <x:c r="AP87" s="60" t="n">
        <x:v>54.9931</x:v>
      </x:c>
      <x:c r="AQ87" s="60" t="n">
        <x:v>55.3621</x:v>
      </x:c>
      <x:c r="AR87" s="60" t="n">
        <x:v>55.7651</x:v>
      </x:c>
      <x:c r="AS87" s="60" t="n">
        <x:v>56.1506</x:v>
      </x:c>
      <x:c r="AT87" s="60" t="n">
        <x:v>56.512</x:v>
      </x:c>
      <x:c r="AU87" s="60" t="n">
        <x:v>56.9</x:v>
      </x:c>
      <x:c r="AV87" s="60" t="n">
        <x:v>57.2374</x:v>
      </x:c>
      <x:c r="AW87" s="60" t="n">
        <x:v>57.6406</x:v>
      </x:c>
      <x:c r="AX87" s="60" t="n">
        <x:v>58.0333</x:v>
      </x:c>
      <x:c r="AY87" s="60" t="n">
        <x:v>58.3963</x:v>
      </x:c>
      <x:c r="AZ87" s="60" t="n">
        <x:v>58.7703</x:v>
      </x:c>
      <x:c r="BA87" s="60" t="n">
        <x:v>59.1326</x:v>
      </x:c>
      <x:c r="BB87" s="60" t="n">
        <x:v>59.5158</x:v>
      </x:c>
      <x:c r="BC87" s="60" t="n">
        <x:v>59.8604</x:v>
      </x:c>
      <x:c r="BD87" s="60" t="n">
        <x:v>60.1948</x:v>
      </x:c>
      <x:c r="BE87" s="60" t="n">
        <x:v>60.5917</x:v>
      </x:c>
      <x:c r="BF87" s="60" t="n">
        <x:v>60.9424</x:v>
      </x:c>
      <x:c r="BG87" s="60" t="n">
        <x:v>61.3265</x:v>
      </x:c>
      <x:c r="BH87" s="60" t="n">
        <x:v>61.6806</x:v>
      </x:c>
      <x:c r="BI87" s="60" t="n">
        <x:v>62.001</x:v>
      </x:c>
      <x:c r="BJ87" s="60" t="n">
        <x:v>62.3097</x:v>
      </x:c>
      <x:c r="BK87" s="60" t="n">
        <x:v>62.6703</x:v>
      </x:c>
      <x:c r="BL87" s="60" t="n">
        <x:v>63.0427</x:v>
      </x:c>
      <x:c r="BM87" s="60" t="n">
        <x:v>63.388</x:v>
      </x:c>
      <x:c r="BN87" s="60" t="n">
        <x:v>63.7811</x:v>
      </x:c>
      <x:c r="BO87" s="60" t="n">
        <x:v>64.1826</x:v>
      </x:c>
      <x:c r="BP87" s="60" t="n">
        <x:v>64.5264</x:v>
      </x:c>
      <x:c r="BQ87" s="60" t="n">
        <x:v>64.893</x:v>
      </x:c>
      <x:c r="BR87" s="60" t="n">
        <x:v>65.2509</x:v>
      </x:c>
      <x:c r="BS87" s="60" t="n">
        <x:v>65.6414</x:v>
      </x:c>
      <x:c r="BT87" s="60" t="n">
        <x:v>66.0292</x:v>
      </x:c>
      <x:c r="BU87" s="60" t="n">
        <x:v>66.3986</x:v>
      </x:c>
      <x:c r="BV87" s="60" t="n">
        <x:v>66.7708</x:v>
      </x:c>
      <x:c r="BW87" s="60" t="n">
        <x:v>67.1239</x:v>
      </x:c>
      <x:c r="BX87" s="60" t="n">
        <x:v>67.5042</x:v>
      </x:c>
      <x:c r="BY87" s="60" t="n">
        <x:v>67.8509</x:v>
      </x:c>
      <x:c r="BZ87" s="60" t="n">
        <x:v>68.2474</x:v>
      </x:c>
      <x:c r="CA87" s="60" t="n">
        <x:v>68.6625</x:v>
      </x:c>
      <x:c r="CB87" s="60" t="n">
        <x:v>69.0634</x:v>
      </x:c>
      <x:c r="CC87" s="60" t="n">
        <x:v>69.4588</x:v>
      </x:c>
      <x:c r="CD87" s="60" t="n">
        <x:v>69.8666</x:v>
      </x:c>
      <x:c r="CE87" s="60" t="n">
        <x:v>70.3296</x:v>
      </x:c>
      <x:c r="CF87" s="60" t="n">
        <x:v>70.7417</x:v>
      </x:c>
      <x:c r="CG87" s="60" t="n">
        <x:v>71.1802</x:v>
      </x:c>
      <x:c r="CH87" s="60" t="n">
        <x:v>71.5365</x:v>
      </x:c>
      <x:c r="CI87" s="60" t="n">
        <x:v>71.9907</x:v>
      </x:c>
      <x:c r="CJ87" s="60" t="n">
        <x:v>72.4069</x:v>
      </x:c>
      <x:c r="CK87" s="60" t="n">
        <x:v>72.8741</x:v>
      </x:c>
      <x:c r="CL87" s="60" t="n">
        <x:v>73.3713</x:v>
      </x:c>
      <x:c r="CM87" s="60" t="n">
        <x:v>73.8142</x:v>
      </x:c>
      <x:c r="CN87" s="60" t="n">
        <x:v>74.3059</x:v>
      </x:c>
      <x:c r="CO87" s="60" t="n">
        <x:v>74.8027</x:v>
      </x:c>
      <x:c r="CP87" s="60" t="n">
        <x:v>75.2639</x:v>
      </x:c>
      <x:c r="CQ87" s="60" t="n">
        <x:v>75.8235</x:v>
      </x:c>
      <x:c r="CR87" s="60" t="n">
        <x:v>76.4386</x:v>
      </x:c>
      <x:c r="CS87" s="60" t="n">
        <x:v>77.0299</x:v>
      </x:c>
      <x:c r="CT87" s="60" t="n">
        <x:v>77.785</x:v>
      </x:c>
      <x:c r="CU87" s="60" t="n">
        <x:v>78.5209</x:v>
      </x:c>
      <x:c r="CV87" s="60" t="n">
        <x:v>79.3034</x:v>
      </x:c>
      <x:c r="CW87" s="60" t="n">
        <x:v>80.1653</x:v>
      </x:c>
      <x:c r="CX87" s="60" t="n">
        <x:v>81.0917</x:v>
      </x:c>
      <x:c r="CY87" s="60" t="n">
        <x:v>82.201</x:v>
      </x:c>
      <x:c r="CZ87" s="60" t="n">
        <x:v>83.526</x:v>
      </x:c>
      <x:c r="DA87" s="60" t="n">
        <x:v>85.4301</x:v>
      </x:c>
      <x:c r="DB87" s="60" t="n">
        <x:v>90.9611</x:v>
      </x:c>
    </x:row>
    <x:row r="88">
      <x:c r="A88" t="str">
        <x:v>ダークライ-1</x:v>
      </x:c>
      <x:c r="B88" t="str">
        <x:v>ダークライ</x:v>
      </x:c>
      <x:c r="C88" t="str">
        <x:v>共通</x:v>
      </x:c>
      <x:c r="D88" s="60" t="n">
        <x:v>60.7667</x:v>
      </x:c>
      <x:c r="E88" s="60" t="n">
        <x:v>10.6739</x:v>
      </x:c>
      <x:c r="F88" s="60" t="n">
        <x:v>29.9155</x:v>
      </x:c>
      <x:c r="G88" s="60" t="n">
        <x:v>37.3337</x:v>
      </x:c>
      <x:c r="H88" s="60" t="n">
        <x:v>39.0019</x:v>
      </x:c>
      <x:c r="I88" s="60" t="n">
        <x:v>40.2893</x:v>
      </x:c>
      <x:c r="J88" s="60" t="n">
        <x:v>41.3525</x:v>
      </x:c>
      <x:c r="K88" s="60" t="n">
        <x:v>42.2267</x:v>
      </x:c>
      <x:c r="L88" s="60" t="n">
        <x:v>43.0883</x:v>
      </x:c>
      <x:c r="M88" s="60" t="n">
        <x:v>43.8726</x:v>
      </x:c>
      <x:c r="N88" s="60" t="n">
        <x:v>44.5624</x:v>
      </x:c>
      <x:c r="O88" s="60" t="n">
        <x:v>45.2145</x:v>
      </x:c>
      <x:c r="P88" s="60" t="n">
        <x:v>45.8899</x:v>
      </x:c>
      <x:c r="Q88" s="60" t="n">
        <x:v>46.4366</x:v>
      </x:c>
      <x:c r="R88" s="60" t="n">
        <x:v>46.9937</x:v>
      </x:c>
      <x:c r="S88" s="60" t="n">
        <x:v>47.5351</x:v>
      </x:c>
      <x:c r="T88" s="60" t="n">
        <x:v>48.0858</x:v>
      </x:c>
      <x:c r="U88" s="60" t="n">
        <x:v>48.637</x:v>
      </x:c>
      <x:c r="V88" s="60" t="n">
        <x:v>49.0858</x:v>
      </x:c>
      <x:c r="W88" s="60" t="n">
        <x:v>49.5308</x:v>
      </x:c>
      <x:c r="X88" s="60" t="n">
        <x:v>50.0517</x:v>
      </x:c>
      <x:c r="Y88" s="60" t="n">
        <x:v>50.522</x:v>
      </x:c>
      <x:c r="Z88" s="60" t="n">
        <x:v>51.0282</x:v>
      </x:c>
      <x:c r="AA88" s="60" t="n">
        <x:v>51.4781</x:v>
      </x:c>
      <x:c r="AB88" s="60" t="n">
        <x:v>51.9082</x:v>
      </x:c>
      <x:c r="AC88" s="60" t="n">
        <x:v>52.3104</x:v>
      </x:c>
      <x:c r="AD88" s="60" t="n">
        <x:v>52.7188</x:v>
      </x:c>
      <x:c r="AE88" s="60" t="n">
        <x:v>53.0678</x:v>
      </x:c>
      <x:c r="AF88" s="60" t="n">
        <x:v>53.4566</x:v>
      </x:c>
      <x:c r="AG88" s="60" t="n">
        <x:v>53.8346</x:v>
      </x:c>
      <x:c r="AH88" s="60" t="n">
        <x:v>54.158</x:v>
      </x:c>
      <x:c r="AI88" s="60" t="n">
        <x:v>54.5622</x:v>
      </x:c>
      <x:c r="AJ88" s="60" t="n">
        <x:v>54.9629</x:v>
      </x:c>
      <x:c r="AK88" s="60" t="n">
        <x:v>55.3275</x:v>
      </x:c>
      <x:c r="AL88" s="60" t="n">
        <x:v>55.6764</x:v>
      </x:c>
      <x:c r="AM88" s="60" t="n">
        <x:v>55.9743</x:v>
      </x:c>
      <x:c r="AN88" s="60" t="n">
        <x:v>56.304</x:v>
      </x:c>
      <x:c r="AO88" s="60" t="n">
        <x:v>56.6126</x:v>
      </x:c>
      <x:c r="AP88" s="60" t="n">
        <x:v>56.966</x:v>
      </x:c>
      <x:c r="AQ88" s="60" t="n">
        <x:v>57.31</x:v>
      </x:c>
      <x:c r="AR88" s="60" t="n">
        <x:v>57.6774</x:v>
      </x:c>
      <x:c r="AS88" s="60" t="n">
        <x:v>58.0285</x:v>
      </x:c>
      <x:c r="AT88" s="60" t="n">
        <x:v>58.3386</x:v>
      </x:c>
      <x:c r="AU88" s="60" t="n">
        <x:v>58.6455</x:v>
      </x:c>
      <x:c r="AV88" s="60" t="n">
        <x:v>58.9214</x:v>
      </x:c>
      <x:c r="AW88" s="60" t="n">
        <x:v>59.2197</x:v>
      </x:c>
      <x:c r="AX88" s="60" t="n">
        <x:v>59.5263</x:v>
      </x:c>
      <x:c r="AY88" s="60" t="n">
        <x:v>59.8404</x:v>
      </x:c>
      <x:c r="AZ88" s="60" t="n">
        <x:v>60.1495</x:v>
      </x:c>
      <x:c r="BA88" s="60" t="n">
        <x:v>60.4839</x:v>
      </x:c>
      <x:c r="BB88" s="60" t="n">
        <x:v>60.7785</x:v>
      </x:c>
      <x:c r="BC88" s="60" t="n">
        <x:v>61.0896</x:v>
      </x:c>
      <x:c r="BD88" s="60" t="n">
        <x:v>61.4096</x:v>
      </x:c>
      <x:c r="BE88" s="60" t="n">
        <x:v>61.7032</x:v>
      </x:c>
      <x:c r="BF88" s="60" t="n">
        <x:v>61.9911</x:v>
      </x:c>
      <x:c r="BG88" s="60" t="n">
        <x:v>62.2852</x:v>
      </x:c>
      <x:c r="BH88" s="60" t="n">
        <x:v>62.5574</x:v>
      </x:c>
      <x:c r="BI88" s="60" t="n">
        <x:v>62.8369</x:v>
      </x:c>
      <x:c r="BJ88" s="60" t="n">
        <x:v>63.1214</x:v>
      </x:c>
      <x:c r="BK88" s="60" t="n">
        <x:v>63.4166</x:v>
      </x:c>
      <x:c r="BL88" s="60" t="n">
        <x:v>63.7431</x:v>
      </x:c>
      <x:c r="BM88" s="60" t="n">
        <x:v>64.0567</x:v>
      </x:c>
      <x:c r="BN88" s="60" t="n">
        <x:v>64.3514</x:v>
      </x:c>
      <x:c r="BO88" s="60" t="n">
        <x:v>64.6531</x:v>
      </x:c>
      <x:c r="BP88" s="60" t="n">
        <x:v>64.9531</x:v>
      </x:c>
      <x:c r="BQ88" s="60" t="n">
        <x:v>65.2232</x:v>
      </x:c>
      <x:c r="BR88" s="60" t="n">
        <x:v>65.5417</x:v>
      </x:c>
      <x:c r="BS88" s="60" t="n">
        <x:v>65.865</x:v>
      </x:c>
      <x:c r="BT88" s="60" t="n">
        <x:v>66.2053</x:v>
      </x:c>
      <x:c r="BU88" s="60" t="n">
        <x:v>66.4735</x:v>
      </x:c>
      <x:c r="BV88" s="60" t="n">
        <x:v>66.7814</x:v>
      </x:c>
      <x:c r="BW88" s="60" t="n">
        <x:v>67.0606</x:v>
      </x:c>
      <x:c r="BX88" s="60" t="n">
        <x:v>67.3638</x:v>
      </x:c>
      <x:c r="BY88" s="60" t="n">
        <x:v>67.65</x:v>
      </x:c>
      <x:c r="BZ88" s="60" t="n">
        <x:v>67.9626</x:v>
      </x:c>
      <x:c r="CA88" s="60" t="n">
        <x:v>68.3092</x:v>
      </x:c>
      <x:c r="CB88" s="60" t="n">
        <x:v>68.634</x:v>
      </x:c>
      <x:c r="CC88" s="60" t="n">
        <x:v>68.9058</x:v>
      </x:c>
      <x:c r="CD88" s="60" t="n">
        <x:v>69.2533</x:v>
      </x:c>
      <x:c r="CE88" s="60" t="n">
        <x:v>69.5309</x:v>
      </x:c>
      <x:c r="CF88" s="60" t="n">
        <x:v>69.8395</x:v>
      </x:c>
      <x:c r="CG88" s="60" t="n">
        <x:v>70.1704</x:v>
      </x:c>
      <x:c r="CH88" s="60" t="n">
        <x:v>70.4767</x:v>
      </x:c>
      <x:c r="CI88" s="60" t="n">
        <x:v>70.8479</x:v>
      </x:c>
      <x:c r="CJ88" s="60" t="n">
        <x:v>71.2081</x:v>
      </x:c>
      <x:c r="CK88" s="60" t="n">
        <x:v>71.6111</x:v>
      </x:c>
      <x:c r="CL88" s="60" t="n">
        <x:v>72.0269</x:v>
      </x:c>
      <x:c r="CM88" s="60" t="n">
        <x:v>72.4412</x:v>
      </x:c>
      <x:c r="CN88" s="60" t="n">
        <x:v>72.8285</x:v>
      </x:c>
      <x:c r="CO88" s="60" t="n">
        <x:v>73.2355</x:v>
      </x:c>
      <x:c r="CP88" s="60" t="n">
        <x:v>73.6135</x:v>
      </x:c>
      <x:c r="CQ88" s="60" t="n">
        <x:v>74.0315</x:v>
      </x:c>
      <x:c r="CR88" s="60" t="n">
        <x:v>74.5159</x:v>
      </x:c>
      <x:c r="CS88" s="60" t="n">
        <x:v>74.9418</x:v>
      </x:c>
      <x:c r="CT88" s="60" t="n">
        <x:v>75.4694</x:v>
      </x:c>
      <x:c r="CU88" s="60" t="n">
        <x:v>76.0112</x:v>
      </x:c>
      <x:c r="CV88" s="60" t="n">
        <x:v>76.5175</x:v>
      </x:c>
      <x:c r="CW88" s="60" t="n">
        <x:v>77.1631</x:v>
      </x:c>
      <x:c r="CX88" s="60" t="n">
        <x:v>77.9547</x:v>
      </x:c>
      <x:c r="CY88" s="60" t="n">
        <x:v>78.8842</x:v>
      </x:c>
      <x:c r="CZ88" s="60" t="n">
        <x:v>80.0119</x:v>
      </x:c>
      <x:c r="DA88" s="60" t="n">
        <x:v>81.61</x:v>
      </x:c>
      <x:c r="DB88" s="60" t="n">
        <x:v>88.34</x:v>
      </x:c>
    </x:row>
    <x:row r="89">
      <x:c r="A89" t="str">
        <x:v>ドードリオ-1</x:v>
      </x:c>
      <x:c r="B89" t="str">
        <x:v>ドードリオ</x:v>
      </x:c>
      <x:c r="C89" t="str">
        <x:v>共通</x:v>
      </x:c>
      <x:c r="D89" s="60" t="n">
        <x:v>61.1703</x:v>
      </x:c>
      <x:c r="E89" s="60" t="n">
        <x:v>13.439</x:v>
      </x:c>
      <x:c r="F89" s="60" t="n">
        <x:v>24.4165</x:v>
      </x:c>
      <x:c r="G89" s="60" t="n">
        <x:v>32.5838</x:v>
      </x:c>
      <x:c r="H89" s="60" t="n">
        <x:v>34.1482</x:v>
      </x:c>
      <x:c r="I89" s="60" t="n">
        <x:v>35.485</x:v>
      </x:c>
      <x:c r="J89" s="60" t="n">
        <x:v>36.545</x:v>
      </x:c>
      <x:c r="K89" s="60" t="n">
        <x:v>37.69</x:v>
      </x:c>
      <x:c r="L89" s="60" t="n">
        <x:v>38.8186</x:v>
      </x:c>
      <x:c r="M89" s="60" t="n">
        <x:v>39.8149</x:v>
      </x:c>
      <x:c r="N89" s="60" t="n">
        <x:v>40.7791</x:v>
      </x:c>
      <x:c r="O89" s="60" t="n">
        <x:v>41.537</x:v>
      </x:c>
      <x:c r="P89" s="60" t="n">
        <x:v>42.3396</x:v>
      </x:c>
      <x:c r="Q89" s="60" t="n">
        <x:v>43.1166</x:v>
      </x:c>
      <x:c r="R89" s="60" t="n">
        <x:v>43.8549</x:v>
      </x:c>
      <x:c r="S89" s="60" t="n">
        <x:v>44.594</x:v>
      </x:c>
      <x:c r="T89" s="60" t="n">
        <x:v>45.2282</x:v>
      </x:c>
      <x:c r="U89" s="60" t="n">
        <x:v>45.8389</x:v>
      </x:c>
      <x:c r="V89" s="60" t="n">
        <x:v>46.4452</x:v>
      </x:c>
      <x:c r="W89" s="60" t="n">
        <x:v>47.0522</x:v>
      </x:c>
      <x:c r="X89" s="60" t="n">
        <x:v>47.6613</x:v>
      </x:c>
      <x:c r="Y89" s="60" t="n">
        <x:v>48.2435</x:v>
      </x:c>
      <x:c r="Z89" s="60" t="n">
        <x:v>48.7761</x:v>
      </x:c>
      <x:c r="AA89" s="60" t="n">
        <x:v>49.3238</x:v>
      </x:c>
      <x:c r="AB89" s="60" t="n">
        <x:v>49.865</x:v>
      </x:c>
      <x:c r="AC89" s="60" t="n">
        <x:v>50.3583</x:v>
      </x:c>
      <x:c r="AD89" s="60" t="n">
        <x:v>50.8521</x:v>
      </x:c>
      <x:c r="AE89" s="60" t="n">
        <x:v>51.3402</x:v>
      </x:c>
      <x:c r="AF89" s="60" t="n">
        <x:v>51.8523</x:v>
      </x:c>
      <x:c r="AG89" s="60" t="n">
        <x:v>52.3144</x:v>
      </x:c>
      <x:c r="AH89" s="60" t="n">
        <x:v>52.791</x:v>
      </x:c>
      <x:c r="AI89" s="60" t="n">
        <x:v>53.2117</x:v>
      </x:c>
      <x:c r="AJ89" s="60" t="n">
        <x:v>53.6119</x:v>
      </x:c>
      <x:c r="AK89" s="60" t="n">
        <x:v>54.0851</x:v>
      </x:c>
      <x:c r="AL89" s="60" t="n">
        <x:v>54.5241</x:v>
      </x:c>
      <x:c r="AM89" s="60" t="n">
        <x:v>54.9289</x:v>
      </x:c>
      <x:c r="AN89" s="60" t="n">
        <x:v>55.4082</x:v>
      </x:c>
      <x:c r="AO89" s="60" t="n">
        <x:v>55.8452</x:v>
      </x:c>
      <x:c r="AP89" s="60" t="n">
        <x:v>56.2565</x:v>
      </x:c>
      <x:c r="AQ89" s="60" t="n">
        <x:v>56.6459</x:v>
      </x:c>
      <x:c r="AR89" s="60" t="n">
        <x:v>57.0737</x:v>
      </x:c>
      <x:c r="AS89" s="60" t="n">
        <x:v>57.4513</x:v>
      </x:c>
      <x:c r="AT89" s="60" t="n">
        <x:v>57.8871</x:v>
      </x:c>
      <x:c r="AU89" s="60" t="n">
        <x:v>58.3146</x:v>
      </x:c>
      <x:c r="AV89" s="60" t="n">
        <x:v>58.7019</x:v>
      </x:c>
      <x:c r="AW89" s="60" t="n">
        <x:v>59.0676</x:v>
      </x:c>
      <x:c r="AX89" s="60" t="n">
        <x:v>59.4891</x:v>
      </x:c>
      <x:c r="AY89" s="60" t="n">
        <x:v>59.923</x:v>
      </x:c>
      <x:c r="AZ89" s="60" t="n">
        <x:v>60.3432</x:v>
      </x:c>
      <x:c r="BA89" s="60" t="n">
        <x:v>60.7987</x:v>
      </x:c>
      <x:c r="BB89" s="60" t="n">
        <x:v>61.1667</x:v>
      </x:c>
      <x:c r="BC89" s="60" t="n">
        <x:v>61.4982</x:v>
      </x:c>
      <x:c r="BD89" s="60" t="n">
        <x:v>61.8719</x:v>
      </x:c>
      <x:c r="BE89" s="60" t="n">
        <x:v>62.287</x:v>
      </x:c>
      <x:c r="BF89" s="60" t="n">
        <x:v>62.633</x:v>
      </x:c>
      <x:c r="BG89" s="60" t="n">
        <x:v>63.0254</x:v>
      </x:c>
      <x:c r="BH89" s="60" t="n">
        <x:v>63.4096</x:v>
      </x:c>
      <x:c r="BI89" s="60" t="n">
        <x:v>63.8501</x:v>
      </x:c>
      <x:c r="BJ89" s="60" t="n">
        <x:v>64.2158</x:v>
      </x:c>
      <x:c r="BK89" s="60" t="n">
        <x:v>64.6188</x:v>
      </x:c>
      <x:c r="BL89" s="60" t="n">
        <x:v>64.9377</x:v>
      </x:c>
      <x:c r="BM89" s="60" t="n">
        <x:v>65.2818</x:v>
      </x:c>
      <x:c r="BN89" s="60" t="n">
        <x:v>65.6899</x:v>
      </x:c>
      <x:c r="BO89" s="60" t="n">
        <x:v>66.0434</x:v>
      </x:c>
      <x:c r="BP89" s="60" t="n">
        <x:v>66.4673</x:v>
      </x:c>
      <x:c r="BQ89" s="60" t="n">
        <x:v>66.8175</x:v>
      </x:c>
      <x:c r="BR89" s="60" t="n">
        <x:v>67.2433</x:v>
      </x:c>
      <x:c r="BS89" s="60" t="n">
        <x:v>67.5888</x:v>
      </x:c>
      <x:c r="BT89" s="60" t="n">
        <x:v>67.977</x:v>
      </x:c>
      <x:c r="BU89" s="60" t="n">
        <x:v>68.395</x:v>
      </x:c>
      <x:c r="BV89" s="60" t="n">
        <x:v>68.7844</x:v>
      </x:c>
      <x:c r="BW89" s="60" t="n">
        <x:v>69.1615</x:v>
      </x:c>
      <x:c r="BX89" s="60" t="n">
        <x:v>69.5371</x:v>
      </x:c>
      <x:c r="BY89" s="60" t="n">
        <x:v>69.9185</x:v>
      </x:c>
      <x:c r="BZ89" s="60" t="n">
        <x:v>70.3193</x:v>
      </x:c>
      <x:c r="CA89" s="60" t="n">
        <x:v>70.7101</x:v>
      </x:c>
      <x:c r="CB89" s="60" t="n">
        <x:v>71.0764</x:v>
      </x:c>
      <x:c r="CC89" s="60" t="n">
        <x:v>71.4808</x:v>
      </x:c>
      <x:c r="CD89" s="60" t="n">
        <x:v>71.9373</x:v>
      </x:c>
      <x:c r="CE89" s="60" t="n">
        <x:v>72.3026</x:v>
      </x:c>
      <x:c r="CF89" s="60" t="n">
        <x:v>72.743</x:v>
      </x:c>
      <x:c r="CG89" s="60" t="n">
        <x:v>73.2119</x:v>
      </x:c>
      <x:c r="CH89" s="60" t="n">
        <x:v>73.6468</x:v>
      </x:c>
      <x:c r="CI89" s="60" t="n">
        <x:v>74.0708</x:v>
      </x:c>
      <x:c r="CJ89" s="60" t="n">
        <x:v>74.5551</x:v>
      </x:c>
      <x:c r="CK89" s="60" t="n">
        <x:v>74.9671</x:v>
      </x:c>
      <x:c r="CL89" s="60" t="n">
        <x:v>75.4242</x:v>
      </x:c>
      <x:c r="CM89" s="60" t="n">
        <x:v>75.8494</x:v>
      </x:c>
      <x:c r="CN89" s="60" t="n">
        <x:v>76.3176</x:v>
      </x:c>
      <x:c r="CO89" s="60" t="n">
        <x:v>76.8491</x:v>
      </x:c>
      <x:c r="CP89" s="60" t="n">
        <x:v>77.4028</x:v>
      </x:c>
      <x:c r="CQ89" s="60" t="n">
        <x:v>77.9702</x:v>
      </x:c>
      <x:c r="CR89" s="60" t="n">
        <x:v>78.521</x:v>
      </x:c>
      <x:c r="CS89" s="60" t="n">
        <x:v>79.2514</x:v>
      </x:c>
      <x:c r="CT89" s="60" t="n">
        <x:v>79.8709</x:v>
      </x:c>
      <x:c r="CU89" s="60" t="n">
        <x:v>80.5336</x:v>
      </x:c>
      <x:c r="CV89" s="60" t="n">
        <x:v>81.2806</x:v>
      </x:c>
      <x:c r="CW89" s="60" t="n">
        <x:v>82.0988</x:v>
      </x:c>
      <x:c r="CX89" s="60" t="n">
        <x:v>82.9451</x:v>
      </x:c>
      <x:c r="CY89" s="60" t="n">
        <x:v>84.0775</x:v>
      </x:c>
      <x:c r="CZ89" s="60" t="n">
        <x:v>85.3878</x:v>
      </x:c>
      <x:c r="DA89" s="60" t="n">
        <x:v>87.1818</x:v>
      </x:c>
      <x:c r="DB89" s="60" t="n">
        <x:v>92.7124</x:v>
      </x:c>
    </x:row>
    <x:row r="90">
      <x:c r="A90" t="str">
        <x:v>ニャース-1</x:v>
      </x:c>
      <x:c r="B90" t="str">
        <x:v>ニャース</x:v>
      </x:c>
      <x:c r="C90" t="str">
        <x:v>共通</x:v>
      </x:c>
      <x:c r="D90" s="60" t="n">
        <x:v>62.3534</x:v>
      </x:c>
      <x:c r="E90" s="60" t="n">
        <x:v>13.1683</x:v>
      </x:c>
      <x:c r="F90" s="60" t="n">
        <x:v>24.4442</x:v>
      </x:c>
      <x:c r="G90" s="60" t="n">
        <x:v>33.7546</x:v>
      </x:c>
      <x:c r="H90" s="60" t="n">
        <x:v>35.4662</x:v>
      </x:c>
      <x:c r="I90" s="60" t="n">
        <x:v>36.7728</x:v>
      </x:c>
      <x:c r="J90" s="60" t="n">
        <x:v>37.9746</x:v>
      </x:c>
      <x:c r="K90" s="60" t="n">
        <x:v>38.8919</x:v>
      </x:c>
      <x:c r="L90" s="60" t="n">
        <x:v>39.8958</x:v>
      </x:c>
      <x:c r="M90" s="60" t="n">
        <x:v>40.8819</x:v>
      </x:c>
      <x:c r="N90" s="60" t="n">
        <x:v>41.8715</x:v>
      </x:c>
      <x:c r="O90" s="60" t="n">
        <x:v>42.7082</x:v>
      </x:c>
      <x:c r="P90" s="60" t="n">
        <x:v>43.5161</x:v>
      </x:c>
      <x:c r="Q90" s="60" t="n">
        <x:v>44.303</x:v>
      </x:c>
      <x:c r="R90" s="60" t="n">
        <x:v>45.0328</x:v>
      </x:c>
      <x:c r="S90" s="60" t="n">
        <x:v>45.833</x:v>
      </x:c>
      <x:c r="T90" s="60" t="n">
        <x:v>46.5826</x:v>
      </x:c>
      <x:c r="U90" s="60" t="n">
        <x:v>47.2055</x:v>
      </x:c>
      <x:c r="V90" s="60" t="n">
        <x:v>47.8428</x:v>
      </x:c>
      <x:c r="W90" s="60" t="n">
        <x:v>48.4339</x:v>
      </x:c>
      <x:c r="X90" s="60" t="n">
        <x:v>48.9943</x:v>
      </x:c>
      <x:c r="Y90" s="60" t="n">
        <x:v>49.569</x:v>
      </x:c>
      <x:c r="Z90" s="60" t="n">
        <x:v>50.1019</x:v>
      </x:c>
      <x:c r="AA90" s="60" t="n">
        <x:v>50.6752</x:v>
      </x:c>
      <x:c r="AB90" s="60" t="n">
        <x:v>51.1474</x:v>
      </x:c>
      <x:c r="AC90" s="60" t="n">
        <x:v>51.7035</x:v>
      </x:c>
      <x:c r="AD90" s="60" t="n">
        <x:v>52.2235</x:v>
      </x:c>
      <x:c r="AE90" s="60" t="n">
        <x:v>52.7483</x:v>
      </x:c>
      <x:c r="AF90" s="60" t="n">
        <x:v>53.2518</x:v>
      </x:c>
      <x:c r="AG90" s="60" t="n">
        <x:v>53.7053</x:v>
      </x:c>
      <x:c r="AH90" s="60" t="n">
        <x:v>54.2148</x:v>
      </x:c>
      <x:c r="AI90" s="60" t="n">
        <x:v>54.6797</x:v>
      </x:c>
      <x:c r="AJ90" s="60" t="n">
        <x:v>55.1427</x:v>
      </x:c>
      <x:c r="AK90" s="60" t="n">
        <x:v>55.5875</x:v>
      </x:c>
      <x:c r="AL90" s="60" t="n">
        <x:v>56.0508</x:v>
      </x:c>
      <x:c r="AM90" s="60" t="n">
        <x:v>56.4988</x:v>
      </x:c>
      <x:c r="AN90" s="60" t="n">
        <x:v>56.9571</x:v>
      </x:c>
      <x:c r="AO90" s="60" t="n">
        <x:v>57.3631</x:v>
      </x:c>
      <x:c r="AP90" s="60" t="n">
        <x:v>57.7771</x:v>
      </x:c>
      <x:c r="AQ90" s="60" t="n">
        <x:v>58.1855</x:v>
      </x:c>
      <x:c r="AR90" s="60" t="n">
        <x:v>58.6496</x:v>
      </x:c>
      <x:c r="AS90" s="60" t="n">
        <x:v>59.0327</x:v>
      </x:c>
      <x:c r="AT90" s="60" t="n">
        <x:v>59.4391</x:v>
      </x:c>
      <x:c r="AU90" s="60" t="n">
        <x:v>59.8311</x:v>
      </x:c>
      <x:c r="AV90" s="60" t="n">
        <x:v>60.1833</x:v>
      </x:c>
      <x:c r="AW90" s="60" t="n">
        <x:v>60.6074</x:v>
      </x:c>
      <x:c r="AX90" s="60" t="n">
        <x:v>61.0242</x:v>
      </x:c>
      <x:c r="AY90" s="60" t="n">
        <x:v>61.4494</x:v>
      </x:c>
      <x:c r="AZ90" s="60" t="n">
        <x:v>61.8278</x:v>
      </x:c>
      <x:c r="BA90" s="60" t="n">
        <x:v>62.2359</x:v>
      </x:c>
      <x:c r="BB90" s="60" t="n">
        <x:v>62.5843</x:v>
      </x:c>
      <x:c r="BC90" s="60" t="n">
        <x:v>62.9793</x:v>
      </x:c>
      <x:c r="BD90" s="60" t="n">
        <x:v>63.3754</x:v>
      </x:c>
      <x:c r="BE90" s="60" t="n">
        <x:v>63.7515</x:v>
      </x:c>
      <x:c r="BF90" s="60" t="n">
        <x:v>64.1319</x:v>
      </x:c>
      <x:c r="BG90" s="60" t="n">
        <x:v>64.5311</x:v>
      </x:c>
      <x:c r="BH90" s="60" t="n">
        <x:v>64.8191</x:v>
      </x:c>
      <x:c r="BI90" s="60" t="n">
        <x:v>65.2024</x:v>
      </x:c>
      <x:c r="BJ90" s="60" t="n">
        <x:v>65.5669</x:v>
      </x:c>
      <x:c r="BK90" s="60" t="n">
        <x:v>65.9823</x:v>
      </x:c>
      <x:c r="BL90" s="60" t="n">
        <x:v>66.3857</x:v>
      </x:c>
      <x:c r="BM90" s="60" t="n">
        <x:v>66.8205</x:v>
      </x:c>
      <x:c r="BN90" s="60" t="n">
        <x:v>67.2139</x:v>
      </x:c>
      <x:c r="BO90" s="60" t="n">
        <x:v>67.5986</x:v>
      </x:c>
      <x:c r="BP90" s="60" t="n">
        <x:v>67.9008</x:v>
      </x:c>
      <x:c r="BQ90" s="60" t="n">
        <x:v>68.2815</x:v>
      </x:c>
      <x:c r="BR90" s="60" t="n">
        <x:v>68.6797</x:v>
      </x:c>
      <x:c r="BS90" s="60" t="n">
        <x:v>69.0351</x:v>
      </x:c>
      <x:c r="BT90" s="60" t="n">
        <x:v>69.4043</x:v>
      </x:c>
      <x:c r="BU90" s="60" t="n">
        <x:v>69.758</x:v>
      </x:c>
      <x:c r="BV90" s="60" t="n">
        <x:v>70.1225</x:v>
      </x:c>
      <x:c r="BW90" s="60" t="n">
        <x:v>70.4995</x:v>
      </x:c>
      <x:c r="BX90" s="60" t="n">
        <x:v>70.881</x:v>
      </x:c>
      <x:c r="BY90" s="60" t="n">
        <x:v>71.2509</x:v>
      </x:c>
      <x:c r="BZ90" s="60" t="n">
        <x:v>71.622</x:v>
      </x:c>
      <x:c r="CA90" s="60" t="n">
        <x:v>72.0394</x:v>
      </x:c>
      <x:c r="CB90" s="60" t="n">
        <x:v>72.4133</x:v>
      </x:c>
      <x:c r="CC90" s="60" t="n">
        <x:v>72.7984</x:v>
      </x:c>
      <x:c r="CD90" s="60" t="n">
        <x:v>73.1887</x:v>
      </x:c>
      <x:c r="CE90" s="60" t="n">
        <x:v>73.5413</x:v>
      </x:c>
      <x:c r="CF90" s="60" t="n">
        <x:v>73.9019</x:v>
      </x:c>
      <x:c r="CG90" s="60" t="n">
        <x:v>74.3089</x:v>
      </x:c>
      <x:c r="CH90" s="60" t="n">
        <x:v>74.6582</x:v>
      </x:c>
      <x:c r="CI90" s="60" t="n">
        <x:v>75.0602</x:v>
      </x:c>
      <x:c r="CJ90" s="60" t="n">
        <x:v>75.4564</x:v>
      </x:c>
      <x:c r="CK90" s="60" t="n">
        <x:v>75.8806</x:v>
      </x:c>
      <x:c r="CL90" s="60" t="n">
        <x:v>76.3154</x:v>
      </x:c>
      <x:c r="CM90" s="60" t="n">
        <x:v>76.7179</x:v>
      </x:c>
      <x:c r="CN90" s="60" t="n">
        <x:v>77.1842</x:v>
      </x:c>
      <x:c r="CO90" s="60" t="n">
        <x:v>77.7007</x:v>
      </x:c>
      <x:c r="CP90" s="60" t="n">
        <x:v>78.1762</x:v>
      </x:c>
      <x:c r="CQ90" s="60" t="n">
        <x:v>78.6577</x:v>
      </x:c>
      <x:c r="CR90" s="60" t="n">
        <x:v>79.1843</x:v>
      </x:c>
      <x:c r="CS90" s="60" t="n">
        <x:v>79.7345</x:v>
      </x:c>
      <x:c r="CT90" s="60" t="n">
        <x:v>80.2815</x:v>
      </x:c>
      <x:c r="CU90" s="60" t="n">
        <x:v>80.8737</x:v>
      </x:c>
      <x:c r="CV90" s="60" t="n">
        <x:v>81.5137</x:v>
      </x:c>
      <x:c r="CW90" s="60" t="n">
        <x:v>82.2765</x:v>
      </x:c>
      <x:c r="CX90" s="60" t="n">
        <x:v>82.9975</x:v>
      </x:c>
      <x:c r="CY90" s="60" t="n">
        <x:v>83.8296</x:v>
      </x:c>
      <x:c r="CZ90" s="60" t="n">
        <x:v>84.796</x:v>
      </x:c>
      <x:c r="DA90" s="60" t="n">
        <x:v>86.2504</x:v>
      </x:c>
      <x:c r="DB90" s="60" t="n">
        <x:v>90.1597</x:v>
      </x:c>
    </x:row>
    <x:row r="91">
      <x:c r="A91" t="str">
        <x:v>ファイアロー-1</x:v>
      </x:c>
      <x:c r="B91" t="str">
        <x:v>ファイアロー</x:v>
      </x:c>
      <x:c r="C91" t="str">
        <x:v>共通</x:v>
      </x:c>
      <x:c r="D91" s="60" t="n">
        <x:v>60.587</x:v>
      </x:c>
      <x:c r="E91" s="60" t="n">
        <x:v>13.4679</x:v>
      </x:c>
      <x:c r="F91" s="60" t="n">
        <x:v>24.8167</x:v>
      </x:c>
      <x:c r="G91" s="60" t="n">
        <x:v>32.4612</x:v>
      </x:c>
      <x:c r="H91" s="60" t="n">
        <x:v>33.9219</x:v>
      </x:c>
      <x:c r="I91" s="60" t="n">
        <x:v>35.184</x:v>
      </x:c>
      <x:c r="J91" s="60" t="n">
        <x:v>36.2891</x:v>
      </x:c>
      <x:c r="K91" s="60" t="n">
        <x:v>37.2838</x:v>
      </x:c>
      <x:c r="L91" s="60" t="n">
        <x:v>38.3389</x:v>
      </x:c>
      <x:c r="M91" s="60" t="n">
        <x:v>39.3347</x:v>
      </x:c>
      <x:c r="N91" s="60" t="n">
        <x:v>40.1276</x:v>
      </x:c>
      <x:c r="O91" s="60" t="n">
        <x:v>40.9949</x:v>
      </x:c>
      <x:c r="P91" s="60" t="n">
        <x:v>41.7986</x:v>
      </x:c>
      <x:c r="Q91" s="60" t="n">
        <x:v>42.5184</x:v>
      </x:c>
      <x:c r="R91" s="60" t="n">
        <x:v>43.3041</x:v>
      </x:c>
      <x:c r="S91" s="60" t="n">
        <x:v>43.9416</x:v>
      </x:c>
      <x:c r="T91" s="60" t="n">
        <x:v>44.6189</x:v>
      </x:c>
      <x:c r="U91" s="60" t="n">
        <x:v>45.2018</x:v>
      </x:c>
      <x:c r="V91" s="60" t="n">
        <x:v>45.8586</x:v>
      </x:c>
      <x:c r="W91" s="60" t="n">
        <x:v>46.4006</x:v>
      </x:c>
      <x:c r="X91" s="60" t="n">
        <x:v>46.9703</x:v>
      </x:c>
      <x:c r="Y91" s="60" t="n">
        <x:v>47.5159</x:v>
      </x:c>
      <x:c r="Z91" s="60" t="n">
        <x:v>48.0721</x:v>
      </x:c>
      <x:c r="AA91" s="60" t="n">
        <x:v>48.6349</x:v>
      </x:c>
      <x:c r="AB91" s="60" t="n">
        <x:v>49.1536</x:v>
      </x:c>
      <x:c r="AC91" s="60" t="n">
        <x:v>49.642</x:v>
      </x:c>
      <x:c r="AD91" s="60" t="n">
        <x:v>50.1799</x:v>
      </x:c>
      <x:c r="AE91" s="60" t="n">
        <x:v>50.6441</x:v>
      </x:c>
      <x:c r="AF91" s="60" t="n">
        <x:v>51.1018</x:v>
      </x:c>
      <x:c r="AG91" s="60" t="n">
        <x:v>51.5933</x:v>
      </x:c>
      <x:c r="AH91" s="60" t="n">
        <x:v>52.0611</x:v>
      </x:c>
      <x:c r="AI91" s="60" t="n">
        <x:v>52.4572</x:v>
      </x:c>
      <x:c r="AJ91" s="60" t="n">
        <x:v>52.8937</x:v>
      </x:c>
      <x:c r="AK91" s="60" t="n">
        <x:v>53.3755</x:v>
      </x:c>
      <x:c r="AL91" s="60" t="n">
        <x:v>53.7736</x:v>
      </x:c>
      <x:c r="AM91" s="60" t="n">
        <x:v>54.2218</x:v>
      </x:c>
      <x:c r="AN91" s="60" t="n">
        <x:v>54.6769</x:v>
      </x:c>
      <x:c r="AO91" s="60" t="n">
        <x:v>55.0737</x:v>
      </x:c>
      <x:c r="AP91" s="60" t="n">
        <x:v>55.4937</x:v>
      </x:c>
      <x:c r="AQ91" s="60" t="n">
        <x:v>55.9274</x:v>
      </x:c>
      <x:c r="AR91" s="60" t="n">
        <x:v>56.3222</x:v>
      </x:c>
      <x:c r="AS91" s="60" t="n">
        <x:v>56.7654</x:v>
      </x:c>
      <x:c r="AT91" s="60" t="n">
        <x:v>57.2055</x:v>
      </x:c>
      <x:c r="AU91" s="60" t="n">
        <x:v>57.5791</x:v>
      </x:c>
      <x:c r="AV91" s="60" t="n">
        <x:v>57.9905</x:v>
      </x:c>
      <x:c r="AW91" s="60" t="n">
        <x:v>58.4533</x:v>
      </x:c>
      <x:c r="AX91" s="60" t="n">
        <x:v>58.8634</x:v>
      </x:c>
      <x:c r="AY91" s="60" t="n">
        <x:v>59.266</x:v>
      </x:c>
      <x:c r="AZ91" s="60" t="n">
        <x:v>59.6553</x:v>
      </x:c>
      <x:c r="BA91" s="60" t="n">
        <x:v>60.0441</x:v>
      </x:c>
      <x:c r="BB91" s="60" t="n">
        <x:v>60.4409</x:v>
      </x:c>
      <x:c r="BC91" s="60" t="n">
        <x:v>60.8312</x:v>
      </x:c>
      <x:c r="BD91" s="60" t="n">
        <x:v>61.1685</x:v>
      </x:c>
      <x:c r="BE91" s="60" t="n">
        <x:v>61.5861</x:v>
      </x:c>
      <x:c r="BF91" s="60" t="n">
        <x:v>61.9726</x:v>
      </x:c>
      <x:c r="BG91" s="60" t="n">
        <x:v>62.3213</x:v>
      </x:c>
      <x:c r="BH91" s="60" t="n">
        <x:v>62.741</x:v>
      </x:c>
      <x:c r="BI91" s="60" t="n">
        <x:v>63.1251</x:v>
      </x:c>
      <x:c r="BJ91" s="60" t="n">
        <x:v>63.4911</x:v>
      </x:c>
      <x:c r="BK91" s="60" t="n">
        <x:v>63.8719</x:v>
      </x:c>
      <x:c r="BL91" s="60" t="n">
        <x:v>64.2876</x:v>
      </x:c>
      <x:c r="BM91" s="60" t="n">
        <x:v>64.6455</x:v>
      </x:c>
      <x:c r="BN91" s="60" t="n">
        <x:v>65.0447</x:v>
      </x:c>
      <x:c r="BO91" s="60" t="n">
        <x:v>65.4022</x:v>
      </x:c>
      <x:c r="BP91" s="60" t="n">
        <x:v>65.7804</x:v>
      </x:c>
      <x:c r="BQ91" s="60" t="n">
        <x:v>66.1596</x:v>
      </x:c>
      <x:c r="BR91" s="60" t="n">
        <x:v>66.5304</x:v>
      </x:c>
      <x:c r="BS91" s="60" t="n">
        <x:v>66.9413</x:v>
      </x:c>
      <x:c r="BT91" s="60" t="n">
        <x:v>67.3327</x:v>
      </x:c>
      <x:c r="BU91" s="60" t="n">
        <x:v>67.7773</x:v>
      </x:c>
      <x:c r="BV91" s="60" t="n">
        <x:v>68.1361</x:v>
      </x:c>
      <x:c r="BW91" s="60" t="n">
        <x:v>68.5095</x:v>
      </x:c>
      <x:c r="BX91" s="60" t="n">
        <x:v>68.8984</x:v>
      </x:c>
      <x:c r="BY91" s="60" t="n">
        <x:v>69.3065</x:v>
      </x:c>
      <x:c r="BZ91" s="60" t="n">
        <x:v>69.7079</x:v>
      </x:c>
      <x:c r="CA91" s="60" t="n">
        <x:v>70.1073</x:v>
      </x:c>
      <x:c r="CB91" s="60" t="n">
        <x:v>70.4937</x:v>
      </x:c>
      <x:c r="CC91" s="60" t="n">
        <x:v>70.9495</x:v>
      </x:c>
      <x:c r="CD91" s="60" t="n">
        <x:v>71.3698</x:v>
      </x:c>
      <x:c r="CE91" s="60" t="n">
        <x:v>71.7744</x:v>
      </x:c>
      <x:c r="CF91" s="60" t="n">
        <x:v>72.18</x:v>
      </x:c>
      <x:c r="CG91" s="60" t="n">
        <x:v>72.6596</x:v>
      </x:c>
      <x:c r="CH91" s="60" t="n">
        <x:v>73.1266</x:v>
      </x:c>
      <x:c r="CI91" s="60" t="n">
        <x:v>73.5879</x:v>
      </x:c>
      <x:c r="CJ91" s="60" t="n">
        <x:v>74.0221</x:v>
      </x:c>
      <x:c r="CK91" s="60" t="n">
        <x:v>74.4618</x:v>
      </x:c>
      <x:c r="CL91" s="60" t="n">
        <x:v>74.9558</x:v>
      </x:c>
      <x:c r="CM91" s="60" t="n">
        <x:v>75.4036</x:v>
      </x:c>
      <x:c r="CN91" s="60" t="n">
        <x:v>75.935</x:v>
      </x:c>
      <x:c r="CO91" s="60" t="n">
        <x:v>76.4165</x:v>
      </x:c>
      <x:c r="CP91" s="60" t="n">
        <x:v>77.0389</x:v>
      </x:c>
      <x:c r="CQ91" s="60" t="n">
        <x:v>77.5828</x:v>
      </x:c>
      <x:c r="CR91" s="60" t="n">
        <x:v>78.255</x:v>
      </x:c>
      <x:c r="CS91" s="60" t="n">
        <x:v>78.8608</x:v>
      </x:c>
      <x:c r="CT91" s="60" t="n">
        <x:v>79.487</x:v>
      </x:c>
      <x:c r="CU91" s="60" t="n">
        <x:v>80.1683</x:v>
      </x:c>
      <x:c r="CV91" s="60" t="n">
        <x:v>80.9079</x:v>
      </x:c>
      <x:c r="CW91" s="60" t="n">
        <x:v>81.7599</x:v>
      </x:c>
      <x:c r="CX91" s="60" t="n">
        <x:v>82.708</x:v>
      </x:c>
      <x:c r="CY91" s="60" t="n">
        <x:v>83.761</x:v>
      </x:c>
      <x:c r="CZ91" s="60" t="n">
        <x:v>85.1916</x:v>
      </x:c>
      <x:c r="DA91" s="60" t="n">
        <x:v>86.7717</x:v>
      </x:c>
      <x:c r="DB91" s="60" t="n">
        <x:v>92.2887</x:v>
      </x:c>
    </x:row>
    <x:row r="92">
      <x:c r="A92" t="str">
        <x:v>マスカーニャ-1</x:v>
      </x:c>
      <x:c r="B92" t="str">
        <x:v>マスカーニャ</x:v>
      </x:c>
      <x:c r="C92" t="str">
        <x:v>トリックフラワー</x:v>
      </x:c>
      <x:c r="D92" s="60" t="n">
        <x:v>61.7275</x:v>
      </x:c>
      <x:c r="E92" s="60" t="n">
        <x:v>10.9646</x:v>
      </x:c>
      <x:c r="F92" s="60" t="n">
        <x:v>29.3689</x:v>
      </x:c>
      <x:c r="G92" s="60" t="n">
        <x:v>37.2363</x:v>
      </x:c>
      <x:c r="H92" s="60" t="n">
        <x:v>39.0246</x:v>
      </x:c>
      <x:c r="I92" s="60" t="n">
        <x:v>40.4644</x:v>
      </x:c>
      <x:c r="J92" s="60" t="n">
        <x:v>41.4832</x:v>
      </x:c>
      <x:c r="K92" s="60" t="n">
        <x:v>42.4473</x:v>
      </x:c>
      <x:c r="L92" s="60" t="n">
        <x:v>43.2511</x:v>
      </x:c>
      <x:c r="M92" s="60" t="n">
        <x:v>44.0721</x:v>
      </x:c>
      <x:c r="N92" s="60" t="n">
        <x:v>44.7939</x:v>
      </x:c>
      <x:c r="O92" s="60" t="n">
        <x:v>45.5662</x:v>
      </x:c>
      <x:c r="P92" s="60" t="n">
        <x:v>46.2004</x:v>
      </x:c>
      <x:c r="Q92" s="60" t="n">
        <x:v>46.8995</x:v>
      </x:c>
      <x:c r="R92" s="60" t="n">
        <x:v>47.4757</x:v>
      </x:c>
      <x:c r="S92" s="60" t="n">
        <x:v>48.0588</x:v>
      </x:c>
      <x:c r="T92" s="60" t="n">
        <x:v>48.6507</x:v>
      </x:c>
      <x:c r="U92" s="60" t="n">
        <x:v>49.2476</x:v>
      </x:c>
      <x:c r="V92" s="60" t="n">
        <x:v>49.7336</x:v>
      </x:c>
      <x:c r="W92" s="60" t="n">
        <x:v>50.2586</x:v>
      </x:c>
      <x:c r="X92" s="60" t="n">
        <x:v>50.7003</x:v>
      </x:c>
      <x:c r="Y92" s="60" t="n">
        <x:v>51.1975</x:v>
      </x:c>
      <x:c r="Z92" s="60" t="n">
        <x:v>51.6706</x:v>
      </x:c>
      <x:c r="AA92" s="60" t="n">
        <x:v>52.123</x:v>
      </x:c>
      <x:c r="AB92" s="60" t="n">
        <x:v>52.5367</x:v>
      </x:c>
      <x:c r="AC92" s="60" t="n">
        <x:v>52.987</x:v>
      </x:c>
      <x:c r="AD92" s="60" t="n">
        <x:v>53.4723</x:v>
      </x:c>
      <x:c r="AE92" s="60" t="n">
        <x:v>53.8728</x:v>
      </x:c>
      <x:c r="AF92" s="60" t="n">
        <x:v>54.2937</x:v>
      </x:c>
      <x:c r="AG92" s="60" t="n">
        <x:v>54.7115</x:v>
      </x:c>
      <x:c r="AH92" s="60" t="n">
        <x:v>55.1188</x:v>
      </x:c>
      <x:c r="AI92" s="60" t="n">
        <x:v>55.5014</x:v>
      </x:c>
      <x:c r="AJ92" s="60" t="n">
        <x:v>55.873</x:v>
      </x:c>
      <x:c r="AK92" s="60" t="n">
        <x:v>56.2845</x:v>
      </x:c>
      <x:c r="AL92" s="60" t="n">
        <x:v>56.6261</x:v>
      </x:c>
      <x:c r="AM92" s="60" t="n">
        <x:v>56.9844</x:v>
      </x:c>
      <x:c r="AN92" s="60" t="n">
        <x:v>57.3189</x:v>
      </x:c>
      <x:c r="AO92" s="60" t="n">
        <x:v>57.6774</x:v>
      </x:c>
      <x:c r="AP92" s="60" t="n">
        <x:v>58.0156</x:v>
      </x:c>
      <x:c r="AQ92" s="60" t="n">
        <x:v>58.315</x:v>
      </x:c>
      <x:c r="AR92" s="60" t="n">
        <x:v>58.6526</x:v>
      </x:c>
      <x:c r="AS92" s="60" t="n">
        <x:v>58.9854</x:v>
      </x:c>
      <x:c r="AT92" s="60" t="n">
        <x:v>59.3024</x:v>
      </x:c>
      <x:c r="AU92" s="60" t="n">
        <x:v>59.622</x:v>
      </x:c>
      <x:c r="AV92" s="60" t="n">
        <x:v>59.9692</x:v>
      </x:c>
      <x:c r="AW92" s="60" t="n">
        <x:v>60.2537</x:v>
      </x:c>
      <x:c r="AX92" s="60" t="n">
        <x:v>60.5882</x:v>
      </x:c>
      <x:c r="AY92" s="60" t="n">
        <x:v>60.9286</x:v>
      </x:c>
      <x:c r="AZ92" s="60" t="n">
        <x:v>61.2322</x:v>
      </x:c>
      <x:c r="BA92" s="60" t="n">
        <x:v>61.5961</x:v>
      </x:c>
      <x:c r="BB92" s="60" t="n">
        <x:v>61.8732</x:v>
      </x:c>
      <x:c r="BC92" s="60" t="n">
        <x:v>62.1902</x:v>
      </x:c>
      <x:c r="BD92" s="60" t="n">
        <x:v>62.5314</x:v>
      </x:c>
      <x:c r="BE92" s="60" t="n">
        <x:v>62.8339</x:v>
      </x:c>
      <x:c r="BF92" s="60" t="n">
        <x:v>63.1343</x:v>
      </x:c>
      <x:c r="BG92" s="60" t="n">
        <x:v>63.4255</x:v>
      </x:c>
      <x:c r="BH92" s="60" t="n">
        <x:v>63.7025</x:v>
      </x:c>
      <x:c r="BI92" s="60" t="n">
        <x:v>63.9976</x:v>
      </x:c>
      <x:c r="BJ92" s="60" t="n">
        <x:v>64.3105</x:v>
      </x:c>
      <x:c r="BK92" s="60" t="n">
        <x:v>64.6602</x:v>
      </x:c>
      <x:c r="BL92" s="60" t="n">
        <x:v>64.9534</x:v>
      </x:c>
      <x:c r="BM92" s="60" t="n">
        <x:v>65.2526</x:v>
      </x:c>
      <x:c r="BN92" s="60" t="n">
        <x:v>65.5505</x:v>
      </x:c>
      <x:c r="BO92" s="60" t="n">
        <x:v>65.864</x:v>
      </x:c>
      <x:c r="BP92" s="60" t="n">
        <x:v>66.1844</x:v>
      </x:c>
      <x:c r="BQ92" s="60" t="n">
        <x:v>66.5077</x:v>
      </x:c>
      <x:c r="BR92" s="60" t="n">
        <x:v>66.8247</x:v>
      </x:c>
      <x:c r="BS92" s="60" t="n">
        <x:v>67.1197</x:v>
      </x:c>
      <x:c r="BT92" s="60" t="n">
        <x:v>67.4205</x:v>
      </x:c>
      <x:c r="BU92" s="60" t="n">
        <x:v>67.7249</x:v>
      </x:c>
      <x:c r="BV92" s="60" t="n">
        <x:v>68.0408</x:v>
      </x:c>
      <x:c r="BW92" s="60" t="n">
        <x:v>68.3831</x:v>
      </x:c>
      <x:c r="BX92" s="60" t="n">
        <x:v>68.6952</x:v>
      </x:c>
      <x:c r="BY92" s="60" t="n">
        <x:v>68.9986</x:v>
      </x:c>
      <x:c r="BZ92" s="60" t="n">
        <x:v>69.2796</x:v>
      </x:c>
      <x:c r="CA92" s="60" t="n">
        <x:v>69.5678</x:v>
      </x:c>
      <x:c r="CB92" s="60" t="n">
        <x:v>69.8771</x:v>
      </x:c>
      <x:c r="CC92" s="60" t="n">
        <x:v>70.214</x:v>
      </x:c>
      <x:c r="CD92" s="60" t="n">
        <x:v>70.5388</x:v>
      </x:c>
      <x:c r="CE92" s="60" t="n">
        <x:v>70.88</x:v>
      </x:c>
      <x:c r="CF92" s="60" t="n">
        <x:v>71.221</x:v>
      </x:c>
      <x:c r="CG92" s="60" t="n">
        <x:v>71.5602</x:v>
      </x:c>
      <x:c r="CH92" s="60" t="n">
        <x:v>71.9227</x:v>
      </x:c>
      <x:c r="CI92" s="60" t="n">
        <x:v>72.2338</x:v>
      </x:c>
      <x:c r="CJ92" s="60" t="n">
        <x:v>72.5886</x:v>
      </x:c>
      <x:c r="CK92" s="60" t="n">
        <x:v>72.927</x:v>
      </x:c>
      <x:c r="CL92" s="60" t="n">
        <x:v>73.2564</x:v>
      </x:c>
      <x:c r="CM92" s="60" t="n">
        <x:v>73.6301</x:v>
      </x:c>
      <x:c r="CN92" s="60" t="n">
        <x:v>74.0067</x:v>
      </x:c>
      <x:c r="CO92" s="60" t="n">
        <x:v>74.3987</x:v>
      </x:c>
      <x:c r="CP92" s="60" t="n">
        <x:v>74.8047</x:v>
      </x:c>
      <x:c r="CQ92" s="60" t="n">
        <x:v>75.2101</x:v>
      </x:c>
      <x:c r="CR92" s="60" t="n">
        <x:v>75.5964</x:v>
      </x:c>
      <x:c r="CS92" s="60" t="n">
        <x:v>76.0426</x:v>
      </x:c>
      <x:c r="CT92" s="60" t="n">
        <x:v>76.5117</x:v>
      </x:c>
      <x:c r="CU92" s="60" t="n">
        <x:v>77.0277</x:v>
      </x:c>
      <x:c r="CV92" s="60" t="n">
        <x:v>77.6193</x:v>
      </x:c>
      <x:c r="CW92" s="60" t="n">
        <x:v>78.214</x:v>
      </x:c>
      <x:c r="CX92" s="60" t="n">
        <x:v>78.9355</x:v>
      </x:c>
      <x:c r="CY92" s="60" t="n">
        <x:v>79.8414</x:v>
      </x:c>
      <x:c r="CZ92" s="60" t="n">
        <x:v>81.0534</x:v>
      </x:c>
      <x:c r="DA92" s="60" t="n">
        <x:v>82.6403</x:v>
      </x:c>
      <x:c r="DB92" s="60" t="n">
        <x:v>88.6006</x:v>
      </x:c>
    </x:row>
    <x:row r="93">
      <x:c r="A93" t="str">
        <x:v>マスカーニャ-2</x:v>
      </x:c>
      <x:c r="B93" t="str">
        <x:v>マスカーニャ</x:v>
      </x:c>
      <x:c r="C93" t="str">
        <x:v>つじぎり</x:v>
      </x:c>
      <x:c r="D93" s="60" t="n">
        <x:v>61.3905</x:v>
      </x:c>
      <x:c r="E93" s="60" t="n">
        <x:v>13.2897</x:v>
      </x:c>
      <x:c r="F93" s="60" t="n">
        <x:v>24.6239</x:v>
      </x:c>
      <x:c r="G93" s="60" t="n">
        <x:v>32.9213</x:v>
      </x:c>
      <x:c r="H93" s="60" t="n">
        <x:v>34.5485</x:v>
      </x:c>
      <x:c r="I93" s="60" t="n">
        <x:v>35.7504</x:v>
      </x:c>
      <x:c r="J93" s="60" t="n">
        <x:v>36.9564</x:v>
      </x:c>
      <x:c r="K93" s="60" t="n">
        <x:v>38.0093</x:v>
      </x:c>
      <x:c r="L93" s="60" t="n">
        <x:v>39.0202</x:v>
      </x:c>
      <x:c r="M93" s="60" t="n">
        <x:v>39.9578</x:v>
      </x:c>
      <x:c r="N93" s="60" t="n">
        <x:v>40.9152</x:v>
      </x:c>
      <x:c r="O93" s="60" t="n">
        <x:v>41.7887</x:v>
      </x:c>
      <x:c r="P93" s="60" t="n">
        <x:v>42.5755</x:v>
      </x:c>
      <x:c r="Q93" s="60" t="n">
        <x:v>43.3365</x:v>
      </x:c>
      <x:c r="R93" s="60" t="n">
        <x:v>44.1443</x:v>
      </x:c>
      <x:c r="S93" s="60" t="n">
        <x:v>44.8638</x:v>
      </x:c>
      <x:c r="T93" s="60" t="n">
        <x:v>45.5513</x:v>
      </x:c>
      <x:c r="U93" s="60" t="n">
        <x:v>46.1895</x:v>
      </x:c>
      <x:c r="V93" s="60" t="n">
        <x:v>46.8566</x:v>
      </x:c>
      <x:c r="W93" s="60" t="n">
        <x:v>47.4591</x:v>
      </x:c>
      <x:c r="X93" s="60" t="n">
        <x:v>48.0368</x:v>
      </x:c>
      <x:c r="Y93" s="60" t="n">
        <x:v>48.6172</x:v>
      </x:c>
      <x:c r="Z93" s="60" t="n">
        <x:v>49.1769</x:v>
      </x:c>
      <x:c r="AA93" s="60" t="n">
        <x:v>49.6199</x:v>
      </x:c>
      <x:c r="AB93" s="60" t="n">
        <x:v>50.1796</x:v>
      </x:c>
      <x:c r="AC93" s="60" t="n">
        <x:v>50.681</x:v>
      </x:c>
      <x:c r="AD93" s="60" t="n">
        <x:v>51.1596</x:v>
      </x:c>
      <x:c r="AE93" s="60" t="n">
        <x:v>51.6638</x:v>
      </x:c>
      <x:c r="AF93" s="60" t="n">
        <x:v>52.1082</x:v>
      </x:c>
      <x:c r="AG93" s="60" t="n">
        <x:v>52.5513</x:v>
      </x:c>
      <x:c r="AH93" s="60" t="n">
        <x:v>53.0399</x:v>
      </x:c>
      <x:c r="AI93" s="60" t="n">
        <x:v>53.4797</x:v>
      </x:c>
      <x:c r="AJ93" s="60" t="n">
        <x:v>53.9639</x:v>
      </x:c>
      <x:c r="AK93" s="60" t="n">
        <x:v>54.4294</x:v>
      </x:c>
      <x:c r="AL93" s="60" t="n">
        <x:v>54.9433</x:v>
      </x:c>
      <x:c r="AM93" s="60" t="n">
        <x:v>55.3366</x:v>
      </x:c>
      <x:c r="AN93" s="60" t="n">
        <x:v>55.7905</x:v>
      </x:c>
      <x:c r="AO93" s="60" t="n">
        <x:v>56.196</x:v>
      </x:c>
      <x:c r="AP93" s="60" t="n">
        <x:v>56.6108</x:v>
      </x:c>
      <x:c r="AQ93" s="60" t="n">
        <x:v>57.0028</x:v>
      </x:c>
      <x:c r="AR93" s="60" t="n">
        <x:v>57.4122</x:v>
      </x:c>
      <x:c r="AS93" s="60" t="n">
        <x:v>57.8341</x:v>
      </x:c>
      <x:c r="AT93" s="60" t="n">
        <x:v>58.2545</x:v>
      </x:c>
      <x:c r="AU93" s="60" t="n">
        <x:v>58.6713</x:v>
      </x:c>
      <x:c r="AV93" s="60" t="n">
        <x:v>59.1135</x:v>
      </x:c>
      <x:c r="AW93" s="60" t="n">
        <x:v>59.5249</x:v>
      </x:c>
      <x:c r="AX93" s="60" t="n">
        <x:v>59.9344</x:v>
      </x:c>
      <x:c r="AY93" s="60" t="n">
        <x:v>60.3561</x:v>
      </x:c>
      <x:c r="AZ93" s="60" t="n">
        <x:v>60.7563</x:v>
      </x:c>
      <x:c r="BA93" s="60" t="n">
        <x:v>61.153</x:v>
      </x:c>
      <x:c r="BB93" s="60" t="n">
        <x:v>61.5097</x:v>
      </x:c>
      <x:c r="BC93" s="60" t="n">
        <x:v>61.8738</x:v>
      </x:c>
      <x:c r="BD93" s="60" t="n">
        <x:v>62.2418</x:v>
      </x:c>
      <x:c r="BE93" s="60" t="n">
        <x:v>62.6222</x:v>
      </x:c>
      <x:c r="BF93" s="60" t="n">
        <x:v>62.9707</x:v>
      </x:c>
      <x:c r="BG93" s="60" t="n">
        <x:v>63.3689</x:v>
      </x:c>
      <x:c r="BH93" s="60" t="n">
        <x:v>63.7211</x:v>
      </x:c>
      <x:c r="BI93" s="60" t="n">
        <x:v>64.1074</x:v>
      </x:c>
      <x:c r="BJ93" s="60" t="n">
        <x:v>64.4938</x:v>
      </x:c>
      <x:c r="BK93" s="60" t="n">
        <x:v>64.8647</x:v>
      </x:c>
      <x:c r="BL93" s="60" t="n">
        <x:v>65.2372</x:v>
      </x:c>
      <x:c r="BM93" s="60" t="n">
        <x:v>65.6304</x:v>
      </x:c>
      <x:c r="BN93" s="60" t="n">
        <x:v>66.0194</x:v>
      </x:c>
      <x:c r="BO93" s="60" t="n">
        <x:v>66.3877</x:v>
      </x:c>
      <x:c r="BP93" s="60" t="n">
        <x:v>66.7709</x:v>
      </x:c>
      <x:c r="BQ93" s="60" t="n">
        <x:v>67.218</x:v>
      </x:c>
      <x:c r="BR93" s="60" t="n">
        <x:v>67.5489</x:v>
      </x:c>
      <x:c r="BS93" s="60" t="n">
        <x:v>67.9218</x:v>
      </x:c>
      <x:c r="BT93" s="60" t="n">
        <x:v>68.3053</x:v>
      </x:c>
      <x:c r="BU93" s="60" t="n">
        <x:v>68.6998</x:v>
      </x:c>
      <x:c r="BV93" s="60" t="n">
        <x:v>69.0512</x:v>
      </x:c>
      <x:c r="BW93" s="60" t="n">
        <x:v>69.426</x:v>
      </x:c>
      <x:c r="BX93" s="60" t="n">
        <x:v>69.7712</x:v>
      </x:c>
      <x:c r="BY93" s="60" t="n">
        <x:v>70.1547</x:v>
      </x:c>
      <x:c r="BZ93" s="60" t="n">
        <x:v>70.563</x:v>
      </x:c>
      <x:c r="CA93" s="60" t="n">
        <x:v>70.9559</x:v>
      </x:c>
      <x:c r="CB93" s="60" t="n">
        <x:v>71.3194</x:v>
      </x:c>
      <x:c r="CC93" s="60" t="n">
        <x:v>71.745</x:v>
      </x:c>
      <x:c r="CD93" s="60" t="n">
        <x:v>72.1738</x:v>
      </x:c>
      <x:c r="CE93" s="60" t="n">
        <x:v>72.5782</x:v>
      </x:c>
      <x:c r="CF93" s="60" t="n">
        <x:v>72.9487</x:v>
      </x:c>
      <x:c r="CG93" s="60" t="n">
        <x:v>73.3619</x:v>
      </x:c>
      <x:c r="CH93" s="60" t="n">
        <x:v>73.7866</x:v>
      </x:c>
      <x:c r="CI93" s="60" t="n">
        <x:v>74.2073</x:v>
      </x:c>
      <x:c r="CJ93" s="60" t="n">
        <x:v>74.6837</x:v>
      </x:c>
      <x:c r="CK93" s="60" t="n">
        <x:v>75.0726</x:v>
      </x:c>
      <x:c r="CL93" s="60" t="n">
        <x:v>75.5058</x:v>
      </x:c>
      <x:c r="CM93" s="60" t="n">
        <x:v>75.9706</x:v>
      </x:c>
      <x:c r="CN93" s="60" t="n">
        <x:v>76.3688</x:v>
      </x:c>
      <x:c r="CO93" s="60" t="n">
        <x:v>76.873</x:v>
      </x:c>
      <x:c r="CP93" s="60" t="n">
        <x:v>77.4244</x:v>
      </x:c>
      <x:c r="CQ93" s="60" t="n">
        <x:v>77.8987</x:v>
      </x:c>
      <x:c r="CR93" s="60" t="n">
        <x:v>78.4336</x:v>
      </x:c>
      <x:c r="CS93" s="60" t="n">
        <x:v>78.9811</x:v>
      </x:c>
      <x:c r="CT93" s="60" t="n">
        <x:v>79.6439</x:v>
      </x:c>
      <x:c r="CU93" s="60" t="n">
        <x:v>80.2992</x:v>
      </x:c>
      <x:c r="CV93" s="60" t="n">
        <x:v>81.1126</x:v>
      </x:c>
      <x:c r="CW93" s="60" t="n">
        <x:v>81.9255</x:v>
      </x:c>
      <x:c r="CX93" s="60" t="n">
        <x:v>82.6647</x:v>
      </x:c>
      <x:c r="CY93" s="60" t="n">
        <x:v>83.6384</x:v>
      </x:c>
      <x:c r="CZ93" s="60" t="n">
        <x:v>84.8858</x:v>
      </x:c>
      <x:c r="DA93" s="60" t="n">
        <x:v>86.3817</x:v>
      </x:c>
      <x:c r="DB93" s="60" t="n">
        <x:v>90.7354</x:v>
      </x:c>
    </x:row>
    <x:row r="94">
      <x:c r="A94" t="str">
        <x:v>モルペコ-1</x:v>
      </x:c>
      <x:c r="B94" t="str">
        <x:v>モルペコ</x:v>
      </x:c>
      <x:c r="C94" t="str">
        <x:v>共通</x:v>
      </x:c>
      <x:c r="D94" s="60" t="n">
        <x:v>60.6906</x:v>
      </x:c>
      <x:c r="E94" s="60" t="n">
        <x:v>13.2358</x:v>
      </x:c>
      <x:c r="F94" s="60" t="n">
        <x:v>24.6142</x:v>
      </x:c>
      <x:c r="G94" s="60" t="n">
        <x:v>32.529</x:v>
      </x:c>
      <x:c r="H94" s="60" t="n">
        <x:v>34.2745</x:v>
      </x:c>
      <x:c r="I94" s="60" t="n">
        <x:v>35.4864</x:v>
      </x:c>
      <x:c r="J94" s="60" t="n">
        <x:v>36.6203</x:v>
      </x:c>
      <x:c r="K94" s="60" t="n">
        <x:v>37.7121</x:v>
      </x:c>
      <x:c r="L94" s="60" t="n">
        <x:v>38.8451</x:v>
      </x:c>
      <x:c r="M94" s="60" t="n">
        <x:v>39.7372</x:v>
      </x:c>
      <x:c r="N94" s="60" t="n">
        <x:v>40.4871</x:v>
      </x:c>
      <x:c r="O94" s="60" t="n">
        <x:v>41.3333</x:v>
      </x:c>
      <x:c r="P94" s="60" t="n">
        <x:v>42.0579</x:v>
      </x:c>
      <x:c r="Q94" s="60" t="n">
        <x:v>42.8927</x:v>
      </x:c>
      <x:c r="R94" s="60" t="n">
        <x:v>43.6381</x:v>
      </x:c>
      <x:c r="S94" s="60" t="n">
        <x:v>44.3741</x:v>
      </x:c>
      <x:c r="T94" s="60" t="n">
        <x:v>45.0457</x:v>
      </x:c>
      <x:c r="U94" s="60" t="n">
        <x:v>45.6353</x:v>
      </x:c>
      <x:c r="V94" s="60" t="n">
        <x:v>46.2367</x:v>
      </x:c>
      <x:c r="W94" s="60" t="n">
        <x:v>46.8222</x:v>
      </x:c>
      <x:c r="X94" s="60" t="n">
        <x:v>47.4086</x:v>
      </x:c>
      <x:c r="Y94" s="60" t="n">
        <x:v>48.0024</x:v>
      </x:c>
      <x:c r="Z94" s="60" t="n">
        <x:v>48.5038</x:v>
      </x:c>
      <x:c r="AA94" s="60" t="n">
        <x:v>49.0016</x:v>
      </x:c>
      <x:c r="AB94" s="60" t="n">
        <x:v>49.4807</x:v>
      </x:c>
      <x:c r="AC94" s="60" t="n">
        <x:v>49.9728</x:v>
      </x:c>
      <x:c r="AD94" s="60" t="n">
        <x:v>50.461</x:v>
      </x:c>
      <x:c r="AE94" s="60" t="n">
        <x:v>50.9474</x:v>
      </x:c>
      <x:c r="AF94" s="60" t="n">
        <x:v>51.4156</x:v>
      </x:c>
      <x:c r="AG94" s="60" t="n">
        <x:v>51.8873</x:v>
      </x:c>
      <x:c r="AH94" s="60" t="n">
        <x:v>52.3338</x:v>
      </x:c>
      <x:c r="AI94" s="60" t="n">
        <x:v>52.7673</x:v>
      </x:c>
      <x:c r="AJ94" s="60" t="n">
        <x:v>53.2263</x:v>
      </x:c>
      <x:c r="AK94" s="60" t="n">
        <x:v>53.6343</x:v>
      </x:c>
      <x:c r="AL94" s="60" t="n">
        <x:v>54.0604</x:v>
      </x:c>
      <x:c r="AM94" s="60" t="n">
        <x:v>54.5053</x:v>
      </x:c>
      <x:c r="AN94" s="60" t="n">
        <x:v>54.9631</x:v>
      </x:c>
      <x:c r="AO94" s="60" t="n">
        <x:v>55.4084</x:v>
      </x:c>
      <x:c r="AP94" s="60" t="n">
        <x:v>55.7887</x:v>
      </x:c>
      <x:c r="AQ94" s="60" t="n">
        <x:v>56.249</x:v>
      </x:c>
      <x:c r="AR94" s="60" t="n">
        <x:v>56.7062</x:v>
      </x:c>
      <x:c r="AS94" s="60" t="n">
        <x:v>57.1143</x:v>
      </x:c>
      <x:c r="AT94" s="60" t="n">
        <x:v>57.4868</x:v>
      </x:c>
      <x:c r="AU94" s="60" t="n">
        <x:v>57.8527</x:v>
      </x:c>
      <x:c r="AV94" s="60" t="n">
        <x:v>58.2752</x:v>
      </x:c>
      <x:c r="AW94" s="60" t="n">
        <x:v>58.6651</x:v>
      </x:c>
      <x:c r="AX94" s="60" t="n">
        <x:v>59.0616</x:v>
      </x:c>
      <x:c r="AY94" s="60" t="n">
        <x:v>59.5048</x:v>
      </x:c>
      <x:c r="AZ94" s="60" t="n">
        <x:v>59.886</x:v>
      </x:c>
      <x:c r="BA94" s="60" t="n">
        <x:v>60.2461</x:v>
      </x:c>
      <x:c r="BB94" s="60" t="n">
        <x:v>60.6542</x:v>
      </x:c>
      <x:c r="BC94" s="60" t="n">
        <x:v>61.0376</x:v>
      </x:c>
      <x:c r="BD94" s="60" t="n">
        <x:v>61.3807</x:v>
      </x:c>
      <x:c r="BE94" s="60" t="n">
        <x:v>61.7638</x:v>
      </x:c>
      <x:c r="BF94" s="60" t="n">
        <x:v>62.136</x:v>
      </x:c>
      <x:c r="BG94" s="60" t="n">
        <x:v>62.4675</x:v>
      </x:c>
      <x:c r="BH94" s="60" t="n">
        <x:v>62.8261</x:v>
      </x:c>
      <x:c r="BI94" s="60" t="n">
        <x:v>63.1865</x:v>
      </x:c>
      <x:c r="BJ94" s="60" t="n">
        <x:v>63.5527</x:v>
      </x:c>
      <x:c r="BK94" s="60" t="n">
        <x:v>63.9504</x:v>
      </x:c>
      <x:c r="BL94" s="60" t="n">
        <x:v>64.2946</x:v>
      </x:c>
      <x:c r="BM94" s="60" t="n">
        <x:v>64.6681</x:v>
      </x:c>
      <x:c r="BN94" s="60" t="n">
        <x:v>65.0772</x:v>
      </x:c>
      <x:c r="BO94" s="60" t="n">
        <x:v>65.444</x:v>
      </x:c>
      <x:c r="BP94" s="60" t="n">
        <x:v>65.8099</x:v>
      </x:c>
      <x:c r="BQ94" s="60" t="n">
        <x:v>66.2044</x:v>
      </x:c>
      <x:c r="BR94" s="60" t="n">
        <x:v>66.606</x:v>
      </x:c>
      <x:c r="BS94" s="60" t="n">
        <x:v>66.985</x:v>
      </x:c>
      <x:c r="BT94" s="60" t="n">
        <x:v>67.3482</x:v>
      </x:c>
      <x:c r="BU94" s="60" t="n">
        <x:v>67.7102</x:v>
      </x:c>
      <x:c r="BV94" s="60" t="n">
        <x:v>68.1273</x:v>
      </x:c>
      <x:c r="BW94" s="60" t="n">
        <x:v>68.4993</x:v>
      </x:c>
      <x:c r="BX94" s="60" t="n">
        <x:v>68.9157</x:v>
      </x:c>
      <x:c r="BY94" s="60" t="n">
        <x:v>69.3289</x:v>
      </x:c>
      <x:c r="BZ94" s="60" t="n">
        <x:v>69.7251</x:v>
      </x:c>
      <x:c r="CA94" s="60" t="n">
        <x:v>70.0971</x:v>
      </x:c>
      <x:c r="CB94" s="60" t="n">
        <x:v>70.4784</x:v>
      </x:c>
      <x:c r="CC94" s="60" t="n">
        <x:v>70.8459</x:v>
      </x:c>
      <x:c r="CD94" s="60" t="n">
        <x:v>71.2788</x:v>
      </x:c>
      <x:c r="CE94" s="60" t="n">
        <x:v>71.7032</x:v>
      </x:c>
      <x:c r="CF94" s="60" t="n">
        <x:v>72.1368</x:v>
      </x:c>
      <x:c r="CG94" s="60" t="n">
        <x:v>72.5741</x:v>
      </x:c>
      <x:c r="CH94" s="60" t="n">
        <x:v>73.0012</x:v>
      </x:c>
      <x:c r="CI94" s="60" t="n">
        <x:v>73.4487</x:v>
      </x:c>
      <x:c r="CJ94" s="60" t="n">
        <x:v>73.8688</x:v>
      </x:c>
      <x:c r="CK94" s="60" t="n">
        <x:v>74.3021</x:v>
      </x:c>
      <x:c r="CL94" s="60" t="n">
        <x:v>74.6814</x:v>
      </x:c>
      <x:c r="CM94" s="60" t="n">
        <x:v>75.1522</x:v>
      </x:c>
      <x:c r="CN94" s="60" t="n">
        <x:v>75.612</x:v>
      </x:c>
      <x:c r="CO94" s="60" t="n">
        <x:v>76.2038</x:v>
      </x:c>
      <x:c r="CP94" s="60" t="n">
        <x:v>76.7897</x:v>
      </x:c>
      <x:c r="CQ94" s="60" t="n">
        <x:v>77.2808</x:v>
      </x:c>
      <x:c r="CR94" s="60" t="n">
        <x:v>77.8209</x:v>
      </x:c>
      <x:c r="CS94" s="60" t="n">
        <x:v>78.3977</x:v>
      </x:c>
      <x:c r="CT94" s="60" t="n">
        <x:v>79.1044</x:v>
      </x:c>
      <x:c r="CU94" s="60" t="n">
        <x:v>79.8506</x:v>
      </x:c>
      <x:c r="CV94" s="60" t="n">
        <x:v>80.5769</x:v>
      </x:c>
      <x:c r="CW94" s="60" t="n">
        <x:v>81.3707</x:v>
      </x:c>
      <x:c r="CX94" s="60" t="n">
        <x:v>82.3234</x:v>
      </x:c>
      <x:c r="CY94" s="60" t="n">
        <x:v>83.4662</x:v>
      </x:c>
      <x:c r="CZ94" s="60" t="n">
        <x:v>84.7358</x:v>
      </x:c>
      <x:c r="DA94" s="60" t="n">
        <x:v>86.3078</x:v>
      </x:c>
      <x:c r="DB94" s="60" t="n">
        <x:v>92.2235</x:v>
      </x:c>
    </x:row>
    <x:row r="95">
      <x:c r="A95" t="str">
        <x:v>リーフィア-1</x:v>
      </x:c>
      <x:c r="B95" t="str">
        <x:v>リーフィア</x:v>
      </x:c>
      <x:c r="C95" t="str">
        <x:v>共通</x:v>
      </x:c>
      <x:c r="D95" s="60" t="n">
        <x:v>60.7056</x:v>
      </x:c>
      <x:c r="E95" s="60" t="n">
        <x:v>13.3039</x:v>
      </x:c>
      <x:c r="F95" s="60" t="n">
        <x:v>24.5973</x:v>
      </x:c>
      <x:c r="G95" s="60" t="n">
        <x:v>32.471</x:v>
      </x:c>
      <x:c r="H95" s="60" t="n">
        <x:v>34.1791</x:v>
      </x:c>
      <x:c r="I95" s="60" t="n">
        <x:v>35.4287</x:v>
      </x:c>
      <x:c r="J95" s="60" t="n">
        <x:v>36.4131</x:v>
      </x:c>
      <x:c r="K95" s="60" t="n">
        <x:v>37.5096</x:v>
      </x:c>
      <x:c r="L95" s="60" t="n">
        <x:v>38.5493</x:v>
      </x:c>
      <x:c r="M95" s="60" t="n">
        <x:v>39.6088</x:v>
      </x:c>
      <x:c r="N95" s="60" t="n">
        <x:v>40.4891</x:v>
      </x:c>
      <x:c r="O95" s="60" t="n">
        <x:v>41.2454</x:v>
      </x:c>
      <x:c r="P95" s="60" t="n">
        <x:v>41.9945</x:v>
      </x:c>
      <x:c r="Q95" s="60" t="n">
        <x:v>42.8387</x:v>
      </x:c>
      <x:c r="R95" s="60" t="n">
        <x:v>43.5893</x:v>
      </x:c>
      <x:c r="S95" s="60" t="n">
        <x:v>44.3124</x:v>
      </x:c>
      <x:c r="T95" s="60" t="n">
        <x:v>44.9215</x:v>
      </x:c>
      <x:c r="U95" s="60" t="n">
        <x:v>45.5703</x:v>
      </x:c>
      <x:c r="V95" s="60" t="n">
        <x:v>46.1413</x:v>
      </x:c>
      <x:c r="W95" s="60" t="n">
        <x:v>46.7106</x:v>
      </x:c>
      <x:c r="X95" s="60" t="n">
        <x:v>47.3276</x:v>
      </x:c>
      <x:c r="Y95" s="60" t="n">
        <x:v>47.9441</x:v>
      </x:c>
      <x:c r="Z95" s="60" t="n">
        <x:v>48.4583</x:v>
      </x:c>
      <x:c r="AA95" s="60" t="n">
        <x:v>48.9221</x:v>
      </x:c>
      <x:c r="AB95" s="60" t="n">
        <x:v>49.4241</x:v>
      </x:c>
      <x:c r="AC95" s="60" t="n">
        <x:v>49.8818</x:v>
      </x:c>
      <x:c r="AD95" s="60" t="n">
        <x:v>50.375</x:v>
      </x:c>
      <x:c r="AE95" s="60" t="n">
        <x:v>50.9071</x:v>
      </x:c>
      <x:c r="AF95" s="60" t="n">
        <x:v>51.379</x:v>
      </x:c>
      <x:c r="AG95" s="60" t="n">
        <x:v>51.8153</x:v>
      </x:c>
      <x:c r="AH95" s="60" t="n">
        <x:v>52.2907</x:v>
      </x:c>
      <x:c r="AI95" s="60" t="n">
        <x:v>52.8005</x:v>
      </x:c>
      <x:c r="AJ95" s="60" t="n">
        <x:v>53.2352</x:v>
      </x:c>
      <x:c r="AK95" s="60" t="n">
        <x:v>53.6593</x:v>
      </x:c>
      <x:c r="AL95" s="60" t="n">
        <x:v>54.0423</x:v>
      </x:c>
      <x:c r="AM95" s="60" t="n">
        <x:v>54.4923</x:v>
      </x:c>
      <x:c r="AN95" s="60" t="n">
        <x:v>54.908</x:v>
      </x:c>
      <x:c r="AO95" s="60" t="n">
        <x:v>55.3803</x:v>
      </x:c>
      <x:c r="AP95" s="60" t="n">
        <x:v>55.7839</x:v>
      </x:c>
      <x:c r="AQ95" s="60" t="n">
        <x:v>56.2259</x:v>
      </x:c>
      <x:c r="AR95" s="60" t="n">
        <x:v>56.6535</x:v>
      </x:c>
      <x:c r="AS95" s="60" t="n">
        <x:v>57.0504</x:v>
      </x:c>
      <x:c r="AT95" s="60" t="n">
        <x:v>57.5274</x:v>
      </x:c>
      <x:c r="AU95" s="60" t="n">
        <x:v>57.9307</x:v>
      </x:c>
      <x:c r="AV95" s="60" t="n">
        <x:v>58.3353</x:v>
      </x:c>
      <x:c r="AW95" s="60" t="n">
        <x:v>58.6996</x:v>
      </x:c>
      <x:c r="AX95" s="60" t="n">
        <x:v>59.1199</x:v>
      </x:c>
      <x:c r="AY95" s="60" t="n">
        <x:v>59.487</x:v>
      </x:c>
      <x:c r="AZ95" s="60" t="n">
        <x:v>59.8926</x:v>
      </x:c>
      <x:c r="BA95" s="60" t="n">
        <x:v>60.2858</x:v>
      </x:c>
      <x:c r="BB95" s="60" t="n">
        <x:v>60.6408</x:v>
      </x:c>
      <x:c r="BC95" s="60" t="n">
        <x:v>61.0437</x:v>
      </x:c>
      <x:c r="BD95" s="60" t="n">
        <x:v>61.4414</x:v>
      </x:c>
      <x:c r="BE95" s="60" t="n">
        <x:v>61.7945</x:v>
      </x:c>
      <x:c r="BF95" s="60" t="n">
        <x:v>62.1291</x:v>
      </x:c>
      <x:c r="BG95" s="60" t="n">
        <x:v>62.4812</x:v>
      </x:c>
      <x:c r="BH95" s="60" t="n">
        <x:v>62.9071</x:v>
      </x:c>
      <x:c r="BI95" s="60" t="n">
        <x:v>63.2434</x:v>
      </x:c>
      <x:c r="BJ95" s="60" t="n">
        <x:v>63.6319</x:v>
      </x:c>
      <x:c r="BK95" s="60" t="n">
        <x:v>63.9751</x:v>
      </x:c>
      <x:c r="BL95" s="60" t="n">
        <x:v>64.3409</x:v>
      </x:c>
      <x:c r="BM95" s="60" t="n">
        <x:v>64.7536</x:v>
      </x:c>
      <x:c r="BN95" s="60" t="n">
        <x:v>65.1324</x:v>
      </x:c>
      <x:c r="BO95" s="60" t="n">
        <x:v>65.4588</x:v>
      </x:c>
      <x:c r="BP95" s="60" t="n">
        <x:v>65.8606</x:v>
      </x:c>
      <x:c r="BQ95" s="60" t="n">
        <x:v>66.2591</x:v>
      </x:c>
      <x:c r="BR95" s="60" t="n">
        <x:v>66.6362</x:v>
      </x:c>
      <x:c r="BS95" s="60" t="n">
        <x:v>67.0174</x:v>
      </x:c>
      <x:c r="BT95" s="60" t="n">
        <x:v>67.3916</x:v>
      </x:c>
      <x:c r="BU95" s="60" t="n">
        <x:v>67.8245</x:v>
      </x:c>
      <x:c r="BV95" s="60" t="n">
        <x:v>68.2241</x:v>
      </x:c>
      <x:c r="BW95" s="60" t="n">
        <x:v>68.6079</x:v>
      </x:c>
      <x:c r="BX95" s="60" t="n">
        <x:v>69.0407</x:v>
      </x:c>
      <x:c r="BY95" s="60" t="n">
        <x:v>69.4377</x:v>
      </x:c>
      <x:c r="BZ95" s="60" t="n">
        <x:v>69.7747</x:v>
      </x:c>
      <x:c r="CA95" s="60" t="n">
        <x:v>70.1512</x:v>
      </x:c>
      <x:c r="CB95" s="60" t="n">
        <x:v>70.5595</x:v>
      </x:c>
      <x:c r="CC95" s="60" t="n">
        <x:v>71.0153</x:v>
      </x:c>
      <x:c r="CD95" s="60" t="n">
        <x:v>71.4086</x:v>
      </x:c>
      <x:c r="CE95" s="60" t="n">
        <x:v>71.8104</x:v>
      </x:c>
      <x:c r="CF95" s="60" t="n">
        <x:v>72.2146</x:v>
      </x:c>
      <x:c r="CG95" s="60" t="n">
        <x:v>72.6222</x:v>
      </x:c>
      <x:c r="CH95" s="60" t="n">
        <x:v>73.1061</x:v>
      </x:c>
      <x:c r="CI95" s="60" t="n">
        <x:v>73.5036</x:v>
      </x:c>
      <x:c r="CJ95" s="60" t="n">
        <x:v>73.9287</x:v>
      </x:c>
      <x:c r="CK95" s="60" t="n">
        <x:v>74.3468</x:v>
      </x:c>
      <x:c r="CL95" s="60" t="n">
        <x:v>74.7898</x:v>
      </x:c>
      <x:c r="CM95" s="60" t="n">
        <x:v>75.2796</x:v>
      </x:c>
      <x:c r="CN95" s="60" t="n">
        <x:v>75.7647</x:v>
      </x:c>
      <x:c r="CO95" s="60" t="n">
        <x:v>76.3337</x:v>
      </x:c>
      <x:c r="CP95" s="60" t="n">
        <x:v>76.822</x:v>
      </x:c>
      <x:c r="CQ95" s="60" t="n">
        <x:v>77.3892</x:v>
      </x:c>
      <x:c r="CR95" s="60" t="n">
        <x:v>78.0113</x:v>
      </x:c>
      <x:c r="CS95" s="60" t="n">
        <x:v>78.6091</x:v>
      </x:c>
      <x:c r="CT95" s="60" t="n">
        <x:v>79.1976</x:v>
      </x:c>
      <x:c r="CU95" s="60" t="n">
        <x:v>79.9042</x:v>
      </x:c>
      <x:c r="CV95" s="60" t="n">
        <x:v>80.6503</x:v>
      </x:c>
      <x:c r="CW95" s="60" t="n">
        <x:v>81.4726</x:v>
      </x:c>
      <x:c r="CX95" s="60" t="n">
        <x:v>82.4523</x:v>
      </x:c>
      <x:c r="CY95" s="60" t="n">
        <x:v>83.4982</x:v>
      </x:c>
      <x:c r="CZ95" s="60" t="n">
        <x:v>84.6921</x:v>
      </x:c>
      <x:c r="DA95" s="60" t="n">
        <x:v>86.2848</x:v>
      </x:c>
      <x:c r="DB95" s="60" t="n">
        <x:v>92.4657</x:v>
      </x:c>
    </x:row>
    <x:row r="96">
      <x:c r="A96" t="str">
        <x:v>イワパレス-1</x:v>
      </x:c>
      <x:c r="B96" t="str">
        <x:v>イワパレス</x:v>
      </x:c>
      <x:c r="C96" t="str">
        <x:v>がんせきふうじ</x:v>
      </x:c>
      <x:c r="D96" s="60" t="n">
        <x:v>61.2598</x:v>
      </x:c>
      <x:c r="E96" s="60" t="n">
        <x:v>8.2021</x:v>
      </x:c>
      <x:c r="F96" s="60" t="n">
        <x:v>38.6064</x:v>
      </x:c>
      <x:c r="G96" s="60" t="n">
        <x:v>43.2833</x:v>
      </x:c>
      <x:c r="H96" s="60" t="n">
        <x:v>44.6039</x:v>
      </x:c>
      <x:c r="I96" s="60" t="n">
        <x:v>45.4739</x:v>
      </x:c>
      <x:c r="J96" s="60" t="n">
        <x:v>46.2456</x:v>
      </x:c>
      <x:c r="K96" s="60" t="n">
        <x:v>46.9089</x:v>
      </x:c>
      <x:c r="L96" s="60" t="n">
        <x:v>47.6017</x:v>
      </x:c>
      <x:c r="M96" s="60" t="n">
        <x:v>48.1664</x:v>
      </x:c>
      <x:c r="N96" s="60" t="n">
        <x:v>48.6656</x:v>
      </x:c>
      <x:c r="O96" s="60" t="n">
        <x:v>49.1641</x:v>
      </x:c>
      <x:c r="P96" s="60" t="n">
        <x:v>49.5949</x:v>
      </x:c>
      <x:c r="Q96" s="60" t="n">
        <x:v>50.0091</x:v>
      </x:c>
      <x:c r="R96" s="60" t="n">
        <x:v>50.4915</x:v>
      </x:c>
      <x:c r="S96" s="60" t="n">
        <x:v>50.9697</x:v>
      </x:c>
      <x:c r="T96" s="60" t="n">
        <x:v>51.3861</x:v>
      </x:c>
      <x:c r="U96" s="60" t="n">
        <x:v>51.8145</x:v>
      </x:c>
      <x:c r="V96" s="60" t="n">
        <x:v>52.1618</x:v>
      </x:c>
      <x:c r="W96" s="60" t="n">
        <x:v>52.5312</x:v>
      </x:c>
      <x:c r="X96" s="60" t="n">
        <x:v>52.9062</x:v>
      </x:c>
      <x:c r="Y96" s="60" t="n">
        <x:v>53.2219</x:v>
      </x:c>
      <x:c r="Z96" s="60" t="n">
        <x:v>53.5495</x:v>
      </x:c>
      <x:c r="AA96" s="60" t="n">
        <x:v>53.908</x:v>
      </x:c>
      <x:c r="AB96" s="60" t="n">
        <x:v>54.2575</x:v>
      </x:c>
      <x:c r="AC96" s="60" t="n">
        <x:v>54.574</x:v>
      </x:c>
      <x:c r="AD96" s="60" t="n">
        <x:v>54.8941</x:v>
      </x:c>
      <x:c r="AE96" s="60" t="n">
        <x:v>55.1722</x:v>
      </x:c>
      <x:c r="AF96" s="60" t="n">
        <x:v>55.474</x:v>
      </x:c>
      <x:c r="AG96" s="60" t="n">
        <x:v>55.8213</x:v>
      </x:c>
      <x:c r="AH96" s="60" t="n">
        <x:v>56.1288</x:v>
      </x:c>
      <x:c r="AI96" s="60" t="n">
        <x:v>56.4086</x:v>
      </x:c>
      <x:c r="AJ96" s="60" t="n">
        <x:v>56.6648</x:v>
      </x:c>
      <x:c r="AK96" s="60" t="n">
        <x:v>56.9559</x:v>
      </x:c>
      <x:c r="AL96" s="60" t="n">
        <x:v>57.2751</x:v>
      </x:c>
      <x:c r="AM96" s="60" t="n">
        <x:v>57.541</x:v>
      </x:c>
      <x:c r="AN96" s="60" t="n">
        <x:v>57.8273</x:v>
      </x:c>
      <x:c r="AO96" s="60" t="n">
        <x:v>58.1231</x:v>
      </x:c>
      <x:c r="AP96" s="60" t="n">
        <x:v>58.3766</x:v>
      </x:c>
      <x:c r="AQ96" s="60" t="n">
        <x:v>58.6336</x:v>
      </x:c>
      <x:c r="AR96" s="60" t="n">
        <x:v>58.8777</x:v>
      </x:c>
      <x:c r="AS96" s="60" t="n">
        <x:v>59.1394</x:v>
      </x:c>
      <x:c r="AT96" s="60" t="n">
        <x:v>59.3899</x:v>
      </x:c>
      <x:c r="AU96" s="60" t="n">
        <x:v>59.6444</x:v>
      </x:c>
      <x:c r="AV96" s="60" t="n">
        <x:v>59.9279</x:v>
      </x:c>
      <x:c r="AW96" s="60" t="n">
        <x:v>60.1678</x:v>
      </x:c>
      <x:c r="AX96" s="60" t="n">
        <x:v>60.4039</x:v>
      </x:c>
      <x:c r="AY96" s="60" t="n">
        <x:v>60.6717</x:v>
      </x:c>
      <x:c r="AZ96" s="60" t="n">
        <x:v>60.9192</x:v>
      </x:c>
      <x:c r="BA96" s="60" t="n">
        <x:v>61.1649</x:v>
      </x:c>
      <x:c r="BB96" s="60" t="n">
        <x:v>61.4079</x:v>
      </x:c>
      <x:c r="BC96" s="60" t="n">
        <x:v>61.659</x:v>
      </x:c>
      <x:c r="BD96" s="60" t="n">
        <x:v>61.9316</x:v>
      </x:c>
      <x:c r="BE96" s="60" t="n">
        <x:v>62.1724</x:v>
      </x:c>
      <x:c r="BF96" s="60" t="n">
        <x:v>62.4066</x:v>
      </x:c>
      <x:c r="BG96" s="60" t="n">
        <x:v>62.647</x:v>
      </x:c>
      <x:c r="BH96" s="60" t="n">
        <x:v>62.8979</x:v>
      </x:c>
      <x:c r="BI96" s="60" t="n">
        <x:v>63.1015</x:v>
      </x:c>
      <x:c r="BJ96" s="60" t="n">
        <x:v>63.3385</x:v>
      </x:c>
      <x:c r="BK96" s="60" t="n">
        <x:v>63.5466</x:v>
      </x:c>
      <x:c r="BL96" s="60" t="n">
        <x:v>63.7828</x:v>
      </x:c>
      <x:c r="BM96" s="60" t="n">
        <x:v>64.0148</x:v>
      </x:c>
      <x:c r="BN96" s="60" t="n">
        <x:v>64.2718</x:v>
      </x:c>
      <x:c r="BO96" s="60" t="n">
        <x:v>64.5006</x:v>
      </x:c>
      <x:c r="BP96" s="60" t="n">
        <x:v>64.7326</x:v>
      </x:c>
      <x:c r="BQ96" s="60" t="n">
        <x:v>64.9692</x:v>
      </x:c>
      <x:c r="BR96" s="60" t="n">
        <x:v>65.2095</x:v>
      </x:c>
      <x:c r="BS96" s="60" t="n">
        <x:v>65.4155</x:v>
      </x:c>
      <x:c r="BT96" s="60" t="n">
        <x:v>65.6239</x:v>
      </x:c>
      <x:c r="BU96" s="60" t="n">
        <x:v>65.8437</x:v>
      </x:c>
      <x:c r="BV96" s="60" t="n">
        <x:v>66.0818</x:v>
      </x:c>
      <x:c r="BW96" s="60" t="n">
        <x:v>66.3273</x:v>
      </x:c>
      <x:c r="BX96" s="60" t="n">
        <x:v>66.5799</x:v>
      </x:c>
      <x:c r="BY96" s="60" t="n">
        <x:v>66.7942</x:v>
      </x:c>
      <x:c r="BZ96" s="60" t="n">
        <x:v>66.9999</x:v>
      </x:c>
      <x:c r="CA96" s="60" t="n">
        <x:v>67.2398</x:v>
      </x:c>
      <x:c r="CB96" s="60" t="n">
        <x:v>67.464</x:v>
      </x:c>
      <x:c r="CC96" s="60" t="n">
        <x:v>67.7214</x:v>
      </x:c>
      <x:c r="CD96" s="60" t="n">
        <x:v>67.9628</x:v>
      </x:c>
      <x:c r="CE96" s="60" t="n">
        <x:v>68.2262</x:v>
      </x:c>
      <x:c r="CF96" s="60" t="n">
        <x:v>68.4718</x:v>
      </x:c>
      <x:c r="CG96" s="60" t="n">
        <x:v>68.731</x:v>
      </x:c>
      <x:c r="CH96" s="60" t="n">
        <x:v>68.9785</x:v>
      </x:c>
      <x:c r="CI96" s="60" t="n">
        <x:v>69.2499</x:v>
      </x:c>
      <x:c r="CJ96" s="60" t="n">
        <x:v>69.5076</x:v>
      </x:c>
      <x:c r="CK96" s="60" t="n">
        <x:v>69.7648</x:v>
      </x:c>
      <x:c r="CL96" s="60" t="n">
        <x:v>70.0271</x:v>
      </x:c>
      <x:c r="CM96" s="60" t="n">
        <x:v>70.3249</x:v>
      </x:c>
      <x:c r="CN96" s="60" t="n">
        <x:v>70.6266</x:v>
      </x:c>
      <x:c r="CO96" s="60" t="n">
        <x:v>70.9012</x:v>
      </x:c>
      <x:c r="CP96" s="60" t="n">
        <x:v>71.1763</x:v>
      </x:c>
      <x:c r="CQ96" s="60" t="n">
        <x:v>71.4602</x:v>
      </x:c>
      <x:c r="CR96" s="60" t="n">
        <x:v>71.7696</x:v>
      </x:c>
      <x:c r="CS96" s="60" t="n">
        <x:v>72.1016</x:v>
      </x:c>
      <x:c r="CT96" s="60" t="n">
        <x:v>72.4505</x:v>
      </x:c>
      <x:c r="CU96" s="60" t="n">
        <x:v>72.7805</x:v>
      </x:c>
      <x:c r="CV96" s="60" t="n">
        <x:v>73.1748</x:v>
      </x:c>
      <x:c r="CW96" s="60" t="n">
        <x:v>73.604</x:v>
      </x:c>
      <x:c r="CX96" s="60" t="n">
        <x:v>74.0552</x:v>
      </x:c>
      <x:c r="CY96" s="60" t="n">
        <x:v>74.5434</x:v>
      </x:c>
      <x:c r="CZ96" s="60" t="n">
        <x:v>75.2158</x:v>
      </x:c>
      <x:c r="DA96" s="60" t="n">
        <x:v>76.0629</x:v>
      </x:c>
      <x:c r="DB96" s="60" t="n">
        <x:v>79.0797</x:v>
      </x:c>
    </x:row>
    <x:row r="97">
      <x:c r="A97" t="str">
        <x:v>イワパレス-2</x:v>
      </x:c>
      <x:c r="B97" t="str">
        <x:v>イワパレス</x:v>
      </x:c>
      <x:c r="C97" t="str">
        <x:v>からをやぶる</x:v>
      </x:c>
      <x:c r="D97" s="60" t="n">
        <x:v>62.2642</x:v>
      </x:c>
      <x:c r="E97" s="60" t="n">
        <x:v>11.1188</x:v>
      </x:c>
      <x:c r="F97" s="60" t="n">
        <x:v>29.964</x:v>
      </x:c>
      <x:c r="G97" s="60" t="n">
        <x:v>37.6734</x:v>
      </x:c>
      <x:c r="H97" s="60" t="n">
        <x:v>39.1771</x:v>
      </x:c>
      <x:c r="I97" s="60" t="n">
        <x:v>40.2029</x:v>
      </x:c>
      <x:c r="J97" s="60" t="n">
        <x:v>41.0338</x:v>
      </x:c>
      <x:c r="K97" s="60" t="n">
        <x:v>41.8015</x:v>
      </x:c>
      <x:c r="L97" s="60" t="n">
        <x:v>42.7312</x:v>
      </x:c>
      <x:c r="M97" s="60" t="n">
        <x:v>43.5956</x:v>
      </x:c>
      <x:c r="N97" s="60" t="n">
        <x:v>44.4843</x:v>
      </x:c>
      <x:c r="O97" s="60" t="n">
        <x:v>45.2223</x:v>
      </x:c>
      <x:c r="P97" s="60" t="n">
        <x:v>46.0038</x:v>
      </x:c>
      <x:c r="Q97" s="60" t="n">
        <x:v>46.6813</x:v>
      </x:c>
      <x:c r="R97" s="60" t="n">
        <x:v>47.2815</x:v>
      </x:c>
      <x:c r="S97" s="60" t="n">
        <x:v>47.8414</x:v>
      </x:c>
      <x:c r="T97" s="60" t="n">
        <x:v>48.5069</x:v>
      </x:c>
      <x:c r="U97" s="60" t="n">
        <x:v>49.106</x:v>
      </x:c>
      <x:c r="V97" s="60" t="n">
        <x:v>49.6899</x:v>
      </x:c>
      <x:c r="W97" s="60" t="n">
        <x:v>50.2436</x:v>
      </x:c>
      <x:c r="X97" s="60" t="n">
        <x:v>50.7377</x:v>
      </x:c>
      <x:c r="Y97" s="60" t="n">
        <x:v>51.2851</x:v>
      </x:c>
      <x:c r="Z97" s="60" t="n">
        <x:v>51.7107</x:v>
      </x:c>
      <x:c r="AA97" s="60" t="n">
        <x:v>52.2192</x:v>
      </x:c>
      <x:c r="AB97" s="60" t="n">
        <x:v>52.7337</x:v>
      </x:c>
      <x:c r="AC97" s="60" t="n">
        <x:v>53.1538</x:v>
      </x:c>
      <x:c r="AD97" s="60" t="n">
        <x:v>53.6097</x:v>
      </x:c>
      <x:c r="AE97" s="60" t="n">
        <x:v>54.0963</x:v>
      </x:c>
      <x:c r="AF97" s="60" t="n">
        <x:v>54.5971</x:v>
      </x:c>
      <x:c r="AG97" s="60" t="n">
        <x:v>55.0573</x:v>
      </x:c>
      <x:c r="AH97" s="60" t="n">
        <x:v>55.5057</x:v>
      </x:c>
      <x:c r="AI97" s="60" t="n">
        <x:v>55.939</x:v>
      </x:c>
      <x:c r="AJ97" s="60" t="n">
        <x:v>56.3576</x:v>
      </x:c>
      <x:c r="AK97" s="60" t="n">
        <x:v>56.8045</x:v>
      </x:c>
      <x:c r="AL97" s="60" t="n">
        <x:v>57.1928</x:v>
      </x:c>
      <x:c r="AM97" s="60" t="n">
        <x:v>57.5627</x:v>
      </x:c>
      <x:c r="AN97" s="60" t="n">
        <x:v>57.9442</x:v>
      </x:c>
      <x:c r="AO97" s="60" t="n">
        <x:v>58.3065</x:v>
      </x:c>
      <x:c r="AP97" s="60" t="n">
        <x:v>58.6955</x:v>
      </x:c>
      <x:c r="AQ97" s="60" t="n">
        <x:v>59.053</x:v>
      </x:c>
      <x:c r="AR97" s="60" t="n">
        <x:v>59.4627</x:v>
      </x:c>
      <x:c r="AS97" s="60" t="n">
        <x:v>59.8019</x:v>
      </x:c>
      <x:c r="AT97" s="60" t="n">
        <x:v>60.1904</x:v>
      </x:c>
      <x:c r="AU97" s="60" t="n">
        <x:v>60.5583</x:v>
      </x:c>
      <x:c r="AV97" s="60" t="n">
        <x:v>60.8625</x:v>
      </x:c>
      <x:c r="AW97" s="60" t="n">
        <x:v>61.2189</x:v>
      </x:c>
      <x:c r="AX97" s="60" t="n">
        <x:v>61.5542</x:v>
      </x:c>
      <x:c r="AY97" s="60" t="n">
        <x:v>61.8923</x:v>
      </x:c>
      <x:c r="AZ97" s="60" t="n">
        <x:v>62.2431</x:v>
      </x:c>
      <x:c r="BA97" s="60" t="n">
        <x:v>62.587</x:v>
      </x:c>
      <x:c r="BB97" s="60" t="n">
        <x:v>62.9256</x:v>
      </x:c>
      <x:c r="BC97" s="60" t="n">
        <x:v>63.2337</x:v>
      </x:c>
      <x:c r="BD97" s="60" t="n">
        <x:v>63.5744</x:v>
      </x:c>
      <x:c r="BE97" s="60" t="n">
        <x:v>63.9595</x:v>
      </x:c>
      <x:c r="BF97" s="60" t="n">
        <x:v>64.3092</x:v>
      </x:c>
      <x:c r="BG97" s="60" t="n">
        <x:v>64.6455</x:v>
      </x:c>
      <x:c r="BH97" s="60" t="n">
        <x:v>64.968</x:v>
      </x:c>
      <x:c r="BI97" s="60" t="n">
        <x:v>65.3035</x:v>
      </x:c>
      <x:c r="BJ97" s="60" t="n">
        <x:v>65.6214</x:v>
      </x:c>
      <x:c r="BK97" s="60" t="n">
        <x:v>65.9344</x:v>
      </x:c>
      <x:c r="BL97" s="60" t="n">
        <x:v>66.2443</x:v>
      </x:c>
      <x:c r="BM97" s="60" t="n">
        <x:v>66.5796</x:v>
      </x:c>
      <x:c r="BN97" s="60" t="n">
        <x:v>66.8609</x:v>
      </x:c>
      <x:c r="BO97" s="60" t="n">
        <x:v>67.143</x:v>
      </x:c>
      <x:c r="BP97" s="60" t="n">
        <x:v>67.4628</x:v>
      </x:c>
      <x:c r="BQ97" s="60" t="n">
        <x:v>67.7434</x:v>
      </x:c>
      <x:c r="BR97" s="60" t="n">
        <x:v>68.0395</x:v>
      </x:c>
      <x:c r="BS97" s="60" t="n">
        <x:v>68.3462</x:v>
      </x:c>
      <x:c r="BT97" s="60" t="n">
        <x:v>68.6884</x:v>
      </x:c>
      <x:c r="BU97" s="60" t="n">
        <x:v>68.9866</x:v>
      </x:c>
      <x:c r="BV97" s="60" t="n">
        <x:v>69.2967</x:v>
      </x:c>
      <x:c r="BW97" s="60" t="n">
        <x:v>69.6033</x:v>
      </x:c>
      <x:c r="BX97" s="60" t="n">
        <x:v>69.9436</x:v>
      </x:c>
      <x:c r="BY97" s="60" t="n">
        <x:v>70.239</x:v>
      </x:c>
      <x:c r="BZ97" s="60" t="n">
        <x:v>70.5198</x:v>
      </x:c>
      <x:c r="CA97" s="60" t="n">
        <x:v>70.7961</x:v>
      </x:c>
      <x:c r="CB97" s="60" t="n">
        <x:v>71.0804</x:v>
      </x:c>
      <x:c r="CC97" s="60" t="n">
        <x:v>71.3982</x:v>
      </x:c>
      <x:c r="CD97" s="60" t="n">
        <x:v>71.6591</x:v>
      </x:c>
      <x:c r="CE97" s="60" t="n">
        <x:v>71.9395</x:v>
      </x:c>
      <x:c r="CF97" s="60" t="n">
        <x:v>72.2281</x:v>
      </x:c>
      <x:c r="CG97" s="60" t="n">
        <x:v>72.5049</x:v>
      </x:c>
      <x:c r="CH97" s="60" t="n">
        <x:v>72.8104</x:v>
      </x:c>
      <x:c r="CI97" s="60" t="n">
        <x:v>73.1407</x:v>
      </x:c>
      <x:c r="CJ97" s="60" t="n">
        <x:v>73.4487</x:v>
      </x:c>
      <x:c r="CK97" s="60" t="n">
        <x:v>73.7614</x:v>
      </x:c>
      <x:c r="CL97" s="60" t="n">
        <x:v>74.0531</x:v>
      </x:c>
      <x:c r="CM97" s="60" t="n">
        <x:v>74.3634</x:v>
      </x:c>
      <x:c r="CN97" s="60" t="n">
        <x:v>74.6612</x:v>
      </x:c>
      <x:c r="CO97" s="60" t="n">
        <x:v>74.9832</x:v>
      </x:c>
      <x:c r="CP97" s="60" t="n">
        <x:v>75.3247</x:v>
      </x:c>
      <x:c r="CQ97" s="60" t="n">
        <x:v>75.6595</x:v>
      </x:c>
      <x:c r="CR97" s="60" t="n">
        <x:v>76.0532</x:v>
      </x:c>
      <x:c r="CS97" s="60" t="n">
        <x:v>76.4325</x:v>
      </x:c>
      <x:c r="CT97" s="60" t="n">
        <x:v>76.8055</x:v>
      </x:c>
      <x:c r="CU97" s="60" t="n">
        <x:v>77.2046</x:v>
      </x:c>
      <x:c r="CV97" s="60" t="n">
        <x:v>77.609</x:v>
      </x:c>
      <x:c r="CW97" s="60" t="n">
        <x:v>78.0536</x:v>
      </x:c>
      <x:c r="CX97" s="60" t="n">
        <x:v>78.4984</x:v>
      </x:c>
      <x:c r="CY97" s="60" t="n">
        <x:v>79.0566</x:v>
      </x:c>
      <x:c r="CZ97" s="60" t="n">
        <x:v>79.6643</x:v>
      </x:c>
      <x:c r="DA97" s="60" t="n">
        <x:v>80.4088</x:v>
      </x:c>
      <x:c r="DB97" s="60" t="n">
        <x:v>83.3911</x:v>
      </x:c>
    </x:row>
    <x:row r="98">
      <x:c r="A98" t="str">
        <x:v>オーロット-1</x:v>
      </x:c>
      <x:c r="B98" t="str">
        <x:v>オーロット</x:v>
      </x:c>
      <x:c r="C98" t="str">
        <x:v>ウッドハンマー</x:v>
      </x:c>
      <x:c r="D98" s="60" t="n">
        <x:v>61.0295</x:v>
      </x:c>
      <x:c r="E98" s="60" t="n">
        <x:v>8.7048</x:v>
      </x:c>
      <x:c r="F98" s="60" t="n">
        <x:v>35.2615</x:v>
      </x:c>
      <x:c r="G98" s="60" t="n">
        <x:v>41.618</x:v>
      </x:c>
      <x:c r="H98" s="60" t="n">
        <x:v>43.0905</x:v>
      </x:c>
      <x:c r="I98" s="60" t="n">
        <x:v>44.1735</x:v>
      </x:c>
      <x:c r="J98" s="60" t="n">
        <x:v>44.9632</x:v>
      </x:c>
      <x:c r="K98" s="60" t="n">
        <x:v>45.6831</x:v>
      </x:c>
      <x:c r="L98" s="60" t="n">
        <x:v>46.4256</x:v>
      </x:c>
      <x:c r="M98" s="60" t="n">
        <x:v>47.0742</x:v>
      </x:c>
      <x:c r="N98" s="60" t="n">
        <x:v>47.6386</x:v>
      </x:c>
      <x:c r="O98" s="60" t="n">
        <x:v>48.216</x:v>
      </x:c>
      <x:c r="P98" s="60" t="n">
        <x:v>48.7057</x:v>
      </x:c>
      <x:c r="Q98" s="60" t="n">
        <x:v>49.2273</x:v>
      </x:c>
      <x:c r="R98" s="60" t="n">
        <x:v>49.7794</x:v>
      </x:c>
      <x:c r="S98" s="60" t="n">
        <x:v>50.2315</x:v>
      </x:c>
      <x:c r="T98" s="60" t="n">
        <x:v>50.6935</x:v>
      </x:c>
      <x:c r="U98" s="60" t="n">
        <x:v>51.1204</x:v>
      </x:c>
      <x:c r="V98" s="60" t="n">
        <x:v>51.5755</x:v>
      </x:c>
      <x:c r="W98" s="60" t="n">
        <x:v>51.9458</x:v>
      </x:c>
      <x:c r="X98" s="60" t="n">
        <x:v>52.3169</x:v>
      </x:c>
      <x:c r="Y98" s="60" t="n">
        <x:v>52.6895</x:v>
      </x:c>
      <x:c r="Z98" s="60" t="n">
        <x:v>53.0431</x:v>
      </x:c>
      <x:c r="AA98" s="60" t="n">
        <x:v>53.4167</x:v>
      </x:c>
      <x:c r="AB98" s="60" t="n">
        <x:v>53.7645</x:v>
      </x:c>
      <x:c r="AC98" s="60" t="n">
        <x:v>54.1356</x:v>
      </x:c>
      <x:c r="AD98" s="60" t="n">
        <x:v>54.4362</x:v>
      </x:c>
      <x:c r="AE98" s="60" t="n">
        <x:v>54.7451</x:v>
      </x:c>
      <x:c r="AF98" s="60" t="n">
        <x:v>55.0901</x:v>
      </x:c>
      <x:c r="AG98" s="60" t="n">
        <x:v>55.4108</x:v>
      </x:c>
      <x:c r="AH98" s="60" t="n">
        <x:v>55.7476</x:v>
      </x:c>
      <x:c r="AI98" s="60" t="n">
        <x:v>56.027</x:v>
      </x:c>
      <x:c r="AJ98" s="60" t="n">
        <x:v>56.2877</x:v>
      </x:c>
      <x:c r="AK98" s="60" t="n">
        <x:v>56.5744</x:v>
      </x:c>
      <x:c r="AL98" s="60" t="n">
        <x:v>56.8302</x:v>
      </x:c>
      <x:c r="AM98" s="60" t="n">
        <x:v>57.1439</x:v>
      </x:c>
      <x:c r="AN98" s="60" t="n">
        <x:v>57.4298</x:v>
      </x:c>
      <x:c r="AO98" s="60" t="n">
        <x:v>57.7265</x:v>
      </x:c>
      <x:c r="AP98" s="60" t="n">
        <x:v>58.0249</x:v>
      </x:c>
      <x:c r="AQ98" s="60" t="n">
        <x:v>58.2754</x:v>
      </x:c>
      <x:c r="AR98" s="60" t="n">
        <x:v>58.5464</x:v>
      </x:c>
      <x:c r="AS98" s="60" t="n">
        <x:v>58.791</x:v>
      </x:c>
      <x:c r="AT98" s="60" t="n">
        <x:v>59.0918</x:v>
      </x:c>
      <x:c r="AU98" s="60" t="n">
        <x:v>59.3491</x:v>
      </x:c>
      <x:c r="AV98" s="60" t="n">
        <x:v>59.5815</x:v>
      </x:c>
      <x:c r="AW98" s="60" t="n">
        <x:v>59.8224</x:v>
      </x:c>
      <x:c r="AX98" s="60" t="n">
        <x:v>60.1292</x:v>
      </x:c>
      <x:c r="AY98" s="60" t="n">
        <x:v>60.3931</x:v>
      </x:c>
      <x:c r="AZ98" s="60" t="n">
        <x:v>60.6897</x:v>
      </x:c>
      <x:c r="BA98" s="60" t="n">
        <x:v>60.9311</x:v>
      </x:c>
      <x:c r="BB98" s="60" t="n">
        <x:v>61.1916</x:v>
      </x:c>
      <x:c r="BC98" s="60" t="n">
        <x:v>61.4419</x:v>
      </x:c>
      <x:c r="BD98" s="60" t="n">
        <x:v>61.6772</x:v>
      </x:c>
      <x:c r="BE98" s="60" t="n">
        <x:v>61.9239</x:v>
      </x:c>
      <x:c r="BF98" s="60" t="n">
        <x:v>62.1603</x:v>
      </x:c>
      <x:c r="BG98" s="60" t="n">
        <x:v>62.3781</x:v>
      </x:c>
      <x:c r="BH98" s="60" t="n">
        <x:v>62.6242</x:v>
      </x:c>
      <x:c r="BI98" s="60" t="n">
        <x:v>62.8777</x:v>
      </x:c>
      <x:c r="BJ98" s="60" t="n">
        <x:v>63.1288</x:v>
      </x:c>
      <x:c r="BK98" s="60" t="n">
        <x:v>63.3466</x:v>
      </x:c>
      <x:c r="BL98" s="60" t="n">
        <x:v>63.5801</x:v>
      </x:c>
      <x:c r="BM98" s="60" t="n">
        <x:v>63.86</x:v>
      </x:c>
      <x:c r="BN98" s="60" t="n">
        <x:v>64.1037</x:v>
      </x:c>
      <x:c r="BO98" s="60" t="n">
        <x:v>64.3577</x:v>
      </x:c>
      <x:c r="BP98" s="60" t="n">
        <x:v>64.5966</x:v>
      </x:c>
      <x:c r="BQ98" s="60" t="n">
        <x:v>64.8416</x:v>
      </x:c>
      <x:c r="BR98" s="60" t="n">
        <x:v>65.0854</x:v>
      </x:c>
      <x:c r="BS98" s="60" t="n">
        <x:v>65.3262</x:v>
      </x:c>
      <x:c r="BT98" s="60" t="n">
        <x:v>65.5554</x:v>
      </x:c>
      <x:c r="BU98" s="60" t="n">
        <x:v>65.8244</x:v>
      </x:c>
      <x:c r="BV98" s="60" t="n">
        <x:v>66.0649</x:v>
      </x:c>
      <x:c r="BW98" s="60" t="n">
        <x:v>66.2974</x:v>
      </x:c>
      <x:c r="BX98" s="60" t="n">
        <x:v>66.555</x:v>
      </x:c>
      <x:c r="BY98" s="60" t="n">
        <x:v>66.7746</x:v>
      </x:c>
      <x:c r="BZ98" s="60" t="n">
        <x:v>67.0154</x:v>
      </x:c>
      <x:c r="CA98" s="60" t="n">
        <x:v>67.2665</x:v>
      </x:c>
      <x:c r="CB98" s="60" t="n">
        <x:v>67.5379</x:v>
      </x:c>
      <x:c r="CC98" s="60" t="n">
        <x:v>67.8104</x:v>
      </x:c>
      <x:c r="CD98" s="60" t="n">
        <x:v>68.0854</x:v>
      </x:c>
      <x:c r="CE98" s="60" t="n">
        <x:v>68.3191</x:v>
      </x:c>
      <x:c r="CF98" s="60" t="n">
        <x:v>68.5806</x:v>
      </x:c>
      <x:c r="CG98" s="60" t="n">
        <x:v>68.8351</x:v>
      </x:c>
      <x:c r="CH98" s="60" t="n">
        <x:v>69.1172</x:v>
      </x:c>
      <x:c r="CI98" s="60" t="n">
        <x:v>69.3727</x:v>
      </x:c>
      <x:c r="CJ98" s="60" t="n">
        <x:v>69.6377</x:v>
      </x:c>
      <x:c r="CK98" s="60" t="n">
        <x:v>69.8972</x:v>
      </x:c>
      <x:c r="CL98" s="60" t="n">
        <x:v>70.2099</x:v>
      </x:c>
      <x:c r="CM98" s="60" t="n">
        <x:v>70.4943</x:v>
      </x:c>
      <x:c r="CN98" s="60" t="n">
        <x:v>70.8279</x:v>
      </x:c>
      <x:c r="CO98" s="60" t="n">
        <x:v>71.1004</x:v>
      </x:c>
      <x:c r="CP98" s="60" t="n">
        <x:v>71.4521</x:v>
      </x:c>
      <x:c r="CQ98" s="60" t="n">
        <x:v>71.8041</x:v>
      </x:c>
      <x:c r="CR98" s="60" t="n">
        <x:v>72.136</x:v>
      </x:c>
      <x:c r="CS98" s="60" t="n">
        <x:v>72.4869</x:v>
      </x:c>
      <x:c r="CT98" s="60" t="n">
        <x:v>72.9124</x:v>
      </x:c>
      <x:c r="CU98" s="60" t="n">
        <x:v>73.3932</x:v>
      </x:c>
      <x:c r="CV98" s="60" t="n">
        <x:v>73.8257</x:v>
      </x:c>
      <x:c r="CW98" s="60" t="n">
        <x:v>74.2811</x:v>
      </x:c>
      <x:c r="CX98" s="60" t="n">
        <x:v>74.8145</x:v>
      </x:c>
      <x:c r="CY98" s="60" t="n">
        <x:v>75.4289</x:v>
      </x:c>
      <x:c r="CZ98" s="60" t="n">
        <x:v>76.1267</x:v>
      </x:c>
      <x:c r="DA98" s="60" t="n">
        <x:v>77.0913</x:v>
      </x:c>
      <x:c r="DB98" s="60" t="n">
        <x:v>80.7823</x:v>
      </x:c>
    </x:row>
    <x:row r="99">
      <x:c r="A99" t="str">
        <x:v>オーロット-2</x:v>
      </x:c>
      <x:c r="B99" t="str">
        <x:v>オーロット</x:v>
      </x:c>
      <x:c r="C99" t="str">
        <x:v>のろい</x:v>
      </x:c>
      <x:c r="D99" s="60" t="n">
        <x:v>61.4084</x:v>
      </x:c>
      <x:c r="E99" s="60" t="n">
        <x:v>4.9445</x:v>
      </x:c>
      <x:c r="F99" s="60" t="n">
        <x:v>45.9029</x:v>
      </x:c>
      <x:c r="G99" s="60" t="n">
        <x:v>50.9271</x:v>
      </x:c>
      <x:c r="H99" s="60" t="n">
        <x:v>51.9273</x:v>
      </x:c>
      <x:c r="I99" s="60" t="n">
        <x:v>52.5385</x:v>
      </x:c>
      <x:c r="J99" s="60" t="n">
        <x:v>52.9974</x:v>
      </x:c>
      <x:c r="K99" s="60" t="n">
        <x:v>53.3645</x:v>
      </x:c>
      <x:c r="L99" s="60" t="n">
        <x:v>53.718</x:v>
      </x:c>
      <x:c r="M99" s="60" t="n">
        <x:v>54.0467</x:v>
      </x:c>
      <x:c r="N99" s="60" t="n">
        <x:v>54.3373</x:v>
      </x:c>
      <x:c r="O99" s="60" t="n">
        <x:v>54.6031</x:v>
      </x:c>
      <x:c r="P99" s="60" t="n">
        <x:v>54.8761</x:v>
      </x:c>
      <x:c r="Q99" s="60" t="n">
        <x:v>55.151</x:v>
      </x:c>
      <x:c r="R99" s="60" t="n">
        <x:v>55.3641</x:v>
      </x:c>
      <x:c r="S99" s="60" t="n">
        <x:v>55.5814</x:v>
      </x:c>
      <x:c r="T99" s="60" t="n">
        <x:v>55.7853</x:v>
      </x:c>
      <x:c r="U99" s="60" t="n">
        <x:v>55.9993</x:v>
      </x:c>
      <x:c r="V99" s="60" t="n">
        <x:v>56.2258</x:v>
      </x:c>
      <x:c r="W99" s="60" t="n">
        <x:v>56.4153</x:v>
      </x:c>
      <x:c r="X99" s="60" t="n">
        <x:v>56.6053</x:v>
      </x:c>
      <x:c r="Y99" s="60" t="n">
        <x:v>56.7727</x:v>
      </x:c>
      <x:c r="Z99" s="60" t="n">
        <x:v>56.9462</x:v>
      </x:c>
      <x:c r="AA99" s="60" t="n">
        <x:v>57.1375</x:v>
      </x:c>
      <x:c r="AB99" s="60" t="n">
        <x:v>57.3186</x:v>
      </x:c>
      <x:c r="AC99" s="60" t="n">
        <x:v>57.4887</x:v>
      </x:c>
      <x:c r="AD99" s="60" t="n">
        <x:v>57.6612</x:v>
      </x:c>
      <x:c r="AE99" s="60" t="n">
        <x:v>57.8219</x:v>
      </x:c>
      <x:c r="AF99" s="60" t="n">
        <x:v>57.9851</x:v>
      </x:c>
      <x:c r="AG99" s="60" t="n">
        <x:v>58.1273</x:v>
      </x:c>
      <x:c r="AH99" s="60" t="n">
        <x:v>58.3031</x:v>
      </x:c>
      <x:c r="AI99" s="60" t="n">
        <x:v>58.4455</x:v>
      </x:c>
      <x:c r="AJ99" s="60" t="n">
        <x:v>58.5937</x:v>
      </x:c>
      <x:c r="AK99" s="60" t="n">
        <x:v>58.7138</x:v>
      </x:c>
      <x:c r="AL99" s="60" t="n">
        <x:v>58.845</x:v>
      </x:c>
      <x:c r="AM99" s="60" t="n">
        <x:v>59.0228</x:v>
      </x:c>
      <x:c r="AN99" s="60" t="n">
        <x:v>59.1627</x:v>
      </x:c>
      <x:c r="AO99" s="60" t="n">
        <x:v>59.3028</x:v>
      </x:c>
      <x:c r="AP99" s="60" t="n">
        <x:v>59.4339</x:v>
      </x:c>
      <x:c r="AQ99" s="60" t="n">
        <x:v>59.5865</x:v>
      </x:c>
      <x:c r="AR99" s="60" t="n">
        <x:v>59.723</x:v>
      </x:c>
      <x:c r="AS99" s="60" t="n">
        <x:v>59.861</x:v>
      </x:c>
      <x:c r="AT99" s="60" t="n">
        <x:v>59.9964</x:v>
      </x:c>
      <x:c r="AU99" s="60" t="n">
        <x:v>60.1281</x:v>
      </x:c>
      <x:c r="AV99" s="60" t="n">
        <x:v>60.2669</x:v>
      </x:c>
      <x:c r="AW99" s="60" t="n">
        <x:v>60.4021</x:v>
      </x:c>
      <x:c r="AX99" s="60" t="n">
        <x:v>60.5392</x:v>
      </x:c>
      <x:c r="AY99" s="60" t="n">
        <x:v>60.6758</x:v>
      </x:c>
      <x:c r="AZ99" s="60" t="n">
        <x:v>60.813</x:v>
      </x:c>
      <x:c r="BA99" s="60" t="n">
        <x:v>60.9416</x:v>
      </x:c>
      <x:c r="BB99" s="60" t="n">
        <x:v>61.0647</x:v>
      </x:c>
      <x:c r="BC99" s="60" t="n">
        <x:v>61.1958</x:v>
      </x:c>
      <x:c r="BD99" s="60" t="n">
        <x:v>61.3412</x:v>
      </x:c>
      <x:c r="BE99" s="60" t="n">
        <x:v>61.4826</x:v>
      </x:c>
      <x:c r="BF99" s="60" t="n">
        <x:v>61.6014</x:v>
      </x:c>
      <x:c r="BG99" s="60" t="n">
        <x:v>61.7281</x:v>
      </x:c>
      <x:c r="BH99" s="60" t="n">
        <x:v>61.8671</x:v>
      </x:c>
      <x:c r="BI99" s="60" t="n">
        <x:v>62.0084</x:v>
      </x:c>
      <x:c r="BJ99" s="60" t="n">
        <x:v>62.145</x:v>
      </x:c>
      <x:c r="BK99" s="60" t="n">
        <x:v>62.2916</x:v>
      </x:c>
      <x:c r="BL99" s="60" t="n">
        <x:v>62.4367</x:v>
      </x:c>
      <x:c r="BM99" s="60" t="n">
        <x:v>62.5666</x:v>
      </x:c>
      <x:c r="BN99" s="60" t="n">
        <x:v>62.7076</x:v>
      </x:c>
      <x:c r="BO99" s="60" t="n">
        <x:v>62.8756</x:v>
      </x:c>
      <x:c r="BP99" s="60" t="n">
        <x:v>63.0314</x:v>
      </x:c>
      <x:c r="BQ99" s="60" t="n">
        <x:v>63.1705</x:v>
      </x:c>
      <x:c r="BR99" s="60" t="n">
        <x:v>63.3176</x:v>
      </x:c>
      <x:c r="BS99" s="60" t="n">
        <x:v>63.4606</x:v>
      </x:c>
      <x:c r="BT99" s="60" t="n">
        <x:v>63.5993</x:v>
      </x:c>
      <x:c r="BU99" s="60" t="n">
        <x:v>63.7517</x:v>
      </x:c>
      <x:c r="BV99" s="60" t="n">
        <x:v>63.9109</x:v>
      </x:c>
      <x:c r="BW99" s="60" t="n">
        <x:v>64.0382</x:v>
      </x:c>
      <x:c r="BX99" s="60" t="n">
        <x:v>64.177</x:v>
      </x:c>
      <x:c r="BY99" s="60" t="n">
        <x:v>64.3271</x:v>
      </x:c>
      <x:c r="BZ99" s="60" t="n">
        <x:v>64.4772</x:v>
      </x:c>
      <x:c r="CA99" s="60" t="n">
        <x:v>64.623</x:v>
      </x:c>
      <x:c r="CB99" s="60" t="n">
        <x:v>64.7915</x:v>
      </x:c>
      <x:c r="CC99" s="60" t="n">
        <x:v>64.9544</x:v>
      </x:c>
      <x:c r="CD99" s="60" t="n">
        <x:v>65.1478</x:v>
      </x:c>
      <x:c r="CE99" s="60" t="n">
        <x:v>65.329</x:v>
      </x:c>
      <x:c r="CF99" s="60" t="n">
        <x:v>65.5177</x:v>
      </x:c>
      <x:c r="CG99" s="60" t="n">
        <x:v>65.6876</x:v>
      </x:c>
      <x:c r="CH99" s="60" t="n">
        <x:v>65.8624</x:v>
      </x:c>
      <x:c r="CI99" s="60" t="n">
        <x:v>66.0644</x:v>
      </x:c>
      <x:c r="CJ99" s="60" t="n">
        <x:v>66.2542</x:v>
      </x:c>
      <x:c r="CK99" s="60" t="n">
        <x:v>66.4679</x:v>
      </x:c>
      <x:c r="CL99" s="60" t="n">
        <x:v>66.6482</x:v>
      </x:c>
      <x:c r="CM99" s="60" t="n">
        <x:v>66.8488</x:v>
      </x:c>
      <x:c r="CN99" s="60" t="n">
        <x:v>67.0691</x:v>
      </x:c>
      <x:c r="CO99" s="60" t="n">
        <x:v>67.3129</x:v>
      </x:c>
      <x:c r="CP99" s="60" t="n">
        <x:v>67.5474</x:v>
      </x:c>
      <x:c r="CQ99" s="60" t="n">
        <x:v>67.7897</x:v>
      </x:c>
      <x:c r="CR99" s="60" t="n">
        <x:v>68.0552</x:v>
      </x:c>
      <x:c r="CS99" s="60" t="n">
        <x:v>68.3019</x:v>
      </x:c>
      <x:c r="CT99" s="60" t="n">
        <x:v>68.6093</x:v>
      </x:c>
      <x:c r="CU99" s="60" t="n">
        <x:v>68.9245</x:v>
      </x:c>
      <x:c r="CV99" s="60" t="n">
        <x:v>69.2474</x:v>
      </x:c>
      <x:c r="CW99" s="60" t="n">
        <x:v>69.5861</x:v>
      </x:c>
      <x:c r="CX99" s="60" t="n">
        <x:v>70.0282</x:v>
      </x:c>
      <x:c r="CY99" s="60" t="n">
        <x:v>70.5373</x:v>
      </x:c>
      <x:c r="CZ99" s="60" t="n">
        <x:v>71.1863</x:v>
      </x:c>
      <x:c r="DA99" s="60" t="n">
        <x:v>72.0838</x:v>
      </x:c>
      <x:c r="DB99" s="60" t="n">
        <x:v>76.2516</x:v>
      </x:c>
    </x:row>
    <x:row r="100">
      <x:c r="A100" t="str">
        <x:v>カビゴン-1</x:v>
      </x:c>
      <x:c r="B100" t="str">
        <x:v>カビゴン</x:v>
      </x:c>
      <x:c r="C100" t="str">
        <x:v>ヘビーボンバー</x:v>
      </x:c>
      <x:c r="D100" s="60" t="n">
        <x:v>60.8695</x:v>
      </x:c>
      <x:c r="E100" s="60" t="n">
        <x:v>9.9502</x:v>
      </x:c>
      <x:c r="F100" s="60" t="n">
        <x:v>33.9759</x:v>
      </x:c>
      <x:c r="G100" s="60" t="n">
        <x:v>39.0489</x:v>
      </x:c>
      <x:c r="H100" s="60" t="n">
        <x:v>40.668</x:v>
      </x:c>
      <x:c r="I100" s="60" t="n">
        <x:v>41.819</x:v>
      </x:c>
      <x:c r="J100" s="60" t="n">
        <x:v>42.7345</x:v>
      </x:c>
      <x:c r="K100" s="60" t="n">
        <x:v>43.5395</x:v>
      </x:c>
      <x:c r="L100" s="60" t="n">
        <x:v>44.3126</x:v>
      </x:c>
      <x:c r="M100" s="60" t="n">
        <x:v>45.0089</x:v>
      </x:c>
      <x:c r="N100" s="60" t="n">
        <x:v>45.6536</x:v>
      </x:c>
      <x:c r="O100" s="60" t="n">
        <x:v>46.2816</x:v>
      </x:c>
      <x:c r="P100" s="60" t="n">
        <x:v>46.9019</x:v>
      </x:c>
      <x:c r="Q100" s="60" t="n">
        <x:v>47.5122</x:v>
      </x:c>
      <x:c r="R100" s="60" t="n">
        <x:v>48.0766</x:v>
      </x:c>
      <x:c r="S100" s="60" t="n">
        <x:v>48.5423</x:v>
      </x:c>
      <x:c r="T100" s="60" t="n">
        <x:v>49.0393</x:v>
      </x:c>
      <x:c r="U100" s="60" t="n">
        <x:v>49.496</x:v>
      </x:c>
      <x:c r="V100" s="60" t="n">
        <x:v>49.9861</x:v>
      </x:c>
      <x:c r="W100" s="60" t="n">
        <x:v>50.4333</x:v>
      </x:c>
      <x:c r="X100" s="60" t="n">
        <x:v>50.8848</x:v>
      </x:c>
      <x:c r="Y100" s="60" t="n">
        <x:v>51.2959</x:v>
      </x:c>
      <x:c r="Z100" s="60" t="n">
        <x:v>51.7505</x:v>
      </x:c>
      <x:c r="AA100" s="60" t="n">
        <x:v>52.123</x:v>
      </x:c>
      <x:c r="AB100" s="60" t="n">
        <x:v>52.5824</x:v>
      </x:c>
      <x:c r="AC100" s="60" t="n">
        <x:v>52.9879</x:v>
      </x:c>
      <x:c r="AD100" s="60" t="n">
        <x:v>53.3539</x:v>
      </x:c>
      <x:c r="AE100" s="60" t="n">
        <x:v>53.7388</x:v>
      </x:c>
      <x:c r="AF100" s="60" t="n">
        <x:v>54.1177</x:v>
      </x:c>
      <x:c r="AG100" s="60" t="n">
        <x:v>54.4285</x:v>
      </x:c>
      <x:c r="AH100" s="60" t="n">
        <x:v>54.7544</x:v>
      </x:c>
      <x:c r="AI100" s="60" t="n">
        <x:v>55.0711</x:v>
      </x:c>
      <x:c r="AJ100" s="60" t="n">
        <x:v>55.4104</x:v>
      </x:c>
      <x:c r="AK100" s="60" t="n">
        <x:v>55.7319</x:v>
      </x:c>
      <x:c r="AL100" s="60" t="n">
        <x:v>56.0639</x:v>
      </x:c>
      <x:c r="AM100" s="60" t="n">
        <x:v>56.352</x:v>
      </x:c>
      <x:c r="AN100" s="60" t="n">
        <x:v>56.6664</x:v>
      </x:c>
      <x:c r="AO100" s="60" t="n">
        <x:v>56.993</x:v>
      </x:c>
      <x:c r="AP100" s="60" t="n">
        <x:v>57.3135</x:v>
      </x:c>
      <x:c r="AQ100" s="60" t="n">
        <x:v>57.6286</x:v>
      </x:c>
      <x:c r="AR100" s="60" t="n">
        <x:v>57.9314</x:v>
      </x:c>
      <x:c r="AS100" s="60" t="n">
        <x:v>58.2364</x:v>
      </x:c>
      <x:c r="AT100" s="60" t="n">
        <x:v>58.5476</x:v>
      </x:c>
      <x:c r="AU100" s="60" t="n">
        <x:v>58.8598</x:v>
      </x:c>
      <x:c r="AV100" s="60" t="n">
        <x:v>59.1257</x:v>
      </x:c>
      <x:c r="AW100" s="60" t="n">
        <x:v>59.4283</x:v>
      </x:c>
      <x:c r="AX100" s="60" t="n">
        <x:v>59.7244</x:v>
      </x:c>
      <x:c r="AY100" s="60" t="n">
        <x:v>60.0231</x:v>
      </x:c>
      <x:c r="AZ100" s="60" t="n">
        <x:v>60.3205</x:v>
      </x:c>
      <x:c r="BA100" s="60" t="n">
        <x:v>60.6086</x:v>
      </x:c>
      <x:c r="BB100" s="60" t="n">
        <x:v>60.8841</x:v>
      </x:c>
      <x:c r="BC100" s="60" t="n">
        <x:v>61.1791</x:v>
      </x:c>
      <x:c r="BD100" s="60" t="n">
        <x:v>61.4568</x:v>
      </x:c>
      <x:c r="BE100" s="60" t="n">
        <x:v>61.7297</x:v>
      </x:c>
      <x:c r="BF100" s="60" t="n">
        <x:v>62.0076</x:v>
      </x:c>
      <x:c r="BG100" s="60" t="n">
        <x:v>62.265</x:v>
      </x:c>
      <x:c r="BH100" s="60" t="n">
        <x:v>62.5729</x:v>
      </x:c>
      <x:c r="BI100" s="60" t="n">
        <x:v>62.8394</x:v>
      </x:c>
      <x:c r="BJ100" s="60" t="n">
        <x:v>63.1069</x:v>
      </x:c>
      <x:c r="BK100" s="60" t="n">
        <x:v>63.3945</x:v>
      </x:c>
      <x:c r="BL100" s="60" t="n">
        <x:v>63.6968</x:v>
      </x:c>
      <x:c r="BM100" s="60" t="n">
        <x:v>63.9741</x:v>
      </x:c>
      <x:c r="BN100" s="60" t="n">
        <x:v>64.2278</x:v>
      </x:c>
      <x:c r="BO100" s="60" t="n">
        <x:v>64.4849</x:v>
      </x:c>
      <x:c r="BP100" s="60" t="n">
        <x:v>64.7621</x:v>
      </x:c>
      <x:c r="BQ100" s="60" t="n">
        <x:v>65.0747</x:v>
      </x:c>
      <x:c r="BR100" s="60" t="n">
        <x:v>65.3748</x:v>
      </x:c>
      <x:c r="BS100" s="60" t="n">
        <x:v>65.6608</x:v>
      </x:c>
      <x:c r="BT100" s="60" t="n">
        <x:v>65.9377</x:v>
      </x:c>
      <x:c r="BU100" s="60" t="n">
        <x:v>66.2091</x:v>
      </x:c>
      <x:c r="BV100" s="60" t="n">
        <x:v>66.491</x:v>
      </x:c>
      <x:c r="BW100" s="60" t="n">
        <x:v>66.7709</x:v>
      </x:c>
      <x:c r="BX100" s="60" t="n">
        <x:v>67.0583</x:v>
      </x:c>
      <x:c r="BY100" s="60" t="n">
        <x:v>67.3681</x:v>
      </x:c>
      <x:c r="BZ100" s="60" t="n">
        <x:v>67.621</x:v>
      </x:c>
      <x:c r="CA100" s="60" t="n">
        <x:v>67.9148</x:v>
      </x:c>
      <x:c r="CB100" s="60" t="n">
        <x:v>68.2365</x:v>
      </x:c>
      <x:c r="CC100" s="60" t="n">
        <x:v>68.5088</x:v>
      </x:c>
      <x:c r="CD100" s="60" t="n">
        <x:v>68.8082</x:v>
      </x:c>
      <x:c r="CE100" s="60" t="n">
        <x:v>69.1248</x:v>
      </x:c>
      <x:c r="CF100" s="60" t="n">
        <x:v>69.4279</x:v>
      </x:c>
      <x:c r="CG100" s="60" t="n">
        <x:v>69.7339</x:v>
      </x:c>
      <x:c r="CH100" s="60" t="n">
        <x:v>70.0378</x:v>
      </x:c>
      <x:c r="CI100" s="60" t="n">
        <x:v>70.3761</x:v>
      </x:c>
      <x:c r="CJ100" s="60" t="n">
        <x:v>70.6767</x:v>
      </x:c>
      <x:c r="CK100" s="60" t="n">
        <x:v>71.0101</x:v>
      </x:c>
      <x:c r="CL100" s="60" t="n">
        <x:v>71.3957</x:v>
      </x:c>
      <x:c r="CM100" s="60" t="n">
        <x:v>71.7411</x:v>
      </x:c>
      <x:c r="CN100" s="60" t="n">
        <x:v>72.1076</x:v>
      </x:c>
      <x:c r="CO100" s="60" t="n">
        <x:v>72.4859</x:v>
      </x:c>
      <x:c r="CP100" s="60" t="n">
        <x:v>72.8611</x:v>
      </x:c>
      <x:c r="CQ100" s="60" t="n">
        <x:v>73.29</x:v>
      </x:c>
      <x:c r="CR100" s="60" t="n">
        <x:v>73.7587</x:v>
      </x:c>
      <x:c r="CS100" s="60" t="n">
        <x:v>74.1865</x:v>
      </x:c>
      <x:c r="CT100" s="60" t="n">
        <x:v>74.6779</x:v>
      </x:c>
      <x:c r="CU100" s="60" t="n">
        <x:v>75.1865</x:v>
      </x:c>
      <x:c r="CV100" s="60" t="n">
        <x:v>75.7241</x:v>
      </x:c>
      <x:c r="CW100" s="60" t="n">
        <x:v>76.3349</x:v>
      </x:c>
      <x:c r="CX100" s="60" t="n">
        <x:v>76.9464</x:v>
      </x:c>
      <x:c r="CY100" s="60" t="n">
        <x:v>77.6792</x:v>
      </x:c>
      <x:c r="CZ100" s="60" t="n">
        <x:v>78.5385</x:v>
      </x:c>
      <x:c r="DA100" s="60" t="n">
        <x:v>79.9013</x:v>
      </x:c>
      <x:c r="DB100" s="60" t="n">
        <x:v>83.7713</x:v>
      </x:c>
    </x:row>
    <x:row r="101">
      <x:c r="A101" t="str">
        <x:v>カビゴン-2</x:v>
      </x:c>
      <x:c r="B101" t="str">
        <x:v>カビゴン</x:v>
      </x:c>
      <x:c r="C101" t="str">
        <x:v>じたばた</x:v>
      </x:c>
      <x:c r="D101" s="60" t="n">
        <x:v>62.2613</x:v>
      </x:c>
      <x:c r="E101" s="60" t="n">
        <x:v>6.2833</x:v>
      </x:c>
      <x:c r="F101" s="60" t="n">
        <x:v>39.5747</x:v>
      </x:c>
      <x:c r="G101" s="60" t="n">
        <x:v>47.6897</x:v>
      </x:c>
      <x:c r="H101" s="60" t="n">
        <x:v>49.3373</x:v>
      </x:c>
      <x:c r="I101" s="60" t="n">
        <x:v>50.2476</x:v>
      </x:c>
      <x:c r="J101" s="60" t="n">
        <x:v>50.8995</x:v>
      </x:c>
      <x:c r="K101" s="60" t="n">
        <x:v>51.5468</x:v>
      </x:c>
      <x:c r="L101" s="60" t="n">
        <x:v>52.0511</x:v>
      </x:c>
      <x:c r="M101" s="60" t="n">
        <x:v>52.5264</x:v>
      </x:c>
      <x:c r="N101" s="60" t="n">
        <x:v>53.0167</x:v>
      </x:c>
      <x:c r="O101" s="60" t="n">
        <x:v>53.3846</x:v>
      </x:c>
      <x:c r="P101" s="60" t="n">
        <x:v>53.767</x:v>
      </x:c>
      <x:c r="Q101" s="60" t="n">
        <x:v>54.1004</x:v>
      </x:c>
      <x:c r="R101" s="60" t="n">
        <x:v>54.4479</x:v>
      </x:c>
      <x:c r="S101" s="60" t="n">
        <x:v>54.8228</x:v>
      </x:c>
      <x:c r="T101" s="60" t="n">
        <x:v>55.1172</x:v>
      </x:c>
      <x:c r="U101" s="60" t="n">
        <x:v>55.3984</x:v>
      </x:c>
      <x:c r="V101" s="60" t="n">
        <x:v>55.6957</x:v>
      </x:c>
      <x:c r="W101" s="60" t="n">
        <x:v>55.9965</x:v>
      </x:c>
      <x:c r="X101" s="60" t="n">
        <x:v>56.2657</x:v>
      </x:c>
      <x:c r="Y101" s="60" t="n">
        <x:v>56.5053</x:v>
      </x:c>
      <x:c r="Z101" s="60" t="n">
        <x:v>56.7379</x:v>
      </x:c>
      <x:c r="AA101" s="60" t="n">
        <x:v>56.9949</x:v>
      </x:c>
      <x:c r="AB101" s="60" t="n">
        <x:v>57.2272</x:v>
      </x:c>
      <x:c r="AC101" s="60" t="n">
        <x:v>57.4237</x:v>
      </x:c>
      <x:c r="AD101" s="60" t="n">
        <x:v>57.6284</x:v>
      </x:c>
      <x:c r="AE101" s="60" t="n">
        <x:v>57.8562</x:v>
      </x:c>
      <x:c r="AF101" s="60" t="n">
        <x:v>58.0543</x:v>
      </x:c>
      <x:c r="AG101" s="60" t="n">
        <x:v>58.2736</x:v>
      </x:c>
      <x:c r="AH101" s="60" t="n">
        <x:v>58.496</x:v>
      </x:c>
      <x:c r="AI101" s="60" t="n">
        <x:v>58.7214</x:v>
      </x:c>
      <x:c r="AJ101" s="60" t="n">
        <x:v>58.9116</x:v>
      </x:c>
      <x:c r="AK101" s="60" t="n">
        <x:v>59.1205</x:v>
      </x:c>
      <x:c r="AL101" s="60" t="n">
        <x:v>59.2846</x:v>
      </x:c>
      <x:c r="AM101" s="60" t="n">
        <x:v>59.4816</x:v>
      </x:c>
      <x:c r="AN101" s="60" t="n">
        <x:v>59.6589</x:v>
      </x:c>
      <x:c r="AO101" s="60" t="n">
        <x:v>59.8402</x:v>
      </x:c>
      <x:c r="AP101" s="60" t="n">
        <x:v>60.0309</x:v>
      </x:c>
      <x:c r="AQ101" s="60" t="n">
        <x:v>60.2254</x:v>
      </x:c>
      <x:c r="AR101" s="60" t="n">
        <x:v>60.4325</x:v>
      </x:c>
      <x:c r="AS101" s="60" t="n">
        <x:v>60.6097</x:v>
      </x:c>
      <x:c r="AT101" s="60" t="n">
        <x:v>60.7679</x:v>
      </x:c>
      <x:c r="AU101" s="60" t="n">
        <x:v>60.9455</x:v>
      </x:c>
      <x:c r="AV101" s="60" t="n">
        <x:v>61.1168</x:v>
      </x:c>
      <x:c r="AW101" s="60" t="n">
        <x:v>61.306</x:v>
      </x:c>
      <x:c r="AX101" s="60" t="n">
        <x:v>61.4648</x:v>
      </x:c>
      <x:c r="AY101" s="60" t="n">
        <x:v>61.6269</x:v>
      </x:c>
      <x:c r="AZ101" s="60" t="n">
        <x:v>61.8014</x:v>
      </x:c>
      <x:c r="BA101" s="60" t="n">
        <x:v>61.9848</x:v>
      </x:c>
      <x:c r="BB101" s="60" t="n">
        <x:v>62.1592</x:v>
      </x:c>
      <x:c r="BC101" s="60" t="n">
        <x:v>62.3206</x:v>
      </x:c>
      <x:c r="BD101" s="60" t="n">
        <x:v>62.4881</x:v>
      </x:c>
      <x:c r="BE101" s="60" t="n">
        <x:v>62.6543</x:v>
      </x:c>
      <x:c r="BF101" s="60" t="n">
        <x:v>62.8191</x:v>
      </x:c>
      <x:c r="BG101" s="60" t="n">
        <x:v>62.9919</x:v>
      </x:c>
      <x:c r="BH101" s="60" t="n">
        <x:v>63.1549</x:v>
      </x:c>
      <x:c r="BI101" s="60" t="n">
        <x:v>63.3322</x:v>
      </x:c>
      <x:c r="BJ101" s="60" t="n">
        <x:v>63.5103</x:v>
      </x:c>
      <x:c r="BK101" s="60" t="n">
        <x:v>63.6838</x:v>
      </x:c>
      <x:c r="BL101" s="60" t="n">
        <x:v>63.8738</x:v>
      </x:c>
      <x:c r="BM101" s="60" t="n">
        <x:v>64.0512</x:v>
      </x:c>
      <x:c r="BN101" s="60" t="n">
        <x:v>64.2117</x:v>
      </x:c>
      <x:c r="BO101" s="60" t="n">
        <x:v>64.3884</x:v>
      </x:c>
      <x:c r="BP101" s="60" t="n">
        <x:v>64.5475</x:v>
      </x:c>
      <x:c r="BQ101" s="60" t="n">
        <x:v>64.7239</x:v>
      </x:c>
      <x:c r="BR101" s="60" t="n">
        <x:v>64.8851</x:v>
      </x:c>
      <x:c r="BS101" s="60" t="n">
        <x:v>65.0487</x:v>
      </x:c>
      <x:c r="BT101" s="60" t="n">
        <x:v>65.2104</x:v>
      </x:c>
      <x:c r="BU101" s="60" t="n">
        <x:v>65.3856</x:v>
      </x:c>
      <x:c r="BV101" s="60" t="n">
        <x:v>65.5527</x:v>
      </x:c>
      <x:c r="BW101" s="60" t="n">
        <x:v>65.7447</x:v>
      </x:c>
      <x:c r="BX101" s="60" t="n">
        <x:v>65.9289</x:v>
      </x:c>
      <x:c r="BY101" s="60" t="n">
        <x:v>66.1221</x:v>
      </x:c>
      <x:c r="BZ101" s="60" t="n">
        <x:v>66.306</x:v>
      </x:c>
      <x:c r="CA101" s="60" t="n">
        <x:v>66.4973</x:v>
      </x:c>
      <x:c r="CB101" s="60" t="n">
        <x:v>66.6764</x:v>
      </x:c>
      <x:c r="CC101" s="60" t="n">
        <x:v>66.8492</x:v>
      </x:c>
      <x:c r="CD101" s="60" t="n">
        <x:v>67.0444</x:v>
      </x:c>
      <x:c r="CE101" s="60" t="n">
        <x:v>67.2471</x:v>
      </x:c>
      <x:c r="CF101" s="60" t="n">
        <x:v>67.4695</x:v>
      </x:c>
      <x:c r="CG101" s="60" t="n">
        <x:v>67.6773</x:v>
      </x:c>
      <x:c r="CH101" s="60" t="n">
        <x:v>67.9032</x:v>
      </x:c>
      <x:c r="CI101" s="60" t="n">
        <x:v>68.1235</x:v>
      </x:c>
      <x:c r="CJ101" s="60" t="n">
        <x:v>68.3532</x:v>
      </x:c>
      <x:c r="CK101" s="60" t="n">
        <x:v>68.5637</x:v>
      </x:c>
      <x:c r="CL101" s="60" t="n">
        <x:v>68.7896</x:v>
      </x:c>
      <x:c r="CM101" s="60" t="n">
        <x:v>69.0298</x:v>
      </x:c>
      <x:c r="CN101" s="60" t="n">
        <x:v>69.2672</x:v>
      </x:c>
      <x:c r="CO101" s="60" t="n">
        <x:v>69.5846</x:v>
      </x:c>
      <x:c r="CP101" s="60" t="n">
        <x:v>69.8867</x:v>
      </x:c>
      <x:c r="CQ101" s="60" t="n">
        <x:v>70.165</x:v>
      </x:c>
      <x:c r="CR101" s="60" t="n">
        <x:v>70.4522</x:v>
      </x:c>
      <x:c r="CS101" s="60" t="n">
        <x:v>70.7707</x:v>
      </x:c>
      <x:c r="CT101" s="60" t="n">
        <x:v>71.07</x:v>
      </x:c>
      <x:c r="CU101" s="60" t="n">
        <x:v>71.4062</x:v>
      </x:c>
      <x:c r="CV101" s="60" t="n">
        <x:v>71.7787</x:v>
      </x:c>
      <x:c r="CW101" s="60" t="n">
        <x:v>72.2202</x:v>
      </x:c>
      <x:c r="CX101" s="60" t="n">
        <x:v>72.7144</x:v>
      </x:c>
      <x:c r="CY101" s="60" t="n">
        <x:v>73.2792</x:v>
      </x:c>
      <x:c r="CZ101" s="60" t="n">
        <x:v>73.9734</x:v>
      </x:c>
      <x:c r="DA101" s="60" t="n">
        <x:v>74.9516</x:v>
      </x:c>
      <x:c r="DB101" s="60" t="n">
        <x:v>78.1032</x:v>
      </x:c>
    </x:row>
    <x:row r="102">
      <x:c r="A102" t="str">
        <x:v>カメックス-1</x:v>
      </x:c>
      <x:c r="B102" t="str">
        <x:v>カメックス</x:v>
      </x:c>
      <x:c r="C102" t="str">
        <x:v>なみのり</x:v>
      </x:c>
      <x:c r="D102" s="60" t="n">
        <x:v>61.467</x:v>
      </x:c>
      <x:c r="E102" s="60" t="n">
        <x:v>9.871</x:v>
      </x:c>
      <x:c r="F102" s="60" t="n">
        <x:v>34.5734</x:v>
      </x:c>
      <x:c r="G102" s="60" t="n">
        <x:v>39.7431</x:v>
      </x:c>
      <x:c r="H102" s="60" t="n">
        <x:v>41.2424</x:v>
      </x:c>
      <x:c r="I102" s="60" t="n">
        <x:v>42.3255</x:v>
      </x:c>
      <x:c r="J102" s="60" t="n">
        <x:v>43.324</x:v>
      </x:c>
      <x:c r="K102" s="60" t="n">
        <x:v>44.0659</x:v>
      </x:c>
      <x:c r="L102" s="60" t="n">
        <x:v>44.8899</x:v>
      </x:c>
      <x:c r="M102" s="60" t="n">
        <x:v>45.6147</x:v>
      </x:c>
      <x:c r="N102" s="60" t="n">
        <x:v>46.2528</x:v>
      </x:c>
      <x:c r="O102" s="60" t="n">
        <x:v>46.8665</x:v>
      </x:c>
      <x:c r="P102" s="60" t="n">
        <x:v>47.5068</x:v>
      </x:c>
      <x:c r="Q102" s="60" t="n">
        <x:v>48.0798</x:v>
      </x:c>
      <x:c r="R102" s="60" t="n">
        <x:v>48.6286</x:v>
      </x:c>
      <x:c r="S102" s="60" t="n">
        <x:v>49.1658</x:v>
      </x:c>
      <x:c r="T102" s="60" t="n">
        <x:v>49.7601</x:v>
      </x:c>
      <x:c r="U102" s="60" t="n">
        <x:v>50.1979</x:v>
      </x:c>
      <x:c r="V102" s="60" t="n">
        <x:v>50.6602</x:v>
      </x:c>
      <x:c r="W102" s="60" t="n">
        <x:v>51.0734</x:v>
      </x:c>
      <x:c r="X102" s="60" t="n">
        <x:v>51.4614</x:v>
      </x:c>
      <x:c r="Y102" s="60" t="n">
        <x:v>51.8523</x:v>
      </x:c>
      <x:c r="Z102" s="60" t="n">
        <x:v>52.2758</x:v>
      </x:c>
      <x:c r="AA102" s="60" t="n">
        <x:v>52.6842</x:v>
      </x:c>
      <x:c r="AB102" s="60" t="n">
        <x:v>53.0511</x:v>
      </x:c>
      <x:c r="AC102" s="60" t="n">
        <x:v>53.401</x:v>
      </x:c>
      <x:c r="AD102" s="60" t="n">
        <x:v>53.7643</x:v>
      </x:c>
      <x:c r="AE102" s="60" t="n">
        <x:v>54.1742</x:v>
      </x:c>
      <x:c r="AF102" s="60" t="n">
        <x:v>54.572</x:v>
      </x:c>
      <x:c r="AG102" s="60" t="n">
        <x:v>54.9622</x:v>
      </x:c>
      <x:c r="AH102" s="60" t="n">
        <x:v>55.3662</x:v>
      </x:c>
      <x:c r="AI102" s="60" t="n">
        <x:v>55.7663</x:v>
      </x:c>
      <x:c r="AJ102" s="60" t="n">
        <x:v>56.1345</x:v>
      </x:c>
      <x:c r="AK102" s="60" t="n">
        <x:v>56.5049</x:v>
      </x:c>
      <x:c r="AL102" s="60" t="n">
        <x:v>56.8345</x:v>
      </x:c>
      <x:c r="AM102" s="60" t="n">
        <x:v>57.1584</x:v>
      </x:c>
      <x:c r="AN102" s="60" t="n">
        <x:v>57.4784</x:v>
      </x:c>
      <x:c r="AO102" s="60" t="n">
        <x:v>57.789</x:v>
      </x:c>
      <x:c r="AP102" s="60" t="n">
        <x:v>58.1061</x:v>
      </x:c>
      <x:c r="AQ102" s="60" t="n">
        <x:v>58.4034</x:v>
      </x:c>
      <x:c r="AR102" s="60" t="n">
        <x:v>58.7125</x:v>
      </x:c>
      <x:c r="AS102" s="60" t="n">
        <x:v>59.0407</x:v>
      </x:c>
      <x:c r="AT102" s="60" t="n">
        <x:v>59.3069</x:v>
      </x:c>
      <x:c r="AU102" s="60" t="n">
        <x:v>59.6036</x:v>
      </x:c>
      <x:c r="AV102" s="60" t="n">
        <x:v>59.9013</x:v>
      </x:c>
      <x:c r="AW102" s="60" t="n">
        <x:v>60.1873</x:v>
      </x:c>
      <x:c r="AX102" s="60" t="n">
        <x:v>60.4832</x:v>
      </x:c>
      <x:c r="AY102" s="60" t="n">
        <x:v>60.8011</x:v>
      </x:c>
      <x:c r="AZ102" s="60" t="n">
        <x:v>61.0873</x:v>
      </x:c>
      <x:c r="BA102" s="60" t="n">
        <x:v>61.3726</x:v>
      </x:c>
      <x:c r="BB102" s="60" t="n">
        <x:v>61.6666</x:v>
      </x:c>
      <x:c r="BC102" s="60" t="n">
        <x:v>61.9719</x:v>
      </x:c>
      <x:c r="BD102" s="60" t="n">
        <x:v>62.2493</x:v>
      </x:c>
      <x:c r="BE102" s="60" t="n">
        <x:v>62.5336</x:v>
      </x:c>
      <x:c r="BF102" s="60" t="n">
        <x:v>62.815</x:v>
      </x:c>
      <x:c r="BG102" s="60" t="n">
        <x:v>63.102</x:v>
      </x:c>
      <x:c r="BH102" s="60" t="n">
        <x:v>63.351</x:v>
      </x:c>
      <x:c r="BI102" s="60" t="n">
        <x:v>63.6175</x:v>
      </x:c>
      <x:c r="BJ102" s="60" t="n">
        <x:v>63.8928</x:v>
      </x:c>
      <x:c r="BK102" s="60" t="n">
        <x:v>64.167</x:v>
      </x:c>
      <x:c r="BL102" s="60" t="n">
        <x:v>64.4356</x:v>
      </x:c>
      <x:c r="BM102" s="60" t="n">
        <x:v>64.7269</x:v>
      </x:c>
      <x:c r="BN102" s="60" t="n">
        <x:v>64.9873</x:v>
      </x:c>
      <x:c r="BO102" s="60" t="n">
        <x:v>65.241</x:v>
      </x:c>
      <x:c r="BP102" s="60" t="n">
        <x:v>65.5021</x:v>
      </x:c>
      <x:c r="BQ102" s="60" t="n">
        <x:v>65.7688</x:v>
      </x:c>
      <x:c r="BR102" s="60" t="n">
        <x:v>66.0204</x:v>
      </x:c>
      <x:c r="BS102" s="60" t="n">
        <x:v>66.3199</x:v>
      </x:c>
      <x:c r="BT102" s="60" t="n">
        <x:v>66.5789</x:v>
      </x:c>
      <x:c r="BU102" s="60" t="n">
        <x:v>66.8379</x:v>
      </x:c>
      <x:c r="BV102" s="60" t="n">
        <x:v>67.1046</x:v>
      </x:c>
      <x:c r="BW102" s="60" t="n">
        <x:v>67.3831</x:v>
      </x:c>
      <x:c r="BX102" s="60" t="n">
        <x:v>67.7084</x:v>
      </x:c>
      <x:c r="BY102" s="60" t="n">
        <x:v>68.0198</x:v>
      </x:c>
      <x:c r="BZ102" s="60" t="n">
        <x:v>68.3174</x:v>
      </x:c>
      <x:c r="CA102" s="60" t="n">
        <x:v>68.6221</x:v>
      </x:c>
      <x:c r="CB102" s="60" t="n">
        <x:v>68.9213</x:v>
      </x:c>
      <x:c r="CC102" s="60" t="n">
        <x:v>69.2152</x:v>
      </x:c>
      <x:c r="CD102" s="60" t="n">
        <x:v>69.4777</x:v>
      </x:c>
      <x:c r="CE102" s="60" t="n">
        <x:v>69.7506</x:v>
      </x:c>
      <x:c r="CF102" s="60" t="n">
        <x:v>70.0654</x:v>
      </x:c>
      <x:c r="CG102" s="60" t="n">
        <x:v>70.323</x:v>
      </x:c>
      <x:c r="CH102" s="60" t="n">
        <x:v>70.606</x:v>
      </x:c>
      <x:c r="CI102" s="60" t="n">
        <x:v>70.9127</x:v>
      </x:c>
      <x:c r="CJ102" s="60" t="n">
        <x:v>71.2566</x:v>
      </x:c>
      <x:c r="CK102" s="60" t="n">
        <x:v>71.6017</x:v>
      </x:c>
      <x:c r="CL102" s="60" t="n">
        <x:v>71.9439</x:v>
      </x:c>
      <x:c r="CM102" s="60" t="n">
        <x:v>72.263</x:v>
      </x:c>
      <x:c r="CN102" s="60" t="n">
        <x:v>72.6182</x:v>
      </x:c>
      <x:c r="CO102" s="60" t="n">
        <x:v>72.9432</x:v>
      </x:c>
      <x:c r="CP102" s="60" t="n">
        <x:v>73.2754</x:v>
      </x:c>
      <x:c r="CQ102" s="60" t="n">
        <x:v>73.6398</x:v>
      </x:c>
      <x:c r="CR102" s="60" t="n">
        <x:v>74.0551</x:v>
      </x:c>
      <x:c r="CS102" s="60" t="n">
        <x:v>74.4937</x:v>
      </x:c>
      <x:c r="CT102" s="60" t="n">
        <x:v>74.9225</x:v>
      </x:c>
      <x:c r="CU102" s="60" t="n">
        <x:v>75.4243</x:v>
      </x:c>
      <x:c r="CV102" s="60" t="n">
        <x:v>75.9201</x:v>
      </x:c>
      <x:c r="CW102" s="60" t="n">
        <x:v>76.429</x:v>
      </x:c>
      <x:c r="CX102" s="60" t="n">
        <x:v>77.0943</x:v>
      </x:c>
      <x:c r="CY102" s="60" t="n">
        <x:v>77.7334</x:v>
      </x:c>
      <x:c r="CZ102" s="60" t="n">
        <x:v>78.6068</x:v>
      </x:c>
      <x:c r="DA102" s="60" t="n">
        <x:v>79.7442</x:v>
      </x:c>
      <x:c r="DB102" s="60" t="n">
        <x:v>82.8902</x:v>
      </x:c>
    </x:row>
    <x:row r="103">
      <x:c r="A103" t="str">
        <x:v>カメックス-2</x:v>
      </x:c>
      <x:c r="B103" t="str">
        <x:v>カメックス</x:v>
      </x:c>
      <x:c r="C103" t="str">
        <x:v>こうそくスピン</x:v>
      </x:c>
      <x:c r="D103" s="60" t="n">
        <x:v>61.7758</x:v>
      </x:c>
      <x:c r="E103" s="60" t="n">
        <x:v>9.9645</x:v>
      </x:c>
      <x:c r="F103" s="60" t="n">
        <x:v>31.9483</x:v>
      </x:c>
      <x:c r="G103" s="60" t="n">
        <x:v>39.4545</x:v>
      </x:c>
      <x:c r="H103" s="60" t="n">
        <x:v>40.8862</x:v>
      </x:c>
      <x:c r="I103" s="60" t="n">
        <x:v>41.7532</x:v>
      </x:c>
      <x:c r="J103" s="60" t="n">
        <x:v>42.5665</x:v>
      </x:c>
      <x:c r="K103" s="60" t="n">
        <x:v>43.3655</x:v>
      </x:c>
      <x:c r="L103" s="60" t="n">
        <x:v>44.1795</x:v>
      </x:c>
      <x:c r="M103" s="60" t="n">
        <x:v>45.0347</x:v>
      </x:c>
      <x:c r="N103" s="60" t="n">
        <x:v>45.748</x:v>
      </x:c>
      <x:c r="O103" s="60" t="n">
        <x:v>46.4683</x:v>
      </x:c>
      <x:c r="P103" s="60" t="n">
        <x:v>47.1602</x:v>
      </x:c>
      <x:c r="Q103" s="60" t="n">
        <x:v>47.73</x:v>
      </x:c>
      <x:c r="R103" s="60" t="n">
        <x:v>48.3359</x:v>
      </x:c>
      <x:c r="S103" s="60" t="n">
        <x:v>48.956</x:v>
      </x:c>
      <x:c r="T103" s="60" t="n">
        <x:v>49.4566</x:v>
      </x:c>
      <x:c r="U103" s="60" t="n">
        <x:v>50.0111</x:v>
      </x:c>
      <x:c r="V103" s="60" t="n">
        <x:v>50.5297</x:v>
      </x:c>
      <x:c r="W103" s="60" t="n">
        <x:v>50.9853</x:v>
      </x:c>
      <x:c r="X103" s="60" t="n">
        <x:v>51.4951</x:v>
      </x:c>
      <x:c r="Y103" s="60" t="n">
        <x:v>51.943</x:v>
      </x:c>
      <x:c r="Z103" s="60" t="n">
        <x:v>52.4169</x:v>
      </x:c>
      <x:c r="AA103" s="60" t="n">
        <x:v>52.8398</x:v>
      </x:c>
      <x:c r="AB103" s="60" t="n">
        <x:v>53.2498</x:v>
      </x:c>
      <x:c r="AC103" s="60" t="n">
        <x:v>53.6881</x:v>
      </x:c>
      <x:c r="AD103" s="60" t="n">
        <x:v>54.1417</x:v>
      </x:c>
      <x:c r="AE103" s="60" t="n">
        <x:v>54.5725</x:v>
      </x:c>
      <x:c r="AF103" s="60" t="n">
        <x:v>54.913</x:v>
      </x:c>
      <x:c r="AG103" s="60" t="n">
        <x:v>55.3202</x:v>
      </x:c>
      <x:c r="AH103" s="60" t="n">
        <x:v>55.7386</x:v>
      </x:c>
      <x:c r="AI103" s="60" t="n">
        <x:v>56.1452</x:v>
      </x:c>
      <x:c r="AJ103" s="60" t="n">
        <x:v>56.5221</x:v>
      </x:c>
      <x:c r="AK103" s="60" t="n">
        <x:v>56.9214</x:v>
      </x:c>
      <x:c r="AL103" s="60" t="n">
        <x:v>57.3083</x:v>
      </x:c>
      <x:c r="AM103" s="60" t="n">
        <x:v>57.6436</x:v>
      </x:c>
      <x:c r="AN103" s="60" t="n">
        <x:v>57.9921</x:v>
      </x:c>
      <x:c r="AO103" s="60" t="n">
        <x:v>58.3319</x:v>
      </x:c>
      <x:c r="AP103" s="60" t="n">
        <x:v>58.6739</x:v>
      </x:c>
      <x:c r="AQ103" s="60" t="n">
        <x:v>58.963</x:v>
      </x:c>
      <x:c r="AR103" s="60" t="n">
        <x:v>59.2688</x:v>
      </x:c>
      <x:c r="AS103" s="60" t="n">
        <x:v>59.5905</x:v>
      </x:c>
      <x:c r="AT103" s="60" t="n">
        <x:v>59.9468</x:v>
      </x:c>
      <x:c r="AU103" s="60" t="n">
        <x:v>60.2928</x:v>
      </x:c>
      <x:c r="AV103" s="60" t="n">
        <x:v>60.6126</x:v>
      </x:c>
      <x:c r="AW103" s="60" t="n">
        <x:v>60.9255</x:v>
      </x:c>
      <x:c r="AX103" s="60" t="n">
        <x:v>61.2636</x:v>
      </x:c>
      <x:c r="AY103" s="60" t="n">
        <x:v>61.5506</x:v>
      </x:c>
      <x:c r="AZ103" s="60" t="n">
        <x:v>61.8388</x:v>
      </x:c>
      <x:c r="BA103" s="60" t="n">
        <x:v>62.1374</x:v>
      </x:c>
      <x:c r="BB103" s="60" t="n">
        <x:v>62.4088</x:v>
      </x:c>
      <x:c r="BC103" s="60" t="n">
        <x:v>62.7316</x:v>
      </x:c>
      <x:c r="BD103" s="60" t="n">
        <x:v>63.067</x:v>
      </x:c>
      <x:c r="BE103" s="60" t="n">
        <x:v>63.3879</x:v>
      </x:c>
      <x:c r="BF103" s="60" t="n">
        <x:v>63.7159</x:v>
      </x:c>
      <x:c r="BG103" s="60" t="n">
        <x:v>63.9558</x:v>
      </x:c>
      <x:c r="BH103" s="60" t="n">
        <x:v>64.2326</x:v>
      </x:c>
      <x:c r="BI103" s="60" t="n">
        <x:v>64.5615</x:v>
      </x:c>
      <x:c r="BJ103" s="60" t="n">
        <x:v>64.8617</x:v>
      </x:c>
      <x:c r="BK103" s="60" t="n">
        <x:v>65.1371</x:v>
      </x:c>
      <x:c r="BL103" s="60" t="n">
        <x:v>65.419</x:v>
      </x:c>
      <x:c r="BM103" s="60" t="n">
        <x:v>65.6792</x:v>
      </x:c>
      <x:c r="BN103" s="60" t="n">
        <x:v>65.9369</x:v>
      </x:c>
      <x:c r="BO103" s="60" t="n">
        <x:v>66.212</x:v>
      </x:c>
      <x:c r="BP103" s="60" t="n">
        <x:v>66.4795</x:v>
      </x:c>
      <x:c r="BQ103" s="60" t="n">
        <x:v>66.7527</x:v>
      </x:c>
      <x:c r="BR103" s="60" t="n">
        <x:v>67.0118</x:v>
      </x:c>
      <x:c r="BS103" s="60" t="n">
        <x:v>67.3095</x:v>
      </x:c>
      <x:c r="BT103" s="60" t="n">
        <x:v>67.6028</x:v>
      </x:c>
      <x:c r="BU103" s="60" t="n">
        <x:v>67.8627</x:v>
      </x:c>
      <x:c r="BV103" s="60" t="n">
        <x:v>68.1195</x:v>
      </x:c>
      <x:c r="BW103" s="60" t="n">
        <x:v>68.3712</x:v>
      </x:c>
      <x:c r="BX103" s="60" t="n">
        <x:v>68.6503</x:v>
      </x:c>
      <x:c r="BY103" s="60" t="n">
        <x:v>68.911</x:v>
      </x:c>
      <x:c r="BZ103" s="60" t="n">
        <x:v>69.1789</x:v>
      </x:c>
      <x:c r="CA103" s="60" t="n">
        <x:v>69.3905</x:v>
      </x:c>
      <x:c r="CB103" s="60" t="n">
        <x:v>69.655</x:v>
      </x:c>
      <x:c r="CC103" s="60" t="n">
        <x:v>69.9648</x:v>
      </x:c>
      <x:c r="CD103" s="60" t="n">
        <x:v>70.1999</x:v>
      </x:c>
      <x:c r="CE103" s="60" t="n">
        <x:v>70.4838</x:v>
      </x:c>
      <x:c r="CF103" s="60" t="n">
        <x:v>70.7658</x:v>
      </x:c>
      <x:c r="CG103" s="60" t="n">
        <x:v>71.0218</x:v>
      </x:c>
      <x:c r="CH103" s="60" t="n">
        <x:v>71.2984</x:v>
      </x:c>
      <x:c r="CI103" s="60" t="n">
        <x:v>71.5634</x:v>
      </x:c>
      <x:c r="CJ103" s="60" t="n">
        <x:v>71.7957</x:v>
      </x:c>
      <x:c r="CK103" s="60" t="n">
        <x:v>72.0581</x:v>
      </x:c>
      <x:c r="CL103" s="60" t="n">
        <x:v>72.3304</x:v>
      </x:c>
      <x:c r="CM103" s="60" t="n">
        <x:v>72.6063</x:v>
      </x:c>
      <x:c r="CN103" s="60" t="n">
        <x:v>72.8536</x:v>
      </x:c>
      <x:c r="CO103" s="60" t="n">
        <x:v>73.1672</x:v>
      </x:c>
      <x:c r="CP103" s="60" t="n">
        <x:v>73.4376</x:v>
      </x:c>
      <x:c r="CQ103" s="60" t="n">
        <x:v>73.7239</x:v>
      </x:c>
      <x:c r="CR103" s="60" t="n">
        <x:v>74.0412</x:v>
      </x:c>
      <x:c r="CS103" s="60" t="n">
        <x:v>74.3553</x:v>
      </x:c>
      <x:c r="CT103" s="60" t="n">
        <x:v>74.6794</x:v>
      </x:c>
      <x:c r="CU103" s="60" t="n">
        <x:v>75.0108</x:v>
      </x:c>
      <x:c r="CV103" s="60" t="n">
        <x:v>75.3592</x:v>
      </x:c>
      <x:c r="CW103" s="60" t="n">
        <x:v>75.7812</x:v>
      </x:c>
      <x:c r="CX103" s="60" t="n">
        <x:v>76.1334</x:v>
      </x:c>
      <x:c r="CY103" s="60" t="n">
        <x:v>76.6548</x:v>
      </x:c>
      <x:c r="CZ103" s="60" t="n">
        <x:v>77.1415</x:v>
      </x:c>
      <x:c r="DA103" s="60" t="n">
        <x:v>77.7667</x:v>
      </x:c>
      <x:c r="DB103" s="60" t="n">
        <x:v>80.1645</x:v>
      </x:c>
    </x:row>
    <x:row r="104">
      <x:c r="A104" t="str">
        <x:v>シャワーズ-1</x:v>
      </x:c>
      <x:c r="B104" t="str">
        <x:v>シャワーズ</x:v>
      </x:c>
      <x:c r="C104" t="str">
        <x:v>アクアリング</x:v>
      </x:c>
      <x:c r="D104" s="60" t="n">
        <x:v>61.1957</x:v>
      </x:c>
      <x:c r="E104" s="60" t="n">
        <x:v>11.7979</x:v>
      </x:c>
      <x:c r="F104" s="60" t="n">
        <x:v>30.1637</x:v>
      </x:c>
      <x:c r="G104" s="60" t="n">
        <x:v>36.2974</x:v>
      </x:c>
      <x:c r="H104" s="60" t="n">
        <x:v>37.5464</x:v>
      </x:c>
      <x:c r="I104" s="60" t="n">
        <x:v>38.5029</x:v>
      </x:c>
      <x:c r="J104" s="60" t="n">
        <x:v>39.4657</x:v>
      </x:c>
      <x:c r="K104" s="60" t="n">
        <x:v>40.4124</x:v>
      </x:c>
      <x:c r="L104" s="60" t="n">
        <x:v>41.2169</x:v>
      </x:c>
      <x:c r="M104" s="60" t="n">
        <x:v>41.9925</x:v>
      </x:c>
      <x:c r="N104" s="60" t="n">
        <x:v>42.7351</x:v>
      </x:c>
      <x:c r="O104" s="60" t="n">
        <x:v>43.5165</x:v>
      </x:c>
      <x:c r="P104" s="60" t="n">
        <x:v>44.2277</x:v>
      </x:c>
      <x:c r="Q104" s="60" t="n">
        <x:v>44.8364</x:v>
      </x:c>
      <x:c r="R104" s="60" t="n">
        <x:v>45.4755</x:v>
      </x:c>
      <x:c r="S104" s="60" t="n">
        <x:v>46.1152</x:v>
      </x:c>
      <x:c r="T104" s="60" t="n">
        <x:v>46.7418</x:v>
      </x:c>
      <x:c r="U104" s="60" t="n">
        <x:v>47.311</x:v>
      </x:c>
      <x:c r="V104" s="60" t="n">
        <x:v>47.8815</x:v>
      </x:c>
      <x:c r="W104" s="60" t="n">
        <x:v>48.4512</x:v>
      </x:c>
      <x:c r="X104" s="60" t="n">
        <x:v>48.9438</x:v>
      </x:c>
      <x:c r="Y104" s="60" t="n">
        <x:v>49.4435</x:v>
      </x:c>
      <x:c r="Z104" s="60" t="n">
        <x:v>50.0141</x:v>
      </x:c>
      <x:c r="AA104" s="60" t="n">
        <x:v>50.5761</x:v>
      </x:c>
      <x:c r="AB104" s="60" t="n">
        <x:v>51.0448</x:v>
      </x:c>
      <x:c r="AC104" s="60" t="n">
        <x:v>51.5365</x:v>
      </x:c>
      <x:c r="AD104" s="60" t="n">
        <x:v>52.0417</x:v>
      </x:c>
      <x:c r="AE104" s="60" t="n">
        <x:v>52.5216</x:v>
      </x:c>
      <x:c r="AF104" s="60" t="n">
        <x:v>52.9503</x:v>
      </x:c>
      <x:c r="AG104" s="60" t="n">
        <x:v>53.3496</x:v>
      </x:c>
      <x:c r="AH104" s="60" t="n">
        <x:v>53.875</x:v>
      </x:c>
      <x:c r="AI104" s="60" t="n">
        <x:v>54.262</x:v>
      </x:c>
      <x:c r="AJ104" s="60" t="n">
        <x:v>54.7058</x:v>
      </x:c>
      <x:c r="AK104" s="60" t="n">
        <x:v>55.1104</x:v>
      </x:c>
      <x:c r="AL104" s="60" t="n">
        <x:v>55.5203</x:v>
      </x:c>
      <x:c r="AM104" s="60" t="n">
        <x:v>55.8838</x:v>
      </x:c>
      <x:c r="AN104" s="60" t="n">
        <x:v>56.2506</x:v>
      </x:c>
      <x:c r="AO104" s="60" t="n">
        <x:v>56.6654</x:v>
      </x:c>
      <x:c r="AP104" s="60" t="n">
        <x:v>57.0427</x:v>
      </x:c>
      <x:c r="AQ104" s="60" t="n">
        <x:v>57.406</x:v>
      </x:c>
      <x:c r="AR104" s="60" t="n">
        <x:v>57.7629</x:v>
      </x:c>
      <x:c r="AS104" s="60" t="n">
        <x:v>58.1585</x:v>
      </x:c>
      <x:c r="AT104" s="60" t="n">
        <x:v>58.5429</x:v>
      </x:c>
      <x:c r="AU104" s="60" t="n">
        <x:v>58.9307</x:v>
      </x:c>
      <x:c r="AV104" s="60" t="n">
        <x:v>59.3</x:v>
      </x:c>
      <x:c r="AW104" s="60" t="n">
        <x:v>59.6896</x:v>
      </x:c>
      <x:c r="AX104" s="60" t="n">
        <x:v>60.0501</x:v>
      </x:c>
      <x:c r="AY104" s="60" t="n">
        <x:v>60.4109</x:v>
      </x:c>
      <x:c r="AZ104" s="60" t="n">
        <x:v>60.7654</x:v>
      </x:c>
      <x:c r="BA104" s="60" t="n">
        <x:v>61.1241</x:v>
      </x:c>
      <x:c r="BB104" s="60" t="n">
        <x:v>61.4504</x:v>
      </x:c>
      <x:c r="BC104" s="60" t="n">
        <x:v>61.8073</x:v>
      </x:c>
      <x:c r="BD104" s="60" t="n">
        <x:v>62.1368</x:v>
      </x:c>
      <x:c r="BE104" s="60" t="n">
        <x:v>62.506</x:v>
      </x:c>
      <x:c r="BF104" s="60" t="n">
        <x:v>62.8123</x:v>
      </x:c>
      <x:c r="BG104" s="60" t="n">
        <x:v>63.1486</x:v>
      </x:c>
      <x:c r="BH104" s="60" t="n">
        <x:v>63.5155</x:v>
      </x:c>
      <x:c r="BI104" s="60" t="n">
        <x:v>63.8514</x:v>
      </x:c>
      <x:c r="BJ104" s="60" t="n">
        <x:v>64.2449</x:v>
      </x:c>
      <x:c r="BK104" s="60" t="n">
        <x:v>64.5804</x:v>
      </x:c>
      <x:c r="BL104" s="60" t="n">
        <x:v>64.9237</x:v>
      </x:c>
      <x:c r="BM104" s="60" t="n">
        <x:v>65.228</x:v>
      </x:c>
      <x:c r="BN104" s="60" t="n">
        <x:v>65.5942</x:v>
      </x:c>
      <x:c r="BO104" s="60" t="n">
        <x:v>65.9378</x:v>
      </x:c>
      <x:c r="BP104" s="60" t="n">
        <x:v>66.2887</x:v>
      </x:c>
      <x:c r="BQ104" s="60" t="n">
        <x:v>66.6168</x:v>
      </x:c>
      <x:c r="BR104" s="60" t="n">
        <x:v>66.9294</x:v>
      </x:c>
      <x:c r="BS104" s="60" t="n">
        <x:v>67.2263</x:v>
      </x:c>
      <x:c r="BT104" s="60" t="n">
        <x:v>67.5412</x:v>
      </x:c>
      <x:c r="BU104" s="60" t="n">
        <x:v>67.8634</x:v>
      </x:c>
      <x:c r="BV104" s="60" t="n">
        <x:v>68.1963</x:v>
      </x:c>
      <x:c r="BW104" s="60" t="n">
        <x:v>68.521</x:v>
      </x:c>
      <x:c r="BX104" s="60" t="n">
        <x:v>68.8381</x:v>
      </x:c>
      <x:c r="BY104" s="60" t="n">
        <x:v>69.1613</x:v>
      </x:c>
      <x:c r="BZ104" s="60" t="n">
        <x:v>69.5037</x:v>
      </x:c>
      <x:c r="CA104" s="60" t="n">
        <x:v>69.8481</x:v>
      </x:c>
      <x:c r="CB104" s="60" t="n">
        <x:v>70.2097</x:v>
      </x:c>
      <x:c r="CC104" s="60" t="n">
        <x:v>70.574</x:v>
      </x:c>
      <x:c r="CD104" s="60" t="n">
        <x:v>70.946</x:v>
      </x:c>
      <x:c r="CE104" s="60" t="n">
        <x:v>71.2777</x:v>
      </x:c>
      <x:c r="CF104" s="60" t="n">
        <x:v>71.6385</x:v>
      </x:c>
      <x:c r="CG104" s="60" t="n">
        <x:v>72.0033</x:v>
      </x:c>
      <x:c r="CH104" s="60" t="n">
        <x:v>72.3204</x:v>
      </x:c>
      <x:c r="CI104" s="60" t="n">
        <x:v>72.7076</x:v>
      </x:c>
      <x:c r="CJ104" s="60" t="n">
        <x:v>73.0693</x:v>
      </x:c>
      <x:c r="CK104" s="60" t="n">
        <x:v>73.4084</x:v>
      </x:c>
      <x:c r="CL104" s="60" t="n">
        <x:v>73.8053</x:v>
      </x:c>
      <x:c r="CM104" s="60" t="n">
        <x:v>74.1854</x:v>
      </x:c>
      <x:c r="CN104" s="60" t="n">
        <x:v>74.578</x:v>
      </x:c>
      <x:c r="CO104" s="60" t="n">
        <x:v>74.9787</x:v>
      </x:c>
      <x:c r="CP104" s="60" t="n">
        <x:v>75.4268</x:v>
      </x:c>
      <x:c r="CQ104" s="60" t="n">
        <x:v>75.8275</x:v>
      </x:c>
      <x:c r="CR104" s="60" t="n">
        <x:v>76.3325</x:v>
      </x:c>
      <x:c r="CS104" s="60" t="n">
        <x:v>76.7869</x:v>
      </x:c>
      <x:c r="CT104" s="60" t="n">
        <x:v>77.2408</x:v>
      </x:c>
      <x:c r="CU104" s="60" t="n">
        <x:v>77.7164</x:v>
      </x:c>
      <x:c r="CV104" s="60" t="n">
        <x:v>78.3351</x:v>
      </x:c>
      <x:c r="CW104" s="60" t="n">
        <x:v>78.9879</x:v>
      </x:c>
      <x:c r="CX104" s="60" t="n">
        <x:v>79.6083</x:v>
      </x:c>
      <x:c r="CY104" s="60" t="n">
        <x:v>80.2674</x:v>
      </x:c>
      <x:c r="CZ104" s="60" t="n">
        <x:v>81.204</x:v>
      </x:c>
      <x:c r="DA104" s="60" t="n">
        <x:v>82.3872</x:v>
      </x:c>
      <x:c r="DB104" s="60" t="n">
        <x:v>86.216</x:v>
      </x:c>
    </x:row>
    <x:row r="105">
      <x:c r="A105" t="str">
        <x:v>シャワーズ-2</x:v>
      </x:c>
      <x:c r="B105" t="str">
        <x:v>シャワーズ</x:v>
      </x:c>
      <x:c r="C105" t="str">
        <x:v>クイックターン</x:v>
      </x:c>
      <x:c r="D105" s="60" t="n">
        <x:v>62.2889</x:v>
      </x:c>
      <x:c r="E105" s="60" t="n">
        <x:v>7.5401</x:v>
      </x:c>
      <x:c r="F105" s="60" t="n">
        <x:v>37.6462</x:v>
      </x:c>
      <x:c r="G105" s="60" t="n">
        <x:v>44.6659</x:v>
      </x:c>
      <x:c r="H105" s="60" t="n">
        <x:v>46.3088</x:v>
      </x:c>
      <x:c r="I105" s="60" t="n">
        <x:v>47.3657</x:v>
      </x:c>
      <x:c r="J105" s="60" t="n">
        <x:v>48.3021</x:v>
      </x:c>
      <x:c r="K105" s="60" t="n">
        <x:v>49.003</x:v>
      </x:c>
      <x:c r="L105" s="60" t="n">
        <x:v>49.6148</x:v>
      </x:c>
      <x:c r="M105" s="60" t="n">
        <x:v>50.1849</x:v>
      </x:c>
      <x:c r="N105" s="60" t="n">
        <x:v>50.6669</x:v>
      </x:c>
      <x:c r="O105" s="60" t="n">
        <x:v>51.2086</x:v>
      </x:c>
      <x:c r="P105" s="60" t="n">
        <x:v>51.7162</x:v>
      </x:c>
      <x:c r="Q105" s="60" t="n">
        <x:v>52.1451</x:v>
      </x:c>
      <x:c r="R105" s="60" t="n">
        <x:v>52.5924</x:v>
      </x:c>
      <x:c r="S105" s="60" t="n">
        <x:v>52.9736</x:v>
      </x:c>
      <x:c r="T105" s="60" t="n">
        <x:v>53.3697</x:v>
      </x:c>
      <x:c r="U105" s="60" t="n">
        <x:v>53.7853</x:v>
      </x:c>
      <x:c r="V105" s="60" t="n">
        <x:v>54.1392</x:v>
      </x:c>
      <x:c r="W105" s="60" t="n">
        <x:v>54.4386</x:v>
      </x:c>
      <x:c r="X105" s="60" t="n">
        <x:v>54.7698</x:v>
      </x:c>
      <x:c r="Y105" s="60" t="n">
        <x:v>55.102</x:v>
      </x:c>
      <x:c r="Z105" s="60" t="n">
        <x:v>55.4242</x:v>
      </x:c>
      <x:c r="AA105" s="60" t="n">
        <x:v>55.7395</x:v>
      </x:c>
      <x:c r="AB105" s="60" t="n">
        <x:v>56.0306</x:v>
      </x:c>
      <x:c r="AC105" s="60" t="n">
        <x:v>56.3171</x:v>
      </x:c>
      <x:c r="AD105" s="60" t="n">
        <x:v>56.6042</x:v>
      </x:c>
      <x:c r="AE105" s="60" t="n">
        <x:v>56.8804</x:v>
      </x:c>
      <x:c r="AF105" s="60" t="n">
        <x:v>57.188</x:v>
      </x:c>
      <x:c r="AG105" s="60" t="n">
        <x:v>57.4492</x:v>
      </x:c>
      <x:c r="AH105" s="60" t="n">
        <x:v>57.7071</x:v>
      </x:c>
      <x:c r="AI105" s="60" t="n">
        <x:v>57.9693</x:v>
      </x:c>
      <x:c r="AJ105" s="60" t="n">
        <x:v>58.2231</x:v>
      </x:c>
      <x:c r="AK105" s="60" t="n">
        <x:v>58.5246</x:v>
      </x:c>
      <x:c r="AL105" s="60" t="n">
        <x:v>58.7669</x:v>
      </x:c>
      <x:c r="AM105" s="60" t="n">
        <x:v>59.0491</x:v>
      </x:c>
      <x:c r="AN105" s="60" t="n">
        <x:v>59.325</x:v>
      </x:c>
      <x:c r="AO105" s="60" t="n">
        <x:v>59.5595</x:v>
      </x:c>
      <x:c r="AP105" s="60" t="n">
        <x:v>59.7668</x:v>
      </x:c>
      <x:c r="AQ105" s="60" t="n">
        <x:v>60.0107</x:v>
      </x:c>
      <x:c r="AR105" s="60" t="n">
        <x:v>60.2377</x:v>
      </x:c>
      <x:c r="AS105" s="60" t="n">
        <x:v>60.4416</x:v>
      </x:c>
      <x:c r="AT105" s="60" t="n">
        <x:v>60.6612</x:v>
      </x:c>
      <x:c r="AU105" s="60" t="n">
        <x:v>60.8927</x:v>
      </x:c>
      <x:c r="AV105" s="60" t="n">
        <x:v>61.1272</x:v>
      </x:c>
      <x:c r="AW105" s="60" t="n">
        <x:v>61.3701</x:v>
      </x:c>
      <x:c r="AX105" s="60" t="n">
        <x:v>61.6097</x:v>
      </x:c>
      <x:c r="AY105" s="60" t="n">
        <x:v>61.8042</x:v>
      </x:c>
      <x:c r="AZ105" s="60" t="n">
        <x:v>62.0353</x:v>
      </x:c>
      <x:c r="BA105" s="60" t="n">
        <x:v>62.2392</x:v>
      </x:c>
      <x:c r="BB105" s="60" t="n">
        <x:v>62.4537</x:v>
      </x:c>
      <x:c r="BC105" s="60" t="n">
        <x:v>62.6674</x:v>
      </x:c>
      <x:c r="BD105" s="60" t="n">
        <x:v>62.9039</x:v>
      </x:c>
      <x:c r="BE105" s="60" t="n">
        <x:v>63.1349</x:v>
      </x:c>
      <x:c r="BF105" s="60" t="n">
        <x:v>63.35</x:v>
      </x:c>
      <x:c r="BG105" s="60" t="n">
        <x:v>63.5889</x:v>
      </x:c>
      <x:c r="BH105" s="60" t="n">
        <x:v>63.8358</x:v>
      </x:c>
      <x:c r="BI105" s="60" t="n">
        <x:v>64.0466</x:v>
      </x:c>
      <x:c r="BJ105" s="60" t="n">
        <x:v>64.2604</x:v>
      </x:c>
      <x:c r="BK105" s="60" t="n">
        <x:v>64.465</x:v>
      </x:c>
      <x:c r="BL105" s="60" t="n">
        <x:v>64.6626</x:v>
      </x:c>
      <x:c r="BM105" s="60" t="n">
        <x:v>64.8814</x:v>
      </x:c>
      <x:c r="BN105" s="60" t="n">
        <x:v>65.0836</x:v>
      </x:c>
      <x:c r="BO105" s="60" t="n">
        <x:v>65.2864</x:v>
      </x:c>
      <x:c r="BP105" s="60" t="n">
        <x:v>65.5219</x:v>
      </x:c>
      <x:c r="BQ105" s="60" t="n">
        <x:v>65.7198</x:v>
      </x:c>
      <x:c r="BR105" s="60" t="n">
        <x:v>65.9517</x:v>
      </x:c>
      <x:c r="BS105" s="60" t="n">
        <x:v>66.1432</x:v>
      </x:c>
      <x:c r="BT105" s="60" t="n">
        <x:v>66.3547</x:v>
      </x:c>
      <x:c r="BU105" s="60" t="n">
        <x:v>66.5485</x:v>
      </x:c>
      <x:c r="BV105" s="60" t="n">
        <x:v>66.7458</x:v>
      </x:c>
      <x:c r="BW105" s="60" t="n">
        <x:v>66.9643</x:v>
      </x:c>
      <x:c r="BX105" s="60" t="n">
        <x:v>67.1859</x:v>
      </x:c>
      <x:c r="BY105" s="60" t="n">
        <x:v>67.3979</x:v>
      </x:c>
      <x:c r="BZ105" s="60" t="n">
        <x:v>67.6576</x:v>
      </x:c>
      <x:c r="CA105" s="60" t="n">
        <x:v>67.8444</x:v>
      </x:c>
      <x:c r="CB105" s="60" t="n">
        <x:v>68.0428</x:v>
      </x:c>
      <x:c r="CC105" s="60" t="n">
        <x:v>68.2528</x:v>
      </x:c>
      <x:c r="CD105" s="60" t="n">
        <x:v>68.4609</x:v>
      </x:c>
      <x:c r="CE105" s="60" t="n">
        <x:v>68.652</x:v>
      </x:c>
      <x:c r="CF105" s="60" t="n">
        <x:v>68.8688</x:v>
      </x:c>
      <x:c r="CG105" s="60" t="n">
        <x:v>69.0983</x:v>
      </x:c>
      <x:c r="CH105" s="60" t="n">
        <x:v>69.304</x:v>
      </x:c>
      <x:c r="CI105" s="60" t="n">
        <x:v>69.5343</x:v>
      </x:c>
      <x:c r="CJ105" s="60" t="n">
        <x:v>69.753</x:v>
      </x:c>
      <x:c r="CK105" s="60" t="n">
        <x:v>69.9732</x:v>
      </x:c>
      <x:c r="CL105" s="60" t="n">
        <x:v>70.2226</x:v>
      </x:c>
      <x:c r="CM105" s="60" t="n">
        <x:v>70.4914</x:v>
      </x:c>
      <x:c r="CN105" s="60" t="n">
        <x:v>70.729</x:v>
      </x:c>
      <x:c r="CO105" s="60" t="n">
        <x:v>71.0002</x:v>
      </x:c>
      <x:c r="CP105" s="60" t="n">
        <x:v>71.2451</x:v>
      </x:c>
      <x:c r="CQ105" s="60" t="n">
        <x:v>71.51</x:v>
      </x:c>
      <x:c r="CR105" s="60" t="n">
        <x:v>71.7959</x:v>
      </x:c>
      <x:c r="CS105" s="60" t="n">
        <x:v>72.0887</x:v>
      </x:c>
      <x:c r="CT105" s="60" t="n">
        <x:v>72.4025</x:v>
      </x:c>
      <x:c r="CU105" s="60" t="n">
        <x:v>72.719</x:v>
      </x:c>
      <x:c r="CV105" s="60" t="n">
        <x:v>73.0599</x:v>
      </x:c>
      <x:c r="CW105" s="60" t="n">
        <x:v>73.468</x:v>
      </x:c>
      <x:c r="CX105" s="60" t="n">
        <x:v>73.9167</x:v>
      </x:c>
      <x:c r="CY105" s="60" t="n">
        <x:v>74.393</x:v>
      </x:c>
      <x:c r="CZ105" s="60" t="n">
        <x:v>74.9005</x:v>
      </x:c>
      <x:c r="DA105" s="60" t="n">
        <x:v>75.7128</x:v>
      </x:c>
      <x:c r="DB105" s="60" t="n">
        <x:v>79.1144</x:v>
      </x:c>
    </x:row>
    <x:row r="106">
      <x:c r="A106" t="str">
        <x:v>ヌメルゴン-1</x:v>
      </x:c>
      <x:c r="B106" t="str">
        <x:v>ヌメルゴン</x:v>
      </x:c>
      <x:c r="C106" t="str">
        <x:v>共通</x:v>
      </x:c>
      <x:c r="D106" s="60" t="n">
        <x:v>61.2734</x:v>
      </x:c>
      <x:c r="E106" s="60" t="n">
        <x:v>5.9638</x:v>
      </x:c>
      <x:c r="F106" s="60" t="n">
        <x:v>42.5543</x:v>
      </x:c>
      <x:c r="G106" s="60" t="n">
        <x:v>47.8624</x:v>
      </x:c>
      <x:c r="H106" s="60" t="n">
        <x:v>49.0873</x:v>
      </x:c>
      <x:c r="I106" s="60" t="n">
        <x:v>49.852</x:v>
      </x:c>
      <x:c r="J106" s="60" t="n">
        <x:v>50.4118</x:v>
      </x:c>
      <x:c r="K106" s="60" t="n">
        <x:v>50.9328</x:v>
      </x:c>
      <x:c r="L106" s="60" t="n">
        <x:v>51.4342</x:v>
      </x:c>
      <x:c r="M106" s="60" t="n">
        <x:v>51.8861</x:v>
      </x:c>
      <x:c r="N106" s="60" t="n">
        <x:v>52.2274</x:v>
      </x:c>
      <x:c r="O106" s="60" t="n">
        <x:v>52.5999</x:v>
      </x:c>
      <x:c r="P106" s="60" t="n">
        <x:v>52.931</x:v>
      </x:c>
      <x:c r="Q106" s="60" t="n">
        <x:v>53.2795</x:v>
      </x:c>
      <x:c r="R106" s="60" t="n">
        <x:v>53.603</x:v>
      </x:c>
      <x:c r="S106" s="60" t="n">
        <x:v>53.9152</x:v>
      </x:c>
      <x:c r="T106" s="60" t="n">
        <x:v>54.1959</x:v>
      </x:c>
      <x:c r="U106" s="60" t="n">
        <x:v>54.4599</x:v>
      </x:c>
      <x:c r="V106" s="60" t="n">
        <x:v>54.7866</x:v>
      </x:c>
      <x:c r="W106" s="60" t="n">
        <x:v>55.075</x:v>
      </x:c>
      <x:c r="X106" s="60" t="n">
        <x:v>55.3494</x:v>
      </x:c>
      <x:c r="Y106" s="60" t="n">
        <x:v>55.6</x:v>
      </x:c>
      <x:c r="Z106" s="60" t="n">
        <x:v>55.8571</x:v>
      </x:c>
      <x:c r="AA106" s="60" t="n">
        <x:v>56.1281</x:v>
      </x:c>
      <x:c r="AB106" s="60" t="n">
        <x:v>56.3461</x:v>
      </x:c>
      <x:c r="AC106" s="60" t="n">
        <x:v>56.6186</x:v>
      </x:c>
      <x:c r="AD106" s="60" t="n">
        <x:v>56.8525</x:v>
      </x:c>
      <x:c r="AE106" s="60" t="n">
        <x:v>57.0905</x:v>
      </x:c>
      <x:c r="AF106" s="60" t="n">
        <x:v>57.2835</x:v>
      </x:c>
      <x:c r="AG106" s="60" t="n">
        <x:v>57.4863</x:v>
      </x:c>
      <x:c r="AH106" s="60" t="n">
        <x:v>57.6841</x:v>
      </x:c>
      <x:c r="AI106" s="60" t="n">
        <x:v>57.8779</x:v>
      </x:c>
      <x:c r="AJ106" s="60" t="n">
        <x:v>58.0871</x:v>
      </x:c>
      <x:c r="AK106" s="60" t="n">
        <x:v>58.2897</x:v>
      </x:c>
      <x:c r="AL106" s="60" t="n">
        <x:v>58.4865</x:v>
      </x:c>
      <x:c r="AM106" s="60" t="n">
        <x:v>58.6988</x:v>
      </x:c>
      <x:c r="AN106" s="60" t="n">
        <x:v>58.8838</x:v>
      </x:c>
      <x:c r="AO106" s="60" t="n">
        <x:v>59.0848</x:v>
      </x:c>
      <x:c r="AP106" s="60" t="n">
        <x:v>59.2781</x:v>
      </x:c>
      <x:c r="AQ106" s="60" t="n">
        <x:v>59.4423</x:v>
      </x:c>
      <x:c r="AR106" s="60" t="n">
        <x:v>59.6016</x:v>
      </x:c>
      <x:c r="AS106" s="60" t="n">
        <x:v>59.7953</x:v>
      </x:c>
      <x:c r="AT106" s="60" t="n">
        <x:v>59.9767</x:v>
      </x:c>
      <x:c r="AU106" s="60" t="n">
        <x:v>60.1551</x:v>
      </x:c>
      <x:c r="AV106" s="60" t="n">
        <x:v>60.3377</x:v>
      </x:c>
      <x:c r="AW106" s="60" t="n">
        <x:v>60.5002</x:v>
      </x:c>
      <x:c r="AX106" s="60" t="n">
        <x:v>60.6557</x:v>
      </x:c>
      <x:c r="AY106" s="60" t="n">
        <x:v>60.826</x:v>
      </x:c>
      <x:c r="AZ106" s="60" t="n">
        <x:v>60.9861</x:v>
      </x:c>
      <x:c r="BA106" s="60" t="n">
        <x:v>61.1345</x:v>
      </x:c>
      <x:c r="BB106" s="60" t="n">
        <x:v>61.315</x:v>
      </x:c>
      <x:c r="BC106" s="60" t="n">
        <x:v>61.4708</x:v>
      </x:c>
      <x:c r="BD106" s="60" t="n">
        <x:v>61.6464</x:v>
      </x:c>
      <x:c r="BE106" s="60" t="n">
        <x:v>61.8155</x:v>
      </x:c>
      <x:c r="BF106" s="60" t="n">
        <x:v>61.9624</x:v>
      </x:c>
      <x:c r="BG106" s="60" t="n">
        <x:v>62.1099</x:v>
      </x:c>
      <x:c r="BH106" s="60" t="n">
        <x:v>62.2721</x:v>
      </x:c>
      <x:c r="BI106" s="60" t="n">
        <x:v>62.4122</x:v>
      </x:c>
      <x:c r="BJ106" s="60" t="n">
        <x:v>62.5659</x:v>
      </x:c>
      <x:c r="BK106" s="60" t="n">
        <x:v>62.7316</x:v>
      </x:c>
      <x:c r="BL106" s="60" t="n">
        <x:v>62.8821</x:v>
      </x:c>
      <x:c r="BM106" s="60" t="n">
        <x:v>63.0541</x:v>
      </x:c>
      <x:c r="BN106" s="60" t="n">
        <x:v>63.2308</x:v>
      </x:c>
      <x:c r="BO106" s="60" t="n">
        <x:v>63.3869</x:v>
      </x:c>
      <x:c r="BP106" s="60" t="n">
        <x:v>63.5683</x:v>
      </x:c>
      <x:c r="BQ106" s="60" t="n">
        <x:v>63.7357</x:v>
      </x:c>
      <x:c r="BR106" s="60" t="n">
        <x:v>63.8803</x:v>
      </x:c>
      <x:c r="BS106" s="60" t="n">
        <x:v>64.0336</x:v>
      </x:c>
      <x:c r="BT106" s="60" t="n">
        <x:v>64.1927</x:v>
      </x:c>
      <x:c r="BU106" s="60" t="n">
        <x:v>64.3526</x:v>
      </x:c>
      <x:c r="BV106" s="60" t="n">
        <x:v>64.496</x:v>
      </x:c>
      <x:c r="BW106" s="60" t="n">
        <x:v>64.6589</x:v>
      </x:c>
      <x:c r="BX106" s="60" t="n">
        <x:v>64.8106</x:v>
      </x:c>
      <x:c r="BY106" s="60" t="n">
        <x:v>64.978</x:v>
      </x:c>
      <x:c r="BZ106" s="60" t="n">
        <x:v>65.1459</x:v>
      </x:c>
      <x:c r="CA106" s="60" t="n">
        <x:v>65.3387</x:v>
      </x:c>
      <x:c r="CB106" s="60" t="n">
        <x:v>65.5155</x:v>
      </x:c>
      <x:c r="CC106" s="60" t="n">
        <x:v>65.6786</x:v>
      </x:c>
      <x:c r="CD106" s="60" t="n">
        <x:v>65.8503</x:v>
      </x:c>
      <x:c r="CE106" s="60" t="n">
        <x:v>66.0663</x:v>
      </x:c>
      <x:c r="CF106" s="60" t="n">
        <x:v>66.2515</x:v>
      </x:c>
      <x:c r="CG106" s="60" t="n">
        <x:v>66.4649</x:v>
      </x:c>
      <x:c r="CH106" s="60" t="n">
        <x:v>66.6674</x:v>
      </x:c>
      <x:c r="CI106" s="60" t="n">
        <x:v>66.8558</x:v>
      </x:c>
      <x:c r="CJ106" s="60" t="n">
        <x:v>67.0379</x:v>
      </x:c>
      <x:c r="CK106" s="60" t="n">
        <x:v>67.2508</x:v>
      </x:c>
      <x:c r="CL106" s="60" t="n">
        <x:v>67.4295</x:v>
      </x:c>
      <x:c r="CM106" s="60" t="n">
        <x:v>67.6477</x:v>
      </x:c>
      <x:c r="CN106" s="60" t="n">
        <x:v>67.8734</x:v>
      </x:c>
      <x:c r="CO106" s="60" t="n">
        <x:v>68.0988</x:v>
      </x:c>
      <x:c r="CP106" s="60" t="n">
        <x:v>68.338</x:v>
      </x:c>
      <x:c r="CQ106" s="60" t="n">
        <x:v>68.6211</x:v>
      </x:c>
      <x:c r="CR106" s="60" t="n">
        <x:v>68.8912</x:v>
      </x:c>
      <x:c r="CS106" s="60" t="n">
        <x:v>69.1631</x:v>
      </x:c>
      <x:c r="CT106" s="60" t="n">
        <x:v>69.4686</x:v>
      </x:c>
      <x:c r="CU106" s="60" t="n">
        <x:v>69.842</x:v>
      </x:c>
      <x:c r="CV106" s="60" t="n">
        <x:v>70.2021</x:v>
      </x:c>
      <x:c r="CW106" s="60" t="n">
        <x:v>70.5523</x:v>
      </x:c>
      <x:c r="CX106" s="60" t="n">
        <x:v>71.0475</x:v>
      </x:c>
      <x:c r="CY106" s="60" t="n">
        <x:v>71.5812</x:v>
      </x:c>
      <x:c r="CZ106" s="60" t="n">
        <x:v>72.2761</x:v>
      </x:c>
      <x:c r="DA106" s="60" t="n">
        <x:v>73.1753</x:v>
      </x:c>
      <x:c r="DB106" s="60" t="n">
        <x:v>77.8128</x:v>
      </x:c>
    </x:row>
    <x:row r="107">
      <x:c r="A107" t="str">
        <x:v>フリーザー-1</x:v>
      </x:c>
      <x:c r="B107" t="str">
        <x:v>フリーザー</x:v>
      </x:c>
      <x:c r="C107" t="str">
        <x:v>共通</x:v>
      </x:c>
      <x:c r="D107" s="60" t="n">
        <x:v>61.0322</x:v>
      </x:c>
      <x:c r="E107" s="60" t="n">
        <x:v>10.5499</x:v>
      </x:c>
      <x:c r="F107" s="60" t="n">
        <x:v>32.0073</x:v>
      </x:c>
      <x:c r="G107" s="60" t="n">
        <x:v>38.4165</x:v>
      </x:c>
      <x:c r="H107" s="60" t="n">
        <x:v>39.7038</x:v>
      </x:c>
      <x:c r="I107" s="60" t="n">
        <x:v>40.6277</x:v>
      </x:c>
      <x:c r="J107" s="60" t="n">
        <x:v>41.5571</x:v>
      </x:c>
      <x:c r="K107" s="60" t="n">
        <x:v>42.3768</x:v>
      </x:c>
      <x:c r="L107" s="60" t="n">
        <x:v>43.0512</x:v>
      </x:c>
      <x:c r="M107" s="60" t="n">
        <x:v>43.7947</x:v>
      </x:c>
      <x:c r="N107" s="60" t="n">
        <x:v>44.4957</x:v>
      </x:c>
      <x:c r="O107" s="60" t="n">
        <x:v>45.1777</x:v>
      </x:c>
      <x:c r="P107" s="60" t="n">
        <x:v>45.7801</x:v>
      </x:c>
      <x:c r="Q107" s="60" t="n">
        <x:v>46.3808</x:v>
      </x:c>
      <x:c r="R107" s="60" t="n">
        <x:v>47.0145</x:v>
      </x:c>
      <x:c r="S107" s="60" t="n">
        <x:v>47.5389</x:v>
      </x:c>
      <x:c r="T107" s="60" t="n">
        <x:v>48.0716</x:v>
      </x:c>
      <x:c r="U107" s="60" t="n">
        <x:v>48.6172</x:v>
      </x:c>
      <x:c r="V107" s="60" t="n">
        <x:v>49.1197</x:v>
      </x:c>
      <x:c r="W107" s="60" t="n">
        <x:v>49.5913</x:v>
      </x:c>
      <x:c r="X107" s="60" t="n">
        <x:v>50.0441</x:v>
      </x:c>
      <x:c r="Y107" s="60" t="n">
        <x:v>50.5528</x:v>
      </x:c>
      <x:c r="Z107" s="60" t="n">
        <x:v>50.9706</x:v>
      </x:c>
      <x:c r="AA107" s="60" t="n">
        <x:v>51.452</x:v>
      </x:c>
      <x:c r="AB107" s="60" t="n">
        <x:v>51.9615</x:v>
      </x:c>
      <x:c r="AC107" s="60" t="n">
        <x:v>52.4201</x:v>
      </x:c>
      <x:c r="AD107" s="60" t="n">
        <x:v>52.8877</x:v>
      </x:c>
      <x:c r="AE107" s="60" t="n">
        <x:v>53.3025</x:v>
      </x:c>
      <x:c r="AF107" s="60" t="n">
        <x:v>53.6901</x:v>
      </x:c>
      <x:c r="AG107" s="60" t="n">
        <x:v>54.1049</x:v>
      </x:c>
      <x:c r="AH107" s="60" t="n">
        <x:v>54.4904</x:v>
      </x:c>
      <x:c r="AI107" s="60" t="n">
        <x:v>54.8842</x:v>
      </x:c>
      <x:c r="AJ107" s="60" t="n">
        <x:v>55.3277</x:v>
      </x:c>
      <x:c r="AK107" s="60" t="n">
        <x:v>55.7049</x:v>
      </x:c>
      <x:c r="AL107" s="60" t="n">
        <x:v>56.076</x:v>
      </x:c>
      <x:c r="AM107" s="60" t="n">
        <x:v>56.4646</x:v>
      </x:c>
      <x:c r="AN107" s="60" t="n">
        <x:v>56.7617</x:v>
      </x:c>
      <x:c r="AO107" s="60" t="n">
        <x:v>57.1118</x:v>
      </x:c>
      <x:c r="AP107" s="60" t="n">
        <x:v>57.411</x:v>
      </x:c>
      <x:c r="AQ107" s="60" t="n">
        <x:v>57.7368</x:v>
      </x:c>
      <x:c r="AR107" s="60" t="n">
        <x:v>58.0603</x:v>
      </x:c>
      <x:c r="AS107" s="60" t="n">
        <x:v>58.4298</x:v>
      </x:c>
      <x:c r="AT107" s="60" t="n">
        <x:v>58.7352</x:v>
      </x:c>
      <x:c r="AU107" s="60" t="n">
        <x:v>59.0658</x:v>
      </x:c>
      <x:c r="AV107" s="60" t="n">
        <x:v>59.4099</x:v>
      </x:c>
      <x:c r="AW107" s="60" t="n">
        <x:v>59.7302</x:v>
      </x:c>
      <x:c r="AX107" s="60" t="n">
        <x:v>60.0358</x:v>
      </x:c>
      <x:c r="AY107" s="60" t="n">
        <x:v>60.3701</x:v>
      </x:c>
      <x:c r="AZ107" s="60" t="n">
        <x:v>60.7145</x:v>
      </x:c>
      <x:c r="BA107" s="60" t="n">
        <x:v>61.037</x:v>
      </x:c>
      <x:c r="BB107" s="60" t="n">
        <x:v>61.343</x:v>
      </x:c>
      <x:c r="BC107" s="60" t="n">
        <x:v>61.6782</x:v>
      </x:c>
      <x:c r="BD107" s="60" t="n">
        <x:v>61.9768</x:v>
      </x:c>
      <x:c r="BE107" s="60" t="n">
        <x:v>62.2642</x:v>
      </x:c>
      <x:c r="BF107" s="60" t="n">
        <x:v>62.5345</x:v>
      </x:c>
      <x:c r="BG107" s="60" t="n">
        <x:v>62.8842</x:v>
      </x:c>
      <x:c r="BH107" s="60" t="n">
        <x:v>63.1797</x:v>
      </x:c>
      <x:c r="BI107" s="60" t="n">
        <x:v>63.4899</x:v>
      </x:c>
      <x:c r="BJ107" s="60" t="n">
        <x:v>63.7942</x:v>
      </x:c>
      <x:c r="BK107" s="60" t="n">
        <x:v>64.0953</x:v>
      </x:c>
      <x:c r="BL107" s="60" t="n">
        <x:v>64.3939</x:v>
      </x:c>
      <x:c r="BM107" s="60" t="n">
        <x:v>64.6911</x:v>
      </x:c>
      <x:c r="BN107" s="60" t="n">
        <x:v>64.996</x:v>
      </x:c>
      <x:c r="BO107" s="60" t="n">
        <x:v>65.2879</x:v>
      </x:c>
      <x:c r="BP107" s="60" t="n">
        <x:v>65.5861</x:v>
      </x:c>
      <x:c r="BQ107" s="60" t="n">
        <x:v>65.892</x:v>
      </x:c>
      <x:c r="BR107" s="60" t="n">
        <x:v>66.1843</x:v>
      </x:c>
      <x:c r="BS107" s="60" t="n">
        <x:v>66.474</x:v>
      </x:c>
      <x:c r="BT107" s="60" t="n">
        <x:v>66.753</x:v>
      </x:c>
      <x:c r="BU107" s="60" t="n">
        <x:v>67.0793</x:v>
      </x:c>
      <x:c r="BV107" s="60" t="n">
        <x:v>67.3726</x:v>
      </x:c>
      <x:c r="BW107" s="60" t="n">
        <x:v>67.6755</x:v>
      </x:c>
      <x:c r="BX107" s="60" t="n">
        <x:v>67.9588</x:v>
      </x:c>
      <x:c r="BY107" s="60" t="n">
        <x:v>68.2547</x:v>
      </x:c>
      <x:c r="BZ107" s="60" t="n">
        <x:v>68.5446</x:v>
      </x:c>
      <x:c r="CA107" s="60" t="n">
        <x:v>68.7849</x:v>
      </x:c>
      <x:c r="CB107" s="60" t="n">
        <x:v>69.0907</x:v>
      </x:c>
      <x:c r="CC107" s="60" t="n">
        <x:v>69.3834</x:v>
      </x:c>
      <x:c r="CD107" s="60" t="n">
        <x:v>69.6937</x:v>
      </x:c>
      <x:c r="CE107" s="60" t="n">
        <x:v>70.0234</x:v>
      </x:c>
      <x:c r="CF107" s="60" t="n">
        <x:v>70.3824</x:v>
      </x:c>
      <x:c r="CG107" s="60" t="n">
        <x:v>70.68</x:v>
      </x:c>
      <x:c r="CH107" s="60" t="n">
        <x:v>71.0029</x:v>
      </x:c>
      <x:c r="CI107" s="60" t="n">
        <x:v>71.3242</x:v>
      </x:c>
      <x:c r="CJ107" s="60" t="n">
        <x:v>71.6571</x:v>
      </x:c>
      <x:c r="CK107" s="60" t="n">
        <x:v>71.9773</x:v>
      </x:c>
      <x:c r="CL107" s="60" t="n">
        <x:v>72.3311</x:v>
      </x:c>
      <x:c r="CM107" s="60" t="n">
        <x:v>72.6536</x:v>
      </x:c>
      <x:c r="CN107" s="60" t="n">
        <x:v>73.0052</x:v>
      </x:c>
      <x:c r="CO107" s="60" t="n">
        <x:v>73.3567</x:v>
      </x:c>
      <x:c r="CP107" s="60" t="n">
        <x:v>73.7139</x:v>
      </x:c>
      <x:c r="CQ107" s="60" t="n">
        <x:v>74.0883</x:v>
      </x:c>
      <x:c r="CR107" s="60" t="n">
        <x:v>74.4505</x:v>
      </x:c>
      <x:c r="CS107" s="60" t="n">
        <x:v>74.8271</x:v>
      </x:c>
      <x:c r="CT107" s="60" t="n">
        <x:v>75.2411</x:v>
      </x:c>
      <x:c r="CU107" s="60" t="n">
        <x:v>75.7354</x:v>
      </x:c>
      <x:c r="CV107" s="60" t="n">
        <x:v>76.2101</x:v>
      </x:c>
      <x:c r="CW107" s="60" t="n">
        <x:v>76.7369</x:v>
      </x:c>
      <x:c r="CX107" s="60" t="n">
        <x:v>77.2688</x:v>
      </x:c>
      <x:c r="CY107" s="60" t="n">
        <x:v>78.0135</x:v>
      </x:c>
      <x:c r="CZ107" s="60" t="n">
        <x:v>78.7729</x:v>
      </x:c>
      <x:c r="DA107" s="60" t="n">
        <x:v>79.7243</x:v>
      </x:c>
      <x:c r="DB107" s="60" t="n">
        <x:v>82.0272</x:v>
      </x:c>
    </x:row>
    <x:row r="108">
      <x:c r="A108" t="str">
        <x:v>ブラッキー-1</x:v>
      </x:c>
      <x:c r="B108" t="str">
        <x:v>ブラッキー</x:v>
      </x:c>
      <x:c r="C108" t="str">
        <x:v>ねがいごと</x:v>
      </x:c>
      <x:c r="D108" s="60" t="n">
        <x:v>61.2321</x:v>
      </x:c>
      <x:c r="E108" s="60" t="n">
        <x:v>11.6615</x:v>
      </x:c>
      <x:c r="F108" s="60" t="n">
        <x:v>30.3212</x:v>
      </x:c>
      <x:c r="G108" s="60" t="n">
        <x:v>36.4745</x:v>
      </x:c>
      <x:c r="H108" s="60" t="n">
        <x:v>37.6906</x:v>
      </x:c>
      <x:c r="I108" s="60" t="n">
        <x:v>38.7459</x:v>
      </x:c>
      <x:c r="J108" s="60" t="n">
        <x:v>39.6882</x:v>
      </x:c>
      <x:c r="K108" s="60" t="n">
        <x:v>40.632</x:v>
      </x:c>
      <x:c r="L108" s="60" t="n">
        <x:v>41.4012</x:v>
      </x:c>
      <x:c r="M108" s="60" t="n">
        <x:v>42.216</x:v>
      </x:c>
      <x:c r="N108" s="60" t="n">
        <x:v>42.9991</x:v>
      </x:c>
      <x:c r="O108" s="60" t="n">
        <x:v>43.7428</x:v>
      </x:c>
      <x:c r="P108" s="60" t="n">
        <x:v>44.4046</x:v>
      </x:c>
      <x:c r="Q108" s="60" t="n">
        <x:v>45.0705</x:v>
      </x:c>
      <x:c r="R108" s="60" t="n">
        <x:v>45.7297</x:v>
      </x:c>
      <x:c r="S108" s="60" t="n">
        <x:v>46.3252</x:v>
      </x:c>
      <x:c r="T108" s="60" t="n">
        <x:v>46.9384</x:v>
      </x:c>
      <x:c r="U108" s="60" t="n">
        <x:v>47.5278</x:v>
      </x:c>
      <x:c r="V108" s="60" t="n">
        <x:v>48.0918</x:v>
      </x:c>
      <x:c r="W108" s="60" t="n">
        <x:v>48.5901</x:v>
      </x:c>
      <x:c r="X108" s="60" t="n">
        <x:v>49.0736</x:v>
      </x:c>
      <x:c r="Y108" s="60" t="n">
        <x:v>49.6232</x:v>
      </x:c>
      <x:c r="Z108" s="60" t="n">
        <x:v>50.1844</x:v>
      </x:c>
      <x:c r="AA108" s="60" t="n">
        <x:v>50.6767</x:v>
      </x:c>
      <x:c r="AB108" s="60" t="n">
        <x:v>51.1826</x:v>
      </x:c>
      <x:c r="AC108" s="60" t="n">
        <x:v>51.7301</x:v>
      </x:c>
      <x:c r="AD108" s="60" t="n">
        <x:v>52.2128</x:v>
      </x:c>
      <x:c r="AE108" s="60" t="n">
        <x:v>52.6676</x:v>
      </x:c>
      <x:c r="AF108" s="60" t="n">
        <x:v>53.094</x:v>
      </x:c>
      <x:c r="AG108" s="60" t="n">
        <x:v>53.523</x:v>
      </x:c>
      <x:c r="AH108" s="60" t="n">
        <x:v>53.9997</x:v>
      </x:c>
      <x:c r="AI108" s="60" t="n">
        <x:v>54.4364</x:v>
      </x:c>
      <x:c r="AJ108" s="60" t="n">
        <x:v>54.8508</x:v>
      </x:c>
      <x:c r="AK108" s="60" t="n">
        <x:v>55.2888</x:v>
      </x:c>
      <x:c r="AL108" s="60" t="n">
        <x:v>55.6762</x:v>
      </x:c>
      <x:c r="AM108" s="60" t="n">
        <x:v>56.0289</x:v>
      </x:c>
      <x:c r="AN108" s="60" t="n">
        <x:v>56.3873</x:v>
      </x:c>
      <x:c r="AO108" s="60" t="n">
        <x:v>56.7633</x:v>
      </x:c>
      <x:c r="AP108" s="60" t="n">
        <x:v>57.1448</x:v>
      </x:c>
      <x:c r="AQ108" s="60" t="n">
        <x:v>57.5555</x:v>
      </x:c>
      <x:c r="AR108" s="60" t="n">
        <x:v>57.9397</x:v>
      </x:c>
      <x:c r="AS108" s="60" t="n">
        <x:v>58.3131</x:v>
      </x:c>
      <x:c r="AT108" s="60" t="n">
        <x:v>58.6658</x:v>
      </x:c>
      <x:c r="AU108" s="60" t="n">
        <x:v>59.0105</x:v>
      </x:c>
      <x:c r="AV108" s="60" t="n">
        <x:v>59.4003</x:v>
      </x:c>
      <x:c r="AW108" s="60" t="n">
        <x:v>59.7571</x:v>
      </x:c>
      <x:c r="AX108" s="60" t="n">
        <x:v>60.087</x:v>
      </x:c>
      <x:c r="AY108" s="60" t="n">
        <x:v>60.4621</x:v>
      </x:c>
      <x:c r="AZ108" s="60" t="n">
        <x:v>60.8258</x:v>
      </x:c>
      <x:c r="BA108" s="60" t="n">
        <x:v>61.2048</x:v>
      </x:c>
      <x:c r="BB108" s="60" t="n">
        <x:v>61.5465</x:v>
      </x:c>
      <x:c r="BC108" s="60" t="n">
        <x:v>61.8873</x:v>
      </x:c>
      <x:c r="BD108" s="60" t="n">
        <x:v>62.1938</x:v>
      </x:c>
      <x:c r="BE108" s="60" t="n">
        <x:v>62.5328</x:v>
      </x:c>
      <x:c r="BF108" s="60" t="n">
        <x:v>62.8489</x:v>
      </x:c>
      <x:c r="BG108" s="60" t="n">
        <x:v>63.196</x:v>
      </x:c>
      <x:c r="BH108" s="60" t="n">
        <x:v>63.5391</x:v>
      </x:c>
      <x:c r="BI108" s="60" t="n">
        <x:v>63.8881</x:v>
      </x:c>
      <x:c r="BJ108" s="60" t="n">
        <x:v>64.2196</x:v>
      </x:c>
      <x:c r="BK108" s="60" t="n">
        <x:v>64.6055</x:v>
      </x:c>
      <x:c r="BL108" s="60" t="n">
        <x:v>64.9977</x:v>
      </x:c>
      <x:c r="BM108" s="60" t="n">
        <x:v>65.298</x:v>
      </x:c>
      <x:c r="BN108" s="60" t="n">
        <x:v>65.6323</x:v>
      </x:c>
      <x:c r="BO108" s="60" t="n">
        <x:v>65.9109</x:v>
      </x:c>
      <x:c r="BP108" s="60" t="n">
        <x:v>66.2667</x:v>
      </x:c>
      <x:c r="BQ108" s="60" t="n">
        <x:v>66.5959</x:v>
      </x:c>
      <x:c r="BR108" s="60" t="n">
        <x:v>66.9195</x:v>
      </x:c>
      <x:c r="BS108" s="60" t="n">
        <x:v>67.227</x:v>
      </x:c>
      <x:c r="BT108" s="60" t="n">
        <x:v>67.5376</x:v>
      </x:c>
      <x:c r="BU108" s="60" t="n">
        <x:v>67.8577</x:v>
      </x:c>
      <x:c r="BV108" s="60" t="n">
        <x:v>68.2086</x:v>
      </x:c>
      <x:c r="BW108" s="60" t="n">
        <x:v>68.5262</x:v>
      </x:c>
      <x:c r="BX108" s="60" t="n">
        <x:v>68.8393</x:v>
      </x:c>
      <x:c r="BY108" s="60" t="n">
        <x:v>69.1821</x:v>
      </x:c>
      <x:c r="BZ108" s="60" t="n">
        <x:v>69.5277</x:v>
      </x:c>
      <x:c r="CA108" s="60" t="n">
        <x:v>69.8525</x:v>
      </x:c>
      <x:c r="CB108" s="60" t="n">
        <x:v>70.1582</x:v>
      </x:c>
      <x:c r="CC108" s="60" t="n">
        <x:v>70.4898</x:v>
      </x:c>
      <x:c r="CD108" s="60" t="n">
        <x:v>70.8485</x:v>
      </x:c>
      <x:c r="CE108" s="60" t="n">
        <x:v>71.2121</x:v>
      </x:c>
      <x:c r="CF108" s="60" t="n">
        <x:v>71.5261</x:v>
      </x:c>
      <x:c r="CG108" s="60" t="n">
        <x:v>71.8597</x:v>
      </x:c>
      <x:c r="CH108" s="60" t="n">
        <x:v>72.2237</x:v>
      </x:c>
      <x:c r="CI108" s="60" t="n">
        <x:v>72.5804</x:v>
      </x:c>
      <x:c r="CJ108" s="60" t="n">
        <x:v>72.9302</x:v>
      </x:c>
      <x:c r="CK108" s="60" t="n">
        <x:v>73.2855</x:v>
      </x:c>
      <x:c r="CL108" s="60" t="n">
        <x:v>73.6181</x:v>
      </x:c>
      <x:c r="CM108" s="60" t="n">
        <x:v>74.0257</x:v>
      </x:c>
      <x:c r="CN108" s="60" t="n">
        <x:v>74.4196</x:v>
      </x:c>
      <x:c r="CO108" s="60" t="n">
        <x:v>74.8237</x:v>
      </x:c>
      <x:c r="CP108" s="60" t="n">
        <x:v>75.2327</x:v>
      </x:c>
      <x:c r="CQ108" s="60" t="n">
        <x:v>75.666</x:v>
      </x:c>
      <x:c r="CR108" s="60" t="n">
        <x:v>76.1381</x:v>
      </x:c>
      <x:c r="CS108" s="60" t="n">
        <x:v>76.6105</x:v>
      </x:c>
      <x:c r="CT108" s="60" t="n">
        <x:v>77.0718</x:v>
      </x:c>
      <x:c r="CU108" s="60" t="n">
        <x:v>77.5521</x:v>
      </x:c>
      <x:c r="CV108" s="60" t="n">
        <x:v>78.1509</x:v>
      </x:c>
      <x:c r="CW108" s="60" t="n">
        <x:v>78.7828</x:v>
      </x:c>
      <x:c r="CX108" s="60" t="n">
        <x:v>79.4007</x:v>
      </x:c>
      <x:c r="CY108" s="60" t="n">
        <x:v>79.9528</x:v>
      </x:c>
      <x:c r="CZ108" s="60" t="n">
        <x:v>80.8801</x:v>
      </x:c>
      <x:c r="DA108" s="60" t="n">
        <x:v>82.0114</x:v>
      </x:c>
      <x:c r="DB108" s="60" t="n">
        <x:v>85.8184</x:v>
      </x:c>
    </x:row>
    <x:row r="109">
      <x:c r="A109" t="str">
        <x:v>ブラッキー-2</x:v>
      </x:c>
      <x:c r="B109" t="str">
        <x:v>ブラッキー</x:v>
      </x:c>
      <x:c r="C109" t="str">
        <x:v>イカサマ</x:v>
      </x:c>
      <x:c r="D109" s="60" t="n">
        <x:v>60.7925</x:v>
      </x:c>
      <x:c r="E109" s="60" t="n">
        <x:v>8.413</x:v>
      </x:c>
      <x:c r="F109" s="60" t="n">
        <x:v>35.6516</x:v>
      </x:c>
      <x:c r="G109" s="60" t="n">
        <x:v>42.0788</x:v>
      </x:c>
      <x:c r="H109" s="60" t="n">
        <x:v>43.5727</x:v>
      </x:c>
      <x:c r="I109" s="60" t="n">
        <x:v>44.5633</x:v>
      </x:c>
      <x:c r="J109" s="60" t="n">
        <x:v>45.3036</x:v>
      </x:c>
      <x:c r="K109" s="60" t="n">
        <x:v>46.0224</x:v>
      </x:c>
      <x:c r="L109" s="60" t="n">
        <x:v>46.7658</x:v>
      </x:c>
      <x:c r="M109" s="60" t="n">
        <x:v>47.3635</x:v>
      </x:c>
      <x:c r="N109" s="60" t="n">
        <x:v>47.9223</x:v>
      </x:c>
      <x:c r="O109" s="60" t="n">
        <x:v>48.5269</x:v>
      </x:c>
      <x:c r="P109" s="60" t="n">
        <x:v>48.9984</x:v>
      </x:c>
      <x:c r="Q109" s="60" t="n">
        <x:v>49.5048</x:v>
      </x:c>
      <x:c r="R109" s="60" t="n">
        <x:v>49.9268</x:v>
      </x:c>
      <x:c r="S109" s="60" t="n">
        <x:v>50.3678</x:v>
      </x:c>
      <x:c r="T109" s="60" t="n">
        <x:v>50.7625</x:v>
      </x:c>
      <x:c r="U109" s="60" t="n">
        <x:v>51.1653</x:v>
      </x:c>
      <x:c r="V109" s="60" t="n">
        <x:v>51.5562</x:v>
      </x:c>
      <x:c r="W109" s="60" t="n">
        <x:v>51.9718</x:v>
      </x:c>
      <x:c r="X109" s="60" t="n">
        <x:v>52.3096</x:v>
      </x:c>
      <x:c r="Y109" s="60" t="n">
        <x:v>52.7119</x:v>
      </x:c>
      <x:c r="Z109" s="60" t="n">
        <x:v>53.0658</x:v>
      </x:c>
      <x:c r="AA109" s="60" t="n">
        <x:v>53.4291</x:v>
      </x:c>
      <x:c r="AB109" s="60" t="n">
        <x:v>53.7707</x:v>
      </x:c>
      <x:c r="AC109" s="60" t="n">
        <x:v>54.0677</x:v>
      </x:c>
      <x:c r="AD109" s="60" t="n">
        <x:v>54.4029</x:v>
      </x:c>
      <x:c r="AE109" s="60" t="n">
        <x:v>54.6922</x:v>
      </x:c>
      <x:c r="AF109" s="60" t="n">
        <x:v>55.0695</x:v>
      </x:c>
      <x:c r="AG109" s="60" t="n">
        <x:v>55.3555</x:v>
      </x:c>
      <x:c r="AH109" s="60" t="n">
        <x:v>55.6667</x:v>
      </x:c>
      <x:c r="AI109" s="60" t="n">
        <x:v>55.9501</x:v>
      </x:c>
      <x:c r="AJ109" s="60" t="n">
        <x:v>56.224</x:v>
      </x:c>
      <x:c r="AK109" s="60" t="n">
        <x:v>56.5149</x:v>
      </x:c>
      <x:c r="AL109" s="60" t="n">
        <x:v>56.7846</x:v>
      </x:c>
      <x:c r="AM109" s="60" t="n">
        <x:v>57.0544</x:v>
      </x:c>
      <x:c r="AN109" s="60" t="n">
        <x:v>57.3181</x:v>
      </x:c>
      <x:c r="AO109" s="60" t="n">
        <x:v>57.5829</x:v>
      </x:c>
      <x:c r="AP109" s="60" t="n">
        <x:v>57.8769</x:v>
      </x:c>
      <x:c r="AQ109" s="60" t="n">
        <x:v>58.1475</x:v>
      </x:c>
      <x:c r="AR109" s="60" t="n">
        <x:v>58.3459</x:v>
      </x:c>
      <x:c r="AS109" s="60" t="n">
        <x:v>58.6042</x:v>
      </x:c>
      <x:c r="AT109" s="60" t="n">
        <x:v>58.8628</x:v>
      </x:c>
      <x:c r="AU109" s="60" t="n">
        <x:v>59.1157</x:v>
      </x:c>
      <x:c r="AV109" s="60" t="n">
        <x:v>59.381</x:v>
      </x:c>
      <x:c r="AW109" s="60" t="n">
        <x:v>59.6221</x:v>
      </x:c>
      <x:c r="AX109" s="60" t="n">
        <x:v>59.8829</x:v>
      </x:c>
      <x:c r="AY109" s="60" t="n">
        <x:v>60.1192</x:v>
      </x:c>
      <x:c r="AZ109" s="60" t="n">
        <x:v>60.3475</x:v>
      </x:c>
      <x:c r="BA109" s="60" t="n">
        <x:v>60.5943</x:v>
      </x:c>
      <x:c r="BB109" s="60" t="n">
        <x:v>60.8686</x:v>
      </x:c>
      <x:c r="BC109" s="60" t="n">
        <x:v>61.1012</x:v>
      </x:c>
      <x:c r="BD109" s="60" t="n">
        <x:v>61.3346</x:v>
      </x:c>
      <x:c r="BE109" s="60" t="n">
        <x:v>61.5758</x:v>
      </x:c>
      <x:c r="BF109" s="60" t="n">
        <x:v>61.8027</x:v>
      </x:c>
      <x:c r="BG109" s="60" t="n">
        <x:v>62.0307</x:v>
      </x:c>
      <x:c r="BH109" s="60" t="n">
        <x:v>62.2555</x:v>
      </x:c>
      <x:c r="BI109" s="60" t="n">
        <x:v>62.5141</x:v>
      </x:c>
      <x:c r="BJ109" s="60" t="n">
        <x:v>62.7636</x:v>
      </x:c>
      <x:c r="BK109" s="60" t="n">
        <x:v>63.0072</x:v>
      </x:c>
      <x:c r="BL109" s="60" t="n">
        <x:v>63.2757</x:v>
      </x:c>
      <x:c r="BM109" s="60" t="n">
        <x:v>63.4978</x:v>
      </x:c>
      <x:c r="BN109" s="60" t="n">
        <x:v>63.7308</x:v>
      </x:c>
      <x:c r="BO109" s="60" t="n">
        <x:v>63.9571</x:v>
      </x:c>
      <x:c r="BP109" s="60" t="n">
        <x:v>64.2177</x:v>
      </x:c>
      <x:c r="BQ109" s="60" t="n">
        <x:v>64.4674</x:v>
      </x:c>
      <x:c r="BR109" s="60" t="n">
        <x:v>64.7062</x:v>
      </x:c>
      <x:c r="BS109" s="60" t="n">
        <x:v>64.955</x:v>
      </x:c>
      <x:c r="BT109" s="60" t="n">
        <x:v>65.196</x:v>
      </x:c>
      <x:c r="BU109" s="60" t="n">
        <x:v>65.4297</x:v>
      </x:c>
      <x:c r="BV109" s="60" t="n">
        <x:v>65.6699</x:v>
      </x:c>
      <x:c r="BW109" s="60" t="n">
        <x:v>65.9095</x:v>
      </x:c>
      <x:c r="BX109" s="60" t="n">
        <x:v>66.1403</x:v>
      </x:c>
      <x:c r="BY109" s="60" t="n">
        <x:v>66.3714</x:v>
      </x:c>
      <x:c r="BZ109" s="60" t="n">
        <x:v>66.5925</x:v>
      </x:c>
      <x:c r="CA109" s="60" t="n">
        <x:v>66.8518</x:v>
      </x:c>
      <x:c r="CB109" s="60" t="n">
        <x:v>67.0899</x:v>
      </x:c>
      <x:c r="CC109" s="60" t="n">
        <x:v>67.3309</x:v>
      </x:c>
      <x:c r="CD109" s="60" t="n">
        <x:v>67.5884</x:v>
      </x:c>
      <x:c r="CE109" s="60" t="n">
        <x:v>67.8239</x:v>
      </x:c>
      <x:c r="CF109" s="60" t="n">
        <x:v>68.0798</x:v>
      </x:c>
      <x:c r="CG109" s="60" t="n">
        <x:v>68.344</x:v>
      </x:c>
      <x:c r="CH109" s="60" t="n">
        <x:v>68.5952</x:v>
      </x:c>
      <x:c r="CI109" s="60" t="n">
        <x:v>68.8812</x:v>
      </x:c>
      <x:c r="CJ109" s="60" t="n">
        <x:v>69.1416</x:v>
      </x:c>
      <x:c r="CK109" s="60" t="n">
        <x:v>69.426</x:v>
      </x:c>
      <x:c r="CL109" s="60" t="n">
        <x:v>69.7083</x:v>
      </x:c>
      <x:c r="CM109" s="60" t="n">
        <x:v>70.0082</x:v>
      </x:c>
      <x:c r="CN109" s="60" t="n">
        <x:v>70.2887</x:v>
      </x:c>
      <x:c r="CO109" s="60" t="n">
        <x:v>70.6052</x:v>
      </x:c>
      <x:c r="CP109" s="60" t="n">
        <x:v>70.9139</x:v>
      </x:c>
      <x:c r="CQ109" s="60" t="n">
        <x:v>71.242</x:v>
      </x:c>
      <x:c r="CR109" s="60" t="n">
        <x:v>71.5923</x:v>
      </x:c>
      <x:c r="CS109" s="60" t="n">
        <x:v>71.964</x:v>
      </x:c>
      <x:c r="CT109" s="60" t="n">
        <x:v>72.3163</x:v>
      </x:c>
      <x:c r="CU109" s="60" t="n">
        <x:v>72.7271</x:v>
      </x:c>
      <x:c r="CV109" s="60" t="n">
        <x:v>73.1372</x:v>
      </x:c>
      <x:c r="CW109" s="60" t="n">
        <x:v>73.5829</x:v>
      </x:c>
      <x:c r="CX109" s="60" t="n">
        <x:v>74.1167</x:v>
      </x:c>
      <x:c r="CY109" s="60" t="n">
        <x:v>74.7103</x:v>
      </x:c>
      <x:c r="CZ109" s="60" t="n">
        <x:v>75.4026</x:v>
      </x:c>
      <x:c r="DA109" s="60" t="n">
        <x:v>76.4945</x:v>
      </x:c>
      <x:c r="DB109" s="60" t="n">
        <x:v>79.8314</x:v>
      </x:c>
    </x:row>
    <x:row r="110">
      <x:c r="A110" t="str">
        <x:v>ホウオウ-1</x:v>
      </x:c>
      <x:c r="B110" t="str">
        <x:v>ホウオウ</x:v>
      </x:c>
      <x:c r="C110" t="str">
        <x:v>かえんほうしゃ</x:v>
      </x:c>
      <x:c r="D110" s="60" t="n">
        <x:v>62.3627</x:v>
      </x:c>
      <x:c r="E110" s="60" t="n">
        <x:v>10.0268</x:v>
      </x:c>
      <x:c r="F110" s="60" t="n">
        <x:v>33.9753</x:v>
      </x:c>
      <x:c r="G110" s="60" t="n">
        <x:v>39.5655</x:v>
      </x:c>
      <x:c r="H110" s="60" t="n">
        <x:v>40.8788</x:v>
      </x:c>
      <x:c r="I110" s="60" t="n">
        <x:v>41.8342</x:v>
      </x:c>
      <x:c r="J110" s="60" t="n">
        <x:v>42.8344</x:v>
      </x:c>
      <x:c r="K110" s="60" t="n">
        <x:v>43.7067</x:v>
      </x:c>
      <x:c r="L110" s="60" t="n">
        <x:v>44.4994</x:v>
      </x:c>
      <x:c r="M110" s="60" t="n">
        <x:v>45.3308</x:v>
      </x:c>
      <x:c r="N110" s="60" t="n">
        <x:v>46.1212</x:v>
      </x:c>
      <x:c r="O110" s="60" t="n">
        <x:v>46.7824</x:v>
      </x:c>
      <x:c r="P110" s="60" t="n">
        <x:v>47.503</x:v>
      </x:c>
      <x:c r="Q110" s="60" t="n">
        <x:v>48.145</x:v>
      </x:c>
      <x:c r="R110" s="60" t="n">
        <x:v>48.646</x:v>
      </x:c>
      <x:c r="S110" s="60" t="n">
        <x:v>49.2097</x:v>
      </x:c>
      <x:c r="T110" s="60" t="n">
        <x:v>49.7978</x:v>
      </x:c>
      <x:c r="U110" s="60" t="n">
        <x:v>50.3823</x:v>
      </x:c>
      <x:c r="V110" s="60" t="n">
        <x:v>50.9665</x:v>
      </x:c>
      <x:c r="W110" s="60" t="n">
        <x:v>51.4642</x:v>
      </x:c>
      <x:c r="X110" s="60" t="n">
        <x:v>52.0011</x:v>
      </x:c>
      <x:c r="Y110" s="60" t="n">
        <x:v>52.5693</x:v>
      </x:c>
      <x:c r="Z110" s="60" t="n">
        <x:v>53.0561</x:v>
      </x:c>
      <x:c r="AA110" s="60" t="n">
        <x:v>53.5463</x:v>
      </x:c>
      <x:c r="AB110" s="60" t="n">
        <x:v>54.0024</x:v>
      </x:c>
      <x:c r="AC110" s="60" t="n">
        <x:v>54.4686</x:v>
      </x:c>
      <x:c r="AD110" s="60" t="n">
        <x:v>54.9266</x:v>
      </x:c>
      <x:c r="AE110" s="60" t="n">
        <x:v>55.3568</x:v>
      </x:c>
      <x:c r="AF110" s="60" t="n">
        <x:v>55.7672</x:v>
      </x:c>
      <x:c r="AG110" s="60" t="n">
        <x:v>56.1998</x:v>
      </x:c>
      <x:c r="AH110" s="60" t="n">
        <x:v>56.5837</x:v>
      </x:c>
      <x:c r="AI110" s="60" t="n">
        <x:v>56.9268</x:v>
      </x:c>
      <x:c r="AJ110" s="60" t="n">
        <x:v>57.3084</x:v>
      </x:c>
      <x:c r="AK110" s="60" t="n">
        <x:v>57.7341</x:v>
      </x:c>
      <x:c r="AL110" s="60" t="n">
        <x:v>58.1173</x:v>
      </x:c>
      <x:c r="AM110" s="60" t="n">
        <x:v>58.4809</x:v>
      </x:c>
      <x:c r="AN110" s="60" t="n">
        <x:v>58.8045</x:v>
      </x:c>
      <x:c r="AO110" s="60" t="n">
        <x:v>59.0997</x:v>
      </x:c>
      <x:c r="AP110" s="60" t="n">
        <x:v>59.4365</x:v>
      </x:c>
      <x:c r="AQ110" s="60" t="n">
        <x:v>59.8109</x:v>
      </x:c>
      <x:c r="AR110" s="60" t="n">
        <x:v>60.1197</x:v>
      </x:c>
      <x:c r="AS110" s="60" t="n">
        <x:v>60.4368</x:v>
      </x:c>
      <x:c r="AT110" s="60" t="n">
        <x:v>60.7427</x:v>
      </x:c>
      <x:c r="AU110" s="60" t="n">
        <x:v>61.0549</x:v>
      </x:c>
      <x:c r="AV110" s="60" t="n">
        <x:v>61.3947</x:v>
      </x:c>
      <x:c r="AW110" s="60" t="n">
        <x:v>61.7101</x:v>
      </x:c>
      <x:c r="AX110" s="60" t="n">
        <x:v>62.0506</x:v>
      </x:c>
      <x:c r="AY110" s="60" t="n">
        <x:v>62.346</x:v>
      </x:c>
      <x:c r="AZ110" s="60" t="n">
        <x:v>62.666</x:v>
      </x:c>
      <x:c r="BA110" s="60" t="n">
        <x:v>62.9667</x:v>
      </x:c>
      <x:c r="BB110" s="60" t="n">
        <x:v>63.2675</x:v>
      </x:c>
      <x:c r="BC110" s="60" t="n">
        <x:v>63.5643</x:v>
      </x:c>
      <x:c r="BD110" s="60" t="n">
        <x:v>63.8467</x:v>
      </x:c>
      <x:c r="BE110" s="60" t="n">
        <x:v>64.1622</x:v>
      </x:c>
      <x:c r="BF110" s="60" t="n">
        <x:v>64.4386</x:v>
      </x:c>
      <x:c r="BG110" s="60" t="n">
        <x:v>64.7132</x:v>
      </x:c>
      <x:c r="BH110" s="60" t="n">
        <x:v>64.9764</x:v>
      </x:c>
      <x:c r="BI110" s="60" t="n">
        <x:v>65.2589</x:v>
      </x:c>
      <x:c r="BJ110" s="60" t="n">
        <x:v>65.4968</x:v>
      </x:c>
      <x:c r="BK110" s="60" t="n">
        <x:v>65.7814</x:v>
      </x:c>
      <x:c r="BL110" s="60" t="n">
        <x:v>66.0546</x:v>
      </x:c>
      <x:c r="BM110" s="60" t="n">
        <x:v>66.3019</x:v>
      </x:c>
      <x:c r="BN110" s="60" t="n">
        <x:v>66.59</x:v>
      </x:c>
      <x:c r="BO110" s="60" t="n">
        <x:v>66.8157</x:v>
      </x:c>
      <x:c r="BP110" s="60" t="n">
        <x:v>67.0412</x:v>
      </x:c>
      <x:c r="BQ110" s="60" t="n">
        <x:v>67.3161</x:v>
      </x:c>
      <x:c r="BR110" s="60" t="n">
        <x:v>67.5794</x:v>
      </x:c>
      <x:c r="BS110" s="60" t="n">
        <x:v>67.7968</x:v>
      </x:c>
      <x:c r="BT110" s="60" t="n">
        <x:v>68.0796</x:v>
      </x:c>
      <x:c r="BU110" s="60" t="n">
        <x:v>68.3593</x:v>
      </x:c>
      <x:c r="BV110" s="60" t="n">
        <x:v>68.5895</x:v>
      </x:c>
      <x:c r="BW110" s="60" t="n">
        <x:v>68.8283</x:v>
      </x:c>
      <x:c r="BX110" s="60" t="n">
        <x:v>69.0871</x:v>
      </x:c>
      <x:c r="BY110" s="60" t="n">
        <x:v>69.3543</x:v>
      </x:c>
      <x:c r="BZ110" s="60" t="n">
        <x:v>69.6168</x:v>
      </x:c>
      <x:c r="CA110" s="60" t="n">
        <x:v>69.8639</x:v>
      </x:c>
      <x:c r="CB110" s="60" t="n">
        <x:v>70.1408</x:v>
      </x:c>
      <x:c r="CC110" s="60" t="n">
        <x:v>70.389</x:v>
      </x:c>
      <x:c r="CD110" s="60" t="n">
        <x:v>70.6622</x:v>
      </x:c>
      <x:c r="CE110" s="60" t="n">
        <x:v>70.9107</x:v>
      </x:c>
      <x:c r="CF110" s="60" t="n">
        <x:v>71.1912</x:v>
      </x:c>
      <x:c r="CG110" s="60" t="n">
        <x:v>71.4454</x:v>
      </x:c>
      <x:c r="CH110" s="60" t="n">
        <x:v>71.713</x:v>
      </x:c>
      <x:c r="CI110" s="60" t="n">
        <x:v>71.9733</x:v>
      </x:c>
      <x:c r="CJ110" s="60" t="n">
        <x:v>72.2328</x:v>
      </x:c>
      <x:c r="CK110" s="60" t="n">
        <x:v>72.5097</x:v>
      </x:c>
      <x:c r="CL110" s="60" t="n">
        <x:v>72.7579</x:v>
      </x:c>
      <x:c r="CM110" s="60" t="n">
        <x:v>73.0406</x:v>
      </x:c>
      <x:c r="CN110" s="60" t="n">
        <x:v>73.3318</x:v>
      </x:c>
      <x:c r="CO110" s="60" t="n">
        <x:v>73.6047</x:v>
      </x:c>
      <x:c r="CP110" s="60" t="n">
        <x:v>73.9066</x:v>
      </x:c>
      <x:c r="CQ110" s="60" t="n">
        <x:v>74.2127</x:v>
      </x:c>
      <x:c r="CR110" s="60" t="n">
        <x:v>74.5402</x:v>
      </x:c>
      <x:c r="CS110" s="60" t="n">
        <x:v>74.8304</x:v>
      </x:c>
      <x:c r="CT110" s="60" t="n">
        <x:v>75.1457</x:v>
      </x:c>
      <x:c r="CU110" s="60" t="n">
        <x:v>75.48</x:v>
      </x:c>
      <x:c r="CV110" s="60" t="n">
        <x:v>75.8554</x:v>
      </x:c>
      <x:c r="CW110" s="60" t="n">
        <x:v>76.2753</x:v>
      </x:c>
      <x:c r="CX110" s="60" t="n">
        <x:v>76.7572</x:v>
      </x:c>
      <x:c r="CY110" s="60" t="n">
        <x:v>77.3314</x:v>
      </x:c>
      <x:c r="CZ110" s="60" t="n">
        <x:v>77.9918</x:v>
      </x:c>
      <x:c r="DA110" s="60" t="n">
        <x:v>79.0642</x:v>
      </x:c>
      <x:c r="DB110" s="60" t="n">
        <x:v>82.9744</x:v>
      </x:c>
    </x:row>
    <x:row r="111">
      <x:c r="A111" t="str">
        <x:v>ホウオウ-2</x:v>
      </x:c>
      <x:c r="B111" t="str">
        <x:v>ホウオウ</x:v>
      </x:c>
      <x:c r="C111" t="str">
        <x:v>ゴッドバード</x:v>
      </x:c>
      <x:c r="D111" s="60" t="n">
        <x:v>62.8308</x:v>
      </x:c>
      <x:c r="E111" s="60" t="n">
        <x:v>7.551</x:v>
      </x:c>
      <x:c r="F111" s="60" t="n">
        <x:v>40.3364</x:v>
      </x:c>
      <x:c r="G111" s="60" t="n">
        <x:v>45.8984</x:v>
      </x:c>
      <x:c r="H111" s="60" t="n">
        <x:v>47.1535</x:v>
      </x:c>
      <x:c r="I111" s="60" t="n">
        <x:v>48.0477</x:v>
      </x:c>
      <x:c r="J111" s="60" t="n">
        <x:v>48.8778</x:v>
      </x:c>
      <x:c r="K111" s="60" t="n">
        <x:v>49.5399</x:v>
      </x:c>
      <x:c r="L111" s="60" t="n">
        <x:v>50.2019</x:v>
      </x:c>
      <x:c r="M111" s="60" t="n">
        <x:v>50.7781</x:v>
      </x:c>
      <x:c r="N111" s="60" t="n">
        <x:v>51.3337</x:v>
      </x:c>
      <x:c r="O111" s="60" t="n">
        <x:v>51.8578</x:v>
      </x:c>
      <x:c r="P111" s="60" t="n">
        <x:v>52.2634</x:v>
      </x:c>
      <x:c r="Q111" s="60" t="n">
        <x:v>52.7141</x:v>
      </x:c>
      <x:c r="R111" s="60" t="n">
        <x:v>53.1335</x:v>
      </x:c>
      <x:c r="S111" s="60" t="n">
        <x:v>53.534</x:v>
      </x:c>
      <x:c r="T111" s="60" t="n">
        <x:v>53.9571</x:v>
      </x:c>
      <x:c r="U111" s="60" t="n">
        <x:v>54.3202</x:v>
      </x:c>
      <x:c r="V111" s="60" t="n">
        <x:v>54.6969</x:v>
      </x:c>
      <x:c r="W111" s="60" t="n">
        <x:v>55.0368</x:v>
      </x:c>
      <x:c r="X111" s="60" t="n">
        <x:v>55.4199</x:v>
      </x:c>
      <x:c r="Y111" s="60" t="n">
        <x:v>55.7571</x:v>
      </x:c>
      <x:c r="Z111" s="60" t="n">
        <x:v>56.0787</x:v>
      </x:c>
      <x:c r="AA111" s="60" t="n">
        <x:v>56.3773</x:v>
      </x:c>
      <x:c r="AB111" s="60" t="n">
        <x:v>56.6606</x:v>
      </x:c>
      <x:c r="AC111" s="60" t="n">
        <x:v>56.9751</x:v>
      </x:c>
      <x:c r="AD111" s="60" t="n">
        <x:v>57.2842</x:v>
      </x:c>
      <x:c r="AE111" s="60" t="n">
        <x:v>57.5726</x:v>
      </x:c>
      <x:c r="AF111" s="60" t="n">
        <x:v>57.8213</x:v>
      </x:c>
      <x:c r="AG111" s="60" t="n">
        <x:v>58.1172</x:v>
      </x:c>
      <x:c r="AH111" s="60" t="n">
        <x:v>58.4056</x:v>
      </x:c>
      <x:c r="AI111" s="60" t="n">
        <x:v>58.6808</x:v>
      </x:c>
      <x:c r="AJ111" s="60" t="n">
        <x:v>58.9296</x:v>
      </x:c>
      <x:c r="AK111" s="60" t="n">
        <x:v>59.1708</x:v>
      </x:c>
      <x:c r="AL111" s="60" t="n">
        <x:v>59.3908</x:v>
      </x:c>
      <x:c r="AM111" s="60" t="n">
        <x:v>59.6331</x:v>
      </x:c>
      <x:c r="AN111" s="60" t="n">
        <x:v>59.8755</x:v>
      </x:c>
      <x:c r="AO111" s="60" t="n">
        <x:v>60.1255</x:v>
      </x:c>
      <x:c r="AP111" s="60" t="n">
        <x:v>60.3383</x:v>
      </x:c>
      <x:c r="AQ111" s="60" t="n">
        <x:v>60.5625</x:v>
      </x:c>
      <x:c r="AR111" s="60" t="n">
        <x:v>60.7812</x:v>
      </x:c>
      <x:c r="AS111" s="60" t="n">
        <x:v>60.9985</x:v>
      </x:c>
      <x:c r="AT111" s="60" t="n">
        <x:v>61.2013</x:v>
      </x:c>
      <x:c r="AU111" s="60" t="n">
        <x:v>61.4286</x:v>
      </x:c>
      <x:c r="AV111" s="60" t="n">
        <x:v>61.645</x:v>
      </x:c>
      <x:c r="AW111" s="60" t="n">
        <x:v>61.8667</x:v>
      </x:c>
      <x:c r="AX111" s="60" t="n">
        <x:v>62.0501</x:v>
      </x:c>
      <x:c r="AY111" s="60" t="n">
        <x:v>62.2409</x:v>
      </x:c>
      <x:c r="AZ111" s="60" t="n">
        <x:v>62.4253</x:v>
      </x:c>
      <x:c r="BA111" s="60" t="n">
        <x:v>62.6576</x:v>
      </x:c>
      <x:c r="BB111" s="60" t="n">
        <x:v>62.8587</x:v>
      </x:c>
      <x:c r="BC111" s="60" t="n">
        <x:v>63.0722</x:v>
      </x:c>
      <x:c r="BD111" s="60" t="n">
        <x:v>63.275</x:v>
      </x:c>
      <x:c r="BE111" s="60" t="n">
        <x:v>63.4728</x:v>
      </x:c>
      <x:c r="BF111" s="60" t="n">
        <x:v>63.6554</x:v>
      </x:c>
      <x:c r="BG111" s="60" t="n">
        <x:v>63.8296</x:v>
      </x:c>
      <x:c r="BH111" s="60" t="n">
        <x:v>64.0587</x:v>
      </x:c>
      <x:c r="BI111" s="60" t="n">
        <x:v>64.2689</x:v>
      </x:c>
      <x:c r="BJ111" s="60" t="n">
        <x:v>64.469</x:v>
      </x:c>
      <x:c r="BK111" s="60" t="n">
        <x:v>64.6721</x:v>
      </x:c>
      <x:c r="BL111" s="60" t="n">
        <x:v>64.8704</x:v>
      </x:c>
      <x:c r="BM111" s="60" t="n">
        <x:v>65.0908</x:v>
      </x:c>
      <x:c r="BN111" s="60" t="n">
        <x:v>65.2921</x:v>
      </x:c>
      <x:c r="BO111" s="60" t="n">
        <x:v>65.4766</x:v>
      </x:c>
      <x:c r="BP111" s="60" t="n">
        <x:v>65.7136</x:v>
      </x:c>
      <x:c r="BQ111" s="60" t="n">
        <x:v>65.9358</x:v>
      </x:c>
      <x:c r="BR111" s="60" t="n">
        <x:v>66.1156</x:v>
      </x:c>
      <x:c r="BS111" s="60" t="n">
        <x:v>66.3186</x:v>
      </x:c>
      <x:c r="BT111" s="60" t="n">
        <x:v>66.5128</x:v>
      </x:c>
      <x:c r="BU111" s="60" t="n">
        <x:v>66.7131</x:v>
      </x:c>
      <x:c r="BV111" s="60" t="n">
        <x:v>66.9134</x:v>
      </x:c>
      <x:c r="BW111" s="60" t="n">
        <x:v>67.131</x:v>
      </x:c>
      <x:c r="BX111" s="60" t="n">
        <x:v>67.3518</x:v>
      </x:c>
      <x:c r="BY111" s="60" t="n">
        <x:v>67.5834</x:v>
      </x:c>
      <x:c r="BZ111" s="60" t="n">
        <x:v>67.8024</x:v>
      </x:c>
      <x:c r="CA111" s="60" t="n">
        <x:v>68.0297</x:v>
      </x:c>
      <x:c r="CB111" s="60" t="n">
        <x:v>68.2594</x:v>
      </x:c>
      <x:c r="CC111" s="60" t="n">
        <x:v>68.4449</x:v>
      </x:c>
      <x:c r="CD111" s="60" t="n">
        <x:v>68.6477</x:v>
      </x:c>
      <x:c r="CE111" s="60" t="n">
        <x:v>68.8843</x:v>
      </x:c>
      <x:c r="CF111" s="60" t="n">
        <x:v>69.0949</x:v>
      </x:c>
      <x:c r="CG111" s="60" t="n">
        <x:v>69.3285</x:v>
      </x:c>
      <x:c r="CH111" s="60" t="n">
        <x:v>69.5784</x:v>
      </x:c>
      <x:c r="CI111" s="60" t="n">
        <x:v>69.8323</x:v>
      </x:c>
      <x:c r="CJ111" s="60" t="n">
        <x:v>70.0767</x:v>
      </x:c>
      <x:c r="CK111" s="60" t="n">
        <x:v>70.3329</x:v>
      </x:c>
      <x:c r="CL111" s="60" t="n">
        <x:v>70.6031</x:v>
      </x:c>
      <x:c r="CM111" s="60" t="n">
        <x:v>70.9105</x:v>
      </x:c>
      <x:c r="CN111" s="60" t="n">
        <x:v>71.2218</x:v>
      </x:c>
      <x:c r="CO111" s="60" t="n">
        <x:v>71.5343</x:v>
      </x:c>
      <x:c r="CP111" s="60" t="n">
        <x:v>71.8271</x:v>
      </x:c>
      <x:c r="CQ111" s="60" t="n">
        <x:v>72.1425</x:v>
      </x:c>
      <x:c r="CR111" s="60" t="n">
        <x:v>72.5179</x:v>
      </x:c>
      <x:c r="CS111" s="60" t="n">
        <x:v>72.8943</x:v>
      </x:c>
      <x:c r="CT111" s="60" t="n">
        <x:v>73.2477</x:v>
      </x:c>
      <x:c r="CU111" s="60" t="n">
        <x:v>73.6677</x:v>
      </x:c>
      <x:c r="CV111" s="60" t="n">
        <x:v>74.1309</x:v>
      </x:c>
      <x:c r="CW111" s="60" t="n">
        <x:v>74.5827</x:v>
      </x:c>
      <x:c r="CX111" s="60" t="n">
        <x:v>75.102</x:v>
      </x:c>
      <x:c r="CY111" s="60" t="n">
        <x:v>75.7597</x:v>
      </x:c>
      <x:c r="CZ111" s="60" t="n">
        <x:v>76.5664</x:v>
      </x:c>
      <x:c r="DA111" s="60" t="n">
        <x:v>77.7786</x:v>
      </x:c>
      <x:c r="DB111" s="60" t="n">
        <x:v>82.8216</x:v>
      </x:c>
    </x:row>
    <x:row r="112">
      <x:c r="A112" t="str">
        <x:v>マンムー-1</x:v>
      </x:c>
      <x:c r="B112" t="str">
        <x:v>マンムー</x:v>
      </x:c>
      <x:c r="C112" t="str">
        <x:v>共通</x:v>
      </x:c>
      <x:c r="D112" s="60" t="n">
        <x:v>60.9953</x:v>
      </x:c>
      <x:c r="E112" s="60" t="n">
        <x:v>9.3585</x:v>
      </x:c>
      <x:c r="F112" s="60" t="n">
        <x:v>36.6738</x:v>
      </x:c>
      <x:c r="G112" s="60" t="n">
        <x:v>40.7404</x:v>
      </x:c>
      <x:c r="H112" s="60" t="n">
        <x:v>42.0491</x:v>
      </x:c>
      <x:c r="I112" s="60" t="n">
        <x:v>43.1227</x:v>
      </x:c>
      <x:c r="J112" s="60" t="n">
        <x:v>43.9462</x:v>
      </x:c>
      <x:c r="K112" s="60" t="n">
        <x:v>44.6984</x:v>
      </x:c>
      <x:c r="L112" s="60" t="n">
        <x:v>45.4136</x:v>
      </x:c>
      <x:c r="M112" s="60" t="n">
        <x:v>46.0593</x:v>
      </x:c>
      <x:c r="N112" s="60" t="n">
        <x:v>46.6243</x:v>
      </x:c>
      <x:c r="O112" s="60" t="n">
        <x:v>47.2061</x:v>
      </x:c>
      <x:c r="P112" s="60" t="n">
        <x:v>47.7738</x:v>
      </x:c>
      <x:c r="Q112" s="60" t="n">
        <x:v>48.3284</x:v>
      </x:c>
      <x:c r="R112" s="60" t="n">
        <x:v>48.8458</x:v>
      </x:c>
      <x:c r="S112" s="60" t="n">
        <x:v>49.2831</x:v>
      </x:c>
      <x:c r="T112" s="60" t="n">
        <x:v>49.7137</x:v>
      </x:c>
      <x:c r="U112" s="60" t="n">
        <x:v>50.1427</x:v>
      </x:c>
      <x:c r="V112" s="60" t="n">
        <x:v>50.5344</x:v>
      </x:c>
      <x:c r="W112" s="60" t="n">
        <x:v>51.0191</x:v>
      </x:c>
      <x:c r="X112" s="60" t="n">
        <x:v>51.4243</x:v>
      </x:c>
      <x:c r="Y112" s="60" t="n">
        <x:v>51.8043</x:v>
      </x:c>
      <x:c r="Z112" s="60" t="n">
        <x:v>52.2071</x:v>
      </x:c>
      <x:c r="AA112" s="60" t="n">
        <x:v>52.5984</x:v>
      </x:c>
      <x:c r="AB112" s="60" t="n">
        <x:v>52.9611</x:v>
      </x:c>
      <x:c r="AC112" s="60" t="n">
        <x:v>53.3501</x:v>
      </x:c>
      <x:c r="AD112" s="60" t="n">
        <x:v>53.7285</x:v>
      </x:c>
      <x:c r="AE112" s="60" t="n">
        <x:v>54.1043</x:v>
      </x:c>
      <x:c r="AF112" s="60" t="n">
        <x:v>54.4532</x:v>
      </x:c>
      <x:c r="AG112" s="60" t="n">
        <x:v>54.765</x:v>
      </x:c>
      <x:c r="AH112" s="60" t="n">
        <x:v>55.092</x:v>
      </x:c>
      <x:c r="AI112" s="60" t="n">
        <x:v>55.4351</x:v>
      </x:c>
      <x:c r="AJ112" s="60" t="n">
        <x:v>55.7802</x:v>
      </x:c>
      <x:c r="AK112" s="60" t="n">
        <x:v>56.0726</x:v>
      </x:c>
      <x:c r="AL112" s="60" t="n">
        <x:v>56.3762</x:v>
      </x:c>
      <x:c r="AM112" s="60" t="n">
        <x:v>56.6854</x:v>
      </x:c>
      <x:c r="AN112" s="60" t="n">
        <x:v>56.9939</x:v>
      </x:c>
      <x:c r="AO112" s="60" t="n">
        <x:v>57.2887</x:v>
      </x:c>
      <x:c r="AP112" s="60" t="n">
        <x:v>57.6052</x:v>
      </x:c>
      <x:c r="AQ112" s="60" t="n">
        <x:v>57.9096</x:v>
      </x:c>
      <x:c r="AR112" s="60" t="n">
        <x:v>58.2059</x:v>
      </x:c>
      <x:c r="AS112" s="60" t="n">
        <x:v>58.5049</x:v>
      </x:c>
      <x:c r="AT112" s="60" t="n">
        <x:v>58.7817</x:v>
      </x:c>
      <x:c r="AU112" s="60" t="n">
        <x:v>59.0436</x:v>
      </x:c>
      <x:c r="AV112" s="60" t="n">
        <x:v>59.3774</x:v>
      </x:c>
      <x:c r="AW112" s="60" t="n">
        <x:v>59.668</x:v>
      </x:c>
      <x:c r="AX112" s="60" t="n">
        <x:v>59.9882</x:v>
      </x:c>
      <x:c r="AY112" s="60" t="n">
        <x:v>60.2528</x:v>
      </x:c>
      <x:c r="AZ112" s="60" t="n">
        <x:v>60.5402</x:v>
      </x:c>
      <x:c r="BA112" s="60" t="n">
        <x:v>60.8414</x:v>
      </x:c>
      <x:c r="BB112" s="60" t="n">
        <x:v>61.1067</x:v>
      </x:c>
      <x:c r="BC112" s="60" t="n">
        <x:v>61.387</x:v>
      </x:c>
      <x:c r="BD112" s="60" t="n">
        <x:v>61.6567</x:v>
      </x:c>
      <x:c r="BE112" s="60" t="n">
        <x:v>61.9343</x:v>
      </x:c>
      <x:c r="BF112" s="60" t="n">
        <x:v>62.2091</x:v>
      </x:c>
      <x:c r="BG112" s="60" t="n">
        <x:v>62.4723</x:v>
      </x:c>
      <x:c r="BH112" s="60" t="n">
        <x:v>62.7546</x:v>
      </x:c>
      <x:c r="BI112" s="60" t="n">
        <x:v>63.0212</x:v>
      </x:c>
      <x:c r="BJ112" s="60" t="n">
        <x:v>63.322</x:v>
      </x:c>
      <x:c r="BK112" s="60" t="n">
        <x:v>63.5677</x:v>
      </x:c>
      <x:c r="BL112" s="60" t="n">
        <x:v>63.829</x:v>
      </x:c>
      <x:c r="BM112" s="60" t="n">
        <x:v>64.1282</x:v>
      </x:c>
      <x:c r="BN112" s="60" t="n">
        <x:v>64.396</x:v>
      </x:c>
      <x:c r="BO112" s="60" t="n">
        <x:v>64.6612</x:v>
      </x:c>
      <x:c r="BP112" s="60" t="n">
        <x:v>64.9118</x:v>
      </x:c>
      <x:c r="BQ112" s="60" t="n">
        <x:v>65.1735</x:v>
      </x:c>
      <x:c r="BR112" s="60" t="n">
        <x:v>65.441</x:v>
      </x:c>
      <x:c r="BS112" s="60" t="n">
        <x:v>65.687</x:v>
      </x:c>
      <x:c r="BT112" s="60" t="n">
        <x:v>65.9265</x:v>
      </x:c>
      <x:c r="BU112" s="60" t="n">
        <x:v>66.2331</x:v>
      </x:c>
      <x:c r="BV112" s="60" t="n">
        <x:v>66.4659</x:v>
      </x:c>
      <x:c r="BW112" s="60" t="n">
        <x:v>66.7261</x:v>
      </x:c>
      <x:c r="BX112" s="60" t="n">
        <x:v>67.0012</x:v>
      </x:c>
      <x:c r="BY112" s="60" t="n">
        <x:v>67.302</x:v>
      </x:c>
      <x:c r="BZ112" s="60" t="n">
        <x:v>67.5606</x:v>
      </x:c>
      <x:c r="CA112" s="60" t="n">
        <x:v>67.8378</x:v>
      </x:c>
      <x:c r="CB112" s="60" t="n">
        <x:v>68.0931</x:v>
      </x:c>
      <x:c r="CC112" s="60" t="n">
        <x:v>68.3754</x:v>
      </x:c>
      <x:c r="CD112" s="60" t="n">
        <x:v>68.6678</x:v>
      </x:c>
      <x:c r="CE112" s="60" t="n">
        <x:v>68.9393</x:v>
      </x:c>
      <x:c r="CF112" s="60" t="n">
        <x:v>69.2278</x:v>
      </x:c>
      <x:c r="CG112" s="60" t="n">
        <x:v>69.4965</x:v>
      </x:c>
      <x:c r="CH112" s="60" t="n">
        <x:v>69.7792</x:v>
      </x:c>
      <x:c r="CI112" s="60" t="n">
        <x:v>70.0511</x:v>
      </x:c>
      <x:c r="CJ112" s="60" t="n">
        <x:v>70.3317</x:v>
      </x:c>
      <x:c r="CK112" s="60" t="n">
        <x:v>70.6309</x:v>
      </x:c>
      <x:c r="CL112" s="60" t="n">
        <x:v>70.9318</x:v>
      </x:c>
      <x:c r="CM112" s="60" t="n">
        <x:v>71.2344</x:v>
      </x:c>
      <x:c r="CN112" s="60" t="n">
        <x:v>71.605</x:v>
      </x:c>
      <x:c r="CO112" s="60" t="n">
        <x:v>71.9717</x:v>
      </x:c>
      <x:c r="CP112" s="60" t="n">
        <x:v>72.3235</x:v>
      </x:c>
      <x:c r="CQ112" s="60" t="n">
        <x:v>72.697</x:v>
      </x:c>
      <x:c r="CR112" s="60" t="n">
        <x:v>73.0881</x:v>
      </x:c>
      <x:c r="CS112" s="60" t="n">
        <x:v>73.5027</x:v>
      </x:c>
      <x:c r="CT112" s="60" t="n">
        <x:v>73.9259</x:v>
      </x:c>
      <x:c r="CU112" s="60" t="n">
        <x:v>74.3288</x:v>
      </x:c>
      <x:c r="CV112" s="60" t="n">
        <x:v>74.7256</x:v>
      </x:c>
      <x:c r="CW112" s="60" t="n">
        <x:v>75.2252</x:v>
      </x:c>
      <x:c r="CX112" s="60" t="n">
        <x:v>75.76</x:v>
      </x:c>
      <x:c r="CY112" s="60" t="n">
        <x:v>76.3569</x:v>
      </x:c>
      <x:c r="CZ112" s="60" t="n">
        <x:v>77.1643</x:v>
      </x:c>
      <x:c r="DA112" s="60" t="n">
        <x:v>78.1166</x:v>
      </x:c>
      <x:c r="DB112" s="60" t="n">
        <x:v>81.3226</x:v>
      </x:c>
    </x:row>
    <x:row r="113">
      <x:c r="A113" t="str">
        <x:v>ヤドラン-1</x:v>
      </x:c>
      <x:c r="B113" t="str">
        <x:v>ヤドラン</x:v>
      </x:c>
      <x:c r="C113" t="str">
        <x:v>ドわすれ</x:v>
      </x:c>
      <x:c r="D113" s="60" t="n">
        <x:v>62.1963</x:v>
      </x:c>
      <x:c r="E113" s="60" t="n">
        <x:v>8.5179</x:v>
      </x:c>
      <x:c r="F113" s="60" t="n">
        <x:v>38.0823</x:v>
      </x:c>
      <x:c r="G113" s="60" t="n">
        <x:v>42.9592</x:v>
      </x:c>
      <x:c r="H113" s="60" t="n">
        <x:v>44.3723</x:v>
      </x:c>
      <x:c r="I113" s="60" t="n">
        <x:v>45.314</x:v>
      </x:c>
      <x:c r="J113" s="60" t="n">
        <x:v>46.1382</x:v>
      </x:c>
      <x:c r="K113" s="60" t="n">
        <x:v>46.8142</x:v>
      </x:c>
      <x:c r="L113" s="60" t="n">
        <x:v>47.505</x:v>
      </x:c>
      <x:c r="M113" s="60" t="n">
        <x:v>48.1433</x:v>
      </x:c>
      <x:c r="N113" s="60" t="n">
        <x:v>48.7481</x:v>
      </x:c>
      <x:c r="O113" s="60" t="n">
        <x:v>49.3557</x:v>
      </x:c>
      <x:c r="P113" s="60" t="n">
        <x:v>49.917</x:v>
      </x:c>
      <x:c r="Q113" s="60" t="n">
        <x:v>50.4106</x:v>
      </x:c>
      <x:c r="R113" s="60" t="n">
        <x:v>50.9415</x:v>
      </x:c>
      <x:c r="S113" s="60" t="n">
        <x:v>51.4393</x:v>
      </x:c>
      <x:c r="T113" s="60" t="n">
        <x:v>51.8779</x:v>
      </x:c>
      <x:c r="U113" s="60" t="n">
        <x:v>52.3371</x:v>
      </x:c>
      <x:c r="V113" s="60" t="n">
        <x:v>52.736</x:v>
      </x:c>
      <x:c r="W113" s="60" t="n">
        <x:v>53.2019</x:v>
      </x:c>
      <x:c r="X113" s="60" t="n">
        <x:v>53.5867</x:v>
      </x:c>
      <x:c r="Y113" s="60" t="n">
        <x:v>53.9637</x:v>
      </x:c>
      <x:c r="Z113" s="60" t="n">
        <x:v>54.355</x:v>
      </x:c>
      <x:c r="AA113" s="60" t="n">
        <x:v>54.7147</x:v>
      </x:c>
      <x:c r="AB113" s="60" t="n">
        <x:v>55.0434</x:v>
      </x:c>
      <x:c r="AC113" s="60" t="n">
        <x:v>55.4092</x:v>
      </x:c>
      <x:c r="AD113" s="60" t="n">
        <x:v>55.7559</x:v>
      </x:c>
      <x:c r="AE113" s="60" t="n">
        <x:v>56.0967</x:v>
      </x:c>
      <x:c r="AF113" s="60" t="n">
        <x:v>56.4392</x:v>
      </x:c>
      <x:c r="AG113" s="60" t="n">
        <x:v>56.7781</x:v>
      </x:c>
      <x:c r="AH113" s="60" t="n">
        <x:v>57.1091</x:v>
      </x:c>
      <x:c r="AI113" s="60" t="n">
        <x:v>57.4083</x:v>
      </x:c>
      <x:c r="AJ113" s="60" t="n">
        <x:v>57.7007</x:v>
      </x:c>
      <x:c r="AK113" s="60" t="n">
        <x:v>57.9895</x:v>
      </x:c>
      <x:c r="AL113" s="60" t="n">
        <x:v>58.328</x:v>
      </x:c>
      <x:c r="AM113" s="60" t="n">
        <x:v>58.6319</x:v>
      </x:c>
      <x:c r="AN113" s="60" t="n">
        <x:v>58.9191</x:v>
      </x:c>
      <x:c r="AO113" s="60" t="n">
        <x:v>59.1701</x:v>
      </x:c>
      <x:c r="AP113" s="60" t="n">
        <x:v>59.4246</x:v>
      </x:c>
      <x:c r="AQ113" s="60" t="n">
        <x:v>59.6824</x:v>
      </x:c>
      <x:c r="AR113" s="60" t="n">
        <x:v>59.976</x:v>
      </x:c>
      <x:c r="AS113" s="60" t="n">
        <x:v>60.2349</x:v>
      </x:c>
      <x:c r="AT113" s="60" t="n">
        <x:v>60.5035</x:v>
      </x:c>
      <x:c r="AU113" s="60" t="n">
        <x:v>60.7568</x:v>
      </x:c>
      <x:c r="AV113" s="60" t="n">
        <x:v>61.0029</x:v>
      </x:c>
      <x:c r="AW113" s="60" t="n">
        <x:v>61.2774</x:v>
      </x:c>
      <x:c r="AX113" s="60" t="n">
        <x:v>61.5479</x:v>
      </x:c>
      <x:c r="AY113" s="60" t="n">
        <x:v>61.7918</x:v>
      </x:c>
      <x:c r="AZ113" s="60" t="n">
        <x:v>62.0564</x:v>
      </x:c>
      <x:c r="BA113" s="60" t="n">
        <x:v>62.2905</x:v>
      </x:c>
      <x:c r="BB113" s="60" t="n">
        <x:v>62.5624</x:v>
      </x:c>
      <x:c r="BC113" s="60" t="n">
        <x:v>62.8357</x:v>
      </x:c>
      <x:c r="BD113" s="60" t="n">
        <x:v>63.0803</x:v>
      </x:c>
      <x:c r="BE113" s="60" t="n">
        <x:v>63.3158</x:v>
      </x:c>
      <x:c r="BF113" s="60" t="n">
        <x:v>63.5522</x:v>
      </x:c>
      <x:c r="BG113" s="60" t="n">
        <x:v>63.7749</x:v>
      </x:c>
      <x:c r="BH113" s="60" t="n">
        <x:v>64.0143</x:v>
      </x:c>
      <x:c r="BI113" s="60" t="n">
        <x:v>64.2474</x:v>
      </x:c>
      <x:c r="BJ113" s="60" t="n">
        <x:v>64.4875</x:v>
      </x:c>
      <x:c r="BK113" s="60" t="n">
        <x:v>64.6996</x:v>
      </x:c>
      <x:c r="BL113" s="60" t="n">
        <x:v>64.9636</x:v>
      </x:c>
      <x:c r="BM113" s="60" t="n">
        <x:v>65.1857</x:v>
      </x:c>
      <x:c r="BN113" s="60" t="n">
        <x:v>65.464</x:v>
      </x:c>
      <x:c r="BO113" s="60" t="n">
        <x:v>65.7066</x:v>
      </x:c>
      <x:c r="BP113" s="60" t="n">
        <x:v>65.9545</x:v>
      </x:c>
      <x:c r="BQ113" s="60" t="n">
        <x:v>66.1879</x:v>
      </x:c>
      <x:c r="BR113" s="60" t="n">
        <x:v>66.4052</x:v>
      </x:c>
      <x:c r="BS113" s="60" t="n">
        <x:v>66.6261</x:v>
      </x:c>
      <x:c r="BT113" s="60" t="n">
        <x:v>66.866</x:v>
      </x:c>
      <x:c r="BU113" s="60" t="n">
        <x:v>67.091</x:v>
      </x:c>
      <x:c r="BV113" s="60" t="n">
        <x:v>67.2902</x:v>
      </x:c>
      <x:c r="BW113" s="60" t="n">
        <x:v>67.5113</x:v>
      </x:c>
      <x:c r="BX113" s="60" t="n">
        <x:v>67.7656</x:v>
      </x:c>
      <x:c r="BY113" s="60" t="n">
        <x:v>68.0133</x:v>
      </x:c>
      <x:c r="BZ113" s="60" t="n">
        <x:v>68.2693</x:v>
      </x:c>
      <x:c r="CA113" s="60" t="n">
        <x:v>68.5154</x:v>
      </x:c>
      <x:c r="CB113" s="60" t="n">
        <x:v>68.76</x:v>
      </x:c>
      <x:c r="CC113" s="60" t="n">
        <x:v>68.9862</x:v>
      </x:c>
      <x:c r="CD113" s="60" t="n">
        <x:v>69.2081</x:v>
      </x:c>
      <x:c r="CE113" s="60" t="n">
        <x:v>69.4513</x:v>
      </x:c>
      <x:c r="CF113" s="60" t="n">
        <x:v>69.6767</x:v>
      </x:c>
      <x:c r="CG113" s="60" t="n">
        <x:v>69.9185</x:v>
      </x:c>
      <x:c r="CH113" s="60" t="n">
        <x:v>70.15</x:v>
      </x:c>
      <x:c r="CI113" s="60" t="n">
        <x:v>70.4013</x:v>
      </x:c>
      <x:c r="CJ113" s="60" t="n">
        <x:v>70.6386</x:v>
      </x:c>
      <x:c r="CK113" s="60" t="n">
        <x:v>70.8828</x:v>
      </x:c>
      <x:c r="CL113" s="60" t="n">
        <x:v>71.1301</x:v>
      </x:c>
      <x:c r="CM113" s="60" t="n">
        <x:v>71.4091</x:v>
      </x:c>
      <x:c r="CN113" s="60" t="n">
        <x:v>71.6613</x:v>
      </x:c>
      <x:c r="CO113" s="60" t="n">
        <x:v>71.95</x:v>
      </x:c>
      <x:c r="CP113" s="60" t="n">
        <x:v>72.2132</x:v>
      </x:c>
      <x:c r="CQ113" s="60" t="n">
        <x:v>72.5116</x:v>
      </x:c>
      <x:c r="CR113" s="60" t="n">
        <x:v>72.8282</x:v>
      </x:c>
      <x:c r="CS113" s="60" t="n">
        <x:v>73.124</x:v>
      </x:c>
      <x:c r="CT113" s="60" t="n">
        <x:v>73.4272</x:v>
      </x:c>
      <x:c r="CU113" s="60" t="n">
        <x:v>73.7777</x:v>
      </x:c>
      <x:c r="CV113" s="60" t="n">
        <x:v>74.2023</x:v>
      </x:c>
      <x:c r="CW113" s="60" t="n">
        <x:v>74.668</x:v>
      </x:c>
      <x:c r="CX113" s="60" t="n">
        <x:v>75.1617</x:v>
      </x:c>
      <x:c r="CY113" s="60" t="n">
        <x:v>75.6814</x:v>
      </x:c>
      <x:c r="CZ113" s="60" t="n">
        <x:v>76.3311</x:v>
      </x:c>
      <x:c r="DA113" s="60" t="n">
        <x:v>77.199</x:v>
      </x:c>
      <x:c r="DB113" s="60" t="n">
        <x:v>80.3319</x:v>
      </x:c>
    </x:row>
    <x:row r="114">
      <x:c r="A114" t="str">
        <x:v>ヤドラン-2</x:v>
      </x:c>
      <x:c r="B114" t="str">
        <x:v>ヤドラン</x:v>
      </x:c>
      <x:c r="C114" t="str">
        <x:v>テレキネシス</x:v>
      </x:c>
      <x:c r="D114" s="60" t="n">
        <x:v>61.9167</x:v>
      </x:c>
      <x:c r="E114" s="60" t="n">
        <x:v>10.3976</x:v>
      </x:c>
      <x:c r="F114" s="60" t="n">
        <x:v>31.0495</x:v>
      </x:c>
      <x:c r="G114" s="60" t="n">
        <x:v>38.8923</x:v>
      </x:c>
      <x:c r="H114" s="60" t="n">
        <x:v>40.6037</x:v>
      </x:c>
      <x:c r="I114" s="60" t="n">
        <x:v>41.7152</x:v>
      </x:c>
      <x:c r="J114" s="60" t="n">
        <x:v>42.7398</x:v>
      </x:c>
      <x:c r="K114" s="60" t="n">
        <x:v>43.5377</x:v>
      </x:c>
      <x:c r="L114" s="60" t="n">
        <x:v>44.3738</x:v>
      </x:c>
      <x:c r="M114" s="60" t="n">
        <x:v>45.0754</x:v>
      </x:c>
      <x:c r="N114" s="60" t="n">
        <x:v>45.8069</x:v>
      </x:c>
      <x:c r="O114" s="60" t="n">
        <x:v>46.4091</x:v>
      </x:c>
      <x:c r="P114" s="60" t="n">
        <x:v>47.0614</x:v>
      </x:c>
      <x:c r="Q114" s="60" t="n">
        <x:v>47.604</x:v>
      </x:c>
      <x:c r="R114" s="60" t="n">
        <x:v>48.1418</x:v>
      </x:c>
      <x:c r="S114" s="60" t="n">
        <x:v>48.6602</x:v>
      </x:c>
      <x:c r="T114" s="60" t="n">
        <x:v>49.1785</x:v>
      </x:c>
      <x:c r="U114" s="60" t="n">
        <x:v>49.6728</x:v>
      </x:c>
      <x:c r="V114" s="60" t="n">
        <x:v>50.1581</x:v>
      </x:c>
      <x:c r="W114" s="60" t="n">
        <x:v>50.6255</x:v>
      </x:c>
      <x:c r="X114" s="60" t="n">
        <x:v>51.1182</x:v>
      </x:c>
      <x:c r="Y114" s="60" t="n">
        <x:v>51.6086</x:v>
      </x:c>
      <x:c r="Z114" s="60" t="n">
        <x:v>52.0727</x:v>
      </x:c>
      <x:c r="AA114" s="60" t="n">
        <x:v>52.5375</x:v>
      </x:c>
      <x:c r="AB114" s="60" t="n">
        <x:v>52.9885</x:v>
      </x:c>
      <x:c r="AC114" s="60" t="n">
        <x:v>53.4082</x:v>
      </x:c>
      <x:c r="AD114" s="60" t="n">
        <x:v>53.8384</x:v>
      </x:c>
      <x:c r="AE114" s="60" t="n">
        <x:v>54.2472</x:v>
      </x:c>
      <x:c r="AF114" s="60" t="n">
        <x:v>54.6803</x:v>
      </x:c>
      <x:c r="AG114" s="60" t="n">
        <x:v>55.0841</x:v>
      </x:c>
      <x:c r="AH114" s="60" t="n">
        <x:v>55.4776</x:v>
      </x:c>
      <x:c r="AI114" s="60" t="n">
        <x:v>55.8694</x:v>
      </x:c>
      <x:c r="AJ114" s="60" t="n">
        <x:v>56.2814</x:v>
      </x:c>
      <x:c r="AK114" s="60" t="n">
        <x:v>56.6523</x:v>
      </x:c>
      <x:c r="AL114" s="60" t="n">
        <x:v>56.987</x:v>
      </x:c>
      <x:c r="AM114" s="60" t="n">
        <x:v>57.3657</x:v>
      </x:c>
      <x:c r="AN114" s="60" t="n">
        <x:v>57.7316</x:v>
      </x:c>
      <x:c r="AO114" s="60" t="n">
        <x:v>58.0902</x:v>
      </x:c>
      <x:c r="AP114" s="60" t="n">
        <x:v>58.4894</x:v>
      </x:c>
      <x:c r="AQ114" s="60" t="n">
        <x:v>58.8437</x:v>
      </x:c>
      <x:c r="AR114" s="60" t="n">
        <x:v>59.1788</x:v>
      </x:c>
      <x:c r="AS114" s="60" t="n">
        <x:v>59.4881</x:v>
      </x:c>
      <x:c r="AT114" s="60" t="n">
        <x:v>59.802</x:v>
      </x:c>
      <x:c r="AU114" s="60" t="n">
        <x:v>60.1153</x:v>
      </x:c>
      <x:c r="AV114" s="60" t="n">
        <x:v>60.4731</x:v>
      </x:c>
      <x:c r="AW114" s="60" t="n">
        <x:v>60.7685</x:v>
      </x:c>
      <x:c r="AX114" s="60" t="n">
        <x:v>61.059</x:v>
      </x:c>
      <x:c r="AY114" s="60" t="n">
        <x:v>61.3889</x:v>
      </x:c>
      <x:c r="AZ114" s="60" t="n">
        <x:v>61.7032</x:v>
      </x:c>
      <x:c r="BA114" s="60" t="n">
        <x:v>62.0262</x:v>
      </x:c>
      <x:c r="BB114" s="60" t="n">
        <x:v>62.3499</x:v>
      </x:c>
      <x:c r="BC114" s="60" t="n">
        <x:v>62.6518</x:v>
      </x:c>
      <x:c r="BD114" s="60" t="n">
        <x:v>62.9387</x:v>
      </x:c>
      <x:c r="BE114" s="60" t="n">
        <x:v>63.2566</x:v>
      </x:c>
      <x:c r="BF114" s="60" t="n">
        <x:v>63.5587</x:v>
      </x:c>
      <x:c r="BG114" s="60" t="n">
        <x:v>63.8441</x:v>
      </x:c>
      <x:c r="BH114" s="60" t="n">
        <x:v>64.1201</x:v>
      </x:c>
      <x:c r="BI114" s="60" t="n">
        <x:v>64.4289</x:v>
      </x:c>
      <x:c r="BJ114" s="60" t="n">
        <x:v>64.7238</x:v>
      </x:c>
      <x:c r="BK114" s="60" t="n">
        <x:v>65.0044</x:v>
      </x:c>
      <x:c r="BL114" s="60" t="n">
        <x:v>65.309</x:v>
      </x:c>
      <x:c r="BM114" s="60" t="n">
        <x:v>65.602</x:v>
      </x:c>
      <x:c r="BN114" s="60" t="n">
        <x:v>65.8883</x:v>
      </x:c>
      <x:c r="BO114" s="60" t="n">
        <x:v>66.1775</x:v>
      </x:c>
      <x:c r="BP114" s="60" t="n">
        <x:v>66.4435</x:v>
      </x:c>
      <x:c r="BQ114" s="60" t="n">
        <x:v>66.7284</x:v>
      </x:c>
      <x:c r="BR114" s="60" t="n">
        <x:v>66.9872</x:v>
      </x:c>
      <x:c r="BS114" s="60" t="n">
        <x:v>67.2807</x:v>
      </x:c>
      <x:c r="BT114" s="60" t="n">
        <x:v>67.5563</x:v>
      </x:c>
      <x:c r="BU114" s="60" t="n">
        <x:v>67.8037</x:v>
      </x:c>
      <x:c r="BV114" s="60" t="n">
        <x:v>68.0989</x:v>
      </x:c>
      <x:c r="BW114" s="60" t="n">
        <x:v>68.4067</x:v>
      </x:c>
      <x:c r="BX114" s="60" t="n">
        <x:v>68.7238</x:v>
      </x:c>
      <x:c r="BY114" s="60" t="n">
        <x:v>69.003</x:v>
      </x:c>
      <x:c r="BZ114" s="60" t="n">
        <x:v>69.2955</x:v>
      </x:c>
      <x:c r="CA114" s="60" t="n">
        <x:v>69.5853</x:v>
      </x:c>
      <x:c r="CB114" s="60" t="n">
        <x:v>69.8509</x:v>
      </x:c>
      <x:c r="CC114" s="60" t="n">
        <x:v>70.149</x:v>
      </x:c>
      <x:c r="CD114" s="60" t="n">
        <x:v>70.417</x:v>
      </x:c>
      <x:c r="CE114" s="60" t="n">
        <x:v>70.7065</x:v>
      </x:c>
      <x:c r="CF114" s="60" t="n">
        <x:v>71.0053</x:v>
      </x:c>
      <x:c r="CG114" s="60" t="n">
        <x:v>71.2818</x:v>
      </x:c>
      <x:c r="CH114" s="60" t="n">
        <x:v>71.5947</x:v>
      </x:c>
      <x:c r="CI114" s="60" t="n">
        <x:v>71.9038</x:v>
      </x:c>
      <x:c r="CJ114" s="60" t="n">
        <x:v>72.2431</x:v>
      </x:c>
      <x:c r="CK114" s="60" t="n">
        <x:v>72.5848</x:v>
      </x:c>
      <x:c r="CL114" s="60" t="n">
        <x:v>72.9323</x:v>
      </x:c>
      <x:c r="CM114" s="60" t="n">
        <x:v>73.2643</x:v>
      </x:c>
      <x:c r="CN114" s="60" t="n">
        <x:v>73.6255</x:v>
      </x:c>
      <x:c r="CO114" s="60" t="n">
        <x:v>73.9711</x:v>
      </x:c>
      <x:c r="CP114" s="60" t="n">
        <x:v>74.3357</x:v>
      </x:c>
      <x:c r="CQ114" s="60" t="n">
        <x:v>74.6884</x:v>
      </x:c>
      <x:c r="CR114" s="60" t="n">
        <x:v>75.0767</x:v>
      </x:c>
      <x:c r="CS114" s="60" t="n">
        <x:v>75.4878</x:v>
      </x:c>
      <x:c r="CT114" s="60" t="n">
        <x:v>75.886</x:v>
      </x:c>
      <x:c r="CU114" s="60" t="n">
        <x:v>76.3662</x:v>
      </x:c>
      <x:c r="CV114" s="60" t="n">
        <x:v>76.815</x:v>
      </x:c>
      <x:c r="CW114" s="60" t="n">
        <x:v>77.2937</x:v>
      </x:c>
      <x:c r="CX114" s="60" t="n">
        <x:v>77.9032</x:v>
      </x:c>
      <x:c r="CY114" s="60" t="n">
        <x:v>78.551</x:v>
      </x:c>
      <x:c r="CZ114" s="60" t="n">
        <x:v>79.2602</x:v>
      </x:c>
      <x:c r="DA114" s="60" t="n">
        <x:v>80.2959</x:v>
      </x:c>
      <x:c r="DB114" s="60" t="n">
        <x:v>83.9826</x:v>
      </x:c>
    </x:row>
    <x:row r="115">
      <x:c r="A115" t="str">
        <x:v>ヨクバリス-1</x:v>
      </x:c>
      <x:c r="B115" t="str">
        <x:v>ヨクバリス</x:v>
      </x:c>
      <x:c r="C115" t="str">
        <x:v>ほおばる</x:v>
      </x:c>
      <x:c r="D115" s="60" t="n">
        <x:v>61.7234</x:v>
      </x:c>
      <x:c r="E115" s="60" t="n">
        <x:v>8.8602</x:v>
      </x:c>
      <x:c r="F115" s="60" t="n">
        <x:v>35.606</x:v>
      </x:c>
      <x:c r="G115" s="60" t="n">
        <x:v>41.6693</x:v>
      </x:c>
      <x:c r="H115" s="60" t="n">
        <x:v>42.9447</x:v>
      </x:c>
      <x:c r="I115" s="60" t="n">
        <x:v>43.9432</x:v>
      </x:c>
      <x:c r="J115" s="60" t="n">
        <x:v>44.7224</x:v>
      </x:c>
      <x:c r="K115" s="60" t="n">
        <x:v>45.5708</x:v>
      </x:c>
      <x:c r="L115" s="60" t="n">
        <x:v>46.2608</x:v>
      </x:c>
      <x:c r="M115" s="60" t="n">
        <x:v>46.9336</x:v>
      </x:c>
      <x:c r="N115" s="60" t="n">
        <x:v>47.5413</x:v>
      </x:c>
      <x:c r="O115" s="60" t="n">
        <x:v>48.131</x:v>
      </x:c>
      <x:c r="P115" s="60" t="n">
        <x:v>48.7035</x:v>
      </x:c>
      <x:c r="Q115" s="60" t="n">
        <x:v>49.2439</x:v>
      </x:c>
      <x:c r="R115" s="60" t="n">
        <x:v>49.7618</x:v>
      </x:c>
      <x:c r="S115" s="60" t="n">
        <x:v>50.3305</x:v>
      </x:c>
      <x:c r="T115" s="60" t="n">
        <x:v>50.7889</x:v>
      </x:c>
      <x:c r="U115" s="60" t="n">
        <x:v>51.3474</x:v>
      </x:c>
      <x:c r="V115" s="60" t="n">
        <x:v>51.8585</x:v>
      </x:c>
      <x:c r="W115" s="60" t="n">
        <x:v>52.3195</x:v>
      </x:c>
      <x:c r="X115" s="60" t="n">
        <x:v>52.7417</x:v>
      </x:c>
      <x:c r="Y115" s="60" t="n">
        <x:v>53.1581</x:v>
      </x:c>
      <x:c r="Z115" s="60" t="n">
        <x:v>53.5911</x:v>
      </x:c>
      <x:c r="AA115" s="60" t="n">
        <x:v>53.9444</x:v>
      </x:c>
      <x:c r="AB115" s="60" t="n">
        <x:v>54.3389</x:v>
      </x:c>
      <x:c r="AC115" s="60" t="n">
        <x:v>54.7023</x:v>
      </x:c>
      <x:c r="AD115" s="60" t="n">
        <x:v>55.0344</x:v>
      </x:c>
      <x:c r="AE115" s="60" t="n">
        <x:v>55.4027</x:v>
      </x:c>
      <x:c r="AF115" s="60" t="n">
        <x:v>55.7786</x:v>
      </x:c>
      <x:c r="AG115" s="60" t="n">
        <x:v>56.1517</x:v>
      </x:c>
      <x:c r="AH115" s="60" t="n">
        <x:v>56.4759</x:v>
      </x:c>
      <x:c r="AI115" s="60" t="n">
        <x:v>56.7828</x:v>
      </x:c>
      <x:c r="AJ115" s="60" t="n">
        <x:v>57.1047</x:v>
      </x:c>
      <x:c r="AK115" s="60" t="n">
        <x:v>57.4275</x:v>
      </x:c>
      <x:c r="AL115" s="60" t="n">
        <x:v>57.7525</x:v>
      </x:c>
      <x:c r="AM115" s="60" t="n">
        <x:v>58.0571</x:v>
      </x:c>
      <x:c r="AN115" s="60" t="n">
        <x:v>58.3349</x:v>
      </x:c>
      <x:c r="AO115" s="60" t="n">
        <x:v>58.6387</x:v>
      </x:c>
      <x:c r="AP115" s="60" t="n">
        <x:v>58.9553</x:v>
      </x:c>
      <x:c r="AQ115" s="60" t="n">
        <x:v>59.25</x:v>
      </x:c>
      <x:c r="AR115" s="60" t="n">
        <x:v>59.5338</x:v>
      </x:c>
      <x:c r="AS115" s="60" t="n">
        <x:v>59.8153</x:v>
      </x:c>
      <x:c r="AT115" s="60" t="n">
        <x:v>60.0937</x:v>
      </x:c>
      <x:c r="AU115" s="60" t="n">
        <x:v>60.3981</x:v>
      </x:c>
      <x:c r="AV115" s="60" t="n">
        <x:v>60.684</x:v>
      </x:c>
      <x:c r="AW115" s="60" t="n">
        <x:v>60.9595</x:v>
      </x:c>
      <x:c r="AX115" s="60" t="n">
        <x:v>61.218</x:v>
      </x:c>
      <x:c r="AY115" s="60" t="n">
        <x:v>61.4712</x:v>
      </x:c>
      <x:c r="AZ115" s="60" t="n">
        <x:v>61.7559</x:v>
      </x:c>
      <x:c r="BA115" s="60" t="n">
        <x:v>62.0054</x:v>
      </x:c>
      <x:c r="BB115" s="60" t="n">
        <x:v>62.3081</x:v>
      </x:c>
      <x:c r="BC115" s="60" t="n">
        <x:v>62.5539</x:v>
      </x:c>
      <x:c r="BD115" s="60" t="n">
        <x:v>62.811</x:v>
      </x:c>
      <x:c r="BE115" s="60" t="n">
        <x:v>63.044</x:v>
      </x:c>
      <x:c r="BF115" s="60" t="n">
        <x:v>63.2937</x:v>
      </x:c>
      <x:c r="BG115" s="60" t="n">
        <x:v>63.5658</x:v>
      </x:c>
      <x:c r="BH115" s="60" t="n">
        <x:v>63.8517</x:v>
      </x:c>
      <x:c r="BI115" s="60" t="n">
        <x:v>64.069</x:v>
      </x:c>
      <x:c r="BJ115" s="60" t="n">
        <x:v>64.3105</x:v>
      </x:c>
      <x:c r="BK115" s="60" t="n">
        <x:v>64.5775</x:v>
      </x:c>
      <x:c r="BL115" s="60" t="n">
        <x:v>64.7981</x:v>
      </x:c>
      <x:c r="BM115" s="60" t="n">
        <x:v>65.0596</x:v>
      </x:c>
      <x:c r="BN115" s="60" t="n">
        <x:v>65.3226</x:v>
      </x:c>
      <x:c r="BO115" s="60" t="n">
        <x:v>65.5999</x:v>
      </x:c>
      <x:c r="BP115" s="60" t="n">
        <x:v>65.8498</x:v>
      </x:c>
      <x:c r="BQ115" s="60" t="n">
        <x:v>66.0774</x:v>
      </x:c>
      <x:c r="BR115" s="60" t="n">
        <x:v>66.3164</x:v>
      </x:c>
      <x:c r="BS115" s="60" t="n">
        <x:v>66.5543</x:v>
      </x:c>
      <x:c r="BT115" s="60" t="n">
        <x:v>66.7761</x:v>
      </x:c>
      <x:c r="BU115" s="60" t="n">
        <x:v>67.0043</x:v>
      </x:c>
      <x:c r="BV115" s="60" t="n">
        <x:v>67.2155</x:v>
      </x:c>
      <x:c r="BW115" s="60" t="n">
        <x:v>67.4377</x:v>
      </x:c>
      <x:c r="BX115" s="60" t="n">
        <x:v>67.6532</x:v>
      </x:c>
      <x:c r="BY115" s="60" t="n">
        <x:v>67.8875</x:v>
      </x:c>
      <x:c r="BZ115" s="60" t="n">
        <x:v>68.1304</x:v>
      </x:c>
      <x:c r="CA115" s="60" t="n">
        <x:v>68.3315</x:v>
      </x:c>
      <x:c r="CB115" s="60" t="n">
        <x:v>68.5718</x:v>
      </x:c>
      <x:c r="CC115" s="60" t="n">
        <x:v>68.7861</x:v>
      </x:c>
      <x:c r="CD115" s="60" t="n">
        <x:v>69.0451</x:v>
      </x:c>
      <x:c r="CE115" s="60" t="n">
        <x:v>69.2571</x:v>
      </x:c>
      <x:c r="CF115" s="60" t="n">
        <x:v>69.5191</x:v>
      </x:c>
      <x:c r="CG115" s="60" t="n">
        <x:v>69.7721</x:v>
      </x:c>
      <x:c r="CH115" s="60" t="n">
        <x:v>70.0043</x:v>
      </x:c>
      <x:c r="CI115" s="60" t="n">
        <x:v>70.2519</x:v>
      </x:c>
      <x:c r="CJ115" s="60" t="n">
        <x:v>70.4941</x:v>
      </x:c>
      <x:c r="CK115" s="60" t="n">
        <x:v>70.7617</x:v>
      </x:c>
      <x:c r="CL115" s="60" t="n">
        <x:v>71.01</x:v>
      </x:c>
      <x:c r="CM115" s="60" t="n">
        <x:v>71.2505</x:v>
      </x:c>
      <x:c r="CN115" s="60" t="n">
        <x:v>71.5562</x:v>
      </x:c>
      <x:c r="CO115" s="60" t="n">
        <x:v>71.804</x:v>
      </x:c>
      <x:c r="CP115" s="60" t="n">
        <x:v>72.0787</x:v>
      </x:c>
      <x:c r="CQ115" s="60" t="n">
        <x:v>72.3135</x:v>
      </x:c>
      <x:c r="CR115" s="60" t="n">
        <x:v>72.6073</x:v>
      </x:c>
      <x:c r="CS115" s="60" t="n">
        <x:v>72.9073</x:v>
      </x:c>
      <x:c r="CT115" s="60" t="n">
        <x:v>73.2305</x:v>
      </x:c>
      <x:c r="CU115" s="60" t="n">
        <x:v>73.5817</x:v>
      </x:c>
      <x:c r="CV115" s="60" t="n">
        <x:v>73.9589</x:v>
      </x:c>
      <x:c r="CW115" s="60" t="n">
        <x:v>74.3092</x:v>
      </x:c>
      <x:c r="CX115" s="60" t="n">
        <x:v>74.7297</x:v>
      </x:c>
      <x:c r="CY115" s="60" t="n">
        <x:v>75.2088</x:v>
      </x:c>
      <x:c r="CZ115" s="60" t="n">
        <x:v>75.8393</x:v>
      </x:c>
      <x:c r="DA115" s="60" t="n">
        <x:v>76.7415</x:v>
      </x:c>
      <x:c r="DB115" s="60" t="n">
        <x:v>80.9875</x:v>
      </x:c>
    </x:row>
    <x:row r="116">
      <x:c r="A116" t="str">
        <x:v>ヨクバリス-2</x:v>
      </x:c>
      <x:c r="B116" t="str">
        <x:v>ヨクバリス</x:v>
      </x:c>
      <x:c r="C116" t="str">
        <x:v>ほしがる</x:v>
      </x:c>
      <x:c r="D116" s="60" t="n">
        <x:v>62.4193</x:v>
      </x:c>
      <x:c r="E116" s="60" t="n">
        <x:v>10.765</x:v>
      </x:c>
      <x:c r="F116" s="60" t="n">
        <x:v>31.2157</x:v>
      </x:c>
      <x:c r="G116" s="60" t="n">
        <x:v>38.3032</x:v>
      </x:c>
      <x:c r="H116" s="60" t="n">
        <x:v>40.2216</x:v>
      </x:c>
      <x:c r="I116" s="60" t="n">
        <x:v>41.4973</x:v>
      </x:c>
      <x:c r="J116" s="60" t="n">
        <x:v>42.5092</x:v>
      </x:c>
      <x:c r="K116" s="60" t="n">
        <x:v>43.5704</x:v>
      </x:c>
      <x:c r="L116" s="60" t="n">
        <x:v>44.5338</x:v>
      </x:c>
      <x:c r="M116" s="60" t="n">
        <x:v>45.3342</x:v>
      </x:c>
      <x:c r="N116" s="60" t="n">
        <x:v>46.0912</x:v>
      </x:c>
      <x:c r="O116" s="60" t="n">
        <x:v>46.6651</x:v>
      </x:c>
      <x:c r="P116" s="60" t="n">
        <x:v>47.3021</x:v>
      </x:c>
      <x:c r="Q116" s="60" t="n">
        <x:v>47.9333</x:v>
      </x:c>
      <x:c r="R116" s="60" t="n">
        <x:v>48.5627</x:v>
      </x:c>
      <x:c r="S116" s="60" t="n">
        <x:v>49.1</x:v>
      </x:c>
      <x:c r="T116" s="60" t="n">
        <x:v>49.6716</x:v>
      </x:c>
      <x:c r="U116" s="60" t="n">
        <x:v>50.17</x:v>
      </x:c>
      <x:c r="V116" s="60" t="n">
        <x:v>50.6778</x:v>
      </x:c>
      <x:c r="W116" s="60" t="n">
        <x:v>51.1638</x:v>
      </x:c>
      <x:c r="X116" s="60" t="n">
        <x:v>51.6519</x:v>
      </x:c>
      <x:c r="Y116" s="60" t="n">
        <x:v>52.1279</x:v>
      </x:c>
      <x:c r="Z116" s="60" t="n">
        <x:v>52.6442</x:v>
      </x:c>
      <x:c r="AA116" s="60" t="n">
        <x:v>53.0625</x:v>
      </x:c>
      <x:c r="AB116" s="60" t="n">
        <x:v>53.498</x:v>
      </x:c>
      <x:c r="AC116" s="60" t="n">
        <x:v>53.9625</x:v>
      </x:c>
      <x:c r="AD116" s="60" t="n">
        <x:v>54.3342</x:v>
      </x:c>
      <x:c r="AE116" s="60" t="n">
        <x:v>54.7773</x:v>
      </x:c>
      <x:c r="AF116" s="60" t="n">
        <x:v>55.1929</x:v>
      </x:c>
      <x:c r="AG116" s="60" t="n">
        <x:v>55.6198</x:v>
      </x:c>
      <x:c r="AH116" s="60" t="n">
        <x:v>55.9707</x:v>
      </x:c>
      <x:c r="AI116" s="60" t="n">
        <x:v>56.3322</x:v>
      </x:c>
      <x:c r="AJ116" s="60" t="n">
        <x:v>56.6846</x:v>
      </x:c>
      <x:c r="AK116" s="60" t="n">
        <x:v>57.0155</x:v>
      </x:c>
      <x:c r="AL116" s="60" t="n">
        <x:v>57.3377</x:v>
      </x:c>
      <x:c r="AM116" s="60" t="n">
        <x:v>57.6794</x:v>
      </x:c>
      <x:c r="AN116" s="60" t="n">
        <x:v>58.0615</x:v>
      </x:c>
      <x:c r="AO116" s="60" t="n">
        <x:v>58.3735</x:v>
      </x:c>
      <x:c r="AP116" s="60" t="n">
        <x:v>58.6556</x:v>
      </x:c>
      <x:c r="AQ116" s="60" t="n">
        <x:v>59.0169</x:v>
      </x:c>
      <x:c r="AR116" s="60" t="n">
        <x:v>59.3205</x:v>
      </x:c>
      <x:c r="AS116" s="60" t="n">
        <x:v>59.6317</x:v>
      </x:c>
      <x:c r="AT116" s="60" t="n">
        <x:v>59.9643</x:v>
      </x:c>
      <x:c r="AU116" s="60" t="n">
        <x:v>60.2994</x:v>
      </x:c>
      <x:c r="AV116" s="60" t="n">
        <x:v>60.5998</x:v>
      </x:c>
      <x:c r="AW116" s="60" t="n">
        <x:v>60.9075</x:v>
      </x:c>
      <x:c r="AX116" s="60" t="n">
        <x:v>61.2282</x:v>
      </x:c>
      <x:c r="AY116" s="60" t="n">
        <x:v>61.556</x:v>
      </x:c>
      <x:c r="AZ116" s="60" t="n">
        <x:v>61.904</x:v>
      </x:c>
      <x:c r="BA116" s="60" t="n">
        <x:v>62.2511</x:v>
      </x:c>
      <x:c r="BB116" s="60" t="n">
        <x:v>62.5335</x:v>
      </x:c>
      <x:c r="BC116" s="60" t="n">
        <x:v>62.8293</x:v>
      </x:c>
      <x:c r="BD116" s="60" t="n">
        <x:v>63.1527</x:v>
      </x:c>
      <x:c r="BE116" s="60" t="n">
        <x:v>63.4634</x:v>
      </x:c>
      <x:c r="BF116" s="60" t="n">
        <x:v>63.7512</x:v>
      </x:c>
      <x:c r="BG116" s="60" t="n">
        <x:v>64.0529</x:v>
      </x:c>
      <x:c r="BH116" s="60" t="n">
        <x:v>64.3439</x:v>
      </x:c>
      <x:c r="BI116" s="60" t="n">
        <x:v>64.6334</x:v>
      </x:c>
      <x:c r="BJ116" s="60" t="n">
        <x:v>64.9195</x:v>
      </x:c>
      <x:c r="BK116" s="60" t="n">
        <x:v>65.2055</x:v>
      </x:c>
      <x:c r="BL116" s="60" t="n">
        <x:v>65.4768</x:v>
      </x:c>
      <x:c r="BM116" s="60" t="n">
        <x:v>65.771</x:v>
      </x:c>
      <x:c r="BN116" s="60" t="n">
        <x:v>66.0905</x:v>
      </x:c>
      <x:c r="BO116" s="60" t="n">
        <x:v>66.3878</x:v>
      </x:c>
      <x:c r="BP116" s="60" t="n">
        <x:v>66.6858</x:v>
      </x:c>
      <x:c r="BQ116" s="60" t="n">
        <x:v>66.9789</x:v>
      </x:c>
      <x:c r="BR116" s="60" t="n">
        <x:v>67.2676</x:v>
      </x:c>
      <x:c r="BS116" s="60" t="n">
        <x:v>67.5717</x:v>
      </x:c>
      <x:c r="BT116" s="60" t="n">
        <x:v>67.8995</x:v>
      </x:c>
      <x:c r="BU116" s="60" t="n">
        <x:v>68.2399</x:v>
      </x:c>
      <x:c r="BV116" s="60" t="n">
        <x:v>68.5368</x:v>
      </x:c>
      <x:c r="BW116" s="60" t="n">
        <x:v>68.82</x:v>
      </x:c>
      <x:c r="BX116" s="60" t="n">
        <x:v>69.1483</x:v>
      </x:c>
      <x:c r="BY116" s="60" t="n">
        <x:v>69.4714</x:v>
      </x:c>
      <x:c r="BZ116" s="60" t="n">
        <x:v>69.7801</x:v>
      </x:c>
      <x:c r="CA116" s="60" t="n">
        <x:v>70.0886</x:v>
      </x:c>
      <x:c r="CB116" s="60" t="n">
        <x:v>70.4002</x:v>
      </x:c>
      <x:c r="CC116" s="60" t="n">
        <x:v>70.7083</x:v>
      </x:c>
      <x:c r="CD116" s="60" t="n">
        <x:v>71.0273</x:v>
      </x:c>
      <x:c r="CE116" s="60" t="n">
        <x:v>71.3121</x:v>
      </x:c>
      <x:c r="CF116" s="60" t="n">
        <x:v>71.646</x:v>
      </x:c>
      <x:c r="CG116" s="60" t="n">
        <x:v>71.9673</x:v>
      </x:c>
      <x:c r="CH116" s="60" t="n">
        <x:v>72.3357</x:v>
      </x:c>
      <x:c r="CI116" s="60" t="n">
        <x:v>72.6807</x:v>
      </x:c>
      <x:c r="CJ116" s="60" t="n">
        <x:v>73.0249</x:v>
      </x:c>
      <x:c r="CK116" s="60" t="n">
        <x:v>73.3731</x:v>
      </x:c>
      <x:c r="CL116" s="60" t="n">
        <x:v>73.7506</x:v>
      </x:c>
      <x:c r="CM116" s="60" t="n">
        <x:v>74.1155</x:v>
      </x:c>
      <x:c r="CN116" s="60" t="n">
        <x:v>74.4694</x:v>
      </x:c>
      <x:c r="CO116" s="60" t="n">
        <x:v>74.8371</x:v>
      </x:c>
      <x:c r="CP116" s="60" t="n">
        <x:v>75.2558</x:v>
      </x:c>
      <x:c r="CQ116" s="60" t="n">
        <x:v>75.7123</x:v>
      </x:c>
      <x:c r="CR116" s="60" t="n">
        <x:v>76.152</x:v>
      </x:c>
      <x:c r="CS116" s="60" t="n">
        <x:v>76.624</x:v>
      </x:c>
      <x:c r="CT116" s="60" t="n">
        <x:v>77.0712</x:v>
      </x:c>
      <x:c r="CU116" s="60" t="n">
        <x:v>77.6634</x:v>
      </x:c>
      <x:c r="CV116" s="60" t="n">
        <x:v>78.2358</x:v>
      </x:c>
      <x:c r="CW116" s="60" t="n">
        <x:v>78.9325</x:v>
      </x:c>
      <x:c r="CX116" s="60" t="n">
        <x:v>79.5777</x:v>
      </x:c>
      <x:c r="CY116" s="60" t="n">
        <x:v>80.3967</x:v>
      </x:c>
      <x:c r="CZ116" s="60" t="n">
        <x:v>81.3954</x:v>
      </x:c>
      <x:c r="DA116" s="60" t="n">
        <x:v>83.0698</x:v>
      </x:c>
      <x:c r="DB116" s="60" t="n">
        <x:v>88.6451</x:v>
      </x:c>
    </x:row>
    <x:row r="117">
      <x:c r="A117" t="str">
        <x:v>ラプラス-1</x:v>
      </x:c>
      <x:c r="B117" t="str">
        <x:v>ラプラス</x:v>
      </x:c>
      <x:c r="C117" t="str">
        <x:v>共通</x:v>
      </x:c>
      <x:c r="D117" s="60" t="n">
        <x:v>62.7538</x:v>
      </x:c>
      <x:c r="E117" s="60" t="n">
        <x:v>9.1593</x:v>
      </x:c>
      <x:c r="F117" s="60" t="n">
        <x:v>35.3193</x:v>
      </x:c>
      <x:c r="G117" s="60" t="n">
        <x:v>41.7937</x:v>
      </x:c>
      <x:c r="H117" s="60" t="n">
        <x:v>43.0788</x:v>
      </x:c>
      <x:c r="I117" s="60" t="n">
        <x:v>44.0658</x:v>
      </x:c>
      <x:c r="J117" s="60" t="n">
        <x:v>45.0098</x:v>
      </x:c>
      <x:c r="K117" s="60" t="n">
        <x:v>45.7128</x:v>
      </x:c>
      <x:c r="L117" s="60" t="n">
        <x:v>46.4721</x:v>
      </x:c>
      <x:c r="M117" s="60" t="n">
        <x:v>47.2465</x:v>
      </x:c>
      <x:c r="N117" s="60" t="n">
        <x:v>47.921</x:v>
      </x:c>
      <x:c r="O117" s="60" t="n">
        <x:v>48.622</x:v>
      </x:c>
      <x:c r="P117" s="60" t="n">
        <x:v>49.2223</x:v>
      </x:c>
      <x:c r="Q117" s="60" t="n">
        <x:v>49.8054</x:v>
      </x:c>
      <x:c r="R117" s="60" t="n">
        <x:v>50.3278</x:v>
      </x:c>
      <x:c r="S117" s="60" t="n">
        <x:v>50.8745</x:v>
      </x:c>
      <x:c r="T117" s="60" t="n">
        <x:v>51.404</x:v>
      </x:c>
      <x:c r="U117" s="60" t="n">
        <x:v>51.8996</x:v>
      </x:c>
      <x:c r="V117" s="60" t="n">
        <x:v>52.428</x:v>
      </x:c>
      <x:c r="W117" s="60" t="n">
        <x:v>52.8801</x:v>
      </x:c>
      <x:c r="X117" s="60" t="n">
        <x:v>53.3424</x:v>
      </x:c>
      <x:c r="Y117" s="60" t="n">
        <x:v>53.783</x:v>
      </x:c>
      <x:c r="Z117" s="60" t="n">
        <x:v>54.2205</x:v>
      </x:c>
      <x:c r="AA117" s="60" t="n">
        <x:v>54.6698</x:v>
      </x:c>
      <x:c r="AB117" s="60" t="n">
        <x:v>55.0319</x:v>
      </x:c>
      <x:c r="AC117" s="60" t="n">
        <x:v>55.4546</x:v>
      </x:c>
      <x:c r="AD117" s="60" t="n">
        <x:v>55.9009</x:v>
      </x:c>
      <x:c r="AE117" s="60" t="n">
        <x:v>56.323</x:v>
      </x:c>
      <x:c r="AF117" s="60" t="n">
        <x:v>56.7346</x:v>
      </x:c>
      <x:c r="AG117" s="60" t="n">
        <x:v>57.1577</x:v>
      </x:c>
      <x:c r="AH117" s="60" t="n">
        <x:v>57.4841</x:v>
      </x:c>
      <x:c r="AI117" s="60" t="n">
        <x:v>57.8788</x:v>
      </x:c>
      <x:c r="AJ117" s="60" t="n">
        <x:v>58.2255</x:v>
      </x:c>
      <x:c r="AK117" s="60" t="n">
        <x:v>58.5856</x:v>
      </x:c>
      <x:c r="AL117" s="60" t="n">
        <x:v>58.933</x:v>
      </x:c>
      <x:c r="AM117" s="60" t="n">
        <x:v>59.2724</x:v>
      </x:c>
      <x:c r="AN117" s="60" t="n">
        <x:v>59.6066</x:v>
      </x:c>
      <x:c r="AO117" s="60" t="n">
        <x:v>59.9052</x:v>
      </x:c>
      <x:c r="AP117" s="60" t="n">
        <x:v>60.2056</x:v>
      </x:c>
      <x:c r="AQ117" s="60" t="n">
        <x:v>60.4592</x:v>
      </x:c>
      <x:c r="AR117" s="60" t="n">
        <x:v>60.7658</x:v>
      </x:c>
      <x:c r="AS117" s="60" t="n">
        <x:v>61.0657</x:v>
      </x:c>
      <x:c r="AT117" s="60" t="n">
        <x:v>61.3579</x:v>
      </x:c>
      <x:c r="AU117" s="60" t="n">
        <x:v>61.6164</x:v>
      </x:c>
      <x:c r="AV117" s="60" t="n">
        <x:v>61.907</x:v>
      </x:c>
      <x:c r="AW117" s="60" t="n">
        <x:v>62.1948</x:v>
      </x:c>
      <x:c r="AX117" s="60" t="n">
        <x:v>62.4719</x:v>
      </x:c>
      <x:c r="AY117" s="60" t="n">
        <x:v>62.7526</x:v>
      </x:c>
      <x:c r="AZ117" s="60" t="n">
        <x:v>62.9928</x:v>
      </x:c>
      <x:c r="BA117" s="60" t="n">
        <x:v>63.2729</x:v>
      </x:c>
      <x:c r="BB117" s="60" t="n">
        <x:v>63.5139</x:v>
      </x:c>
      <x:c r="BC117" s="60" t="n">
        <x:v>63.7512</x:v>
      </x:c>
      <x:c r="BD117" s="60" t="n">
        <x:v>64.036</x:v>
      </x:c>
      <x:c r="BE117" s="60" t="n">
        <x:v>64.2968</x:v>
      </x:c>
      <x:c r="BF117" s="60" t="n">
        <x:v>64.5514</x:v>
      </x:c>
      <x:c r="BG117" s="60" t="n">
        <x:v>64.7754</x:v>
      </x:c>
      <x:c r="BH117" s="60" t="n">
        <x:v>65.0397</x:v>
      </x:c>
      <x:c r="BI117" s="60" t="n">
        <x:v>65.295</x:v>
      </x:c>
      <x:c r="BJ117" s="60" t="n">
        <x:v>65.5157</x:v>
      </x:c>
      <x:c r="BK117" s="60" t="n">
        <x:v>65.7652</x:v>
      </x:c>
      <x:c r="BL117" s="60" t="n">
        <x:v>66.0198</x:v>
      </x:c>
      <x:c r="BM117" s="60" t="n">
        <x:v>66.2486</x:v>
      </x:c>
      <x:c r="BN117" s="60" t="n">
        <x:v>66.485</x:v>
      </x:c>
      <x:c r="BO117" s="60" t="n">
        <x:v>66.7381</x:v>
      </x:c>
      <x:c r="BP117" s="60" t="n">
        <x:v>66.9533</x:v>
      </x:c>
      <x:c r="BQ117" s="60" t="n">
        <x:v>67.1767</x:v>
      </x:c>
      <x:c r="BR117" s="60" t="n">
        <x:v>67.4062</x:v>
      </x:c>
      <x:c r="BS117" s="60" t="n">
        <x:v>67.6294</x:v>
      </x:c>
      <x:c r="BT117" s="60" t="n">
        <x:v>67.8718</x:v>
      </x:c>
      <x:c r="BU117" s="60" t="n">
        <x:v>68.0866</x:v>
      </x:c>
      <x:c r="BV117" s="60" t="n">
        <x:v>68.3138</x:v>
      </x:c>
      <x:c r="BW117" s="60" t="n">
        <x:v>68.5594</x:v>
      </x:c>
      <x:c r="BX117" s="60" t="n">
        <x:v>68.817</x:v>
      </x:c>
      <x:c r="BY117" s="60" t="n">
        <x:v>69.045</x:v>
      </x:c>
      <x:c r="BZ117" s="60" t="n">
        <x:v>69.2779</x:v>
      </x:c>
      <x:c r="CA117" s="60" t="n">
        <x:v>69.5319</x:v>
      </x:c>
      <x:c r="CB117" s="60" t="n">
        <x:v>69.7687</x:v>
      </x:c>
      <x:c r="CC117" s="60" t="n">
        <x:v>70.0263</x:v>
      </x:c>
      <x:c r="CD117" s="60" t="n">
        <x:v>70.2768</x:v>
      </x:c>
      <x:c r="CE117" s="60" t="n">
        <x:v>70.5278</x:v>
      </x:c>
      <x:c r="CF117" s="60" t="n">
        <x:v>70.7501</x:v>
      </x:c>
      <x:c r="CG117" s="60" t="n">
        <x:v>70.9623</x:v>
      </x:c>
      <x:c r="CH117" s="60" t="n">
        <x:v>71.225</x:v>
      </x:c>
      <x:c r="CI117" s="60" t="n">
        <x:v>71.4987</x:v>
      </x:c>
      <x:c r="CJ117" s="60" t="n">
        <x:v>71.7225</x:v>
      </x:c>
      <x:c r="CK117" s="60" t="n">
        <x:v>71.9602</x:v>
      </x:c>
      <x:c r="CL117" s="60" t="n">
        <x:v>72.2088</x:v>
      </x:c>
      <x:c r="CM117" s="60" t="n">
        <x:v>72.5012</x:v>
      </x:c>
      <x:c r="CN117" s="60" t="n">
        <x:v>72.7396</x:v>
      </x:c>
      <x:c r="CO117" s="60" t="n">
        <x:v>73.0328</x:v>
      </x:c>
      <x:c r="CP117" s="60" t="n">
        <x:v>73.3187</x:v>
      </x:c>
      <x:c r="CQ117" s="60" t="n">
        <x:v>73.5819</x:v>
      </x:c>
      <x:c r="CR117" s="60" t="n">
        <x:v>73.8734</x:v>
      </x:c>
      <x:c r="CS117" s="60" t="n">
        <x:v>74.1717</x:v>
      </x:c>
      <x:c r="CT117" s="60" t="n">
        <x:v>74.4939</x:v>
      </x:c>
      <x:c r="CU117" s="60" t="n">
        <x:v>74.8098</x:v>
      </x:c>
      <x:c r="CV117" s="60" t="n">
        <x:v>75.1779</x:v>
      </x:c>
      <x:c r="CW117" s="60" t="n">
        <x:v>75.6041</x:v>
      </x:c>
      <x:c r="CX117" s="60" t="n">
        <x:v>76.0826</x:v>
      </x:c>
      <x:c r="CY117" s="60" t="n">
        <x:v>76.6461</x:v>
      </x:c>
      <x:c r="CZ117" s="60" t="n">
        <x:v>77.302</x:v>
      </x:c>
      <x:c r="DA117" s="60" t="n">
        <x:v>78.3732</x:v>
      </x:c>
      <x:c r="DB117" s="60" t="n">
        <x:v>82.446</x:v>
      </x:c>
    </x:row>
    <x:row r="118">
      <x:c r="A118" t="str">
        <x:v>キュワワー-1</x:v>
      </x:c>
      <x:c r="B118" t="str">
        <x:v>キュワワー</x:v>
      </x:c>
      <x:c r="C118" t="str">
        <x:v>共通</x:v>
      </x:c>
      <x:c r="D118" s="60" t="n">
        <x:v>60.0533</x:v>
      </x:c>
      <x:c r="E118" s="60" t="n">
        <x:v>8.4957</x:v>
      </x:c>
      <x:c r="F118" s="60" t="n">
        <x:v>34.3452</x:v>
      </x:c>
      <x:c r="G118" s="60" t="n">
        <x:v>40.9703</x:v>
      </x:c>
      <x:c r="H118" s="60" t="n">
        <x:v>42.4562</x:v>
      </x:c>
      <x:c r="I118" s="60" t="n">
        <x:v>43.5575</x:v>
      </x:c>
      <x:c r="J118" s="60" t="n">
        <x:v>44.5419</x:v>
      </x:c>
      <x:c r="K118" s="60" t="n">
        <x:v>45.3993</x:v>
      </x:c>
      <x:c r="L118" s="60" t="n">
        <x:v>46.0795</x:v>
      </x:c>
      <x:c r="M118" s="60" t="n">
        <x:v>46.6205</x:v>
      </x:c>
      <x:c r="N118" s="60" t="n">
        <x:v>47.1562</x:v>
      </x:c>
      <x:c r="O118" s="60" t="n">
        <x:v>47.7225</x:v>
      </x:c>
      <x:c r="P118" s="60" t="n">
        <x:v>48.2087</x:v>
      </x:c>
      <x:c r="Q118" s="60" t="n">
        <x:v>48.6955</x:v>
      </x:c>
      <x:c r="R118" s="60" t="n">
        <x:v>49.1417</x:v>
      </x:c>
      <x:c r="S118" s="60" t="n">
        <x:v>49.5718</x:v>
      </x:c>
      <x:c r="T118" s="60" t="n">
        <x:v>49.9593</x:v>
      </x:c>
      <x:c r="U118" s="60" t="n">
        <x:v>50.38</x:v>
      </x:c>
      <x:c r="V118" s="60" t="n">
        <x:v>50.7713</x:v>
      </x:c>
      <x:c r="W118" s="60" t="n">
        <x:v>51.1886</x:v>
      </x:c>
      <x:c r="X118" s="60" t="n">
        <x:v>51.5652</x:v>
      </x:c>
      <x:c r="Y118" s="60" t="n">
        <x:v>51.921</x:v>
      </x:c>
      <x:c r="Z118" s="60" t="n">
        <x:v>52.2945</x:v>
      </x:c>
      <x:c r="AA118" s="60" t="n">
        <x:v>52.6256</x:v>
      </x:c>
      <x:c r="AB118" s="60" t="n">
        <x:v>53.0008</x:v>
      </x:c>
      <x:c r="AC118" s="60" t="n">
        <x:v>53.3493</x:v>
      </x:c>
      <x:c r="AD118" s="60" t="n">
        <x:v>53.6445</x:v>
      </x:c>
      <x:c r="AE118" s="60" t="n">
        <x:v>53.983</x:v>
      </x:c>
      <x:c r="AF118" s="60" t="n">
        <x:v>54.3243</x:v>
      </x:c>
      <x:c r="AG118" s="60" t="n">
        <x:v>54.6193</x:v>
      </x:c>
      <x:c r="AH118" s="60" t="n">
        <x:v>54.9055</x:v>
      </x:c>
      <x:c r="AI118" s="60" t="n">
        <x:v>55.2063</x:v>
      </x:c>
      <x:c r="AJ118" s="60" t="n">
        <x:v>55.5068</x:v>
      </x:c>
      <x:c r="AK118" s="60" t="n">
        <x:v>55.795</x:v>
      </x:c>
      <x:c r="AL118" s="60" t="n">
        <x:v>56.0961</x:v>
      </x:c>
      <x:c r="AM118" s="60" t="n">
        <x:v>56.372</x:v>
      </x:c>
      <x:c r="AN118" s="60" t="n">
        <x:v>56.6799</x:v>
      </x:c>
      <x:c r="AO118" s="60" t="n">
        <x:v>56.9335</x:v>
      </x:c>
      <x:c r="AP118" s="60" t="n">
        <x:v>57.1797</x:v>
      </x:c>
      <x:c r="AQ118" s="60" t="n">
        <x:v>57.4459</x:v>
      </x:c>
      <x:c r="AR118" s="60" t="n">
        <x:v>57.708</x:v>
      </x:c>
      <x:c r="AS118" s="60" t="n">
        <x:v>57.9754</x:v>
      </x:c>
      <x:c r="AT118" s="60" t="n">
        <x:v>58.2326</x:v>
      </x:c>
      <x:c r="AU118" s="60" t="n">
        <x:v>58.4583</x:v>
      </x:c>
      <x:c r="AV118" s="60" t="n">
        <x:v>58.6775</x:v>
      </x:c>
      <x:c r="AW118" s="60" t="n">
        <x:v>58.9155</x:v>
      </x:c>
      <x:c r="AX118" s="60" t="n">
        <x:v>59.147</x:v>
      </x:c>
      <x:c r="AY118" s="60" t="n">
        <x:v>59.3883</x:v>
      </x:c>
      <x:c r="AZ118" s="60" t="n">
        <x:v>59.6594</x:v>
      </x:c>
      <x:c r="BA118" s="60" t="n">
        <x:v>59.91</x:v>
      </x:c>
      <x:c r="BB118" s="60" t="n">
        <x:v>60.1305</x:v>
      </x:c>
      <x:c r="BC118" s="60" t="n">
        <x:v>60.3679</x:v>
      </x:c>
      <x:c r="BD118" s="60" t="n">
        <x:v>60.6017</x:v>
      </x:c>
      <x:c r="BE118" s="60" t="n">
        <x:v>60.8479</x:v>
      </x:c>
      <x:c r="BF118" s="60" t="n">
        <x:v>61.0507</x:v>
      </x:c>
      <x:c r="BG118" s="60" t="n">
        <x:v>61.2844</x:v>
      </x:c>
      <x:c r="BH118" s="60" t="n">
        <x:v>61.5465</x:v>
      </x:c>
      <x:c r="BI118" s="60" t="n">
        <x:v>61.7934</x:v>
      </x:c>
      <x:c r="BJ118" s="60" t="n">
        <x:v>62.0308</x:v>
      </x:c>
      <x:c r="BK118" s="60" t="n">
        <x:v>62.2488</x:v>
      </x:c>
      <x:c r="BL118" s="60" t="n">
        <x:v>62.4536</x:v>
      </x:c>
      <x:c r="BM118" s="60" t="n">
        <x:v>62.67</x:v>
      </x:c>
      <x:c r="BN118" s="60" t="n">
        <x:v>62.9252</x:v>
      </x:c>
      <x:c r="BO118" s="60" t="n">
        <x:v>63.1478</x:v>
      </x:c>
      <x:c r="BP118" s="60" t="n">
        <x:v>63.3674</x:v>
      </x:c>
      <x:c r="BQ118" s="60" t="n">
        <x:v>63.5989</x:v>
      </x:c>
      <x:c r="BR118" s="60" t="n">
        <x:v>63.8476</x:v>
      </x:c>
      <x:c r="BS118" s="60" t="n">
        <x:v>64.0693</x:v>
      </x:c>
      <x:c r="BT118" s="60" t="n">
        <x:v>64.3018</x:v>
      </x:c>
      <x:c r="BU118" s="60" t="n">
        <x:v>64.5359</x:v>
      </x:c>
      <x:c r="BV118" s="60" t="n">
        <x:v>64.7642</x:v>
      </x:c>
      <x:c r="BW118" s="60" t="n">
        <x:v>65.0123</x:v>
      </x:c>
      <x:c r="BX118" s="60" t="n">
        <x:v>65.2824</x:v>
      </x:c>
      <x:c r="BY118" s="60" t="n">
        <x:v>65.5158</x:v>
      </x:c>
      <x:c r="BZ118" s="60" t="n">
        <x:v>65.7313</x:v>
      </x:c>
      <x:c r="CA118" s="60" t="n">
        <x:v>65.9707</x:v>
      </x:c>
      <x:c r="CB118" s="60" t="n">
        <x:v>66.2292</x:v>
      </x:c>
      <x:c r="CC118" s="60" t="n">
        <x:v>66.4547</x:v>
      </x:c>
      <x:c r="CD118" s="60" t="n">
        <x:v>66.7209</x:v>
      </x:c>
      <x:c r="CE118" s="60" t="n">
        <x:v>66.968</x:v>
      </x:c>
      <x:c r="CF118" s="60" t="n">
        <x:v>67.2087</x:v>
      </x:c>
      <x:c r="CG118" s="60" t="n">
        <x:v>67.4531</x:v>
      </x:c>
      <x:c r="CH118" s="60" t="n">
        <x:v>67.6939</x:v>
      </x:c>
      <x:c r="CI118" s="60" t="n">
        <x:v>67.9493</x:v>
      </x:c>
      <x:c r="CJ118" s="60" t="n">
        <x:v>68.2248</x:v>
      </x:c>
      <x:c r="CK118" s="60" t="n">
        <x:v>68.5078</x:v>
      </x:c>
      <x:c r="CL118" s="60" t="n">
        <x:v>68.7917</x:v>
      </x:c>
      <x:c r="CM118" s="60" t="n">
        <x:v>69.0911</x:v>
      </x:c>
      <x:c r="CN118" s="60" t="n">
        <x:v>69.389</x:v>
      </x:c>
      <x:c r="CO118" s="60" t="n">
        <x:v>69.6945</x:v>
      </x:c>
      <x:c r="CP118" s="60" t="n">
        <x:v>70.0242</x:v>
      </x:c>
      <x:c r="CQ118" s="60" t="n">
        <x:v>70.4129</x:v>
      </x:c>
      <x:c r="CR118" s="60" t="n">
        <x:v>70.7705</x:v>
      </x:c>
      <x:c r="CS118" s="60" t="n">
        <x:v>71.2016</x:v>
      </x:c>
      <x:c r="CT118" s="60" t="n">
        <x:v>71.6759</x:v>
      </x:c>
      <x:c r="CU118" s="60" t="n">
        <x:v>72.124</x:v>
      </x:c>
      <x:c r="CV118" s="60" t="n">
        <x:v>72.6572</x:v>
      </x:c>
      <x:c r="CW118" s="60" t="n">
        <x:v>73.1392</x:v>
      </x:c>
      <x:c r="CX118" s="60" t="n">
        <x:v>73.8619</x:v>
      </x:c>
      <x:c r="CY118" s="60" t="n">
        <x:v>74.5925</x:v>
      </x:c>
      <x:c r="CZ118" s="60" t="n">
        <x:v>75.5328</x:v>
      </x:c>
      <x:c r="DA118" s="60" t="n">
        <x:v>77.0984</x:v>
      </x:c>
      <x:c r="DB118" s="60" t="n">
        <x:v>82.1665</x:v>
      </x:c>
    </x:row>
    <x:row r="119">
      <x:c r="A119" t="str">
        <x:v>コダック-1</x:v>
      </x:c>
      <x:c r="B119" t="str">
        <x:v>コダック</x:v>
      </x:c>
      <x:c r="C119" t="str">
        <x:v>共通</x:v>
      </x:c>
      <x:c r="D119" s="60" t="n">
        <x:v>62.5073</x:v>
      </x:c>
      <x:c r="E119" s="60" t="n">
        <x:v>8.8993</x:v>
      </x:c>
      <x:c r="F119" s="60" t="n">
        <x:v>33.9954</x:v>
      </x:c>
      <x:c r="G119" s="60" t="n">
        <x:v>42.0519</x:v>
      </x:c>
      <x:c r="H119" s="60" t="n">
        <x:v>43.6781</x:v>
      </x:c>
      <x:c r="I119" s="60" t="n">
        <x:v>45.0152</x:v>
      </x:c>
      <x:c r="J119" s="60" t="n">
        <x:v>45.9974</x:v>
      </x:c>
      <x:c r="K119" s="60" t="n">
        <x:v>46.8884</x:v>
      </x:c>
      <x:c r="L119" s="60" t="n">
        <x:v>47.6416</x:v>
      </x:c>
      <x:c r="M119" s="60" t="n">
        <x:v>48.2125</x:v>
      </x:c>
      <x:c r="N119" s="60" t="n">
        <x:v>48.8355</x:v>
      </x:c>
      <x:c r="O119" s="60" t="n">
        <x:v>49.3443</x:v>
      </x:c>
      <x:c r="P119" s="60" t="n">
        <x:v>49.8676</x:v>
      </x:c>
      <x:c r="Q119" s="60" t="n">
        <x:v>50.3936</x:v>
      </x:c>
      <x:c r="R119" s="60" t="n">
        <x:v>50.8548</x:v>
      </x:c>
      <x:c r="S119" s="60" t="n">
        <x:v>51.326</x:v>
      </x:c>
      <x:c r="T119" s="60" t="n">
        <x:v>51.7811</x:v>
      </x:c>
      <x:c r="U119" s="60" t="n">
        <x:v>52.1852</x:v>
      </x:c>
      <x:c r="V119" s="60" t="n">
        <x:v>52.6643</x:v>
      </x:c>
      <x:c r="W119" s="60" t="n">
        <x:v>53.0358</x:v>
      </x:c>
      <x:c r="X119" s="60" t="n">
        <x:v>53.453</x:v>
      </x:c>
      <x:c r="Y119" s="60" t="n">
        <x:v>53.8683</x:v>
      </x:c>
      <x:c r="Z119" s="60" t="n">
        <x:v>54.2391</x:v>
      </x:c>
      <x:c r="AA119" s="60" t="n">
        <x:v>54.6115</x:v>
      </x:c>
      <x:c r="AB119" s="60" t="n">
        <x:v>54.9999</x:v>
      </x:c>
      <x:c r="AC119" s="60" t="n">
        <x:v>55.3915</x:v>
      </x:c>
      <x:c r="AD119" s="60" t="n">
        <x:v>55.7947</x:v>
      </x:c>
      <x:c r="AE119" s="60" t="n">
        <x:v>56.1411</x:v>
      </x:c>
      <x:c r="AF119" s="60" t="n">
        <x:v>56.4929</x:v>
      </x:c>
      <x:c r="AG119" s="60" t="n">
        <x:v>56.817</x:v>
      </x:c>
      <x:c r="AH119" s="60" t="n">
        <x:v>57.1286</x:v>
      </x:c>
      <x:c r="AI119" s="60" t="n">
        <x:v>57.4681</x:v>
      </x:c>
      <x:c r="AJ119" s="60" t="n">
        <x:v>57.8244</x:v>
      </x:c>
      <x:c r="AK119" s="60" t="n">
        <x:v>58.1078</x:v>
      </x:c>
      <x:c r="AL119" s="60" t="n">
        <x:v>58.4153</x:v>
      </x:c>
      <x:c r="AM119" s="60" t="n">
        <x:v>58.6794</x:v>
      </x:c>
      <x:c r="AN119" s="60" t="n">
        <x:v>59.0071</x:v>
      </x:c>
      <x:c r="AO119" s="60" t="n">
        <x:v>59.3207</x:v>
      </x:c>
      <x:c r="AP119" s="60" t="n">
        <x:v>59.6175</x:v>
      </x:c>
      <x:c r="AQ119" s="60" t="n">
        <x:v>59.8794</x:v>
      </x:c>
      <x:c r="AR119" s="60" t="n">
        <x:v>60.1768</x:v>
      </x:c>
      <x:c r="AS119" s="60" t="n">
        <x:v>60.46</x:v>
      </x:c>
      <x:c r="AT119" s="60" t="n">
        <x:v>60.7167</x:v>
      </x:c>
      <x:c r="AU119" s="60" t="n">
        <x:v>60.9957</x:v>
      </x:c>
      <x:c r="AV119" s="60" t="n">
        <x:v>61.2864</x:v>
      </x:c>
      <x:c r="AW119" s="60" t="n">
        <x:v>61.5565</x:v>
      </x:c>
      <x:c r="AX119" s="60" t="n">
        <x:v>61.8614</x:v>
      </x:c>
      <x:c r="AY119" s="60" t="n">
        <x:v>62.1359</x:v>
      </x:c>
      <x:c r="AZ119" s="60" t="n">
        <x:v>62.3908</x:v>
      </x:c>
      <x:c r="BA119" s="60" t="n">
        <x:v>62.6191</x:v>
      </x:c>
      <x:c r="BB119" s="60" t="n">
        <x:v>62.8923</x:v>
      </x:c>
      <x:c r="BC119" s="60" t="n">
        <x:v>63.1557</x:v>
      </x:c>
      <x:c r="BD119" s="60" t="n">
        <x:v>63.4107</x:v>
      </x:c>
      <x:c r="BE119" s="60" t="n">
        <x:v>63.6805</x:v>
      </x:c>
      <x:c r="BF119" s="60" t="n">
        <x:v>63.9066</x:v>
      </x:c>
      <x:c r="BG119" s="60" t="n">
        <x:v>64.1907</x:v>
      </x:c>
      <x:c r="BH119" s="60" t="n">
        <x:v>64.4447</x:v>
      </x:c>
      <x:c r="BI119" s="60" t="n">
        <x:v>64.6769</x:v>
      </x:c>
      <x:c r="BJ119" s="60" t="n">
        <x:v>64.9145</x:v>
      </x:c>
      <x:c r="BK119" s="60" t="n">
        <x:v>65.1318</x:v>
      </x:c>
      <x:c r="BL119" s="60" t="n">
        <x:v>65.379</x:v>
      </x:c>
      <x:c r="BM119" s="60" t="n">
        <x:v>65.6089</x:v>
      </x:c>
      <x:c r="BN119" s="60" t="n">
        <x:v>65.808</x:v>
      </x:c>
      <x:c r="BO119" s="60" t="n">
        <x:v>66.0431</x:v>
      </x:c>
      <x:c r="BP119" s="60" t="n">
        <x:v>66.285</x:v>
      </x:c>
      <x:c r="BQ119" s="60" t="n">
        <x:v>66.5234</x:v>
      </x:c>
      <x:c r="BR119" s="60" t="n">
        <x:v>66.7624</x:v>
      </x:c>
      <x:c r="BS119" s="60" t="n">
        <x:v>67.013</x:v>
      </x:c>
      <x:c r="BT119" s="60" t="n">
        <x:v>67.2601</x:v>
      </x:c>
      <x:c r="BU119" s="60" t="n">
        <x:v>67.4787</x:v>
      </x:c>
      <x:c r="BV119" s="60" t="n">
        <x:v>67.7122</x:v>
      </x:c>
      <x:c r="BW119" s="60" t="n">
        <x:v>67.9498</x:v>
      </x:c>
      <x:c r="BX119" s="60" t="n">
        <x:v>68.1982</x:v>
      </x:c>
      <x:c r="BY119" s="60" t="n">
        <x:v>68.4717</x:v>
      </x:c>
      <x:c r="BZ119" s="60" t="n">
        <x:v>68.735</x:v>
      </x:c>
      <x:c r="CA119" s="60" t="n">
        <x:v>68.9653</x:v>
      </x:c>
      <x:c r="CB119" s="60" t="n">
        <x:v>69.244</x:v>
      </x:c>
      <x:c r="CC119" s="60" t="n">
        <x:v>69.5006</x:v>
      </x:c>
      <x:c r="CD119" s="60" t="n">
        <x:v>69.7557</x:v>
      </x:c>
      <x:c r="CE119" s="60" t="n">
        <x:v>69.9725</x:v>
      </x:c>
      <x:c r="CF119" s="60" t="n">
        <x:v>70.2285</x:v>
      </x:c>
      <x:c r="CG119" s="60" t="n">
        <x:v>70.4758</x:v>
      </x:c>
      <x:c r="CH119" s="60" t="n">
        <x:v>70.7398</x:v>
      </x:c>
      <x:c r="CI119" s="60" t="n">
        <x:v>71.0109</x:v>
      </x:c>
      <x:c r="CJ119" s="60" t="n">
        <x:v>71.2841</x:v>
      </x:c>
      <x:c r="CK119" s="60" t="n">
        <x:v>71.5473</x:v>
      </x:c>
      <x:c r="CL119" s="60" t="n">
        <x:v>71.806</x:v>
      </x:c>
      <x:c r="CM119" s="60" t="n">
        <x:v>72.1011</x:v>
      </x:c>
      <x:c r="CN119" s="60" t="n">
        <x:v>72.3645</x:v>
      </x:c>
      <x:c r="CO119" s="60" t="n">
        <x:v>72.6498</x:v>
      </x:c>
      <x:c r="CP119" s="60" t="n">
        <x:v>72.9748</x:v>
      </x:c>
      <x:c r="CQ119" s="60" t="n">
        <x:v>73.3142</x:v>
      </x:c>
      <x:c r="CR119" s="60" t="n">
        <x:v>73.63</x:v>
      </x:c>
      <x:c r="CS119" s="60" t="n">
        <x:v>74.0119</x:v>
      </x:c>
      <x:c r="CT119" s="60" t="n">
        <x:v>74.398</x:v>
      </x:c>
      <x:c r="CU119" s="60" t="n">
        <x:v>74.8248</x:v>
      </x:c>
      <x:c r="CV119" s="60" t="n">
        <x:v>75.251</x:v>
      </x:c>
      <x:c r="CW119" s="60" t="n">
        <x:v>75.7001</x:v>
      </x:c>
      <x:c r="CX119" s="60" t="n">
        <x:v>76.2136</x:v>
      </x:c>
      <x:c r="CY119" s="60" t="n">
        <x:v>76.7087</x:v>
      </x:c>
      <x:c r="CZ119" s="60" t="n">
        <x:v>77.5249</x:v>
      </x:c>
      <x:c r="DA119" s="60" t="n">
        <x:v>78.4904</x:v>
      </x:c>
      <x:c r="DB119" s="60" t="n">
        <x:v>82.9147</x:v>
      </x:c>
    </x:row>
    <x:row r="120">
      <x:c r="A120" t="str">
        <x:v>ハピナス-1</x:v>
      </x:c>
      <x:c r="B120" t="str">
        <x:v>ハピナス</x:v>
      </x:c>
      <x:c r="C120" t="str">
        <x:v>共通</x:v>
      </x:c>
      <x:c r="D120" s="60" t="n">
        <x:v>61.3642</x:v>
      </x:c>
      <x:c r="E120" s="60" t="n">
        <x:v>10.0424</x:v>
      </x:c>
      <x:c r="F120" s="60" t="n">
        <x:v>33.1871</x:v>
      </x:c>
      <x:c r="G120" s="60" t="n">
        <x:v>39.0579</x:v>
      </x:c>
      <x:c r="H120" s="60" t="n">
        <x:v>40.4724</x:v>
      </x:c>
      <x:c r="I120" s="60" t="n">
        <x:v>41.6526</x:v>
      </x:c>
      <x:c r="J120" s="60" t="n">
        <x:v>42.5396</x:v>
      </x:c>
      <x:c r="K120" s="60" t="n">
        <x:v>43.3964</x:v>
      </x:c>
      <x:c r="L120" s="60" t="n">
        <x:v>44.174</x:v>
      </x:c>
      <x:c r="M120" s="60" t="n">
        <x:v>44.9027</x:v>
      </x:c>
      <x:c r="N120" s="60" t="n">
        <x:v>45.5603</x:v>
      </x:c>
      <x:c r="O120" s="60" t="n">
        <x:v>46.2904</x:v>
      </x:c>
      <x:c r="P120" s="60" t="n">
        <x:v>46.8836</x:v>
      </x:c>
      <x:c r="Q120" s="60" t="n">
        <x:v>47.5136</x:v>
      </x:c>
      <x:c r="R120" s="60" t="n">
        <x:v>48.0863</x:v>
      </x:c>
      <x:c r="S120" s="60" t="n">
        <x:v>48.6096</x:v>
      </x:c>
      <x:c r="T120" s="60" t="n">
        <x:v>49.1465</x:v>
      </x:c>
      <x:c r="U120" s="60" t="n">
        <x:v>49.6376</x:v>
      </x:c>
      <x:c r="V120" s="60" t="n">
        <x:v>50.1243</x:v>
      </x:c>
      <x:c r="W120" s="60" t="n">
        <x:v>50.5603</x:v>
      </x:c>
      <x:c r="X120" s="60" t="n">
        <x:v>50.9868</x:v>
      </x:c>
      <x:c r="Y120" s="60" t="n">
        <x:v>51.4493</x:v>
      </x:c>
      <x:c r="Z120" s="60" t="n">
        <x:v>51.8951</x:v>
      </x:c>
      <x:c r="AA120" s="60" t="n">
        <x:v>52.3566</x:v>
      </x:c>
      <x:c r="AB120" s="60" t="n">
        <x:v>52.7888</x:v>
      </x:c>
      <x:c r="AC120" s="60" t="n">
        <x:v>53.2308</x:v>
      </x:c>
      <x:c r="AD120" s="60" t="n">
        <x:v>53.5927</x:v>
      </x:c>
      <x:c r="AE120" s="60" t="n">
        <x:v>53.996</x:v>
      </x:c>
      <x:c r="AF120" s="60" t="n">
        <x:v>54.4029</x:v>
      </x:c>
      <x:c r="AG120" s="60" t="n">
        <x:v>54.8037</x:v>
      </x:c>
      <x:c r="AH120" s="60" t="n">
        <x:v>55.2313</x:v>
      </x:c>
      <x:c r="AI120" s="60" t="n">
        <x:v>55.6098</x:v>
      </x:c>
      <x:c r="AJ120" s="60" t="n">
        <x:v>55.9955</x:v>
      </x:c>
      <x:c r="AK120" s="60" t="n">
        <x:v>56.3608</x:v>
      </x:c>
      <x:c r="AL120" s="60" t="n">
        <x:v>56.7082</x:v>
      </x:c>
      <x:c r="AM120" s="60" t="n">
        <x:v>57.0258</x:v>
      </x:c>
      <x:c r="AN120" s="60" t="n">
        <x:v>57.4145</x:v>
      </x:c>
      <x:c r="AO120" s="60" t="n">
        <x:v>57.78</x:v>
      </x:c>
      <x:c r="AP120" s="60" t="n">
        <x:v>58.1188</x:v>
      </x:c>
      <x:c r="AQ120" s="60" t="n">
        <x:v>58.4443</x:v>
      </x:c>
      <x:c r="AR120" s="60" t="n">
        <x:v>58.7479</x:v>
      </x:c>
      <x:c r="AS120" s="60" t="n">
        <x:v>59.1017</x:v>
      </x:c>
      <x:c r="AT120" s="60" t="n">
        <x:v>59.4333</x:v>
      </x:c>
      <x:c r="AU120" s="60" t="n">
        <x:v>59.7399</x:v>
      </x:c>
      <x:c r="AV120" s="60" t="n">
        <x:v>60.0435</x:v>
      </x:c>
      <x:c r="AW120" s="60" t="n">
        <x:v>60.356</x:v>
      </x:c>
      <x:c r="AX120" s="60" t="n">
        <x:v>60.6505</x:v>
      </x:c>
      <x:c r="AY120" s="60" t="n">
        <x:v>60.9776</x:v>
      </x:c>
      <x:c r="AZ120" s="60" t="n">
        <x:v>61.2826</x:v>
      </x:c>
      <x:c r="BA120" s="60" t="n">
        <x:v>61.5704</x:v>
      </x:c>
      <x:c r="BB120" s="60" t="n">
        <x:v>61.8713</x:v>
      </x:c>
      <x:c r="BC120" s="60" t="n">
        <x:v>62.1728</x:v>
      </x:c>
      <x:c r="BD120" s="60" t="n">
        <x:v>62.4652</x:v>
      </x:c>
      <x:c r="BE120" s="60" t="n">
        <x:v>62.7274</x:v>
      </x:c>
      <x:c r="BF120" s="60" t="n">
        <x:v>62.9882</x:v>
      </x:c>
      <x:c r="BG120" s="60" t="n">
        <x:v>63.251</x:v>
      </x:c>
      <x:c r="BH120" s="60" t="n">
        <x:v>63.5687</x:v>
      </x:c>
      <x:c r="BI120" s="60" t="n">
        <x:v>63.8496</x:v>
      </x:c>
      <x:c r="BJ120" s="60" t="n">
        <x:v>64.1053</x:v>
      </x:c>
      <x:c r="BK120" s="60" t="n">
        <x:v>64.3701</x:v>
      </x:c>
      <x:c r="BL120" s="60" t="n">
        <x:v>64.7167</x:v>
      </x:c>
      <x:c r="BM120" s="60" t="n">
        <x:v>64.9763</x:v>
      </x:c>
      <x:c r="BN120" s="60" t="n">
        <x:v>65.2235</x:v>
      </x:c>
      <x:c r="BO120" s="60" t="n">
        <x:v>65.491</x:v>
      </x:c>
      <x:c r="BP120" s="60" t="n">
        <x:v>65.7554</x:v>
      </x:c>
      <x:c r="BQ120" s="60" t="n">
        <x:v>66.0513</x:v>
      </x:c>
      <x:c r="BR120" s="60" t="n">
        <x:v>66.3508</x:v>
      </x:c>
      <x:c r="BS120" s="60" t="n">
        <x:v>66.6032</x:v>
      </x:c>
      <x:c r="BT120" s="60" t="n">
        <x:v>66.8607</x:v>
      </x:c>
      <x:c r="BU120" s="60" t="n">
        <x:v>67.1302</x:v>
      </x:c>
      <x:c r="BV120" s="60" t="n">
        <x:v>67.3611</x:v>
      </x:c>
      <x:c r="BW120" s="60" t="n">
        <x:v>67.6359</x:v>
      </x:c>
      <x:c r="BX120" s="60" t="n">
        <x:v>67.8862</x:v>
      </x:c>
      <x:c r="BY120" s="60" t="n">
        <x:v>68.1683</x:v>
      </x:c>
      <x:c r="BZ120" s="60" t="n">
        <x:v>68.4327</x:v>
      </x:c>
      <x:c r="CA120" s="60" t="n">
        <x:v>68.7334</x:v>
      </x:c>
      <x:c r="CB120" s="60" t="n">
        <x:v>69.0001</x:v>
      </x:c>
      <x:c r="CC120" s="60" t="n">
        <x:v>69.2818</x:v>
      </x:c>
      <x:c r="CD120" s="60" t="n">
        <x:v>69.5344</x:v>
      </x:c>
      <x:c r="CE120" s="60" t="n">
        <x:v>69.7909</x:v>
      </x:c>
      <x:c r="CF120" s="60" t="n">
        <x:v>70.0619</x:v>
      </x:c>
      <x:c r="CG120" s="60" t="n">
        <x:v>70.349</x:v>
      </x:c>
      <x:c r="CH120" s="60" t="n">
        <x:v>70.6452</x:v>
      </x:c>
      <x:c r="CI120" s="60" t="n">
        <x:v>70.9765</x:v>
      </x:c>
      <x:c r="CJ120" s="60" t="n">
        <x:v>71.2693</x:v>
      </x:c>
      <x:c r="CK120" s="60" t="n">
        <x:v>71.5643</x:v>
      </x:c>
      <x:c r="CL120" s="60" t="n">
        <x:v>71.8927</x:v>
      </x:c>
      <x:c r="CM120" s="60" t="n">
        <x:v>72.189</x:v>
      </x:c>
      <x:c r="CN120" s="60" t="n">
        <x:v>72.5005</x:v>
      </x:c>
      <x:c r="CO120" s="60" t="n">
        <x:v>72.7931</x:v>
      </x:c>
      <x:c r="CP120" s="60" t="n">
        <x:v>73.1795</x:v>
      </x:c>
      <x:c r="CQ120" s="60" t="n">
        <x:v>73.5549</x:v>
      </x:c>
      <x:c r="CR120" s="60" t="n">
        <x:v>73.9217</x:v>
      </x:c>
      <x:c r="CS120" s="60" t="n">
        <x:v>74.3284</x:v>
      </x:c>
      <x:c r="CT120" s="60" t="n">
        <x:v>74.7293</x:v>
      </x:c>
      <x:c r="CU120" s="60" t="n">
        <x:v>75.1587</x:v>
      </x:c>
      <x:c r="CV120" s="60" t="n">
        <x:v>75.6206</x:v>
      </x:c>
      <x:c r="CW120" s="60" t="n">
        <x:v>76.1008</x:v>
      </x:c>
      <x:c r="CX120" s="60" t="n">
        <x:v>76.6382</x:v>
      </x:c>
      <x:c r="CY120" s="60" t="n">
        <x:v>77.3447</x:v>
      </x:c>
      <x:c r="CZ120" s="60" t="n">
        <x:v>78.0804</x:v>
      </x:c>
      <x:c r="DA120" s="60" t="n">
        <x:v>79.3312</x:v>
      </x:c>
      <x:c r="DB120" s="60" t="n">
        <x:v>84.123</x:v>
      </x:c>
    </x:row>
    <x:row r="121">
      <x:c r="A121" t="str">
        <x:v>バリヤード-1</x:v>
      </x:c>
      <x:c r="B121" t="str">
        <x:v>バリヤード</x:v>
      </x:c>
      <x:c r="C121" t="str">
        <x:v>バリアー</x:v>
      </x:c>
      <x:c r="D121" s="60" t="n">
        <x:v>62.3333</x:v>
      </x:c>
      <x:c r="E121" s="60" t="n">
        <x:v>8.7491</x:v>
      </x:c>
      <x:c r="F121" s="60" t="n">
        <x:v>35.3826</x:v>
      </x:c>
      <x:c r="G121" s="60" t="n">
        <x:v>42.3801</x:v>
      </x:c>
      <x:c r="H121" s="60" t="n">
        <x:v>44.0304</x:v>
      </x:c>
      <x:c r="I121" s="60" t="n">
        <x:v>45.3364</x:v>
      </x:c>
      <x:c r="J121" s="60" t="n">
        <x:v>46.2668</x:v>
      </x:c>
      <x:c r="K121" s="60" t="n">
        <x:v>47.0645</x:v>
      </x:c>
      <x:c r="L121" s="60" t="n">
        <x:v>47.78</x:v>
      </x:c>
      <x:c r="M121" s="60" t="n">
        <x:v>48.3569</x:v>
      </x:c>
      <x:c r="N121" s="60" t="n">
        <x:v>48.9751</x:v>
      </x:c>
      <x:c r="O121" s="60" t="n">
        <x:v>49.5373</x:v>
      </x:c>
      <x:c r="P121" s="60" t="n">
        <x:v>50.155</x:v>
      </x:c>
      <x:c r="Q121" s="60" t="n">
        <x:v>50.632</x:v>
      </x:c>
      <x:c r="R121" s="60" t="n">
        <x:v>51.1242</x:v>
      </x:c>
      <x:c r="S121" s="60" t="n">
        <x:v>51.6141</x:v>
      </x:c>
      <x:c r="T121" s="60" t="n">
        <x:v>52.0829</x:v>
      </x:c>
      <x:c r="U121" s="60" t="n">
        <x:v>52.4684</x:v>
      </x:c>
      <x:c r="V121" s="60" t="n">
        <x:v>52.864</x:v>
      </x:c>
      <x:c r="W121" s="60" t="n">
        <x:v>53.2253</x:v>
      </x:c>
      <x:c r="X121" s="60" t="n">
        <x:v>53.6535</x:v>
      </x:c>
      <x:c r="Y121" s="60" t="n">
        <x:v>54.0217</x:v>
      </x:c>
      <x:c r="Z121" s="60" t="n">
        <x:v>54.333</x:v>
      </x:c>
      <x:c r="AA121" s="60" t="n">
        <x:v>54.6364</x:v>
      </x:c>
      <x:c r="AB121" s="60" t="n">
        <x:v>54.9763</x:v>
      </x:c>
      <x:c r="AC121" s="60" t="n">
        <x:v>55.3117</x:v>
      </x:c>
      <x:c r="AD121" s="60" t="n">
        <x:v>55.6083</x:v>
      </x:c>
      <x:c r="AE121" s="60" t="n">
        <x:v>55.9698</x:v>
      </x:c>
      <x:c r="AF121" s="60" t="n">
        <x:v>56.2882</x:v>
      </x:c>
      <x:c r="AG121" s="60" t="n">
        <x:v>56.5758</x:v>
      </x:c>
      <x:c r="AH121" s="60" t="n">
        <x:v>56.9272</x:v>
      </x:c>
      <x:c r="AI121" s="60" t="n">
        <x:v>57.245</x:v>
      </x:c>
      <x:c r="AJ121" s="60" t="n">
        <x:v>57.5344</x:v>
      </x:c>
      <x:c r="AK121" s="60" t="n">
        <x:v>57.8588</x:v>
      </x:c>
      <x:c r="AL121" s="60" t="n">
        <x:v>58.1394</x:v>
      </x:c>
      <x:c r="AM121" s="60" t="n">
        <x:v>58.4419</x:v>
      </x:c>
      <x:c r="AN121" s="60" t="n">
        <x:v>58.7324</x:v>
      </x:c>
      <x:c r="AO121" s="60" t="n">
        <x:v>59.0217</x:v>
      </x:c>
      <x:c r="AP121" s="60" t="n">
        <x:v>59.2625</x:v>
      </x:c>
      <x:c r="AQ121" s="60" t="n">
        <x:v>59.5717</x:v>
      </x:c>
      <x:c r="AR121" s="60" t="n">
        <x:v>59.8363</x:v>
      </x:c>
      <x:c r="AS121" s="60" t="n">
        <x:v>60.1197</x:v>
      </x:c>
      <x:c r="AT121" s="60" t="n">
        <x:v>60.3827</x:v>
      </x:c>
      <x:c r="AU121" s="60" t="n">
        <x:v>60.6352</x:v>
      </x:c>
      <x:c r="AV121" s="60" t="n">
        <x:v>60.8906</x:v>
      </x:c>
      <x:c r="AW121" s="60" t="n">
        <x:v>61.1566</x:v>
      </x:c>
      <x:c r="AX121" s="60" t="n">
        <x:v>61.436</x:v>
      </x:c>
      <x:c r="AY121" s="60" t="n">
        <x:v>61.702</x:v>
      </x:c>
      <x:c r="AZ121" s="60" t="n">
        <x:v>61.9527</x:v>
      </x:c>
      <x:c r="BA121" s="60" t="n">
        <x:v>62.2208</x:v>
      </x:c>
      <x:c r="BB121" s="60" t="n">
        <x:v>62.4578</x:v>
      </x:c>
      <x:c r="BC121" s="60" t="n">
        <x:v>62.7378</x:v>
      </x:c>
      <x:c r="BD121" s="60" t="n">
        <x:v>63.0061</x:v>
      </x:c>
      <x:c r="BE121" s="60" t="n">
        <x:v>63.2541</x:v>
      </x:c>
      <x:c r="BF121" s="60" t="n">
        <x:v>63.4883</x:v>
      </x:c>
      <x:c r="BG121" s="60" t="n">
        <x:v>63.7636</x:v>
      </x:c>
      <x:c r="BH121" s="60" t="n">
        <x:v>63.9777</x:v>
      </x:c>
      <x:c r="BI121" s="60" t="n">
        <x:v>64.212</x:v>
      </x:c>
      <x:c r="BJ121" s="60" t="n">
        <x:v>64.4508</x:v>
      </x:c>
      <x:c r="BK121" s="60" t="n">
        <x:v>64.6853</x:v>
      </x:c>
      <x:c r="BL121" s="60" t="n">
        <x:v>64.9341</x:v>
      </x:c>
      <x:c r="BM121" s="60" t="n">
        <x:v>65.1692</x:v>
      </x:c>
      <x:c r="BN121" s="60" t="n">
        <x:v>65.4366</x:v>
      </x:c>
      <x:c r="BO121" s="60" t="n">
        <x:v>65.6951</x:v>
      </x:c>
      <x:c r="BP121" s="60" t="n">
        <x:v>65.9249</x:v>
      </x:c>
      <x:c r="BQ121" s="60" t="n">
        <x:v>66.2149</x:v>
      </x:c>
      <x:c r="BR121" s="60" t="n">
        <x:v>66.4432</x:v>
      </x:c>
      <x:c r="BS121" s="60" t="n">
        <x:v>66.6696</x:v>
      </x:c>
      <x:c r="BT121" s="60" t="n">
        <x:v>66.9165</x:v>
      </x:c>
      <x:c r="BU121" s="60" t="n">
        <x:v>67.1532</x:v>
      </x:c>
      <x:c r="BV121" s="60" t="n">
        <x:v>67.395</x:v>
      </x:c>
      <x:c r="BW121" s="60" t="n">
        <x:v>67.6362</x:v>
      </x:c>
      <x:c r="BX121" s="60" t="n">
        <x:v>67.8886</x:v>
      </x:c>
      <x:c r="BY121" s="60" t="n">
        <x:v>68.1325</x:v>
      </x:c>
      <x:c r="BZ121" s="60" t="n">
        <x:v>68.3934</x:v>
      </x:c>
      <x:c r="CA121" s="60" t="n">
        <x:v>68.689</x:v>
      </x:c>
      <x:c r="CB121" s="60" t="n">
        <x:v>68.9281</x:v>
      </x:c>
      <x:c r="CC121" s="60" t="n">
        <x:v>69.1832</x:v>
      </x:c>
      <x:c r="CD121" s="60" t="n">
        <x:v>69.4368</x:v>
      </x:c>
      <x:c r="CE121" s="60" t="n">
        <x:v>69.713</x:v>
      </x:c>
      <x:c r="CF121" s="60" t="n">
        <x:v>69.9661</x:v>
      </x:c>
      <x:c r="CG121" s="60" t="n">
        <x:v>70.2503</x:v>
      </x:c>
      <x:c r="CH121" s="60" t="n">
        <x:v>70.5258</x:v>
      </x:c>
      <x:c r="CI121" s="60" t="n">
        <x:v>70.7947</x:v>
      </x:c>
      <x:c r="CJ121" s="60" t="n">
        <x:v>71.1195</x:v>
      </x:c>
      <x:c r="CK121" s="60" t="n">
        <x:v>71.3507</x:v>
      </x:c>
      <x:c r="CL121" s="60" t="n">
        <x:v>71.607</x:v>
      </x:c>
      <x:c r="CM121" s="60" t="n">
        <x:v>71.8943</x:v>
      </x:c>
      <x:c r="CN121" s="60" t="n">
        <x:v>72.2467</x:v>
      </x:c>
      <x:c r="CO121" s="60" t="n">
        <x:v>72.5526</x:v>
      </x:c>
      <x:c r="CP121" s="60" t="n">
        <x:v>72.9035</x:v>
      </x:c>
      <x:c r="CQ121" s="60" t="n">
        <x:v>73.2546</x:v>
      </x:c>
      <x:c r="CR121" s="60" t="n">
        <x:v>73.5858</x:v>
      </x:c>
      <x:c r="CS121" s="60" t="n">
        <x:v>73.8956</x:v>
      </x:c>
      <x:c r="CT121" s="60" t="n">
        <x:v>74.2937</x:v>
      </x:c>
      <x:c r="CU121" s="60" t="n">
        <x:v>74.6606</x:v>
      </x:c>
      <x:c r="CV121" s="60" t="n">
        <x:v>75.072</x:v>
      </x:c>
      <x:c r="CW121" s="60" t="n">
        <x:v>75.4833</x:v>
      </x:c>
      <x:c r="CX121" s="60" t="n">
        <x:v>75.9952</x:v>
      </x:c>
      <x:c r="CY121" s="60" t="n">
        <x:v>76.5689</x:v>
      </x:c>
      <x:c r="CZ121" s="60" t="n">
        <x:v>77.3225</x:v>
      </x:c>
      <x:c r="DA121" s="60" t="n">
        <x:v>78.228</x:v>
      </x:c>
      <x:c r="DB121" s="60" t="n">
        <x:v>81.2714</x:v>
      </x:c>
    </x:row>
    <x:row r="122">
      <x:c r="A122" t="str">
        <x:v>バリヤード-2</x:v>
      </x:c>
      <x:c r="B122" t="str">
        <x:v>バリヤード</x:v>
      </x:c>
      <x:c r="C122" t="str">
        <x:v>パワースワップ</x:v>
      </x:c>
      <x:c r="D122" s="60" t="n">
        <x:v>62.6884</x:v>
      </x:c>
      <x:c r="E122" s="60" t="n">
        <x:v>11.1247</x:v>
      </x:c>
      <x:c r="F122" s="60" t="n">
        <x:v>31.6359</x:v>
      </x:c>
      <x:c r="G122" s="60" t="n">
        <x:v>37.5008</x:v>
      </x:c>
      <x:c r="H122" s="60" t="n">
        <x:v>39.1393</x:v>
      </x:c>
      <x:c r="I122" s="60" t="n">
        <x:v>40.3412</x:v>
      </x:c>
      <x:c r="J122" s="60" t="n">
        <x:v>41.53</x:v>
      </x:c>
      <x:c r="K122" s="60" t="n">
        <x:v>42.535</x:v>
      </x:c>
      <x:c r="L122" s="60" t="n">
        <x:v>43.4597</x:v>
      </x:c>
      <x:c r="M122" s="60" t="n">
        <x:v>44.2095</x:v>
      </x:c>
      <x:c r="N122" s="60" t="n">
        <x:v>45.016</x:v>
      </x:c>
      <x:c r="O122" s="60" t="n">
        <x:v>45.646</x:v>
      </x:c>
      <x:c r="P122" s="60" t="n">
        <x:v>46.3908</x:v>
      </x:c>
      <x:c r="Q122" s="60" t="n">
        <x:v>47.0727</x:v>
      </x:c>
      <x:c r="R122" s="60" t="n">
        <x:v>47.7584</x:v>
      </x:c>
      <x:c r="S122" s="60" t="n">
        <x:v>48.3758</x:v>
      </x:c>
      <x:c r="T122" s="60" t="n">
        <x:v>49.1001</x:v>
      </x:c>
      <x:c r="U122" s="60" t="n">
        <x:v>49.6844</x:v>
      </x:c>
      <x:c r="V122" s="60" t="n">
        <x:v>50.2041</x:v>
      </x:c>
      <x:c r="W122" s="60" t="n">
        <x:v>50.7617</x:v>
      </x:c>
      <x:c r="X122" s="60" t="n">
        <x:v>51.3239</x:v>
      </x:c>
      <x:c r="Y122" s="60" t="n">
        <x:v>51.8923</x:v>
      </x:c>
      <x:c r="Z122" s="60" t="n">
        <x:v>52.3511</x:v>
      </x:c>
      <x:c r="AA122" s="60" t="n">
        <x:v>52.856</x:v>
      </x:c>
      <x:c r="AB122" s="60" t="n">
        <x:v>53.3866</x:v>
      </x:c>
      <x:c r="AC122" s="60" t="n">
        <x:v>53.8333</x:v>
      </x:c>
      <x:c r="AD122" s="60" t="n">
        <x:v>54.2418</x:v>
      </x:c>
      <x:c r="AE122" s="60" t="n">
        <x:v>54.647</x:v>
      </x:c>
      <x:c r="AF122" s="60" t="n">
        <x:v>55.075</x:v>
      </x:c>
      <x:c r="AG122" s="60" t="n">
        <x:v>55.5148</x:v>
      </x:c>
      <x:c r="AH122" s="60" t="n">
        <x:v>55.9861</x:v>
      </x:c>
      <x:c r="AI122" s="60" t="n">
        <x:v>56.4061</x:v>
      </x:c>
      <x:c r="AJ122" s="60" t="n">
        <x:v>56.851</x:v>
      </x:c>
      <x:c r="AK122" s="60" t="n">
        <x:v>57.2522</x:v>
      </x:c>
      <x:c r="AL122" s="60" t="n">
        <x:v>57.7022</x:v>
      </x:c>
      <x:c r="AM122" s="60" t="n">
        <x:v>58.1013</x:v>
      </x:c>
      <x:c r="AN122" s="60" t="n">
        <x:v>58.4978</x:v>
      </x:c>
      <x:c r="AO122" s="60" t="n">
        <x:v>58.8704</x:v>
      </x:c>
      <x:c r="AP122" s="60" t="n">
        <x:v>59.2542</x:v>
      </x:c>
      <x:c r="AQ122" s="60" t="n">
        <x:v>59.6009</x:v>
      </x:c>
      <x:c r="AR122" s="60" t="n">
        <x:v>60.0088</x:v>
      </x:c>
      <x:c r="AS122" s="60" t="n">
        <x:v>60.3374</x:v>
      </x:c>
      <x:c r="AT122" s="60" t="n">
        <x:v>60.6859</x:v>
      </x:c>
      <x:c r="AU122" s="60" t="n">
        <x:v>61.0671</x:v>
      </x:c>
      <x:c r="AV122" s="60" t="n">
        <x:v>61.3982</x:v>
      </x:c>
      <x:c r="AW122" s="60" t="n">
        <x:v>61.7578</x:v>
      </x:c>
      <x:c r="AX122" s="60" t="n">
        <x:v>62.0997</x:v>
      </x:c>
      <x:c r="AY122" s="60" t="n">
        <x:v>62.4708</x:v>
      </x:c>
      <x:c r="AZ122" s="60" t="n">
        <x:v>62.7873</x:v>
      </x:c>
      <x:c r="BA122" s="60" t="n">
        <x:v>63.1117</x:v>
      </x:c>
      <x:c r="BB122" s="60" t="n">
        <x:v>63.4062</x:v>
      </x:c>
      <x:c r="BC122" s="60" t="n">
        <x:v>63.715</x:v>
      </x:c>
      <x:c r="BD122" s="60" t="n">
        <x:v>64.052</x:v>
      </x:c>
      <x:c r="BE122" s="60" t="n">
        <x:v>64.3673</x:v>
      </x:c>
      <x:c r="BF122" s="60" t="n">
        <x:v>64.6863</x:v>
      </x:c>
      <x:c r="BG122" s="60" t="n">
        <x:v>65.0429</x:v>
      </x:c>
      <x:c r="BH122" s="60" t="n">
        <x:v>65.3359</x:v>
      </x:c>
      <x:c r="BI122" s="60" t="n">
        <x:v>65.6413</x:v>
      </x:c>
      <x:c r="BJ122" s="60" t="n">
        <x:v>65.9591</x:v>
      </x:c>
      <x:c r="BK122" s="60" t="n">
        <x:v>66.2645</x:v>
      </x:c>
      <x:c r="BL122" s="60" t="n">
        <x:v>66.56</x:v>
      </x:c>
      <x:c r="BM122" s="60" t="n">
        <x:v>66.8407</x:v>
      </x:c>
      <x:c r="BN122" s="60" t="n">
        <x:v>67.1272</x:v>
      </x:c>
      <x:c r="BO122" s="60" t="n">
        <x:v>67.4215</x:v>
      </x:c>
      <x:c r="BP122" s="60" t="n">
        <x:v>67.724</x:v>
      </x:c>
      <x:c r="BQ122" s="60" t="n">
        <x:v>68.021</x:v>
      </x:c>
      <x:c r="BR122" s="60" t="n">
        <x:v>68.2825</x:v>
      </x:c>
      <x:c r="BS122" s="60" t="n">
        <x:v>68.6088</x:v>
      </x:c>
      <x:c r="BT122" s="60" t="n">
        <x:v>68.8941</x:v>
      </x:c>
      <x:c r="BU122" s="60" t="n">
        <x:v>69.2241</x:v>
      </x:c>
      <x:c r="BV122" s="60" t="n">
        <x:v>69.4997</x:v>
      </x:c>
      <x:c r="BW122" s="60" t="n">
        <x:v>69.7903</x:v>
      </x:c>
      <x:c r="BX122" s="60" t="n">
        <x:v>70.0858</x:v>
      </x:c>
      <x:c r="BY122" s="60" t="n">
        <x:v>70.3547</x:v>
      </x:c>
      <x:c r="BZ122" s="60" t="n">
        <x:v>70.5987</x:v>
      </x:c>
      <x:c r="CA122" s="60" t="n">
        <x:v>70.8797</x:v>
      </x:c>
      <x:c r="CB122" s="60" t="n">
        <x:v>71.2045</x:v>
      </x:c>
      <x:c r="CC122" s="60" t="n">
        <x:v>71.5057</x:v>
      </x:c>
      <x:c r="CD122" s="60" t="n">
        <x:v>71.7988</x:v>
      </x:c>
      <x:c r="CE122" s="60" t="n">
        <x:v>72.1065</x:v>
      </x:c>
      <x:c r="CF122" s="60" t="n">
        <x:v>72.3985</x:v>
      </x:c>
      <x:c r="CG122" s="60" t="n">
        <x:v>72.6855</x:v>
      </x:c>
      <x:c r="CH122" s="60" t="n">
        <x:v>73.018</x:v>
      </x:c>
      <x:c r="CI122" s="60" t="n">
        <x:v>73.3497</x:v>
      </x:c>
      <x:c r="CJ122" s="60" t="n">
        <x:v>73.6725</x:v>
      </x:c>
      <x:c r="CK122" s="60" t="n">
        <x:v>73.997</x:v>
      </x:c>
      <x:c r="CL122" s="60" t="n">
        <x:v>74.3257</x:v>
      </x:c>
      <x:c r="CM122" s="60" t="n">
        <x:v>74.6624</x:v>
      </x:c>
      <x:c r="CN122" s="60" t="n">
        <x:v>74.958</x:v>
      </x:c>
      <x:c r="CO122" s="60" t="n">
        <x:v>75.3264</x:v>
      </x:c>
      <x:c r="CP122" s="60" t="n">
        <x:v>75.6382</x:v>
      </x:c>
      <x:c r="CQ122" s="60" t="n">
        <x:v>75.9645</x:v>
      </x:c>
      <x:c r="CR122" s="60" t="n">
        <x:v>76.3823</x:v>
      </x:c>
      <x:c r="CS122" s="60" t="n">
        <x:v>76.7676</x:v>
      </x:c>
      <x:c r="CT122" s="60" t="n">
        <x:v>77.1566</x:v>
      </x:c>
      <x:c r="CU122" s="60" t="n">
        <x:v>77.6148</x:v>
      </x:c>
      <x:c r="CV122" s="60" t="n">
        <x:v>78.0662</x:v>
      </x:c>
      <x:c r="CW122" s="60" t="n">
        <x:v>78.5926</x:v>
      </x:c>
      <x:c r="CX122" s="60" t="n">
        <x:v>79.196</x:v>
      </x:c>
      <x:c r="CY122" s="60" t="n">
        <x:v>79.8985</x:v>
      </x:c>
      <x:c r="CZ122" s="60" t="n">
        <x:v>80.7502</x:v>
      </x:c>
      <x:c r="DA122" s="60" t="n">
        <x:v>81.9337</x:v>
      </x:c>
      <x:c r="DB122" s="60" t="n">
        <x:v>86.8742</x:v>
      </x:c>
    </x:row>
    <x:row r="123">
      <x:c r="A123" t="str">
        <x:v>ピクシー-1</x:v>
      </x:c>
      <x:c r="B123" t="str">
        <x:v>ピクシー</x:v>
      </x:c>
      <x:c r="C123" t="str">
        <x:v>共通</x:v>
      </x:c>
      <x:c r="D123" s="60" t="n">
        <x:v>60.8019</x:v>
      </x:c>
      <x:c r="E123" s="60" t="n">
        <x:v>11.3762</x:v>
      </x:c>
      <x:c r="F123" s="60" t="n">
        <x:v>30.9898</x:v>
      </x:c>
      <x:c r="G123" s="60" t="n">
        <x:v>36.5076</x:v>
      </x:c>
      <x:c r="H123" s="60" t="n">
        <x:v>37.802</x:v>
      </x:c>
      <x:c r="I123" s="60" t="n">
        <x:v>38.9424</x:v>
      </x:c>
      <x:c r="J123" s="60" t="n">
        <x:v>39.9443</x:v>
      </x:c>
      <x:c r="K123" s="60" t="n">
        <x:v>40.784</x:v>
      </x:c>
      <x:c r="L123" s="60" t="n">
        <x:v>41.626</x:v>
      </x:c>
      <x:c r="M123" s="60" t="n">
        <x:v>42.4943</x:v>
      </x:c>
      <x:c r="N123" s="60" t="n">
        <x:v>43.1784</x:v>
      </x:c>
      <x:c r="O123" s="60" t="n">
        <x:v>43.8693</x:v>
      </x:c>
      <x:c r="P123" s="60" t="n">
        <x:v>44.4701</x:v>
      </x:c>
      <x:c r="Q123" s="60" t="n">
        <x:v>45.1432</x:v>
      </x:c>
      <x:c r="R123" s="60" t="n">
        <x:v>45.7946</x:v>
      </x:c>
      <x:c r="S123" s="60" t="n">
        <x:v>46.3506</x:v>
      </x:c>
      <x:c r="T123" s="60" t="n">
        <x:v>46.9045</x:v>
      </x:c>
      <x:c r="U123" s="60" t="n">
        <x:v>47.4503</x:v>
      </x:c>
      <x:c r="V123" s="60" t="n">
        <x:v>48.0383</x:v>
      </x:c>
      <x:c r="W123" s="60" t="n">
        <x:v>48.5669</x:v>
      </x:c>
      <x:c r="X123" s="60" t="n">
        <x:v>49.0445</x:v>
      </x:c>
      <x:c r="Y123" s="60" t="n">
        <x:v>49.6007</x:v>
      </x:c>
      <x:c r="Z123" s="60" t="n">
        <x:v>50.1039</x:v>
      </x:c>
      <x:c r="AA123" s="60" t="n">
        <x:v>50.544</x:v>
      </x:c>
      <x:c r="AB123" s="60" t="n">
        <x:v>51.0211</x:v>
      </x:c>
      <x:c r="AC123" s="60" t="n">
        <x:v>51.4715</x:v>
      </x:c>
      <x:c r="AD123" s="60" t="n">
        <x:v>51.8944</x:v>
      </x:c>
      <x:c r="AE123" s="60" t="n">
        <x:v>52.323</x:v>
      </x:c>
      <x:c r="AF123" s="60" t="n">
        <x:v>52.7867</x:v>
      </x:c>
      <x:c r="AG123" s="60" t="n">
        <x:v>53.2594</x:v>
      </x:c>
      <x:c r="AH123" s="60" t="n">
        <x:v>53.6696</x:v>
      </x:c>
      <x:c r="AI123" s="60" t="n">
        <x:v>54.0725</x:v>
      </x:c>
      <x:c r="AJ123" s="60" t="n">
        <x:v>54.5262</x:v>
      </x:c>
      <x:c r="AK123" s="60" t="n">
        <x:v>54.8884</x:v>
      </x:c>
      <x:c r="AL123" s="60" t="n">
        <x:v>55.291</x:v>
      </x:c>
      <x:c r="AM123" s="60" t="n">
        <x:v>55.6423</x:v>
      </x:c>
      <x:c r="AN123" s="60" t="n">
        <x:v>56.0379</x:v>
      </x:c>
      <x:c r="AO123" s="60" t="n">
        <x:v>56.4579</x:v>
      </x:c>
      <x:c r="AP123" s="60" t="n">
        <x:v>56.8627</x:v>
      </x:c>
      <x:c r="AQ123" s="60" t="n">
        <x:v>57.246</x:v>
      </x:c>
      <x:c r="AR123" s="60" t="n">
        <x:v>57.6406</x:v>
      </x:c>
      <x:c r="AS123" s="60" t="n">
        <x:v>58.0042</x:v>
      </x:c>
      <x:c r="AT123" s="60" t="n">
        <x:v>58.3209</x:v>
      </x:c>
      <x:c r="AU123" s="60" t="n">
        <x:v>58.6376</x:v>
      </x:c>
      <x:c r="AV123" s="60" t="n">
        <x:v>58.9628</x:v>
      </x:c>
      <x:c r="AW123" s="60" t="n">
        <x:v>59.3277</x:v>
      </x:c>
      <x:c r="AX123" s="60" t="n">
        <x:v>59.64</x:v>
      </x:c>
      <x:c r="AY123" s="60" t="n">
        <x:v>60.0107</x:v>
      </x:c>
      <x:c r="AZ123" s="60" t="n">
        <x:v>60.3406</x:v>
      </x:c>
      <x:c r="BA123" s="60" t="n">
        <x:v>60.6922</x:v>
      </x:c>
      <x:c r="BB123" s="60" t="n">
        <x:v>61.0193</x:v>
      </x:c>
      <x:c r="BC123" s="60" t="n">
        <x:v>61.3576</x:v>
      </x:c>
      <x:c r="BD123" s="60" t="n">
        <x:v>61.7079</x:v>
      </x:c>
      <x:c r="BE123" s="60" t="n">
        <x:v>62.0529</x:v>
      </x:c>
      <x:c r="BF123" s="60" t="n">
        <x:v>62.3894</x:v>
      </x:c>
      <x:c r="BG123" s="60" t="n">
        <x:v>62.7081</x:v>
      </x:c>
      <x:c r="BH123" s="60" t="n">
        <x:v>63.0428</x:v>
      </x:c>
      <x:c r="BI123" s="60" t="n">
        <x:v>63.392</x:v>
      </x:c>
      <x:c r="BJ123" s="60" t="n">
        <x:v>63.6923</x:v>
      </x:c>
      <x:c r="BK123" s="60" t="n">
        <x:v>64.0393</x:v>
      </x:c>
      <x:c r="BL123" s="60" t="n">
        <x:v>64.3428</x:v>
      </x:c>
      <x:c r="BM123" s="60" t="n">
        <x:v>64.6679</x:v>
      </x:c>
      <x:c r="BN123" s="60" t="n">
        <x:v>64.985</x:v>
      </x:c>
      <x:c r="BO123" s="60" t="n">
        <x:v>65.3015</x:v>
      </x:c>
      <x:c r="BP123" s="60" t="n">
        <x:v>65.6253</x:v>
      </x:c>
      <x:c r="BQ123" s="60" t="n">
        <x:v>65.8924</x:v>
      </x:c>
      <x:c r="BR123" s="60" t="n">
        <x:v>66.2209</x:v>
      </x:c>
      <x:c r="BS123" s="60" t="n">
        <x:v>66.5707</x:v>
      </x:c>
      <x:c r="BT123" s="60" t="n">
        <x:v>66.8891</x:v>
      </x:c>
      <x:c r="BU123" s="60" t="n">
        <x:v>67.2006</x:v>
      </x:c>
      <x:c r="BV123" s="60" t="n">
        <x:v>67.5382</x:v>
      </x:c>
      <x:c r="BW123" s="60" t="n">
        <x:v>67.838</x:v>
      </x:c>
      <x:c r="BX123" s="60" t="n">
        <x:v>68.1323</x:v>
      </x:c>
      <x:c r="BY123" s="60" t="n">
        <x:v>68.4741</x:v>
      </x:c>
      <x:c r="BZ123" s="60" t="n">
        <x:v>68.7723</x:v>
      </x:c>
      <x:c r="CA123" s="60" t="n">
        <x:v>69.0725</x:v>
      </x:c>
      <x:c r="CB123" s="60" t="n">
        <x:v>69.4257</x:v>
      </x:c>
      <x:c r="CC123" s="60" t="n">
        <x:v>69.744</x:v>
      </x:c>
      <x:c r="CD123" s="60" t="n">
        <x:v>70.059</x:v>
      </x:c>
      <x:c r="CE123" s="60" t="n">
        <x:v>70.354</x:v>
      </x:c>
      <x:c r="CF123" s="60" t="n">
        <x:v>70.6854</x:v>
      </x:c>
      <x:c r="CG123" s="60" t="n">
        <x:v>71.0414</x:v>
      </x:c>
      <x:c r="CH123" s="60" t="n">
        <x:v>71.3886</x:v>
      </x:c>
      <x:c r="CI123" s="60" t="n">
        <x:v>71.7628</x:v>
      </x:c>
      <x:c r="CJ123" s="60" t="n">
        <x:v>72.1185</x:v>
      </x:c>
      <x:c r="CK123" s="60" t="n">
        <x:v>72.4917</x:v>
      </x:c>
      <x:c r="CL123" s="60" t="n">
        <x:v>72.8426</x:v>
      </x:c>
      <x:c r="CM123" s="60" t="n">
        <x:v>73.2486</x:v>
      </x:c>
      <x:c r="CN123" s="60" t="n">
        <x:v>73.6192</x:v>
      </x:c>
      <x:c r="CO123" s="60" t="n">
        <x:v>74.0193</x:v>
      </x:c>
      <x:c r="CP123" s="60" t="n">
        <x:v>74.4826</x:v>
      </x:c>
      <x:c r="CQ123" s="60" t="n">
        <x:v>74.9042</x:v>
      </x:c>
      <x:c r="CR123" s="60" t="n">
        <x:v>75.4018</x:v>
      </x:c>
      <x:c r="CS123" s="60" t="n">
        <x:v>75.8902</x:v>
      </x:c>
      <x:c r="CT123" s="60" t="n">
        <x:v>76.379</x:v>
      </x:c>
      <x:c r="CU123" s="60" t="n">
        <x:v>76.8622</x:v>
      </x:c>
      <x:c r="CV123" s="60" t="n">
        <x:v>77.4466</x:v>
      </x:c>
      <x:c r="CW123" s="60" t="n">
        <x:v>78.0029</x:v>
      </x:c>
      <x:c r="CX123" s="60" t="n">
        <x:v>78.6641</x:v>
      </x:c>
      <x:c r="CY123" s="60" t="n">
        <x:v>79.4013</x:v>
      </x:c>
      <x:c r="CZ123" s="60" t="n">
        <x:v>80.3525</x:v>
      </x:c>
      <x:c r="DA123" s="60" t="n">
        <x:v>81.4996</x:v>
      </x:c>
      <x:c r="DB123" s="60" t="n">
        <x:v>86.2215</x:v>
      </x:c>
    </x:row>
    <x:row r="124">
      <x:c r="A124" t="str">
        <x:v>フーパ-1</x:v>
      </x:c>
      <x:c r="B124" t="str">
        <x:v>フーパ</x:v>
      </x:c>
      <x:c r="C124" t="str">
        <x:v>いじげんホール</x:v>
      </x:c>
      <x:c r="D124" s="60" t="n">
        <x:v>60.1154</x:v>
      </x:c>
      <x:c r="E124" s="60" t="n">
        <x:v>7.0903</x:v>
      </x:c>
      <x:c r="F124" s="60" t="n">
        <x:v>38.3178</x:v>
      </x:c>
      <x:c r="G124" s="60" t="n">
        <x:v>43.7892</x:v>
      </x:c>
      <x:c r="H124" s="60" t="n">
        <x:v>45.2509</x:v>
      </x:c>
      <x:c r="I124" s="60" t="n">
        <x:v>46.3088</x:v>
      </x:c>
      <x:c r="J124" s="60" t="n">
        <x:v>47.0686</x:v>
      </x:c>
      <x:c r="K124" s="60" t="n">
        <x:v>47.6423</x:v>
      </x:c>
      <x:c r="L124" s="60" t="n">
        <x:v>48.3016</x:v>
      </x:c>
      <x:c r="M124" s="60" t="n">
        <x:v>48.8752</x:v>
      </x:c>
      <x:c r="N124" s="60" t="n">
        <x:v>49.3804</x:v>
      </x:c>
      <x:c r="O124" s="60" t="n">
        <x:v>49.8883</x:v>
      </x:c>
      <x:c r="P124" s="60" t="n">
        <x:v>50.3349</x:v>
      </x:c>
      <x:c r="Q124" s="60" t="n">
        <x:v>50.734</x:v>
      </x:c>
      <x:c r="R124" s="60" t="n">
        <x:v>51.1463</x:v>
      </x:c>
      <x:c r="S124" s="60" t="n">
        <x:v>51.4824</x:v>
      </x:c>
      <x:c r="T124" s="60" t="n">
        <x:v>51.8341</x:v>
      </x:c>
      <x:c r="U124" s="60" t="n">
        <x:v>52.1929</x:v>
      </x:c>
      <x:c r="V124" s="60" t="n">
        <x:v>52.5303</x:v>
      </x:c>
      <x:c r="W124" s="60" t="n">
        <x:v>52.8437</x:v>
      </x:c>
      <x:c r="X124" s="60" t="n">
        <x:v>53.1608</x:v>
      </x:c>
      <x:c r="Y124" s="60" t="n">
        <x:v>53.4813</x:v>
      </x:c>
      <x:c r="Z124" s="60" t="n">
        <x:v>53.8058</x:v>
      </x:c>
      <x:c r="AA124" s="60" t="n">
        <x:v>54.0693</x:v>
      </x:c>
      <x:c r="AB124" s="60" t="n">
        <x:v>54.3535</x:v>
      </x:c>
      <x:c r="AC124" s="60" t="n">
        <x:v>54.6275</x:v>
      </x:c>
      <x:c r="AD124" s="60" t="n">
        <x:v>54.8674</x:v>
      </x:c>
      <x:c r="AE124" s="60" t="n">
        <x:v>55.0934</x:v>
      </x:c>
      <x:c r="AF124" s="60" t="n">
        <x:v>55.3391</x:v>
      </x:c>
      <x:c r="AG124" s="60" t="n">
        <x:v>55.6082</x:v>
      </x:c>
      <x:c r="AH124" s="60" t="n">
        <x:v>55.8702</x:v>
      </x:c>
      <x:c r="AI124" s="60" t="n">
        <x:v>56.1665</x:v>
      </x:c>
      <x:c r="AJ124" s="60" t="n">
        <x:v>56.4083</x:v>
      </x:c>
      <x:c r="AK124" s="60" t="n">
        <x:v>56.6321</x:v>
      </x:c>
      <x:c r="AL124" s="60" t="n">
        <x:v>56.8741</x:v>
      </x:c>
      <x:c r="AM124" s="60" t="n">
        <x:v>57.1268</x:v>
      </x:c>
      <x:c r="AN124" s="60" t="n">
        <x:v>57.3614</x:v>
      </x:c>
      <x:c r="AO124" s="60" t="n">
        <x:v>57.5803</x:v>
      </x:c>
      <x:c r="AP124" s="60" t="n">
        <x:v>57.8101</x:v>
      </x:c>
      <x:c r="AQ124" s="60" t="n">
        <x:v>58.0074</x:v>
      </x:c>
      <x:c r="AR124" s="60" t="n">
        <x:v>58.2182</x:v>
      </x:c>
      <x:c r="AS124" s="60" t="n">
        <x:v>58.4048</x:v>
      </x:c>
      <x:c r="AT124" s="60" t="n">
        <x:v>58.6029</x:v>
      </x:c>
      <x:c r="AU124" s="60" t="n">
        <x:v>58.8233</x:v>
      </x:c>
      <x:c r="AV124" s="60" t="n">
        <x:v>59.0554</x:v>
      </x:c>
      <x:c r="AW124" s="60" t="n">
        <x:v>59.2506</x:v>
      </x:c>
      <x:c r="AX124" s="60" t="n">
        <x:v>59.4523</x:v>
      </x:c>
      <x:c r="AY124" s="60" t="n">
        <x:v>59.6583</x:v>
      </x:c>
      <x:c r="AZ124" s="60" t="n">
        <x:v>59.849</x:v>
      </x:c>
      <x:c r="BA124" s="60" t="n">
        <x:v>60.0234</x:v>
      </x:c>
      <x:c r="BB124" s="60" t="n">
        <x:v>60.1724</x:v>
      </x:c>
      <x:c r="BC124" s="60" t="n">
        <x:v>60.3832</x:v>
      </x:c>
      <x:c r="BD124" s="60" t="n">
        <x:v>60.598</x:v>
      </x:c>
      <x:c r="BE124" s="60" t="n">
        <x:v>60.7701</x:v>
      </x:c>
      <x:c r="BF124" s="60" t="n">
        <x:v>60.9647</x:v>
      </x:c>
      <x:c r="BG124" s="60" t="n">
        <x:v>61.15</x:v>
      </x:c>
      <x:c r="BH124" s="60" t="n">
        <x:v>61.3268</x:v>
      </x:c>
      <x:c r="BI124" s="60" t="n">
        <x:v>61.5133</x:v>
      </x:c>
      <x:c r="BJ124" s="60" t="n">
        <x:v>61.699</x:v>
      </x:c>
      <x:c r="BK124" s="60" t="n">
        <x:v>61.8798</x:v>
      </x:c>
      <x:c r="BL124" s="60" t="n">
        <x:v>62.0576</x:v>
      </x:c>
      <x:c r="BM124" s="60" t="n">
        <x:v>62.2437</x:v>
      </x:c>
      <x:c r="BN124" s="60" t="n">
        <x:v>62.4394</x:v>
      </x:c>
      <x:c r="BO124" s="60" t="n">
        <x:v>62.615</x:v>
      </x:c>
      <x:c r="BP124" s="60" t="n">
        <x:v>62.8063</x:v>
      </x:c>
      <x:c r="BQ124" s="60" t="n">
        <x:v>62.9835</x:v>
      </x:c>
      <x:c r="BR124" s="60" t="n">
        <x:v>63.195</x:v>
      </x:c>
      <x:c r="BS124" s="60" t="n">
        <x:v>63.3629</x:v>
      </x:c>
      <x:c r="BT124" s="60" t="n">
        <x:v>63.5584</x:v>
      </x:c>
      <x:c r="BU124" s="60" t="n">
        <x:v>63.7516</x:v>
      </x:c>
      <x:c r="BV124" s="60" t="n">
        <x:v>63.9529</x:v>
      </x:c>
      <x:c r="BW124" s="60" t="n">
        <x:v>64.1592</x:v>
      </x:c>
      <x:c r="BX124" s="60" t="n">
        <x:v>64.3258</x:v>
      </x:c>
      <x:c r="BY124" s="60" t="n">
        <x:v>64.5074</x:v>
      </x:c>
      <x:c r="BZ124" s="60" t="n">
        <x:v>64.7148</x:v>
      </x:c>
      <x:c r="CA124" s="60" t="n">
        <x:v>64.9336</x:v>
      </x:c>
      <x:c r="CB124" s="60" t="n">
        <x:v>65.1463</x:v>
      </x:c>
      <x:c r="CC124" s="60" t="n">
        <x:v>65.3515</x:v>
      </x:c>
      <x:c r="CD124" s="60" t="n">
        <x:v>65.5559</x:v>
      </x:c>
      <x:c r="CE124" s="60" t="n">
        <x:v>65.7398</x:v>
      </x:c>
      <x:c r="CF124" s="60" t="n">
        <x:v>65.9892</x:v>
      </x:c>
      <x:c r="CG124" s="60" t="n">
        <x:v>66.1946</x:v>
      </x:c>
      <x:c r="CH124" s="60" t="n">
        <x:v>66.4229</x:v>
      </x:c>
      <x:c r="CI124" s="60" t="n">
        <x:v>66.6547</x:v>
      </x:c>
      <x:c r="CJ124" s="60" t="n">
        <x:v>66.891</x:v>
      </x:c>
      <x:c r="CK124" s="60" t="n">
        <x:v>67.1427</x:v>
      </x:c>
      <x:c r="CL124" s="60" t="n">
        <x:v>67.3798</x:v>
      </x:c>
      <x:c r="CM124" s="60" t="n">
        <x:v>67.6328</x:v>
      </x:c>
      <x:c r="CN124" s="60" t="n">
        <x:v>67.8715</x:v>
      </x:c>
      <x:c r="CO124" s="60" t="n">
        <x:v>68.1303</x:v>
      </x:c>
      <x:c r="CP124" s="60" t="n">
        <x:v>68.416</x:v>
      </x:c>
      <x:c r="CQ124" s="60" t="n">
        <x:v>68.7555</x:v>
      </x:c>
      <x:c r="CR124" s="60" t="n">
        <x:v>69.0474</x:v>
      </x:c>
      <x:c r="CS124" s="60" t="n">
        <x:v>69.4213</x:v>
      </x:c>
      <x:c r="CT124" s="60" t="n">
        <x:v>69.8133</x:v>
      </x:c>
      <x:c r="CU124" s="60" t="n">
        <x:v>70.2269</x:v>
      </x:c>
      <x:c r="CV124" s="60" t="n">
        <x:v>70.6428</x:v>
      </x:c>
      <x:c r="CW124" s="60" t="n">
        <x:v>71.1933</x:v>
      </x:c>
      <x:c r="CX124" s="60" t="n">
        <x:v>71.7828</x:v>
      </x:c>
      <x:c r="CY124" s="60" t="n">
        <x:v>72.4027</x:v>
      </x:c>
      <x:c r="CZ124" s="60" t="n">
        <x:v>73.1838</x:v>
      </x:c>
      <x:c r="DA124" s="60" t="n">
        <x:v>74.3311</x:v>
      </x:c>
      <x:c r="DB124" s="60" t="n">
        <x:v>79.3159</x:v>
      </x:c>
    </x:row>
    <x:row r="125">
      <x:c r="A125" t="str">
        <x:v>フーパ-2</x:v>
      </x:c>
      <x:c r="B125" t="str">
        <x:v>フーパ</x:v>
      </x:c>
      <x:c r="C125" t="str">
        <x:v>トリック</x:v>
      </x:c>
      <x:c r="D125" s="60" t="n">
        <x:v>62.2677</x:v>
      </x:c>
      <x:c r="E125" s="60" t="n">
        <x:v>8.8497</x:v>
      </x:c>
      <x:c r="F125" s="60" t="n">
        <x:v>36.7487</x:v>
      </x:c>
      <x:c r="G125" s="60" t="n">
        <x:v>41.992</x:v>
      </x:c>
      <x:c r="H125" s="60" t="n">
        <x:v>43.507</x:v>
      </x:c>
      <x:c r="I125" s="60" t="n">
        <x:v>44.573</x:v>
      </x:c>
      <x:c r="J125" s="60" t="n">
        <x:v>45.5694</x:v>
      </x:c>
      <x:c r="K125" s="60" t="n">
        <x:v>46.4026</x:v>
      </x:c>
      <x:c r="L125" s="60" t="n">
        <x:v>47.0733</x:v>
      </x:c>
      <x:c r="M125" s="60" t="n">
        <x:v>47.7313</x:v>
      </x:c>
      <x:c r="N125" s="60" t="n">
        <x:v>48.3802</x:v>
      </x:c>
      <x:c r="O125" s="60" t="n">
        <x:v>49.018</x:v>
      </x:c>
      <x:c r="P125" s="60" t="n">
        <x:v>49.6409</x:v>
      </x:c>
      <x:c r="Q125" s="60" t="n">
        <x:v>50.1073</x:v>
      </x:c>
      <x:c r="R125" s="60" t="n">
        <x:v>50.6484</x:v>
      </x:c>
      <x:c r="S125" s="60" t="n">
        <x:v>51.1285</x:v>
      </x:c>
      <x:c r="T125" s="60" t="n">
        <x:v>51.5824</x:v>
      </x:c>
      <x:c r="U125" s="60" t="n">
        <x:v>52.0427</x:v>
      </x:c>
      <x:c r="V125" s="60" t="n">
        <x:v>52.4719</x:v>
      </x:c>
      <x:c r="W125" s="60" t="n">
        <x:v>52.8694</x:v>
      </x:c>
      <x:c r="X125" s="60" t="n">
        <x:v>53.2551</x:v>
      </x:c>
      <x:c r="Y125" s="60" t="n">
        <x:v>53.6579</x:v>
      </x:c>
      <x:c r="Z125" s="60" t="n">
        <x:v>54.0959</x:v>
      </x:c>
      <x:c r="AA125" s="60" t="n">
        <x:v>54.4865</x:v>
      </x:c>
      <x:c r="AB125" s="60" t="n">
        <x:v>54.8423</x:v>
      </x:c>
      <x:c r="AC125" s="60" t="n">
        <x:v>55.2456</x:v>
      </x:c>
      <x:c r="AD125" s="60" t="n">
        <x:v>55.5886</x:v>
      </x:c>
      <x:c r="AE125" s="60" t="n">
        <x:v>55.9841</x:v>
      </x:c>
      <x:c r="AF125" s="60" t="n">
        <x:v>56.3375</x:v>
      </x:c>
      <x:c r="AG125" s="60" t="n">
        <x:v>56.6897</x:v>
      </x:c>
      <x:c r="AH125" s="60" t="n">
        <x:v>57.0471</x:v>
      </x:c>
      <x:c r="AI125" s="60" t="n">
        <x:v>57.3835</x:v>
      </x:c>
      <x:c r="AJ125" s="60" t="n">
        <x:v>57.7388</x:v>
      </x:c>
      <x:c r="AK125" s="60" t="n">
        <x:v>58.0537</x:v>
      </x:c>
      <x:c r="AL125" s="60" t="n">
        <x:v>58.3706</x:v>
      </x:c>
      <x:c r="AM125" s="60" t="n">
        <x:v>58.6624</x:v>
      </x:c>
      <x:c r="AN125" s="60" t="n">
        <x:v>58.9591</x:v>
      </x:c>
      <x:c r="AO125" s="60" t="n">
        <x:v>59.2658</x:v>
      </x:c>
      <x:c r="AP125" s="60" t="n">
        <x:v>59.5343</x:v>
      </x:c>
      <x:c r="AQ125" s="60" t="n">
        <x:v>59.8134</x:v>
      </x:c>
      <x:c r="AR125" s="60" t="n">
        <x:v>60.0994</x:v>
      </x:c>
      <x:c r="AS125" s="60" t="n">
        <x:v>60.3931</x:v>
      </x:c>
      <x:c r="AT125" s="60" t="n">
        <x:v>60.6551</x:v>
      </x:c>
      <x:c r="AU125" s="60" t="n">
        <x:v>60.9037</x:v>
      </x:c>
      <x:c r="AV125" s="60" t="n">
        <x:v>61.1979</x:v>
      </x:c>
      <x:c r="AW125" s="60" t="n">
        <x:v>61.4942</x:v>
      </x:c>
      <x:c r="AX125" s="60" t="n">
        <x:v>61.7768</x:v>
      </x:c>
      <x:c r="AY125" s="60" t="n">
        <x:v>62.0238</x:v>
      </x:c>
      <x:c r="AZ125" s="60" t="n">
        <x:v>62.272</x:v>
      </x:c>
      <x:c r="BA125" s="60" t="n">
        <x:v>62.5165</x:v>
      </x:c>
      <x:c r="BB125" s="60" t="n">
        <x:v>62.7715</x:v>
      </x:c>
      <x:c r="BC125" s="60" t="n">
        <x:v>63.0233</x:v>
      </x:c>
      <x:c r="BD125" s="60" t="n">
        <x:v>63.2759</x:v>
      </x:c>
      <x:c r="BE125" s="60" t="n">
        <x:v>63.486</x:v>
      </x:c>
      <x:c r="BF125" s="60" t="n">
        <x:v>63.7004</x:v>
      </x:c>
      <x:c r="BG125" s="60" t="n">
        <x:v>63.9489</x:v>
      </x:c>
      <x:c r="BH125" s="60" t="n">
        <x:v>64.1795</x:v>
      </x:c>
      <x:c r="BI125" s="60" t="n">
        <x:v>64.3985</x:v>
      </x:c>
      <x:c r="BJ125" s="60" t="n">
        <x:v>64.6375</x:v>
      </x:c>
      <x:c r="BK125" s="60" t="n">
        <x:v>64.881</x:v>
      </x:c>
      <x:c r="BL125" s="60" t="n">
        <x:v>65.1061</x:v>
      </x:c>
      <x:c r="BM125" s="60" t="n">
        <x:v>65.3173</x:v>
      </x:c>
      <x:c r="BN125" s="60" t="n">
        <x:v>65.5693</x:v>
      </x:c>
      <x:c r="BO125" s="60" t="n">
        <x:v>65.7872</x:v>
      </x:c>
      <x:c r="BP125" s="60" t="n">
        <x:v>66.0175</x:v>
      </x:c>
      <x:c r="BQ125" s="60" t="n">
        <x:v>66.2374</x:v>
      </x:c>
      <x:c r="BR125" s="60" t="n">
        <x:v>66.4519</x:v>
      </x:c>
      <x:c r="BS125" s="60" t="n">
        <x:v>66.7205</x:v>
      </x:c>
      <x:c r="BT125" s="60" t="n">
        <x:v>66.9772</x:v>
      </x:c>
      <x:c r="BU125" s="60" t="n">
        <x:v>67.2377</x:v>
      </x:c>
      <x:c r="BV125" s="60" t="n">
        <x:v>67.4537</x:v>
      </x:c>
      <x:c r="BW125" s="60" t="n">
        <x:v>67.6737</x:v>
      </x:c>
      <x:c r="BX125" s="60" t="n">
        <x:v>67.9165</x:v>
      </x:c>
      <x:c r="BY125" s="60" t="n">
        <x:v>68.1465</x:v>
      </x:c>
      <x:c r="BZ125" s="60" t="n">
        <x:v>68.3724</x:v>
      </x:c>
      <x:c r="CA125" s="60" t="n">
        <x:v>68.5759</x:v>
      </x:c>
      <x:c r="CB125" s="60" t="n">
        <x:v>68.8208</x:v>
      </x:c>
      <x:c r="CC125" s="60" t="n">
        <x:v>69.0621</x:v>
      </x:c>
      <x:c r="CD125" s="60" t="n">
        <x:v>69.3042</x:v>
      </x:c>
      <x:c r="CE125" s="60" t="n">
        <x:v>69.5356</x:v>
      </x:c>
      <x:c r="CF125" s="60" t="n">
        <x:v>69.7486</x:v>
      </x:c>
      <x:c r="CG125" s="60" t="n">
        <x:v>69.9993</x:v>
      </x:c>
      <x:c r="CH125" s="60" t="n">
        <x:v>70.2646</x:v>
      </x:c>
      <x:c r="CI125" s="60" t="n">
        <x:v>70.5321</x:v>
      </x:c>
      <x:c r="CJ125" s="60" t="n">
        <x:v>70.8037</x:v>
      </x:c>
      <x:c r="CK125" s="60" t="n">
        <x:v>71.0955</x:v>
      </x:c>
      <x:c r="CL125" s="60" t="n">
        <x:v>71.3718</x:v>
      </x:c>
      <x:c r="CM125" s="60" t="n">
        <x:v>71.6553</x:v>
      </x:c>
      <x:c r="CN125" s="60" t="n">
        <x:v>71.9605</x:v>
      </x:c>
      <x:c r="CO125" s="60" t="n">
        <x:v>72.2141</x:v>
      </x:c>
      <x:c r="CP125" s="60" t="n">
        <x:v>72.5412</x:v>
      </x:c>
      <x:c r="CQ125" s="60" t="n">
        <x:v>72.8823</x:v>
      </x:c>
      <x:c r="CR125" s="60" t="n">
        <x:v>73.185</x:v>
      </x:c>
      <x:c r="CS125" s="60" t="n">
        <x:v>73.5194</x:v>
      </x:c>
      <x:c r="CT125" s="60" t="n">
        <x:v>73.9008</x:v>
      </x:c>
      <x:c r="CU125" s="60" t="n">
        <x:v>74.3328</x:v>
      </x:c>
      <x:c r="CV125" s="60" t="n">
        <x:v>74.8069</x:v>
      </x:c>
      <x:c r="CW125" s="60" t="n">
        <x:v>75.2984</x:v>
      </x:c>
      <x:c r="CX125" s="60" t="n">
        <x:v>75.8883</x:v>
      </x:c>
      <x:c r="CY125" s="60" t="n">
        <x:v>76.6741</x:v>
      </x:c>
      <x:c r="CZ125" s="60" t="n">
        <x:v>77.5504</x:v>
      </x:c>
      <x:c r="DA125" s="60" t="n">
        <x:v>78.74</x:v>
      </x:c>
      <x:c r="DB125" s="60" t="n">
        <x:v>84.1665</x:v>
      </x:c>
    </x:row>
    <x:row r="126">
      <x:c r="A126" t="str">
        <x:v>プクリン-1</x:v>
      </x:c>
      <x:c r="B126" t="str">
        <x:v>プクリン</x:v>
      </x:c>
      <x:c r="C126" t="str">
        <x:v>共通</x:v>
      </x:c>
      <x:c r="D126" s="60" t="n">
        <x:v>61.1007</x:v>
      </x:c>
      <x:c r="E126" s="60" t="n">
        <x:v>10.5718</x:v>
      </x:c>
      <x:c r="F126" s="60" t="n">
        <x:v>31.6482</x:v>
      </x:c>
      <x:c r="G126" s="60" t="n">
        <x:v>38.2021</x:v>
      </x:c>
      <x:c r="H126" s="60" t="n">
        <x:v>39.7297</x:v>
      </x:c>
      <x:c r="I126" s="60" t="n">
        <x:v>40.7442</x:v>
      </x:c>
      <x:c r="J126" s="60" t="n">
        <x:v>41.57</x:v>
      </x:c>
      <x:c r="K126" s="60" t="n">
        <x:v>42.4001</x:v>
      </x:c>
      <x:c r="L126" s="60" t="n">
        <x:v>43.2202</x:v>
      </x:c>
      <x:c r="M126" s="60" t="n">
        <x:v>43.9497</x:v>
      </x:c>
      <x:c r="N126" s="60" t="n">
        <x:v>44.5706</x:v>
      </x:c>
      <x:c r="O126" s="60" t="n">
        <x:v>45.1908</x:v>
      </x:c>
      <x:c r="P126" s="60" t="n">
        <x:v>45.8633</x:v>
      </x:c>
      <x:c r="Q126" s="60" t="n">
        <x:v>46.4496</x:v>
      </x:c>
      <x:c r="R126" s="60" t="n">
        <x:v>47.0318</x:v>
      </x:c>
      <x:c r="S126" s="60" t="n">
        <x:v>47.5771</x:v>
      </x:c>
      <x:c r="T126" s="60" t="n">
        <x:v>48.0922</x:v>
      </x:c>
      <x:c r="U126" s="60" t="n">
        <x:v>48.6534</x:v>
      </x:c>
      <x:c r="V126" s="60" t="n">
        <x:v>49.2055</x:v>
      </x:c>
      <x:c r="W126" s="60" t="n">
        <x:v>49.7188</x:v>
      </x:c>
      <x:c r="X126" s="60" t="n">
        <x:v>50.1828</x:v>
      </x:c>
      <x:c r="Y126" s="60" t="n">
        <x:v>50.6384</x:v>
      </x:c>
      <x:c r="Z126" s="60" t="n">
        <x:v>51.1179</x:v>
      </x:c>
      <x:c r="AA126" s="60" t="n">
        <x:v>51.5673</x:v>
      </x:c>
      <x:c r="AB126" s="60" t="n">
        <x:v>52.019</x:v>
      </x:c>
      <x:c r="AC126" s="60" t="n">
        <x:v>52.449</x:v>
      </x:c>
      <x:c r="AD126" s="60" t="n">
        <x:v>52.902</x:v>
      </x:c>
      <x:c r="AE126" s="60" t="n">
        <x:v>53.3318</x:v>
      </x:c>
      <x:c r="AF126" s="60" t="n">
        <x:v>53.6887</x:v>
      </x:c>
      <x:c r="AG126" s="60" t="n">
        <x:v>54.106</x:v>
      </x:c>
      <x:c r="AH126" s="60" t="n">
        <x:v>54.5251</x:v>
      </x:c>
      <x:c r="AI126" s="60" t="n">
        <x:v>54.8482</x:v>
      </x:c>
      <x:c r="AJ126" s="60" t="n">
        <x:v>55.2656</x:v>
      </x:c>
      <x:c r="AK126" s="60" t="n">
        <x:v>55.6995</x:v>
      </x:c>
      <x:c r="AL126" s="60" t="n">
        <x:v>56.0672</x:v>
      </x:c>
      <x:c r="AM126" s="60" t="n">
        <x:v>56.4515</x:v>
      </x:c>
      <x:c r="AN126" s="60" t="n">
        <x:v>56.8679</x:v>
      </x:c>
      <x:c r="AO126" s="60" t="n">
        <x:v>57.2258</x:v>
      </x:c>
      <x:c r="AP126" s="60" t="n">
        <x:v>57.5196</x:v>
      </x:c>
      <x:c r="AQ126" s="60" t="n">
        <x:v>57.854</x:v>
      </x:c>
      <x:c r="AR126" s="60" t="n">
        <x:v>58.1924</x:v>
      </x:c>
      <x:c r="AS126" s="60" t="n">
        <x:v>58.5223</x:v>
      </x:c>
      <x:c r="AT126" s="60" t="n">
        <x:v>58.824</x:v>
      </x:c>
      <x:c r="AU126" s="60" t="n">
        <x:v>59.1681</x:v>
      </x:c>
      <x:c r="AV126" s="60" t="n">
        <x:v>59.503</x:v>
      </x:c>
      <x:c r="AW126" s="60" t="n">
        <x:v>59.7975</x:v>
      </x:c>
      <x:c r="AX126" s="60" t="n">
        <x:v>60.0909</x:v>
      </x:c>
      <x:c r="AY126" s="60" t="n">
        <x:v>60.4036</x:v>
      </x:c>
      <x:c r="AZ126" s="60" t="n">
        <x:v>60.754</x:v>
      </x:c>
      <x:c r="BA126" s="60" t="n">
        <x:v>61.0537</x:v>
      </x:c>
      <x:c r="BB126" s="60" t="n">
        <x:v>61.4022</x:v>
      </x:c>
      <x:c r="BC126" s="60" t="n">
        <x:v>61.7573</x:v>
      </x:c>
      <x:c r="BD126" s="60" t="n">
        <x:v>62.0632</x:v>
      </x:c>
      <x:c r="BE126" s="60" t="n">
        <x:v>62.3871</x:v>
      </x:c>
      <x:c r="BF126" s="60" t="n">
        <x:v>62.6832</x:v>
      </x:c>
      <x:c r="BG126" s="60" t="n">
        <x:v>62.9947</x:v>
      </x:c>
      <x:c r="BH126" s="60" t="n">
        <x:v>63.3174</x:v>
      </x:c>
      <x:c r="BI126" s="60" t="n">
        <x:v>63.6357</x:v>
      </x:c>
      <x:c r="BJ126" s="60" t="n">
        <x:v>63.9224</x:v>
      </x:c>
      <x:c r="BK126" s="60" t="n">
        <x:v>64.2201</x:v>
      </x:c>
      <x:c r="BL126" s="60" t="n">
        <x:v>64.4793</x:v>
      </x:c>
      <x:c r="BM126" s="60" t="n">
        <x:v>64.7705</x:v>
      </x:c>
      <x:c r="BN126" s="60" t="n">
        <x:v>65.0731</x:v>
      </x:c>
      <x:c r="BO126" s="60" t="n">
        <x:v>65.3946</x:v>
      </x:c>
      <x:c r="BP126" s="60" t="n">
        <x:v>65.6814</x:v>
      </x:c>
      <x:c r="BQ126" s="60" t="n">
        <x:v>65.9582</x:v>
      </x:c>
      <x:c r="BR126" s="60" t="n">
        <x:v>66.2324</x:v>
      </x:c>
      <x:c r="BS126" s="60" t="n">
        <x:v>66.4964</x:v>
      </x:c>
      <x:c r="BT126" s="60" t="n">
        <x:v>66.7572</x:v>
      </x:c>
      <x:c r="BU126" s="60" t="n">
        <x:v>67.0459</x:v>
      </x:c>
      <x:c r="BV126" s="60" t="n">
        <x:v>67.3484</x:v>
      </x:c>
      <x:c r="BW126" s="60" t="n">
        <x:v>67.607</x:v>
      </x:c>
      <x:c r="BX126" s="60" t="n">
        <x:v>67.9019</x:v>
      </x:c>
      <x:c r="BY126" s="60" t="n">
        <x:v>68.2421</x:v>
      </x:c>
      <x:c r="BZ126" s="60" t="n">
        <x:v>68.5462</x:v>
      </x:c>
      <x:c r="CA126" s="60" t="n">
        <x:v>68.8761</x:v>
      </x:c>
      <x:c r="CB126" s="60" t="n">
        <x:v>69.1876</x:v>
      </x:c>
      <x:c r="CC126" s="60" t="n">
        <x:v>69.488</x:v>
      </x:c>
      <x:c r="CD126" s="60" t="n">
        <x:v>69.8058</x:v>
      </x:c>
      <x:c r="CE126" s="60" t="n">
        <x:v>70.1103</x:v>
      </x:c>
      <x:c r="CF126" s="60" t="n">
        <x:v>70.4073</x:v>
      </x:c>
      <x:c r="CG126" s="60" t="n">
        <x:v>70.7425</x:v>
      </x:c>
      <x:c r="CH126" s="60" t="n">
        <x:v>71.0702</x:v>
      </x:c>
      <x:c r="CI126" s="60" t="n">
        <x:v>71.3503</x:v>
      </x:c>
      <x:c r="CJ126" s="60" t="n">
        <x:v>71.6679</x:v>
      </x:c>
      <x:c r="CK126" s="60" t="n">
        <x:v>72.0103</x:v>
      </x:c>
      <x:c r="CL126" s="60" t="n">
        <x:v>72.3373</x:v>
      </x:c>
      <x:c r="CM126" s="60" t="n">
        <x:v>72.7341</x:v>
      </x:c>
      <x:c r="CN126" s="60" t="n">
        <x:v>73.0678</x:v>
      </x:c>
      <x:c r="CO126" s="60" t="n">
        <x:v>73.3964</x:v>
      </x:c>
      <x:c r="CP126" s="60" t="n">
        <x:v>73.7611</x:v>
      </x:c>
      <x:c r="CQ126" s="60" t="n">
        <x:v>74.1507</x:v>
      </x:c>
      <x:c r="CR126" s="60" t="n">
        <x:v>74.544</x:v>
      </x:c>
      <x:c r="CS126" s="60" t="n">
        <x:v>75.0209</x:v>
      </x:c>
      <x:c r="CT126" s="60" t="n">
        <x:v>75.4501</x:v>
      </x:c>
      <x:c r="CU126" s="60" t="n">
        <x:v>75.9585</x:v>
      </x:c>
      <x:c r="CV126" s="60" t="n">
        <x:v>76.4011</x:v>
      </x:c>
      <x:c r="CW126" s="60" t="n">
        <x:v>76.891</x:v>
      </x:c>
      <x:c r="CX126" s="60" t="n">
        <x:v>77.4252</x:v>
      </x:c>
      <x:c r="CY126" s="60" t="n">
        <x:v>78.031</x:v>
      </x:c>
      <x:c r="CZ126" s="60" t="n">
        <x:v>79.0065</x:v>
      </x:c>
      <x:c r="DA126" s="60" t="n">
        <x:v>79.981</x:v>
      </x:c>
      <x:c r="DB126" s="60" t="n">
        <x:v>83.3605</x:v>
      </x:c>
    </x:row>
    <x:row r="127">
      <x:c r="A127" t="str">
        <x:v>マホイップ-1</x:v>
      </x:c>
      <x:c r="B127" t="str">
        <x:v>マホイップ</x:v>
      </x:c>
      <x:c r="C127" t="str">
        <x:v>共通</x:v>
      </x:c>
      <x:c r="D127" s="60" t="n">
        <x:v>60.074</x:v>
      </x:c>
      <x:c r="E127" s="60" t="n">
        <x:v>10.814</x:v>
      </x:c>
      <x:c r="F127" s="60" t="n">
        <x:v>30.5717</x:v>
      </x:c>
      <x:c r="G127" s="60" t="n">
        <x:v>36.928</x:v>
      </x:c>
      <x:c r="H127" s="60" t="n">
        <x:v>38.274</x:v>
      </x:c>
      <x:c r="I127" s="60" t="n">
        <x:v>39.3961</x:v>
      </x:c>
      <x:c r="J127" s="60" t="n">
        <x:v>40.3284</x:v>
      </x:c>
      <x:c r="K127" s="60" t="n">
        <x:v>41.2734</x:v>
      </x:c>
      <x:c r="L127" s="60" t="n">
        <x:v>42.1109</x:v>
      </x:c>
      <x:c r="M127" s="60" t="n">
        <x:v>42.8255</x:v>
      </x:c>
      <x:c r="N127" s="60" t="n">
        <x:v>43.5238</x:v>
      </x:c>
      <x:c r="O127" s="60" t="n">
        <x:v>44.1638</x:v>
      </x:c>
      <x:c r="P127" s="60" t="n">
        <x:v>44.696</x:v>
      </x:c>
      <x:c r="Q127" s="60" t="n">
        <x:v>45.2818</x:v>
      </x:c>
      <x:c r="R127" s="60" t="n">
        <x:v>45.8686</x:v>
      </x:c>
      <x:c r="S127" s="60" t="n">
        <x:v>46.4717</x:v>
      </x:c>
      <x:c r="T127" s="60" t="n">
        <x:v>47.0073</x:v>
      </x:c>
      <x:c r="U127" s="60" t="n">
        <x:v>47.5469</x:v>
      </x:c>
      <x:c r="V127" s="60" t="n">
        <x:v>48.0293</x:v>
      </x:c>
      <x:c r="W127" s="60" t="n">
        <x:v>48.57</x:v>
      </x:c>
      <x:c r="X127" s="60" t="n">
        <x:v>49.0545</x:v>
      </x:c>
      <x:c r="Y127" s="60" t="n">
        <x:v>49.495</x:v>
      </x:c>
      <x:c r="Z127" s="60" t="n">
        <x:v>49.9042</x:v>
      </x:c>
      <x:c r="AA127" s="60" t="n">
        <x:v>50.4255</x:v>
      </x:c>
      <x:c r="AB127" s="60" t="n">
        <x:v>50.8356</x:v>
      </x:c>
      <x:c r="AC127" s="60" t="n">
        <x:v>51.2447</x:v>
      </x:c>
      <x:c r="AD127" s="60" t="n">
        <x:v>51.7025</x:v>
      </x:c>
      <x:c r="AE127" s="60" t="n">
        <x:v>52.1086</x:v>
      </x:c>
      <x:c r="AF127" s="60" t="n">
        <x:v>52.5154</x:v>
      </x:c>
      <x:c r="AG127" s="60" t="n">
        <x:v>52.8577</x:v>
      </x:c>
      <x:c r="AH127" s="60" t="n">
        <x:v>53.2139</x:v>
      </x:c>
      <x:c r="AI127" s="60" t="n">
        <x:v>53.5744</x:v>
      </x:c>
      <x:c r="AJ127" s="60" t="n">
        <x:v>54.0037</x:v>
      </x:c>
      <x:c r="AK127" s="60" t="n">
        <x:v>54.3981</x:v>
      </x:c>
      <x:c r="AL127" s="60" t="n">
        <x:v>54.7888</x:v>
      </x:c>
      <x:c r="AM127" s="60" t="n">
        <x:v>55.1492</x:v>
      </x:c>
      <x:c r="AN127" s="60" t="n">
        <x:v>55.5388</x:v>
      </x:c>
      <x:c r="AO127" s="60" t="n">
        <x:v>55.8823</x:v>
      </x:c>
      <x:c r="AP127" s="60" t="n">
        <x:v>56.2794</x:v>
      </x:c>
      <x:c r="AQ127" s="60" t="n">
        <x:v>56.663</x:v>
      </x:c>
      <x:c r="AR127" s="60" t="n">
        <x:v>56.9718</x:v>
      </x:c>
      <x:c r="AS127" s="60" t="n">
        <x:v>57.2863</x:v>
      </x:c>
      <x:c r="AT127" s="60" t="n">
        <x:v>57.6175</x:v>
      </x:c>
      <x:c r="AU127" s="60" t="n">
        <x:v>57.9458</x:v>
      </x:c>
      <x:c r="AV127" s="60" t="n">
        <x:v>58.2606</x:v>
      </x:c>
      <x:c r="AW127" s="60" t="n">
        <x:v>58.5994</x:v>
      </x:c>
      <x:c r="AX127" s="60" t="n">
        <x:v>58.9144</x:v>
      </x:c>
      <x:c r="AY127" s="60" t="n">
        <x:v>59.2562</x:v>
      </x:c>
      <x:c r="AZ127" s="60" t="n">
        <x:v>59.5554</x:v>
      </x:c>
      <x:c r="BA127" s="60" t="n">
        <x:v>59.8455</x:v>
      </x:c>
      <x:c r="BB127" s="60" t="n">
        <x:v>60.1499</x:v>
      </x:c>
      <x:c r="BC127" s="60" t="n">
        <x:v>60.4962</x:v>
      </x:c>
      <x:c r="BD127" s="60" t="n">
        <x:v>60.8163</x:v>
      </x:c>
      <x:c r="BE127" s="60" t="n">
        <x:v>61.1196</x:v>
      </x:c>
      <x:c r="BF127" s="60" t="n">
        <x:v>61.427</x:v>
      </x:c>
      <x:c r="BG127" s="60" t="n">
        <x:v>61.7217</x:v>
      </x:c>
      <x:c r="BH127" s="60" t="n">
        <x:v>62.0571</x:v>
      </x:c>
      <x:c r="BI127" s="60" t="n">
        <x:v>62.3549</x:v>
      </x:c>
      <x:c r="BJ127" s="60" t="n">
        <x:v>62.6673</x:v>
      </x:c>
      <x:c r="BK127" s="60" t="n">
        <x:v>62.988</x:v>
      </x:c>
      <x:c r="BL127" s="60" t="n">
        <x:v>63.2848</x:v>
      </x:c>
      <x:c r="BM127" s="60" t="n">
        <x:v>63.6011</x:v>
      </x:c>
      <x:c r="BN127" s="60" t="n">
        <x:v>63.9233</x:v>
      </x:c>
      <x:c r="BO127" s="60" t="n">
        <x:v>64.2255</x:v>
      </x:c>
      <x:c r="BP127" s="60" t="n">
        <x:v>64.4977</x:v>
      </x:c>
      <x:c r="BQ127" s="60" t="n">
        <x:v>64.8433</x:v>
      </x:c>
      <x:c r="BR127" s="60" t="n">
        <x:v>65.1467</x:v>
      </x:c>
      <x:c r="BS127" s="60" t="n">
        <x:v>65.4337</x:v>
      </x:c>
      <x:c r="BT127" s="60" t="n">
        <x:v>65.7477</x:v>
      </x:c>
      <x:c r="BU127" s="60" t="n">
        <x:v>66.0503</x:v>
      </x:c>
      <x:c r="BV127" s="60" t="n">
        <x:v>66.3433</x:v>
      </x:c>
      <x:c r="BW127" s="60" t="n">
        <x:v>66.6234</x:v>
      </x:c>
      <x:c r="BX127" s="60" t="n">
        <x:v>66.9109</x:v>
      </x:c>
      <x:c r="BY127" s="60" t="n">
        <x:v>67.202</x:v>
      </x:c>
      <x:c r="BZ127" s="60" t="n">
        <x:v>67.5395</x:v>
      </x:c>
      <x:c r="CA127" s="60" t="n">
        <x:v>67.8658</x:v>
      </x:c>
      <x:c r="CB127" s="60" t="n">
        <x:v>68.1855</x:v>
      </x:c>
      <x:c r="CC127" s="60" t="n">
        <x:v>68.5021</x:v>
      </x:c>
      <x:c r="CD127" s="60" t="n">
        <x:v>68.8411</x:v>
      </x:c>
      <x:c r="CE127" s="60" t="n">
        <x:v>69.1359</x:v>
      </x:c>
      <x:c r="CF127" s="60" t="n">
        <x:v>69.4456</x:v>
      </x:c>
      <x:c r="CG127" s="60" t="n">
        <x:v>69.7867</x:v>
      </x:c>
      <x:c r="CH127" s="60" t="n">
        <x:v>70.1084</x:v>
      </x:c>
      <x:c r="CI127" s="60" t="n">
        <x:v>70.4974</x:v>
      </x:c>
      <x:c r="CJ127" s="60" t="n">
        <x:v>70.8165</x:v>
      </x:c>
      <x:c r="CK127" s="60" t="n">
        <x:v>71.1944</x:v>
      </x:c>
      <x:c r="CL127" s="60" t="n">
        <x:v>71.5764</x:v>
      </x:c>
      <x:c r="CM127" s="60" t="n">
        <x:v>71.9672</x:v>
      </x:c>
      <x:c r="CN127" s="60" t="n">
        <x:v>72.3391</x:v>
      </x:c>
      <x:c r="CO127" s="60" t="n">
        <x:v>72.7359</x:v>
      </x:c>
      <x:c r="CP127" s="60" t="n">
        <x:v>73.1602</x:v>
      </x:c>
      <x:c r="CQ127" s="60" t="n">
        <x:v>73.6286</x:v>
      </x:c>
      <x:c r="CR127" s="60" t="n">
        <x:v>74.1124</x:v>
      </x:c>
      <x:c r="CS127" s="60" t="n">
        <x:v>74.5126</x:v>
      </x:c>
      <x:c r="CT127" s="60" t="n">
        <x:v>74.9582</x:v>
      </x:c>
      <x:c r="CU127" s="60" t="n">
        <x:v>75.4431</x:v>
      </x:c>
      <x:c r="CV127" s="60" t="n">
        <x:v>75.987</x:v>
      </x:c>
      <x:c r="CW127" s="60" t="n">
        <x:v>76.5726</x:v>
      </x:c>
      <x:c r="CX127" s="60" t="n">
        <x:v>77.2168</x:v>
      </x:c>
      <x:c r="CY127" s="60" t="n">
        <x:v>78.0097</x:v>
      </x:c>
      <x:c r="CZ127" s="60" t="n">
        <x:v>79.0156</x:v>
      </x:c>
      <x:c r="DA127" s="60" t="n">
        <x:v>80.3156</x:v>
      </x:c>
      <x:c r="DB127" s="60" t="n">
        <x:v>84.3446</x:v>
      </x:c>
    </x:row>
    <x:row r="128">
      <x:c r="A128" t="str">
        <x:v>メガニウム-1</x:v>
      </x:c>
      <x:c r="B128" t="str">
        <x:v>メガニウム</x:v>
      </x:c>
      <x:c r="C128" t="str">
        <x:v>共通</x:v>
      </x:c>
      <x:c r="D128" s="60" t="n">
        <x:v>61.3273</x:v>
      </x:c>
      <x:c r="E128" s="60" t="n">
        <x:v>11.609</x:v>
      </x:c>
      <x:c r="F128" s="60" t="n">
        <x:v>30.2224</x:v>
      </x:c>
      <x:c r="G128" s="60" t="n">
        <x:v>36.2732</x:v>
      </x:c>
      <x:c r="H128" s="60" t="n">
        <x:v>37.5837</x:v>
      </x:c>
      <x:c r="I128" s="60" t="n">
        <x:v>38.8901</x:v>
      </x:c>
      <x:c r="J128" s="60" t="n">
        <x:v>39.8584</x:v>
      </x:c>
      <x:c r="K128" s="60" t="n">
        <x:v>40.7156</x:v>
      </x:c>
      <x:c r="L128" s="60" t="n">
        <x:v>41.5761</x:v>
      </x:c>
      <x:c r="M128" s="60" t="n">
        <x:v>42.326</x:v>
      </x:c>
      <x:c r="N128" s="60" t="n">
        <x:v>43.2182</x:v>
      </x:c>
      <x:c r="O128" s="60" t="n">
        <x:v>43.9434</x:v>
      </x:c>
      <x:c r="P128" s="60" t="n">
        <x:v>44.6271</x:v>
      </x:c>
      <x:c r="Q128" s="60" t="n">
        <x:v>45.3544</x:v>
      </x:c>
      <x:c r="R128" s="60" t="n">
        <x:v>45.9981</x:v>
      </x:c>
      <x:c r="S128" s="60" t="n">
        <x:v>46.5541</x:v>
      </x:c>
      <x:c r="T128" s="60" t="n">
        <x:v>47.1142</x:v>
      </x:c>
      <x:c r="U128" s="60" t="n">
        <x:v>47.7275</x:v>
      </x:c>
      <x:c r="V128" s="60" t="n">
        <x:v>48.2472</x:v>
      </x:c>
      <x:c r="W128" s="60" t="n">
        <x:v>48.7943</x:v>
      </x:c>
      <x:c r="X128" s="60" t="n">
        <x:v>49.3454</x:v>
      </x:c>
      <x:c r="Y128" s="60" t="n">
        <x:v>49.8959</x:v>
      </x:c>
      <x:c r="Z128" s="60" t="n">
        <x:v>50.4021</x:v>
      </x:c>
      <x:c r="AA128" s="60" t="n">
        <x:v>50.8835</x:v>
      </x:c>
      <x:c r="AB128" s="60" t="n">
        <x:v>51.3766</x:v>
      </x:c>
      <x:c r="AC128" s="60" t="n">
        <x:v>51.9022</x:v>
      </x:c>
      <x:c r="AD128" s="60" t="n">
        <x:v>52.4003</x:v>
      </x:c>
      <x:c r="AE128" s="60" t="n">
        <x:v>52.876</x:v>
      </x:c>
      <x:c r="AF128" s="60" t="n">
        <x:v>53.2523</x:v>
      </x:c>
      <x:c r="AG128" s="60" t="n">
        <x:v>53.6986</x:v>
      </x:c>
      <x:c r="AH128" s="60" t="n">
        <x:v>54.0875</x:v>
      </x:c>
      <x:c r="AI128" s="60" t="n">
        <x:v>54.5308</x:v>
      </x:c>
      <x:c r="AJ128" s="60" t="n">
        <x:v>54.9741</x:v>
      </x:c>
      <x:c r="AK128" s="60" t="n">
        <x:v>55.3918</x:v>
      </x:c>
      <x:c r="AL128" s="60" t="n">
        <x:v>55.8149</x:v>
      </x:c>
      <x:c r="AM128" s="60" t="n">
        <x:v>56.2316</x:v>
      </x:c>
      <x:c r="AN128" s="60" t="n">
        <x:v>56.6252</x:v>
      </x:c>
      <x:c r="AO128" s="60" t="n">
        <x:v>57.0593</x:v>
      </x:c>
      <x:c r="AP128" s="60" t="n">
        <x:v>57.4405</x:v>
      </x:c>
      <x:c r="AQ128" s="60" t="n">
        <x:v>57.7928</x:v>
      </x:c>
      <x:c r="AR128" s="60" t="n">
        <x:v>58.1409</x:v>
      </x:c>
      <x:c r="AS128" s="60" t="n">
        <x:v>58.487</x:v>
      </x:c>
      <x:c r="AT128" s="60" t="n">
        <x:v>58.8226</x:v>
      </x:c>
      <x:c r="AU128" s="60" t="n">
        <x:v>59.1698</x:v>
      </x:c>
      <x:c r="AV128" s="60" t="n">
        <x:v>59.5707</x:v>
      </x:c>
      <x:c r="AW128" s="60" t="n">
        <x:v>59.9876</x:v>
      </x:c>
      <x:c r="AX128" s="60" t="n">
        <x:v>60.2812</x:v>
      </x:c>
      <x:c r="AY128" s="60" t="n">
        <x:v>60.6277</x:v>
      </x:c>
      <x:c r="AZ128" s="60" t="n">
        <x:v>60.9507</x:v>
      </x:c>
      <x:c r="BA128" s="60" t="n">
        <x:v>61.2927</x:v>
      </x:c>
      <x:c r="BB128" s="60" t="n">
        <x:v>61.6597</x:v>
      </x:c>
      <x:c r="BC128" s="60" t="n">
        <x:v>62.0083</x:v>
      </x:c>
      <x:c r="BD128" s="60" t="n">
        <x:v>62.3843</x:v>
      </x:c>
      <x:c r="BE128" s="60" t="n">
        <x:v>62.7542</x:v>
      </x:c>
      <x:c r="BF128" s="60" t="n">
        <x:v>63.0711</x:v>
      </x:c>
      <x:c r="BG128" s="60" t="n">
        <x:v>63.3816</x:v>
      </x:c>
      <x:c r="BH128" s="60" t="n">
        <x:v>63.7023</x:v>
      </x:c>
      <x:c r="BI128" s="60" t="n">
        <x:v>64.0438</x:v>
      </x:c>
      <x:c r="BJ128" s="60" t="n">
        <x:v>64.4262</x:v>
      </x:c>
      <x:c r="BK128" s="60" t="n">
        <x:v>64.7626</x:v>
      </x:c>
      <x:c r="BL128" s="60" t="n">
        <x:v>65.0497</x:v>
      </x:c>
      <x:c r="BM128" s="60" t="n">
        <x:v>65.3722</x:v>
      </x:c>
      <x:c r="BN128" s="60" t="n">
        <x:v>65.6928</x:v>
      </x:c>
      <x:c r="BO128" s="60" t="n">
        <x:v>65.9958</x:v>
      </x:c>
      <x:c r="BP128" s="60" t="n">
        <x:v>66.3298</x:v>
      </x:c>
      <x:c r="BQ128" s="60" t="n">
        <x:v>66.7171</x:v>
      </x:c>
      <x:c r="BR128" s="60" t="n">
        <x:v>66.9957</x:v>
      </x:c>
      <x:c r="BS128" s="60" t="n">
        <x:v>67.2938</x:v>
      </x:c>
      <x:c r="BT128" s="60" t="n">
        <x:v>67.6245</x:v>
      </x:c>
      <x:c r="BU128" s="60" t="n">
        <x:v>67.9432</x:v>
      </x:c>
      <x:c r="BV128" s="60" t="n">
        <x:v>68.2292</x:v>
      </x:c>
      <x:c r="BW128" s="60" t="n">
        <x:v>68.5552</x:v>
      </x:c>
      <x:c r="BX128" s="60" t="n">
        <x:v>68.8596</x:v>
      </x:c>
      <x:c r="BY128" s="60" t="n">
        <x:v>69.1424</x:v>
      </x:c>
      <x:c r="BZ128" s="60" t="n">
        <x:v>69.461</x:v>
      </x:c>
      <x:c r="CA128" s="60" t="n">
        <x:v>69.767</x:v>
      </x:c>
      <x:c r="CB128" s="60" t="n">
        <x:v>70.081</x:v>
      </x:c>
      <x:c r="CC128" s="60" t="n">
        <x:v>70.4274</x:v>
      </x:c>
      <x:c r="CD128" s="60" t="n">
        <x:v>70.7752</x:v>
      </x:c>
      <x:c r="CE128" s="60" t="n">
        <x:v>71.1145</x:v>
      </x:c>
      <x:c r="CF128" s="60" t="n">
        <x:v>71.4662</x:v>
      </x:c>
      <x:c r="CG128" s="60" t="n">
        <x:v>71.7967</x:v>
      </x:c>
      <x:c r="CH128" s="60" t="n">
        <x:v>72.1161</x:v>
      </x:c>
      <x:c r="CI128" s="60" t="n">
        <x:v>72.4422</x:v>
      </x:c>
      <x:c r="CJ128" s="60" t="n">
        <x:v>72.8348</x:v>
      </x:c>
      <x:c r="CK128" s="60" t="n">
        <x:v>73.2027</x:v>
      </x:c>
      <x:c r="CL128" s="60" t="n">
        <x:v>73.5727</x:v>
      </x:c>
      <x:c r="CM128" s="60" t="n">
        <x:v>73.9665</x:v>
      </x:c>
      <x:c r="CN128" s="60" t="n">
        <x:v>74.3008</x:v>
      </x:c>
      <x:c r="CO128" s="60" t="n">
        <x:v>74.7439</x:v>
      </x:c>
      <x:c r="CP128" s="60" t="n">
        <x:v>75.1203</x:v>
      </x:c>
      <x:c r="CQ128" s="60" t="n">
        <x:v>75.5336</x:v>
      </x:c>
      <x:c r="CR128" s="60" t="n">
        <x:v>76.0787</x:v>
      </x:c>
      <x:c r="CS128" s="60" t="n">
        <x:v>76.5397</x:v>
      </x:c>
      <x:c r="CT128" s="60" t="n">
        <x:v>77.0035</x:v>
      </x:c>
      <x:c r="CU128" s="60" t="n">
        <x:v>77.6052</x:v>
      </x:c>
      <x:c r="CV128" s="60" t="n">
        <x:v>78.1637</x:v>
      </x:c>
      <x:c r="CW128" s="60" t="n">
        <x:v>78.6283</x:v>
      </x:c>
      <x:c r="CX128" s="60" t="n">
        <x:v>79.3515</x:v>
      </x:c>
      <x:c r="CY128" s="60" t="n">
        <x:v>80.1703</x:v>
      </x:c>
      <x:c r="CZ128" s="60" t="n">
        <x:v>81.0406</x:v>
      </x:c>
      <x:c r="DA128" s="60" t="n">
        <x:v>82.3032</x:v>
      </x:c>
      <x:c r="DB128" s="60" t="n">
        <x:v>87.3549</x:v>
      </x:c>
    </x:row>
    <x:row r="129">
      <x:c r="A129" t="str">
        <x:v>ヤミラミ-1</x:v>
      </x:c>
      <x:c r="B129" t="str">
        <x:v>ヤミラミ</x:v>
      </x:c>
      <x:c r="C129" t="str">
        <x:v>共通</x:v>
      </x:c>
      <x:c r="D129" s="60" t="n">
        <x:v>61.3496</x:v>
      </x:c>
      <x:c r="E129" s="60" t="n">
        <x:v>7.1162</x:v>
      </x:c>
      <x:c r="F129" s="60" t="n">
        <x:v>39.6639</x:v>
      </x:c>
      <x:c r="G129" s="60" t="n">
        <x:v>45.3219</x:v>
      </x:c>
      <x:c r="H129" s="60" t="n">
        <x:v>46.8537</x:v>
      </x:c>
      <x:c r="I129" s="60" t="n">
        <x:v>47.7745</x:v>
      </x:c>
      <x:c r="J129" s="60" t="n">
        <x:v>48.5478</x:v>
      </x:c>
      <x:c r="K129" s="60" t="n">
        <x:v>49.1425</x:v>
      </x:c>
      <x:c r="L129" s="60" t="n">
        <x:v>49.7024</x:v>
      </x:c>
      <x:c r="M129" s="60" t="n">
        <x:v>50.18</x:v>
      </x:c>
      <x:c r="N129" s="60" t="n">
        <x:v>50.7125</x:v>
      </x:c>
      <x:c r="O129" s="60" t="n">
        <x:v>51.1615</x:v>
      </x:c>
      <x:c r="P129" s="60" t="n">
        <x:v>51.5908</x:v>
      </x:c>
      <x:c r="Q129" s="60" t="n">
        <x:v>51.9888</x:v>
      </x:c>
      <x:c r="R129" s="60" t="n">
        <x:v>52.3788</x:v>
      </x:c>
      <x:c r="S129" s="60" t="n">
        <x:v>52.7127</x:v>
      </x:c>
      <x:c r="T129" s="60" t="n">
        <x:v>53.0331</x:v>
      </x:c>
      <x:c r="U129" s="60" t="n">
        <x:v>53.3582</x:v>
      </x:c>
      <x:c r="V129" s="60" t="n">
        <x:v>53.6708</x:v>
      </x:c>
      <x:c r="W129" s="60" t="n">
        <x:v>53.9661</x:v>
      </x:c>
      <x:c r="X129" s="60" t="n">
        <x:v>54.3204</x:v>
      </x:c>
      <x:c r="Y129" s="60" t="n">
        <x:v>54.6019</x:v>
      </x:c>
      <x:c r="Z129" s="60" t="n">
        <x:v>54.9025</x:v>
      </x:c>
      <x:c r="AA129" s="60" t="n">
        <x:v>55.2116</x:v>
      </x:c>
      <x:c r="AB129" s="60" t="n">
        <x:v>55.5178</x:v>
      </x:c>
      <x:c r="AC129" s="60" t="n">
        <x:v>55.7932</x:v>
      </x:c>
      <x:c r="AD129" s="60" t="n">
        <x:v>56.0836</x:v>
      </x:c>
      <x:c r="AE129" s="60" t="n">
        <x:v>56.3461</x:v>
      </x:c>
      <x:c r="AF129" s="60" t="n">
        <x:v>56.5887</x:v>
      </x:c>
      <x:c r="AG129" s="60" t="n">
        <x:v>56.8223</x:v>
      </x:c>
      <x:c r="AH129" s="60" t="n">
        <x:v>57.0478</x:v>
      </x:c>
      <x:c r="AI129" s="60" t="n">
        <x:v>57.2862</x:v>
      </x:c>
      <x:c r="AJ129" s="60" t="n">
        <x:v>57.5263</x:v>
      </x:c>
      <x:c r="AK129" s="60" t="n">
        <x:v>57.7301</x:v>
      </x:c>
      <x:c r="AL129" s="60" t="n">
        <x:v>57.9799</x:v>
      </x:c>
      <x:c r="AM129" s="60" t="n">
        <x:v>58.2027</x:v>
      </x:c>
      <x:c r="AN129" s="60" t="n">
        <x:v>58.4204</x:v>
      </x:c>
      <x:c r="AO129" s="60" t="n">
        <x:v>58.6473</x:v>
      </x:c>
      <x:c r="AP129" s="60" t="n">
        <x:v>58.8657</x:v>
      </x:c>
      <x:c r="AQ129" s="60" t="n">
        <x:v>59.0906</x:v>
      </x:c>
      <x:c r="AR129" s="60" t="n">
        <x:v>59.2824</x:v>
      </x:c>
      <x:c r="AS129" s="60" t="n">
        <x:v>59.4662</x:v>
      </x:c>
      <x:c r="AT129" s="60" t="n">
        <x:v>59.6816</x:v>
      </x:c>
      <x:c r="AU129" s="60" t="n">
        <x:v>59.8909</x:v>
      </x:c>
      <x:c r="AV129" s="60" t="n">
        <x:v>60.1062</x:v>
      </x:c>
      <x:c r="AW129" s="60" t="n">
        <x:v>60.3204</x:v>
      </x:c>
      <x:c r="AX129" s="60" t="n">
        <x:v>60.5127</x:v>
      </x:c>
      <x:c r="AY129" s="60" t="n">
        <x:v>60.6997</x:v>
      </x:c>
      <x:c r="AZ129" s="60" t="n">
        <x:v>60.9039</x:v>
      </x:c>
      <x:c r="BA129" s="60" t="n">
        <x:v>61.0964</x:v>
      </x:c>
      <x:c r="BB129" s="60" t="n">
        <x:v>61.294</x:v>
      </x:c>
      <x:c r="BC129" s="60" t="n">
        <x:v>61.4938</x:v>
      </x:c>
      <x:c r="BD129" s="60" t="n">
        <x:v>61.6723</x:v>
      </x:c>
      <x:c r="BE129" s="60" t="n">
        <x:v>61.8881</x:v>
      </x:c>
      <x:c r="BF129" s="60" t="n">
        <x:v>62.0817</x:v>
      </x:c>
      <x:c r="BG129" s="60" t="n">
        <x:v>62.2899</x:v>
      </x:c>
      <x:c r="BH129" s="60" t="n">
        <x:v>62.4722</x:v>
      </x:c>
      <x:c r="BI129" s="60" t="n">
        <x:v>62.6497</x:v>
      </x:c>
      <x:c r="BJ129" s="60" t="n">
        <x:v>62.8304</x:v>
      </x:c>
      <x:c r="BK129" s="60" t="n">
        <x:v>63.0251</x:v>
      </x:c>
      <x:c r="BL129" s="60" t="n">
        <x:v>63.2302</x:v>
      </x:c>
      <x:c r="BM129" s="60" t="n">
        <x:v>63.4343</x:v>
      </x:c>
      <x:c r="BN129" s="60" t="n">
        <x:v>63.6237</x:v>
      </x:c>
      <x:c r="BO129" s="60" t="n">
        <x:v>63.8149</x:v>
      </x:c>
      <x:c r="BP129" s="60" t="n">
        <x:v>64.0078</x:v>
      </x:c>
      <x:c r="BQ129" s="60" t="n">
        <x:v>64.1935</x:v>
      </x:c>
      <x:c r="BR129" s="60" t="n">
        <x:v>64.3582</x:v>
      </x:c>
      <x:c r="BS129" s="60" t="n">
        <x:v>64.538</x:v>
      </x:c>
      <x:c r="BT129" s="60" t="n">
        <x:v>64.7227</x:v>
      </x:c>
      <x:c r="BU129" s="60" t="n">
        <x:v>64.9431</x:v>
      </x:c>
      <x:c r="BV129" s="60" t="n">
        <x:v>65.1765</x:v>
      </x:c>
      <x:c r="BW129" s="60" t="n">
        <x:v>65.3764</x:v>
      </x:c>
      <x:c r="BX129" s="60" t="n">
        <x:v>65.5738</x:v>
      </x:c>
      <x:c r="BY129" s="60" t="n">
        <x:v>65.7812</x:v>
      </x:c>
      <x:c r="BZ129" s="60" t="n">
        <x:v>65.9654</x:v>
      </x:c>
      <x:c r="CA129" s="60" t="n">
        <x:v>66.1736</x:v>
      </x:c>
      <x:c r="CB129" s="60" t="n">
        <x:v>66.3592</x:v>
      </x:c>
      <x:c r="CC129" s="60" t="n">
        <x:v>66.5993</x:v>
      </x:c>
      <x:c r="CD129" s="60" t="n">
        <x:v>66.8257</x:v>
      </x:c>
      <x:c r="CE129" s="60" t="n">
        <x:v>67.0378</x:v>
      </x:c>
      <x:c r="CF129" s="60" t="n">
        <x:v>67.2734</x:v>
      </x:c>
      <x:c r="CG129" s="60" t="n">
        <x:v>67.4918</x:v>
      </x:c>
      <x:c r="CH129" s="60" t="n">
        <x:v>67.7377</x:v>
      </x:c>
      <x:c r="CI129" s="60" t="n">
        <x:v>67.9701</x:v>
      </x:c>
      <x:c r="CJ129" s="60" t="n">
        <x:v>68.2212</x:v>
      </x:c>
      <x:c r="CK129" s="60" t="n">
        <x:v>68.4582</x:v>
      </x:c>
      <x:c r="CL129" s="60" t="n">
        <x:v>68.7253</x:v>
      </x:c>
      <x:c r="CM129" s="60" t="n">
        <x:v>69.005</x:v>
      </x:c>
      <x:c r="CN129" s="60" t="n">
        <x:v>69.2681</x:v>
      </x:c>
      <x:c r="CO129" s="60" t="n">
        <x:v>69.5603</x:v>
      </x:c>
      <x:c r="CP129" s="60" t="n">
        <x:v>69.8779</x:v>
      </x:c>
      <x:c r="CQ129" s="60" t="n">
        <x:v>70.1817</x:v>
      </x:c>
      <x:c r="CR129" s="60" t="n">
        <x:v>70.5049</x:v>
      </x:c>
      <x:c r="CS129" s="60" t="n">
        <x:v>70.8896</x:v>
      </x:c>
      <x:c r="CT129" s="60" t="n">
        <x:v>71.2239</x:v>
      </x:c>
      <x:c r="CU129" s="60" t="n">
        <x:v>71.5968</x:v>
      </x:c>
      <x:c r="CV129" s="60" t="n">
        <x:v>72.0857</x:v>
      </x:c>
      <x:c r="CW129" s="60" t="n">
        <x:v>72.5629</x:v>
      </x:c>
      <x:c r="CX129" s="60" t="n">
        <x:v>73.1089</x:v>
      </x:c>
      <x:c r="CY129" s="60" t="n">
        <x:v>73.8011</x:v>
      </x:c>
      <x:c r="CZ129" s="60" t="n">
        <x:v>74.588</x:v>
      </x:c>
      <x:c r="DA129" s="60" t="n">
        <x:v>75.8119</x:v>
      </x:c>
      <x:c r="DB129" s="60" t="n">
        <x:v>80.7162</x:v>
      </x:c>
    </x:row>
    <x:row r="130">
      <x:c r="A130" t="str">
        <x:v>ラティアス-1</x:v>
      </x:c>
      <x:c r="B130" t="str">
        <x:v>ラティアス</x:v>
      </x:c>
      <x:c r="C130" t="str">
        <x:v>共通</x:v>
      </x:c>
      <x:c r="D130" s="60" t="n">
        <x:v>62.8453</x:v>
      </x:c>
      <x:c r="E130" s="60" t="n">
        <x:v>9.4364</x:v>
      </x:c>
      <x:c r="F130" s="60" t="n">
        <x:v>34.0979</x:v>
      </x:c>
      <x:c r="G130" s="60" t="n">
        <x:v>40.7506</x:v>
      </x:c>
      <x:c r="H130" s="60" t="n">
        <x:v>42.2794</x:v>
      </x:c>
      <x:c r="I130" s="60" t="n">
        <x:v>43.4338</x:v>
      </x:c>
      <x:c r="J130" s="60" t="n">
        <x:v>44.5616</x:v>
      </x:c>
      <x:c r="K130" s="60" t="n">
        <x:v>45.2892</x:v>
      </x:c>
      <x:c r="L130" s="60" t="n">
        <x:v>46.0085</x:v>
      </x:c>
      <x:c r="M130" s="60" t="n">
        <x:v>46.8022</x:v>
      </x:c>
      <x:c r="N130" s="60" t="n">
        <x:v>47.5649</x:v>
      </x:c>
      <x:c r="O130" s="60" t="n">
        <x:v>48.248</x:v>
      </x:c>
      <x:c r="P130" s="60" t="n">
        <x:v>48.9007</x:v>
      </x:c>
      <x:c r="Q130" s="60" t="n">
        <x:v>49.5699</x:v>
      </x:c>
      <x:c r="R130" s="60" t="n">
        <x:v>50.1797</x:v>
      </x:c>
      <x:c r="S130" s="60" t="n">
        <x:v>50.7274</x:v>
      </x:c>
      <x:c r="T130" s="60" t="n">
        <x:v>51.316</x:v>
      </x:c>
      <x:c r="U130" s="60" t="n">
        <x:v>51.9029</x:v>
      </x:c>
      <x:c r="V130" s="60" t="n">
        <x:v>52.4439</x:v>
      </x:c>
      <x:c r="W130" s="60" t="n">
        <x:v>52.9432</x:v>
      </x:c>
      <x:c r="X130" s="60" t="n">
        <x:v>53.4788</x:v>
      </x:c>
      <x:c r="Y130" s="60" t="n">
        <x:v>53.9269</x:v>
      </x:c>
      <x:c r="Z130" s="60" t="n">
        <x:v>54.3345</x:v>
      </x:c>
      <x:c r="AA130" s="60" t="n">
        <x:v>54.8326</x:v>
      </x:c>
      <x:c r="AB130" s="60" t="n">
        <x:v>55.2449</x:v>
      </x:c>
      <x:c r="AC130" s="60" t="n">
        <x:v>55.6372</x:v>
      </x:c>
      <x:c r="AD130" s="60" t="n">
        <x:v>56.0169</x:v>
      </x:c>
      <x:c r="AE130" s="60" t="n">
        <x:v>56.4259</x:v>
      </x:c>
      <x:c r="AF130" s="60" t="n">
        <x:v>56.7625</x:v>
      </x:c>
      <x:c r="AG130" s="60" t="n">
        <x:v>57.1611</x:v>
      </x:c>
      <x:c r="AH130" s="60" t="n">
        <x:v>57.5236</x:v>
      </x:c>
      <x:c r="AI130" s="60" t="n">
        <x:v>57.9099</x:v>
      </x:c>
      <x:c r="AJ130" s="60" t="n">
        <x:v>58.2299</x:v>
      </x:c>
      <x:c r="AK130" s="60" t="n">
        <x:v>58.5429</x:v>
      </x:c>
      <x:c r="AL130" s="60" t="n">
        <x:v>58.8566</x:v>
      </x:c>
      <x:c r="AM130" s="60" t="n">
        <x:v>59.2244</x:v>
      </x:c>
      <x:c r="AN130" s="60" t="n">
        <x:v>59.5325</x:v>
      </x:c>
      <x:c r="AO130" s="60" t="n">
        <x:v>59.8468</x:v>
      </x:c>
      <x:c r="AP130" s="60" t="n">
        <x:v>60.1725</x:v>
      </x:c>
      <x:c r="AQ130" s="60" t="n">
        <x:v>60.5026</x:v>
      </x:c>
      <x:c r="AR130" s="60" t="n">
        <x:v>60.8244</x:v>
      </x:c>
      <x:c r="AS130" s="60" t="n">
        <x:v>61.12</x:v>
      </x:c>
      <x:c r="AT130" s="60" t="n">
        <x:v>61.4492</x:v>
      </x:c>
      <x:c r="AU130" s="60" t="n">
        <x:v>61.7475</x:v>
      </x:c>
      <x:c r="AV130" s="60" t="n">
        <x:v>62.0444</x:v>
      </x:c>
      <x:c r="AW130" s="60" t="n">
        <x:v>62.3349</x:v>
      </x:c>
      <x:c r="AX130" s="60" t="n">
        <x:v>62.5722</x:v>
      </x:c>
      <x:c r="AY130" s="60" t="n">
        <x:v>62.8524</x:v>
      </x:c>
      <x:c r="AZ130" s="60" t="n">
        <x:v>63.1327</x:v>
      </x:c>
      <x:c r="BA130" s="60" t="n">
        <x:v>63.4048</x:v>
      </x:c>
      <x:c r="BB130" s="60" t="n">
        <x:v>63.7159</x:v>
      </x:c>
      <x:c r="BC130" s="60" t="n">
        <x:v>63.9565</x:v>
      </x:c>
      <x:c r="BD130" s="60" t="n">
        <x:v>64.1883</x:v>
      </x:c>
      <x:c r="BE130" s="60" t="n">
        <x:v>64.4389</x:v>
      </x:c>
      <x:c r="BF130" s="60" t="n">
        <x:v>64.6847</x:v>
      </x:c>
      <x:c r="BG130" s="60" t="n">
        <x:v>64.945</x:v>
      </x:c>
      <x:c r="BH130" s="60" t="n">
        <x:v>65.1959</x:v>
      </x:c>
      <x:c r="BI130" s="60" t="n">
        <x:v>65.425</x:v>
      </x:c>
      <x:c r="BJ130" s="60" t="n">
        <x:v>65.6737</x:v>
      </x:c>
      <x:c r="BK130" s="60" t="n">
        <x:v>65.9033</x:v>
      </x:c>
      <x:c r="BL130" s="60" t="n">
        <x:v>66.1548</x:v>
      </x:c>
      <x:c r="BM130" s="60" t="n">
        <x:v>66.372</x:v>
      </x:c>
      <x:c r="BN130" s="60" t="n">
        <x:v>66.6023</x:v>
      </x:c>
      <x:c r="BO130" s="60" t="n">
        <x:v>66.8296</x:v>
      </x:c>
      <x:c r="BP130" s="60" t="n">
        <x:v>67.0646</x:v>
      </x:c>
      <x:c r="BQ130" s="60" t="n">
        <x:v>67.3071</x:v>
      </x:c>
      <x:c r="BR130" s="60" t="n">
        <x:v>67.5304</x:v>
      </x:c>
      <x:c r="BS130" s="60" t="n">
        <x:v>67.7473</x:v>
      </x:c>
      <x:c r="BT130" s="60" t="n">
        <x:v>67.9654</x:v>
      </x:c>
      <x:c r="BU130" s="60" t="n">
        <x:v>68.2413</x:v>
      </x:c>
      <x:c r="BV130" s="60" t="n">
        <x:v>68.4582</x:v>
      </x:c>
      <x:c r="BW130" s="60" t="n">
        <x:v>68.7333</x:v>
      </x:c>
      <x:c r="BX130" s="60" t="n">
        <x:v>68.9447</x:v>
      </x:c>
      <x:c r="BY130" s="60" t="n">
        <x:v>69.168</x:v>
      </x:c>
      <x:c r="BZ130" s="60" t="n">
        <x:v>69.387</x:v>
      </x:c>
      <x:c r="CA130" s="60" t="n">
        <x:v>69.6274</x:v>
      </x:c>
      <x:c r="CB130" s="60" t="n">
        <x:v>69.8563</x:v>
      </x:c>
      <x:c r="CC130" s="60" t="n">
        <x:v>70.104</x:v>
      </x:c>
      <x:c r="CD130" s="60" t="n">
        <x:v>70.3769</x:v>
      </x:c>
      <x:c r="CE130" s="60" t="n">
        <x:v>70.6039</x:v>
      </x:c>
      <x:c r="CF130" s="60" t="n">
        <x:v>70.8642</x:v>
      </x:c>
      <x:c r="CG130" s="60" t="n">
        <x:v>71.1121</x:v>
      </x:c>
      <x:c r="CH130" s="60" t="n">
        <x:v>71.3685</x:v>
      </x:c>
      <x:c r="CI130" s="60" t="n">
        <x:v>71.5939</x:v>
      </x:c>
      <x:c r="CJ130" s="60" t="n">
        <x:v>71.8306</x:v>
      </x:c>
      <x:c r="CK130" s="60" t="n">
        <x:v>72.1186</x:v>
      </x:c>
      <x:c r="CL130" s="60" t="n">
        <x:v>72.3736</x:v>
      </x:c>
      <x:c r="CM130" s="60" t="n">
        <x:v>72.6592</x:v>
      </x:c>
      <x:c r="CN130" s="60" t="n">
        <x:v>72.9103</x:v>
      </x:c>
      <x:c r="CO130" s="60" t="n">
        <x:v>73.1925</x:v>
      </x:c>
      <x:c r="CP130" s="60" t="n">
        <x:v>73.4792</x:v>
      </x:c>
      <x:c r="CQ130" s="60" t="n">
        <x:v>73.8339</x:v>
      </x:c>
      <x:c r="CR130" s="60" t="n">
        <x:v>74.1828</x:v>
      </x:c>
      <x:c r="CS130" s="60" t="n">
        <x:v>74.5545</x:v>
      </x:c>
      <x:c r="CT130" s="60" t="n">
        <x:v>74.9682</x:v>
      </x:c>
      <x:c r="CU130" s="60" t="n">
        <x:v>75.3725</x:v>
      </x:c>
      <x:c r="CV130" s="60" t="n">
        <x:v>75.8417</x:v>
      </x:c>
      <x:c r="CW130" s="60" t="n">
        <x:v>76.3393</x:v>
      </x:c>
      <x:c r="CX130" s="60" t="n">
        <x:v>76.88</x:v>
      </x:c>
      <x:c r="CY130" s="60" t="n">
        <x:v>77.5074</x:v>
      </x:c>
      <x:c r="CZ130" s="60" t="n">
        <x:v>78.3081</x:v>
      </x:c>
      <x:c r="DA130" s="60" t="n">
        <x:v>79.5693</x:v>
      </x:c>
      <x:c r="DB130" s="60" t="n">
        <x:v>85.0229</x:v>
      </x:c>
    </x:row>
    <x:row r="131">
      <x:c r="A131" t="str">
        <x:v>ワタシラガ-1</x:v>
      </x:c>
      <x:c r="B131" t="str">
        <x:v>ワタシラガ</x:v>
      </x:c>
      <x:c r="C131" t="str">
        <x:v>共通</x:v>
      </x:c>
      <x:c r="D131" s="60" t="n">
        <x:v>62.7053</x:v>
      </x:c>
      <x:c r="E131" s="60" t="n">
        <x:v>9.6805</x:v>
      </x:c>
      <x:c r="F131" s="60" t="n">
        <x:v>32.8157</x:v>
      </x:c>
      <x:c r="G131" s="60" t="n">
        <x:v>40.0762</x:v>
      </x:c>
      <x:c r="H131" s="60" t="n">
        <x:v>41.6631</x:v>
      </x:c>
      <x:c r="I131" s="60" t="n">
        <x:v>42.8098</x:v>
      </x:c>
      <x:c r="J131" s="60" t="n">
        <x:v>43.8302</x:v>
      </x:c>
      <x:c r="K131" s="60" t="n">
        <x:v>44.7213</x:v>
      </x:c>
      <x:c r="L131" s="60" t="n">
        <x:v>45.5831</x:v>
      </x:c>
      <x:c r="M131" s="60" t="n">
        <x:v>46.3074</x:v>
      </x:c>
      <x:c r="N131" s="60" t="n">
        <x:v>47.0522</x:v>
      </x:c>
      <x:c r="O131" s="60" t="n">
        <x:v>47.767</x:v>
      </x:c>
      <x:c r="P131" s="60" t="n">
        <x:v>48.4335</x:v>
      </x:c>
      <x:c r="Q131" s="60" t="n">
        <x:v>49.0187</x:v>
      </x:c>
      <x:c r="R131" s="60" t="n">
        <x:v>49.6675</x:v>
      </x:c>
      <x:c r="S131" s="60" t="n">
        <x:v>50.2321</x:v>
      </x:c>
      <x:c r="T131" s="60" t="n">
        <x:v>50.8362</x:v>
      </x:c>
      <x:c r="U131" s="60" t="n">
        <x:v>51.4253</x:v>
      </x:c>
      <x:c r="V131" s="60" t="n">
        <x:v>51.9371</x:v>
      </x:c>
      <x:c r="W131" s="60" t="n">
        <x:v>52.3976</x:v>
      </x:c>
      <x:c r="X131" s="60" t="n">
        <x:v>52.8788</x:v>
      </x:c>
      <x:c r="Y131" s="60" t="n">
        <x:v>53.3814</x:v>
      </x:c>
      <x:c r="Z131" s="60" t="n">
        <x:v>53.7823</x:v>
      </x:c>
      <x:c r="AA131" s="60" t="n">
        <x:v>54.2133</x:v>
      </x:c>
      <x:c r="AB131" s="60" t="n">
        <x:v>54.6814</x:v>
      </x:c>
      <x:c r="AC131" s="60" t="n">
        <x:v>55.0963</x:v>
      </x:c>
      <x:c r="AD131" s="60" t="n">
        <x:v>55.5099</x:v>
      </x:c>
      <x:c r="AE131" s="60" t="n">
        <x:v>55.9359</x:v>
      </x:c>
      <x:c r="AF131" s="60" t="n">
        <x:v>56.3382</x:v>
      </x:c>
      <x:c r="AG131" s="60" t="n">
        <x:v>56.7072</x:v>
      </x:c>
      <x:c r="AH131" s="60" t="n">
        <x:v>57.0687</x:v>
      </x:c>
      <x:c r="AI131" s="60" t="n">
        <x:v>57.4571</x:v>
      </x:c>
      <x:c r="AJ131" s="60" t="n">
        <x:v>57.836</x:v>
      </x:c>
      <x:c r="AK131" s="60" t="n">
        <x:v>58.1842</x:v>
      </x:c>
      <x:c r="AL131" s="60" t="n">
        <x:v>58.6218</x:v>
      </x:c>
      <x:c r="AM131" s="60" t="n">
        <x:v>58.9908</x:v>
      </x:c>
      <x:c r="AN131" s="60" t="n">
        <x:v>59.3343</x:v>
      </x:c>
      <x:c r="AO131" s="60" t="n">
        <x:v>59.6748</x:v>
      </x:c>
      <x:c r="AP131" s="60" t="n">
        <x:v>60.0355</x:v>
      </x:c>
      <x:c r="AQ131" s="60" t="n">
        <x:v>60.3145</x:v>
      </x:c>
      <x:c r="AR131" s="60" t="n">
        <x:v>60.6316</x:v>
      </x:c>
      <x:c r="AS131" s="60" t="n">
        <x:v>60.9333</x:v>
      </x:c>
      <x:c r="AT131" s="60" t="n">
        <x:v>61.2349</x:v>
      </x:c>
      <x:c r="AU131" s="60" t="n">
        <x:v>61.5261</x:v>
      </x:c>
      <x:c r="AV131" s="60" t="n">
        <x:v>61.8185</x:v>
      </x:c>
      <x:c r="AW131" s="60" t="n">
        <x:v>62.1465</x:v>
      </x:c>
      <x:c r="AX131" s="60" t="n">
        <x:v>62.4464</x:v>
      </x:c>
      <x:c r="AY131" s="60" t="n">
        <x:v>62.7188</x:v>
      </x:c>
      <x:c r="AZ131" s="60" t="n">
        <x:v>62.9964</x:v>
      </x:c>
      <x:c r="BA131" s="60" t="n">
        <x:v>63.261</x:v>
      </x:c>
      <x:c r="BB131" s="60" t="n">
        <x:v>63.5722</x:v>
      </x:c>
      <x:c r="BC131" s="60" t="n">
        <x:v>63.8339</x:v>
      </x:c>
      <x:c r="BD131" s="60" t="n">
        <x:v>64.1409</x:v>
      </x:c>
      <x:c r="BE131" s="60" t="n">
        <x:v>64.4072</x:v>
      </x:c>
      <x:c r="BF131" s="60" t="n">
        <x:v>64.6665</x:v>
      </x:c>
      <x:c r="BG131" s="60" t="n">
        <x:v>64.945</x:v>
      </x:c>
      <x:c r="BH131" s="60" t="n">
        <x:v>65.2178</x:v>
      </x:c>
      <x:c r="BI131" s="60" t="n">
        <x:v>65.4751</x:v>
      </x:c>
      <x:c r="BJ131" s="60" t="n">
        <x:v>65.7532</x:v>
      </x:c>
      <x:c r="BK131" s="60" t="n">
        <x:v>65.9941</x:v>
      </x:c>
      <x:c r="BL131" s="60" t="n">
        <x:v>66.2687</x:v>
      </x:c>
      <x:c r="BM131" s="60" t="n">
        <x:v>66.5446</x:v>
      </x:c>
      <x:c r="BN131" s="60" t="n">
        <x:v>66.7819</x:v>
      </x:c>
      <x:c r="BO131" s="60" t="n">
        <x:v>67.0282</x:v>
      </x:c>
      <x:c r="BP131" s="60" t="n">
        <x:v>67.2629</x:v>
      </x:c>
      <x:c r="BQ131" s="60" t="n">
        <x:v>67.508</x:v>
      </x:c>
      <x:c r="BR131" s="60" t="n">
        <x:v>67.7443</x:v>
      </x:c>
      <x:c r="BS131" s="60" t="n">
        <x:v>67.9985</x:v>
      </x:c>
      <x:c r="BT131" s="60" t="n">
        <x:v>68.2187</x:v>
      </x:c>
      <x:c r="BU131" s="60" t="n">
        <x:v>68.446</x:v>
      </x:c>
      <x:c r="BV131" s="60" t="n">
        <x:v>68.6616</x:v>
      </x:c>
      <x:c r="BW131" s="60" t="n">
        <x:v>68.9092</x:v>
      </x:c>
      <x:c r="BX131" s="60" t="n">
        <x:v>69.1544</x:v>
      </x:c>
      <x:c r="BY131" s="60" t="n">
        <x:v>69.3907</x:v>
      </x:c>
      <x:c r="BZ131" s="60" t="n">
        <x:v>69.6515</x:v>
      </x:c>
      <x:c r="CA131" s="60" t="n">
        <x:v>69.8952</x:v>
      </x:c>
      <x:c r="CB131" s="60" t="n">
        <x:v>70.1422</x:v>
      </x:c>
      <x:c r="CC131" s="60" t="n">
        <x:v>70.3953</x:v>
      </x:c>
      <x:c r="CD131" s="60" t="n">
        <x:v>70.6332</x:v>
      </x:c>
      <x:c r="CE131" s="60" t="n">
        <x:v>70.8522</x:v>
      </x:c>
      <x:c r="CF131" s="60" t="n">
        <x:v>71.1134</x:v>
      </x:c>
      <x:c r="CG131" s="60" t="n">
        <x:v>71.3607</x:v>
      </x:c>
      <x:c r="CH131" s="60" t="n">
        <x:v>71.6124</x:v>
      </x:c>
      <x:c r="CI131" s="60" t="n">
        <x:v>71.8665</x:v>
      </x:c>
      <x:c r="CJ131" s="60" t="n">
        <x:v>72.0977</x:v>
      </x:c>
      <x:c r="CK131" s="60" t="n">
        <x:v>72.3399</x:v>
      </x:c>
      <x:c r="CL131" s="60" t="n">
        <x:v>72.5938</x:v>
      </x:c>
      <x:c r="CM131" s="60" t="n">
        <x:v>72.8648</x:v>
      </x:c>
      <x:c r="CN131" s="60" t="n">
        <x:v>73.1138</x:v>
      </x:c>
      <x:c r="CO131" s="60" t="n">
        <x:v>73.37</x:v>
      </x:c>
      <x:c r="CP131" s="60" t="n">
        <x:v>73.6713</x:v>
      </x:c>
      <x:c r="CQ131" s="60" t="n">
        <x:v>73.9266</x:v>
      </x:c>
      <x:c r="CR131" s="60" t="n">
        <x:v>74.2424</x:v>
      </x:c>
      <x:c r="CS131" s="60" t="n">
        <x:v>74.574</x:v>
      </x:c>
      <x:c r="CT131" s="60" t="n">
        <x:v>74.9387</x:v>
      </x:c>
      <x:c r="CU131" s="60" t="n">
        <x:v>75.3289</x:v>
      </x:c>
      <x:c r="CV131" s="60" t="n">
        <x:v>75.7303</x:v>
      </x:c>
      <x:c r="CW131" s="60" t="n">
        <x:v>76.2195</x:v>
      </x:c>
      <x:c r="CX131" s="60" t="n">
        <x:v>76.7193</x:v>
      </x:c>
      <x:c r="CY131" s="60" t="n">
        <x:v>77.3233</x:v>
      </x:c>
      <x:c r="CZ131" s="60" t="n">
        <x:v>78.1035</x:v>
      </x:c>
      <x:c r="DA131" s="60" t="n">
        <x:v>79.2169</x:v>
      </x:c>
      <x:c r="DB131" s="60" t="n">
        <x:v>84.5871</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18" hidden="0" customWidth="1"/>
    <x:col min="3" max="3" width="16" hidden="0" customWidth="1"/>
    <x:col min="4" max="4" width="18" hidden="0" customWidth="1"/>
    <x:col min="5" max="5" width="20" hidden="0" customWidth="1"/>
    <x:col min="6" max="6" width="18" hidden="0" customWidth="1"/>
    <x:col min="7" max="7" width="18" hidden="0" customWidth="1"/>
    <x:col min="8" max="8" width="16" hidden="0" customWidth="1"/>
    <x:col min="9" max="9" width="14" hidden="0" customWidth="1"/>
    <x:col min="10" max="10" width="18" hidden="0" customWidth="1"/>
    <x:col min="11" max="11" width="12" hidden="0" customWidth="1"/>
    <x:col min="13" max="13" width="30" hidden="0" customWidth="1"/>
    <x:col min="14" max="14" width="76" hidden="0" customWidth="1"/>
  </x:cols>
  <x:sheetData>
    <x:row r="1">
      <x:c r="A1" s="215" t="str">
        <x:v>個性補正後：同アーキタイプ内の識別力監査</x:v>
      </x:c>
      <x:c r="B1" s="215"/>
      <x:c r="C1" s="215"/>
      <x:c r="D1" s="215"/>
      <x:c r="E1" s="215"/>
      <x:c r="F1" s="215"/>
      <x:c r="G1" s="215"/>
      <x:c r="H1" s="215"/>
      <x:c r="I1" s="215"/>
      <x:c r="J1" s="215"/>
      <x:c r="K1" s="218"/>
      <x:c r="L1" s="218"/>
      <x:c r="M1" s="218"/>
      <x:c r="N1" s="218"/>
    </x:row>
    <x:row r="2">
      <x:c r="A2" s="215"/>
      <x:c r="B2" s="215"/>
      <x:c r="C2" s="215"/>
      <x:c r="D2" s="215"/>
      <x:c r="E2" s="215"/>
      <x:c r="F2" s="215"/>
      <x:c r="G2" s="215"/>
      <x:c r="H2" s="215"/>
      <x:c r="I2" s="215"/>
      <x:c r="J2" s="215"/>
      <x:c r="K2" s="218"/>
      <x:c r="L2" s="218"/>
      <x:c r="M2" s="218"/>
      <x:c r="N2" s="218"/>
    </x:row>
    <x:row r="3">
      <x:c r="A3" s="216" t="str">
        <x:v>アーキタイプの共通性は残しつつ、各ポケモン固有の強み・弱みを2〜5軸で補正。 距離を広げること自体ではなく、Wikiで説明できる差だけを数値化しています。</x:v>
      </x:c>
      <x:c r="B3" s="216"/>
      <x:c r="C3" s="216"/>
      <x:c r="D3" s="216"/>
      <x:c r="E3" s="216"/>
      <x:c r="F3" s="216"/>
      <x:c r="G3" s="216"/>
      <x:c r="H3" s="216"/>
      <x:c r="I3" s="216"/>
      <x:c r="J3" s="216"/>
      <x:c r="K3" s="216"/>
      <x:c r="L3" s="216"/>
      <x:c r="M3" s="216"/>
      <x:c r="N3" s="216"/>
    </x:row>
    <x:row r="4">
      <x:c r="A4" s="216"/>
      <x:c r="B4" s="216"/>
      <x:c r="C4" s="216"/>
      <x:c r="D4" s="216"/>
      <x:c r="E4" s="216"/>
      <x:c r="F4" s="216"/>
      <x:c r="G4" s="216"/>
      <x:c r="H4" s="216"/>
      <x:c r="I4" s="216"/>
      <x:c r="J4" s="216"/>
      <x:c r="K4" s="216"/>
      <x:c r="L4" s="216"/>
      <x:c r="M4" s="216"/>
      <x:c r="N4" s="216"/>
    </x:row>
    <x:row r="6">
      <x:c r="A6" s="213" t="str">
        <x:v>監査KPI</x:v>
      </x:c>
      <x:c r="B6" s="213" t="str">
        <x:v>旧版</x:v>
      </x:c>
      <x:c r="C6" s="213" t="str">
        <x:v>新版</x:v>
      </x:c>
      <x:c r="D6" s="210" t="str">
        <x:v>評価</x:v>
      </x:c>
      <x:c r="E6" s="203" t="str">
        <x:v>Pokemon A</x:v>
      </x:c>
      <x:c r="F6" s="213" t="str">
        <x:v>Archetype</x:v>
      </x:c>
      <x:c r="G6" s="213" t="str">
        <x:v>Profile数</x:v>
      </x:c>
      <x:c r="H6" s="213" t="str">
        <x:v>最小距離</x:v>
      </x:c>
      <x:c r="I6" s="213" t="str">
        <x:v>中央値</x:v>
      </x:c>
      <x:c r="J6" s="213" t="str">
        <x:v>平均距離</x:v>
      </x:c>
      <x:c r="K6" s="210" t="str">
        <x:v>距離&lt;3</x:v>
      </x:c>
      <x:c r="L6" s="210" t="str">
        <x:v>距離&lt;5</x:v>
      </x:c>
      <x:c r="M6" s="203" t="str">
        <x:v>改善案</x:v>
      </x:c>
      <x:c r="N6" s="203" t="str">
        <x:v>理由</x:v>
      </x:c>
    </x:row>
    <x:row r="7">
      <x:c r="A7" s="12" t="str">
        <x:v>最寄り別ポケモン距離 中央値</x:v>
      </x:c>
      <x:c r="B7" s="57" t="n">
        <x:v>2.71</x:v>
      </x:c>
      <x:c r="C7" s="12" t="n">
        <x:v>7.143110683918643</x:v>
      </x:c>
      <x:c r="D7" s="12" t="str">
        <x:v>目標5〜7を達成</x:v>
      </x:c>
      <x:c r="E7" t="str">
        <x:v>グレンアルマ</x:v>
      </x:c>
      <x:c r="F7" t="str">
        <x:v>Artillery</x:v>
      </x:c>
      <x:c r="G7" t="n">
        <x:v>5</x:v>
      </x:c>
      <x:c r="H7" s="60" t="n">
        <x:v>7.5804146698689365</x:v>
      </x:c>
      <x:c r="I7" s="60" t="n">
        <x:v>9.578304798428917</x:v>
      </x:c>
      <x:c r="J7" s="60" t="n">
        <x:v>9.340982150910223</x:v>
      </x:c>
      <x:c r="K7" t="n">
        <x:v>0</x:v>
      </x:c>
      <x:c r="L7" t="n">
        <x:v>0</x:v>
      </x:c>
      <x:c r="M7" s="12" t="str">
        <x:v>1. 同アーキタイプ内の固有差を広げる</x:v>
      </x:c>
      <x:c r="N7" s="12" t="str">
        <x:v>今は同アーキタイプの中央値6.2、最寄り別ポケモン中央値2.7。アーキタイプ判定は強いが個体識別が弱い。</x:v>
      </x:c>
    </x:row>
    <x:row r="8">
      <x:c r="A8" s="12" t="str">
        <x:v>距離&lt;3 のプロファイル率</x:v>
      </x:c>
      <x:c r="B8" s="205" t="n">
        <x:v>0.554</x:v>
      </x:c>
      <x:c r="C8" s="205" t="n">
        <x:v>0</x:v>
      </x:c>
      <x:c r="D8" s="12" t="str">
        <x:v>ほぼ同一を解消</x:v>
      </x:c>
      <x:c r="E8" t="str">
        <x:v>サーナイト</x:v>
      </x:c>
      <x:c r="F8" t="str">
        <x:v>Assassin</x:v>
      </x:c>
      <x:c r="G8" t="n">
        <x:v>14</x:v>
      </x:c>
      <x:c r="H8" s="60" t="n">
        <x:v>3.4554737023254405</x:v>
      </x:c>
      <x:c r="I8" s="60" t="n">
        <x:v>12.8423274033303</x:v>
      </x:c>
      <x:c r="J8" s="60" t="n">
        <x:v>13.212558541544425</x:v>
      </x:c>
      <x:c r="K8" t="n">
        <x:v>0</x:v>
      </x:c>
      <x:c r="L8" t="n">
        <x:v>4</x:v>
      </x:c>
      <x:c r="M8" s="12" t="str">
        <x:v>2. 完全一致3ペアを最優先で修正</x:v>
      </x:c>
      <x:c r="N8" s="12" t="str">
        <x:v>現行15軸では回答をどう変えても区別できず、RankBiasだけで順位が決まる。</x:v>
      </x:c>
    </x:row>
    <x:row r="9">
      <x:c r="A9" s="12" t="str">
        <x:v>距離&lt;5 のプロファイル率</x:v>
      </x:c>
      <x:c r="B9" s="205" t="n">
        <x:v>0.8</x:v>
      </x:c>
      <x:c r="C9" s="205" t="n">
        <x:v>0.12307692307692308</x:v>
      </x:c>
      <x:c r="D9" s="12" t="str">
        <x:v>近すぎる組を大幅削減</x:v>
      </x:c>
      <x:c r="E9" t="str">
        <x:v>エンペルト</x:v>
      </x:c>
      <x:c r="F9" t="str">
        <x:v>BattleMage</x:v>
      </x:c>
      <x:c r="G9" t="n">
        <x:v>7</x:v>
      </x:c>
      <x:c r="H9" s="60" t="n">
        <x:v>4.243080407355437</x:v>
      </x:c>
      <x:c r="I9" s="60" t="n">
        <x:v>12.758520711519367</x:v>
      </x:c>
      <x:c r="J9" s="60" t="n">
        <x:v>12.300925082707423</x:v>
      </x:c>
      <x:c r="K9" t="n">
        <x:v>0</x:v>
      </x:c>
      <x:c r="L9" t="n">
        <x:v>1</x:v>
      </x:c>
      <x:c r="M9" s="12" t="str">
        <x:v>3. 近いペアは2〜3軸を±10〜15動かす</x:v>
      </x:c>
      <x:c r="N9" s="12" t="str">
        <x:v>軸を増やす前に、既存15軸のポケモン固有値を強める方が効果的。</x:v>
      </x:c>
    </x:row>
    <x:row r="10">
      <x:c r="A10" s="12" t="str">
        <x:v>同アーキタイプ内 距離中央値</x:v>
      </x:c>
      <x:c r="B10" s="57" t="n">
        <x:v>6.24</x:v>
      </x:c>
      <x:c r="C10" s="12" t="n">
        <x:v>13.550967802394185</x:v>
      </x:c>
      <x:c r="D10" s="12" t="str">
        <x:v>同系統内の個体差を強化</x:v>
      </x:c>
      <x:c r="F10" t="str">
        <x:v>BurstMage</x:v>
      </x:c>
      <x:c r="G10" t="n">
        <x:v>12</x:v>
      </x:c>
      <x:c r="H10" s="60" t="n">
        <x:v>5.11071452783998</x:v>
      </x:c>
      <x:c r="I10" s="60" t="n">
        <x:v>11.382902783494565</x:v>
      </x:c>
      <x:c r="J10" s="60" t="n">
        <x:v>11.501266473482515</x:v>
      </x:c>
      <x:c r="K10" t="n">
        <x:v>0</x:v>
      </x:c>
      <x:c r="L10" t="n">
        <x:v>0</x:v>
      </x:c>
      <x:c r="M10" s="12" t="str">
        <x:v>4. archetype baseを弱める</x:v>
      </x:c>
      <x:c r="N10" s="12" t="str">
        <x:v>同じアーキタイプがRankScore相関0.99で一緒に上下している。個別modifierを今より強くする。</x:v>
      </x:c>
    </x:row>
    <x:row r="11">
      <x:c r="A11" s="12" t="str">
        <x:v>完全一致ペア</x:v>
      </x:c>
      <x:c r="B11" s="57" t="n">
        <x:v>3</x:v>
      </x:c>
      <x:c r="C11" s="12" t="n">
        <x:v>0</x:v>
      </x:c>
      <x:c r="D11" s="12" t="str">
        <x:v>解消</x:v>
      </x:c>
      <x:c r="F11" t="str">
        <x:v>Catcher</x:v>
      </x:c>
      <x:c r="G11" t="n">
        <x:v>4</x:v>
      </x:c>
      <x:c r="H11" s="60" t="n">
        <x:v>6.55060667123237</x:v>
      </x:c>
      <x:c r="I11" s="60" t="n">
        <x:v>15.10347400079904</x:v>
      </x:c>
      <x:c r="J11" s="60" t="n">
        <x:v>13.739852578393133</x:v>
      </x:c>
      <x:c r="K11" t="n">
        <x:v>0</x:v>
      </x:c>
      <x:c r="L11" t="n">
        <x:v>0</x:v>
      </x:c>
      <x:c r="M11" s="12" t="str">
        <x:v>5. 目標</x:v>
      </x:c>
      <x:c r="N11" s="12" t="str">
        <x:v>最寄り別ポケモン距離の中央値5〜7、完全一致0、Top5アーキタイプ中央値3程度を目安に再調整。</x:v>
      </x:c>
    </x:row>
    <x:row r="12">
      <x:c r="A12" s="12" t="str">
        <x:v>Top1/Top2 同アーキタイプ率</x:v>
      </x:c>
      <x:c r="B12" s="205" t="n">
        <x:v>0.698</x:v>
      </x:c>
      <x:c r="C12" s="205" t="n">
        <x:v>0.49857142857142855</x:v>
      </x:c>
      <x:c r="D12" s="12" t="str">
        <x:v>候補の固まりを緩和</x:v>
      </x:c>
      <x:c r="E12" s="203" t="str">
        <x:v>Archetype</x:v>
      </x:c>
      <x:c r="F12" s="203" t="str">
        <x:v>Diver</x:v>
      </x:c>
      <x:c r="G12" s="203" t="n">
        <x:v>23</x:v>
      </x:c>
      <x:c r="H12" s="221" t="n">
        <x:v>3.7655151676247356</x:v>
      </x:c>
      <x:c r="I12" s="221" t="n">
        <x:v>12.232206083599221</x:v>
      </x:c>
      <x:c r="J12" s="221" t="n">
        <x:v>13.264651782034893</x:v>
      </x:c>
      <x:c r="K12" s="203" t="n">
        <x:v>0</x:v>
      </x:c>
      <x:c r="L12" t="n">
        <x:v>3</x:v>
      </x:c>
      <x:c r="M12" s="12" t="str">
        <x:v>注意</x:v>
      </x:c>
      <x:c r="N12" s="12" t="str">
        <x:v>この監査は『ゲームプレイ特徴の識別力』の監査で、心理尺度の妥当性とは別です。</x:v>
      </x:c>
    </x:row>
    <x:row r="13">
      <x:c r="A13" s="12" t="str">
        <x:v>Top5アーキタイプ数 中央値</x:v>
      </x:c>
      <x:c r="B13" s="57" t="n">
        <x:v>2</x:v>
      </x:c>
      <x:c r="C13" s="12" t="n">
        <x:v>2</x:v>
      </x:c>
      <x:c r="D13" s="12" t="str">
        <x:v>同系統候補は残る</x:v>
      </x:c>
      <x:c r="E13" t="str">
        <x:v>Artillery</x:v>
      </x:c>
      <x:c r="F13" t="str">
        <x:v>Enchanter</x:v>
      </x:c>
      <x:c r="G13" s="60" t="n">
        <x:v>11</x:v>
      </x:c>
      <x:c r="H13" s="60" t="n">
        <x:v>3.8633370464312793</x:v>
      </x:c>
      <x:c r="I13" s="60" t="n">
        <x:v>19.29735887891119</x:v>
      </x:c>
      <x:c r="J13" s="60" t="n">
        <x:v>18.948491234944267</x:v>
      </x:c>
      <x:c r="K13" t="n">
        <x:v>0</x:v>
      </x:c>
      <x:c r="L13" t="n">
        <x:v>1</x:v>
      </x:c>
    </x:row>
    <x:row r="14">
      <x:c r="A14" s="12" t="str">
        <x:v>Top1とTop2が同アーキタイプ</x:v>
      </x:c>
      <x:c r="B14" s="205" t="n">
        <x:v>0.6984444444444444</x:v>
      </x:c>
      <x:c r="C14" s="12" t="str">
        <x:v>サイト表示の候補が固まりやすい</x:v>
      </x:c>
      <x:c r="E14" t="str">
        <x:v>BurstMage</x:v>
      </x:c>
      <x:c r="F14" t="str">
        <x:v>Juggernaut</x:v>
      </x:c>
      <x:c r="G14" s="60" t="n">
        <x:v>18</x:v>
      </x:c>
      <x:c r="H14" s="60" t="n">
        <x:v>3.054236108907631</x:v>
      </x:c>
      <x:c r="I14" s="60" t="n">
        <x:v>16.3736683405208</x:v>
      </x:c>
      <x:c r="J14" s="60" t="n">
        <x:v>17.707955315718312</x:v>
      </x:c>
      <x:c r="K14" t="n">
        <x:v>0</x:v>
      </x:c>
      <x:c r="L14" t="n">
        <x:v>1</x:v>
      </x:c>
    </x:row>
    <x:row r="15">
      <x:c r="A15" s="12" t="str">
        <x:v>Top5のアーキタイプ数 中央値</x:v>
      </x:c>
      <x:c r="B15" s="57" t="n">
        <x:v>2</x:v>
      </x:c>
      <x:c r="C15" s="12" t="str">
        <x:v>5候補中の多様性</x:v>
      </x:c>
      <x:c r="E15" t="str">
        <x:v>Skirmisher</x:v>
      </x:c>
      <x:c r="F15" t="str">
        <x:v>Marksman</x:v>
      </x:c>
      <x:c r="G15" s="60" t="n">
        <x:v>10</x:v>
      </x:c>
      <x:c r="H15" s="60" t="n">
        <x:v>3.5355339059327378</x:v>
      </x:c>
      <x:c r="I15" s="60" t="n">
        <x:v>16.549338265167144</x:v>
      </x:c>
      <x:c r="J15" s="60" t="n">
        <x:v>16.936337745087847</x:v>
      </x:c>
      <x:c r="K15" t="n">
        <x:v>0</x:v>
      </x:c>
      <x:c r="L15" t="n">
        <x:v>1</x:v>
      </x:c>
    </x:row>
    <x:row r="16">
      <x:c r="A16" s="12" t="str">
        <x:v>1位 vs 同アーキタイプ次点 RankScore差 中央値</x:v>
      </x:c>
      <x:c r="B16" s="57" t="n">
        <x:v>0.7405359613067901</x:v>
      </x:c>
      <x:c r="C16" s="12" t="str">
        <x:v>かなり僅差</x:v>
      </x:c>
      <x:c r="E16" t="str">
        <x:v>Assassin</x:v>
      </x:c>
      <x:c r="F16" t="str">
        <x:v>Skirmisher</x:v>
      </x:c>
      <x:c r="G16" s="60" t="n">
        <x:v>12</x:v>
      </x:c>
      <x:c r="H16" s="60" t="n">
        <x:v>5.272428990767592</x:v>
      </x:c>
      <x:c r="I16" s="60" t="n">
        <x:v>11.966199007509022</x:v>
      </x:c>
      <x:c r="J16" s="60" t="n">
        <x:v>12.716872998536648</x:v>
      </x:c>
      <x:c r="K16" t="n">
        <x:v>0</x:v>
      </x:c>
      <x:c r="L16" t="n">
        <x:v>0</x:v>
      </x:c>
    </x:row>
    <x:row r="17">
      <x:c r="A17" s="12" t="str">
        <x:v>同アーキタイプ RankScore相関 中央値</x:v>
      </x:c>
      <x:c r="B17" s="57" t="n">
        <x:v>0.9940202668913416</x:v>
      </x:c>
      <x:c r="C17" s="12" t="str">
        <x:v>1に近いほど一緒に上下する</x:v>
      </x:c>
      <x:c r="E17" t="str">
        <x:v>BattleMage</x:v>
      </x:c>
      <x:c r="F17" t="str">
        <x:v>Specialist</x:v>
      </x:c>
      <x:c r="G17" s="60" t="n">
        <x:v>3</x:v>
      </x:c>
      <x:c r="H17" s="60" t="n">
        <x:v>34.80489329124463</x:v>
      </x:c>
      <x:c r="I17" s="60" t="n">
        <x:v>40.20586019512393</x:v>
      </x:c>
      <x:c r="J17" s="60" t="n">
        <x:v>39.55356412193717</x:v>
      </x:c>
      <x:c r="K17" t="n">
        <x:v>0</x:v>
      </x:c>
      <x:c r="L17" t="n">
        <x:v>0</x:v>
      </x:c>
    </x:row>
    <x:row r="18">
      <x:c r="A18" s="12" t="str">
        <x:v>別アーキタイプ RankScore相関 中央値</x:v>
      </x:c>
      <x:c r="B18" s="57" t="n">
        <x:v>0.2198560405911064</x:v>
      </x:c>
      <x:c r="C18" s="12" t="str"/>
      <x:c r="E18" t="str">
        <x:v>Diver</x:v>
      </x:c>
      <x:c r="F18" t="str">
        <x:v>Vanguard</x:v>
      </x:c>
      <x:c r="G18" s="60" t="n">
        <x:v>6</x:v>
      </x:c>
      <x:c r="H18" s="60" t="n">
        <x:v>6.077853116640998</x:v>
      </x:c>
      <x:c r="I18" s="60" t="n">
        <x:v>16.698042605816756</x:v>
      </x:c>
      <x:c r="J18" s="60" t="n">
        <x:v>21.6474947599723</x:v>
      </x:c>
      <x:c r="K18" t="n">
        <x:v>0</x:v>
      </x:c>
      <x:c r="L18" t="n">
        <x:v>0</x:v>
      </x:c>
    </x:row>
    <x:row r="19">
      <x:c r="E19" t="str">
        <x:v>Catcher</x:v>
      </x:c>
      <x:c r="F19" t="str">
        <x:v>Warden</x:v>
      </x:c>
      <x:c r="G19" s="60" t="n">
        <x:v>5</x:v>
      </x:c>
      <x:c r="H19" s="60" t="n">
        <x:v>6.435674824582206</x:v>
      </x:c>
      <x:c r="I19" s="60" t="n">
        <x:v>15.357737395874114</x:v>
      </x:c>
      <x:c r="J19" s="60" t="n">
        <x:v>15.55042614851466</x:v>
      </x:c>
      <x:c r="K19" t="n">
        <x:v>0</x:v>
      </x:c>
      <x:c r="L19" t="n">
        <x:v>0</x:v>
      </x:c>
    </x:row>
    <x:row r="20">
      <x:c r="E20" t="str">
        <x:v>Marksman</x:v>
      </x:c>
      <x:c r="F20" t="n">
        <x:v>10</x:v>
      </x:c>
      <x:c r="G20" s="60" t="n">
        <x:v>1.8827575838123678</x:v>
      </x:c>
      <x:c r="H20" s="60" t="n">
        <x:v>7.561933338829133</x:v>
      </x:c>
      <x:c r="I20" s="60" t="n">
        <x:v>8.148216094945276</x:v>
      </x:c>
      <x:c r="J20" t="n">
        <x:v>4</x:v>
      </x:c>
      <x:c r="K20" t="n">
        <x:v>11</x:v>
      </x:c>
    </x:row>
    <x:row r="21">
      <x:c r="E21" t="str">
        <x:v>Vanguard</x:v>
      </x:c>
      <x:c r="F21" t="n">
        <x:v>6</x:v>
      </x:c>
      <x:c r="G21" s="60" t="n">
        <x:v>1.9316685232156396</x:v>
      </x:c>
      <x:c r="H21" s="60" t="n">
        <x:v>7.905694150420949</x:v>
      </x:c>
      <x:c r="I21" s="60" t="n">
        <x:v>14.112936836508089</x:v>
      </x:c>
      <x:c r="J21" t="n">
        <x:v>1</x:v>
      </x:c>
      <x:c r="K21" t="n">
        <x:v>4</x:v>
      </x:c>
    </x:row>
    <x:row r="22">
      <x:c r="E22" t="str">
        <x:v>Juggernaut</x:v>
      </x:c>
      <x:c r="F22" t="n">
        <x:v>18</x:v>
      </x:c>
      <x:c r="G22" s="60" t="n">
        <x:v>0</x:v>
      </x:c>
      <x:c r="H22" s="60" t="n">
        <x:v>8.178283949473078</x:v>
      </x:c>
      <x:c r="I22" s="60" t="n">
        <x:v>9.418773714747694</x:v>
      </x:c>
      <x:c r="J22" t="n">
        <x:v>24</x:v>
      </x:c>
      <x:c r="K22" t="n">
        <x:v>39</x:v>
      </x:c>
    </x:row>
    <x:row r="23">
      <x:c r="E23" t="str">
        <x:v>Warden</x:v>
      </x:c>
      <x:c r="F23" t="n">
        <x:v>5</x:v>
      </x:c>
      <x:c r="G23" s="60" t="n">
        <x:v>3.428371529353781</x:v>
      </x:c>
      <x:c r="H23" s="60" t="n">
        <x:v>8.20763190806217</x:v>
      </x:c>
      <x:c r="I23" s="60" t="n">
        <x:v>8.205287098799497</x:v>
      </x:c>
      <x:c r="J23" t="n">
        <x:v>0</x:v>
      </x:c>
      <x:c r="K23" t="n">
        <x:v>2</x:v>
      </x:c>
    </x:row>
    <x:row r="24">
      <x:c r="A24" s="210" t="str">
        <x:v>Pokemon</x:v>
      </x:c>
      <x:c r="B24" s="210" t="str">
        <x:v>Profile</x:v>
      </x:c>
      <x:c r="C24" s="210" t="str">
        <x:v>Role</x:v>
      </x:c>
      <x:c r="D24" s="210" t="str">
        <x:v>PrimaryArchetype</x:v>
      </x:c>
      <x:c r="E24" s="210" t="str">
        <x:v>Nearest Pokémon</x:v>
      </x:c>
      <x:c r="F24" s="210" t="str">
        <x:v>Nearest Profile</x:v>
      </x:c>
      <x:c r="G24" s="223" t="str">
        <x:v>Nearest Archetype</x:v>
      </x:c>
      <x:c r="H24" s="223" t="str">
        <x:v>WeightedDistance</x:v>
      </x:c>
      <x:c r="I24" s="223" t="str">
        <x:v>SameArchetype</x:v>
      </x:c>
      <x:c r="J24" s="210" t="str">
        <x:v>判定</x:v>
      </x:c>
      <x:c r="K24" t="n">
        <x:v>7</x:v>
      </x:c>
    </x:row>
    <x:row r="25">
      <x:c r="A25" t="str">
        <x:v>アローラキュウコン</x:v>
      </x:c>
      <x:c r="B25" t="str">
        <x:v>ふぶき</x:v>
      </x:c>
      <x:c r="C25" t="str">
        <x:v>アタック型</x:v>
      </x:c>
      <x:c r="D25" t="str">
        <x:v>BurstMage</x:v>
      </x:c>
      <x:c r="E25" t="str">
        <x:v>グレンアルマ</x:v>
      </x:c>
      <x:c r="F25" t="str">
        <x:v>アーマーキャノン</x:v>
      </x:c>
      <x:c r="G25" s="60" t="str">
        <x:v>BurstMage</x:v>
      </x:c>
      <x:c r="H25" s="60" t="n">
        <x:v>5.11071452783998</x:v>
      </x:c>
      <x:c r="I25" s="60" t="str">
        <x:v>Yes</x:v>
      </x:c>
      <x:c r="J25" t="str">
        <x:v>やや近い</x:v>
      </x:c>
      <x:c r="K25" t="n">
        <x:v>0</x:v>
      </x:c>
    </x:row>
    <x:row r="26">
      <x:c r="A26" t="str">
        <x:v>アローラキュウコン</x:v>
      </x:c>
      <x:c r="B26" t="str">
        <x:v>オーロラベール</x:v>
      </x:c>
      <x:c r="C26" t="str">
        <x:v>アタック型</x:v>
      </x:c>
      <x:c r="D26" t="str">
        <x:v>Marksman</x:v>
      </x:c>
      <x:c r="E26" t="str">
        <x:v>レシラム</x:v>
      </x:c>
      <x:c r="F26" t="str">
        <x:v>共通</x:v>
      </x:c>
      <x:c r="G26" t="str">
        <x:v>BattleMage</x:v>
      </x:c>
      <x:c r="H26" s="60" t="n">
        <x:v>17.33665773707658</x:v>
      </x:c>
      <x:c r="I26" t="str">
        <x:v>No</x:v>
      </x:c>
      <x:c r="J26" t="str">
        <x:v>十分離れている</x:v>
      </x:c>
    </x:row>
    <x:row r="27">
      <x:c r="A27" t="str">
        <x:v>アローラライチュウ</x:v>
      </x:c>
      <x:c r="B27" t="str">
        <x:v>共通</x:v>
      </x:c>
      <x:c r="C27" t="str">
        <x:v>アタック型</x:v>
      </x:c>
      <x:c r="D27" t="str">
        <x:v>BattleMage</x:v>
      </x:c>
      <x:c r="E27" t="str">
        <x:v>レシラム</x:v>
      </x:c>
      <x:c r="F27" t="str">
        <x:v>共通</x:v>
      </x:c>
      <x:c r="G27" t="str">
        <x:v>BattleMage</x:v>
      </x:c>
      <x:c r="H27" s="60" t="n">
        <x:v>4.243080407355437</x:v>
      </x:c>
      <x:c r="I27" t="str">
        <x:v>Yes</x:v>
      </x:c>
      <x:c r="J27" t="str">
        <x:v>近い</x:v>
      </x:c>
    </x:row>
    <x:row r="28">
      <x:c r="A28" t="str">
        <x:v>イベルタル</x:v>
      </x:c>
      <x:c r="B28" t="str">
        <x:v>共通</x:v>
      </x:c>
      <x:c r="C28" t="str">
        <x:v>アタック型</x:v>
      </x:c>
      <x:c r="D28" t="str">
        <x:v>BurstMage</x:v>
      </x:c>
      <x:c r="E28" t="str">
        <x:v>ラティオス</x:v>
      </x:c>
      <x:c r="F28" t="str">
        <x:v>共通</x:v>
      </x:c>
      <x:c r="G28" t="str">
        <x:v>BurstMage</x:v>
      </x:c>
      <x:c r="H28" s="60" t="n">
        <x:v>7.870215912378941</x:v>
      </x:c>
      <x:c r="I28" t="str">
        <x:v>Yes</x:v>
      </x:c>
      <x:c r="J28" t="str">
        <x:v>十分離れている</x:v>
      </x:c>
    </x:row>
    <x:row r="29">
      <x:c r="A29" t="str">
        <x:v>インテレオン</x:v>
      </x:c>
      <x:c r="B29" t="str">
        <x:v>ねらいうち</x:v>
      </x:c>
      <x:c r="C29" t="str">
        <x:v>アタック型</x:v>
      </x:c>
      <x:c r="D29" t="str">
        <x:v>Artillery</x:v>
      </x:c>
      <x:c r="E29" t="str">
        <x:v>ジュナイパー</x:v>
      </x:c>
      <x:c r="F29" t="str">
        <x:v>かげぬい</x:v>
      </x:c>
      <x:c r="G29" t="str">
        <x:v>Artillery</x:v>
      </x:c>
      <x:c r="H29" s="60" t="n">
        <x:v>7.846474633815143</x:v>
      </x:c>
      <x:c r="I29" t="str">
        <x:v>Yes</x:v>
      </x:c>
      <x:c r="J29" t="str">
        <x:v>十分離れている</x:v>
      </x:c>
    </x:row>
    <x:row r="30">
      <x:c r="A30" t="str">
        <x:v>インテレオン</x:v>
      </x:c>
      <x:c r="B30" t="str">
        <x:v>アクアブレイク</x:v>
      </x:c>
      <x:c r="C30" t="str">
        <x:v>アタック型</x:v>
      </x:c>
      <x:c r="D30" t="str">
        <x:v>BattleMage</x:v>
      </x:c>
      <x:c r="E30" t="str">
        <x:v>グレイシア</x:v>
      </x:c>
      <x:c r="F30" t="str">
        <x:v>共通</x:v>
      </x:c>
      <x:c r="G30" t="str">
        <x:v>Marksman</x:v>
      </x:c>
      <x:c r="H30" s="60" t="n">
        <x:v>8.028633459305551</x:v>
      </x:c>
      <x:c r="I30" t="str">
        <x:v>No</x:v>
      </x:c>
      <x:c r="J30" t="str">
        <x:v>十分離れている</x:v>
      </x:c>
    </x:row>
    <x:row r="31">
      <x:c r="A31" t="str">
        <x:v>ウッウ</x:v>
      </x:c>
      <x:c r="B31" t="str">
        <x:v>なみのり</x:v>
      </x:c>
      <x:c r="C31" t="str">
        <x:v>アタック型</x:v>
      </x:c>
      <x:c r="D31" t="str">
        <x:v>BurstMage</x:v>
      </x:c>
      <x:c r="E31" t="str">
        <x:v>サンダー</x:v>
      </x:c>
      <x:c r="F31" t="str">
        <x:v>共通</x:v>
      </x:c>
      <x:c r="G31" t="str">
        <x:v>BurstMage</x:v>
      </x:c>
      <x:c r="H31" s="60" t="n">
        <x:v>6.753937491700012</x:v>
      </x:c>
      <x:c r="I31" t="str">
        <x:v>Yes</x:v>
      </x:c>
      <x:c r="J31" t="str">
        <x:v>やや近い</x:v>
      </x:c>
    </x:row>
    <x:row r="32">
      <x:c r="A32" s="203" t="str">
        <x:v>ウッウ</x:v>
      </x:c>
      <x:c r="B32" s="203" t="str">
        <x:v>ダイビング</x:v>
      </x:c>
      <x:c r="C32" s="203" t="str">
        <x:v>アタック型</x:v>
      </x:c>
      <x:c r="D32" s="203" t="str">
        <x:v>BattleMage</x:v>
      </x:c>
      <x:c r="E32" s="203" t="str">
        <x:v>マフォクシー</x:v>
      </x:c>
      <x:c r="F32" s="203" t="str">
        <x:v>ニトロチャージ</x:v>
      </x:c>
      <x:c r="G32" s="203" t="str">
        <x:v>BattleMage</x:v>
      </x:c>
      <x:c r="H32" s="221" t="n">
        <x:v>7.870215912378941</x:v>
      </x:c>
      <x:c r="I32" s="203" t="str">
        <x:v>Yes</x:v>
      </x:c>
      <x:c r="J32" s="203" t="str">
        <x:v>十分離れている</x:v>
      </x:c>
    </x:row>
    <x:row r="33">
      <x:c r="A33" t="str">
        <x:v>エースバーン</x:v>
      </x:c>
      <x:c r="B33" t="str">
        <x:v>共通</x:v>
      </x:c>
      <x:c r="C33" t="str">
        <x:v>アタック型</x:v>
      </x:c>
      <x:c r="D33" t="str">
        <x:v>Marksman</x:v>
      </x:c>
      <x:c r="E33" t="str">
        <x:v>ゲッコウガ</x:v>
      </x:c>
      <x:c r="F33" t="str">
        <x:v>みずしゅりけん</x:v>
      </x:c>
      <x:c r="G33" t="str">
        <x:v>Marksman</x:v>
      </x:c>
      <x:c r="H33" s="60" t="n">
        <x:v>3.5355339059327378</x:v>
      </x:c>
      <x:c r="I33" t="str">
        <x:v>Yes</x:v>
      </x:c>
      <x:c r="J33" t="str">
        <x:v>かなり近い</x:v>
      </x:c>
    </x:row>
    <x:row r="34">
      <x:c r="A34" t="str">
        <x:v>エーフィ</x:v>
      </x:c>
      <x:c r="B34" t="str">
        <x:v>共通</x:v>
      </x:c>
      <x:c r="C34" t="str">
        <x:v>アタック型</x:v>
      </x:c>
      <x:c r="D34" t="str">
        <x:v>BurstMage</x:v>
      </x:c>
      <x:c r="E34" t="str">
        <x:v>レシラム</x:v>
      </x:c>
      <x:c r="F34" t="str">
        <x:v>共通</x:v>
      </x:c>
      <x:c r="G34" t="str">
        <x:v>BattleMage</x:v>
      </x:c>
      <x:c r="H34" s="60" t="n">
        <x:v>8.956778472029715</x:v>
      </x:c>
      <x:c r="I34" t="str">
        <x:v>No</x:v>
      </x:c>
      <x:c r="J34" t="str">
        <x:v>十分離れている</x:v>
      </x:c>
    </x:row>
    <x:row r="35">
      <x:c r="A35" t="str">
        <x:v>グレイシア</x:v>
      </x:c>
      <x:c r="B35" t="str">
        <x:v>共通</x:v>
      </x:c>
      <x:c r="C35" t="str">
        <x:v>アタック型</x:v>
      </x:c>
      <x:c r="D35" t="str">
        <x:v>Marksman</x:v>
      </x:c>
      <x:c r="E35" t="str">
        <x:v>リザードン</x:v>
      </x:c>
      <x:c r="F35" t="str">
        <x:v>だいもんじ</x:v>
      </x:c>
      <x:c r="G35" t="str">
        <x:v>BattleMage</x:v>
      </x:c>
      <x:c r="H35" s="60" t="n">
        <x:v>7.097403351110757</x:v>
      </x:c>
      <x:c r="I35" t="str">
        <x:v>No</x:v>
      </x:c>
      <x:c r="J35" t="str">
        <x:v>十分離れている</x:v>
      </x:c>
    </x:row>
    <x:row r="36">
      <x:c r="A36" t="str">
        <x:v>グレンアルマ</x:v>
      </x:c>
      <x:c r="B36" t="str">
        <x:v>ほのおのうず</x:v>
      </x:c>
      <x:c r="C36" t="str">
        <x:v>アタック型</x:v>
      </x:c>
      <x:c r="D36" t="str">
        <x:v>Juggernaut</x:v>
      </x:c>
      <x:c r="E36" t="str">
        <x:v>フシギバナ</x:v>
      </x:c>
      <x:c r="F36" t="str">
        <x:v>はなびらのまい</x:v>
      </x:c>
      <x:c r="G36" t="str">
        <x:v>Juggernaut</x:v>
      </x:c>
      <x:c r="H36" s="60" t="n">
        <x:v>3.054236108907631</x:v>
      </x:c>
      <x:c r="I36" t="str">
        <x:v>Yes</x:v>
      </x:c>
      <x:c r="J36" t="str">
        <x:v>かなり近い</x:v>
      </x:c>
    </x:row>
    <x:row r="37">
      <x:c r="A37" t="str">
        <x:v>グレンアルマ</x:v>
      </x:c>
      <x:c r="B37" t="str">
        <x:v>アーマーキャノン</x:v>
      </x:c>
      <x:c r="C37" t="str">
        <x:v>アタック型</x:v>
      </x:c>
      <x:c r="D37" t="str">
        <x:v>BurstMage</x:v>
      </x:c>
      <x:c r="E37" t="str">
        <x:v>アローラキュウコン</x:v>
      </x:c>
      <x:c r="F37" t="str">
        <x:v>ふぶき</x:v>
      </x:c>
      <x:c r="G37" t="str">
        <x:v>BurstMage</x:v>
      </x:c>
      <x:c r="H37" s="60" t="n">
        <x:v>5.11071452783998</x:v>
      </x:c>
      <x:c r="I37" t="str">
        <x:v>Yes</x:v>
      </x:c>
      <x:c r="J37" t="str">
        <x:v>やや近い</x:v>
      </x:c>
    </x:row>
    <x:row r="38">
      <x:c r="A38" t="str">
        <x:v>ゲッコウガ</x:v>
      </x:c>
      <x:c r="B38" t="str">
        <x:v>みずしゅりけん</x:v>
      </x:c>
      <x:c r="C38" t="str">
        <x:v>アタック型</x:v>
      </x:c>
      <x:c r="D38" t="str">
        <x:v>Marksman</x:v>
      </x:c>
      <x:c r="E38" t="str">
        <x:v>エースバーン</x:v>
      </x:c>
      <x:c r="F38" t="str">
        <x:v>共通</x:v>
      </x:c>
      <x:c r="G38" t="str">
        <x:v>Marksman</x:v>
      </x:c>
      <x:c r="H38" s="60" t="n">
        <x:v>3.5355339059327378</x:v>
      </x:c>
      <x:c r="I38" t="str">
        <x:v>Yes</x:v>
      </x:c>
      <x:c r="J38" t="str">
        <x:v>かなり近い</x:v>
      </x:c>
    </x:row>
    <x:row r="39">
      <x:c r="A39" t="str">
        <x:v>ゲッコウガ</x:v>
      </x:c>
      <x:c r="B39" t="str">
        <x:v>なみのり</x:v>
      </x:c>
      <x:c r="C39" t="str">
        <x:v>アタック型</x:v>
      </x:c>
      <x:c r="D39" t="str">
        <x:v>Assassin</x:v>
      </x:c>
      <x:c r="E39" t="str">
        <x:v>ハッサム</x:v>
      </x:c>
      <x:c r="F39" t="str">
        <x:v>ストライク</x:v>
      </x:c>
      <x:c r="G39" t="str">
        <x:v>Assassin</x:v>
      </x:c>
      <x:c r="H39" s="60" t="n">
        <x:v>4.962546289118299</x:v>
      </x:c>
      <x:c r="I39" t="str">
        <x:v>Yes</x:v>
      </x:c>
      <x:c r="J39" t="str">
        <x:v>近い</x:v>
      </x:c>
    </x:row>
    <x:row r="40">
      <x:c r="A40" t="str">
        <x:v>サンダー</x:v>
      </x:c>
      <x:c r="B40" t="str">
        <x:v>共通</x:v>
      </x:c>
      <x:c r="C40" t="str">
        <x:v>アタック型</x:v>
      </x:c>
      <x:c r="D40" t="str">
        <x:v>BurstMage</x:v>
      </x:c>
      <x:c r="E40" t="str">
        <x:v>サーナイト</x:v>
      </x:c>
      <x:c r="F40" t="str">
        <x:v>共通</x:v>
      </x:c>
      <x:c r="G40" t="str">
        <x:v>BurstMage</x:v>
      </x:c>
      <x:c r="H40" s="60" t="n">
        <x:v>6.01614742594846</x:v>
      </x:c>
      <x:c r="I40" t="str">
        <x:v>Yes</x:v>
      </x:c>
      <x:c r="J40" t="str">
        <x:v>やや近い</x:v>
      </x:c>
    </x:row>
    <x:row r="41">
      <x:c r="A41" t="str">
        <x:v>サーナイト</x:v>
      </x:c>
      <x:c r="B41" t="str">
        <x:v>共通</x:v>
      </x:c>
      <x:c r="C41" t="str">
        <x:v>アタック型</x:v>
      </x:c>
      <x:c r="D41" t="str">
        <x:v>BurstMage</x:v>
      </x:c>
      <x:c r="E41" t="str">
        <x:v>サンダー</x:v>
      </x:c>
      <x:c r="F41" t="str">
        <x:v>共通</x:v>
      </x:c>
      <x:c r="G41" t="str">
        <x:v>BurstMage</x:v>
      </x:c>
      <x:c r="H41" s="60" t="n">
        <x:v>6.01614742594846</x:v>
      </x:c>
      <x:c r="I41" t="str">
        <x:v>Yes</x:v>
      </x:c>
      <x:c r="J41" t="str">
        <x:v>やや近い</x:v>
      </x:c>
    </x:row>
    <x:row r="42">
      <x:c r="A42" t="str">
        <x:v>シャンデラ</x:v>
      </x:c>
      <x:c r="B42" t="str">
        <x:v>共通</x:v>
      </x:c>
      <x:c r="C42" t="str">
        <x:v>アタック型</x:v>
      </x:c>
      <x:c r="D42" t="str">
        <x:v>BurstMage</x:v>
      </x:c>
      <x:c r="E42" t="str">
        <x:v>マフォクシー</x:v>
      </x:c>
      <x:c r="F42" t="str">
        <x:v>ほのおのうず</x:v>
      </x:c>
      <x:c r="G42" t="str">
        <x:v>BurstMage</x:v>
      </x:c>
      <x:c r="H42" s="60" t="n">
        <x:v>5.455040117777977</x:v>
      </x:c>
      <x:c r="I42" t="str">
        <x:v>Yes</x:v>
      </x:c>
      <x:c r="J42" t="str">
        <x:v>やや近い</x:v>
      </x:c>
    </x:row>
    <x:row r="43">
      <x:c r="A43" t="str">
        <x:v>ジュナイパー</x:v>
      </x:c>
      <x:c r="B43" t="str">
        <x:v>かげぬい</x:v>
      </x:c>
      <x:c r="C43" t="str">
        <x:v>アタック型</x:v>
      </x:c>
      <x:c r="D43" t="str">
        <x:v>Artillery</x:v>
      </x:c>
      <x:c r="E43" t="str">
        <x:v>インテレオン</x:v>
      </x:c>
      <x:c r="F43" t="str">
        <x:v>ねらいうち</x:v>
      </x:c>
      <x:c r="G43" t="str">
        <x:v>Artillery</x:v>
      </x:c>
      <x:c r="H43" s="60" t="n">
        <x:v>7.846474633815143</x:v>
      </x:c>
      <x:c r="I43" t="str">
        <x:v>Yes</x:v>
      </x:c>
      <x:c r="J43" t="str">
        <x:v>十分離れている</x:v>
      </x:c>
    </x:row>
    <x:row r="44">
      <x:c r="A44" t="str">
        <x:v>ジュナイパー</x:v>
      </x:c>
      <x:c r="B44" t="str">
        <x:v>はっぱカッター</x:v>
      </x:c>
      <x:c r="C44" t="str">
        <x:v>アタック型</x:v>
      </x:c>
      <x:c r="D44" t="str">
        <x:v>Marksman</x:v>
      </x:c>
      <x:c r="E44" t="str">
        <x:v>カイリュー</x:v>
      </x:c>
      <x:c r="F44" t="str">
        <x:v>はかいこうせん</x:v>
      </x:c>
      <x:c r="G44" t="str">
        <x:v>Marksman</x:v>
      </x:c>
      <x:c r="H44" s="60" t="n">
        <x:v>8.638684255813601</x:v>
      </x:c>
      <x:c r="I44" t="str">
        <x:v>Yes</x:v>
      </x:c>
      <x:c r="J44" t="str">
        <x:v>十分離れている</x:v>
      </x:c>
    </x:row>
    <x:row r="45">
      <x:c r="A45" t="str">
        <x:v>ジュラルドン</x:v>
      </x:c>
      <x:c r="B45" t="str">
        <x:v>共通</x:v>
      </x:c>
      <x:c r="C45" t="str">
        <x:v>アタック型</x:v>
      </x:c>
      <x:c r="D45" t="str">
        <x:v>Marksman</x:v>
      </x:c>
      <x:c r="E45" t="str">
        <x:v>ミライドン</x:v>
      </x:c>
      <x:c r="F45" t="str">
        <x:v>チャージビーム</x:v>
      </x:c>
      <x:c r="G45" t="str">
        <x:v>Artillery</x:v>
      </x:c>
      <x:c r="H45" s="60" t="n">
        <x:v>9.086031595215468</x:v>
      </x:c>
      <x:c r="I45" t="str">
        <x:v>No</x:v>
      </x:c>
      <x:c r="J45" t="str">
        <x:v>十分離れている</x:v>
      </x:c>
    </x:row>
    <x:row r="46">
      <x:c r="A46" t="str">
        <x:v>ドラパルト</x:v>
      </x:c>
      <x:c r="B46" t="str">
        <x:v>りゅうのまい</x:v>
      </x:c>
      <x:c r="C46" t="str">
        <x:v>アタック型</x:v>
      </x:c>
      <x:c r="D46" t="str">
        <x:v>Marksman</x:v>
      </x:c>
      <x:c r="E46" t="str">
        <x:v>インテレオン</x:v>
      </x:c>
      <x:c r="F46" t="str">
        <x:v>アクアブレイク</x:v>
      </x:c>
      <x:c r="G46" t="str">
        <x:v>BattleMage</x:v>
      </x:c>
      <x:c r="H46" s="60" t="n">
        <x:v>10.225991175548122</x:v>
      </x:c>
      <x:c r="I46" t="str">
        <x:v>No</x:v>
      </x:c>
      <x:c r="J46" t="str">
        <x:v>十分離れている</x:v>
      </x:c>
    </x:row>
    <x:row r="47">
      <x:c r="A47" t="str">
        <x:v>ドラパルト</x:v>
      </x:c>
      <x:c r="B47" t="str">
        <x:v>ゴーストダイブ</x:v>
      </x:c>
      <x:c r="C47" t="str">
        <x:v>アタック型</x:v>
      </x:c>
      <x:c r="D47" t="str">
        <x:v>Assassin</x:v>
      </x:c>
      <x:c r="E47" t="str">
        <x:v>マスカーニャ</x:v>
      </x:c>
      <x:c r="F47" t="str">
        <x:v>つじぎり</x:v>
      </x:c>
      <x:c r="G47" t="str">
        <x:v>Skirmisher</x:v>
      </x:c>
      <x:c r="H47" s="60" t="n">
        <x:v>18.825098362510857</x:v>
      </x:c>
      <x:c r="I47" t="str">
        <x:v>No</x:v>
      </x:c>
      <x:c r="J47" t="str">
        <x:v>十分離れている</x:v>
      </x:c>
    </x:row>
    <x:row r="48">
      <x:c r="A48" t="str">
        <x:v>ニンフィア</x:v>
      </x:c>
      <x:c r="B48" t="str">
        <x:v>共通</x:v>
      </x:c>
      <x:c r="C48" t="str">
        <x:v>アタック型</x:v>
      </x:c>
      <x:c r="D48" t="str">
        <x:v>BattleMage</x:v>
      </x:c>
      <x:c r="E48" t="str">
        <x:v>メガリザードンY</x:v>
      </x:c>
      <x:c r="F48" t="str">
        <x:v>共通</x:v>
      </x:c>
      <x:c r="G48" t="str">
        <x:v>Diver</x:v>
      </x:c>
      <x:c r="H48" s="60" t="n">
        <x:v>7.893885788116072</x:v>
      </x:c>
      <x:c r="I48" t="str">
        <x:v>No</x:v>
      </x:c>
      <x:c r="J48" t="str">
        <x:v>十分離れている</x:v>
      </x:c>
    </x:row>
    <x:row r="49">
      <x:c r="A49" t="str">
        <x:v>バクフーン</x:v>
      </x:c>
      <x:c r="B49" t="str">
        <x:v>共通</x:v>
      </x:c>
      <x:c r="C49" t="str">
        <x:v>アタック型</x:v>
      </x:c>
      <x:c r="D49" t="str">
        <x:v>Diver</x:v>
      </x:c>
      <x:c r="E49" t="str">
        <x:v>ギャラドス</x:v>
      </x:c>
      <x:c r="F49" t="str">
        <x:v>共通</x:v>
      </x:c>
      <x:c r="G49" t="str">
        <x:v>Diver</x:v>
      </x:c>
      <x:c r="H49" s="60" t="n">
        <x:v>6.774623413006785</x:v>
      </x:c>
      <x:c r="I49" t="str">
        <x:v>Yes</x:v>
      </x:c>
      <x:c r="J49" t="str">
        <x:v>やや近い</x:v>
      </x:c>
    </x:row>
    <x:row r="50">
      <x:c r="A50" t="str">
        <x:v>ピカチュウ</x:v>
      </x:c>
      <x:c r="B50" t="str">
        <x:v>共通</x:v>
      </x:c>
      <x:c r="C50" t="str">
        <x:v>アタック型</x:v>
      </x:c>
      <x:c r="D50" t="str">
        <x:v>BurstMage</x:v>
      </x:c>
      <x:c r="E50" t="str">
        <x:v>スイクン</x:v>
      </x:c>
      <x:c r="F50" t="str">
        <x:v>共通</x:v>
      </x:c>
      <x:c r="G50" t="str">
        <x:v>BurstMage</x:v>
      </x:c>
      <x:c r="H50" s="60" t="n">
        <x:v>10.841462698032762</x:v>
      </x:c>
      <x:c r="I50" t="str">
        <x:v>Yes</x:v>
      </x:c>
      <x:c r="J50" t="str">
        <x:v>十分離れている</x:v>
      </x:c>
    </x:row>
    <x:row r="51">
      <x:c r="A51" t="str">
        <x:v>フシギバナ</x:v>
      </x:c>
      <x:c r="B51" t="str">
        <x:v>ソーラービーム</x:v>
      </x:c>
      <x:c r="C51" t="str">
        <x:v>アタック型</x:v>
      </x:c>
      <x:c r="D51" t="str">
        <x:v>Artillery</x:v>
      </x:c>
      <x:c r="E51" t="str">
        <x:v>ミライドン</x:v>
      </x:c>
      <x:c r="F51" t="str">
        <x:v>チャージビーム</x:v>
      </x:c>
      <x:c r="G51" t="str">
        <x:v>Artillery</x:v>
      </x:c>
      <x:c r="H51" s="60" t="n">
        <x:v>7.5804146698689365</x:v>
      </x:c>
      <x:c r="I51" t="str">
        <x:v>Yes</x:v>
      </x:c>
      <x:c r="J51" t="str">
        <x:v>十分離れている</x:v>
      </x:c>
    </x:row>
    <x:row r="52">
      <x:c r="A52" t="str">
        <x:v>フシギバナ</x:v>
      </x:c>
      <x:c r="B52" t="str">
        <x:v>はなびらのまい</x:v>
      </x:c>
      <x:c r="C52" t="str">
        <x:v>アタック型</x:v>
      </x:c>
      <x:c r="D52" t="str">
        <x:v>Juggernaut</x:v>
      </x:c>
      <x:c r="E52" t="str">
        <x:v>グレンアルマ</x:v>
      </x:c>
      <x:c r="F52" t="str">
        <x:v>ほのおのうず</x:v>
      </x:c>
      <x:c r="G52" t="str">
        <x:v>Juggernaut</x:v>
      </x:c>
      <x:c r="H52" s="60" t="n">
        <x:v>3.054236108907631</x:v>
      </x:c>
      <x:c r="I52" t="str">
        <x:v>Yes</x:v>
      </x:c>
      <x:c r="J52" t="str">
        <x:v>かなり近い</x:v>
      </x:c>
    </x:row>
    <x:row r="53">
      <x:c r="A53" t="str">
        <x:v>マフォクシー</x:v>
      </x:c>
      <x:c r="B53" t="str">
        <x:v>ほのおのうず</x:v>
      </x:c>
      <x:c r="C53" t="str">
        <x:v>アタック型</x:v>
      </x:c>
      <x:c r="D53" t="str">
        <x:v>BurstMage</x:v>
      </x:c>
      <x:c r="E53" t="str">
        <x:v>グレンアルマ</x:v>
      </x:c>
      <x:c r="F53" t="str">
        <x:v>アーマーキャノン</x:v>
      </x:c>
      <x:c r="G53" t="str">
        <x:v>BurstMage</x:v>
      </x:c>
      <x:c r="H53" s="60" t="n">
        <x:v>5.290092118939487</x:v>
      </x:c>
      <x:c r="I53" t="str">
        <x:v>Yes</x:v>
      </x:c>
      <x:c r="J53" t="str">
        <x:v>やや近い</x:v>
      </x:c>
    </x:row>
    <x:row r="54">
      <x:c r="A54" t="str">
        <x:v>マフォクシー</x:v>
      </x:c>
      <x:c r="B54" t="str">
        <x:v>ニトロチャージ</x:v>
      </x:c>
      <x:c r="C54" t="str">
        <x:v>アタック型</x:v>
      </x:c>
      <x:c r="D54" t="str">
        <x:v>BattleMage</x:v>
      </x:c>
      <x:c r="E54" t="str">
        <x:v>アローラライチュウ</x:v>
      </x:c>
      <x:c r="F54" t="str">
        <x:v>共通</x:v>
      </x:c>
      <x:c r="G54" t="str">
        <x:v>BattleMage</x:v>
      </x:c>
      <x:c r="H54" s="60" t="n">
        <x:v>6.0316330305254295</x:v>
      </x:c>
      <x:c r="I54" t="str">
        <x:v>Yes</x:v>
      </x:c>
      <x:c r="J54" t="str">
        <x:v>やや近い</x:v>
      </x:c>
    </x:row>
    <x:row r="55">
      <x:c r="A55" t="str">
        <x:v>ミュウ</x:v>
      </x:c>
      <x:c r="B55" t="str">
        <x:v>共通</x:v>
      </x:c>
      <x:c r="C55" t="str">
        <x:v>アタック型</x:v>
      </x:c>
      <x:c r="D55" t="str">
        <x:v>Specialist</x:v>
      </x:c>
      <x:c r="E55" t="str">
        <x:v>フシギバナ</x:v>
      </x:c>
      <x:c r="F55" t="str">
        <x:v>ソーラービーム</x:v>
      </x:c>
      <x:c r="G55" t="str">
        <x:v>Artillery</x:v>
      </x:c>
      <x:c r="H55" s="60" t="n">
        <x:v>15.618468784236793</x:v>
      </x:c>
      <x:c r="I55" t="str">
        <x:v>No</x:v>
      </x:c>
      <x:c r="J55" t="str">
        <x:v>十分離れている</x:v>
      </x:c>
    </x:row>
    <x:row r="56">
      <x:c r="A56" t="str">
        <x:v>ミュウツー(Y)</x:v>
      </x:c>
      <x:c r="B56" t="str">
        <x:v>共通</x:v>
      </x:c>
      <x:c r="C56" t="str">
        <x:v>アタック型</x:v>
      </x:c>
      <x:c r="D56" t="str">
        <x:v>Marksman</x:v>
      </x:c>
      <x:c r="E56" t="str">
        <x:v>ストリンダー</x:v>
      </x:c>
      <x:c r="F56" t="str">
        <x:v>共通</x:v>
      </x:c>
      <x:c r="G56" t="str">
        <x:v>Marksman</x:v>
      </x:c>
      <x:c r="H56" s="60" t="n">
        <x:v>8.51907429628781</x:v>
      </x:c>
      <x:c r="I56" t="str">
        <x:v>Yes</x:v>
      </x:c>
      <x:c r="J56" t="str">
        <x:v>十分離れている</x:v>
      </x:c>
    </x:row>
    <x:row r="57">
      <x:c r="A57" t="str">
        <x:v>ミライドン</x:v>
      </x:c>
      <x:c r="B57" t="str">
        <x:v>チャージビーム</x:v>
      </x:c>
      <x:c r="C57" t="str">
        <x:v>アタック型</x:v>
      </x:c>
      <x:c r="D57" t="str">
        <x:v>Artillery</x:v>
      </x:c>
      <x:c r="E57" t="str">
        <x:v>フシギバナ</x:v>
      </x:c>
      <x:c r="F57" t="str">
        <x:v>ソーラービーム</x:v>
      </x:c>
      <x:c r="G57" t="str">
        <x:v>Artillery</x:v>
      </x:c>
      <x:c r="H57" s="60" t="n">
        <x:v>7.5804146698689365</x:v>
      </x:c>
      <x:c r="I57" t="str">
        <x:v>Yes</x:v>
      </x:c>
      <x:c r="J57" t="str">
        <x:v>十分離れている</x:v>
      </x:c>
    </x:row>
    <x:row r="58">
      <x:c r="A58" t="str">
        <x:v>ミライドン</x:v>
      </x:c>
      <x:c r="B58" t="str">
        <x:v>イナズマドライブ</x:v>
      </x:c>
      <x:c r="C58" t="str">
        <x:v>アタック型</x:v>
      </x:c>
      <x:c r="D58" t="str">
        <x:v>Skirmisher</x:v>
      </x:c>
      <x:c r="E58" t="str">
        <x:v>マスカーニャ</x:v>
      </x:c>
      <x:c r="F58" t="str">
        <x:v>つじぎり</x:v>
      </x:c>
      <x:c r="G58" t="str">
        <x:v>Skirmisher</x:v>
      </x:c>
      <x:c r="H58" s="60" t="n">
        <x:v>5.272428990767592</x:v>
      </x:c>
      <x:c r="I58" t="str">
        <x:v>Yes</x:v>
      </x:c>
      <x:c r="J58" t="str">
        <x:v>やや近い</x:v>
      </x:c>
    </x:row>
    <x:row r="59">
      <x:c r="A59" t="str">
        <x:v>ラウドボーン</x:v>
      </x:c>
      <x:c r="B59" t="str">
        <x:v>共通</x:v>
      </x:c>
      <x:c r="C59" t="str">
        <x:v>アタック型</x:v>
      </x:c>
      <x:c r="D59" t="str">
        <x:v>Artillery</x:v>
      </x:c>
      <x:c r="E59" t="str">
        <x:v>ジュナイパー</x:v>
      </x:c>
      <x:c r="F59" t="str">
        <x:v>かげぬい</x:v>
      </x:c>
      <x:c r="G59" t="str">
        <x:v>Artillery</x:v>
      </x:c>
      <x:c r="H59" s="60" t="n">
        <x:v>8.993156602197129</x:v>
      </x:c>
      <x:c r="I59" t="str">
        <x:v>Yes</x:v>
      </x:c>
      <x:c r="J59" t="str">
        <x:v>十分離れている</x:v>
      </x:c>
    </x:row>
    <x:row r="60">
      <x:c r="A60" t="str">
        <x:v>ラティオス</x:v>
      </x:c>
      <x:c r="B60" t="str">
        <x:v>共通</x:v>
      </x:c>
      <x:c r="C60" t="str">
        <x:v>アタック型</x:v>
      </x:c>
      <x:c r="D60" t="str">
        <x:v>BurstMage</x:v>
      </x:c>
      <x:c r="E60" t="str">
        <x:v>アローラキュウコン</x:v>
      </x:c>
      <x:c r="F60" t="str">
        <x:v>ふぶき</x:v>
      </x:c>
      <x:c r="G60" t="str">
        <x:v>BurstMage</x:v>
      </x:c>
      <x:c r="H60" s="60" t="n">
        <x:v>7.456340585392619</x:v>
      </x:c>
      <x:c r="I60" t="str">
        <x:v>Yes</x:v>
      </x:c>
      <x:c r="J60" t="str">
        <x:v>十分離れている</x:v>
      </x:c>
    </x:row>
    <x:row r="61">
      <x:c r="A61" t="str">
        <x:v>レシラム</x:v>
      </x:c>
      <x:c r="B61" t="str">
        <x:v>共通</x:v>
      </x:c>
      <x:c r="C61" t="str">
        <x:v>アタック型</x:v>
      </x:c>
      <x:c r="D61" t="str">
        <x:v>BattleMage</x:v>
      </x:c>
      <x:c r="E61" t="str">
        <x:v>アローラライチュウ</x:v>
      </x:c>
      <x:c r="F61" t="str">
        <x:v>共通</x:v>
      </x:c>
      <x:c r="G61" t="str">
        <x:v>BattleMage</x:v>
      </x:c>
      <x:c r="H61" s="60" t="n">
        <x:v>4.243080407355437</x:v>
      </x:c>
      <x:c r="I61" t="str">
        <x:v>Yes</x:v>
      </x:c>
      <x:c r="J61" t="str">
        <x:v>近い</x:v>
      </x:c>
    </x:row>
    <x:row r="62">
      <x:c r="A62" t="str">
        <x:v>ストリンダー</x:v>
      </x:c>
      <x:c r="B62" t="str">
        <x:v>共通</x:v>
      </x:c>
      <x:c r="C62" t="str">
        <x:v>アタック型</x:v>
      </x:c>
      <x:c r="D62" t="str">
        <x:v>Marksman</x:v>
      </x:c>
      <x:c r="E62" t="str">
        <x:v>リザードン</x:v>
      </x:c>
      <x:c r="F62" t="str">
        <x:v>だいもんじ</x:v>
      </x:c>
      <x:c r="G62" t="str">
        <x:v>BattleMage</x:v>
      </x:c>
      <x:c r="H62" s="60" t="n">
        <x:v>7.349230846139666</x:v>
      </x:c>
      <x:c r="I62" t="str">
        <x:v>No</x:v>
      </x:c>
      <x:c r="J62" t="str">
        <x:v>十分離れている</x:v>
      </x:c>
    </x:row>
    <x:row r="63">
      <x:c r="A63" t="str">
        <x:v>アマージョ</x:v>
      </x:c>
      <x:c r="B63" t="str">
        <x:v>共通</x:v>
      </x:c>
      <x:c r="C63" t="str">
        <x:v>バランス型</x:v>
      </x:c>
      <x:c r="D63" t="str">
        <x:v>Skirmisher</x:v>
      </x:c>
      <x:c r="E63" t="str">
        <x:v>ザシアン</x:v>
      </x:c>
      <x:c r="F63" t="str">
        <x:v>共通</x:v>
      </x:c>
      <x:c r="G63" t="str">
        <x:v>Skirmisher</x:v>
      </x:c>
      <x:c r="H63" s="60" t="n">
        <x:v>6.289057068112052</x:v>
      </x:c>
      <x:c r="I63" t="str">
        <x:v>Yes</x:v>
      </x:c>
      <x:c r="J63" t="str">
        <x:v>やや近い</x:v>
      </x:c>
    </x:row>
    <x:row r="64">
      <x:c r="A64" t="str">
        <x:v>ウェーニバル</x:v>
      </x:c>
      <x:c r="B64" t="str">
        <x:v>共通</x:v>
      </x:c>
      <x:c r="C64" t="str">
        <x:v>バランス型</x:v>
      </x:c>
      <x:c r="D64" t="str">
        <x:v>Skirmisher</x:v>
      </x:c>
      <x:c r="E64" t="str">
        <x:v>ウーラオス</x:v>
      </x:c>
      <x:c r="F64" t="str">
        <x:v>すいりゅうれんだ</x:v>
      </x:c>
      <x:c r="G64" t="str">
        <x:v>Skirmisher</x:v>
      </x:c>
      <x:c r="H64" s="60" t="n">
        <x:v>6.904195133957412</x:v>
      </x:c>
      <x:c r="I64" t="str">
        <x:v>Yes</x:v>
      </x:c>
      <x:c r="J64" t="str">
        <x:v>やや近い</x:v>
      </x:c>
    </x:row>
    <x:row r="65">
      <x:c r="A65" t="str">
        <x:v>ウーラオス</x:v>
      </x:c>
      <x:c r="B65" t="str">
        <x:v>あんこくきょうだ</x:v>
      </x:c>
      <x:c r="C65" t="str">
        <x:v>バランス型</x:v>
      </x:c>
      <x:c r="D65" t="str">
        <x:v>Diver</x:v>
      </x:c>
      <x:c r="E65" t="str">
        <x:v>ゼラオラ</x:v>
      </x:c>
      <x:c r="F65" t="str">
        <x:v>ワイルドボルト</x:v>
      </x:c>
      <x:c r="G65" t="str">
        <x:v>Assassin</x:v>
      </x:c>
      <x:c r="H65" s="60" t="n">
        <x:v>7.0047957985300675</x:v>
      </x:c>
      <x:c r="I65" t="str">
        <x:v>No</x:v>
      </x:c>
      <x:c r="J65" t="str">
        <x:v>十分離れている</x:v>
      </x:c>
    </x:row>
    <x:row r="66">
      <x:c r="A66" t="str">
        <x:v>ウーラオス</x:v>
      </x:c>
      <x:c r="B66" t="str">
        <x:v>すいりゅうれんだ</x:v>
      </x:c>
      <x:c r="C66" t="str">
        <x:v>バランス型</x:v>
      </x:c>
      <x:c r="D66" t="str">
        <x:v>Skirmisher</x:v>
      </x:c>
      <x:c r="E66" t="str">
        <x:v>ウェーニバル</x:v>
      </x:c>
      <x:c r="F66" t="str">
        <x:v>共通</x:v>
      </x:c>
      <x:c r="G66" t="str">
        <x:v>Skirmisher</x:v>
      </x:c>
      <x:c r="H66" s="60" t="n">
        <x:v>6.904195133957412</x:v>
      </x:c>
      <x:c r="I66" t="str">
        <x:v>Yes</x:v>
      </x:c>
      <x:c r="J66" t="str">
        <x:v>やや近い</x:v>
      </x:c>
    </x:row>
    <x:row r="67">
      <x:c r="A67" t="str">
        <x:v>エンペルト</x:v>
      </x:c>
      <x:c r="B67" t="str">
        <x:v>共通</x:v>
      </x:c>
      <x:c r="C67" t="str">
        <x:v>バランス型</x:v>
      </x:c>
      <x:c r="D67" t="str">
        <x:v>Juggernaut</x:v>
      </x:c>
      <x:c r="E67" t="str">
        <x:v>ガブリアス</x:v>
      </x:c>
      <x:c r="F67" t="str">
        <x:v>共通</x:v>
      </x:c>
      <x:c r="G67" t="str">
        <x:v>Juggernaut</x:v>
      </x:c>
      <x:c r="H67" s="60" t="n">
        <x:v>5</x:v>
      </x:c>
      <x:c r="I67" t="str">
        <x:v>Yes</x:v>
      </x:c>
      <x:c r="J67" t="str">
        <x:v>やや近い</x:v>
      </x:c>
    </x:row>
    <x:row r="68">
      <x:c r="A68" t="str">
        <x:v>オーダイル</x:v>
      </x:c>
      <x:c r="B68" t="str">
        <x:v>共通</x:v>
      </x:c>
      <x:c r="C68" t="str">
        <x:v>バランス型</x:v>
      </x:c>
      <x:c r="D68" t="str">
        <x:v>Diver</x:v>
      </x:c>
      <x:c r="E68" t="str">
        <x:v>パーモット</x:v>
      </x:c>
      <x:c r="F68" t="str">
        <x:v>共通</x:v>
      </x:c>
      <x:c r="G68" t="str">
        <x:v>Diver</x:v>
      </x:c>
      <x:c r="H68" s="60" t="n">
        <x:v>6.251865393266428</x:v>
      </x:c>
      <x:c r="I68" t="str">
        <x:v>Yes</x:v>
      </x:c>
      <x:c r="J68" t="str">
        <x:v>やや近い</x:v>
      </x:c>
    </x:row>
    <x:row r="69">
      <x:c r="A69" t="str">
        <x:v>カイリキー</x:v>
      </x:c>
      <x:c r="B69" t="str">
        <x:v>共通</x:v>
      </x:c>
      <x:c r="C69" t="str">
        <x:v>バランス型</x:v>
      </x:c>
      <x:c r="D69" t="str">
        <x:v>Diver</x:v>
      </x:c>
      <x:c r="E69" t="str">
        <x:v>ギャラドス</x:v>
      </x:c>
      <x:c r="F69" t="str">
        <x:v>共通</x:v>
      </x:c>
      <x:c r="G69" t="str">
        <x:v>Diver</x:v>
      </x:c>
      <x:c r="H69" s="60" t="n">
        <x:v>7.4312771847788675</x:v>
      </x:c>
      <x:c r="I69" t="str">
        <x:v>Yes</x:v>
      </x:c>
      <x:c r="J69" t="str">
        <x:v>十分離れている</x:v>
      </x:c>
    </x:row>
    <x:row r="70">
      <x:c r="A70" t="str">
        <x:v>カイリュー</x:v>
      </x:c>
      <x:c r="B70" t="str">
        <x:v>はかいこうせん</x:v>
      </x:c>
      <x:c r="C70" t="str">
        <x:v>バランス型</x:v>
      </x:c>
      <x:c r="D70" t="str">
        <x:v>Marksman</x:v>
      </x:c>
      <x:c r="E70" t="str">
        <x:v>エースバーン</x:v>
      </x:c>
      <x:c r="F70" t="str">
        <x:v>共通</x:v>
      </x:c>
      <x:c r="G70" t="str">
        <x:v>Marksman</x:v>
      </x:c>
      <x:c r="H70" s="60" t="n">
        <x:v>6.829479558851913</x:v>
      </x:c>
      <x:c r="I70" t="str">
        <x:v>Yes</x:v>
      </x:c>
      <x:c r="J70" t="str">
        <x:v>やや近い</x:v>
      </x:c>
    </x:row>
    <x:row r="71">
      <x:c r="A71" t="str">
        <x:v>カイリュー</x:v>
      </x:c>
      <x:c r="B71" t="str">
        <x:v>げきりん</x:v>
      </x:c>
      <x:c r="C71" t="str">
        <x:v>バランス型</x:v>
      </x:c>
      <x:c r="D71" t="str">
        <x:v>Juggernaut</x:v>
      </x:c>
      <x:c r="E71" t="str">
        <x:v>イワパレス</x:v>
      </x:c>
      <x:c r="F71" t="str">
        <x:v>からをやぶる</x:v>
      </x:c>
      <x:c r="G71" t="str">
        <x:v>Diver</x:v>
      </x:c>
      <x:c r="H71" s="60" t="n">
        <x:v>7.899792175615157</x:v>
      </x:c>
      <x:c r="I71" t="str">
        <x:v>No</x:v>
      </x:c>
      <x:c r="J71" t="str">
        <x:v>十分離れている</x:v>
      </x:c>
    </x:row>
    <x:row r="72">
      <x:c r="A72" t="str">
        <x:v>ガブリアス</x:v>
      </x:c>
      <x:c r="B72" t="str">
        <x:v>共通</x:v>
      </x:c>
      <x:c r="C72" t="str">
        <x:v>バランス型</x:v>
      </x:c>
      <x:c r="D72" t="str">
        <x:v>Juggernaut</x:v>
      </x:c>
      <x:c r="E72" t="str">
        <x:v>エンペルト</x:v>
      </x:c>
      <x:c r="F72" t="str">
        <x:v>共通</x:v>
      </x:c>
      <x:c r="G72" t="str">
        <x:v>Juggernaut</x:v>
      </x:c>
      <x:c r="H72" s="60" t="n">
        <x:v>5</x:v>
      </x:c>
      <x:c r="I72" t="str">
        <x:v>Yes</x:v>
      </x:c>
      <x:c r="J72" t="str">
        <x:v>やや近い</x:v>
      </x:c>
    </x:row>
    <x:row r="73">
      <x:c r="A73" t="str">
        <x:v>ギャラドス</x:v>
      </x:c>
      <x:c r="B73" t="str">
        <x:v>共通</x:v>
      </x:c>
      <x:c r="C73" t="str">
        <x:v>バランス型</x:v>
      </x:c>
      <x:c r="D73" t="str">
        <x:v>Diver</x:v>
      </x:c>
      <x:c r="E73" t="str">
        <x:v>パーモット</x:v>
      </x:c>
      <x:c r="F73" t="str">
        <x:v>共通</x:v>
      </x:c>
      <x:c r="G73" t="str">
        <x:v>Diver</x:v>
      </x:c>
      <x:c r="H73" s="60" t="n">
        <x:v>5.819101330833436</x:v>
      </x:c>
      <x:c r="I73" t="str">
        <x:v>Yes</x:v>
      </x:c>
      <x:c r="J73" t="str">
        <x:v>やや近い</x:v>
      </x:c>
    </x:row>
    <x:row r="74">
      <x:c r="A74" t="str">
        <x:v>メガギャラドス</x:v>
      </x:c>
      <x:c r="B74" t="str">
        <x:v>共通</x:v>
      </x:c>
      <x:c r="C74" t="str">
        <x:v>バランス型</x:v>
      </x:c>
      <x:c r="D74" t="str">
        <x:v>Diver</x:v>
      </x:c>
      <x:c r="E74" t="str">
        <x:v>パルキア</x:v>
      </x:c>
      <x:c r="F74" t="str">
        <x:v>共通</x:v>
      </x:c>
      <x:c r="G74" t="str">
        <x:v>Diver</x:v>
      </x:c>
      <x:c r="H74" s="60" t="n">
        <x:v>3.7655151676247356</x:v>
      </x:c>
      <x:c r="I74" t="str">
        <x:v>Yes</x:v>
      </x:c>
      <x:c r="J74" t="str">
        <x:v>かなり近い</x:v>
      </x:c>
    </x:row>
    <x:row r="75">
      <x:c r="A75" t="str">
        <x:v>ギルガルド</x:v>
      </x:c>
      <x:c r="B75" t="str">
        <x:v>共通</x:v>
      </x:c>
      <x:c r="C75" t="str">
        <x:v>バランス型</x:v>
      </x:c>
      <x:c r="D75" t="str">
        <x:v>Skirmisher</x:v>
      </x:c>
      <x:c r="E75" t="str">
        <x:v>アマージョ</x:v>
      </x:c>
      <x:c r="F75" t="str">
        <x:v>共通</x:v>
      </x:c>
      <x:c r="G75" t="str">
        <x:v>Skirmisher</x:v>
      </x:c>
      <x:c r="H75" s="60" t="n">
        <x:v>6.564831675326729</x:v>
      </x:c>
      <x:c r="I75" t="str">
        <x:v>Yes</x:v>
      </x:c>
      <x:c r="J75" t="str">
        <x:v>やや近い</x:v>
      </x:c>
    </x:row>
    <x:row r="76">
      <x:c r="A76" t="str">
        <x:v>ザシアン</x:v>
      </x:c>
      <x:c r="B76" t="str">
        <x:v>共通</x:v>
      </x:c>
      <x:c r="C76" t="str">
        <x:v>バランス型</x:v>
      </x:c>
      <x:c r="D76" t="str">
        <x:v>Skirmisher</x:v>
      </x:c>
      <x:c r="E76" t="str">
        <x:v>アマージョ</x:v>
      </x:c>
      <x:c r="F76" t="str">
        <x:v>共通</x:v>
      </x:c>
      <x:c r="G76" t="str">
        <x:v>Skirmisher</x:v>
      </x:c>
      <x:c r="H76" s="60" t="n">
        <x:v>6.289057068112052</x:v>
      </x:c>
      <x:c r="I76" t="str">
        <x:v>Yes</x:v>
      </x:c>
      <x:c r="J76" t="str">
        <x:v>やや近い</x:v>
      </x:c>
    </x:row>
    <x:row r="77">
      <x:c r="A77" t="str">
        <x:v>スイクン</x:v>
      </x:c>
      <x:c r="B77" t="str">
        <x:v>共通</x:v>
      </x:c>
      <x:c r="C77" t="str">
        <x:v>バランス型</x:v>
      </x:c>
      <x:c r="D77" t="str">
        <x:v>BurstMage</x:v>
      </x:c>
      <x:c r="E77" t="str">
        <x:v>ピカチュウ</x:v>
      </x:c>
      <x:c r="F77" t="str">
        <x:v>共通</x:v>
      </x:c>
      <x:c r="G77" t="str">
        <x:v>BurstMage</x:v>
      </x:c>
      <x:c r="H77" s="60" t="n">
        <x:v>10.841462698032762</x:v>
      </x:c>
      <x:c r="I77" t="str">
        <x:v>Yes</x:v>
      </x:c>
      <x:c r="J77" t="str">
        <x:v>十分離れている</x:v>
      </x:c>
    </x:row>
    <x:row r="78">
      <x:c r="A78" t="str">
        <x:v>ソウブレイズ</x:v>
      </x:c>
      <x:c r="B78" t="str">
        <x:v>共通</x:v>
      </x:c>
      <x:c r="C78" t="str">
        <x:v>バランス型</x:v>
      </x:c>
      <x:c r="D78" t="str">
        <x:v>Skirmisher</x:v>
      </x:c>
      <x:c r="E78" t="str">
        <x:v>ミミッキュ</x:v>
      </x:c>
      <x:c r="F78" t="str">
        <x:v>シャドークロー</x:v>
      </x:c>
      <x:c r="G78" t="str">
        <x:v>Skirmisher</x:v>
      </x:c>
      <x:c r="H78" s="60" t="n">
        <x:v>6.635499283872214</x:v>
      </x:c>
      <x:c r="I78" t="str">
        <x:v>Yes</x:v>
      </x:c>
      <x:c r="J78" t="str">
        <x:v>やや近い</x:v>
      </x:c>
    </x:row>
    <x:row r="79">
      <x:c r="A79" t="str">
        <x:v>ソルガレオ</x:v>
      </x:c>
      <x:c r="B79" t="str">
        <x:v>共通</x:v>
      </x:c>
      <x:c r="C79" t="str">
        <x:v>バランス型</x:v>
      </x:c>
      <x:c r="D79" t="str">
        <x:v>Juggernaut</x:v>
      </x:c>
      <x:c r="E79" t="str">
        <x:v>エンペルト</x:v>
      </x:c>
      <x:c r="F79" t="str">
        <x:v>共通</x:v>
      </x:c>
      <x:c r="G79" t="str">
        <x:v>Juggernaut</x:v>
      </x:c>
      <x:c r="H79" s="60" t="n">
        <x:v>5.539882535529313</x:v>
      </x:c>
      <x:c r="I79" t="str">
        <x:v>Yes</x:v>
      </x:c>
      <x:c r="J79" t="str">
        <x:v>やや近い</x:v>
      </x:c>
    </x:row>
    <x:row r="80">
      <x:c r="A80" t="str">
        <x:v>タイレーツ</x:v>
      </x:c>
      <x:c r="B80" t="str">
        <x:v>はいすいのじん</x:v>
      </x:c>
      <x:c r="C80" t="str">
        <x:v>バランス型</x:v>
      </x:c>
      <x:c r="D80" t="str">
        <x:v>Juggernaut</x:v>
      </x:c>
      <x:c r="E80" t="str">
        <x:v>バンギラス</x:v>
      </x:c>
      <x:c r="F80" t="str">
        <x:v>共通</x:v>
      </x:c>
      <x:c r="G80" t="str">
        <x:v>Juggernaut</x:v>
      </x:c>
      <x:c r="H80" s="60" t="n">
        <x:v>7.468840746029617</x:v>
      </x:c>
      <x:c r="I80" t="str">
        <x:v>Yes</x:v>
      </x:c>
      <x:c r="J80" t="str">
        <x:v>十分離れている</x:v>
      </x:c>
    </x:row>
    <x:row r="81">
      <x:c r="A81" t="str">
        <x:v>タイレーツ</x:v>
      </x:c>
      <x:c r="B81" t="str">
        <x:v>ふくろだたき</x:v>
      </x:c>
      <x:c r="C81" t="str">
        <x:v>バランス型</x:v>
      </x:c>
      <x:c r="D81" t="str">
        <x:v>Diver</x:v>
      </x:c>
      <x:c r="E81" t="str">
        <x:v>ルカリオ</x:v>
      </x:c>
      <x:c r="F81" t="str">
        <x:v>グロウパンチ</x:v>
      </x:c>
      <x:c r="G81" t="str">
        <x:v>Diver</x:v>
      </x:c>
      <x:c r="H81" s="60" t="n">
        <x:v>8.638684255813601</x:v>
      </x:c>
      <x:c r="I81" t="str">
        <x:v>Yes</x:v>
      </x:c>
      <x:c r="J81" t="str">
        <x:v>十分離れている</x:v>
      </x:c>
    </x:row>
    <x:row r="82">
      <x:c r="A82" t="str">
        <x:v>ダダリン</x:v>
      </x:c>
      <x:c r="B82" t="str">
        <x:v>共通</x:v>
      </x:c>
      <x:c r="C82" t="str">
        <x:v>バランス型</x:v>
      </x:c>
      <x:c r="D82" t="str">
        <x:v>Catcher</x:v>
      </x:c>
      <x:c r="E82" t="str">
        <x:v>マッシブーン</x:v>
      </x:c>
      <x:c r="F82" t="str">
        <x:v>共通</x:v>
      </x:c>
      <x:c r="G82" t="str">
        <x:v>Catcher</x:v>
      </x:c>
      <x:c r="H82" s="60" t="n">
        <x:v>6.55060667123237</x:v>
      </x:c>
      <x:c r="I82" t="str">
        <x:v>Yes</x:v>
      </x:c>
      <x:c r="J82" t="str">
        <x:v>やや近い</x:v>
      </x:c>
    </x:row>
    <x:row r="83">
      <x:c r="A83" t="str">
        <x:v>デカヌチャン</x:v>
      </x:c>
      <x:c r="B83" t="str">
        <x:v>共通</x:v>
      </x:c>
      <x:c r="C83" t="str">
        <x:v>バランス型</x:v>
      </x:c>
      <x:c r="D83" t="str">
        <x:v>Juggernaut</x:v>
      </x:c>
      <x:c r="E83" t="str">
        <x:v>バンギラス</x:v>
      </x:c>
      <x:c r="F83" t="str">
        <x:v>共通</x:v>
      </x:c>
      <x:c r="G83" t="str">
        <x:v>Juggernaut</x:v>
      </x:c>
      <x:c r="H83" s="60" t="n">
        <x:v>5.254706490234014</x:v>
      </x:c>
      <x:c r="I83" t="str">
        <x:v>Yes</x:v>
      </x:c>
      <x:c r="J83" t="str">
        <x:v>やや近い</x:v>
      </x:c>
    </x:row>
    <x:row r="84">
      <x:c r="A84" t="str">
        <x:v>ネギガナイト</x:v>
      </x:c>
      <x:c r="B84" t="str">
        <x:v>共通</x:v>
      </x:c>
      <x:c r="C84" t="str">
        <x:v>バランス型</x:v>
      </x:c>
      <x:c r="D84" t="str">
        <x:v>Diver</x:v>
      </x:c>
      <x:c r="E84" t="str">
        <x:v>メガルカリオ</x:v>
      </x:c>
      <x:c r="F84" t="str">
        <x:v>共通</x:v>
      </x:c>
      <x:c r="G84" t="str">
        <x:v>Diver</x:v>
      </x:c>
      <x:c r="H84" s="60" t="n">
        <x:v>6.712374404728459</x:v>
      </x:c>
      <x:c r="I84" t="str">
        <x:v>Yes</x:v>
      </x:c>
      <x:c r="J84" t="str">
        <x:v>やや近い</x:v>
      </x:c>
    </x:row>
    <x:row r="85">
      <x:c r="A85" t="str">
        <x:v>ハッサム</x:v>
      </x:c>
      <x:c r="B85" t="str">
        <x:v>ストライク</x:v>
      </x:c>
      <x:c r="C85" t="str">
        <x:v>バランス型</x:v>
      </x:c>
      <x:c r="D85" t="str">
        <x:v>Assassin</x:v>
      </x:c>
      <x:c r="E85" t="str">
        <x:v>モルペコ</x:v>
      </x:c>
      <x:c r="F85" t="str">
        <x:v>共通</x:v>
      </x:c>
      <x:c r="G85" t="str">
        <x:v>Assassin</x:v>
      </x:c>
      <x:c r="H85" s="60" t="n">
        <x:v>3.4554737023254405</x:v>
      </x:c>
      <x:c r="I85" t="str">
        <x:v>Yes</x:v>
      </x:c>
      <x:c r="J85" t="str">
        <x:v>かなり近い</x:v>
      </x:c>
    </x:row>
    <x:row r="86">
      <x:c r="A86" t="str">
        <x:v>ハッサム</x:v>
      </x:c>
      <x:c r="B86" t="str">
        <x:v>ハッサム</x:v>
      </x:c>
      <x:c r="C86" t="str">
        <x:v>バランス型</x:v>
      </x:c>
      <x:c r="D86" t="str">
        <x:v>Skirmisher</x:v>
      </x:c>
      <x:c r="E86" t="str">
        <x:v>ヨクバリス</x:v>
      </x:c>
      <x:c r="F86" t="str">
        <x:v>ほおばる</x:v>
      </x:c>
      <x:c r="G86" t="str">
        <x:v>Juggernaut</x:v>
      </x:c>
      <x:c r="H86" s="60" t="n">
        <x:v>8.375515132297433</x:v>
      </x:c>
      <x:c r="I86" t="str">
        <x:v>No</x:v>
      </x:c>
      <x:c r="J86" t="str">
        <x:v>十分離れている</x:v>
      </x:c>
    </x:row>
    <x:row r="87">
      <x:c r="A87" t="str">
        <x:v>バシャーモ</x:v>
      </x:c>
      <x:c r="B87" t="str">
        <x:v>共通</x:v>
      </x:c>
      <x:c r="C87" t="str">
        <x:v>バランス型</x:v>
      </x:c>
      <x:c r="D87" t="str">
        <x:v>Diver</x:v>
      </x:c>
      <x:c r="E87" t="str">
        <x:v>ネギガナイト</x:v>
      </x:c>
      <x:c r="F87" t="str">
        <x:v>共通</x:v>
      </x:c>
      <x:c r="G87" t="str">
        <x:v>Diver</x:v>
      </x:c>
      <x:c r="H87" s="60" t="n">
        <x:v>7.317429611509973</x:v>
      </x:c>
      <x:c r="I87" t="str">
        <x:v>Yes</x:v>
      </x:c>
      <x:c r="J87" t="str">
        <x:v>十分離れている</x:v>
      </x:c>
    </x:row>
    <x:row r="88">
      <x:c r="A88" t="str">
        <x:v>バンギラス</x:v>
      </x:c>
      <x:c r="B88" t="str">
        <x:v>共通</x:v>
      </x:c>
      <x:c r="C88" t="str">
        <x:v>バランス型</x:v>
      </x:c>
      <x:c r="D88" t="str">
        <x:v>Juggernaut</x:v>
      </x:c>
      <x:c r="E88" t="str">
        <x:v>デカヌチャン</x:v>
      </x:c>
      <x:c r="F88" t="str">
        <x:v>共通</x:v>
      </x:c>
      <x:c r="G88" t="str">
        <x:v>Juggernaut</x:v>
      </x:c>
      <x:c r="H88" s="60" t="n">
        <x:v>5.254706490234014</x:v>
      </x:c>
      <x:c r="I88" t="str">
        <x:v>Yes</x:v>
      </x:c>
      <x:c r="J88" t="str">
        <x:v>やや近い</x:v>
      </x:c>
    </x:row>
    <x:row r="89">
      <x:c r="A89" t="str">
        <x:v>パルキア</x:v>
      </x:c>
      <x:c r="B89" t="str">
        <x:v>共通</x:v>
      </x:c>
      <x:c r="C89" t="str">
        <x:v>バランス型</x:v>
      </x:c>
      <x:c r="D89" t="str">
        <x:v>Diver</x:v>
      </x:c>
      <x:c r="E89" t="str">
        <x:v>メガギャラドス</x:v>
      </x:c>
      <x:c r="F89" t="str">
        <x:v>共通</x:v>
      </x:c>
      <x:c r="G89" t="str">
        <x:v>Diver</x:v>
      </x:c>
      <x:c r="H89" s="60" t="n">
        <x:v>3.7655151676247356</x:v>
      </x:c>
      <x:c r="I89" t="str">
        <x:v>Yes</x:v>
      </x:c>
      <x:c r="J89" t="str">
        <x:v>かなり近い</x:v>
      </x:c>
    </x:row>
    <x:row r="90">
      <x:c r="A90" t="str">
        <x:v>パーモット</x:v>
      </x:c>
      <x:c r="B90" t="str">
        <x:v>共通</x:v>
      </x:c>
      <x:c r="C90" t="str">
        <x:v>バランス型</x:v>
      </x:c>
      <x:c r="D90" t="str">
        <x:v>Diver</x:v>
      </x:c>
      <x:c r="E90" t="str">
        <x:v>ギャラドス</x:v>
      </x:c>
      <x:c r="F90" t="str">
        <x:v>共通</x:v>
      </x:c>
      <x:c r="G90" t="str">
        <x:v>Diver</x:v>
      </x:c>
      <x:c r="H90" s="60" t="n">
        <x:v>5.819101330833436</x:v>
      </x:c>
      <x:c r="I90" t="str">
        <x:v>Yes</x:v>
      </x:c>
      <x:c r="J90" t="str">
        <x:v>やや近い</x:v>
      </x:c>
    </x:row>
    <x:row r="91">
      <x:c r="A91" t="str">
        <x:v>ファイヤー</x:v>
      </x:c>
      <x:c r="B91" t="str">
        <x:v>共通</x:v>
      </x:c>
      <x:c r="C91" t="str">
        <x:v>バランス型</x:v>
      </x:c>
      <x:c r="D91" t="str">
        <x:v>Juggernaut</x:v>
      </x:c>
      <x:c r="E91" t="str">
        <x:v>ガブリアス</x:v>
      </x:c>
      <x:c r="F91" t="str">
        <x:v>共通</x:v>
      </x:c>
      <x:c r="G91" t="str">
        <x:v>Juggernaut</x:v>
      </x:c>
      <x:c r="H91" s="60" t="n">
        <x:v>5.018622038386543</x:v>
      </x:c>
      <x:c r="I91" t="str">
        <x:v>Yes</x:v>
      </x:c>
      <x:c r="J91" t="str">
        <x:v>やや近い</x:v>
      </x:c>
    </x:row>
    <x:row r="92">
      <x:c r="A92" t="str">
        <x:v>マッシブーン</x:v>
      </x:c>
      <x:c r="B92" t="str">
        <x:v>共通</x:v>
      </x:c>
      <x:c r="C92" t="str">
        <x:v>バランス型</x:v>
      </x:c>
      <x:c r="D92" t="str">
        <x:v>Catcher</x:v>
      </x:c>
      <x:c r="E92" t="str">
        <x:v>ダダリン</x:v>
      </x:c>
      <x:c r="F92" t="str">
        <x:v>共通</x:v>
      </x:c>
      <x:c r="G92" t="str">
        <x:v>Catcher</x:v>
      </x:c>
      <x:c r="H92" s="60" t="n">
        <x:v>6.55060667123237</x:v>
      </x:c>
      <x:c r="I92" t="str">
        <x:v>Yes</x:v>
      </x:c>
      <x:c r="J92" t="str">
        <x:v>やや近い</x:v>
      </x:c>
    </x:row>
    <x:row r="93">
      <x:c r="A93" t="str">
        <x:v>マリルリ</x:v>
      </x:c>
      <x:c r="B93" t="str">
        <x:v>共通</x:v>
      </x:c>
      <x:c r="C93" t="str">
        <x:v>バランス型</x:v>
      </x:c>
      <x:c r="D93" t="str">
        <x:v>Diver</x:v>
      </x:c>
      <x:c r="E93" t="str">
        <x:v>ギャラドス</x:v>
      </x:c>
      <x:c r="F93" t="str">
        <x:v>共通</x:v>
      </x:c>
      <x:c r="G93" t="str">
        <x:v>Diver</x:v>
      </x:c>
      <x:c r="H93" s="60" t="n">
        <x:v>8.761985394857806</x:v>
      </x:c>
      <x:c r="I93" t="str">
        <x:v>Yes</x:v>
      </x:c>
      <x:c r="J93" t="str">
        <x:v>十分離れている</x:v>
      </x:c>
    </x:row>
    <x:row r="94">
      <x:c r="A94" t="str">
        <x:v>ミミッキュ</x:v>
      </x:c>
      <x:c r="B94" t="str">
        <x:v>じゃれつく</x:v>
      </x:c>
      <x:c r="C94" t="str">
        <x:v>バランス型</x:v>
      </x:c>
      <x:c r="D94" t="str">
        <x:v>Assassin</x:v>
      </x:c>
      <x:c r="E94" t="str">
        <x:v>ゲッコウガ</x:v>
      </x:c>
      <x:c r="F94" t="str">
        <x:v>なみのり</x:v>
      </x:c>
      <x:c r="G94" t="str">
        <x:v>Assassin</x:v>
      </x:c>
      <x:c r="H94" s="60" t="n">
        <x:v>6.199422216698547</x:v>
      </x:c>
      <x:c r="I94" t="str">
        <x:v>Yes</x:v>
      </x:c>
      <x:c r="J94" t="str">
        <x:v>やや近い</x:v>
      </x:c>
    </x:row>
    <x:row r="95">
      <x:c r="A95" t="str">
        <x:v>ミミッキュ</x:v>
      </x:c>
      <x:c r="B95" t="str">
        <x:v>シャドークロー</x:v>
      </x:c>
      <x:c r="C95" t="str">
        <x:v>バランス型</x:v>
      </x:c>
      <x:c r="D95" t="str">
        <x:v>Skirmisher</x:v>
      </x:c>
      <x:c r="E95" t="str">
        <x:v>ソウブレイズ</x:v>
      </x:c>
      <x:c r="F95" t="str">
        <x:v>共通</x:v>
      </x:c>
      <x:c r="G95" t="str">
        <x:v>Skirmisher</x:v>
      </x:c>
      <x:c r="H95" s="60" t="n">
        <x:v>6.635499283872214</x:v>
      </x:c>
      <x:c r="I95" t="str">
        <x:v>Yes</x:v>
      </x:c>
      <x:c r="J95" t="str">
        <x:v>やや近い</x:v>
      </x:c>
    </x:row>
    <x:row r="96">
      <x:c r="A96" t="str">
        <x:v>ミュウツー(X)</x:v>
      </x:c>
      <x:c r="B96" t="str">
        <x:v>共通</x:v>
      </x:c>
      <x:c r="C96" t="str">
        <x:v>バランス型</x:v>
      </x:c>
      <x:c r="D96" t="str">
        <x:v>Juggernaut</x:v>
      </x:c>
      <x:c r="E96" t="str">
        <x:v>カビゴン</x:v>
      </x:c>
      <x:c r="F96" t="str">
        <x:v>じたばた</x:v>
      </x:c>
      <x:c r="G96" t="str">
        <x:v>Juggernaut</x:v>
      </x:c>
      <x:c r="H96" s="60" t="n">
        <x:v>10.092852502726425</x:v>
      </x:c>
      <x:c r="I96" t="str">
        <x:v>Yes</x:v>
      </x:c>
      <x:c r="J96" t="str">
        <x:v>十分離れている</x:v>
      </x:c>
    </x:row>
    <x:row r="97">
      <x:c r="A97" t="str">
        <x:v>メタグロス</x:v>
      </x:c>
      <x:c r="B97" t="str">
        <x:v>共通</x:v>
      </x:c>
      <x:c r="C97" t="str">
        <x:v>バランス型</x:v>
      </x:c>
      <x:c r="D97" t="str">
        <x:v>Diver</x:v>
      </x:c>
      <x:c r="E97" t="str">
        <x:v>カメックス</x:v>
      </x:c>
      <x:c r="F97" t="str">
        <x:v>こうそくスピン</x:v>
      </x:c>
      <x:c r="G97" t="str">
        <x:v>Diver</x:v>
      </x:c>
      <x:c r="H97" s="60" t="n">
        <x:v>7.5804146698689365</x:v>
      </x:c>
      <x:c r="I97" t="str">
        <x:v>Yes</x:v>
      </x:c>
      <x:c r="J97" t="str">
        <x:v>十分離れている</x:v>
      </x:c>
    </x:row>
    <x:row r="98">
      <x:c r="A98" t="str">
        <x:v>リザードン</x:v>
      </x:c>
      <x:c r="B98" t="str">
        <x:v>だいもんじ</x:v>
      </x:c>
      <x:c r="C98" t="str">
        <x:v>バランス型</x:v>
      </x:c>
      <x:c r="D98" t="str">
        <x:v>BattleMage</x:v>
      </x:c>
      <x:c r="E98" t="str">
        <x:v>グレイシア</x:v>
      </x:c>
      <x:c r="F98" t="str">
        <x:v>共通</x:v>
      </x:c>
      <x:c r="G98" t="str">
        <x:v>Marksman</x:v>
      </x:c>
      <x:c r="H98" s="60" t="n">
        <x:v>7.097403351110757</x:v>
      </x:c>
      <x:c r="I98" t="str">
        <x:v>No</x:v>
      </x:c>
      <x:c r="J98" t="str">
        <x:v>十分離れている</x:v>
      </x:c>
    </x:row>
    <x:row r="99">
      <x:c r="A99" t="str">
        <x:v>リザードン</x:v>
      </x:c>
      <x:c r="B99" t="str">
        <x:v>フレアドライブ</x:v>
      </x:c>
      <x:c r="C99" t="str">
        <x:v>バランス型</x:v>
      </x:c>
      <x:c r="D99" t="str">
        <x:v>Diver</x:v>
      </x:c>
      <x:c r="E99" t="str">
        <x:v>メガギャラドス</x:v>
      </x:c>
      <x:c r="F99" t="str">
        <x:v>共通</x:v>
      </x:c>
      <x:c r="G99" t="str">
        <x:v>Diver</x:v>
      </x:c>
      <x:c r="H99" s="60" t="n">
        <x:v>5.39485658863517</x:v>
      </x:c>
      <x:c r="I99" t="str">
        <x:v>Yes</x:v>
      </x:c>
      <x:c r="J99" t="str">
        <x:v>やや近い</x:v>
      </x:c>
    </x:row>
    <x:row r="100">
      <x:c r="A100" t="str">
        <x:v>メガリザードンX</x:v>
      </x:c>
      <x:c r="B100" t="str">
        <x:v>共通</x:v>
      </x:c>
      <x:c r="C100" t="str">
        <x:v>バランス型</x:v>
      </x:c>
      <x:c r="D100" t="str">
        <x:v>Diver</x:v>
      </x:c>
      <x:c r="E100" t="str">
        <x:v>メガギャラドス</x:v>
      </x:c>
      <x:c r="F100" t="str">
        <x:v>共通</x:v>
      </x:c>
      <x:c r="G100" t="str">
        <x:v>Diver</x:v>
      </x:c>
      <x:c r="H100" s="60" t="n">
        <x:v>4.005593104573028</x:v>
      </x:c>
      <x:c r="I100" t="str">
        <x:v>Yes</x:v>
      </x:c>
      <x:c r="J100" t="str">
        <x:v>近い</x:v>
      </x:c>
    </x:row>
    <x:row r="101">
      <x:c r="A101" t="str">
        <x:v>メガリザードンY</x:v>
      </x:c>
      <x:c r="B101" t="str">
        <x:v>共通</x:v>
      </x:c>
      <x:c r="C101" t="str">
        <x:v>バランス型</x:v>
      </x:c>
      <x:c r="D101" t="str">
        <x:v>Diver</x:v>
      </x:c>
      <x:c r="E101" t="str">
        <x:v>ニンフィア</x:v>
      </x:c>
      <x:c r="F101" t="str">
        <x:v>共通</x:v>
      </x:c>
      <x:c r="G101" t="str">
        <x:v>BattleMage</x:v>
      </x:c>
      <x:c r="H101" s="60" t="n">
        <x:v>7.893885788116072</x:v>
      </x:c>
      <x:c r="I101" t="str">
        <x:v>No</x:v>
      </x:c>
      <x:c r="J101" t="str">
        <x:v>十分離れている</x:v>
      </x:c>
    </x:row>
    <x:row r="102">
      <x:c r="A102" t="str">
        <x:v>ルカリオ</x:v>
      </x:c>
      <x:c r="B102" t="str">
        <x:v>しんそく</x:v>
      </x:c>
      <x:c r="C102" t="str">
        <x:v>バランス型</x:v>
      </x:c>
      <x:c r="D102" t="str">
        <x:v>Assassin</x:v>
      </x:c>
      <x:c r="E102" t="str">
        <x:v>ゲンガー</x:v>
      </x:c>
      <x:c r="F102" t="str">
        <x:v>共通</x:v>
      </x:c>
      <x:c r="G102" t="str">
        <x:v>Assassin</x:v>
      </x:c>
      <x:c r="H102" s="60" t="n">
        <x:v>6.191894075224961</x:v>
      </x:c>
      <x:c r="I102" t="str">
        <x:v>Yes</x:v>
      </x:c>
      <x:c r="J102" t="str">
        <x:v>やや近い</x:v>
      </x:c>
    </x:row>
    <x:row r="103">
      <x:c r="A103" t="str">
        <x:v>ルカリオ</x:v>
      </x:c>
      <x:c r="B103" t="str">
        <x:v>グロウパンチ</x:v>
      </x:c>
      <x:c r="C103" t="str">
        <x:v>バランス型</x:v>
      </x:c>
      <x:c r="D103" t="str">
        <x:v>Diver</x:v>
      </x:c>
      <x:c r="E103" t="str">
        <x:v>ザシアン</x:v>
      </x:c>
      <x:c r="F103" t="str">
        <x:v>共通</x:v>
      </x:c>
      <x:c r="G103" t="str">
        <x:v>Skirmisher</x:v>
      </x:c>
      <x:c r="H103" s="60" t="n">
        <x:v>6.571932631080655</x:v>
      </x:c>
      <x:c r="I103" t="str">
        <x:v>No</x:v>
      </x:c>
      <x:c r="J103" t="str">
        <x:v>やや近い</x:v>
      </x:c>
    </x:row>
    <x:row r="104">
      <x:c r="A104" t="str">
        <x:v>メガルカリオ</x:v>
      </x:c>
      <x:c r="B104" t="str">
        <x:v>共通</x:v>
      </x:c>
      <x:c r="C104" t="str">
        <x:v>バランス型</x:v>
      </x:c>
      <x:c r="D104" t="str">
        <x:v>Diver</x:v>
      </x:c>
      <x:c r="E104" t="str">
        <x:v>パルキア</x:v>
      </x:c>
      <x:c r="F104" t="str">
        <x:v>共通</x:v>
      </x:c>
      <x:c r="G104" t="str">
        <x:v>Diver</x:v>
      </x:c>
      <x:c r="H104" s="60" t="n">
        <x:v>6.442918129997521</x:v>
      </x:c>
      <x:c r="I104" t="str">
        <x:v>Yes</x:v>
      </x:c>
      <x:c r="J104" t="str">
        <x:v>やや近い</x:v>
      </x:c>
    </x:row>
    <x:row r="105">
      <x:c r="A105" t="str">
        <x:v>アブソル</x:v>
      </x:c>
      <x:c r="B105" t="str">
        <x:v>共通</x:v>
      </x:c>
      <x:c r="C105" t="str">
        <x:v>スピード型</x:v>
      </x:c>
      <x:c r="D105" t="str">
        <x:v>Assassin</x:v>
      </x:c>
      <x:c r="E105" t="str">
        <x:v>リーフィア</x:v>
      </x:c>
      <x:c r="F105" t="str">
        <x:v>共通</x:v>
      </x:c>
      <x:c r="G105" t="str">
        <x:v>Assassin</x:v>
      </x:c>
      <x:c r="H105" s="60" t="n">
        <x:v>3.703064483257641</x:v>
      </x:c>
      <x:c r="I105" t="str">
        <x:v>Yes</x:v>
      </x:c>
      <x:c r="J105" t="str">
        <x:v>かなり近い</x:v>
      </x:c>
    </x:row>
    <x:row r="106">
      <x:c r="A106" t="str">
        <x:v>ガラルギャロップ</x:v>
      </x:c>
      <x:c r="B106" t="str">
        <x:v>共通</x:v>
      </x:c>
      <x:c r="C106" t="str">
        <x:v>スピード型</x:v>
      </x:c>
      <x:c r="D106" t="str">
        <x:v>Diver</x:v>
      </x:c>
      <x:c r="E106" t="str">
        <x:v>パーモット</x:v>
      </x:c>
      <x:c r="F106" t="str">
        <x:v>共通</x:v>
      </x:c>
      <x:c r="G106" t="str">
        <x:v>Diver</x:v>
      </x:c>
      <x:c r="H106" s="60" t="n">
        <x:v>7.450082640030485</x:v>
      </x:c>
      <x:c r="I106" t="str">
        <x:v>Yes</x:v>
      </x:c>
      <x:c r="J106" t="str">
        <x:v>十分離れている</x:v>
      </x:c>
    </x:row>
    <x:row r="107">
      <x:c r="A107" t="str">
        <x:v>ゲンガー</x:v>
      </x:c>
      <x:c r="B107" t="str">
        <x:v>共通</x:v>
      </x:c>
      <x:c r="C107" t="str">
        <x:v>スピード型</x:v>
      </x:c>
      <x:c r="D107" t="str">
        <x:v>Assassin</x:v>
      </x:c>
      <x:c r="E107" t="str">
        <x:v>ルカリオ</x:v>
      </x:c>
      <x:c r="F107" t="str">
        <x:v>しんそく</x:v>
      </x:c>
      <x:c r="G107" t="str">
        <x:v>Assassin</x:v>
      </x:c>
      <x:c r="H107" s="60" t="n">
        <x:v>6.191894075224961</x:v>
      </x:c>
      <x:c r="I107" t="str">
        <x:v>Yes</x:v>
      </x:c>
      <x:c r="J107" t="str">
        <x:v>やや近い</x:v>
      </x:c>
    </x:row>
    <x:row r="108">
      <x:c r="A108" t="str">
        <x:v>ゼラオラ</x:v>
      </x:c>
      <x:c r="B108" t="str">
        <x:v>ほうでん</x:v>
      </x:c>
      <x:c r="C108" t="str">
        <x:v>スピード型</x:v>
      </x:c>
      <x:c r="D108" t="str">
        <x:v>Skirmisher</x:v>
      </x:c>
      <x:c r="E108" t="str">
        <x:v>ニャース</x:v>
      </x:c>
      <x:c r="F108" t="str">
        <x:v>共通</x:v>
      </x:c>
      <x:c r="G108" t="str">
        <x:v>Skirmisher</x:v>
      </x:c>
      <x:c r="H108" s="60" t="n">
        <x:v>7.330166661378313</x:v>
      </x:c>
      <x:c r="I108" t="str">
        <x:v>Yes</x:v>
      </x:c>
      <x:c r="J108" t="str">
        <x:v>十分離れている</x:v>
      </x:c>
    </x:row>
    <x:row r="109">
      <x:c r="A109" t="str">
        <x:v>ゼラオラ</x:v>
      </x:c>
      <x:c r="B109" t="str">
        <x:v>ワイルドボルト</x:v>
      </x:c>
      <x:c r="C109" t="str">
        <x:v>スピード型</x:v>
      </x:c>
      <x:c r="D109" t="str">
        <x:v>Assassin</x:v>
      </x:c>
      <x:c r="E109" t="str">
        <x:v>ウーラオス</x:v>
      </x:c>
      <x:c r="F109" t="str">
        <x:v>あんこくきょうだ</x:v>
      </x:c>
      <x:c r="G109" t="str">
        <x:v>Diver</x:v>
      </x:c>
      <x:c r="H109" s="60" t="n">
        <x:v>7.0047957985300675</x:v>
      </x:c>
      <x:c r="I109" t="str">
        <x:v>No</x:v>
      </x:c>
      <x:c r="J109" t="str">
        <x:v>十分離れている</x:v>
      </x:c>
    </x:row>
    <x:row r="110">
      <x:c r="A110" t="str">
        <x:v>ゾロアーク</x:v>
      </x:c>
      <x:c r="B110" t="str">
        <x:v>共通</x:v>
      </x:c>
      <x:c r="C110" t="str">
        <x:v>スピード型</x:v>
      </x:c>
      <x:c r="D110" t="str">
        <x:v>Assassin</x:v>
      </x:c>
      <x:c r="E110" t="str">
        <x:v>アブソル</x:v>
      </x:c>
      <x:c r="F110" t="str">
        <x:v>共通</x:v>
      </x:c>
      <x:c r="G110" t="str">
        <x:v>Assassin</x:v>
      </x:c>
      <x:c r="H110" s="60" t="n">
        <x:v>5.930253826587965</x:v>
      </x:c>
      <x:c r="I110" t="str">
        <x:v>Yes</x:v>
      </x:c>
      <x:c r="J110" t="str">
        <x:v>やや近い</x:v>
      </x:c>
    </x:row>
    <x:row r="111">
      <x:c r="A111" t="str">
        <x:v>ダークライ</x:v>
      </x:c>
      <x:c r="B111" t="str">
        <x:v>共通</x:v>
      </x:c>
      <x:c r="C111" t="str">
        <x:v>スピード型</x:v>
      </x:c>
      <x:c r="D111" t="str">
        <x:v>Assassin</x:v>
      </x:c>
      <x:c r="E111" t="str">
        <x:v>モルペコ</x:v>
      </x:c>
      <x:c r="F111" t="str">
        <x:v>共通</x:v>
      </x:c>
      <x:c r="G111" t="str">
        <x:v>Assassin</x:v>
      </x:c>
      <x:c r="H111" s="60" t="n">
        <x:v>8.915021701616801</x:v>
      </x:c>
      <x:c r="I111" t="str">
        <x:v>Yes</x:v>
      </x:c>
      <x:c r="J111" t="str">
        <x:v>十分離れている</x:v>
      </x:c>
    </x:row>
    <x:row r="112">
      <x:c r="A112" t="str">
        <x:v>ドードリオ</x:v>
      </x:c>
      <x:c r="B112" t="str">
        <x:v>共通</x:v>
      </x:c>
      <x:c r="C112" t="str">
        <x:v>スピード型</x:v>
      </x:c>
      <x:c r="D112" t="str">
        <x:v>Diver</x:v>
      </x:c>
      <x:c r="E112" t="str">
        <x:v>ガラルギャロップ</x:v>
      </x:c>
      <x:c r="F112" t="str">
        <x:v>共通</x:v>
      </x:c>
      <x:c r="G112" t="str">
        <x:v>Diver</x:v>
      </x:c>
      <x:c r="H112" s="60" t="n">
        <x:v>7.899792175615157</x:v>
      </x:c>
      <x:c r="I112" t="str">
        <x:v>Yes</x:v>
      </x:c>
      <x:c r="J112" t="str">
        <x:v>十分離れている</x:v>
      </x:c>
    </x:row>
    <x:row r="113">
      <x:c r="A113" t="str">
        <x:v>ニャース</x:v>
      </x:c>
      <x:c r="B113" t="str">
        <x:v>共通</x:v>
      </x:c>
      <x:c r="C113" t="str">
        <x:v>スピード型</x:v>
      </x:c>
      <x:c r="D113" t="str">
        <x:v>Skirmisher</x:v>
      </x:c>
      <x:c r="E113" t="str">
        <x:v>ゼラオラ</x:v>
      </x:c>
      <x:c r="F113" t="str">
        <x:v>ほうでん</x:v>
      </x:c>
      <x:c r="G113" t="str">
        <x:v>Skirmisher</x:v>
      </x:c>
      <x:c r="H113" s="60" t="n">
        <x:v>7.330166661378313</x:v>
      </x:c>
      <x:c r="I113" t="str">
        <x:v>Yes</x:v>
      </x:c>
      <x:c r="J113" t="str">
        <x:v>十分離れている</x:v>
      </x:c>
    </x:row>
    <x:row r="114">
      <x:c r="A114" t="str">
        <x:v>ファイアロー</x:v>
      </x:c>
      <x:c r="B114" t="str">
        <x:v>共通</x:v>
      </x:c>
      <x:c r="C114" t="str">
        <x:v>スピード型</x:v>
      </x:c>
      <x:c r="D114" t="str">
        <x:v>Assassin</x:v>
      </x:c>
      <x:c r="E114" t="str">
        <x:v>ゼラオラ</x:v>
      </x:c>
      <x:c r="F114" t="str">
        <x:v>ワイルドボルト</x:v>
      </x:c>
      <x:c r="G114" t="str">
        <x:v>Assassin</x:v>
      </x:c>
      <x:c r="H114" s="60" t="n">
        <x:v>7.291888767051016</x:v>
      </x:c>
      <x:c r="I114" t="str">
        <x:v>Yes</x:v>
      </x:c>
      <x:c r="J114" t="str">
        <x:v>十分離れている</x:v>
      </x:c>
    </x:row>
    <x:row r="115">
      <x:c r="A115" t="str">
        <x:v>マスカーニャ</x:v>
      </x:c>
      <x:c r="B115" t="str">
        <x:v>トリックフラワー</x:v>
      </x:c>
      <x:c r="C115" t="str">
        <x:v>スピード型</x:v>
      </x:c>
      <x:c r="D115" t="str">
        <x:v>Assassin</x:v>
      </x:c>
      <x:c r="E115" t="str">
        <x:v>ヨクバリス</x:v>
      </x:c>
      <x:c r="F115" t="str">
        <x:v>ほしがる</x:v>
      </x:c>
      <x:c r="G115" t="str">
        <x:v>Diver</x:v>
      </x:c>
      <x:c r="H115" s="60" t="n">
        <x:v>11.891926271540756</x:v>
      </x:c>
      <x:c r="I115" t="str">
        <x:v>No</x:v>
      </x:c>
      <x:c r="J115" t="str">
        <x:v>十分離れている</x:v>
      </x:c>
    </x:row>
    <x:row r="116">
      <x:c r="A116" t="str">
        <x:v>マスカーニャ</x:v>
      </x:c>
      <x:c r="B116" t="str">
        <x:v>つじぎり</x:v>
      </x:c>
      <x:c r="C116" t="str">
        <x:v>スピード型</x:v>
      </x:c>
      <x:c r="D116" t="str">
        <x:v>Skirmisher</x:v>
      </x:c>
      <x:c r="E116" t="str">
        <x:v>ミライドン</x:v>
      </x:c>
      <x:c r="F116" t="str">
        <x:v>イナズマドライブ</x:v>
      </x:c>
      <x:c r="G116" t="str">
        <x:v>Skirmisher</x:v>
      </x:c>
      <x:c r="H116" s="60" t="n">
        <x:v>5.272428990767592</x:v>
      </x:c>
      <x:c r="I116" t="str">
        <x:v>Yes</x:v>
      </x:c>
      <x:c r="J116" t="str">
        <x:v>やや近い</x:v>
      </x:c>
    </x:row>
    <x:row r="117">
      <x:c r="A117" t="str">
        <x:v>モルペコ</x:v>
      </x:c>
      <x:c r="B117" t="str">
        <x:v>共通</x:v>
      </x:c>
      <x:c r="C117" t="str">
        <x:v>スピード型</x:v>
      </x:c>
      <x:c r="D117" t="str">
        <x:v>Assassin</x:v>
      </x:c>
      <x:c r="E117" t="str">
        <x:v>ハッサム</x:v>
      </x:c>
      <x:c r="F117" t="str">
        <x:v>ストライク</x:v>
      </x:c>
      <x:c r="G117" t="str">
        <x:v>Assassin</x:v>
      </x:c>
      <x:c r="H117" s="60" t="n">
        <x:v>3.4554737023254405</x:v>
      </x:c>
      <x:c r="I117" t="str">
        <x:v>Yes</x:v>
      </x:c>
      <x:c r="J117" t="str">
        <x:v>かなり近い</x:v>
      </x:c>
    </x:row>
    <x:row r="118">
      <x:c r="A118" t="str">
        <x:v>リーフィア</x:v>
      </x:c>
      <x:c r="B118" t="str">
        <x:v>共通</x:v>
      </x:c>
      <x:c r="C118" t="str">
        <x:v>スピード型</x:v>
      </x:c>
      <x:c r="D118" t="str">
        <x:v>Assassin</x:v>
      </x:c>
      <x:c r="E118" t="str">
        <x:v>アブソル</x:v>
      </x:c>
      <x:c r="F118" t="str">
        <x:v>共通</x:v>
      </x:c>
      <x:c r="G118" t="str">
        <x:v>Assassin</x:v>
      </x:c>
      <x:c r="H118" s="60" t="n">
        <x:v>3.703064483257641</x:v>
      </x:c>
      <x:c r="I118" t="str">
        <x:v>Yes</x:v>
      </x:c>
      <x:c r="J118" t="str">
        <x:v>かなり近い</x:v>
      </x:c>
    </x:row>
    <x:row r="119">
      <x:c r="A119" t="str">
        <x:v>イワパレス</x:v>
      </x:c>
      <x:c r="B119" t="str">
        <x:v>がんせきふうじ</x:v>
      </x:c>
      <x:c r="C119" t="str">
        <x:v>ディフェンス型</x:v>
      </x:c>
      <x:c r="D119" t="str">
        <x:v>Vanguard</x:v>
      </x:c>
      <x:c r="E119" t="str">
        <x:v>マンムー</x:v>
      </x:c>
      <x:c r="F119" t="str">
        <x:v>共通</x:v>
      </x:c>
      <x:c r="G119" t="str">
        <x:v>Vanguard</x:v>
      </x:c>
      <x:c r="H119" s="60" t="n">
        <x:v>8.998341472389862</x:v>
      </x:c>
      <x:c r="I119" t="str">
        <x:v>Yes</x:v>
      </x:c>
      <x:c r="J119" t="str">
        <x:v>十分離れている</x:v>
      </x:c>
    </x:row>
    <x:row r="120">
      <x:c r="A120" t="str">
        <x:v>イワパレス</x:v>
      </x:c>
      <x:c r="B120" t="str">
        <x:v>からをやぶる</x:v>
      </x:c>
      <x:c r="C120" t="str">
        <x:v>ディフェンス型</x:v>
      </x:c>
      <x:c r="D120" t="str">
        <x:v>Diver</x:v>
      </x:c>
      <x:c r="E120" t="str">
        <x:v>カイリュー</x:v>
      </x:c>
      <x:c r="F120" t="str">
        <x:v>げきりん</x:v>
      </x:c>
      <x:c r="G120" t="str">
        <x:v>Juggernaut</x:v>
      </x:c>
      <x:c r="H120" s="60" t="n">
        <x:v>7.899792175615157</x:v>
      </x:c>
      <x:c r="I120" t="str">
        <x:v>No</x:v>
      </x:c>
      <x:c r="J120" t="str">
        <x:v>十分離れている</x:v>
      </x:c>
    </x:row>
    <x:row r="121">
      <x:c r="A121" t="str">
        <x:v>オーロット</x:v>
      </x:c>
      <x:c r="B121" t="str">
        <x:v>ウッドハンマー</x:v>
      </x:c>
      <x:c r="C121" t="str">
        <x:v>ディフェンス型</x:v>
      </x:c>
      <x:c r="D121" t="str">
        <x:v>Vanguard</x:v>
      </x:c>
      <x:c r="E121" t="str">
        <x:v>カビゴン</x:v>
      </x:c>
      <x:c r="F121" t="str">
        <x:v>ヘビーボンバー</x:v>
      </x:c>
      <x:c r="G121" t="str">
        <x:v>Vanguard</x:v>
      </x:c>
      <x:c r="H121" s="60" t="n">
        <x:v>6.077853116640998</x:v>
      </x:c>
      <x:c r="I121" t="str">
        <x:v>Yes</x:v>
      </x:c>
      <x:c r="J121" t="str">
        <x:v>やや近い</x:v>
      </x:c>
    </x:row>
    <x:row r="122">
      <x:c r="A122" t="str">
        <x:v>オーロット</x:v>
      </x:c>
      <x:c r="B122" t="str">
        <x:v>のろい</x:v>
      </x:c>
      <x:c r="C122" t="str">
        <x:v>ディフェンス型</x:v>
      </x:c>
      <x:c r="D122" t="str">
        <x:v>Juggernaut</x:v>
      </x:c>
      <x:c r="E122" t="str">
        <x:v>ファイヤー</x:v>
      </x:c>
      <x:c r="F122" t="str">
        <x:v>共通</x:v>
      </x:c>
      <x:c r="G122" t="str">
        <x:v>Juggernaut</x:v>
      </x:c>
      <x:c r="H122" s="60" t="n">
        <x:v>7.188818016726529</x:v>
      </x:c>
      <x:c r="I122" t="str">
        <x:v>Yes</x:v>
      </x:c>
      <x:c r="J122" t="str">
        <x:v>十分離れている</x:v>
      </x:c>
    </x:row>
    <x:row r="123">
      <x:c r="A123" t="str">
        <x:v>カビゴン</x:v>
      </x:c>
      <x:c r="B123" t="str">
        <x:v>ヘビーボンバー</x:v>
      </x:c>
      <x:c r="C123" t="str">
        <x:v>ディフェンス型</x:v>
      </x:c>
      <x:c r="D123" t="str">
        <x:v>Vanguard</x:v>
      </x:c>
      <x:c r="E123" t="str">
        <x:v>オーロット</x:v>
      </x:c>
      <x:c r="F123" t="str">
        <x:v>ウッドハンマー</x:v>
      </x:c>
      <x:c r="G123" t="str">
        <x:v>Vanguard</x:v>
      </x:c>
      <x:c r="H123" s="60" t="n">
        <x:v>6.077853116640998</x:v>
      </x:c>
      <x:c r="I123" t="str">
        <x:v>Yes</x:v>
      </x:c>
      <x:c r="J123" t="str">
        <x:v>やや近い</x:v>
      </x:c>
    </x:row>
    <x:row r="124">
      <x:c r="A124" t="str">
        <x:v>カビゴン</x:v>
      </x:c>
      <x:c r="B124" t="str">
        <x:v>じたばた</x:v>
      </x:c>
      <x:c r="C124" t="str">
        <x:v>ディフェンス型</x:v>
      </x:c>
      <x:c r="D124" t="str">
        <x:v>Juggernaut</x:v>
      </x:c>
      <x:c r="E124" t="str">
        <x:v>ミュウツー(X)</x:v>
      </x:c>
      <x:c r="F124" t="str">
        <x:v>共通</x:v>
      </x:c>
      <x:c r="G124" t="str">
        <x:v>Juggernaut</x:v>
      </x:c>
      <x:c r="H124" s="60" t="n">
        <x:v>10.092852502726425</x:v>
      </x:c>
      <x:c r="I124" t="str">
        <x:v>Yes</x:v>
      </x:c>
      <x:c r="J124" t="str">
        <x:v>十分離れている</x:v>
      </x:c>
    </x:row>
    <x:row r="125">
      <x:c r="A125" t="str">
        <x:v>カメックス</x:v>
      </x:c>
      <x:c r="B125" t="str">
        <x:v>なみのり</x:v>
      </x:c>
      <x:c r="C125" t="str">
        <x:v>ディフェンス型</x:v>
      </x:c>
      <x:c r="D125" t="str">
        <x:v>Warden</x:v>
      </x:c>
      <x:c r="E125" t="str">
        <x:v>オーロット</x:v>
      </x:c>
      <x:c r="F125" t="str">
        <x:v>ウッドハンマー</x:v>
      </x:c>
      <x:c r="G125" t="str">
        <x:v>Vanguard</x:v>
      </x:c>
      <x:c r="H125" s="60" t="n">
        <x:v>8.72464343025402</x:v>
      </x:c>
      <x:c r="I125" t="str">
        <x:v>No</x:v>
      </x:c>
      <x:c r="J125" t="str">
        <x:v>十分離れている</x:v>
      </x:c>
    </x:row>
    <x:row r="126">
      <x:c r="A126" t="str">
        <x:v>カメックス</x:v>
      </x:c>
      <x:c r="B126" t="str">
        <x:v>こうそくスピン</x:v>
      </x:c>
      <x:c r="C126" t="str">
        <x:v>ディフェンス型</x:v>
      </x:c>
      <x:c r="D126" t="str">
        <x:v>Diver</x:v>
      </x:c>
      <x:c r="E126" t="str">
        <x:v>メタグロス</x:v>
      </x:c>
      <x:c r="F126" t="str">
        <x:v>共通</x:v>
      </x:c>
      <x:c r="G126" t="str">
        <x:v>Diver</x:v>
      </x:c>
      <x:c r="H126" s="60" t="n">
        <x:v>7.5804146698689365</x:v>
      </x:c>
      <x:c r="I126" t="str">
        <x:v>Yes</x:v>
      </x:c>
      <x:c r="J126" t="str">
        <x:v>十分離れている</x:v>
      </x:c>
    </x:row>
    <x:row r="127">
      <x:c r="A127" t="str">
        <x:v>シャワーズ</x:v>
      </x:c>
      <x:c r="B127" t="str">
        <x:v>アクアリング</x:v>
      </x:c>
      <x:c r="C127" t="str">
        <x:v>ディフェンス型</x:v>
      </x:c>
      <x:c r="D127" t="str">
        <x:v>Enchanter</x:v>
      </x:c>
      <x:c r="E127" t="str">
        <x:v>ブラッキー</x:v>
      </x:c>
      <x:c r="F127" t="str">
        <x:v>ねがいごと</x:v>
      </x:c>
      <x:c r="G127" t="str">
        <x:v>Enchanter</x:v>
      </x:c>
      <x:c r="H127" s="60" t="n">
        <x:v>3.8633370464312793</x:v>
      </x:c>
      <x:c r="I127" t="str">
        <x:v>Yes</x:v>
      </x:c>
      <x:c r="J127" t="str">
        <x:v>かなり近い</x:v>
      </x:c>
    </x:row>
    <x:row r="128">
      <x:c r="A128" t="str">
        <x:v>シャワーズ</x:v>
      </x:c>
      <x:c r="B128" t="str">
        <x:v>クイックターン</x:v>
      </x:c>
      <x:c r="C128" t="str">
        <x:v>ディフェンス型</x:v>
      </x:c>
      <x:c r="D128" t="str">
        <x:v>Warden</x:v>
      </x:c>
      <x:c r="E128" t="str">
        <x:v>バリヤード</x:v>
      </x:c>
      <x:c r="F128" t="str">
        <x:v>バリアー</x:v>
      </x:c>
      <x:c r="G128" t="str">
        <x:v>Catcher</x:v>
      </x:c>
      <x:c r="H128" s="60" t="n">
        <x:v>11.777635015874969</x:v>
      </x:c>
      <x:c r="I128" t="str">
        <x:v>No</x:v>
      </x:c>
      <x:c r="J128" t="str">
        <x:v>十分離れている</x:v>
      </x:c>
    </x:row>
    <x:row r="129">
      <x:c r="A129" t="str">
        <x:v>ヌメルゴン</x:v>
      </x:c>
      <x:c r="B129" t="str">
        <x:v>共通</x:v>
      </x:c>
      <x:c r="C129" t="str">
        <x:v>ディフェンス型</x:v>
      </x:c>
      <x:c r="D129" t="str">
        <x:v>Juggernaut</x:v>
      </x:c>
      <x:c r="E129" t="str">
        <x:v>ガブリアス</x:v>
      </x:c>
      <x:c r="F129" t="str">
        <x:v>共通</x:v>
      </x:c>
      <x:c r="G129" t="str">
        <x:v>Juggernaut</x:v>
      </x:c>
      <x:c r="H129" s="60" t="n">
        <x:v>6.450153301429378</x:v>
      </x:c>
      <x:c r="I129" t="str">
        <x:v>Yes</x:v>
      </x:c>
      <x:c r="J129" t="str">
        <x:v>やや近い</x:v>
      </x:c>
    </x:row>
    <x:row r="130">
      <x:c r="A130" t="str">
        <x:v>フリーザー</x:v>
      </x:c>
      <x:c r="B130" t="str">
        <x:v>共通</x:v>
      </x:c>
      <x:c r="C130" t="str">
        <x:v>ディフェンス型</x:v>
      </x:c>
      <x:c r="D130" t="str">
        <x:v>Warden</x:v>
      </x:c>
      <x:c r="E130" t="str">
        <x:v>プクリン</x:v>
      </x:c>
      <x:c r="F130" t="str">
        <x:v>共通</x:v>
      </x:c>
      <x:c r="G130" t="str">
        <x:v>Warden</x:v>
      </x:c>
      <x:c r="H130" s="60" t="n">
        <x:v>6.435674824582206</x:v>
      </x:c>
      <x:c r="I130" t="str">
        <x:v>Yes</x:v>
      </x:c>
      <x:c r="J130" t="str">
        <x:v>やや近い</x:v>
      </x:c>
    </x:row>
    <x:row r="131">
      <x:c r="A131" t="str">
        <x:v>ブラッキー</x:v>
      </x:c>
      <x:c r="B131" t="str">
        <x:v>ねがいごと</x:v>
      </x:c>
      <x:c r="C131" t="str">
        <x:v>ディフェンス型</x:v>
      </x:c>
      <x:c r="D131" t="str">
        <x:v>Enchanter</x:v>
      </x:c>
      <x:c r="E131" t="str">
        <x:v>シャワーズ</x:v>
      </x:c>
      <x:c r="F131" t="str">
        <x:v>アクアリング</x:v>
      </x:c>
      <x:c r="G131" t="str">
        <x:v>Enchanter</x:v>
      </x:c>
      <x:c r="H131" s="60" t="n">
        <x:v>3.8633370464312793</x:v>
      </x:c>
      <x:c r="I131" t="str">
        <x:v>Yes</x:v>
      </x:c>
      <x:c r="J131" t="str">
        <x:v>かなり近い</x:v>
      </x:c>
    </x:row>
    <x:row r="132">
      <x:c r="A132" t="str">
        <x:v>ブラッキー</x:v>
      </x:c>
      <x:c r="B132" t="str">
        <x:v>イカサマ</x:v>
      </x:c>
      <x:c r="C132" t="str">
        <x:v>ディフェンス型</x:v>
      </x:c>
      <x:c r="D132" t="str">
        <x:v>Vanguard</x:v>
      </x:c>
      <x:c r="E132" t="str">
        <x:v>オーロット</x:v>
      </x:c>
      <x:c r="F132" t="str">
        <x:v>ウッドハンマー</x:v>
      </x:c>
      <x:c r="G132" t="str">
        <x:v>Vanguard</x:v>
      </x:c>
      <x:c r="H132" s="60" t="n">
        <x:v>7.304670352262577</x:v>
      </x:c>
      <x:c r="I132" t="str">
        <x:v>Yes</x:v>
      </x:c>
      <x:c r="J132" t="str">
        <x:v>十分離れている</x:v>
      </x:c>
    </x:row>
    <x:row r="133">
      <x:c r="A133" t="str">
        <x:v>ホウオウ</x:v>
      </x:c>
      <x:c r="B133" t="str">
        <x:v>かえんほうしゃ</x:v>
      </x:c>
      <x:c r="C133" t="str">
        <x:v>ディフェンス型</x:v>
      </x:c>
      <x:c r="D133" t="str">
        <x:v>Juggernaut</x:v>
      </x:c>
      <x:c r="E133" t="str">
        <x:v>ラプラス</x:v>
      </x:c>
      <x:c r="F133" t="str">
        <x:v>共通</x:v>
      </x:c>
      <x:c r="G133" t="str">
        <x:v>Juggernaut</x:v>
      </x:c>
      <x:c r="H133" s="60" t="n">
        <x:v>16.490046749207377</x:v>
      </x:c>
      <x:c r="I133" t="str">
        <x:v>Yes</x:v>
      </x:c>
      <x:c r="J133" t="str">
        <x:v>十分離れている</x:v>
      </x:c>
    </x:row>
    <x:row r="134">
      <x:c r="A134" t="str">
        <x:v>ホウオウ</x:v>
      </x:c>
      <x:c r="B134" t="str">
        <x:v>ゴッドバード</x:v>
      </x:c>
      <x:c r="C134" t="str">
        <x:v>ディフェンス型</x:v>
      </x:c>
      <x:c r="D134" t="str">
        <x:v>Vanguard</x:v>
      </x:c>
      <x:c r="E134" t="str">
        <x:v>ヨクバリス</x:v>
      </x:c>
      <x:c r="F134" t="str">
        <x:v>ほしがる</x:v>
      </x:c>
      <x:c r="G134" t="str">
        <x:v>Diver</x:v>
      </x:c>
      <x:c r="H134" s="60" t="n">
        <x:v>15.111525699121975</x:v>
      </x:c>
      <x:c r="I134" t="str">
        <x:v>No</x:v>
      </x:c>
      <x:c r="J134" t="str">
        <x:v>十分離れている</x:v>
      </x:c>
    </x:row>
    <x:row r="135">
      <x:c r="A135" t="str">
        <x:v>マンムー</x:v>
      </x:c>
      <x:c r="B135" t="str">
        <x:v>共通</x:v>
      </x:c>
      <x:c r="C135" t="str">
        <x:v>ディフェンス型</x:v>
      </x:c>
      <x:c r="D135" t="str">
        <x:v>Vanguard</x:v>
      </x:c>
      <x:c r="E135" t="str">
        <x:v>イワパレス</x:v>
      </x:c>
      <x:c r="F135" t="str">
        <x:v>がんせきふうじ</x:v>
      </x:c>
      <x:c r="G135" t="str">
        <x:v>Vanguard</x:v>
      </x:c>
      <x:c r="H135" s="60" t="n">
        <x:v>8.998341472389862</x:v>
      </x:c>
      <x:c r="I135" t="str">
        <x:v>Yes</x:v>
      </x:c>
      <x:c r="J135" t="str">
        <x:v>十分離れている</x:v>
      </x:c>
    </x:row>
    <x:row r="136">
      <x:c r="A136" t="str">
        <x:v>ヤドラン</x:v>
      </x:c>
      <x:c r="B136" t="str">
        <x:v>ドわすれ</x:v>
      </x:c>
      <x:c r="C136" t="str">
        <x:v>ディフェンス型</x:v>
      </x:c>
      <x:c r="D136" t="str">
        <x:v>Juggernaut</x:v>
      </x:c>
      <x:c r="E136" t="str">
        <x:v>グレンアルマ</x:v>
      </x:c>
      <x:c r="F136" t="str">
        <x:v>ほのおのうず</x:v>
      </x:c>
      <x:c r="G136" t="str">
        <x:v>Juggernaut</x:v>
      </x:c>
      <x:c r="H136" s="60" t="n">
        <x:v>8.573649321413091</x:v>
      </x:c>
      <x:c r="I136" t="str">
        <x:v>Yes</x:v>
      </x:c>
      <x:c r="J136" t="str">
        <x:v>十分離れている</x:v>
      </x:c>
    </x:row>
    <x:row r="137">
      <x:c r="A137" t="str">
        <x:v>ヤドラン</x:v>
      </x:c>
      <x:c r="B137" t="str">
        <x:v>テレキネシス</x:v>
      </x:c>
      <x:c r="C137" t="str">
        <x:v>ディフェンス型</x:v>
      </x:c>
      <x:c r="D137" t="str">
        <x:v>Warden</x:v>
      </x:c>
      <x:c r="E137" t="str">
        <x:v>プクリン</x:v>
      </x:c>
      <x:c r="F137" t="str">
        <x:v>共通</x:v>
      </x:c>
      <x:c r="G137" t="str">
        <x:v>Warden</x:v>
      </x:c>
      <x:c r="H137" s="60" t="n">
        <x:v>9.658342616078198</x:v>
      </x:c>
      <x:c r="I137" t="str">
        <x:v>Yes</x:v>
      </x:c>
      <x:c r="J137" t="str">
        <x:v>十分離れている</x:v>
      </x:c>
    </x:row>
    <x:row r="138">
      <x:c r="A138" t="str">
        <x:v>ヨクバリス</x:v>
      </x:c>
      <x:c r="B138" t="str">
        <x:v>ほおばる</x:v>
      </x:c>
      <x:c r="C138" t="str">
        <x:v>ディフェンス型</x:v>
      </x:c>
      <x:c r="D138" t="str">
        <x:v>Juggernaut</x:v>
      </x:c>
      <x:c r="E138" t="str">
        <x:v>ハッサム</x:v>
      </x:c>
      <x:c r="F138" t="str">
        <x:v>ハッサム</x:v>
      </x:c>
      <x:c r="G138" t="str">
        <x:v>Skirmisher</x:v>
      </x:c>
      <x:c r="H138" s="60" t="n">
        <x:v>8.375515132297433</x:v>
      </x:c>
      <x:c r="I138" t="str">
        <x:v>No</x:v>
      </x:c>
      <x:c r="J138" t="str">
        <x:v>十分離れている</x:v>
      </x:c>
    </x:row>
    <x:row r="139">
      <x:c r="A139" t="str">
        <x:v>ヨクバリス</x:v>
      </x:c>
      <x:c r="B139" t="str">
        <x:v>ほしがる</x:v>
      </x:c>
      <x:c r="C139" t="str">
        <x:v>ディフェンス型</x:v>
      </x:c>
      <x:c r="D139" t="str">
        <x:v>Diver</x:v>
      </x:c>
      <x:c r="E139" t="str">
        <x:v>マスカーニャ</x:v>
      </x:c>
      <x:c r="F139" t="str">
        <x:v>トリックフラワー</x:v>
      </x:c>
      <x:c r="G139" t="str">
        <x:v>Assassin</x:v>
      </x:c>
      <x:c r="H139" s="60" t="n">
        <x:v>11.891926271540756</x:v>
      </x:c>
      <x:c r="I139" t="str">
        <x:v>No</x:v>
      </x:c>
      <x:c r="J139" t="str">
        <x:v>十分離れている</x:v>
      </x:c>
    </x:row>
    <x:row r="140">
      <x:c r="A140" t="str">
        <x:v>ラプラス</x:v>
      </x:c>
      <x:c r="B140" t="str">
        <x:v>共通</x:v>
      </x:c>
      <x:c r="C140" t="str">
        <x:v>ディフェンス型</x:v>
      </x:c>
      <x:c r="D140" t="str">
        <x:v>Juggernaut</x:v>
      </x:c>
      <x:c r="E140" t="str">
        <x:v>ホウオウ</x:v>
      </x:c>
      <x:c r="F140" t="str">
        <x:v>かえんほうしゃ</x:v>
      </x:c>
      <x:c r="G140" t="str">
        <x:v>Juggernaut</x:v>
      </x:c>
      <x:c r="H140" s="60" t="n">
        <x:v>16.490046749207377</x:v>
      </x:c>
      <x:c r="I140" t="str">
        <x:v>Yes</x:v>
      </x:c>
      <x:c r="J140" t="str">
        <x:v>十分離れている</x:v>
      </x:c>
    </x:row>
    <x:row r="141">
      <x:c r="A141" t="str">
        <x:v>キュワワー</x:v>
      </x:c>
      <x:c r="B141" t="str">
        <x:v>共通</x:v>
      </x:c>
      <x:c r="C141" t="str">
        <x:v>サポート型</x:v>
      </x:c>
      <x:c r="D141" t="str">
        <x:v>Enchanter</x:v>
      </x:c>
      <x:c r="E141" t="str">
        <x:v>メガニウム</x:v>
      </x:c>
      <x:c r="F141" t="str">
        <x:v>共通</x:v>
      </x:c>
      <x:c r="G141" t="str">
        <x:v>Enchanter</x:v>
      </x:c>
      <x:c r="H141" s="60" t="n">
        <x:v>20.54527218012027</x:v>
      </x:c>
      <x:c r="I141" t="str">
        <x:v>Yes</x:v>
      </x:c>
      <x:c r="J141" t="str">
        <x:v>十分離れている</x:v>
      </x:c>
    </x:row>
    <x:row r="142">
      <x:c r="A142" t="str">
        <x:v>コダック</x:v>
      </x:c>
      <x:c r="B142" t="str">
        <x:v>共通</x:v>
      </x:c>
      <x:c r="C142" t="str">
        <x:v>サポート型</x:v>
      </x:c>
      <x:c r="D142" t="str">
        <x:v>Catcher</x:v>
      </x:c>
      <x:c r="E142" t="str">
        <x:v>ヤドラン</x:v>
      </x:c>
      <x:c r="F142" t="str">
        <x:v>テレキネシス</x:v>
      </x:c>
      <x:c r="G142" t="str">
        <x:v>Warden</x:v>
      </x:c>
      <x:c r="H142" s="60" t="n">
        <x:v>12.067131873058779</x:v>
      </x:c>
      <x:c r="I142" t="str">
        <x:v>No</x:v>
      </x:c>
      <x:c r="J142" t="str">
        <x:v>十分離れている</x:v>
      </x:c>
    </x:row>
    <x:row r="143">
      <x:c r="A143" t="str">
        <x:v>ハピナス</x:v>
      </x:c>
      <x:c r="B143" t="str">
        <x:v>共通</x:v>
      </x:c>
      <x:c r="C143" t="str">
        <x:v>サポート型</x:v>
      </x:c>
      <x:c r="D143" t="str">
        <x:v>Enchanter</x:v>
      </x:c>
      <x:c r="E143" t="str">
        <x:v>メガニウム</x:v>
      </x:c>
      <x:c r="F143" t="str">
        <x:v>共通</x:v>
      </x:c>
      <x:c r="G143" t="str">
        <x:v>Enchanter</x:v>
      </x:c>
      <x:c r="H143" s="60" t="n">
        <x:v>9.849615493669504</x:v>
      </x:c>
      <x:c r="I143" t="str">
        <x:v>Yes</x:v>
      </x:c>
      <x:c r="J143" t="str">
        <x:v>十分離れている</x:v>
      </x:c>
    </x:row>
    <x:row r="144">
      <x:c r="A144" t="str">
        <x:v>バリヤード</x:v>
      </x:c>
      <x:c r="B144" t="str">
        <x:v>バリアー</x:v>
      </x:c>
      <x:c r="C144" t="str">
        <x:v>サポート型</x:v>
      </x:c>
      <x:c r="D144" t="str">
        <x:v>Catcher</x:v>
      </x:c>
      <x:c r="E144" t="str">
        <x:v>シャワーズ</x:v>
      </x:c>
      <x:c r="F144" t="str">
        <x:v>クイックターン</x:v>
      </x:c>
      <x:c r="G144" t="str">
        <x:v>Warden</x:v>
      </x:c>
      <x:c r="H144" s="60" t="n">
        <x:v>11.777635015874969</x:v>
      </x:c>
      <x:c r="I144" t="str">
        <x:v>No</x:v>
      </x:c>
      <x:c r="J144" t="str">
        <x:v>十分離れている</x:v>
      </x:c>
    </x:row>
    <x:row r="145">
      <x:c r="A145" t="str">
        <x:v>バリヤード</x:v>
      </x:c>
      <x:c r="B145" t="str">
        <x:v>パワースワップ</x:v>
      </x:c>
      <x:c r="C145" t="str">
        <x:v>サポート型</x:v>
      </x:c>
      <x:c r="D145" t="str">
        <x:v>Enchanter</x:v>
      </x:c>
      <x:c r="E145" t="str">
        <x:v>ワタシラガ</x:v>
      </x:c>
      <x:c r="F145" t="str">
        <x:v>共通</x:v>
      </x:c>
      <x:c r="G145" t="str">
        <x:v>Enchanter</x:v>
      </x:c>
      <x:c r="H145" s="60" t="n">
        <x:v>10.460479998118862</x:v>
      </x:c>
      <x:c r="I145" t="str">
        <x:v>Yes</x:v>
      </x:c>
      <x:c r="J145" t="str">
        <x:v>十分離れている</x:v>
      </x:c>
    </x:row>
    <x:row r="146">
      <x:c r="A146" t="str">
        <x:v>ピクシー</x:v>
      </x:c>
      <x:c r="B146" t="str">
        <x:v>共通</x:v>
      </x:c>
      <x:c r="C146" t="str">
        <x:v>サポート型</x:v>
      </x:c>
      <x:c r="D146" t="str">
        <x:v>Enchanter</x:v>
      </x:c>
      <x:c r="E146" t="str">
        <x:v>メガニウム</x:v>
      </x:c>
      <x:c r="F146" t="str">
        <x:v>共通</x:v>
      </x:c>
      <x:c r="G146" t="str">
        <x:v>Enchanter</x:v>
      </x:c>
      <x:c r="H146" s="60" t="n">
        <x:v>6.435674824582206</x:v>
      </x:c>
      <x:c r="I146" t="str">
        <x:v>Yes</x:v>
      </x:c>
      <x:c r="J146" t="str">
        <x:v>やや近い</x:v>
      </x:c>
    </x:row>
    <x:row r="147">
      <x:c r="A147" t="str">
        <x:v>フーパ</x:v>
      </x:c>
      <x:c r="B147" t="str">
        <x:v>いじげんホール</x:v>
      </x:c>
      <x:c r="C147" t="str">
        <x:v>サポート型</x:v>
      </x:c>
      <x:c r="D147" t="str">
        <x:v>Specialist</x:v>
      </x:c>
      <x:c r="E147" t="str">
        <x:v>ハピナス</x:v>
      </x:c>
      <x:c r="F147" t="str">
        <x:v>共通</x:v>
      </x:c>
      <x:c r="G147" t="str">
        <x:v>Enchanter</x:v>
      </x:c>
      <x:c r="H147" s="60" t="n">
        <x:v>18.95103667467234</x:v>
      </x:c>
      <x:c r="I147" t="str">
        <x:v>No</x:v>
      </x:c>
      <x:c r="J147" t="str">
        <x:v>十分離れている</x:v>
      </x:c>
    </x:row>
    <x:row r="148">
      <x:c r="A148" t="str">
        <x:v>フーパ</x:v>
      </x:c>
      <x:c r="B148" t="str">
        <x:v>トリック</x:v>
      </x:c>
      <x:c r="C148" t="str">
        <x:v>サポート型</x:v>
      </x:c>
      <x:c r="D148" t="str">
        <x:v>Enchanter</x:v>
      </x:c>
      <x:c r="E148" t="str">
        <x:v>ハピナス</x:v>
      </x:c>
      <x:c r="F148" t="str">
        <x:v>共通</x:v>
      </x:c>
      <x:c r="G148" t="str">
        <x:v>Enchanter</x:v>
      </x:c>
      <x:c r="H148" s="60" t="n">
        <x:v>11.59403475029486</x:v>
      </x:c>
      <x:c r="I148" t="str">
        <x:v>Yes</x:v>
      </x:c>
      <x:c r="J148" t="str">
        <x:v>十分離れている</x:v>
      </x:c>
    </x:row>
    <x:row r="149">
      <x:c r="A149" t="str">
        <x:v>プクリン</x:v>
      </x:c>
      <x:c r="B149" t="str">
        <x:v>共通</x:v>
      </x:c>
      <x:c r="C149" t="str">
        <x:v>サポート型</x:v>
      </x:c>
      <x:c r="D149" t="str">
        <x:v>Warden</x:v>
      </x:c>
      <x:c r="E149" t="str">
        <x:v>フリーザー</x:v>
      </x:c>
      <x:c r="F149" t="str">
        <x:v>共通</x:v>
      </x:c>
      <x:c r="G149" t="str">
        <x:v>Warden</x:v>
      </x:c>
      <x:c r="H149" s="60" t="n">
        <x:v>6.435674824582206</x:v>
      </x:c>
      <x:c r="I149" t="str">
        <x:v>Yes</x:v>
      </x:c>
      <x:c r="J149" t="str">
        <x:v>やや近い</x:v>
      </x:c>
    </x:row>
    <x:row r="150">
      <x:c r="A150" t="str">
        <x:v>マホイップ</x:v>
      </x:c>
      <x:c r="B150" t="str">
        <x:v>共通</x:v>
      </x:c>
      <x:c r="C150" t="str">
        <x:v>サポート型</x:v>
      </x:c>
      <x:c r="D150" t="str">
        <x:v>Enchanter</x:v>
      </x:c>
      <x:c r="E150" t="str">
        <x:v>ピクシー</x:v>
      </x:c>
      <x:c r="F150" t="str">
        <x:v>共通</x:v>
      </x:c>
      <x:c r="G150" t="str">
        <x:v>Enchanter</x:v>
      </x:c>
      <x:c r="H150" s="60" t="n">
        <x:v>13.11544606077637</x:v>
      </x:c>
      <x:c r="I150" t="str">
        <x:v>Yes</x:v>
      </x:c>
      <x:c r="J150" t="str">
        <x:v>十分離れている</x:v>
      </x:c>
    </x:row>
    <x:row r="151">
      <x:c r="A151" t="str">
        <x:v>メガニウム</x:v>
      </x:c>
      <x:c r="B151" t="str">
        <x:v>共通</x:v>
      </x:c>
      <x:c r="C151" t="str">
        <x:v>サポート型</x:v>
      </x:c>
      <x:c r="D151" t="str">
        <x:v>Enchanter</x:v>
      </x:c>
      <x:c r="E151" t="str">
        <x:v>ピクシー</x:v>
      </x:c>
      <x:c r="F151" t="str">
        <x:v>共通</x:v>
      </x:c>
      <x:c r="G151" t="str">
        <x:v>Enchanter</x:v>
      </x:c>
      <x:c r="H151" s="60" t="n">
        <x:v>6.435674824582206</x:v>
      </x:c>
      <x:c r="I151" t="str">
        <x:v>Yes</x:v>
      </x:c>
      <x:c r="J151" t="str">
        <x:v>やや近い</x:v>
      </x:c>
    </x:row>
    <x:row r="152">
      <x:c r="A152" t="str">
        <x:v>ヤミラミ</x:v>
      </x:c>
      <x:c r="B152" t="str">
        <x:v>共通</x:v>
      </x:c>
      <x:c r="C152" t="str">
        <x:v>サポート型</x:v>
      </x:c>
      <x:c r="D152" t="str">
        <x:v>Specialist</x:v>
      </x:c>
      <x:c r="E152" t="str">
        <x:v>ヨクバリス</x:v>
      </x:c>
      <x:c r="F152" t="str">
        <x:v>ほしがる</x:v>
      </x:c>
      <x:c r="G152" t="str">
        <x:v>Diver</x:v>
      </x:c>
      <x:c r="H152" s="60" t="n">
        <x:v>17.756646853014974</x:v>
      </x:c>
      <x:c r="I152" t="str">
        <x:v>No</x:v>
      </x:c>
      <x:c r="J152" t="str">
        <x:v>十分離れている</x:v>
      </x:c>
    </x:row>
    <x:row r="153">
      <x:c r="A153" t="str">
        <x:v>ラティアス</x:v>
      </x:c>
      <x:c r="B153" t="str">
        <x:v>共通</x:v>
      </x:c>
      <x:c r="C153" t="str">
        <x:v>サポート型</x:v>
      </x:c>
      <x:c r="D153" t="str">
        <x:v>Enchanter</x:v>
      </x:c>
      <x:c r="E153" t="str">
        <x:v>ワタシラガ</x:v>
      </x:c>
      <x:c r="F153" t="str">
        <x:v>共通</x:v>
      </x:c>
      <x:c r="G153" t="str">
        <x:v>Enchanter</x:v>
      </x:c>
      <x:c r="H153" s="60" t="n">
        <x:v>10.513850140463266</x:v>
      </x:c>
      <x:c r="I153" t="str">
        <x:v>Yes</x:v>
      </x:c>
      <x:c r="J153" t="str">
        <x:v>十分離れている</x:v>
      </x:c>
    </x:row>
    <x:row r="154">
      <x:c r="A154" t="str">
        <x:v>ワタシラガ</x:v>
      </x:c>
      <x:c r="B154" t="str">
        <x:v>共通</x:v>
      </x:c>
      <x:c r="C154" t="str">
        <x:v>サポート型</x:v>
      </x:c>
      <x:c r="D154" t="str">
        <x:v>Enchanter</x:v>
      </x:c>
      <x:c r="E154" t="str">
        <x:v>バリヤード</x:v>
      </x:c>
      <x:c r="F154" t="str">
        <x:v>パワースワップ</x:v>
      </x:c>
      <x:c r="G154" t="str">
        <x:v>Enchanter</x:v>
      </x:c>
      <x:c r="H154" s="60" t="n">
        <x:v>10.460479998118862</x:v>
      </x:c>
      <x:c r="I154" t="str">
        <x:v>Yes</x:v>
      </x:c>
      <x:c r="J154" t="str">
        <x:v>十分離れている</x:v>
      </x:c>
    </x:row>
    <x:row r="155">
      <x:c r="A155" t="str">
        <x:v>ドラパルト</x:v>
      </x:c>
      <x:c r="B155" t="str">
        <x:v>ゴーストダイブ</x:v>
      </x:c>
      <x:c r="C155" t="str">
        <x:v>アタック型</x:v>
      </x:c>
      <x:c r="D155" t="str">
        <x:v>Assassin</x:v>
      </x:c>
      <x:c r="E155" t="str">
        <x:v>ハッサム</x:v>
      </x:c>
      <x:c r="F155" t="str">
        <x:v>ストライク</x:v>
      </x:c>
      <x:c r="G155" t="str">
        <x:v>Assassin</x:v>
      </x:c>
      <x:c r="H155" s="60" t="n">
        <x:v>10.536007910331463</x:v>
      </x:c>
      <x:c r="I155" t="str">
        <x:v>Yes</x:v>
      </x:c>
      <x:c r="J155" t="str">
        <x:v>十分離れている</x:v>
      </x:c>
    </x:row>
    <x:row r="156">
      <x:c r="A156" t="str">
        <x:v>ホウオウ</x:v>
      </x:c>
      <x:c r="B156" t="str">
        <x:v>かえんほうしゃ</x:v>
      </x:c>
      <x:c r="C156" t="str">
        <x:v>ディフェンス型</x:v>
      </x:c>
      <x:c r="D156" t="str">
        <x:v>Juggernaut</x:v>
      </x:c>
      <x:c r="E156" t="str">
        <x:v>ラプラス</x:v>
      </x:c>
      <x:c r="F156" t="str">
        <x:v>共通</x:v>
      </x:c>
      <x:c r="G156" t="str">
        <x:v>Juggernaut</x:v>
      </x:c>
      <x:c r="H156" s="60" t="n">
        <x:v>10.575774908978214</x:v>
      </x:c>
      <x:c r="I156" t="str">
        <x:v>Yes</x:v>
      </x:c>
      <x:c r="J156" t="str">
        <x:v>十分離れている</x:v>
      </x:c>
    </x:row>
    <x:row r="157">
      <x:c r="A157" t="str">
        <x:v>ラプラス</x:v>
      </x:c>
      <x:c r="B157" t="str">
        <x:v>共通</x:v>
      </x:c>
      <x:c r="C157" t="str">
        <x:v>ディフェンス型</x:v>
      </x:c>
      <x:c r="D157" t="str">
        <x:v>Juggernaut</x:v>
      </x:c>
      <x:c r="E157" t="str">
        <x:v>ホウオウ</x:v>
      </x:c>
      <x:c r="F157" t="str">
        <x:v>かえんほうしゃ</x:v>
      </x:c>
      <x:c r="G157" t="str">
        <x:v>Juggernaut</x:v>
      </x:c>
      <x:c r="H157" s="60" t="n">
        <x:v>10.575774908978214</x:v>
      </x:c>
      <x:c r="I157" t="str">
        <x:v>Yes</x:v>
      </x:c>
      <x:c r="J157" t="str">
        <x:v>十分離れている</x:v>
      </x:c>
    </x:row>
    <x:row r="158">
      <x:c r="A158" t="str">
        <x:v>キュワワー</x:v>
      </x:c>
      <x:c r="B158" t="str">
        <x:v>共通</x:v>
      </x:c>
      <x:c r="C158" t="str">
        <x:v>サポート型</x:v>
      </x:c>
      <x:c r="D158" t="str">
        <x:v>Enchanter</x:v>
      </x:c>
      <x:c r="E158" t="str">
        <x:v>メガニウム</x:v>
      </x:c>
      <x:c r="F158" t="str">
        <x:v>共通</x:v>
      </x:c>
      <x:c r="G158" t="str">
        <x:v>Enchanter</x:v>
      </x:c>
      <x:c r="H158" s="60" t="n">
        <x:v>11.079765071058626</x:v>
      </x:c>
      <x:c r="I158" t="str">
        <x:v>Yes</x:v>
      </x:c>
      <x:c r="J158" t="str">
        <x:v>十分離れている</x:v>
      </x:c>
    </x:row>
    <x:row r="159">
      <x:c r="A159" t="str">
        <x:v>ホウオウ</x:v>
      </x:c>
      <x:c r="B159" t="str">
        <x:v>ゴッドバード</x:v>
      </x:c>
      <x:c r="C159" t="str">
        <x:v>ディフェンス型</x:v>
      </x:c>
      <x:c r="D159" t="str">
        <x:v>Vanguard</x:v>
      </x:c>
      <x:c r="E159" t="str">
        <x:v>ヨクバリス</x:v>
      </x:c>
      <x:c r="F159" t="str">
        <x:v>ほしがる</x:v>
      </x:c>
      <x:c r="G159" t="str">
        <x:v>Diver</x:v>
      </x:c>
      <x:c r="H159" s="60" t="n">
        <x:v>15.255901720758194</x:v>
      </x:c>
      <x:c r="I159" t="str">
        <x:v>No</x:v>
      </x:c>
      <x:c r="J159" t="str">
        <x:v>十分離れている</x:v>
      </x:c>
    </x:row>
    <x:row r="160">
      <x:c r="A160" t="str">
        <x:v>ミュウ</x:v>
      </x:c>
      <x:c r="B160" t="str">
        <x:v>共通</x:v>
      </x:c>
      <x:c r="C160" t="str">
        <x:v>アタック型</x:v>
      </x:c>
      <x:c r="D160" t="str">
        <x:v>Specialist</x:v>
      </x:c>
      <x:c r="E160" t="str">
        <x:v>エーフィ</x:v>
      </x:c>
      <x:c r="F160" t="str">
        <x:v>共通</x:v>
      </x:c>
      <x:c r="G160" t="str">
        <x:v>BurstMage</x:v>
      </x:c>
      <x:c r="H160" s="60" t="n">
        <x:v>16.178805003562026</x:v>
      </x:c>
      <x:c r="I160" t="str">
        <x:v>No</x:v>
      </x:c>
      <x:c r="J160" t="str">
        <x:v>十分離れている</x:v>
      </x:c>
    </x:row>
    <x:row r="161">
      <x:c r="A161" t="str">
        <x:v>ヤミラミ</x:v>
      </x:c>
      <x:c r="B161" t="str">
        <x:v>共通</x:v>
      </x:c>
      <x:c r="C161" t="str">
        <x:v>サポート型</x:v>
      </x:c>
      <x:c r="D161" t="str">
        <x:v>Specialist</x:v>
      </x:c>
      <x:c r="E161" t="str">
        <x:v>ホウオウ</x:v>
      </x:c>
      <x:c r="F161" t="str">
        <x:v>ゴッドバード</x:v>
      </x:c>
      <x:c r="G161" t="str">
        <x:v>Vanguard</x:v>
      </x:c>
      <x:c r="H161" s="60" t="n">
        <x:v>17.60363768377129</x:v>
      </x:c>
      <x:c r="I161" t="str">
        <x:v>No</x:v>
      </x:c>
      <x:c r="J161" t="str">
        <x:v>十分離れている</x:v>
      </x:c>
    </x:row>
    <x:row r="162">
      <x:c r="A162" t="str">
        <x:v>フーパ</x:v>
      </x:c>
      <x:c r="B162" t="str">
        <x:v>いじげんホール</x:v>
      </x:c>
      <x:c r="C162" t="str">
        <x:v>サポート型</x:v>
      </x:c>
      <x:c r="D162" t="str">
        <x:v>Specialist</x:v>
      </x:c>
      <x:c r="E162" t="str">
        <x:v>ハピナス</x:v>
      </x:c>
      <x:c r="F162" t="str">
        <x:v>共通</x:v>
      </x:c>
      <x:c r="G162" t="str">
        <x:v>Enchanter</x:v>
      </x:c>
      <x:c r="H162" s="60" t="n">
        <x:v>19.77485211371764</x:v>
      </x:c>
      <x:c r="I162" t="str">
        <x:v>No</x:v>
      </x:c>
      <x:c r="J162" t="str">
        <x:v>十分離れている</x:v>
      </x:c>
    </x:row>
  </x:sheetData>
  <x:mergeCells>
    <x:mergeCell ref="A1:N2"/>
    <x:mergeCell ref="A3:N4"/>
  </x:mergeCells>
  <x:conditionalFormatting sqref="J33:J162">
    <x:cfRule type="expression" dxfId="7" priority="1">
      <x:formula>J33="要調整"</x:formula>
    </x:cfRule>
    <x:cfRule type="expression" dxfId="8" priority="2">
      <x:formula>J33="かなり近い"</x:formula>
    </x:cfRule>
    <x:cfRule type="expression" dxfId="9" priority="3">
      <x:formula>J33="近い"</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1" max="1" width="22" hidden="0" customWidth="1"/>
    <x:col min="2" max="2" width="18" hidden="0" customWidth="1"/>
    <x:col min="3" max="3" width="18" hidden="0" customWidth="1"/>
    <x:col min="4" max="4" width="18" hidden="0" customWidth="1"/>
    <x:col min="20" max="20" width="46" hidden="0" customWidth="1"/>
    <x:col min="21" max="21" width="72" hidden="0" customWidth="1"/>
    <x:col min="22" max="22" width="48" hidden="0" customWidth="1"/>
    <x:col min="23" max="23" width="48" hidden="0" customWidth="1"/>
    <x:col min="24" max="24" width="48" hidden="0" customWidth="1"/>
  </x:cols>
  <x:sheetData>
    <x:row r="1">
      <x:c r="A1" s="213" t="str">
        <x:v>ProfileID</x:v>
      </x:c>
      <x:c r="B1" s="213" t="str">
        <x:v>Pokemon</x:v>
      </x:c>
      <x:c r="C1" s="213" t="str">
        <x:v>ProfileName</x:v>
      </x:c>
      <x:c r="D1" s="213" t="str">
        <x:v>PrimaryArchetype</x:v>
      </x:c>
      <x:c r="E1" s="213" t="str">
        <x:v>Δ_Engage</x:v>
      </x:c>
      <x:c r="F1" s="213" t="str">
        <x:v>Δ_Dive</x:v>
      </x:c>
      <x:c r="G1" s="213" t="str">
        <x:v>Δ_Peel</x:v>
      </x:c>
      <x:c r="H1" s="213" t="str">
        <x:v>Δ_Frontline</x:v>
      </x:c>
      <x:c r="I1" s="213" t="str">
        <x:v>Δ_Poke</x:v>
      </x:c>
      <x:c r="J1" s="213" t="str">
        <x:v>Δ_FightTempo</x:v>
      </x:c>
      <x:c r="K1" s="213" t="str">
        <x:v>Δ_Control</x:v>
      </x:c>
      <x:c r="L1" s="213" t="str">
        <x:v>Δ_Support</x:v>
      </x:c>
      <x:c r="M1" s="213" t="str">
        <x:v>Δ_Mobility</x:v>
      </x:c>
      <x:c r="N1" s="213" t="str">
        <x:v>Δ_SelfSufficiency</x:v>
      </x:c>
      <x:c r="O1" s="213" t="str">
        <x:v>Δ_FarmScaling</x:v>
      </x:c>
      <x:c r="P1" s="213" t="str">
        <x:v>Δ_ObjectiveSecure</x:v>
      </x:c>
      <x:c r="Q1" s="213" t="str">
        <x:v>Δ_ScoringSide</x:v>
      </x:c>
      <x:c r="R1" s="213" t="str">
        <x:v>Δ_Execution</x:v>
      </x:c>
      <x:c r="S1" s="213" t="str">
        <x:v>Δ_Decision</x:v>
      </x:c>
      <x:c r="T1" s="213" t="str">
        <x:v>ManualSignature</x:v>
      </x:c>
      <x:c r="U1" s="213" t="str">
        <x:v>ResearchBasis</x:v>
      </x:c>
      <x:c r="V1" s="213" t="str">
        <x:v>PrimarySource</x:v>
      </x:c>
      <x:c r="W1" s="213" t="str">
        <x:v>GeneralWiki</x:v>
      </x:c>
      <x:c r="X1" s="213" t="str">
        <x:v>MetaCrossCheck</x:v>
      </x:c>
    </x:row>
    <x:row r="2">
      <x:c r="A2" s="12" t="str">
        <x:v>アローラキュウコン-1</x:v>
      </x:c>
      <x:c r="B2" s="12" t="str">
        <x:v>アローラキュウコン</x:v>
      </x:c>
      <x:c r="C2" s="12" t="str">
        <x:v>ふぶき</x:v>
      </x:c>
      <x:c r="D2" s="12" t="str">
        <x:v>BurstMage</x:v>
      </x:c>
      <x:c r="E2" s="12" t="n">
        <x:v>0</x:v>
      </x:c>
      <x:c r="F2" s="12" t="n">
        <x:v>0</x:v>
      </x:c>
      <x:c r="G2" s="12" t="n">
        <x:v>0</x:v>
      </x:c>
      <x:c r="H2" s="12" t="n">
        <x:v>-5</x:v>
      </x:c>
      <x:c r="I2" s="12" t="n">
        <x:v>5</x:v>
      </x:c>
      <x:c r="J2" s="12" t="n">
        <x:v>-5</x:v>
      </x:c>
      <x:c r="K2" s="12" t="n">
        <x:v>5</x:v>
      </x:c>
      <x:c r="L2" s="12" t="n">
        <x:v>-5</x:v>
      </x:c>
      <x:c r="M2" s="12" t="n">
        <x:v>5</x:v>
      </x:c>
      <x:c r="N2" s="12" t="n">
        <x:v>5</x:v>
      </x:c>
      <x:c r="O2" s="12" t="n">
        <x:v>0</x:v>
      </x:c>
      <x:c r="P2" s="12" t="n">
        <x:v>0</x:v>
      </x:c>
      <x:c r="Q2" s="12" t="n">
        <x:v>0</x:v>
      </x:c>
      <x:c r="R2" s="12" t="n">
        <x:v>0</x:v>
      </x:c>
      <x:c r="S2" s="12" t="n">
        <x:v>0</x:v>
      </x:c>
      <x:c r="T2" s="12" t="str">
        <x:v>なし（既存個体差の拡張のみ）</x:v>
      </x:c>
      <x:c r="U2" s="12" t="str">
        <x:v>Wikiのロール・長所短所と既存プロファイルの方向性を保ちながら、同アーキタイプ内の差を拡張。</x:v>
      </x:c>
      <x:c r="V2" s="12" t="str">
        <x:v>https://wikiwiki.jp/poke-unite/%E3%82%A2%E3%83%AD%E3%83%BC%E3%83%A9%E3%82%AD%E3%83%A5%E3%82%A6%E3%82%B3%E3%83%B3</x:v>
      </x:c>
      <x:c r="W2" s="12" t="str">
        <x:v>https://wikiwiki.jp/poke-unite/%E4%B8%80%E8%A6%A7</x:v>
      </x:c>
      <x:c r="X2" s="12" t="str">
        <x:v>https://uniteapi.dev/jp/meta</x:v>
      </x:c>
    </x:row>
    <x:row r="3">
      <x:c r="A3" s="12" t="str">
        <x:v>アローラキュウコン-2</x:v>
      </x:c>
      <x:c r="B3" s="12" t="str">
        <x:v>アローラキュウコン</x:v>
      </x:c>
      <x:c r="C3" s="12" t="str">
        <x:v>オーロラベール</x:v>
      </x:c>
      <x:c r="D3" s="12" t="str">
        <x:v>Marksman</x:v>
      </x:c>
      <x:c r="E3" s="12" t="n">
        <x:v>5</x:v>
      </x:c>
      <x:c r="F3" s="12" t="n">
        <x:v>-5</x:v>
      </x:c>
      <x:c r="G3" s="12" t="n">
        <x:v>10</x:v>
      </x:c>
      <x:c r="H3" s="12" t="n">
        <x:v>10</x:v>
      </x:c>
      <x:c r="I3" s="12" t="n">
        <x:v>-10</x:v>
      </x:c>
      <x:c r="J3" s="12" t="n">
        <x:v>0</x:v>
      </x:c>
      <x:c r="K3" s="12" t="n">
        <x:v>10</x:v>
      </x:c>
      <x:c r="L3" s="12" t="n">
        <x:v>10</x:v>
      </x:c>
      <x:c r="M3" s="12" t="n">
        <x:v>-10</x:v>
      </x:c>
      <x:c r="N3" s="12" t="n">
        <x:v>-5</x:v>
      </x:c>
      <x:c r="O3" s="12" t="n">
        <x:v>-10</x:v>
      </x:c>
      <x:c r="P3" s="12" t="n">
        <x:v>-10</x:v>
      </x:c>
      <x:c r="Q3" s="12" t="n">
        <x:v>-10</x:v>
      </x:c>
      <x:c r="R3" s="12" t="n">
        <x:v>-10</x:v>
      </x:c>
      <x:c r="S3" s="12" t="n">
        <x:v>5</x:v>
      </x:c>
      <x:c r="T3" s="12" t="str">
        <x:v>なし（既存個体差の拡張のみ）</x:v>
      </x:c>
      <x:c r="U3" s="12" t="str">
        <x:v>Wikiのロール・長所短所と既存プロファイルの方向性を保ちながら、同アーキタイプ内の差を拡張。</x:v>
      </x:c>
      <x:c r="V3" s="12" t="str">
        <x:v>https://wikiwiki.jp/poke-unite/%E3%82%A2%E3%83%AD%E3%83%BC%E3%83%A9%E3%82%AD%E3%83%A5%E3%82%A6%E3%82%B3%E3%83%B3</x:v>
      </x:c>
      <x:c r="W3" s="12" t="str">
        <x:v>https://wikiwiki.jp/poke-unite/%E4%B8%80%E8%A6%A7</x:v>
      </x:c>
      <x:c r="X3" s="12" t="str">
        <x:v>https://uniteapi.dev/jp/meta</x:v>
      </x:c>
    </x:row>
    <x:row r="4">
      <x:c r="A4" s="12" t="str">
        <x:v>アローラライチュウ-1</x:v>
      </x:c>
      <x:c r="B4" s="12" t="str">
        <x:v>アローラライチュウ</x:v>
      </x:c>
      <x:c r="C4" s="12" t="str">
        <x:v>共通</x:v>
      </x:c>
      <x:c r="D4" s="12" t="str">
        <x:v>BattleMage</x:v>
      </x:c>
      <x:c r="E4" s="12" t="n">
        <x:v>5</x:v>
      </x:c>
      <x:c r="F4" s="12" t="n">
        <x:v>0</x:v>
      </x:c>
      <x:c r="G4" s="12" t="n">
        <x:v>0</x:v>
      </x:c>
      <x:c r="H4" s="12" t="n">
        <x:v>0</x:v>
      </x:c>
      <x:c r="I4" s="12" t="n">
        <x:v>5</x:v>
      </x:c>
      <x:c r="J4" s="12" t="n">
        <x:v>0</x:v>
      </x:c>
      <x:c r="K4" s="12" t="n">
        <x:v>5</x:v>
      </x:c>
      <x:c r="L4" s="12" t="n">
        <x:v>0</x:v>
      </x:c>
      <x:c r="M4" s="12" t="n">
        <x:v>0</x:v>
      </x:c>
      <x:c r="N4" s="12" t="n">
        <x:v>0</x:v>
      </x:c>
      <x:c r="O4" s="12" t="n">
        <x:v>-5</x:v>
      </x:c>
      <x:c r="P4" s="12" t="n">
        <x:v>-5</x:v>
      </x:c>
      <x:c r="Q4" s="12" t="n">
        <x:v>0</x:v>
      </x:c>
      <x:c r="R4" s="12" t="n">
        <x:v>-5</x:v>
      </x:c>
      <x:c r="S4" s="12" t="n">
        <x:v>0</x:v>
      </x:c>
      <x:c r="T4" s="12" t="str">
        <x:v>なし（既存個体差の拡張のみ）</x:v>
      </x:c>
      <x:c r="U4" s="12" t="str">
        <x:v>Wikiのロール・長所短所と既存プロファイルの方向性を保ちながら、同アーキタイプ内の差を拡張。</x:v>
      </x:c>
      <x:c r="V4" s="12" t="str">
        <x:v>https://wikiwiki.jp/poke-unite/%E3%82%A2%E3%83%AD%E3%83%BC%E3%83%A9%E3%83%A9%E3%82%A4%E3%83%81%E3%83%A5%E3%82%A6</x:v>
      </x:c>
      <x:c r="W4" s="12" t="str">
        <x:v>https://wikiwiki.jp/poke-unite/%E4%B8%80%E8%A6%A7</x:v>
      </x:c>
      <x:c r="X4" s="12" t="str">
        <x:v>https://uniteapi.dev/jp/meta</x:v>
      </x:c>
    </x:row>
    <x:row r="5">
      <x:c r="A5" s="12" t="str">
        <x:v>イベルタル-1</x:v>
      </x:c>
      <x:c r="B5" s="12" t="str">
        <x:v>イベルタル</x:v>
      </x:c>
      <x:c r="C5" s="12" t="str">
        <x:v>共通</x:v>
      </x:c>
      <x:c r="D5" s="12" t="str">
        <x:v>BurstMage</x:v>
      </x:c>
      <x:c r="E5" s="12" t="n">
        <x:v>0</x:v>
      </x:c>
      <x:c r="F5" s="12" t="n">
        <x:v>0</x:v>
      </x:c>
      <x:c r="G5" s="12" t="n">
        <x:v>0</x:v>
      </x:c>
      <x:c r="H5" s="12" t="n">
        <x:v>5</x:v>
      </x:c>
      <x:c r="I5" s="12" t="n">
        <x:v>0</x:v>
      </x:c>
      <x:c r="J5" s="12" t="n">
        <x:v>-5</x:v>
      </x:c>
      <x:c r="K5" s="12" t="n">
        <x:v>-5</x:v>
      </x:c>
      <x:c r="L5" s="12" t="n">
        <x:v>0</x:v>
      </x:c>
      <x:c r="M5" s="12" t="n">
        <x:v>0</x:v>
      </x:c>
      <x:c r="N5" s="12" t="n">
        <x:v>5</x:v>
      </x:c>
      <x:c r="O5" s="12" t="n">
        <x:v>0</x:v>
      </x:c>
      <x:c r="P5" s="12" t="n">
        <x:v>10</x:v>
      </x:c>
      <x:c r="Q5" s="12" t="n">
        <x:v>0</x:v>
      </x:c>
      <x:c r="R5" s="12" t="n">
        <x:v>0</x:v>
      </x:c>
      <x:c r="S5" s="12" t="n">
        <x:v>0</x:v>
      </x:c>
      <x:c r="T5" s="12" t="str">
        <x:v>なし（既存個体差の拡張のみ）</x:v>
      </x:c>
      <x:c r="U5" s="12" t="str">
        <x:v>Wikiのロール・長所短所と既存プロファイルの方向性を保ちながら、同アーキタイプ内の差を拡張。</x:v>
      </x:c>
      <x:c r="V5" s="12" t="str">
        <x:v>https://wikiwiki.jp/poke-unite/%E3%82%A4%E3%83%99%E3%83%AB%E3%82%BF%E3%83%AB</x:v>
      </x:c>
      <x:c r="W5" s="12" t="str">
        <x:v>https://wikiwiki.jp/poke-unite/%E4%B8%80%E8%A6%A7</x:v>
      </x:c>
      <x:c r="X5" s="12" t="str">
        <x:v>https://uniteapi.dev/jp/meta</x:v>
      </x:c>
    </x:row>
    <x:row r="6">
      <x:c r="A6" s="12" t="str">
        <x:v>インテレオン-1</x:v>
      </x:c>
      <x:c r="B6" s="12" t="str">
        <x:v>インテレオン</x:v>
      </x:c>
      <x:c r="C6" s="12" t="str">
        <x:v>ねらいうち</x:v>
      </x:c>
      <x:c r="D6" s="12" t="str">
        <x:v>Artillery</x:v>
      </x:c>
      <x:c r="E6" s="12" t="n">
        <x:v>0</x:v>
      </x:c>
      <x:c r="F6" s="12" t="n">
        <x:v>0</x:v>
      </x:c>
      <x:c r="G6" s="12" t="n">
        <x:v>0</x:v>
      </x:c>
      <x:c r="H6" s="12" t="n">
        <x:v>0</x:v>
      </x:c>
      <x:c r="I6" s="12" t="n">
        <x:v>0</x:v>
      </x:c>
      <x:c r="J6" s="12" t="n">
        <x:v>-10</x:v>
      </x:c>
      <x:c r="K6" s="12" t="n">
        <x:v>-10</x:v>
      </x:c>
      <x:c r="L6" s="12" t="n">
        <x:v>0</x:v>
      </x:c>
      <x:c r="M6" s="12" t="n">
        <x:v>10</x:v>
      </x:c>
      <x:c r="N6" s="12" t="n">
        <x:v>0</x:v>
      </x:c>
      <x:c r="O6" s="12" t="n">
        <x:v>0</x:v>
      </x:c>
      <x:c r="P6" s="12" t="n">
        <x:v>0</x:v>
      </x:c>
      <x:c r="Q6" s="12" t="n">
        <x:v>0</x:v>
      </x:c>
      <x:c r="R6" s="12" t="n">
        <x:v>10</x:v>
      </x:c>
      <x:c r="S6" s="12" t="n">
        <x:v>0</x:v>
      </x:c>
      <x:c r="T6" s="12" t="str">
        <x:v>Poke+10 / FightTempo-10 / Mobility+10 / Control-10 / Execution+10</x:v>
      </x:c>
      <x:c r="U6" s="12" t="str">
        <x:v>極長射程・高単発火力と逃げ性能。Poke/Execution/Mobilityを強調。</x:v>
      </x:c>
      <x:c r="V6" s="12" t="str">
        <x:v>https://wikiwiki.jp/poke-unite/%E3%82%A4%E3%83%B3%E3%83%86%E3%83%AC%E3%82%AA%E3%83%B3</x:v>
      </x:c>
      <x:c r="W6" s="12" t="str">
        <x:v>https://wikiwiki.jp/poke-unite/%E4%B8%80%E8%A6%A7</x:v>
      </x:c>
      <x:c r="X6" s="12" t="str">
        <x:v>https://uniteapi.dev/jp/meta</x:v>
      </x:c>
    </x:row>
    <x:row r="7">
      <x:c r="A7" s="12" t="str">
        <x:v>インテレオン-2</x:v>
      </x:c>
      <x:c r="B7" s="12" t="str">
        <x:v>インテレオン</x:v>
      </x:c>
      <x:c r="C7" s="12" t="str">
        <x:v>アクアブレイク</x:v>
      </x:c>
      <x:c r="D7" s="12" t="str">
        <x:v>BattleMage</x:v>
      </x:c>
      <x:c r="E7" s="12" t="n">
        <x:v>-10</x:v>
      </x:c>
      <x:c r="F7" s="12" t="n">
        <x:v>-5</x:v>
      </x:c>
      <x:c r="G7" s="12" t="n">
        <x:v>-5</x:v>
      </x:c>
      <x:c r="H7" s="12" t="n">
        <x:v>-5</x:v>
      </x:c>
      <x:c r="I7" s="12" t="n">
        <x:v>-10</x:v>
      </x:c>
      <x:c r="J7" s="12" t="n">
        <x:v>5</x:v>
      </x:c>
      <x:c r="K7" s="12" t="n">
        <x:v>-10</x:v>
      </x:c>
      <x:c r="L7" s="12" t="n">
        <x:v>-5</x:v>
      </x:c>
      <x:c r="M7" s="12" t="n">
        <x:v>0</x:v>
      </x:c>
      <x:c r="N7" s="12" t="n">
        <x:v>0</x:v>
      </x:c>
      <x:c r="O7" s="12" t="n">
        <x:v>5</x:v>
      </x:c>
      <x:c r="P7" s="12" t="n">
        <x:v>5</x:v>
      </x:c>
      <x:c r="Q7" s="12" t="n">
        <x:v>0</x:v>
      </x:c>
      <x:c r="R7" s="12" t="n">
        <x:v>5</x:v>
      </x:c>
      <x:c r="S7" s="12" t="n">
        <x:v>0</x:v>
      </x:c>
      <x:c r="T7" s="12" t="str">
        <x:v>なし（既存個体差の拡張のみ）</x:v>
      </x:c>
      <x:c r="U7" s="12" t="str">
        <x:v>Wikiのロール・長所短所と既存プロファイルの方向性を保ちながら、同アーキタイプ内の差を拡張。</x:v>
      </x:c>
      <x:c r="V7" s="12" t="str">
        <x:v>https://wikiwiki.jp/poke-unite/%E3%82%A4%E3%83%B3%E3%83%86%E3%83%AC%E3%82%AA%E3%83%B3</x:v>
      </x:c>
      <x:c r="W7" s="12" t="str">
        <x:v>https://wikiwiki.jp/poke-unite/%E4%B8%80%E8%A6%A7</x:v>
      </x:c>
      <x:c r="X7" s="12" t="str">
        <x:v>https://uniteapi.dev/jp/meta</x:v>
      </x:c>
    </x:row>
    <x:row r="8">
      <x:c r="A8" s="12" t="str">
        <x:v>ウッウ-1</x:v>
      </x:c>
      <x:c r="B8" s="12" t="str">
        <x:v>ウッウ</x:v>
      </x:c>
      <x:c r="C8" s="12" t="str">
        <x:v>なみのり</x:v>
      </x:c>
      <x:c r="D8" s="12" t="str">
        <x:v>BurstMage</x:v>
      </x:c>
      <x:c r="E8" s="12" t="n">
        <x:v>0</x:v>
      </x:c>
      <x:c r="F8" s="12" t="n">
        <x:v>0</x:v>
      </x:c>
      <x:c r="G8" s="12" t="n">
        <x:v>0</x:v>
      </x:c>
      <x:c r="H8" s="12" t="n">
        <x:v>-5</x:v>
      </x:c>
      <x:c r="I8" s="12" t="n">
        <x:v>5</x:v>
      </x:c>
      <x:c r="J8" s="12" t="n">
        <x:v>-5</x:v>
      </x:c>
      <x:c r="K8" s="12" t="n">
        <x:v>15</x:v>
      </x:c>
      <x:c r="L8" s="12" t="n">
        <x:v>0</x:v>
      </x:c>
      <x:c r="M8" s="12" t="n">
        <x:v>-10</x:v>
      </x:c>
      <x:c r="N8" s="12" t="n">
        <x:v>-5</x:v>
      </x:c>
      <x:c r="O8" s="12" t="n">
        <x:v>-15</x:v>
      </x:c>
      <x:c r="P8" s="12" t="n">
        <x:v>0</x:v>
      </x:c>
      <x:c r="Q8" s="12" t="n">
        <x:v>0</x:v>
      </x:c>
      <x:c r="R8" s="12" t="n">
        <x:v>10</x:v>
      </x:c>
      <x:c r="S8" s="12" t="n">
        <x:v>0</x:v>
      </x:c>
      <x:c r="T8" s="12" t="str">
        <x:v>Control+10 / FarmScaling-15 / Execution+10</x:v>
      </x:c>
      <x:c r="U8" s="12" t="str">
        <x:v>Wikiのロール・長所短所と既存プロファイルの方向性を保ちながら、同アーキタイプ内の差を拡張。</x:v>
      </x:c>
      <x:c r="V8" s="12" t="str">
        <x:v>https://wikiwiki.jp/poke-unite/%E3%82%A6%E3%83%83%E3%82%A6</x:v>
      </x:c>
      <x:c r="W8" s="12" t="str">
        <x:v>https://wikiwiki.jp/poke-unite/%E4%B8%80%E8%A6%A7</x:v>
      </x:c>
      <x:c r="X8" s="12" t="str">
        <x:v>https://uniteapi.dev/jp/meta</x:v>
      </x:c>
    </x:row>
    <x:row r="9">
      <x:c r="A9" s="12" t="str">
        <x:v>ウッウ-2</x:v>
      </x:c>
      <x:c r="B9" s="12" t="str">
        <x:v>ウッウ</x:v>
      </x:c>
      <x:c r="C9" s="12" t="str">
        <x:v>ダイビング</x:v>
      </x:c>
      <x:c r="D9" s="12" t="str">
        <x:v>BattleMage</x:v>
      </x:c>
      <x:c r="E9" s="12" t="n">
        <x:v>5</x:v>
      </x:c>
      <x:c r="F9" s="12" t="n">
        <x:v>5</x:v>
      </x:c>
      <x:c r="G9" s="12" t="n">
        <x:v>0</x:v>
      </x:c>
      <x:c r="H9" s="12" t="n">
        <x:v>0</x:v>
      </x:c>
      <x:c r="I9" s="12" t="n">
        <x:v>-10</x:v>
      </x:c>
      <x:c r="J9" s="12" t="n">
        <x:v>0</x:v>
      </x:c>
      <x:c r="K9" s="12" t="n">
        <x:v>5</x:v>
      </x:c>
      <x:c r="L9" s="12" t="n">
        <x:v>0</x:v>
      </x:c>
      <x:c r="M9" s="12" t="n">
        <x:v>5</x:v>
      </x:c>
      <x:c r="N9" s="12" t="n">
        <x:v>0</x:v>
      </x:c>
      <x:c r="O9" s="12" t="n">
        <x:v>-5</x:v>
      </x:c>
      <x:c r="P9" s="12" t="n">
        <x:v>0</x:v>
      </x:c>
      <x:c r="Q9" s="12" t="n">
        <x:v>0</x:v>
      </x:c>
      <x:c r="R9" s="12" t="n">
        <x:v>5</x:v>
      </x:c>
      <x:c r="S9" s="12" t="n">
        <x:v>0</x:v>
      </x:c>
      <x:c r="T9" s="12" t="str">
        <x:v>なし（既存個体差の拡張のみ）</x:v>
      </x:c>
      <x:c r="U9" s="12" t="str">
        <x:v>Wikiのロール・長所短所と既存プロファイルの方向性を保ちながら、同アーキタイプ内の差を拡張。</x:v>
      </x:c>
      <x:c r="V9" s="12" t="str">
        <x:v>https://wikiwiki.jp/poke-unite/%E3%82%A6%E3%83%83%E3%82%A6</x:v>
      </x:c>
      <x:c r="W9" s="12" t="str">
        <x:v>https://wikiwiki.jp/poke-unite/%E4%B8%80%E8%A6%A7</x:v>
      </x:c>
      <x:c r="X9" s="12" t="str">
        <x:v>https://uniteapi.dev/jp/meta</x:v>
      </x:c>
    </x:row>
    <x:row r="10">
      <x:c r="A10" s="12" t="str">
        <x:v>エースバーン-1</x:v>
      </x:c>
      <x:c r="B10" s="12" t="str">
        <x:v>エースバーン</x:v>
      </x:c>
      <x:c r="C10" s="12" t="str">
        <x:v>共通</x:v>
      </x:c>
      <x:c r="D10" s="12" t="str">
        <x:v>Marksman</x:v>
      </x:c>
      <x:c r="E10" s="12" t="n">
        <x:v>-10</x:v>
      </x:c>
      <x:c r="F10" s="12" t="n">
        <x:v>-5</x:v>
      </x:c>
      <x:c r="G10" s="12" t="n">
        <x:v>-5</x:v>
      </x:c>
      <x:c r="H10" s="12" t="n">
        <x:v>-5</x:v>
      </x:c>
      <x:c r="I10" s="12" t="n">
        <x:v>5</x:v>
      </x:c>
      <x:c r="J10" s="12" t="n">
        <x:v>15</x:v>
      </x:c>
      <x:c r="K10" s="12" t="n">
        <x:v>-10</x:v>
      </x:c>
      <x:c r="L10" s="12" t="n">
        <x:v>0</x:v>
      </x:c>
      <x:c r="M10" s="12" t="n">
        <x:v>10</x:v>
      </x:c>
      <x:c r="N10" s="12" t="n">
        <x:v>-5</x:v>
      </x:c>
      <x:c r="O10" s="12" t="n">
        <x:v>5</x:v>
      </x:c>
      <x:c r="P10" s="12" t="n">
        <x:v>10</x:v>
      </x:c>
      <x:c r="Q10" s="12" t="n">
        <x:v>5</x:v>
      </x:c>
      <x:c r="R10" s="12" t="n">
        <x:v>0</x:v>
      </x:c>
      <x:c r="S10" s="12" t="n">
        <x:v>0</x:v>
      </x:c>
      <x:c r="T10" s="12" t="str">
        <x:v>FightTempo+15 / ObjectiveSecure+15 / Mobility+10 / SelfSufficiency-5</x:v>
      </x:c>
      <x:c r="U10" s="12" t="str">
        <x:v>通常攻撃DPS・オブジェクト削り・ムーブ自衛。継続戦/取り切り/機動を強調。</x:v>
      </x:c>
      <x:c r="V10" s="12" t="str">
        <x:v>https://wikiwiki.jp/poke-unite/%E3%82%A8%E3%83%BC%E3%82%B9%E3%83%90%E3%83%BC%E3%83%B3</x:v>
      </x:c>
      <x:c r="W10" s="12" t="str">
        <x:v>https://wikiwiki.jp/poke-unite/%E4%B8%80%E8%A6%A7</x:v>
      </x:c>
      <x:c r="X10" s="12" t="str">
        <x:v>https://uniteapi.dev/jp/meta</x:v>
      </x:c>
    </x:row>
    <x:row r="11">
      <x:c r="A11" s="12" t="str">
        <x:v>エーフィ-1</x:v>
      </x:c>
      <x:c r="B11" s="12" t="str">
        <x:v>エーフィ</x:v>
      </x:c>
      <x:c r="C11" s="12" t="str">
        <x:v>共通</x:v>
      </x:c>
      <x:c r="D11" s="12" t="str">
        <x:v>BurstMage</x:v>
      </x:c>
      <x:c r="E11" s="12" t="n">
        <x:v>5</x:v>
      </x:c>
      <x:c r="F11" s="12" t="n">
        <x:v>10</x:v>
      </x:c>
      <x:c r="G11" s="12" t="n">
        <x:v>-5</x:v>
      </x:c>
      <x:c r="H11" s="12" t="n">
        <x:v>10</x:v>
      </x:c>
      <x:c r="I11" s="12" t="n">
        <x:v>-10</x:v>
      </x:c>
      <x:c r="J11" s="12" t="n">
        <x:v>10</x:v>
      </x:c>
      <x:c r="K11" s="12" t="n">
        <x:v>-10</x:v>
      </x:c>
      <x:c r="L11" s="12" t="n">
        <x:v>0</x:v>
      </x:c>
      <x:c r="M11" s="12" t="n">
        <x:v>10</x:v>
      </x:c>
      <x:c r="N11" s="12" t="n">
        <x:v>10</x:v>
      </x:c>
      <x:c r="O11" s="12" t="n">
        <x:v>0</x:v>
      </x:c>
      <x:c r="P11" s="12" t="n">
        <x:v>0</x:v>
      </x:c>
      <x:c r="Q11" s="12" t="n">
        <x:v>5</x:v>
      </x:c>
      <x:c r="R11" s="12" t="n">
        <x:v>0</x:v>
      </x:c>
      <x:c r="S11" s="12" t="n">
        <x:v>0</x:v>
      </x:c>
      <x:c r="T11" s="12" t="str">
        <x:v>なし（既存個体差の拡張のみ）</x:v>
      </x:c>
      <x:c r="U11" s="12" t="str">
        <x:v>Wikiのロール・長所短所と既存プロファイルの方向性を保ちながら、同アーキタイプ内の差を拡張。</x:v>
      </x:c>
      <x:c r="V11" s="12" t="str">
        <x:v>https://wikiwiki.jp/poke-unite/%E3%82%A8%E3%83%BC%E3%83%95%E3%82%A3</x:v>
      </x:c>
      <x:c r="W11" s="12" t="str">
        <x:v>https://wikiwiki.jp/poke-unite/%E4%B8%80%E8%A6%A7</x:v>
      </x:c>
      <x:c r="X11" s="12" t="str">
        <x:v>https://uniteapi.dev/jp/meta</x:v>
      </x:c>
    </x:row>
    <x:row r="12">
      <x:c r="A12" s="12" t="str">
        <x:v>グレイシア-1</x:v>
      </x:c>
      <x:c r="B12" s="12" t="str">
        <x:v>グレイシア</x:v>
      </x:c>
      <x:c r="C12" s="12" t="str">
        <x:v>共通</x:v>
      </x:c>
      <x:c r="D12" s="12" t="str">
        <x:v>Marksman</x:v>
      </x:c>
      <x:c r="E12" s="12" t="n">
        <x:v>5</x:v>
      </x:c>
      <x:c r="F12" s="12" t="n">
        <x:v>5</x:v>
      </x:c>
      <x:c r="G12" s="12" t="n">
        <x:v>0</x:v>
      </x:c>
      <x:c r="H12" s="12" t="n">
        <x:v>5</x:v>
      </x:c>
      <x:c r="I12" s="12" t="n">
        <x:v>0</x:v>
      </x:c>
      <x:c r="J12" s="12" t="n">
        <x:v>-5</x:v>
      </x:c>
      <x:c r="K12" s="12" t="n">
        <x:v>5</x:v>
      </x:c>
      <x:c r="L12" s="12" t="n">
        <x:v>0</x:v>
      </x:c>
      <x:c r="M12" s="12" t="n">
        <x:v>5</x:v>
      </x:c>
      <x:c r="N12" s="12" t="n">
        <x:v>5</x:v>
      </x:c>
      <x:c r="O12" s="12" t="n">
        <x:v>0</x:v>
      </x:c>
      <x:c r="P12" s="12" t="n">
        <x:v>-5</x:v>
      </x:c>
      <x:c r="Q12" s="12" t="n">
        <x:v>-5</x:v>
      </x:c>
      <x:c r="R12" s="12" t="n">
        <x:v>5</x:v>
      </x:c>
      <x:c r="S12" s="12" t="n">
        <x:v>0</x:v>
      </x:c>
      <x:c r="T12" s="12" t="str">
        <x:v>なし（既存個体差の拡張のみ）</x:v>
      </x:c>
      <x:c r="U12" s="12" t="str">
        <x:v>Wikiのロール・長所短所と既存プロファイルの方向性を保ちながら、同アーキタイプ内の差を拡張。</x:v>
      </x:c>
      <x:c r="V12" s="12" t="str">
        <x:v>https://wikiwiki.jp/poke-unite/%E3%82%B0%E3%83%AC%E3%82%A4%E3%82%B7%E3%82%A2</x:v>
      </x:c>
      <x:c r="W12" s="12" t="str">
        <x:v>https://wikiwiki.jp/poke-unite/%E4%B8%80%E8%A6%A7</x:v>
      </x:c>
      <x:c r="X12" s="12" t="str">
        <x:v>https://uniteapi.dev/jp/meta</x:v>
      </x:c>
    </x:row>
    <x:row r="13">
      <x:c r="A13" s="12" t="str">
        <x:v>グレンアルマ-1</x:v>
      </x:c>
      <x:c r="B13" s="12" t="str">
        <x:v>グレンアルマ</x:v>
      </x:c>
      <x:c r="C13" s="12" t="str">
        <x:v>ほのおのうず</x:v>
      </x:c>
      <x:c r="D13" s="12" t="str">
        <x:v>Juggernaut</x:v>
      </x:c>
      <x:c r="E13" s="12" t="n">
        <x:v>-5</x:v>
      </x:c>
      <x:c r="F13" s="12" t="n">
        <x:v>-5</x:v>
      </x:c>
      <x:c r="G13" s="12" t="n">
        <x:v>-10</x:v>
      </x:c>
      <x:c r="H13" s="12" t="n">
        <x:v>-10</x:v>
      </x:c>
      <x:c r="I13" s="12" t="n">
        <x:v>0</x:v>
      </x:c>
      <x:c r="J13" s="12" t="n">
        <x:v>0</x:v>
      </x:c>
      <x:c r="K13" s="12" t="n">
        <x:v>-5</x:v>
      </x:c>
      <x:c r="L13" s="12" t="n">
        <x:v>-5</x:v>
      </x:c>
      <x:c r="M13" s="12" t="n">
        <x:v>10</x:v>
      </x:c>
      <x:c r="N13" s="12" t="n">
        <x:v>0</x:v>
      </x:c>
      <x:c r="O13" s="12" t="n">
        <x:v>5</x:v>
      </x:c>
      <x:c r="P13" s="12" t="n">
        <x:v>5</x:v>
      </x:c>
      <x:c r="Q13" s="12" t="n">
        <x:v>0</x:v>
      </x:c>
      <x:c r="R13" s="12" t="n">
        <x:v>5</x:v>
      </x:c>
      <x:c r="S13" s="12" t="n">
        <x:v>0</x:v>
      </x:c>
      <x:c r="T13" s="12" t="str">
        <x:v>なし（既存個体差の拡張のみ）</x:v>
      </x:c>
      <x:c r="U13" s="12" t="str">
        <x:v>Wikiのロール・長所短所と既存プロファイルの方向性を保ちながら、同アーキタイプ内の差を拡張。</x:v>
      </x:c>
      <x:c r="V13" s="12" t="str">
        <x:v>https://wikiwiki.jp/poke-unite/%E3%82%B0%E3%83%AC%E3%83%B3%E3%82%A2%E3%83%AB%E3%83%9E</x:v>
      </x:c>
      <x:c r="W13" s="12" t="str">
        <x:v>https://wikiwiki.jp/poke-unite/%E4%B8%80%E8%A6%A7</x:v>
      </x:c>
      <x:c r="X13" s="12" t="str">
        <x:v>https://uniteapi.dev/jp/meta</x:v>
      </x:c>
    </x:row>
    <x:row r="14">
      <x:c r="A14" s="12" t="str">
        <x:v>グレンアルマ-2</x:v>
      </x:c>
      <x:c r="B14" s="12" t="str">
        <x:v>グレンアルマ</x:v>
      </x:c>
      <x:c r="C14" s="12" t="str">
        <x:v>アーマーキャノン</x:v>
      </x:c>
      <x:c r="D14" s="12" t="str">
        <x:v>BurstMage</x:v>
      </x:c>
      <x:c r="E14" s="12" t="n">
        <x:v>0</x:v>
      </x:c>
      <x:c r="F14" s="12" t="n">
        <x:v>0</x:v>
      </x:c>
      <x:c r="G14" s="12" t="n">
        <x:v>0</x:v>
      </x:c>
      <x:c r="H14" s="12" t="n">
        <x:v>5</x:v>
      </x:c>
      <x:c r="I14" s="12" t="n">
        <x:v>5</x:v>
      </x:c>
      <x:c r="J14" s="12" t="n">
        <x:v>-5</x:v>
      </x:c>
      <x:c r="K14" s="12" t="n">
        <x:v>10</x:v>
      </x:c>
      <x:c r="L14" s="12" t="n">
        <x:v>0</x:v>
      </x:c>
      <x:c r="M14" s="12" t="n">
        <x:v>0</x:v>
      </x:c>
      <x:c r="N14" s="12" t="n">
        <x:v>5</x:v>
      </x:c>
      <x:c r="O14" s="12" t="n">
        <x:v>0</x:v>
      </x:c>
      <x:c r="P14" s="12" t="n">
        <x:v>0</x:v>
      </x:c>
      <x:c r="Q14" s="12" t="n">
        <x:v>0</x:v>
      </x:c>
      <x:c r="R14" s="12" t="n">
        <x:v>0</x:v>
      </x:c>
      <x:c r="S14" s="12" t="n">
        <x:v>0</x:v>
      </x:c>
      <x:c r="T14" s="12" t="str">
        <x:v>Frontline+10 / Control+5 / SelfSufficiency+10</x:v>
      </x:c>
      <x:c r="U14" s="12" t="str">
        <x:v>アタック型として耐久高め、妨害豊富。純後衛メイジより前線/自己完結を上げる。</x:v>
      </x:c>
      <x:c r="V14" s="12" t="str">
        <x:v>https://wikiwiki.jp/poke-unite/%E3%82%B0%E3%83%AC%E3%83%B3%E3%82%A2%E3%83%AB%E3%83%9E</x:v>
      </x:c>
      <x:c r="W14" s="12" t="str">
        <x:v>https://wikiwiki.jp/poke-unite/%E4%B8%80%E8%A6%A7</x:v>
      </x:c>
      <x:c r="X14" s="12" t="str">
        <x:v>https://uniteapi.dev/jp/meta</x:v>
      </x:c>
    </x:row>
    <x:row r="15">
      <x:c r="A15" s="12" t="str">
        <x:v>ゲッコウガ-1</x:v>
      </x:c>
      <x:c r="B15" s="12" t="str">
        <x:v>ゲッコウガ</x:v>
      </x:c>
      <x:c r="C15" s="12" t="str">
        <x:v>みずしゅりけん</x:v>
      </x:c>
      <x:c r="D15" s="12" t="str">
        <x:v>Marksman</x:v>
      </x:c>
      <x:c r="E15" s="12" t="n">
        <x:v>-10</x:v>
      </x:c>
      <x:c r="F15" s="12" t="n">
        <x:v>-5</x:v>
      </x:c>
      <x:c r="G15" s="12" t="n">
        <x:v>-5</x:v>
      </x:c>
      <x:c r="H15" s="12" t="n">
        <x:v>-5</x:v>
      </x:c>
      <x:c r="I15" s="12" t="n">
        <x:v>5</x:v>
      </x:c>
      <x:c r="J15" s="12" t="n">
        <x:v>15</x:v>
      </x:c>
      <x:c r="K15" s="12" t="n">
        <x:v>-10</x:v>
      </x:c>
      <x:c r="L15" s="12" t="n">
        <x:v>0</x:v>
      </x:c>
      <x:c r="M15" s="12" t="n">
        <x:v>10</x:v>
      </x:c>
      <x:c r="N15" s="12" t="n">
        <x:v>5</x:v>
      </x:c>
      <x:c r="O15" s="12" t="n">
        <x:v>5</x:v>
      </x:c>
      <x:c r="P15" s="12" t="n">
        <x:v>5</x:v>
      </x:c>
      <x:c r="Q15" s="12" t="n">
        <x:v>5</x:v>
      </x:c>
      <x:c r="R15" s="12" t="n">
        <x:v>10</x:v>
      </x:c>
      <x:c r="S15" s="12" t="n">
        <x:v>0</x:v>
      </x:c>
      <x:c r="T15" s="12" t="str">
        <x:v>FightTempo+10 / Mobility+10 / SelfSufficiency+10 / Execution+10</x:v>
      </x:c>
      <x:c r="U15" s="12" t="str">
        <x:v>遠近両用AAと戦闘距離の切替、高い操作難度。エースバーンより自己完結/操作を上げる。</x:v>
      </x:c>
      <x:c r="V15" s="12" t="str">
        <x:v>https://wikiwiki.jp/poke-unite/%E3%82%B2%E3%83%83%E3%82%B3%E3%82%A6%E3%82%AC</x:v>
      </x:c>
      <x:c r="W15" s="12" t="str">
        <x:v>https://wikiwiki.jp/poke-unite/%E4%B8%80%E8%A6%A7</x:v>
      </x:c>
      <x:c r="X15" s="12" t="str">
        <x:v>https://uniteapi.dev/jp/meta</x:v>
      </x:c>
    </x:row>
    <x:row r="16">
      <x:c r="A16" s="12" t="str">
        <x:v>ゲッコウガ-2</x:v>
      </x:c>
      <x:c r="B16" s="12" t="str">
        <x:v>ゲッコウガ</x:v>
      </x:c>
      <x:c r="C16" s="12" t="str">
        <x:v>なみのり</x:v>
      </x:c>
      <x:c r="D16" s="12" t="str">
        <x:v>Assassin</x:v>
      </x:c>
      <x:c r="E16" s="12" t="n">
        <x:v>0</x:v>
      </x:c>
      <x:c r="F16" s="12" t="n">
        <x:v>0</x:v>
      </x:c>
      <x:c r="G16" s="12" t="n">
        <x:v>-5</x:v>
      </x:c>
      <x:c r="H16" s="12" t="n">
        <x:v>0</x:v>
      </x:c>
      <x:c r="I16" s="12" t="n">
        <x:v>0</x:v>
      </x:c>
      <x:c r="J16" s="12" t="n">
        <x:v>-10</x:v>
      </x:c>
      <x:c r="K16" s="12" t="n">
        <x:v>0</x:v>
      </x:c>
      <x:c r="L16" s="12" t="n">
        <x:v>0</x:v>
      </x:c>
      <x:c r="M16" s="12" t="n">
        <x:v>0</x:v>
      </x:c>
      <x:c r="N16" s="12" t="n">
        <x:v>0</x:v>
      </x:c>
      <x:c r="O16" s="12" t="n">
        <x:v>0</x:v>
      </x:c>
      <x:c r="P16" s="12" t="n">
        <x:v>10</x:v>
      </x:c>
      <x:c r="Q16" s="12" t="n">
        <x:v>0</x:v>
      </x:c>
      <x:c r="R16" s="12" t="n">
        <x:v>10</x:v>
      </x:c>
      <x:c r="S16" s="12" t="n">
        <x:v>0</x:v>
      </x:c>
      <x:c r="T16" s="12" t="str">
        <x:v>Mobility+10 / FightTempo-15 / Execution+10</x:v>
      </x:c>
      <x:c r="U16" s="12" t="str">
        <x:v>Wikiのロール・長所短所と既存プロファイルの方向性を保ちながら、同アーキタイプ内の差を拡張。</x:v>
      </x:c>
      <x:c r="V16" s="12" t="str">
        <x:v>https://wikiwiki.jp/poke-unite/%E3%82%B2%E3%83%83%E3%82%B3%E3%82%A6%E3%82%AC</x:v>
      </x:c>
      <x:c r="W16" s="12" t="str">
        <x:v>https://wikiwiki.jp/poke-unite/%E4%B8%80%E8%A6%A7</x:v>
      </x:c>
      <x:c r="X16" s="12" t="str">
        <x:v>https://uniteapi.dev/jp/meta</x:v>
      </x:c>
    </x:row>
    <x:row r="17">
      <x:c r="A17" s="12" t="str">
        <x:v>サンダー-1</x:v>
      </x:c>
      <x:c r="B17" s="12" t="str">
        <x:v>サンダー</x:v>
      </x:c>
      <x:c r="C17" s="12" t="str">
        <x:v>共通</x:v>
      </x:c>
      <x:c r="D17" s="12" t="str">
        <x:v>BurstMage</x:v>
      </x:c>
      <x:c r="E17" s="12" t="n">
        <x:v>0</x:v>
      </x:c>
      <x:c r="F17" s="12" t="n">
        <x:v>0</x:v>
      </x:c>
      <x:c r="G17" s="12" t="n">
        <x:v>0</x:v>
      </x:c>
      <x:c r="H17" s="12" t="n">
        <x:v>-5</x:v>
      </x:c>
      <x:c r="I17" s="12" t="n">
        <x:v>5</x:v>
      </x:c>
      <x:c r="J17" s="12" t="n">
        <x:v>-5</x:v>
      </x:c>
      <x:c r="K17" s="12" t="n">
        <x:v>0</x:v>
      </x:c>
      <x:c r="L17" s="12" t="n">
        <x:v>0</x:v>
      </x:c>
      <x:c r="M17" s="12" t="n">
        <x:v>-10</x:v>
      </x:c>
      <x:c r="N17" s="12" t="n">
        <x:v>-5</x:v>
      </x:c>
      <x:c r="O17" s="12" t="n">
        <x:v>0</x:v>
      </x:c>
      <x:c r="P17" s="12" t="n">
        <x:v>0</x:v>
      </x:c>
      <x:c r="Q17" s="12" t="n">
        <x:v>0</x:v>
      </x:c>
      <x:c r="R17" s="12" t="n">
        <x:v>0</x:v>
      </x:c>
      <x:c r="S17" s="12" t="n">
        <x:v>0</x:v>
      </x:c>
      <x:c r="T17" s="12" t="str">
        <x:v>なし（既存個体差の拡張のみ）</x:v>
      </x:c>
      <x:c r="U17" s="12" t="str">
        <x:v>Wikiのロール・長所短所と既存プロファイルの方向性を保ちながら、同アーキタイプ内の差を拡張。</x:v>
      </x:c>
      <x:c r="V17" s="12" t="str">
        <x:v>https://wikiwiki.jp/poke-unite/%E3%82%B5%E3%83%B3%E3%83%80%E3%83%BC</x:v>
      </x:c>
      <x:c r="W17" s="12" t="str">
        <x:v>https://wikiwiki.jp/poke-unite/%E4%B8%80%E8%A6%A7</x:v>
      </x:c>
      <x:c r="X17" s="12" t="str">
        <x:v>https://uniteapi.dev/jp/meta</x:v>
      </x:c>
    </x:row>
    <x:row r="18">
      <x:c r="A18" s="12" t="str">
        <x:v>サーナイト-1</x:v>
      </x:c>
      <x:c r="B18" s="12" t="str">
        <x:v>サーナイト</x:v>
      </x:c>
      <x:c r="C18" s="12" t="str">
        <x:v>共通</x:v>
      </x:c>
      <x:c r="D18" s="12" t="str">
        <x:v>BurstMage</x:v>
      </x:c>
      <x:c r="E18" s="12" t="n">
        <x:v>0</x:v>
      </x:c>
      <x:c r="F18" s="12" t="n">
        <x:v>0</x:v>
      </x:c>
      <x:c r="G18" s="12" t="n">
        <x:v>0</x:v>
      </x:c>
      <x:c r="H18" s="12" t="n">
        <x:v>-5</x:v>
      </x:c>
      <x:c r="I18" s="12" t="n">
        <x:v>5</x:v>
      </x:c>
      <x:c r="J18" s="12" t="n">
        <x:v>-15</x:v>
      </x:c>
      <x:c r="K18" s="12" t="n">
        <x:v>5</x:v>
      </x:c>
      <x:c r="L18" s="12" t="n">
        <x:v>0</x:v>
      </x:c>
      <x:c r="M18" s="12" t="n">
        <x:v>0</x:v>
      </x:c>
      <x:c r="N18" s="12" t="n">
        <x:v>-15</x:v>
      </x:c>
      <x:c r="O18" s="12" t="n">
        <x:v>10</x:v>
      </x:c>
      <x:c r="P18" s="12" t="n">
        <x:v>0</x:v>
      </x:c>
      <x:c r="Q18" s="12" t="n">
        <x:v>0</x:v>
      </x:c>
      <x:c r="R18" s="12" t="n">
        <x:v>0</x:v>
      </x:c>
      <x:c r="S18" s="12" t="n">
        <x:v>0</x:v>
      </x:c>
      <x:c r="T18" s="12" t="str">
        <x:v>FightTempo-10 / Control+5 / SelfSufficiency-15 / FarmScaling+10</x:v>
      </x:c>
      <x:c r="U18" s="12" t="str">
        <x:v>広範囲高火力・爆発力が高い一方、単騎性能が低く味方依存。瞬間寄り・低自己完結へ。</x:v>
      </x:c>
      <x:c r="V18" s="12" t="str">
        <x:v>https://wikiwiki.jp/poke-unite/%E3%82%B5%E3%83%BC%E3%83%8A%E3%82%A4%E3%83%88</x:v>
      </x:c>
      <x:c r="W18" s="12" t="str">
        <x:v>https://wikiwiki.jp/poke-unite/%E4%B8%80%E8%A6%A7</x:v>
      </x:c>
      <x:c r="X18" s="12" t="str">
        <x:v>https://uniteapi.dev/jp/meta</x:v>
      </x:c>
    </x:row>
    <x:row r="19">
      <x:c r="A19" s="12" t="str">
        <x:v>シャンデラ-1</x:v>
      </x:c>
      <x:c r="B19" s="12" t="str">
        <x:v>シャンデラ</x:v>
      </x:c>
      <x:c r="C19" s="12" t="str">
        <x:v>共通</x:v>
      </x:c>
      <x:c r="D19" s="12" t="str">
        <x:v>BurstMage</x:v>
      </x:c>
      <x:c r="E19" s="12" t="n">
        <x:v>0</x:v>
      </x:c>
      <x:c r="F19" s="12" t="n">
        <x:v>0</x:v>
      </x:c>
      <x:c r="G19" s="12" t="n">
        <x:v>0</x:v>
      </x:c>
      <x:c r="H19" s="12" t="n">
        <x:v>-5</x:v>
      </x:c>
      <x:c r="I19" s="12" t="n">
        <x:v>5</x:v>
      </x:c>
      <x:c r="J19" s="12" t="n">
        <x:v>10</x:v>
      </x:c>
      <x:c r="K19" s="12" t="n">
        <x:v>15</x:v>
      </x:c>
      <x:c r="L19" s="12" t="n">
        <x:v>0</x:v>
      </x:c>
      <x:c r="M19" s="12" t="n">
        <x:v>0</x:v>
      </x:c>
      <x:c r="N19" s="12" t="n">
        <x:v>-15</x:v>
      </x:c>
      <x:c r="O19" s="12" t="n">
        <x:v>0</x:v>
      </x:c>
      <x:c r="P19" s="12" t="n">
        <x:v>0</x:v>
      </x:c>
      <x:c r="Q19" s="12" t="n">
        <x:v>0</x:v>
      </x:c>
      <x:c r="R19" s="12" t="n">
        <x:v>0</x:v>
      </x:c>
      <x:c r="S19" s="12" t="n">
        <x:v>5</x:v>
      </x:c>
      <x:c r="T19" s="12" t="str">
        <x:v>FightTempo+15 / Control+15 / SelfSufficiency-10 / Decision+5</x:v>
      </x:c>
      <x:c r="U19" s="12" t="str">
        <x:v>範囲火力の手数と広範囲妨害が特徴。サーナイトより継続寄り・制御寄りへ。</x:v>
      </x:c>
      <x:c r="V19" s="12" t="str">
        <x:v>https://wikiwiki.jp/poke-unite/%E3%82%B7%E3%83%A3%E3%83%B3%E3%83%87%E3%83%A9</x:v>
      </x:c>
      <x:c r="W19" s="12" t="str">
        <x:v>https://wikiwiki.jp/poke-unite/%E4%B8%80%E8%A6%A7</x:v>
      </x:c>
      <x:c r="X19" s="12" t="str">
        <x:v>https://uniteapi.dev/jp/meta</x:v>
      </x:c>
    </x:row>
    <x:row r="20">
      <x:c r="A20" s="12" t="str">
        <x:v>ジュナイパー-1</x:v>
      </x:c>
      <x:c r="B20" s="12" t="str">
        <x:v>ジュナイパー</x:v>
      </x:c>
      <x:c r="C20" s="12" t="str">
        <x:v>かげぬい</x:v>
      </x:c>
      <x:c r="D20" s="12" t="str">
        <x:v>Artillery</x:v>
      </x:c>
      <x:c r="E20" s="12" t="n">
        <x:v>0</x:v>
      </x:c>
      <x:c r="F20" s="12" t="n">
        <x:v>0</x:v>
      </x:c>
      <x:c r="G20" s="12" t="n">
        <x:v>0</x:v>
      </x:c>
      <x:c r="H20" s="12" t="n">
        <x:v>0</x:v>
      </x:c>
      <x:c r="I20" s="12" t="n">
        <x:v>0</x:v>
      </x:c>
      <x:c r="J20" s="12" t="n">
        <x:v>0</x:v>
      </x:c>
      <x:c r="K20" s="12" t="n">
        <x:v>0</x:v>
      </x:c>
      <x:c r="L20" s="12" t="n">
        <x:v>0</x:v>
      </x:c>
      <x:c r="M20" s="12" t="n">
        <x:v>-10</x:v>
      </x:c>
      <x:c r="N20" s="12" t="n">
        <x:v>-10</x:v>
      </x:c>
      <x:c r="O20" s="12" t="n">
        <x:v>10</x:v>
      </x:c>
      <x:c r="P20" s="12" t="n">
        <x:v>15</x:v>
      </x:c>
      <x:c r="Q20" s="12" t="n">
        <x:v>0</x:v>
      </x:c>
      <x:c r="R20" s="12" t="n">
        <x:v>5</x:v>
      </x:c>
      <x:c r="S20" s="12" t="n">
        <x:v>0</x:v>
      </x:c>
      <x:c r="T20" s="12" t="str">
        <x:v>Poke+10 / Mobility-10 / SelfSufficiency-10 / ObjectiveSecure+15 / FarmScaling+10</x:v>
      </x:c>
      <x:c r="U20" s="12" t="str">
        <x:v>長射程高火力＋高い対オブジェクト性能。一方で自衛性能が最低クラス。</x:v>
      </x:c>
      <x:c r="V20" s="12" t="str">
        <x:v>https://wikiwiki.jp/poke-unite/%E3%82%B8%E3%83%A5%E3%83%8A%E3%82%A4%E3%83%91%E3%83%BC</x:v>
      </x:c>
      <x:c r="W20" s="12" t="str">
        <x:v>https://wikiwiki.jp/poke-unite/%E4%B8%80%E8%A6%A7</x:v>
      </x:c>
      <x:c r="X20" s="12" t="str">
        <x:v>https://uniteapi.dev/jp/meta</x:v>
      </x:c>
    </x:row>
    <x:row r="21">
      <x:c r="A21" s="12" t="str">
        <x:v>ジュナイパー-2</x:v>
      </x:c>
      <x:c r="B21" s="12" t="str">
        <x:v>ジュナイパー</x:v>
      </x:c>
      <x:c r="C21" s="12" t="str">
        <x:v>はっぱカッター</x:v>
      </x:c>
      <x:c r="D21" s="12" t="str">
        <x:v>Marksman</x:v>
      </x:c>
      <x:c r="E21" s="12" t="n">
        <x:v>-10</x:v>
      </x:c>
      <x:c r="F21" s="12" t="n">
        <x:v>-5</x:v>
      </x:c>
      <x:c r="G21" s="12" t="n">
        <x:v>-5</x:v>
      </x:c>
      <x:c r="H21" s="12" t="n">
        <x:v>-5</x:v>
      </x:c>
      <x:c r="I21" s="12" t="n">
        <x:v>-5</x:v>
      </x:c>
      <x:c r="J21" s="12" t="n">
        <x:v>15</x:v>
      </x:c>
      <x:c r="K21" s="12" t="n">
        <x:v>-10</x:v>
      </x:c>
      <x:c r="L21" s="12" t="n">
        <x:v>0</x:v>
      </x:c>
      <x:c r="M21" s="12" t="n">
        <x:v>-15</x:v>
      </x:c>
      <x:c r="N21" s="12" t="n">
        <x:v>-10</x:v>
      </x:c>
      <x:c r="O21" s="12" t="n">
        <x:v>5</x:v>
      </x:c>
      <x:c r="P21" s="12" t="n">
        <x:v>10</x:v>
      </x:c>
      <x:c r="Q21" s="12" t="n">
        <x:v>5</x:v>
      </x:c>
      <x:c r="R21" s="12" t="n">
        <x:v>0</x:v>
      </x:c>
      <x:c r="S21" s="12" t="n">
        <x:v>0</x:v>
      </x:c>
      <x:c r="T21" s="12" t="str">
        <x:v>FightTempo+15 / ObjectiveSecure+15 / Mobility-15 / SelfSufficiency-10</x:v>
      </x:c>
      <x:c r="U21" s="12" t="str">
        <x:v>Wikiのロール・長所短所と既存プロファイルの方向性を保ちながら、同アーキタイプ内の差を拡張。</x:v>
      </x:c>
      <x:c r="V21" s="12" t="str">
        <x:v>https://wikiwiki.jp/poke-unite/%E3%82%B8%E3%83%A5%E3%83%8A%E3%82%A4%E3%83%91%E3%83%BC</x:v>
      </x:c>
      <x:c r="W21" s="12" t="str">
        <x:v>https://wikiwiki.jp/poke-unite/%E4%B8%80%E8%A6%A7</x:v>
      </x:c>
      <x:c r="X21" s="12" t="str">
        <x:v>https://uniteapi.dev/jp/meta</x:v>
      </x:c>
    </x:row>
    <x:row r="22">
      <x:c r="A22" s="12" t="str">
        <x:v>ジュラルドン-1</x:v>
      </x:c>
      <x:c r="B22" s="12" t="str">
        <x:v>ジュラルドン</x:v>
      </x:c>
      <x:c r="C22" s="12" t="str">
        <x:v>共通</x:v>
      </x:c>
      <x:c r="D22" s="12" t="str">
        <x:v>Marksman</x:v>
      </x:c>
      <x:c r="E22" s="12" t="n">
        <x:v>0</x:v>
      </x:c>
      <x:c r="F22" s="12" t="n">
        <x:v>-5</x:v>
      </x:c>
      <x:c r="G22" s="12" t="n">
        <x:v>0</x:v>
      </x:c>
      <x:c r="H22" s="12" t="n">
        <x:v>-5</x:v>
      </x:c>
      <x:c r="I22" s="12" t="n">
        <x:v>10</x:v>
      </x:c>
      <x:c r="J22" s="12" t="n">
        <x:v>-10</x:v>
      </x:c>
      <x:c r="K22" s="12" t="n">
        <x:v>10</x:v>
      </x:c>
      <x:c r="L22" s="12" t="n">
        <x:v>0</x:v>
      </x:c>
      <x:c r="M22" s="12" t="n">
        <x:v>-10</x:v>
      </x:c>
      <x:c r="N22" s="12" t="n">
        <x:v>-5</x:v>
      </x:c>
      <x:c r="O22" s="12" t="n">
        <x:v>0</x:v>
      </x:c>
      <x:c r="P22" s="12" t="n">
        <x:v>0</x:v>
      </x:c>
      <x:c r="Q22" s="12" t="n">
        <x:v>-10</x:v>
      </x:c>
      <x:c r="R22" s="12" t="n">
        <x:v>10</x:v>
      </x:c>
      <x:c r="S22" s="12" t="n">
        <x:v>5</x:v>
      </x:c>
      <x:c r="T22" s="12" t="str">
        <x:v>なし（既存個体差の拡張のみ）</x:v>
      </x:c>
      <x:c r="U22" s="12" t="str">
        <x:v>Wikiのロール・長所短所と既存プロファイルの方向性を保ちながら、同アーキタイプ内の差を拡張。</x:v>
      </x:c>
      <x:c r="V22" s="12" t="str">
        <x:v>https://wikiwiki.jp/poke-unite/%E3%82%B8%E3%83%A5%E3%83%A9%E3%83%AB%E3%83%89%E3%83%B3</x:v>
      </x:c>
      <x:c r="W22" s="12" t="str">
        <x:v>https://wikiwiki.jp/poke-unite/%E4%B8%80%E8%A6%A7</x:v>
      </x:c>
      <x:c r="X22" s="12" t="str">
        <x:v>https://uniteapi.dev/jp/meta</x:v>
      </x:c>
    </x:row>
    <x:row r="23">
      <x:c r="A23" s="12" t="str">
        <x:v>ドラパルト-1</x:v>
      </x:c>
      <x:c r="B23" s="12" t="str">
        <x:v>ドラパルト</x:v>
      </x:c>
      <x:c r="C23" s="12" t="str">
        <x:v>りゅうのまい</x:v>
      </x:c>
      <x:c r="D23" s="12" t="str">
        <x:v>Marksman</x:v>
      </x:c>
      <x:c r="E23" s="12" t="n">
        <x:v>10</x:v>
      </x:c>
      <x:c r="F23" s="12" t="n">
        <x:v>10</x:v>
      </x:c>
      <x:c r="G23" s="12" t="n">
        <x:v>-5</x:v>
      </x:c>
      <x:c r="H23" s="12" t="n">
        <x:v>10</x:v>
      </x:c>
      <x:c r="I23" s="12" t="n">
        <x:v>-10</x:v>
      </x:c>
      <x:c r="J23" s="12" t="n">
        <x:v>0</x:v>
      </x:c>
      <x:c r="K23" s="12" t="n">
        <x:v>0</x:v>
      </x:c>
      <x:c r="L23" s="12" t="n">
        <x:v>0</x:v>
      </x:c>
      <x:c r="M23" s="12" t="n">
        <x:v>10</x:v>
      </x:c>
      <x:c r="N23" s="12" t="n">
        <x:v>5</x:v>
      </x:c>
      <x:c r="O23" s="12" t="n">
        <x:v>0</x:v>
      </x:c>
      <x:c r="P23" s="12" t="n">
        <x:v>-5</x:v>
      </x:c>
      <x:c r="Q23" s="12" t="n">
        <x:v>5</x:v>
      </x:c>
      <x:c r="R23" s="12" t="n">
        <x:v>5</x:v>
      </x:c>
      <x:c r="S23" s="12" t="n">
        <x:v>0</x:v>
      </x:c>
      <x:c r="T23" s="12" t="str">
        <x:v>なし（既存個体差の拡張のみ）</x:v>
      </x:c>
      <x:c r="U23" s="12" t="str">
        <x:v>Wikiのロール・長所短所と既存プロファイルの方向性を保ちながら、同アーキタイプ内の差を拡張。</x:v>
      </x:c>
      <x:c r="V23" s="12" t="str">
        <x:v>https://wikiwiki.jp/poke-unite/%E3%83%89%E3%83%A9%E3%83%91%E3%83%AB%E3%83%88</x:v>
      </x:c>
      <x:c r="W23" s="12" t="str">
        <x:v>https://wikiwiki.jp/poke-unite/%E4%B8%80%E8%A6%A7</x:v>
      </x:c>
      <x:c r="X23" s="12" t="str">
        <x:v>https://uniteapi.dev/jp/meta</x:v>
      </x:c>
    </x:row>
    <x:row r="24">
      <x:c r="A24" s="12" t="str">
        <x:v>ドラパルト-2</x:v>
      </x:c>
      <x:c r="B24" s="12" t="str">
        <x:v>ドラパルト</x:v>
      </x:c>
      <x:c r="C24" s="12" t="str">
        <x:v>ゴーストダイブ</x:v>
      </x:c>
      <x:c r="D24" s="12" t="str">
        <x:v>Assassin</x:v>
      </x:c>
      <x:c r="E24" s="12" t="n">
        <x:v>-10</x:v>
      </x:c>
      <x:c r="F24" s="12" t="n">
        <x:v>-10</x:v>
      </x:c>
      <x:c r="G24" s="12" t="n">
        <x:v>5</x:v>
      </x:c>
      <x:c r="H24" s="12" t="n">
        <x:v>-5</x:v>
      </x:c>
      <x:c r="I24" s="12" t="n">
        <x:v>10</x:v>
      </x:c>
      <x:c r="J24" s="12" t="n">
        <x:v>10</x:v>
      </x:c>
      <x:c r="K24" s="12" t="n">
        <x:v>-10</x:v>
      </x:c>
      <x:c r="L24" s="12" t="n">
        <x:v>0</x:v>
      </x:c>
      <x:c r="M24" s="12" t="n">
        <x:v>-10</x:v>
      </x:c>
      <x:c r="N24" s="12" t="n">
        <x:v>0</x:v>
      </x:c>
      <x:c r="O24" s="12" t="n">
        <x:v>5</x:v>
      </x:c>
      <x:c r="P24" s="12" t="n">
        <x:v>10</x:v>
      </x:c>
      <x:c r="Q24" s="12" t="n">
        <x:v>-5</x:v>
      </x:c>
      <x:c r="R24" s="12" t="n">
        <x:v>-10</x:v>
      </x:c>
      <x:c r="S24" s="12" t="n">
        <x:v>0</x:v>
      </x:c>
      <x:c r="T24" s="12" t="str">
        <x:v>なし（既存個体差の拡張のみ）</x:v>
      </x:c>
      <x:c r="U24" s="12" t="str">
        <x:v>Wikiのロール・長所短所と既存プロファイルの方向性を保ちながら、同アーキタイプ内の差を拡張。</x:v>
      </x:c>
      <x:c r="V24" s="12" t="str">
        <x:v>https://wikiwiki.jp/poke-unite/%E3%83%89%E3%83%A9%E3%83%91%E3%83%AB%E3%83%88</x:v>
      </x:c>
      <x:c r="W24" s="12" t="str">
        <x:v>https://wikiwiki.jp/poke-unite/%E4%B8%80%E8%A6%A7</x:v>
      </x:c>
      <x:c r="X24" s="12" t="str">
        <x:v>https://uniteapi.dev/jp/meta</x:v>
      </x:c>
    </x:row>
    <x:row r="25">
      <x:c r="A25" s="12" t="str">
        <x:v>ニンフィア-1</x:v>
      </x:c>
      <x:c r="B25" s="12" t="str">
        <x:v>ニンフィア</x:v>
      </x:c>
      <x:c r="C25" s="12" t="str">
        <x:v>共通</x:v>
      </x:c>
      <x:c r="D25" s="12" t="str">
        <x:v>BattleMage</x:v>
      </x:c>
      <x:c r="E25" s="12" t="n">
        <x:v>5</x:v>
      </x:c>
      <x:c r="F25" s="12" t="n">
        <x:v>10</x:v>
      </x:c>
      <x:c r="G25" s="12" t="n">
        <x:v>0</x:v>
      </x:c>
      <x:c r="H25" s="12" t="n">
        <x:v>10</x:v>
      </x:c>
      <x:c r="I25" s="12" t="n">
        <x:v>-10</x:v>
      </x:c>
      <x:c r="J25" s="12" t="n">
        <x:v>-5</x:v>
      </x:c>
      <x:c r="K25" s="12" t="n">
        <x:v>5</x:v>
      </x:c>
      <x:c r="L25" s="12" t="n">
        <x:v>0</x:v>
      </x:c>
      <x:c r="M25" s="12" t="n">
        <x:v>5</x:v>
      </x:c>
      <x:c r="N25" s="12" t="n">
        <x:v>5</x:v>
      </x:c>
      <x:c r="O25" s="12" t="n">
        <x:v>-5</x:v>
      </x:c>
      <x:c r="P25" s="12" t="n">
        <x:v>0</x:v>
      </x:c>
      <x:c r="Q25" s="12" t="n">
        <x:v>5</x:v>
      </x:c>
      <x:c r="R25" s="12" t="n">
        <x:v>-5</x:v>
      </x:c>
      <x:c r="S25" s="12" t="n">
        <x:v>0</x:v>
      </x:c>
      <x:c r="T25" s="12" t="str">
        <x:v>なし（既存個体差の拡張のみ）</x:v>
      </x:c>
      <x:c r="U25" s="12" t="str">
        <x:v>Wikiのロール・長所短所と既存プロファイルの方向性を保ちながら、同アーキタイプ内の差を拡張。</x:v>
      </x:c>
      <x:c r="V25" s="12" t="str">
        <x:v>https://wikiwiki.jp/poke-unite/%E3%83%8B%E3%83%B3%E3%83%95%E3%82%A3%E3%82%A2</x:v>
      </x:c>
      <x:c r="W25" s="12" t="str">
        <x:v>https://wikiwiki.jp/poke-unite/%E4%B8%80%E8%A6%A7</x:v>
      </x:c>
      <x:c r="X25" s="12" t="str">
        <x:v>https://uniteapi.dev/jp/meta</x:v>
      </x:c>
    </x:row>
    <x:row r="26">
      <x:c r="A26" s="12" t="str">
        <x:v>バクフーン-1</x:v>
      </x:c>
      <x:c r="B26" s="12" t="str">
        <x:v>バクフーン</x:v>
      </x:c>
      <x:c r="C26" s="12" t="str">
        <x:v>共通</x:v>
      </x:c>
      <x:c r="D26" s="12" t="str">
        <x:v>Diver</x:v>
      </x:c>
      <x:c r="E26" s="12" t="n">
        <x:v>0</x:v>
      </x:c>
      <x:c r="F26" s="12" t="n">
        <x:v>0</x:v>
      </x:c>
      <x:c r="G26" s="12" t="n">
        <x:v>0</x:v>
      </x:c>
      <x:c r="H26" s="12" t="n">
        <x:v>-10</x:v>
      </x:c>
      <x:c r="I26" s="12" t="n">
        <x:v>5</x:v>
      </x:c>
      <x:c r="J26" s="12" t="n">
        <x:v>-5</x:v>
      </x:c>
      <x:c r="K26" s="12" t="n">
        <x:v>0</x:v>
      </x:c>
      <x:c r="L26" s="12" t="n">
        <x:v>0</x:v>
      </x:c>
      <x:c r="M26" s="12" t="n">
        <x:v>0</x:v>
      </x:c>
      <x:c r="N26" s="12" t="n">
        <x:v>0</x:v>
      </x:c>
      <x:c r="O26" s="12" t="n">
        <x:v>-5</x:v>
      </x:c>
      <x:c r="P26" s="12" t="n">
        <x:v>5</x:v>
      </x:c>
      <x:c r="Q26" s="12" t="n">
        <x:v>0</x:v>
      </x:c>
      <x:c r="R26" s="12" t="n">
        <x:v>0</x:v>
      </x:c>
      <x:c r="S26" s="12" t="n">
        <x:v>0</x:v>
      </x:c>
      <x:c r="T26" s="12" t="str">
        <x:v>なし（既存個体差の拡張のみ）</x:v>
      </x:c>
      <x:c r="U26" s="12" t="str">
        <x:v>Wikiのロール・長所短所と既存プロファイルの方向性を保ちながら、同アーキタイプ内の差を拡張。</x:v>
      </x:c>
      <x:c r="V26" s="12" t="str">
        <x:v>https://wikiwiki.jp/poke-unite/%E3%83%90%E3%82%AF%E3%83%95%E3%83%BC%E3%83%B3</x:v>
      </x:c>
      <x:c r="W26" s="12" t="str">
        <x:v>https://wikiwiki.jp/poke-unite/%E4%B8%80%E8%A6%A7</x:v>
      </x:c>
      <x:c r="X26" s="12" t="str">
        <x:v>https://uniteapi.dev/jp/meta</x:v>
      </x:c>
    </x:row>
    <x:row r="27">
      <x:c r="A27" s="12" t="str">
        <x:v>ピカチュウ-1</x:v>
      </x:c>
      <x:c r="B27" s="12" t="str">
        <x:v>ピカチュウ</x:v>
      </x:c>
      <x:c r="C27" s="12" t="str">
        <x:v>共通</x:v>
      </x:c>
      <x:c r="D27" s="12" t="str">
        <x:v>BurstMage</x:v>
      </x:c>
      <x:c r="E27" s="12" t="n">
        <x:v>5</x:v>
      </x:c>
      <x:c r="F27" s="12" t="n">
        <x:v>5</x:v>
      </x:c>
      <x:c r="G27" s="12" t="n">
        <x:v>0</x:v>
      </x:c>
      <x:c r="H27" s="12" t="n">
        <x:v>5</x:v>
      </x:c>
      <x:c r="I27" s="12" t="n">
        <x:v>-10</x:v>
      </x:c>
      <x:c r="J27" s="12" t="n">
        <x:v>10</x:v>
      </x:c>
      <x:c r="K27" s="12" t="n">
        <x:v>5</x:v>
      </x:c>
      <x:c r="L27" s="12" t="n">
        <x:v>0</x:v>
      </x:c>
      <x:c r="M27" s="12" t="n">
        <x:v>5</x:v>
      </x:c>
      <x:c r="N27" s="12" t="n">
        <x:v>5</x:v>
      </x:c>
      <x:c r="O27" s="12" t="n">
        <x:v>-5</x:v>
      </x:c>
      <x:c r="P27" s="12" t="n">
        <x:v>0</x:v>
      </x:c>
      <x:c r="Q27" s="12" t="n">
        <x:v>0</x:v>
      </x:c>
      <x:c r="R27" s="12" t="n">
        <x:v>5</x:v>
      </x:c>
      <x:c r="S27" s="12" t="n">
        <x:v>5</x:v>
      </x:c>
      <x:c r="T27" s="12" t="str">
        <x:v>なし（既存個体差の拡張のみ）</x:v>
      </x:c>
      <x:c r="U27" s="12" t="str">
        <x:v>Wikiのロール・長所短所と既存プロファイルの方向性を保ちながら、同アーキタイプ内の差を拡張。</x:v>
      </x:c>
      <x:c r="V27" s="12" t="str">
        <x:v>https://wikiwiki.jp/poke-unite/%E3%83%94%E3%82%AB%E3%83%81%E3%83%A5%E3%82%A6</x:v>
      </x:c>
      <x:c r="W27" s="12" t="str">
        <x:v>https://wikiwiki.jp/poke-unite/%E4%B8%80%E8%A6%A7</x:v>
      </x:c>
      <x:c r="X27" s="12" t="str">
        <x:v>https://uniteapi.dev/jp/meta</x:v>
      </x:c>
    </x:row>
    <x:row r="28">
      <x:c r="A28" s="12" t="str">
        <x:v>フシギバナ-1</x:v>
      </x:c>
      <x:c r="B28" s="12" t="str">
        <x:v>フシギバナ</x:v>
      </x:c>
      <x:c r="C28" s="12" t="str">
        <x:v>ソーラービーム</x:v>
      </x:c>
      <x:c r="D28" s="12" t="str">
        <x:v>Artillery</x:v>
      </x:c>
      <x:c r="E28" s="12" t="n">
        <x:v>0</x:v>
      </x:c>
      <x:c r="F28" s="12" t="n">
        <x:v>0</x:v>
      </x:c>
      <x:c r="G28" s="12" t="n">
        <x:v>0</x:v>
      </x:c>
      <x:c r="H28" s="12" t="n">
        <x:v>0</x:v>
      </x:c>
      <x:c r="I28" s="12" t="n">
        <x:v>0</x:v>
      </x:c>
      <x:c r="J28" s="12" t="n">
        <x:v>0</x:v>
      </x:c>
      <x:c r="K28" s="12" t="n">
        <x:v>5</x:v>
      </x:c>
      <x:c r="L28" s="12" t="n">
        <x:v>0</x:v>
      </x:c>
      <x:c r="M28" s="12" t="n">
        <x:v>10</x:v>
      </x:c>
      <x:c r="N28" s="12" t="n">
        <x:v>0</x:v>
      </x:c>
      <x:c r="O28" s="12" t="n">
        <x:v>0</x:v>
      </x:c>
      <x:c r="P28" s="12" t="n">
        <x:v>15</x:v>
      </x:c>
      <x:c r="Q28" s="12" t="n">
        <x:v>0</x:v>
      </x:c>
      <x:c r="R28" s="12" t="n">
        <x:v>-5</x:v>
      </x:c>
      <x:c r="S28" s="12" t="n">
        <x:v>0</x:v>
      </x:c>
      <x:c r="T28" s="12" t="str">
        <x:v>ObjectiveSecure+10 / Control+5 / Mobility+5</x:v>
      </x:c>
      <x:c r="U28" s="12" t="str">
        <x:v>Wikiのロール・長所短所と既存プロファイルの方向性を保ちながら、同アーキタイプ内の差を拡張。</x:v>
      </x:c>
      <x:c r="V28" s="12" t="str">
        <x:v>https://wikiwiki.jp/poke-unite/%E3%83%95%E3%82%B7%E3%82%AE%E3%83%90%E3%83%8A</x:v>
      </x:c>
      <x:c r="W28" s="12" t="str">
        <x:v>https://wikiwiki.jp/poke-unite/%E4%B8%80%E8%A6%A7</x:v>
      </x:c>
      <x:c r="X28" s="12" t="str">
        <x:v>https://uniteapi.dev/jp/meta</x:v>
      </x:c>
    </x:row>
    <x:row r="29">
      <x:c r="A29" s="12" t="str">
        <x:v>フシギバナ-2</x:v>
      </x:c>
      <x:c r="B29" s="12" t="str">
        <x:v>フシギバナ</x:v>
      </x:c>
      <x:c r="C29" s="12" t="str">
        <x:v>はなびらのまい</x:v>
      </x:c>
      <x:c r="D29" s="12" t="str">
        <x:v>Juggernaut</x:v>
      </x:c>
      <x:c r="E29" s="12" t="n">
        <x:v>-5</x:v>
      </x:c>
      <x:c r="F29" s="12" t="n">
        <x:v>-5</x:v>
      </x:c>
      <x:c r="G29" s="12" t="n">
        <x:v>-10</x:v>
      </x:c>
      <x:c r="H29" s="12" t="n">
        <x:v>-10</x:v>
      </x:c>
      <x:c r="I29" s="12" t="n">
        <x:v>-5</x:v>
      </x:c>
      <x:c r="J29" s="12" t="n">
        <x:v>0</x:v>
      </x:c>
      <x:c r="K29" s="12" t="n">
        <x:v>-5</x:v>
      </x:c>
      <x:c r="L29" s="12" t="n">
        <x:v>-5</x:v>
      </x:c>
      <x:c r="M29" s="12" t="n">
        <x:v>10</x:v>
      </x:c>
      <x:c r="N29" s="12" t="n">
        <x:v>0</x:v>
      </x:c>
      <x:c r="O29" s="12" t="n">
        <x:v>5</x:v>
      </x:c>
      <x:c r="P29" s="12" t="n">
        <x:v>5</x:v>
      </x:c>
      <x:c r="Q29" s="12" t="n">
        <x:v>0</x:v>
      </x:c>
      <x:c r="R29" s="12" t="n">
        <x:v>5</x:v>
      </x:c>
      <x:c r="S29" s="12" t="n">
        <x:v>0</x:v>
      </x:c>
      <x:c r="T29" s="12" t="str">
        <x:v>なし（既存個体差の拡張のみ）</x:v>
      </x:c>
      <x:c r="U29" s="12" t="str">
        <x:v>Wikiのロール・長所短所と既存プロファイルの方向性を保ちながら、同アーキタイプ内の差を拡張。</x:v>
      </x:c>
      <x:c r="V29" s="12" t="str">
        <x:v>https://wikiwiki.jp/poke-unite/%E3%83%95%E3%82%B7%E3%82%AE%E3%83%90%E3%83%8A</x:v>
      </x:c>
      <x:c r="W29" s="12" t="str">
        <x:v>https://wikiwiki.jp/poke-unite/%E4%B8%80%E8%A6%A7</x:v>
      </x:c>
      <x:c r="X29" s="12" t="str">
        <x:v>https://uniteapi.dev/jp/meta</x:v>
      </x:c>
    </x:row>
    <x:row r="30">
      <x:c r="A30" s="12" t="str">
        <x:v>マフォクシー-1</x:v>
      </x:c>
      <x:c r="B30" s="12" t="str">
        <x:v>マフォクシー</x:v>
      </x:c>
      <x:c r="C30" s="12" t="str">
        <x:v>ほのおのうず</x:v>
      </x:c>
      <x:c r="D30" s="12" t="str">
        <x:v>BurstMage</x:v>
      </x:c>
      <x:c r="E30" s="12" t="n">
        <x:v>0</x:v>
      </x:c>
      <x:c r="F30" s="12" t="n">
        <x:v>0</x:v>
      </x:c>
      <x:c r="G30" s="12" t="n">
        <x:v>0</x:v>
      </x:c>
      <x:c r="H30" s="12" t="n">
        <x:v>-5</x:v>
      </x:c>
      <x:c r="I30" s="12" t="n">
        <x:v>5</x:v>
      </x:c>
      <x:c r="J30" s="12" t="n">
        <x:v>-5</x:v>
      </x:c>
      <x:c r="K30" s="12" t="n">
        <x:v>15</x:v>
      </x:c>
      <x:c r="L30" s="12" t="n">
        <x:v>0</x:v>
      </x:c>
      <x:c r="M30" s="12" t="n">
        <x:v>0</x:v>
      </x:c>
      <x:c r="N30" s="12" t="n">
        <x:v>-5</x:v>
      </x:c>
      <x:c r="O30" s="12" t="n">
        <x:v>10</x:v>
      </x:c>
      <x:c r="P30" s="12" t="n">
        <x:v>0</x:v>
      </x:c>
      <x:c r="Q30" s="12" t="n">
        <x:v>0</x:v>
      </x:c>
      <x:c r="R30" s="12" t="n">
        <x:v>0</x:v>
      </x:c>
      <x:c r="S30" s="12" t="n">
        <x:v>10</x:v>
      </x:c>
      <x:c r="T30" s="12" t="str">
        <x:v>Control+15 / Decision+10 / FarmScaling+10 / Frontline-5</x:v>
      </x:c>
      <x:c r="U30" s="12" t="str">
        <x:v>遠距離攻撃と技回転を活かす制御メイジ。Control/Decisionを強調。</x:v>
      </x:c>
      <x:c r="V30" s="12" t="str">
        <x:v>https://wikiwiki.jp/poke-unite/%E3%83%9E%E3%83%95%E3%82%A9%E3%82%AF%E3%82%B7%E3%83%BC</x:v>
      </x:c>
      <x:c r="W30" s="12" t="str">
        <x:v>https://wikiwiki.jp/poke-unite/%E4%B8%80%E8%A6%A7</x:v>
      </x:c>
      <x:c r="X30" s="12" t="str">
        <x:v>https://uniteapi.dev/jp/meta</x:v>
      </x:c>
    </x:row>
    <x:row r="31">
      <x:c r="A31" s="12" t="str">
        <x:v>マフォクシー-2</x:v>
      </x:c>
      <x:c r="B31" s="12" t="str">
        <x:v>マフォクシー</x:v>
      </x:c>
      <x:c r="C31" s="12" t="str">
        <x:v>ニトロチャージ</x:v>
      </x:c>
      <x:c r="D31" s="12" t="str">
        <x:v>BattleMage</x:v>
      </x:c>
      <x:c r="E31" s="12" t="n">
        <x:v>5</x:v>
      </x:c>
      <x:c r="F31" s="12" t="n">
        <x:v>0</x:v>
      </x:c>
      <x:c r="G31" s="12" t="n">
        <x:v>0</x:v>
      </x:c>
      <x:c r="H31" s="12" t="n">
        <x:v>0</x:v>
      </x:c>
      <x:c r="I31" s="12" t="n">
        <x:v>5</x:v>
      </x:c>
      <x:c r="J31" s="12" t="n">
        <x:v>0</x:v>
      </x:c>
      <x:c r="K31" s="12" t="n">
        <x:v>0</x:v>
      </x:c>
      <x:c r="L31" s="12" t="n">
        <x:v>0</x:v>
      </x:c>
      <x:c r="M31" s="12" t="n">
        <x:v>5</x:v>
      </x:c>
      <x:c r="N31" s="12" t="n">
        <x:v>0</x:v>
      </x:c>
      <x:c r="O31" s="12" t="n">
        <x:v>-5</x:v>
      </x:c>
      <x:c r="P31" s="12" t="n">
        <x:v>0</x:v>
      </x:c>
      <x:c r="Q31" s="12" t="n">
        <x:v>0</x:v>
      </x:c>
      <x:c r="R31" s="12" t="n">
        <x:v>5</x:v>
      </x:c>
      <x:c r="S31" s="12" t="n">
        <x:v>0</x:v>
      </x:c>
      <x:c r="T31" s="12" t="str">
        <x:v>なし（既存個体差の拡張のみ）</x:v>
      </x:c>
      <x:c r="U31" s="12" t="str">
        <x:v>Wikiのロール・長所短所と既存プロファイルの方向性を保ちながら、同アーキタイプ内の差を拡張。</x:v>
      </x:c>
      <x:c r="V31" s="12" t="str">
        <x:v>https://wikiwiki.jp/poke-unite/%E3%83%9E%E3%83%95%E3%82%A9%E3%82%AF%E3%82%B7%E3%83%BC</x:v>
      </x:c>
      <x:c r="W31" s="12" t="str">
        <x:v>https://wikiwiki.jp/poke-unite/%E4%B8%80%E8%A6%A7</x:v>
      </x:c>
      <x:c r="X31" s="12" t="str">
        <x:v>https://uniteapi.dev/jp/meta</x:v>
      </x:c>
    </x:row>
    <x:row r="32">
      <x:c r="A32" s="12" t="str">
        <x:v>ミュウ-1</x:v>
      </x:c>
      <x:c r="B32" s="12" t="str">
        <x:v>ミュウ</x:v>
      </x:c>
      <x:c r="C32" s="12" t="str">
        <x:v>共通</x:v>
      </x:c>
      <x:c r="D32" s="12" t="str">
        <x:v>Specialist</x:v>
      </x:c>
      <x:c r="E32" s="12" t="n">
        <x:v>-5</x:v>
      </x:c>
      <x:c r="F32" s="12" t="n">
        <x:v>-5</x:v>
      </x:c>
      <x:c r="G32" s="12" t="n">
        <x:v>-10</x:v>
      </x:c>
      <x:c r="H32" s="12" t="n">
        <x:v>-10</x:v>
      </x:c>
      <x:c r="I32" s="12" t="n">
        <x:v>10</x:v>
      </x:c>
      <x:c r="J32" s="12" t="n">
        <x:v>-5</x:v>
      </x:c>
      <x:c r="K32" s="12" t="n">
        <x:v>0</x:v>
      </x:c>
      <x:c r="L32" s="12" t="n">
        <x:v>-10</x:v>
      </x:c>
      <x:c r="M32" s="12" t="n">
        <x:v>-10</x:v>
      </x:c>
      <x:c r="N32" s="12" t="n">
        <x:v>10</x:v>
      </x:c>
      <x:c r="O32" s="12" t="n">
        <x:v>10</x:v>
      </x:c>
      <x:c r="P32" s="12" t="n">
        <x:v>10</x:v>
      </x:c>
      <x:c r="Q32" s="12" t="n">
        <x:v>-10</x:v>
      </x:c>
      <x:c r="R32" s="12" t="n">
        <x:v>10</x:v>
      </x:c>
      <x:c r="S32" s="12" t="n">
        <x:v>0</x:v>
      </x:c>
      <x:c r="T32" s="12" t="str">
        <x:v>なし（既存個体差の拡張のみ）</x:v>
      </x:c>
      <x:c r="U32" s="12" t="str">
        <x:v>Wikiのロール・長所短所と既存プロファイルの方向性を保ちながら、同アーキタイプ内の差を拡張。</x:v>
      </x:c>
      <x:c r="V32" s="12" t="str">
        <x:v>https://wikiwiki.jp/poke-unite/%E3%83%9F%E3%83%A5%E3%82%A6</x:v>
      </x:c>
      <x:c r="W32" s="12" t="str">
        <x:v>https://wikiwiki.jp/poke-unite/%E4%B8%80%E8%A6%A7</x:v>
      </x:c>
      <x:c r="X32" s="12" t="str">
        <x:v>https://uniteapi.dev/jp/meta</x:v>
      </x:c>
    </x:row>
    <x:row r="33">
      <x:c r="A33" s="12" t="str">
        <x:v>ミュウツー(Y)-1</x:v>
      </x:c>
      <x:c r="B33" s="12" t="str">
        <x:v>ミュウツー(Y)</x:v>
      </x:c>
      <x:c r="C33" s="12" t="str">
        <x:v>共通</x:v>
      </x:c>
      <x:c r="D33" s="12" t="str">
        <x:v>Marksman</x:v>
      </x:c>
      <x:c r="E33" s="12" t="n">
        <x:v>5</x:v>
      </x:c>
      <x:c r="F33" s="12" t="n">
        <x:v>5</x:v>
      </x:c>
      <x:c r="G33" s="12" t="n">
        <x:v>-5</x:v>
      </x:c>
      <x:c r="H33" s="12" t="n">
        <x:v>0</x:v>
      </x:c>
      <x:c r="I33" s="12" t="n">
        <x:v>0</x:v>
      </x:c>
      <x:c r="J33" s="12" t="n">
        <x:v>15</x:v>
      </x:c>
      <x:c r="K33" s="12" t="n">
        <x:v>15</x:v>
      </x:c>
      <x:c r="L33" s="12" t="n">
        <x:v>0</x:v>
      </x:c>
      <x:c r="M33" s="12" t="n">
        <x:v>0</x:v>
      </x:c>
      <x:c r="N33" s="12" t="n">
        <x:v>5</x:v>
      </x:c>
      <x:c r="O33" s="12" t="n">
        <x:v>0</x:v>
      </x:c>
      <x:c r="P33" s="12" t="n">
        <x:v>0</x:v>
      </x:c>
      <x:c r="Q33" s="12" t="n">
        <x:v>5</x:v>
      </x:c>
      <x:c r="R33" s="12" t="n">
        <x:v>-15</x:v>
      </x:c>
      <x:c r="S33" s="12" t="n">
        <x:v>0</x:v>
      </x:c>
      <x:c r="T33" s="12" t="str">
        <x:v>FightTempo+15 / Control+10 / Execution-15 / SelfSufficiency+5</x:v>
      </x:c>
      <x:c r="U33" s="12" t="str">
        <x:v>Wikiのロール・長所短所と既存プロファイルの方向性を保ちながら、同アーキタイプ内の差を拡張。</x:v>
      </x:c>
      <x:c r="V33" s="12" t="str">
        <x:v>https://wikiwiki.jp/poke-unite/%E3%83%9F%E3%83%A5%E3%82%A6%E3%83%84%E3%83%BC(Y)</x:v>
      </x:c>
      <x:c r="W33" s="12" t="str">
        <x:v>https://wikiwiki.jp/poke-unite/%E4%B8%80%E8%A6%A7</x:v>
      </x:c>
      <x:c r="X33" s="12" t="str">
        <x:v>https://uniteapi.dev/jp/meta</x:v>
      </x:c>
    </x:row>
    <x:row r="34">
      <x:c r="A34" s="12" t="str">
        <x:v>ミライドン-1</x:v>
      </x:c>
      <x:c r="B34" s="12" t="str">
        <x:v>ミライドン</x:v>
      </x:c>
      <x:c r="C34" s="12" t="str">
        <x:v>チャージビーム</x:v>
      </x:c>
      <x:c r="D34" s="12" t="str">
        <x:v>Artillery</x:v>
      </x:c>
      <x:c r="E34" s="12" t="n">
        <x:v>0</x:v>
      </x:c>
      <x:c r="F34" s="12" t="n">
        <x:v>0</x:v>
      </x:c>
      <x:c r="G34" s="12" t="n">
        <x:v>0</x:v>
      </x:c>
      <x:c r="H34" s="12" t="n">
        <x:v>0</x:v>
      </x:c>
      <x:c r="I34" s="12" t="n">
        <x:v>0</x:v>
      </x:c>
      <x:c r="J34" s="12" t="n">
        <x:v>10</x:v>
      </x:c>
      <x:c r="K34" s="12" t="n">
        <x:v>5</x:v>
      </x:c>
      <x:c r="L34" s="12" t="n">
        <x:v>0</x:v>
      </x:c>
      <x:c r="M34" s="12" t="n">
        <x:v>0</x:v>
      </x:c>
      <x:c r="N34" s="12" t="n">
        <x:v>0</x:v>
      </x:c>
      <x:c r="O34" s="12" t="n">
        <x:v>0</x:v>
      </x:c>
      <x:c r="P34" s="12" t="n">
        <x:v>0</x:v>
      </x:c>
      <x:c r="Q34" s="12" t="n">
        <x:v>0</x:v>
      </x:c>
      <x:c r="R34" s="12" t="n">
        <x:v>-5</x:v>
      </x:c>
      <x:c r="S34" s="12" t="n">
        <x:v>0</x:v>
      </x:c>
      <x:c r="T34" s="12" t="str">
        <x:v>なし（既存個体差の拡張のみ）</x:v>
      </x:c>
      <x:c r="U34" s="12" t="str">
        <x:v>Wikiのロール・長所短所と既存プロファイルの方向性を保ちながら、同アーキタイプ内の差を拡張。</x:v>
      </x:c>
      <x:c r="V34" s="12" t="str">
        <x:v>https://wikiwiki.jp/poke-unite/%E3%83%9F%E3%83%A9%E3%82%A4%E3%83%89%E3%83%B3</x:v>
      </x:c>
      <x:c r="W34" s="12" t="str">
        <x:v>https://wikiwiki.jp/poke-unite/%E4%B8%80%E8%A6%A7</x:v>
      </x:c>
      <x:c r="X34" s="12" t="str">
        <x:v>https://uniteapi.dev/jp/meta</x:v>
      </x:c>
    </x:row>
    <x:row r="35">
      <x:c r="A35" s="12" t="str">
        <x:v>ミライドン-2</x:v>
      </x:c>
      <x:c r="B35" s="12" t="str">
        <x:v>ミライドン</x:v>
      </x:c>
      <x:c r="C35" s="12" t="str">
        <x:v>イナズマドライブ</x:v>
      </x:c>
      <x:c r="D35" s="12" t="str">
        <x:v>Skirmisher</x:v>
      </x:c>
      <x:c r="E35" s="12" t="n">
        <x:v>0</x:v>
      </x:c>
      <x:c r="F35" s="12" t="n">
        <x:v>10</x:v>
      </x:c>
      <x:c r="G35" s="12" t="n">
        <x:v>-5</x:v>
      </x:c>
      <x:c r="H35" s="12" t="n">
        <x:v>-10</x:v>
      </x:c>
      <x:c r="I35" s="12" t="n">
        <x:v>-5</x:v>
      </x:c>
      <x:c r="J35" s="12" t="n">
        <x:v>-10</x:v>
      </x:c>
      <x:c r="K35" s="12" t="n">
        <x:v>-5</x:v>
      </x:c>
      <x:c r="L35" s="12" t="n">
        <x:v>0</x:v>
      </x:c>
      <x:c r="M35" s="12" t="n">
        <x:v>10</x:v>
      </x:c>
      <x:c r="N35" s="12" t="n">
        <x:v>-5</x:v>
      </x:c>
      <x:c r="O35" s="12" t="n">
        <x:v>-5</x:v>
      </x:c>
      <x:c r="P35" s="12" t="n">
        <x:v>5</x:v>
      </x:c>
      <x:c r="Q35" s="12" t="n">
        <x:v>5</x:v>
      </x:c>
      <x:c r="R35" s="12" t="n">
        <x:v>5</x:v>
      </x:c>
      <x:c r="S35" s="12" t="n">
        <x:v>5</x:v>
      </x:c>
      <x:c r="T35" s="12" t="str">
        <x:v>なし（既存個体差の拡張のみ）</x:v>
      </x:c>
      <x:c r="U35" s="12" t="str">
        <x:v>Wikiのロール・長所短所と既存プロファイルの方向性を保ちながら、同アーキタイプ内の差を拡張。</x:v>
      </x:c>
      <x:c r="V35" s="12" t="str">
        <x:v>https://wikiwiki.jp/poke-unite/%E3%83%9F%E3%83%A9%E3%82%A4%E3%83%89%E3%83%B3</x:v>
      </x:c>
      <x:c r="W35" s="12" t="str">
        <x:v>https://wikiwiki.jp/poke-unite/%E4%B8%80%E8%A6%A7</x:v>
      </x:c>
      <x:c r="X35" s="12" t="str">
        <x:v>https://uniteapi.dev/jp/meta</x:v>
      </x:c>
    </x:row>
    <x:row r="36">
      <x:c r="A36" s="12" t="str">
        <x:v>ラウドボーン-1</x:v>
      </x:c>
      <x:c r="B36" s="12" t="str">
        <x:v>ラウドボーン</x:v>
      </x:c>
      <x:c r="C36" s="12" t="str">
        <x:v>共通</x:v>
      </x:c>
      <x:c r="D36" s="12" t="str">
        <x:v>Artillery</x:v>
      </x:c>
      <x:c r="E36" s="12" t="n">
        <x:v>0</x:v>
      </x:c>
      <x:c r="F36" s="12" t="n">
        <x:v>0</x:v>
      </x:c>
      <x:c r="G36" s="12" t="n">
        <x:v>0</x:v>
      </x:c>
      <x:c r="H36" s="12" t="n">
        <x:v>0</x:v>
      </x:c>
      <x:c r="I36" s="12" t="n">
        <x:v>0</x:v>
      </x:c>
      <x:c r="J36" s="12" t="n">
        <x:v>-15</x:v>
      </x:c>
      <x:c r="K36" s="12" t="n">
        <x:v>0</x:v>
      </x:c>
      <x:c r="L36" s="12" t="n">
        <x:v>0</x:v>
      </x:c>
      <x:c r="M36" s="12" t="n">
        <x:v>-10</x:v>
      </x:c>
      <x:c r="N36" s="12" t="n">
        <x:v>5</x:v>
      </x:c>
      <x:c r="O36" s="12" t="n">
        <x:v>-5</x:v>
      </x:c>
      <x:c r="P36" s="12" t="n">
        <x:v>0</x:v>
      </x:c>
      <x:c r="Q36" s="12" t="n">
        <x:v>0</x:v>
      </x:c>
      <x:c r="R36" s="12" t="n">
        <x:v>-5</x:v>
      </x:c>
      <x:c r="S36" s="12" t="n">
        <x:v>0</x:v>
      </x:c>
      <x:c r="T36" s="12" t="str">
        <x:v>FightTempo-15 / Mobility-10 / FarmScaling-5 / SelfSufficiency+5</x:v>
      </x:c>
      <x:c r="U36" s="12" t="str">
        <x:v>Wikiのロール・長所短所と既存プロファイルの方向性を保ちながら、同アーキタイプ内の差を拡張。</x:v>
      </x:c>
      <x:c r="V36" s="12" t="str">
        <x:v>https://wikiwiki.jp/poke-unite/%E3%83%A9%E3%82%A6%E3%83%89%E3%83%9C%E3%83%BC%E3%83%B3</x:v>
      </x:c>
      <x:c r="W36" s="12" t="str">
        <x:v>https://wikiwiki.jp/poke-unite/%E4%B8%80%E8%A6%A7</x:v>
      </x:c>
      <x:c r="X36" s="12" t="str">
        <x:v>https://uniteapi.dev/jp/meta</x:v>
      </x:c>
    </x:row>
    <x:row r="37">
      <x:c r="A37" s="12" t="str">
        <x:v>ラティオス-1</x:v>
      </x:c>
      <x:c r="B37" s="12" t="str">
        <x:v>ラティオス</x:v>
      </x:c>
      <x:c r="C37" s="12" t="str">
        <x:v>共通</x:v>
      </x:c>
      <x:c r="D37" s="12" t="str">
        <x:v>BurstMage</x:v>
      </x:c>
      <x:c r="E37" s="12" t="n">
        <x:v>0</x:v>
      </x:c>
      <x:c r="F37" s="12" t="n">
        <x:v>0</x:v>
      </x:c>
      <x:c r="G37" s="12" t="n">
        <x:v>0</x:v>
      </x:c>
      <x:c r="H37" s="12" t="n">
        <x:v>-5</x:v>
      </x:c>
      <x:c r="I37" s="12" t="n">
        <x:v>0</x:v>
      </x:c>
      <x:c r="J37" s="12" t="n">
        <x:v>-5</x:v>
      </x:c>
      <x:c r="K37" s="12" t="n">
        <x:v>-5</x:v>
      </x:c>
      <x:c r="L37" s="12" t="n">
        <x:v>0</x:v>
      </x:c>
      <x:c r="M37" s="12" t="n">
        <x:v>10</x:v>
      </x:c>
      <x:c r="N37" s="12" t="n">
        <x:v>5</x:v>
      </x:c>
      <x:c r="O37" s="12" t="n">
        <x:v>5</x:v>
      </x:c>
      <x:c r="P37" s="12" t="n">
        <x:v>0</x:v>
      </x:c>
      <x:c r="Q37" s="12" t="n">
        <x:v>0</x:v>
      </x:c>
      <x:c r="R37" s="12" t="n">
        <x:v>0</x:v>
      </x:c>
      <x:c r="S37" s="12" t="n">
        <x:v>0</x:v>
      </x:c>
      <x:c r="T37" s="12" t="str">
        <x:v>なし（既存個体差の拡張のみ）</x:v>
      </x:c>
      <x:c r="U37" s="12" t="str">
        <x:v>Wikiのロール・長所短所と既存プロファイルの方向性を保ちながら、同アーキタイプ内の差を拡張。</x:v>
      </x:c>
      <x:c r="V37" s="12" t="str">
        <x:v>https://wikiwiki.jp/poke-unite/%E3%83%A9%E3%83%86%E3%82%A3%E3%82%AA%E3%82%B9</x:v>
      </x:c>
      <x:c r="W37" s="12" t="str">
        <x:v>https://wikiwiki.jp/poke-unite/%E4%B8%80%E8%A6%A7</x:v>
      </x:c>
      <x:c r="X37" s="12" t="str">
        <x:v>https://uniteapi.dev/jp/meta</x:v>
      </x:c>
    </x:row>
    <x:row r="38">
      <x:c r="A38" s="12" t="str">
        <x:v>レシラム-1</x:v>
      </x:c>
      <x:c r="B38" s="12" t="str">
        <x:v>レシラム</x:v>
      </x:c>
      <x:c r="C38" s="12" t="str">
        <x:v>共通</x:v>
      </x:c>
      <x:c r="D38" s="12" t="str">
        <x:v>BattleMage</x:v>
      </x:c>
      <x:c r="E38" s="12" t="n">
        <x:v>5</x:v>
      </x:c>
      <x:c r="F38" s="12" t="n">
        <x:v>0</x:v>
      </x:c>
      <x:c r="G38" s="12" t="n">
        <x:v>0</x:v>
      </x:c>
      <x:c r="H38" s="12" t="n">
        <x:v>0</x:v>
      </x:c>
      <x:c r="I38" s="12" t="n">
        <x:v>5</x:v>
      </x:c>
      <x:c r="J38" s="12" t="n">
        <x:v>0</x:v>
      </x:c>
      <x:c r="K38" s="12" t="n">
        <x:v>5</x:v>
      </x:c>
      <x:c r="L38" s="12" t="n">
        <x:v>0</x:v>
      </x:c>
      <x:c r="M38" s="12" t="n">
        <x:v>-5</x:v>
      </x:c>
      <x:c r="N38" s="12" t="n">
        <x:v>0</x:v>
      </x:c>
      <x:c r="O38" s="12" t="n">
        <x:v>5</x:v>
      </x:c>
      <x:c r="P38" s="12" t="n">
        <x:v>0</x:v>
      </x:c>
      <x:c r="Q38" s="12" t="n">
        <x:v>0</x:v>
      </x:c>
      <x:c r="R38" s="12" t="n">
        <x:v>-5</x:v>
      </x:c>
      <x:c r="S38" s="12" t="n">
        <x:v>0</x:v>
      </x:c>
      <x:c r="T38" s="12" t="str">
        <x:v>なし（既存個体差の拡張のみ）</x:v>
      </x:c>
      <x:c r="U38" s="12" t="str">
        <x:v>Wikiのロール・長所短所と既存プロファイルの方向性を保ちながら、同アーキタイプ内の差を拡張。</x:v>
      </x:c>
      <x:c r="V38" s="12" t="str">
        <x:v>https://wikiwiki.jp/poke-unite/%E3%83%AC%E3%82%B7%E3%83%A9%E3%83%A0</x:v>
      </x:c>
      <x:c r="W38" s="12" t="str">
        <x:v>https://wikiwiki.jp/poke-unite/%E4%B8%80%E8%A6%A7</x:v>
      </x:c>
      <x:c r="X38" s="12" t="str">
        <x:v>https://uniteapi.dev/jp/meta</x:v>
      </x:c>
    </x:row>
    <x:row r="39">
      <x:c r="A39" s="12" t="str">
        <x:v>ストリンダー-1</x:v>
      </x:c>
      <x:c r="B39" s="12" t="str">
        <x:v>ストリンダー</x:v>
      </x:c>
      <x:c r="C39" s="12" t="str">
        <x:v>共通</x:v>
      </x:c>
      <x:c r="D39" s="12" t="str">
        <x:v>Marksman</x:v>
      </x:c>
      <x:c r="E39" s="12" t="n">
        <x:v>5</x:v>
      </x:c>
      <x:c r="F39" s="12" t="n">
        <x:v>5</x:v>
      </x:c>
      <x:c r="G39" s="12" t="n">
        <x:v>-5</x:v>
      </x:c>
      <x:c r="H39" s="12" t="n">
        <x:v>0</x:v>
      </x:c>
      <x:c r="I39" s="12" t="n">
        <x:v>5</x:v>
      </x:c>
      <x:c r="J39" s="12" t="n">
        <x:v>0</x:v>
      </x:c>
      <x:c r="K39" s="12" t="n">
        <x:v>5</x:v>
      </x:c>
      <x:c r="L39" s="12" t="n">
        <x:v>0</x:v>
      </x:c>
      <x:c r="M39" s="12" t="n">
        <x:v>0</x:v>
      </x:c>
      <x:c r="N39" s="12" t="n">
        <x:v>0</x:v>
      </x:c>
      <x:c r="O39" s="12" t="n">
        <x:v>0</x:v>
      </x:c>
      <x:c r="P39" s="12" t="n">
        <x:v>0</x:v>
      </x:c>
      <x:c r="Q39" s="12" t="n">
        <x:v>5</x:v>
      </x:c>
      <x:c r="R39" s="12" t="n">
        <x:v>0</x:v>
      </x:c>
      <x:c r="S39" s="12" t="n">
        <x:v>5</x:v>
      </x:c>
      <x:c r="T39" s="12" t="str">
        <x:v>なし（既存個体差の拡張のみ）</x:v>
      </x:c>
      <x:c r="U39" s="12" t="str">
        <x:v>Wikiのロール・長所短所と既存プロファイルの方向性を保ちながら、同アーキタイプ内の差を拡張。</x:v>
      </x:c>
      <x:c r="V39" s="12" t="str">
        <x:v>https://www.pokemonunite.jp/ja/topics/news/20260924/</x:v>
      </x:c>
      <x:c r="W39" s="12" t="str">
        <x:v>https://wikiwiki.jp/poke-unite/%E4%B8%80%E8%A6%A7</x:v>
      </x:c>
      <x:c r="X39" s="12" t="str">
        <x:v>https://uniteapi.dev/jp/meta</x:v>
      </x:c>
    </x:row>
    <x:row r="40">
      <x:c r="A40" s="12" t="str">
        <x:v>アマージョ-1</x:v>
      </x:c>
      <x:c r="B40" s="12" t="str">
        <x:v>アマージョ</x:v>
      </x:c>
      <x:c r="C40" s="12" t="str">
        <x:v>共通</x:v>
      </x:c>
      <x:c r="D40" s="12" t="str">
        <x:v>Skirmisher</x:v>
      </x:c>
      <x:c r="E40" s="12" t="n">
        <x:v>0</x:v>
      </x:c>
      <x:c r="F40" s="12" t="n">
        <x:v>0</x:v>
      </x:c>
      <x:c r="G40" s="12" t="n">
        <x:v>0</x:v>
      </x:c>
      <x:c r="H40" s="12" t="n">
        <x:v>5</x:v>
      </x:c>
      <x:c r="I40" s="12" t="n">
        <x:v>0</x:v>
      </x:c>
      <x:c r="J40" s="12" t="n">
        <x:v>0</x:v>
      </x:c>
      <x:c r="K40" s="12" t="n">
        <x:v>-5</x:v>
      </x:c>
      <x:c r="L40" s="12" t="n">
        <x:v>0</x:v>
      </x:c>
      <x:c r="M40" s="12" t="n">
        <x:v>10</x:v>
      </x:c>
      <x:c r="N40" s="12" t="n">
        <x:v>5</x:v>
      </x:c>
      <x:c r="O40" s="12" t="n">
        <x:v>5</x:v>
      </x:c>
      <x:c r="P40" s="12" t="n">
        <x:v>0</x:v>
      </x:c>
      <x:c r="Q40" s="12" t="n">
        <x:v>0</x:v>
      </x:c>
      <x:c r="R40" s="12" t="n">
        <x:v>15</x:v>
      </x:c>
      <x:c r="S40" s="12" t="n">
        <x:v>0</x:v>
      </x:c>
      <x:c r="T40" s="12" t="str">
        <x:v>Mobility+10 / Execution+15 / SelfSufficiency+5 / Control-5</x:v>
      </x:c>
      <x:c r="U40" s="12" t="str">
        <x:v>Wikiのロール・長所短所と既存プロファイルの方向性を保ちながら、同アーキタイプ内の差を拡張。</x:v>
      </x:c>
      <x:c r="V40" s="12" t="str">
        <x:v>https://wikiwiki.jp/poke-unite/%E3%82%A2%E3%83%9E%E3%83%BC%E3%82%B8%E3%83%A7</x:v>
      </x:c>
      <x:c r="W40" s="12" t="str">
        <x:v>https://wikiwiki.jp/poke-unite/%E4%B8%80%E8%A6%A7</x:v>
      </x:c>
      <x:c r="X40" s="12" t="str">
        <x:v>https://uniteapi.dev/jp/meta</x:v>
      </x:c>
    </x:row>
    <x:row r="41">
      <x:c r="A41" s="12" t="str">
        <x:v>ウェーニバル-1</x:v>
      </x:c>
      <x:c r="B41" s="12" t="str">
        <x:v>ウェーニバル</x:v>
      </x:c>
      <x:c r="C41" s="12" t="str">
        <x:v>共通</x:v>
      </x:c>
      <x:c r="D41" s="12" t="str">
        <x:v>Skirmisher</x:v>
      </x:c>
      <x:c r="E41" s="12" t="n">
        <x:v>0</x:v>
      </x:c>
      <x:c r="F41" s="12" t="n">
        <x:v>0</x:v>
      </x:c>
      <x:c r="G41" s="12" t="n">
        <x:v>0</x:v>
      </x:c>
      <x:c r="H41" s="12" t="n">
        <x:v>5</x:v>
      </x:c>
      <x:c r="I41" s="12" t="n">
        <x:v>0</x:v>
      </x:c>
      <x:c r="J41" s="12" t="n">
        <x:v>15</x:v>
      </x:c>
      <x:c r="K41" s="12" t="n">
        <x:v>5</x:v>
      </x:c>
      <x:c r="L41" s="12" t="n">
        <x:v>0</x:v>
      </x:c>
      <x:c r="M41" s="12" t="n">
        <x:v>15</x:v>
      </x:c>
      <x:c r="N41" s="12" t="n">
        <x:v>10</x:v>
      </x:c>
      <x:c r="O41" s="12" t="n">
        <x:v>5</x:v>
      </x:c>
      <x:c r="P41" s="12" t="n">
        <x:v>0</x:v>
      </x:c>
      <x:c r="Q41" s="12" t="n">
        <x:v>0</x:v>
      </x:c>
      <x:c r="R41" s="12" t="n">
        <x:v>0</x:v>
      </x:c>
      <x:c r="S41" s="12" t="n">
        <x:v>0</x:v>
      </x:c>
      <x:c r="T41" s="12" t="str">
        <x:v>Mobility+10 / FightTempo+15 / SelfSufficiency+10 / Control+5</x:v>
      </x:c>
      <x:c r="U41" s="12" t="str">
        <x:v>Wikiのロール・長所短所と既存プロファイルの方向性を保ちながら、同アーキタイプ内の差を拡張。</x:v>
      </x:c>
      <x:c r="V41" s="12" t="str">
        <x:v>https://wikiwiki.jp/poke-unite/%E3%82%A6%E3%82%A7%E3%83%BC%E3%83%8B%E3%83%90%E3%83%AB</x:v>
      </x:c>
      <x:c r="W41" s="12" t="str">
        <x:v>https://wikiwiki.jp/poke-unite/%E4%B8%80%E8%A6%A7</x:v>
      </x:c>
      <x:c r="X41" s="12" t="str">
        <x:v>https://uniteapi.dev/jp/meta</x:v>
      </x:c>
    </x:row>
    <x:row r="42">
      <x:c r="A42" s="12" t="str">
        <x:v>ウーラオス-1</x:v>
      </x:c>
      <x:c r="B42" s="12" t="str">
        <x:v>ウーラオス</x:v>
      </x:c>
      <x:c r="C42" s="12" t="str">
        <x:v>あんこくきょうだ</x:v>
      </x:c>
      <x:c r="D42" s="12" t="str">
        <x:v>Diver</x:v>
      </x:c>
      <x:c r="E42" s="12" t="n">
        <x:v>-5</x:v>
      </x:c>
      <x:c r="F42" s="12" t="n">
        <x:v>5</x:v>
      </x:c>
      <x:c r="G42" s="12" t="n">
        <x:v>-5</x:v>
      </x:c>
      <x:c r="H42" s="12" t="n">
        <x:v>-10</x:v>
      </x:c>
      <x:c r="I42" s="12" t="n">
        <x:v>0</x:v>
      </x:c>
      <x:c r="J42" s="12" t="n">
        <x:v>-10</x:v>
      </x:c>
      <x:c r="K42" s="12" t="n">
        <x:v>-5</x:v>
      </x:c>
      <x:c r="L42" s="12" t="n">
        <x:v>0</x:v>
      </x:c>
      <x:c r="M42" s="12" t="n">
        <x:v>5</x:v>
      </x:c>
      <x:c r="N42" s="12" t="n">
        <x:v>-5</x:v>
      </x:c>
      <x:c r="O42" s="12" t="n">
        <x:v>0</x:v>
      </x:c>
      <x:c r="P42" s="12" t="n">
        <x:v>5</x:v>
      </x:c>
      <x:c r="Q42" s="12" t="n">
        <x:v>5</x:v>
      </x:c>
      <x:c r="R42" s="12" t="n">
        <x:v>5</x:v>
      </x:c>
      <x:c r="S42" s="12" t="n">
        <x:v>0</x:v>
      </x:c>
      <x:c r="T42" s="12" t="str">
        <x:v>なし（既存個体差の拡張のみ）</x:v>
      </x:c>
      <x:c r="U42" s="12" t="str">
        <x:v>Wikiのロール・長所短所と既存プロファイルの方向性を保ちながら、同アーキタイプ内の差を拡張。</x:v>
      </x:c>
      <x:c r="V42" s="12" t="str">
        <x:v>https://wikiwiki.jp/poke-unite/%E3%82%A6%E3%83%BC%E3%83%A9%E3%82%AA%E3%82%B9</x:v>
      </x:c>
      <x:c r="W42" s="12" t="str">
        <x:v>https://wikiwiki.jp/poke-unite/%E4%B8%80%E8%A6%A7</x:v>
      </x:c>
      <x:c r="X42" s="12" t="str">
        <x:v>https://uniteapi.dev/jp/meta</x:v>
      </x:c>
    </x:row>
    <x:row r="43">
      <x:c r="A43" s="12" t="str">
        <x:v>ウーラオス-2</x:v>
      </x:c>
      <x:c r="B43" s="12" t="str">
        <x:v>ウーラオス</x:v>
      </x:c>
      <x:c r="C43" s="12" t="str">
        <x:v>すいりゅうれんだ</x:v>
      </x:c>
      <x:c r="D43" s="12" t="str">
        <x:v>Skirmisher</x:v>
      </x:c>
      <x:c r="E43" s="12" t="n">
        <x:v>5</x:v>
      </x:c>
      <x:c r="F43" s="12" t="n">
        <x:v>10</x:v>
      </x:c>
      <x:c r="G43" s="12" t="n">
        <x:v>0</x:v>
      </x:c>
      <x:c r="H43" s="12" t="n">
        <x:v>5</x:v>
      </x:c>
      <x:c r="I43" s="12" t="n">
        <x:v>-5</x:v>
      </x:c>
      <x:c r="J43" s="12" t="n">
        <x:v>15</x:v>
      </x:c>
      <x:c r="K43" s="12" t="n">
        <x:v>5</x:v>
      </x:c>
      <x:c r="L43" s="12" t="n">
        <x:v>0</x:v>
      </x:c>
      <x:c r="M43" s="12" t="n">
        <x:v>5</x:v>
      </x:c>
      <x:c r="N43" s="12" t="n">
        <x:v>10</x:v>
      </x:c>
      <x:c r="O43" s="12" t="n">
        <x:v>-5</x:v>
      </x:c>
      <x:c r="P43" s="12" t="n">
        <x:v>-10</x:v>
      </x:c>
      <x:c r="Q43" s="12" t="n">
        <x:v>-5</x:v>
      </x:c>
      <x:c r="R43" s="12" t="n">
        <x:v>0</x:v>
      </x:c>
      <x:c r="S43" s="12" t="n">
        <x:v>0</x:v>
      </x:c>
      <x:c r="T43" s="12" t="str">
        <x:v>Dive+10 / FightTempo+15 / SelfSufficiency+10 / ObjectiveSecure-10</x:v>
      </x:c>
      <x:c r="U43" s="12" t="str">
        <x:v>Wikiのロール・長所短所と既存プロファイルの方向性を保ちながら、同アーキタイプ内の差を拡張。</x:v>
      </x:c>
      <x:c r="V43" s="12" t="str">
        <x:v>https://wikiwiki.jp/poke-unite/%E3%82%A6%E3%83%BC%E3%83%A9%E3%82%AA%E3%82%B9</x:v>
      </x:c>
      <x:c r="W43" s="12" t="str">
        <x:v>https://wikiwiki.jp/poke-unite/%E4%B8%80%E8%A6%A7</x:v>
      </x:c>
      <x:c r="X43" s="12" t="str">
        <x:v>https://uniteapi.dev/jp/meta</x:v>
      </x:c>
    </x:row>
    <x:row r="44">
      <x:c r="A44" s="12" t="str">
        <x:v>エンペルト-1</x:v>
      </x:c>
      <x:c r="B44" s="12" t="str">
        <x:v>エンペルト</x:v>
      </x:c>
      <x:c r="C44" s="12" t="str">
        <x:v>共通</x:v>
      </x:c>
      <x:c r="D44" s="12" t="str">
        <x:v>Juggernaut</x:v>
      </x:c>
      <x:c r="E44" s="12" t="n">
        <x:v>0</x:v>
      </x:c>
      <x:c r="F44" s="12" t="n">
        <x:v>5</x:v>
      </x:c>
      <x:c r="G44" s="12" t="n">
        <x:v>0</x:v>
      </x:c>
      <x:c r="H44" s="12" t="n">
        <x:v>0</x:v>
      </x:c>
      <x:c r="I44" s="12" t="n">
        <x:v>-5</x:v>
      </x:c>
      <x:c r="J44" s="12" t="n">
        <x:v>10</x:v>
      </x:c>
      <x:c r="K44" s="12" t="n">
        <x:v>-5</x:v>
      </x:c>
      <x:c r="L44" s="12" t="n">
        <x:v>-5</x:v>
      </x:c>
      <x:c r="M44" s="12" t="n">
        <x:v>-5</x:v>
      </x:c>
      <x:c r="N44" s="12" t="n">
        <x:v>10</x:v>
      </x:c>
      <x:c r="O44" s="12" t="n">
        <x:v>10</x:v>
      </x:c>
      <x:c r="P44" s="12" t="n">
        <x:v>5</x:v>
      </x:c>
      <x:c r="Q44" s="12" t="n">
        <x:v>0</x:v>
      </x:c>
      <x:c r="R44" s="12" t="n">
        <x:v>0</x:v>
      </x:c>
      <x:c r="S44" s="12" t="n">
        <x:v>5</x:v>
      </x:c>
      <x:c r="T44" s="12" t="str">
        <x:v>FightTempo+10 / Mobility+5 / SelfSufficiency+10 / Decision+10</x:v>
      </x:c>
      <x:c r="U44" s="12" t="str">
        <x:v>高い回復能力で殴り合い、中距離対応、ゲージ管理が特徴。継続戦/自己完結/判断を強調。</x:v>
      </x:c>
      <x:c r="V44" s="12" t="str">
        <x:v>https://wikiwiki.jp/poke-unite/%E3%82%A8%E3%83%B3%E3%83%9A%E3%83%AB%E3%83%88</x:v>
      </x:c>
      <x:c r="W44" s="12" t="str">
        <x:v>https://wikiwiki.jp/poke-unite/%E4%B8%80%E8%A6%A7</x:v>
      </x:c>
      <x:c r="X44" s="12" t="str">
        <x:v>https://uniteapi.dev/jp/meta</x:v>
      </x:c>
    </x:row>
    <x:row r="45">
      <x:c r="A45" s="12" t="str">
        <x:v>オーダイル-1</x:v>
      </x:c>
      <x:c r="B45" s="12" t="str">
        <x:v>オーダイル</x:v>
      </x:c>
      <x:c r="C45" s="12" t="str">
        <x:v>共通</x:v>
      </x:c>
      <x:c r="D45" s="12" t="str">
        <x:v>Diver</x:v>
      </x:c>
      <x:c r="E45" s="12" t="n">
        <x:v>0</x:v>
      </x:c>
      <x:c r="F45" s="12" t="n">
        <x:v>5</x:v>
      </x:c>
      <x:c r="G45" s="12" t="n">
        <x:v>0</x:v>
      </x:c>
      <x:c r="H45" s="12" t="n">
        <x:v>-5</x:v>
      </x:c>
      <x:c r="I45" s="12" t="n">
        <x:v>0</x:v>
      </x:c>
      <x:c r="J45" s="12" t="n">
        <x:v>-15</x:v>
      </x:c>
      <x:c r="K45" s="12" t="n">
        <x:v>-5</x:v>
      </x:c>
      <x:c r="L45" s="12" t="n">
        <x:v>0</x:v>
      </x:c>
      <x:c r="M45" s="12" t="n">
        <x:v>15</x:v>
      </x:c>
      <x:c r="N45" s="12" t="n">
        <x:v>0</x:v>
      </x:c>
      <x:c r="O45" s="12" t="n">
        <x:v>0</x:v>
      </x:c>
      <x:c r="P45" s="12" t="n">
        <x:v>0</x:v>
      </x:c>
      <x:c r="Q45" s="12" t="n">
        <x:v>0</x:v>
      </x:c>
      <x:c r="R45" s="12" t="n">
        <x:v>0</x:v>
      </x:c>
      <x:c r="S45" s="12" t="n">
        <x:v>10</x:v>
      </x:c>
      <x:c r="T45" s="12" t="str">
        <x:v>FightTempo-10 / Mobility+10 / Decision+10</x:v>
      </x:c>
      <x:c r="U45" s="12" t="str">
        <x:v>Wikiのロール・長所短所と既存プロファイルの方向性を保ちながら、同アーキタイプ内の差を拡張。</x:v>
      </x:c>
      <x:c r="V45" s="12" t="str">
        <x:v>https://wikiwiki.jp/poke-unite/%E3%82%AA%E3%83%BC%E3%83%80%E3%82%A4%E3%83%AB</x:v>
      </x:c>
      <x:c r="W45" s="12" t="str">
        <x:v>https://wikiwiki.jp/poke-unite/%E4%B8%80%E8%A6%A7</x:v>
      </x:c>
      <x:c r="X45" s="12" t="str">
        <x:v>https://uniteapi.dev/jp/meta</x:v>
      </x:c>
    </x:row>
    <x:row r="46">
      <x:c r="A46" s="12" t="str">
        <x:v>カイリキー-1</x:v>
      </x:c>
      <x:c r="B46" s="12" t="str">
        <x:v>カイリキー</x:v>
      </x:c>
      <x:c r="C46" s="12" t="str">
        <x:v>共通</x:v>
      </x:c>
      <x:c r="D46" s="12" t="str">
        <x:v>Diver</x:v>
      </x:c>
      <x:c r="E46" s="12" t="n">
        <x:v>0</x:v>
      </x:c>
      <x:c r="F46" s="12" t="n">
        <x:v>5</x:v>
      </x:c>
      <x:c r="G46" s="12" t="n">
        <x:v>0</x:v>
      </x:c>
      <x:c r="H46" s="12" t="n">
        <x:v>-5</x:v>
      </x:c>
      <x:c r="I46" s="12" t="n">
        <x:v>0</x:v>
      </x:c>
      <x:c r="J46" s="12" t="n">
        <x:v>-15</x:v>
      </x:c>
      <x:c r="K46" s="12" t="n">
        <x:v>15</x:v>
      </x:c>
      <x:c r="L46" s="12" t="n">
        <x:v>0</x:v>
      </x:c>
      <x:c r="M46" s="12" t="n">
        <x:v>0</x:v>
      </x:c>
      <x:c r="N46" s="12" t="n">
        <x:v>5</x:v>
      </x:c>
      <x:c r="O46" s="12" t="n">
        <x:v>0</x:v>
      </x:c>
      <x:c r="P46" s="12" t="n">
        <x:v>0</x:v>
      </x:c>
      <x:c r="Q46" s="12" t="n">
        <x:v>0</x:v>
      </x:c>
      <x:c r="R46" s="12" t="n">
        <x:v>0</x:v>
      </x:c>
      <x:c r="S46" s="12" t="n">
        <x:v>0</x:v>
      </x:c>
      <x:c r="T46" s="12" t="str">
        <x:v>FightTempo-10 / Control+10 / SelfSufficiency+5</x:v>
      </x:c>
      <x:c r="U46" s="12" t="str">
        <x:v>Wikiのロール・長所短所と既存プロファイルの方向性を保ちながら、同アーキタイプ内の差を拡張。</x:v>
      </x:c>
      <x:c r="V46" s="12" t="str">
        <x:v>https://wikiwiki.jp/poke-unite/%E3%82%AB%E3%82%A4%E3%83%AA%E3%82%AD%E3%83%BC</x:v>
      </x:c>
      <x:c r="W46" s="12" t="str">
        <x:v>https://wikiwiki.jp/poke-unite/%E4%B8%80%E8%A6%A7</x:v>
      </x:c>
      <x:c r="X46" s="12" t="str">
        <x:v>https://uniteapi.dev/jp/meta</x:v>
      </x:c>
    </x:row>
    <x:row r="47">
      <x:c r="A47" s="12" t="str">
        <x:v>カイリュー-1</x:v>
      </x:c>
      <x:c r="B47" s="12" t="str">
        <x:v>カイリュー</x:v>
      </x:c>
      <x:c r="C47" s="12" t="str">
        <x:v>はかいこうせん</x:v>
      </x:c>
      <x:c r="D47" s="12" t="str">
        <x:v>Marksman</x:v>
      </x:c>
      <x:c r="E47" s="12" t="n">
        <x:v>-10</x:v>
      </x:c>
      <x:c r="F47" s="12" t="n">
        <x:v>-5</x:v>
      </x:c>
      <x:c r="G47" s="12" t="n">
        <x:v>-5</x:v>
      </x:c>
      <x:c r="H47" s="12" t="n">
        <x:v>0</x:v>
      </x:c>
      <x:c r="I47" s="12" t="n">
        <x:v>0</x:v>
      </x:c>
      <x:c r="J47" s="12" t="n">
        <x:v>0</x:v>
      </x:c>
      <x:c r="K47" s="12" t="n">
        <x:v>-10</x:v>
      </x:c>
      <x:c r="L47" s="12" t="n">
        <x:v>0</x:v>
      </x:c>
      <x:c r="M47" s="12" t="n">
        <x:v>0</x:v>
      </x:c>
      <x:c r="N47" s="12" t="n">
        <x:v>0</x:v>
      </x:c>
      <x:c r="O47" s="12" t="n">
        <x:v>15</x:v>
      </x:c>
      <x:c r="P47" s="12" t="n">
        <x:v>10</x:v>
      </x:c>
      <x:c r="Q47" s="12" t="n">
        <x:v>5</x:v>
      </x:c>
      <x:c r="R47" s="12" t="n">
        <x:v>0</x:v>
      </x:c>
      <x:c r="S47" s="12" t="n">
        <x:v>5</x:v>
      </x:c>
      <x:c r="T47" s="12" t="str">
        <x:v>ObjectiveSecure+15 / FarmScaling+10 / Decision+5</x:v>
      </x:c>
      <x:c r="U47" s="12" t="str">
        <x:v>Wikiのロール・長所短所と既存プロファイルの方向性を保ちながら、同アーキタイプ内の差を拡張。</x:v>
      </x:c>
      <x:c r="V47" s="12" t="str">
        <x:v>https://wikiwiki.jp/poke-unite/%E3%82%AB%E3%82%A4%E3%83%AA%E3%83%A5%E3%83%BC</x:v>
      </x:c>
      <x:c r="W47" s="12" t="str">
        <x:v>https://wikiwiki.jp/poke-unite/%E4%B8%80%E8%A6%A7</x:v>
      </x:c>
      <x:c r="X47" s="12" t="str">
        <x:v>https://uniteapi.dev/jp/meta</x:v>
      </x:c>
    </x:row>
    <x:row r="48">
      <x:c r="A48" s="12" t="str">
        <x:v>カイリュー-2</x:v>
      </x:c>
      <x:c r="B48" s="12" t="str">
        <x:v>カイリュー</x:v>
      </x:c>
      <x:c r="C48" s="12" t="str">
        <x:v>げきりん</x:v>
      </x:c>
      <x:c r="D48" s="12" t="str">
        <x:v>Juggernaut</x:v>
      </x:c>
      <x:c r="E48" s="12" t="n">
        <x:v>10</x:v>
      </x:c>
      <x:c r="F48" s="12" t="n">
        <x:v>10</x:v>
      </x:c>
      <x:c r="G48" s="12" t="n">
        <x:v>-10</x:v>
      </x:c>
      <x:c r="H48" s="12" t="n">
        <x:v>0</x:v>
      </x:c>
      <x:c r="I48" s="12" t="n">
        <x:v>-5</x:v>
      </x:c>
      <x:c r="J48" s="12" t="n">
        <x:v>-10</x:v>
      </x:c>
      <x:c r="K48" s="12" t="n">
        <x:v>5</x:v>
      </x:c>
      <x:c r="L48" s="12" t="n">
        <x:v>-5</x:v>
      </x:c>
      <x:c r="M48" s="12" t="n">
        <x:v>10</x:v>
      </x:c>
      <x:c r="N48" s="12" t="n">
        <x:v>10</x:v>
      </x:c>
      <x:c r="O48" s="12" t="n">
        <x:v>5</x:v>
      </x:c>
      <x:c r="P48" s="12" t="n">
        <x:v>0</x:v>
      </x:c>
      <x:c r="Q48" s="12" t="n">
        <x:v>10</x:v>
      </x:c>
      <x:c r="R48" s="12" t="n">
        <x:v>5</x:v>
      </x:c>
      <x:c r="S48" s="12" t="n">
        <x:v>0</x:v>
      </x:c>
      <x:c r="T48" s="12" t="str">
        <x:v>なし（既存個体差の拡張のみ）</x:v>
      </x:c>
      <x:c r="U48" s="12" t="str">
        <x:v>Wikiのロール・長所短所と既存プロファイルの方向性を保ちながら、同アーキタイプ内の差を拡張。</x:v>
      </x:c>
      <x:c r="V48" s="12" t="str">
        <x:v>https://wikiwiki.jp/poke-unite/%E3%82%AB%E3%82%A4%E3%83%AA%E3%83%A5%E3%83%BC</x:v>
      </x:c>
      <x:c r="W48" s="12" t="str">
        <x:v>https://wikiwiki.jp/poke-unite/%E4%B8%80%E8%A6%A7</x:v>
      </x:c>
      <x:c r="X48" s="12" t="str">
        <x:v>https://uniteapi.dev/jp/meta</x:v>
      </x:c>
    </x:row>
    <x:row r="49">
      <x:c r="A49" s="12" t="str">
        <x:v>ガブリアス-1</x:v>
      </x:c>
      <x:c r="B49" s="12" t="str">
        <x:v>ガブリアス</x:v>
      </x:c>
      <x:c r="C49" s="12" t="str">
        <x:v>共通</x:v>
      </x:c>
      <x:c r="D49" s="12" t="str">
        <x:v>Juggernaut</x:v>
      </x:c>
      <x:c r="E49" s="12" t="n">
        <x:v>0</x:v>
      </x:c>
      <x:c r="F49" s="12" t="n">
        <x:v>5</x:v>
      </x:c>
      <x:c r="G49" s="12" t="n">
        <x:v>0</x:v>
      </x:c>
      <x:c r="H49" s="12" t="n">
        <x:v>0</x:v>
      </x:c>
      <x:c r="I49" s="12" t="n">
        <x:v>-5</x:v>
      </x:c>
      <x:c r="J49" s="12" t="n">
        <x:v>15</x:v>
      </x:c>
      <x:c r="K49" s="12" t="n">
        <x:v>-10</x:v>
      </x:c>
      <x:c r="L49" s="12" t="n">
        <x:v>-5</x:v>
      </x:c>
      <x:c r="M49" s="12" t="n">
        <x:v>-10</x:v>
      </x:c>
      <x:c r="N49" s="12" t="n">
        <x:v>10</x:v>
      </x:c>
      <x:c r="O49" s="12" t="n">
        <x:v>10</x:v>
      </x:c>
      <x:c r="P49" s="12" t="n">
        <x:v>15</x:v>
      </x:c>
      <x:c r="Q49" s="12" t="n">
        <x:v>0</x:v>
      </x:c>
      <x:c r="R49" s="12" t="n">
        <x:v>0</x:v>
      </x:c>
      <x:c r="S49" s="12" t="n">
        <x:v>-5</x:v>
      </x:c>
      <x:c r="T49" s="12" t="str">
        <x:v>FightTempo+15 / ObjectiveSecure+15 / SelfSufficiency+10 / Control-5</x:v>
      </x:c>
      <x:c r="U49" s="12" t="str">
        <x:v>殴り合いとオブジェクト処理が非常に強い。継続戦/取り切り/自己完結を強調。</x:v>
      </x:c>
      <x:c r="V49" s="12" t="str">
        <x:v>https://wikiwiki.jp/poke-unite/%E3%82%AC%E3%83%96%E3%83%AA%E3%82%A2%E3%82%B9</x:v>
      </x:c>
      <x:c r="W49" s="12" t="str">
        <x:v>https://wikiwiki.jp/poke-unite/%E4%B8%80%E8%A6%A7</x:v>
      </x:c>
      <x:c r="X49" s="12" t="str">
        <x:v>https://uniteapi.dev/jp/meta</x:v>
      </x:c>
    </x:row>
    <x:row r="50">
      <x:c r="A50" s="12" t="str">
        <x:v>ギャラドス-1</x:v>
      </x:c>
      <x:c r="B50" s="12" t="str">
        <x:v>ギャラドス</x:v>
      </x:c>
      <x:c r="C50" s="12" t="str">
        <x:v>共通</x:v>
      </x:c>
      <x:c r="D50" s="12" t="str">
        <x:v>Diver</x:v>
      </x:c>
      <x:c r="E50" s="12" t="n">
        <x:v>10</x:v>
      </x:c>
      <x:c r="F50" s="12" t="n">
        <x:v>5</x:v>
      </x:c>
      <x:c r="G50" s="12" t="n">
        <x:v>0</x:v>
      </x:c>
      <x:c r="H50" s="12" t="n">
        <x:v>-5</x:v>
      </x:c>
      <x:c r="I50" s="12" t="n">
        <x:v>0</x:v>
      </x:c>
      <x:c r="J50" s="12" t="n">
        <x:v>-5</x:v>
      </x:c>
      <x:c r="K50" s="12" t="n">
        <x:v>0</x:v>
      </x:c>
      <x:c r="L50" s="12" t="n">
        <x:v>0</x:v>
      </x:c>
      <x:c r="M50" s="12" t="n">
        <x:v>0</x:v>
      </x:c>
      <x:c r="N50" s="12" t="n">
        <x:v>0</x:v>
      </x:c>
      <x:c r="O50" s="12" t="n">
        <x:v>0</x:v>
      </x:c>
      <x:c r="P50" s="12" t="n">
        <x:v>0</x:v>
      </x:c>
      <x:c r="Q50" s="12" t="n">
        <x:v>0</x:v>
      </x:c>
      <x:c r="R50" s="12" t="n">
        <x:v>0</x:v>
      </x:c>
      <x:c r="S50" s="12" t="n">
        <x:v>0</x:v>
      </x:c>
      <x:c r="T50" s="12" t="str">
        <x:v>なし（既存個体差の拡張のみ）</x:v>
      </x:c>
      <x:c r="U50" s="12" t="str">
        <x:v>Wikiのロール・長所短所と既存プロファイルの方向性を保ちながら、同アーキタイプ内の差を拡張。</x:v>
      </x:c>
      <x:c r="V50" s="12" t="str">
        <x:v>https://wikiwiki.jp/poke-unite/%E3%82%AE%E3%83%A3%E3%83%A9%E3%83%89%E3%82%B9</x:v>
      </x:c>
      <x:c r="W50" s="12" t="str">
        <x:v>https://wikiwiki.jp/poke-unite/%E4%B8%80%E8%A6%A7</x:v>
      </x:c>
      <x:c r="X50" s="12" t="str">
        <x:v>https://uniteapi.dev/jp/meta</x:v>
      </x:c>
    </x:row>
    <x:row r="51">
      <x:c r="A51" s="12" t="str">
        <x:v>メガギャラドス-1</x:v>
      </x:c>
      <x:c r="B51" s="12" t="str">
        <x:v>メガギャラドス</x:v>
      </x:c>
      <x:c r="C51" s="12" t="str">
        <x:v>共通</x:v>
      </x:c>
      <x:c r="D51" s="12" t="str">
        <x:v>Diver</x:v>
      </x:c>
      <x:c r="E51" s="12" t="n">
        <x:v>0</x:v>
      </x:c>
      <x:c r="F51" s="12" t="n">
        <x:v>5</x:v>
      </x:c>
      <x:c r="G51" s="12" t="n">
        <x:v>0</x:v>
      </x:c>
      <x:c r="H51" s="12" t="n">
        <x:v>10</x:v>
      </x:c>
      <x:c r="I51" s="12" t="n">
        <x:v>0</x:v>
      </x:c>
      <x:c r="J51" s="12" t="n">
        <x:v>5</x:v>
      </x:c>
      <x:c r="K51" s="12" t="n">
        <x:v>0</x:v>
      </x:c>
      <x:c r="L51" s="12" t="n">
        <x:v>0</x:v>
      </x:c>
      <x:c r="M51" s="12" t="n">
        <x:v>5</x:v>
      </x:c>
      <x:c r="N51" s="12" t="n">
        <x:v>5</x:v>
      </x:c>
      <x:c r="O51" s="12" t="n">
        <x:v>0</x:v>
      </x:c>
      <x:c r="P51" s="12" t="n">
        <x:v>0</x:v>
      </x:c>
      <x:c r="Q51" s="12" t="n">
        <x:v>0</x:v>
      </x:c>
      <x:c r="R51" s="12" t="n">
        <x:v>0</x:v>
      </x:c>
      <x:c r="S51" s="12" t="n">
        <x:v>0</x:v>
      </x:c>
      <x:c r="T51" s="12" t="str">
        <x:v>なし（既存個体差の拡張のみ）</x:v>
      </x:c>
      <x:c r="U51" s="12" t="str">
        <x:v>Wikiのロール・長所短所と既存プロファイルの方向性を保ちながら、同アーキタイプ内の差を拡張。</x:v>
      </x:c>
      <x:c r="V51" s="12" t="str">
        <x:v>https://wikiwiki.jp/poke-unite/%E3%83%A1%E3%82%AC%E3%82%AE%E3%83%A3%E3%83%A9%E3%83%89%E3%82%B9</x:v>
      </x:c>
      <x:c r="W51" s="12" t="str">
        <x:v>https://wikiwiki.jp/poke-unite/%E4%B8%80%E8%A6%A7</x:v>
      </x:c>
      <x:c r="X51" s="12" t="str">
        <x:v>https://uniteapi.dev/jp/meta</x:v>
      </x:c>
    </x:row>
    <x:row r="52">
      <x:c r="A52" s="12" t="str">
        <x:v>ギルガルド-1</x:v>
      </x:c>
      <x:c r="B52" s="12" t="str">
        <x:v>ギルガルド</x:v>
      </x:c>
      <x:c r="C52" s="12" t="str">
        <x:v>共通</x:v>
      </x:c>
      <x:c r="D52" s="12" t="str">
        <x:v>Skirmisher</x:v>
      </x:c>
      <x:c r="E52" s="12" t="n">
        <x:v>0</x:v>
      </x:c>
      <x:c r="F52" s="12" t="n">
        <x:v>0</x:v>
      </x:c>
      <x:c r="G52" s="12" t="n">
        <x:v>0</x:v>
      </x:c>
      <x:c r="H52" s="12" t="n">
        <x:v>10</x:v>
      </x:c>
      <x:c r="I52" s="12" t="n">
        <x:v>0</x:v>
      </x:c>
      <x:c r="J52" s="12" t="n">
        <x:v>0</x:v>
      </x:c>
      <x:c r="K52" s="12" t="n">
        <x:v>0</x:v>
      </x:c>
      <x:c r="L52" s="12" t="n">
        <x:v>0</x:v>
      </x:c>
      <x:c r="M52" s="12" t="n">
        <x:v>-5</x:v>
      </x:c>
      <x:c r="N52" s="12" t="n">
        <x:v>0</x:v>
      </x:c>
      <x:c r="O52" s="12" t="n">
        <x:v>5</x:v>
      </x:c>
      <x:c r="P52" s="12" t="n">
        <x:v>0</x:v>
      </x:c>
      <x:c r="Q52" s="12" t="n">
        <x:v>0</x:v>
      </x:c>
      <x:c r="R52" s="12" t="n">
        <x:v>10</x:v>
      </x:c>
      <x:c r="S52" s="12" t="n">
        <x:v>0</x:v>
      </x:c>
      <x:c r="T52" s="12" t="str">
        <x:v>なし（既存個体差の拡張のみ）</x:v>
      </x:c>
      <x:c r="U52" s="12" t="str">
        <x:v>Wikiのロール・長所短所と既存プロファイルの方向性を保ちながら、同アーキタイプ内の差を拡張。</x:v>
      </x:c>
      <x:c r="V52" s="12" t="str">
        <x:v>https://wikiwiki.jp/poke-unite/%E3%82%AE%E3%83%AB%E3%82%AC%E3%83%AB%E3%83%89</x:v>
      </x:c>
      <x:c r="W52" s="12" t="str">
        <x:v>https://wikiwiki.jp/poke-unite/%E4%B8%80%E8%A6%A7</x:v>
      </x:c>
      <x:c r="X52" s="12" t="str">
        <x:v>https://uniteapi.dev/jp/meta</x:v>
      </x:c>
    </x:row>
    <x:row r="53">
      <x:c r="A53" s="12" t="str">
        <x:v>ザシアン-1</x:v>
      </x:c>
      <x:c r="B53" s="12" t="str">
        <x:v>ザシアン</x:v>
      </x:c>
      <x:c r="C53" s="12" t="str">
        <x:v>共通</x:v>
      </x:c>
      <x:c r="D53" s="12" t="str">
        <x:v>Skirmisher</x:v>
      </x:c>
      <x:c r="E53" s="12" t="n">
        <x:v>5</x:v>
      </x:c>
      <x:c r="F53" s="12" t="n">
        <x:v>0</x:v>
      </x:c>
      <x:c r="G53" s="12" t="n">
        <x:v>0</x:v>
      </x:c>
      <x:c r="H53" s="12" t="n">
        <x:v>5</x:v>
      </x:c>
      <x:c r="I53" s="12" t="n">
        <x:v>0</x:v>
      </x:c>
      <x:c r="J53" s="12" t="n">
        <x:v>-5</x:v>
      </x:c>
      <x:c r="K53" s="12" t="n">
        <x:v>0</x:v>
      </x:c>
      <x:c r="L53" s="12" t="n">
        <x:v>0</x:v>
      </x:c>
      <x:c r="M53" s="12" t="n">
        <x:v>0</x:v>
      </x:c>
      <x:c r="N53" s="12" t="n">
        <x:v>10</x:v>
      </x:c>
      <x:c r="O53" s="12" t="n">
        <x:v>5</x:v>
      </x:c>
      <x:c r="P53" s="12" t="n">
        <x:v>10</x:v>
      </x:c>
      <x:c r="Q53" s="12" t="n">
        <x:v>-5</x:v>
      </x:c>
      <x:c r="R53" s="12" t="n">
        <x:v>0</x:v>
      </x:c>
      <x:c r="S53" s="12" t="n">
        <x:v>0</x:v>
      </x:c>
      <x:c r="T53" s="12" t="str">
        <x:v>Engage+5 / SelfSufficiency+10 / ObjectiveSecure+10 / FightTempo-5</x:v>
      </x:c>
      <x:c r="U53" s="12" t="str">
        <x:v>Wikiのロール・長所短所と既存プロファイルの方向性を保ちながら、同アーキタイプ内の差を拡張。</x:v>
      </x:c>
      <x:c r="V53" s="12" t="str">
        <x:v>https://wikiwiki.jp/poke-unite/%E3%82%B6%E3%82%B7%E3%82%A2%E3%83%B3</x:v>
      </x:c>
      <x:c r="W53" s="12" t="str">
        <x:v>https://wikiwiki.jp/poke-unite/%E4%B8%80%E8%A6%A7</x:v>
      </x:c>
      <x:c r="X53" s="12" t="str">
        <x:v>https://uniteapi.dev/jp/meta</x:v>
      </x:c>
    </x:row>
    <x:row r="54">
      <x:c r="A54" s="12" t="str">
        <x:v>スイクン-1</x:v>
      </x:c>
      <x:c r="B54" s="12" t="str">
        <x:v>スイクン</x:v>
      </x:c>
      <x:c r="C54" s="12" t="str">
        <x:v>共通</x:v>
      </x:c>
      <x:c r="D54" s="12" t="str">
        <x:v>BurstMage</x:v>
      </x:c>
      <x:c r="E54" s="12" t="n">
        <x:v>0</x:v>
      </x:c>
      <x:c r="F54" s="12" t="n">
        <x:v>5</x:v>
      </x:c>
      <x:c r="G54" s="12" t="n">
        <x:v>0</x:v>
      </x:c>
      <x:c r="H54" s="12" t="n">
        <x:v>10</x:v>
      </x:c>
      <x:c r="I54" s="12" t="n">
        <x:v>-10</x:v>
      </x:c>
      <x:c r="J54" s="12" t="n">
        <x:v>5</x:v>
      </x:c>
      <x:c r="K54" s="12" t="n">
        <x:v>5</x:v>
      </x:c>
      <x:c r="L54" s="12" t="n">
        <x:v>0</x:v>
      </x:c>
      <x:c r="M54" s="12" t="n">
        <x:v>-10</x:v>
      </x:c>
      <x:c r="N54" s="12" t="n">
        <x:v>-5</x:v>
      </x:c>
      <x:c r="O54" s="12" t="n">
        <x:v>5</x:v>
      </x:c>
      <x:c r="P54" s="12" t="n">
        <x:v>-5</x:v>
      </x:c>
      <x:c r="Q54" s="12" t="n">
        <x:v>0</x:v>
      </x:c>
      <x:c r="R54" s="12" t="n">
        <x:v>0</x:v>
      </x:c>
      <x:c r="S54" s="12" t="n">
        <x:v>0</x:v>
      </x:c>
      <x:c r="T54" s="12" t="str">
        <x:v>なし（既存個体差の拡張のみ）</x:v>
      </x:c>
      <x:c r="U54" s="12" t="str">
        <x:v>Wikiのロール・長所短所と既存プロファイルの方向性を保ちながら、同アーキタイプ内の差を拡張。</x:v>
      </x:c>
      <x:c r="V54" s="12" t="str">
        <x:v>https://wikiwiki.jp/poke-unite/%E3%82%B9%E3%82%A4%E3%82%AF%E3%83%B3</x:v>
      </x:c>
      <x:c r="W54" s="12" t="str">
        <x:v>https://wikiwiki.jp/poke-unite/%E4%B8%80%E8%A6%A7</x:v>
      </x:c>
      <x:c r="X54" s="12" t="str">
        <x:v>https://uniteapi.dev/jp/meta</x:v>
      </x:c>
    </x:row>
    <x:row r="55">
      <x:c r="A55" s="12" t="str">
        <x:v>ソウブレイズ-1</x:v>
      </x:c>
      <x:c r="B55" s="12" t="str">
        <x:v>ソウブレイズ</x:v>
      </x:c>
      <x:c r="C55" s="12" t="str">
        <x:v>共通</x:v>
      </x:c>
      <x:c r="D55" s="12" t="str">
        <x:v>Skirmisher</x:v>
      </x:c>
      <x:c r="E55" s="12" t="n">
        <x:v>0</x:v>
      </x:c>
      <x:c r="F55" s="12" t="n">
        <x:v>0</x:v>
      </x:c>
      <x:c r="G55" s="12" t="n">
        <x:v>0</x:v>
      </x:c>
      <x:c r="H55" s="12" t="n">
        <x:v>5</x:v>
      </x:c>
      <x:c r="I55" s="12" t="n">
        <x:v>0</x:v>
      </x:c>
      <x:c r="J55" s="12" t="n">
        <x:v>15</x:v>
      </x:c>
      <x:c r="K55" s="12" t="n">
        <x:v>-10</x:v>
      </x:c>
      <x:c r="L55" s="12" t="n">
        <x:v>0</x:v>
      </x:c>
      <x:c r="M55" s="12" t="n">
        <x:v>0</x:v>
      </x:c>
      <x:c r="N55" s="12" t="n">
        <x:v>15</x:v>
      </x:c>
      <x:c r="O55" s="12" t="n">
        <x:v>5</x:v>
      </x:c>
      <x:c r="P55" s="12" t="n">
        <x:v>10</x:v>
      </x:c>
      <x:c r="Q55" s="12" t="n">
        <x:v>0</x:v>
      </x:c>
      <x:c r="R55" s="12" t="n">
        <x:v>0</x:v>
      </x:c>
      <x:c r="S55" s="12" t="n">
        <x:v>0</x:v>
      </x:c>
      <x:c r="T55" s="12" t="str">
        <x:v>FightTempo+15 / SelfSufficiency+15 / ObjectiveSecure+10 / Control-5</x:v>
      </x:c>
      <x:c r="U55" s="12" t="str">
        <x:v>Wikiのロール・長所短所と既存プロファイルの方向性を保ちながら、同アーキタイプ内の差を拡張。</x:v>
      </x:c>
      <x:c r="V55" s="12" t="str">
        <x:v>https://wikiwiki.jp/poke-unite/%E3%82%BD%E3%82%A6%E3%83%96%E3%83%AC%E3%82%A4%E3%82%BA</x:v>
      </x:c>
      <x:c r="W55" s="12" t="str">
        <x:v>https://wikiwiki.jp/poke-unite/%E4%B8%80%E8%A6%A7</x:v>
      </x:c>
      <x:c r="X55" s="12" t="str">
        <x:v>https://uniteapi.dev/jp/meta</x:v>
      </x:c>
    </x:row>
    <x:row r="56">
      <x:c r="A56" s="12" t="str">
        <x:v>ソルガレオ-1</x:v>
      </x:c>
      <x:c r="B56" s="12" t="str">
        <x:v>ソルガレオ</x:v>
      </x:c>
      <x:c r="C56" s="12" t="str">
        <x:v>共通</x:v>
      </x:c>
      <x:c r="D56" s="12" t="str">
        <x:v>Juggernaut</x:v>
      </x:c>
      <x:c r="E56" s="12" t="n">
        <x:v>0</x:v>
      </x:c>
      <x:c r="F56" s="12" t="n">
        <x:v>5</x:v>
      </x:c>
      <x:c r="G56" s="12" t="n">
        <x:v>0</x:v>
      </x:c>
      <x:c r="H56" s="12" t="n">
        <x:v>-5</x:v>
      </x:c>
      <x:c r="I56" s="12" t="n">
        <x:v>-5</x:v>
      </x:c>
      <x:c r="J56" s="12" t="n">
        <x:v>0</x:v>
      </x:c>
      <x:c r="K56" s="12" t="n">
        <x:v>5</x:v>
      </x:c>
      <x:c r="L56" s="12" t="n">
        <x:v>-5</x:v>
      </x:c>
      <x:c r="M56" s="12" t="n">
        <x:v>0</x:v>
      </x:c>
      <x:c r="N56" s="12" t="n">
        <x:v>0</x:v>
      </x:c>
      <x:c r="O56" s="12" t="n">
        <x:v>0</x:v>
      </x:c>
      <x:c r="P56" s="12" t="n">
        <x:v>5</x:v>
      </x:c>
      <x:c r="Q56" s="12" t="n">
        <x:v>0</x:v>
      </x:c>
      <x:c r="R56" s="12" t="n">
        <x:v>0</x:v>
      </x:c>
      <x:c r="S56" s="12" t="n">
        <x:v>0</x:v>
      </x:c>
      <x:c r="T56" s="12" t="str">
        <x:v>Control+10 / Mobility+10 / Frontline-10 / FarmScaling-10 / Decision+5</x:v>
      </x:c>
      <x:c r="U56" s="12" t="str">
        <x:v>複数CC・回復・移動手段を持つが純粋な前張り/追撃性能は限定的。Control/Mobility寄り。</x:v>
      </x:c>
      <x:c r="V56" s="12" t="str">
        <x:v>https://wikiwiki.jp/poke-unite/%E3%82%BD%E3%83%AB%E3%82%AC%E3%83%AC%E3%82%AA</x:v>
      </x:c>
      <x:c r="W56" s="12" t="str">
        <x:v>https://wikiwiki.jp/poke-unite/%E4%B8%80%E8%A6%A7</x:v>
      </x:c>
      <x:c r="X56" s="12" t="str">
        <x:v>https://uniteapi.dev/jp/meta</x:v>
      </x:c>
    </x:row>
    <x:row r="57">
      <x:c r="A57" s="12" t="str">
        <x:v>タイレーツ-1</x:v>
      </x:c>
      <x:c r="B57" s="12" t="str">
        <x:v>タイレーツ</x:v>
      </x:c>
      <x:c r="C57" s="12" t="str">
        <x:v>はいすいのじん</x:v>
      </x:c>
      <x:c r="D57" s="12" t="str">
        <x:v>Juggernaut</x:v>
      </x:c>
      <x:c r="E57" s="12" t="n">
        <x:v>0</x:v>
      </x:c>
      <x:c r="F57" s="12" t="n">
        <x:v>5</x:v>
      </x:c>
      <x:c r="G57" s="12" t="n">
        <x:v>0</x:v>
      </x:c>
      <x:c r="H57" s="12" t="n">
        <x:v>0</x:v>
      </x:c>
      <x:c r="I57" s="12" t="n">
        <x:v>-5</x:v>
      </x:c>
      <x:c r="J57" s="12" t="n">
        <x:v>-5</x:v>
      </x:c>
      <x:c r="K57" s="12" t="n">
        <x:v>-5</x:v>
      </x:c>
      <x:c r="L57" s="12" t="n">
        <x:v>-5</x:v>
      </x:c>
      <x:c r="M57" s="12" t="n">
        <x:v>-15</x:v>
      </x:c>
      <x:c r="N57" s="12" t="n">
        <x:v>0</x:v>
      </x:c>
      <x:c r="O57" s="12" t="n">
        <x:v>10</x:v>
      </x:c>
      <x:c r="P57" s="12" t="n">
        <x:v>5</x:v>
      </x:c>
      <x:c r="Q57" s="12" t="n">
        <x:v>0</x:v>
      </x:c>
      <x:c r="R57" s="12" t="n">
        <x:v>15</x:v>
      </x:c>
      <x:c r="S57" s="12" t="n">
        <x:v>5</x:v>
      </x:c>
      <x:c r="T57" s="12" t="str">
        <x:v>Frontline+10 / Execution+15 / Decision+10 / Mobility-5</x:v>
      </x:c>
      <x:c r="U57" s="12" t="str">
        <x:v>Wikiのロール・長所短所と既存プロファイルの方向性を保ちながら、同アーキタイプ内の差を拡張。</x:v>
      </x:c>
      <x:c r="V57" s="12" t="str">
        <x:v>https://wikiwiki.jp/poke-unite/%E3%82%BF%E3%82%A4%E3%83%AC%E3%83%BC%E3%83%84</x:v>
      </x:c>
      <x:c r="W57" s="12" t="str">
        <x:v>https://wikiwiki.jp/poke-unite/%E4%B8%80%E8%A6%A7</x:v>
      </x:c>
      <x:c r="X57" s="12" t="str">
        <x:v>https://uniteapi.dev/jp/meta</x:v>
      </x:c>
    </x:row>
    <x:row r="58">
      <x:c r="A58" s="12" t="str">
        <x:v>タイレーツ-2</x:v>
      </x:c>
      <x:c r="B58" s="12" t="str">
        <x:v>タイレーツ</x:v>
      </x:c>
      <x:c r="C58" s="12" t="str">
        <x:v>ふくろだたき</x:v>
      </x:c>
      <x:c r="D58" s="12" t="str">
        <x:v>Diver</x:v>
      </x:c>
      <x:c r="E58" s="12" t="n">
        <x:v>-5</x:v>
      </x:c>
      <x:c r="F58" s="12" t="n">
        <x:v>5</x:v>
      </x:c>
      <x:c r="G58" s="12" t="n">
        <x:v>0</x:v>
      </x:c>
      <x:c r="H58" s="12" t="n">
        <x:v>-5</x:v>
      </x:c>
      <x:c r="I58" s="12" t="n">
        <x:v>0</x:v>
      </x:c>
      <x:c r="J58" s="12" t="n">
        <x:v>10</x:v>
      </x:c>
      <x:c r="K58" s="12" t="n">
        <x:v>-5</x:v>
      </x:c>
      <x:c r="L58" s="12" t="n">
        <x:v>0</x:v>
      </x:c>
      <x:c r="M58" s="12" t="n">
        <x:v>10</x:v>
      </x:c>
      <x:c r="N58" s="12" t="n">
        <x:v>0</x:v>
      </x:c>
      <x:c r="O58" s="12" t="n">
        <x:v>0</x:v>
      </x:c>
      <x:c r="P58" s="12" t="n">
        <x:v>0</x:v>
      </x:c>
      <x:c r="Q58" s="12" t="n">
        <x:v>5</x:v>
      </x:c>
      <x:c r="R58" s="12" t="n">
        <x:v>0</x:v>
      </x:c>
      <x:c r="S58" s="12" t="n">
        <x:v>0</x:v>
      </x:c>
      <x:c r="T58" s="12" t="str">
        <x:v>なし（既存個体差の拡張のみ）</x:v>
      </x:c>
      <x:c r="U58" s="12" t="str">
        <x:v>Wikiのロール・長所短所と既存プロファイルの方向性を保ちながら、同アーキタイプ内の差を拡張。</x:v>
      </x:c>
      <x:c r="V58" s="12" t="str">
        <x:v>https://wikiwiki.jp/poke-unite/%E3%82%BF%E3%82%A4%E3%83%AC%E3%83%BC%E3%83%84</x:v>
      </x:c>
      <x:c r="W58" s="12" t="str">
        <x:v>https://wikiwiki.jp/poke-unite/%E4%B8%80%E8%A6%A7</x:v>
      </x:c>
      <x:c r="X58" s="12" t="str">
        <x:v>https://uniteapi.dev/jp/meta</x:v>
      </x:c>
    </x:row>
    <x:row r="59">
      <x:c r="A59" s="12" t="str">
        <x:v>ダダリン-1</x:v>
      </x:c>
      <x:c r="B59" s="12" t="str">
        <x:v>ダダリン</x:v>
      </x:c>
      <x:c r="C59" s="12" t="str">
        <x:v>共通</x:v>
      </x:c>
      <x:c r="D59" s="12" t="str">
        <x:v>Catcher</x:v>
      </x:c>
      <x:c r="E59" s="12" t="n">
        <x:v>0</x:v>
      </x:c>
      <x:c r="F59" s="12" t="n">
        <x:v>0</x:v>
      </x:c>
      <x:c r="G59" s="12" t="n">
        <x:v>-5</x:v>
      </x:c>
      <x:c r="H59" s="12" t="n">
        <x:v>-5</x:v>
      </x:c>
      <x:c r="I59" s="12" t="n">
        <x:v>5</x:v>
      </x:c>
      <x:c r="J59" s="12" t="n">
        <x:v>-10</x:v>
      </x:c>
      <x:c r="K59" s="12" t="n">
        <x:v>0</x:v>
      </x:c>
      <x:c r="L59" s="12" t="n">
        <x:v>-5</x:v>
      </x:c>
      <x:c r="M59" s="12" t="n">
        <x:v>-15</x:v>
      </x:c>
      <x:c r="N59" s="12" t="n">
        <x:v>5</x:v>
      </x:c>
      <x:c r="O59" s="12" t="n">
        <x:v>5</x:v>
      </x:c>
      <x:c r="P59" s="12" t="n">
        <x:v>5</x:v>
      </x:c>
      <x:c r="Q59" s="12" t="n">
        <x:v>0</x:v>
      </x:c>
      <x:c r="R59" s="12" t="n">
        <x:v>0</x:v>
      </x:c>
      <x:c r="S59" s="12" t="n">
        <x:v>5</x:v>
      </x:c>
      <x:c r="T59" s="12" t="str">
        <x:v>FightTempo-10 / Control+10 / Mobility-15 / SelfSufficiency+5</x:v>
      </x:c>
      <x:c r="U59" s="12" t="str">
        <x:v>高火力だが機動が低い。捕まえた相手へ短く強く仕事をするCatcherとして分離。</x:v>
      </x:c>
      <x:c r="V59" s="12" t="str">
        <x:v>https://wikiwiki.jp/poke-unite/%E3%83%80%E3%83%80%E3%83%AA%E3%83%B3</x:v>
      </x:c>
      <x:c r="W59" s="12" t="str">
        <x:v>https://wikiwiki.jp/poke-unite/%E4%B8%80%E8%A6%A7</x:v>
      </x:c>
      <x:c r="X59" s="12" t="str">
        <x:v>https://uniteapi.dev/jp/meta</x:v>
      </x:c>
    </x:row>
    <x:row r="60">
      <x:c r="A60" s="12" t="str">
        <x:v>デカヌチャン-1</x:v>
      </x:c>
      <x:c r="B60" s="12" t="str">
        <x:v>デカヌチャン</x:v>
      </x:c>
      <x:c r="C60" s="12" t="str">
        <x:v>共通</x:v>
      </x:c>
      <x:c r="D60" s="12" t="str">
        <x:v>Juggernaut</x:v>
      </x:c>
      <x:c r="E60" s="12" t="n">
        <x:v>0</x:v>
      </x:c>
      <x:c r="F60" s="12" t="n">
        <x:v>5</x:v>
      </x:c>
      <x:c r="G60" s="12" t="n">
        <x:v>0</x:v>
      </x:c>
      <x:c r="H60" s="12" t="n">
        <x:v>0</x:v>
      </x:c>
      <x:c r="I60" s="12" t="n">
        <x:v>-5</x:v>
      </x:c>
      <x:c r="J60" s="12" t="n">
        <x:v>5</x:v>
      </x:c>
      <x:c r="K60" s="12" t="n">
        <x:v>-5</x:v>
      </x:c>
      <x:c r="L60" s="12" t="n">
        <x:v>-5</x:v>
      </x:c>
      <x:c r="M60" s="12" t="n">
        <x:v>-15</x:v>
      </x:c>
      <x:c r="N60" s="12" t="n">
        <x:v>0</x:v>
      </x:c>
      <x:c r="O60" s="12" t="n">
        <x:v>15</x:v>
      </x:c>
      <x:c r="P60" s="12" t="n">
        <x:v>5</x:v>
      </x:c>
      <x:c r="Q60" s="12" t="n">
        <x:v>0</x:v>
      </x:c>
      <x:c r="R60" s="12" t="n">
        <x:v>-10</x:v>
      </x:c>
      <x:c r="S60" s="12" t="n">
        <x:v>-5</x:v>
      </x:c>
      <x:c r="T60" s="12" t="str">
        <x:v>FightTempo+10 / FarmScaling+15 / Execution-10 / Mobility-5</x:v>
      </x:c>
      <x:c r="U60" s="12" t="str">
        <x:v>Wikiのロール・長所短所と既存プロファイルの方向性を保ちながら、同アーキタイプ内の差を拡張。</x:v>
      </x:c>
      <x:c r="V60" s="12" t="str">
        <x:v>https://wikiwiki.jp/poke-unite/%E3%83%87%E3%82%AB%E3%83%8C%E3%83%81%E3%83%A3%E3%83%B3</x:v>
      </x:c>
      <x:c r="W60" s="12" t="str">
        <x:v>https://wikiwiki.jp/poke-unite/%E4%B8%80%E8%A6%A7</x:v>
      </x:c>
      <x:c r="X60" s="12" t="str">
        <x:v>https://uniteapi.dev/jp/meta</x:v>
      </x:c>
    </x:row>
    <x:row r="61">
      <x:c r="A61" s="12" t="str">
        <x:v>ネギガナイト-1</x:v>
      </x:c>
      <x:c r="B61" s="12" t="str">
        <x:v>ネギガナイト</x:v>
      </x:c>
      <x:c r="C61" s="12" t="str">
        <x:v>共通</x:v>
      </x:c>
      <x:c r="D61" s="12" t="str">
        <x:v>Diver</x:v>
      </x:c>
      <x:c r="E61" s="12" t="n">
        <x:v>0</x:v>
      </x:c>
      <x:c r="F61" s="12" t="n">
        <x:v>5</x:v>
      </x:c>
      <x:c r="G61" s="12" t="n">
        <x:v>0</x:v>
      </x:c>
      <x:c r="H61" s="12" t="n">
        <x:v>0</x:v>
      </x:c>
      <x:c r="I61" s="12" t="n">
        <x:v>0</x:v>
      </x:c>
      <x:c r="J61" s="12" t="n">
        <x:v>-5</x:v>
      </x:c>
      <x:c r="K61" s="12" t="n">
        <x:v>0</x:v>
      </x:c>
      <x:c r="L61" s="12" t="n">
        <x:v>0</x:v>
      </x:c>
      <x:c r="M61" s="12" t="n">
        <x:v>-5</x:v>
      </x:c>
      <x:c r="N61" s="12" t="n">
        <x:v>10</x:v>
      </x:c>
      <x:c r="O61" s="12" t="n">
        <x:v>0</x:v>
      </x:c>
      <x:c r="P61" s="12" t="n">
        <x:v>0</x:v>
      </x:c>
      <x:c r="Q61" s="12" t="n">
        <x:v>0</x:v>
      </x:c>
      <x:c r="R61" s="12" t="n">
        <x:v>15</x:v>
      </x:c>
      <x:c r="S61" s="12" t="n">
        <x:v>0</x:v>
      </x:c>
      <x:c r="T61" s="12" t="str">
        <x:v>Execution+15 / SelfSufficiency+10 / Mobility-5</x:v>
      </x:c>
      <x:c r="U61" s="12" t="str">
        <x:v>Wikiのロール・長所短所と既存プロファイルの方向性を保ちながら、同アーキタイプ内の差を拡張。</x:v>
      </x:c>
      <x:c r="V61" s="12" t="str">
        <x:v>https://wikiwiki.jp/poke-unite/%E3%83%8D%E3%82%AE%E3%82%AC%E3%83%8A%E3%82%A4%E3%83%88</x:v>
      </x:c>
      <x:c r="W61" s="12" t="str">
        <x:v>https://wikiwiki.jp/poke-unite/%E4%B8%80%E8%A6%A7</x:v>
      </x:c>
      <x:c r="X61" s="12" t="str">
        <x:v>https://uniteapi.dev/jp/meta</x:v>
      </x:c>
    </x:row>
    <x:row r="62">
      <x:c r="A62" s="12" t="str">
        <x:v>ハッサム-1</x:v>
      </x:c>
      <x:c r="B62" s="12" t="str">
        <x:v>ハッサム</x:v>
      </x:c>
      <x:c r="C62" s="12" t="str">
        <x:v>ストライク</x:v>
      </x:c>
      <x:c r="D62" s="12" t="str">
        <x:v>Assassin</x:v>
      </x:c>
      <x:c r="E62" s="12" t="n">
        <x:v>0</x:v>
      </x:c>
      <x:c r="F62" s="12" t="n">
        <x:v>0</x:v>
      </x:c>
      <x:c r="G62" s="12" t="n">
        <x:v>-5</x:v>
      </x:c>
      <x:c r="H62" s="12" t="n">
        <x:v>-5</x:v>
      </x:c>
      <x:c r="I62" s="12" t="n">
        <x:v>0</x:v>
      </x:c>
      <x:c r="J62" s="12" t="n">
        <x:v>-15</x:v>
      </x:c>
      <x:c r="K62" s="12" t="n">
        <x:v>0</x:v>
      </x:c>
      <x:c r="L62" s="12" t="n">
        <x:v>0</x:v>
      </x:c>
      <x:c r="M62" s="12" t="n">
        <x:v>0</x:v>
      </x:c>
      <x:c r="N62" s="12" t="n">
        <x:v>5</x:v>
      </x:c>
      <x:c r="O62" s="12" t="n">
        <x:v>5</x:v>
      </x:c>
      <x:c r="P62" s="12" t="n">
        <x:v>0</x:v>
      </x:c>
      <x:c r="Q62" s="12" t="n">
        <x:v>0</x:v>
      </x:c>
      <x:c r="R62" s="12" t="n">
        <x:v>10</x:v>
      </x:c>
      <x:c r="S62" s="12" t="n">
        <x:v>0</x:v>
      </x:c>
      <x:c r="T62" s="12" t="str">
        <x:v>Mobility+10 / FightTempo-10 / Execution+10 / SelfSufficiency+5</x:v>
      </x:c>
      <x:c r="U62" s="12" t="str">
        <x:v>Wikiのロール・長所短所と既存プロファイルの方向性を保ちながら、同アーキタイプ内の差を拡張。</x:v>
      </x:c>
      <x:c r="V62" s="12" t="str">
        <x:v>https://wikiwiki.jp/poke-unite/%E3%83%8F%E3%83%83%E3%82%B5%E3%83%A0</x:v>
      </x:c>
      <x:c r="W62" s="12" t="str">
        <x:v>https://wikiwiki.jp/poke-unite/%E4%B8%80%E8%A6%A7</x:v>
      </x:c>
      <x:c r="X62" s="12" t="str">
        <x:v>https://uniteapi.dev/jp/meta</x:v>
      </x:c>
    </x:row>
    <x:row r="63">
      <x:c r="A63" s="12" t="str">
        <x:v>ハッサム-2</x:v>
      </x:c>
      <x:c r="B63" s="12" t="str">
        <x:v>ハッサム</x:v>
      </x:c>
      <x:c r="C63" s="12" t="str">
        <x:v>ハッサム</x:v>
      </x:c>
      <x:c r="D63" s="12" t="str">
        <x:v>Skirmisher</x:v>
      </x:c>
      <x:c r="E63" s="12" t="n">
        <x:v>0</x:v>
      </x:c>
      <x:c r="F63" s="12" t="n">
        <x:v>-10</x:v>
      </x:c>
      <x:c r="G63" s="12" t="n">
        <x:v>5</x:v>
      </x:c>
      <x:c r="H63" s="12" t="n">
        <x:v>10</x:v>
      </x:c>
      <x:c r="I63" s="12" t="n">
        <x:v>0</x:v>
      </x:c>
      <x:c r="J63" s="12" t="n">
        <x:v>10</x:v>
      </x:c>
      <x:c r="K63" s="12" t="n">
        <x:v>0</x:v>
      </x:c>
      <x:c r="L63" s="12" t="n">
        <x:v>5</x:v>
      </x:c>
      <x:c r="M63" s="12" t="n">
        <x:v>-10</x:v>
      </x:c>
      <x:c r="N63" s="12" t="n">
        <x:v>0</x:v>
      </x:c>
      <x:c r="O63" s="12" t="n">
        <x:v>5</x:v>
      </x:c>
      <x:c r="P63" s="12" t="n">
        <x:v>0</x:v>
      </x:c>
      <x:c r="Q63" s="12" t="n">
        <x:v>-5</x:v>
      </x:c>
      <x:c r="R63" s="12" t="n">
        <x:v>-10</x:v>
      </x:c>
      <x:c r="S63" s="12" t="n">
        <x:v>0</x:v>
      </x:c>
      <x:c r="T63" s="12" t="str">
        <x:v>なし（既存個体差の拡張のみ）</x:v>
      </x:c>
      <x:c r="U63" s="12" t="str">
        <x:v>Wikiのロール・長所短所と既存プロファイルの方向性を保ちながら、同アーキタイプ内の差を拡張。</x:v>
      </x:c>
      <x:c r="V63" s="12" t="str">
        <x:v>https://wikiwiki.jp/poke-unite/%E3%83%8F%E3%83%83%E3%82%B5%E3%83%A0</x:v>
      </x:c>
      <x:c r="W63" s="12" t="str">
        <x:v>https://wikiwiki.jp/poke-unite/%E4%B8%80%E8%A6%A7</x:v>
      </x:c>
      <x:c r="X63" s="12" t="str">
        <x:v>https://uniteapi.dev/jp/meta</x:v>
      </x:c>
    </x:row>
    <x:row r="64">
      <x:c r="A64" s="12" t="str">
        <x:v>バシャーモ-1</x:v>
      </x:c>
      <x:c r="B64" s="12" t="str">
        <x:v>バシャーモ</x:v>
      </x:c>
      <x:c r="C64" s="12" t="str">
        <x:v>共通</x:v>
      </x:c>
      <x:c r="D64" s="12" t="str">
        <x:v>Diver</x:v>
      </x:c>
      <x:c r="E64" s="12" t="n">
        <x:v>0</x:v>
      </x:c>
      <x:c r="F64" s="12" t="n">
        <x:v>5</x:v>
      </x:c>
      <x:c r="G64" s="12" t="n">
        <x:v>0</x:v>
      </x:c>
      <x:c r="H64" s="12" t="n">
        <x:v>-5</x:v>
      </x:c>
      <x:c r="I64" s="12" t="n">
        <x:v>0</x:v>
      </x:c>
      <x:c r="J64" s="12" t="n">
        <x:v>5</x:v>
      </x:c>
      <x:c r="K64" s="12" t="n">
        <x:v>0</x:v>
      </x:c>
      <x:c r="L64" s="12" t="n">
        <x:v>0</x:v>
      </x:c>
      <x:c r="M64" s="12" t="n">
        <x:v>0</x:v>
      </x:c>
      <x:c r="N64" s="12" t="n">
        <x:v>0</x:v>
      </x:c>
      <x:c r="O64" s="12" t="n">
        <x:v>0</x:v>
      </x:c>
      <x:c r="P64" s="12" t="n">
        <x:v>0</x:v>
      </x:c>
      <x:c r="Q64" s="12" t="n">
        <x:v>0</x:v>
      </x:c>
      <x:c r="R64" s="12" t="n">
        <x:v>10</x:v>
      </x:c>
      <x:c r="S64" s="12" t="n">
        <x:v>5</x:v>
      </x:c>
      <x:c r="T64" s="12" t="str">
        <x:v>なし（既存個体差の拡張のみ）</x:v>
      </x:c>
      <x:c r="U64" s="12" t="str">
        <x:v>Wikiのロール・長所短所と既存プロファイルの方向性を保ちながら、同アーキタイプ内の差を拡張。</x:v>
      </x:c>
      <x:c r="V64" s="12" t="str">
        <x:v>https://wikiwiki.jp/poke-unite/%E3%83%90%E3%82%B7%E3%83%A3%E3%83%BC%E3%83%A2</x:v>
      </x:c>
      <x:c r="W64" s="12" t="str">
        <x:v>https://wikiwiki.jp/poke-unite/%E4%B8%80%E8%A6%A7</x:v>
      </x:c>
      <x:c r="X64" s="12" t="str">
        <x:v>https://uniteapi.dev/jp/meta</x:v>
      </x:c>
    </x:row>
    <x:row r="65">
      <x:c r="A65" s="12" t="str">
        <x:v>バンギラス-1</x:v>
      </x:c>
      <x:c r="B65" s="12" t="str">
        <x:v>バンギラス</x:v>
      </x:c>
      <x:c r="C65" s="12" t="str">
        <x:v>共通</x:v>
      </x:c>
      <x:c r="D65" s="12" t="str">
        <x:v>Juggernaut</x:v>
      </x:c>
      <x:c r="E65" s="12" t="n">
        <x:v>0</x:v>
      </x:c>
      <x:c r="F65" s="12" t="n">
        <x:v>5</x:v>
      </x:c>
      <x:c r="G65" s="12" t="n">
        <x:v>0</x:v>
      </x:c>
      <x:c r="H65" s="12" t="n">
        <x:v>0</x:v>
      </x:c>
      <x:c r="I65" s="12" t="n">
        <x:v>-5</x:v>
      </x:c>
      <x:c r="J65" s="12" t="n">
        <x:v>0</x:v>
      </x:c>
      <x:c r="K65" s="12" t="n">
        <x:v>-5</x:v>
      </x:c>
      <x:c r="L65" s="12" t="n">
        <x:v>-5</x:v>
      </x:c>
      <x:c r="M65" s="12" t="n">
        <x:v>-15</x:v>
      </x:c>
      <x:c r="N65" s="12" t="n">
        <x:v>10</x:v>
      </x:c>
      <x:c r="O65" s="12" t="n">
        <x:v>15</x:v>
      </x:c>
      <x:c r="P65" s="12" t="n">
        <x:v>-10</x:v>
      </x:c>
      <x:c r="Q65" s="12" t="n">
        <x:v>0</x:v>
      </x:c>
      <x:c r="R65" s="12" t="n">
        <x:v>0</x:v>
      </x:c>
      <x:c r="S65" s="12" t="n">
        <x:v>-5</x:v>
      </x:c>
      <x:c r="T65" s="12" t="str">
        <x:v>Frontline+10 / Mobility-10 / FarmScaling+15 / SelfSufficiency+10 / ObjectiveSecure-10</x:v>
      </x:c>
      <x:c r="U65" s="12" t="str">
        <x:v>高耐久・防御/シールド無視・集団戦存在感。極端な晩成と低機動を強調。</x:v>
      </x:c>
      <x:c r="V65" s="12" t="str">
        <x:v>https://wikiwiki.jp/poke-unite/%E3%83%90%E3%83%B3%E3%82%AE%E3%83%A9%E3%82%B9</x:v>
      </x:c>
      <x:c r="W65" s="12" t="str">
        <x:v>https://wikiwiki.jp/poke-unite/%E4%B8%80%E8%A6%A7</x:v>
      </x:c>
      <x:c r="X65" s="12" t="str">
        <x:v>https://uniteapi.dev/jp/meta</x:v>
      </x:c>
    </x:row>
    <x:row r="66">
      <x:c r="A66" s="12" t="str">
        <x:v>パルキア-1</x:v>
      </x:c>
      <x:c r="B66" s="12" t="str">
        <x:v>パルキア</x:v>
      </x:c>
      <x:c r="C66" s="12" t="str">
        <x:v>共通</x:v>
      </x:c>
      <x:c r="D66" s="12" t="str">
        <x:v>Diver</x:v>
      </x:c>
      <x:c r="E66" s="12" t="n">
        <x:v>0</x:v>
      </x:c>
      <x:c r="F66" s="12" t="n">
        <x:v>5</x:v>
      </x:c>
      <x:c r="G66" s="12" t="n">
        <x:v>0</x:v>
      </x:c>
      <x:c r="H66" s="12" t="n">
        <x:v>10</x:v>
      </x:c>
      <x:c r="I66" s="12" t="n">
        <x:v>0</x:v>
      </x:c>
      <x:c r="J66" s="12" t="n">
        <x:v>0</x:v>
      </x:c>
      <x:c r="K66" s="12" t="n">
        <x:v>0</x:v>
      </x:c>
      <x:c r="L66" s="12" t="n">
        <x:v>0</x:v>
      </x:c>
      <x:c r="M66" s="12" t="n">
        <x:v>5</x:v>
      </x:c>
      <x:c r="N66" s="12" t="n">
        <x:v>0</x:v>
      </x:c>
      <x:c r="O66" s="12" t="n">
        <x:v>0</x:v>
      </x:c>
      <x:c r="P66" s="12" t="n">
        <x:v>0</x:v>
      </x:c>
      <x:c r="Q66" s="12" t="n">
        <x:v>0</x:v>
      </x:c>
      <x:c r="R66" s="12" t="n">
        <x:v>0</x:v>
      </x:c>
      <x:c r="S66" s="12" t="n">
        <x:v>0</x:v>
      </x:c>
      <x:c r="T66" s="12" t="str">
        <x:v>なし（既存個体差の拡張のみ）</x:v>
      </x:c>
      <x:c r="U66" s="12" t="str">
        <x:v>Wikiのロール・長所短所と既存プロファイルの方向性を保ちながら、同アーキタイプ内の差を拡張。</x:v>
      </x:c>
      <x:c r="V66" s="12" t="str">
        <x:v>https://wikiwiki.jp/poke-unite/%E3%83%91%E3%83%AB%E3%82%AD%E3%82%A2</x:v>
      </x:c>
      <x:c r="W66" s="12" t="str">
        <x:v>https://wikiwiki.jp/poke-unite/%E4%B8%80%E8%A6%A7</x:v>
      </x:c>
      <x:c r="X66" s="12" t="str">
        <x:v>https://uniteapi.dev/jp/meta</x:v>
      </x:c>
    </x:row>
    <x:row r="67">
      <x:c r="A67" s="12" t="str">
        <x:v>パーモット-1</x:v>
      </x:c>
      <x:c r="B67" s="12" t="str">
        <x:v>パーモット</x:v>
      </x:c>
      <x:c r="C67" s="12" t="str">
        <x:v>共通</x:v>
      </x:c>
      <x:c r="D67" s="12" t="str">
        <x:v>Diver</x:v>
      </x:c>
      <x:c r="E67" s="12" t="n">
        <x:v>0</x:v>
      </x:c>
      <x:c r="F67" s="12" t="n">
        <x:v>5</x:v>
      </x:c>
      <x:c r="G67" s="12" t="n">
        <x:v>0</x:v>
      </x:c>
      <x:c r="H67" s="12" t="n">
        <x:v>-5</x:v>
      </x:c>
      <x:c r="I67" s="12" t="n">
        <x:v>0</x:v>
      </x:c>
      <x:c r="J67" s="12" t="n">
        <x:v>-10</x:v>
      </x:c>
      <x:c r="K67" s="12" t="n">
        <x:v>0</x:v>
      </x:c>
      <x:c r="L67" s="12" t="n">
        <x:v>0</x:v>
      </x:c>
      <x:c r="M67" s="12" t="n">
        <x:v>10</x:v>
      </x:c>
      <x:c r="N67" s="12" t="n">
        <x:v>0</x:v>
      </x:c>
      <x:c r="O67" s="12" t="n">
        <x:v>15</x:v>
      </x:c>
      <x:c r="P67" s="12" t="n">
        <x:v>0</x:v>
      </x:c>
      <x:c r="Q67" s="12" t="n">
        <x:v>0</x:v>
      </x:c>
      <x:c r="R67" s="12" t="n">
        <x:v>5</x:v>
      </x:c>
      <x:c r="S67" s="12" t="n">
        <x:v>0</x:v>
      </x:c>
      <x:c r="T67" s="12" t="str">
        <x:v>Dive+10 / Mobility+10 / FightTempo-10 / FarmScaling+15 / Execution+5</x:v>
      </x:c>
      <x:c r="U67" s="12" t="str">
        <x:v>接近コンボの高火力・回復、ユナイト爆発力。晩成かつ機動的なダイバー。</x:v>
      </x:c>
      <x:c r="V67" s="12" t="str">
        <x:v>https://wikiwiki.jp/poke-unite/%E3%83%91%E3%83%BC%E3%83%A2%E3%83%83%E3%83%88</x:v>
      </x:c>
      <x:c r="W67" s="12" t="str">
        <x:v>https://wikiwiki.jp/poke-unite/%E4%B8%80%E8%A6%A7</x:v>
      </x:c>
      <x:c r="X67" s="12" t="str">
        <x:v>https://uniteapi.dev/jp/meta</x:v>
      </x:c>
    </x:row>
    <x:row r="68">
      <x:c r="A68" s="12" t="str">
        <x:v>ファイヤー-1</x:v>
      </x:c>
      <x:c r="B68" s="12" t="str">
        <x:v>ファイヤー</x:v>
      </x:c>
      <x:c r="C68" s="12" t="str">
        <x:v>共通</x:v>
      </x:c>
      <x:c r="D68" s="12" t="str">
        <x:v>Juggernaut</x:v>
      </x:c>
      <x:c r="E68" s="12" t="n">
        <x:v>0</x:v>
      </x:c>
      <x:c r="F68" s="12" t="n">
        <x:v>5</x:v>
      </x:c>
      <x:c r="G68" s="12" t="n">
        <x:v>0</x:v>
      </x:c>
      <x:c r="H68" s="12" t="n">
        <x:v>0</x:v>
      </x:c>
      <x:c r="I68" s="12" t="n">
        <x:v>-5</x:v>
      </x:c>
      <x:c r="J68" s="12" t="n">
        <x:v>10</x:v>
      </x:c>
      <x:c r="K68" s="12" t="n">
        <x:v>-10</x:v>
      </x:c>
      <x:c r="L68" s="12" t="n">
        <x:v>-5</x:v>
      </x:c>
      <x:c r="M68" s="12" t="n">
        <x:v>-5</x:v>
      </x:c>
      <x:c r="N68" s="12" t="n">
        <x:v>0</x:v>
      </x:c>
      <x:c r="O68" s="12" t="n">
        <x:v>10</x:v>
      </x:c>
      <x:c r="P68" s="12" t="n">
        <x:v>5</x:v>
      </x:c>
      <x:c r="Q68" s="12" t="n">
        <x:v>0</x:v>
      </x:c>
      <x:c r="R68" s="12" t="n">
        <x:v>0</x:v>
      </x:c>
      <x:c r="S68" s="12" t="n">
        <x:v>-5</x:v>
      </x:c>
      <x:c r="T68" s="12" t="str">
        <x:v>なし（既存個体差の拡張のみ）</x:v>
      </x:c>
      <x:c r="U68" s="12" t="str">
        <x:v>Wikiのロール・長所短所と既存プロファイルの方向性を保ちながら、同アーキタイプ内の差を拡張。</x:v>
      </x:c>
      <x:c r="V68" s="12" t="str">
        <x:v>https://wikiwiki.jp/poke-unite/%E3%83%95%E3%82%A1%E3%82%A4%E3%83%A4%E3%83%BC</x:v>
      </x:c>
      <x:c r="W68" s="12" t="str">
        <x:v>https://wikiwiki.jp/poke-unite/%E4%B8%80%E8%A6%A7</x:v>
      </x:c>
      <x:c r="X68" s="12" t="str">
        <x:v>https://uniteapi.dev/jp/meta</x:v>
      </x:c>
    </x:row>
    <x:row r="69">
      <x:c r="A69" s="12" t="str">
        <x:v>マッシブーン-1</x:v>
      </x:c>
      <x:c r="B69" s="12" t="str">
        <x:v>マッシブーン</x:v>
      </x:c>
      <x:c r="C69" s="12" t="str">
        <x:v>共通</x:v>
      </x:c>
      <x:c r="D69" s="12" t="str">
        <x:v>Catcher</x:v>
      </x:c>
      <x:c r="E69" s="12" t="n">
        <x:v>0</x:v>
      </x:c>
      <x:c r="F69" s="12" t="n">
        <x:v>0</x:v>
      </x:c>
      <x:c r="G69" s="12" t="n">
        <x:v>-5</x:v>
      </x:c>
      <x:c r="H69" s="12" t="n">
        <x:v>-5</x:v>
      </x:c>
      <x:c r="I69" s="12" t="n">
        <x:v>5</x:v>
      </x:c>
      <x:c r="J69" s="12" t="n">
        <x:v>0</x:v>
      </x:c>
      <x:c r="K69" s="12" t="n">
        <x:v>0</x:v>
      </x:c>
      <x:c r="L69" s="12" t="n">
        <x:v>0</x:v>
      </x:c>
      <x:c r="M69" s="12" t="n">
        <x:v>0</x:v>
      </x:c>
      <x:c r="N69" s="12" t="n">
        <x:v>10</x:v>
      </x:c>
      <x:c r="O69" s="12" t="n">
        <x:v>5</x:v>
      </x:c>
      <x:c r="P69" s="12" t="n">
        <x:v>5</x:v>
      </x:c>
      <x:c r="Q69" s="12" t="n">
        <x:v>0</x:v>
      </x:c>
      <x:c r="R69" s="12" t="n">
        <x:v>5</x:v>
      </x:c>
      <x:c r="S69" s="12" t="n">
        <x:v>5</x:v>
      </x:c>
      <x:c r="T69" s="12" t="str">
        <x:v>Control+15 / SelfSufficiency+10 / FightTempo+5 / Execution+5</x:v>
      </x:c>
      <x:c r="U69" s="12" t="str">
        <x:v>拘束・回復・ゲージ管理、近接相手への高いメタ性能。Control/SelfSufficiencyを強調。</x:v>
      </x:c>
      <x:c r="V69" s="12" t="str">
        <x:v>https://wikiwiki.jp/poke-unite/%E3%83%9E%E3%83%83%E3%82%B7%E3%83%96%E3%83%BC%E3%83%B3</x:v>
      </x:c>
      <x:c r="W69" s="12" t="str">
        <x:v>https://wikiwiki.jp/poke-unite/%E4%B8%80%E8%A6%A7</x:v>
      </x:c>
      <x:c r="X69" s="12" t="str">
        <x:v>https://uniteapi.dev/jp/meta</x:v>
      </x:c>
    </x:row>
    <x:row r="70">
      <x:c r="A70" s="12" t="str">
        <x:v>マリルリ-1</x:v>
      </x:c>
      <x:c r="B70" s="12" t="str">
        <x:v>マリルリ</x:v>
      </x:c>
      <x:c r="C70" s="12" t="str">
        <x:v>共通</x:v>
      </x:c>
      <x:c r="D70" s="12" t="str">
        <x:v>Diver</x:v>
      </x:c>
      <x:c r="E70" s="12" t="n">
        <x:v>0</x:v>
      </x:c>
      <x:c r="F70" s="12" t="n">
        <x:v>5</x:v>
      </x:c>
      <x:c r="G70" s="12" t="n">
        <x:v>0</x:v>
      </x:c>
      <x:c r="H70" s="12" t="n">
        <x:v>-5</x:v>
      </x:c>
      <x:c r="I70" s="12" t="n">
        <x:v>0</x:v>
      </x:c>
      <x:c r="J70" s="12" t="n">
        <x:v>5</x:v>
      </x:c>
      <x:c r="K70" s="12" t="n">
        <x:v>0</x:v>
      </x:c>
      <x:c r="L70" s="12" t="n">
        <x:v>0</x:v>
      </x:c>
      <x:c r="M70" s="12" t="n">
        <x:v>-15</x:v>
      </x:c>
      <x:c r="N70" s="12" t="n">
        <x:v>10</x:v>
      </x:c>
      <x:c r="O70" s="12" t="n">
        <x:v>-15</x:v>
      </x:c>
      <x:c r="P70" s="12" t="n">
        <x:v>0</x:v>
      </x:c>
      <x:c r="Q70" s="12" t="n">
        <x:v>0</x:v>
      </x:c>
      <x:c r="R70" s="12" t="n">
        <x:v>0</x:v>
      </x:c>
      <x:c r="S70" s="12" t="n">
        <x:v>0</x:v>
      </x:c>
      <x:c r="T70" s="12" t="str">
        <x:v>FarmScaling-15 / Mobility-10 / SelfSufficiency+10 / FightTempo+5</x:v>
      </x:c>
      <x:c r="U70" s="12" t="str">
        <x:v>高火力・回復に加え序盤から存在感。パーモットより早熟・低機動。</x:v>
      </x:c>
      <x:c r="V70" s="12" t="str">
        <x:v>https://wikiwiki.jp/poke-unite/%E3%83%9E%E3%83%AA%E3%83%AB%E3%83%AA</x:v>
      </x:c>
      <x:c r="W70" s="12" t="str">
        <x:v>https://wikiwiki.jp/poke-unite/%E4%B8%80%E8%A6%A7</x:v>
      </x:c>
      <x:c r="X70" s="12" t="str">
        <x:v>https://uniteapi.dev/jp/meta</x:v>
      </x:c>
    </x:row>
    <x:row r="71">
      <x:c r="A71" s="12" t="str">
        <x:v>ミミッキュ-1</x:v>
      </x:c>
      <x:c r="B71" s="12" t="str">
        <x:v>ミミッキュ</x:v>
      </x:c>
      <x:c r="C71" s="12" t="str">
        <x:v>じゃれつく</x:v>
      </x:c>
      <x:c r="D71" s="12" t="str">
        <x:v>Assassin</x:v>
      </x:c>
      <x:c r="E71" s="12" t="n">
        <x:v>0</x:v>
      </x:c>
      <x:c r="F71" s="12" t="n">
        <x:v>0</x:v>
      </x:c>
      <x:c r="G71" s="12" t="n">
        <x:v>-5</x:v>
      </x:c>
      <x:c r="H71" s="12" t="n">
        <x:v>5</x:v>
      </x:c>
      <x:c r="I71" s="12" t="n">
        <x:v>0</x:v>
      </x:c>
      <x:c r="J71" s="12" t="n">
        <x:v>-10</x:v>
      </x:c>
      <x:c r="K71" s="12" t="n">
        <x:v>0</x:v>
      </x:c>
      <x:c r="L71" s="12" t="n">
        <x:v>0</x:v>
      </x:c>
      <x:c r="M71" s="12" t="n">
        <x:v>0</x:v>
      </x:c>
      <x:c r="N71" s="12" t="n">
        <x:v>10</x:v>
      </x:c>
      <x:c r="O71" s="12" t="n">
        <x:v>5</x:v>
      </x:c>
      <x:c r="P71" s="12" t="n">
        <x:v>0</x:v>
      </x:c>
      <x:c r="Q71" s="12" t="n">
        <x:v>0</x:v>
      </x:c>
      <x:c r="R71" s="12" t="n">
        <x:v>0</x:v>
      </x:c>
      <x:c r="S71" s="12" t="n">
        <x:v>0</x:v>
      </x:c>
      <x:c r="T71" s="12" t="str">
        <x:v>Dive+10 / SelfSufficiency+10 / Mobility+5</x:v>
      </x:c>
      <x:c r="U71" s="12" t="str">
        <x:v>Wikiのロール・長所短所と既存プロファイルの方向性を保ちながら、同アーキタイプ内の差を拡張。</x:v>
      </x:c>
      <x:c r="V71" s="12" t="str">
        <x:v>https://wikiwiki.jp/poke-unite/%E3%83%9F%E3%83%9F%E3%83%83%E3%82%AD%E3%83%A5</x:v>
      </x:c>
      <x:c r="W71" s="12" t="str">
        <x:v>https://wikiwiki.jp/poke-unite/%E4%B8%80%E8%A6%A7</x:v>
      </x:c>
      <x:c r="X71" s="12" t="str">
        <x:v>https://uniteapi.dev/jp/meta</x:v>
      </x:c>
    </x:row>
    <x:row r="72">
      <x:c r="A72" s="12" t="str">
        <x:v>ミミッキュ-2</x:v>
      </x:c>
      <x:c r="B72" s="12" t="str">
        <x:v>ミミッキュ</x:v>
      </x:c>
      <x:c r="C72" s="12" t="str">
        <x:v>シャドークロー</x:v>
      </x:c>
      <x:c r="D72" s="12" t="str">
        <x:v>Skirmisher</x:v>
      </x:c>
      <x:c r="E72" s="12" t="n">
        <x:v>0</x:v>
      </x:c>
      <x:c r="F72" s="12" t="n">
        <x:v>0</x:v>
      </x:c>
      <x:c r="G72" s="12" t="n">
        <x:v>0</x:v>
      </x:c>
      <x:c r="H72" s="12" t="n">
        <x:v>10</x:v>
      </x:c>
      <x:c r="I72" s="12" t="n">
        <x:v>0</x:v>
      </x:c>
      <x:c r="J72" s="12" t="n">
        <x:v>10</x:v>
      </x:c>
      <x:c r="K72" s="12" t="n">
        <x:v>0</x:v>
      </x:c>
      <x:c r="L72" s="12" t="n">
        <x:v>0</x:v>
      </x:c>
      <x:c r="M72" s="12" t="n">
        <x:v>0</x:v>
      </x:c>
      <x:c r="N72" s="12" t="n">
        <x:v>0</x:v>
      </x:c>
      <x:c r="O72" s="12" t="n">
        <x:v>5</x:v>
      </x:c>
      <x:c r="P72" s="12" t="n">
        <x:v>0</x:v>
      </x:c>
      <x:c r="Q72" s="12" t="n">
        <x:v>0</x:v>
      </x:c>
      <x:c r="R72" s="12" t="n">
        <x:v>0</x:v>
      </x:c>
      <x:c r="S72" s="12" t="n">
        <x:v>0</x:v>
      </x:c>
      <x:c r="T72" s="12" t="str">
        <x:v>なし（既存個体差の拡張のみ）</x:v>
      </x:c>
      <x:c r="U72" s="12" t="str">
        <x:v>Wikiのロール・長所短所と既存プロファイルの方向性を保ちながら、同アーキタイプ内の差を拡張。</x:v>
      </x:c>
      <x:c r="V72" s="12" t="str">
        <x:v>https://wikiwiki.jp/poke-unite/%E3%83%9F%E3%83%9F%E3%83%83%E3%82%AD%E3%83%A5</x:v>
      </x:c>
      <x:c r="W72" s="12" t="str">
        <x:v>https://wikiwiki.jp/poke-unite/%E4%B8%80%E8%A6%A7</x:v>
      </x:c>
      <x:c r="X72" s="12" t="str">
        <x:v>https://uniteapi.dev/jp/meta</x:v>
      </x:c>
    </x:row>
    <x:row r="73">
      <x:c r="A73" s="12" t="str">
        <x:v>ミュウツー(X)-1</x:v>
      </x:c>
      <x:c r="B73" s="12" t="str">
        <x:v>ミュウツー(X)</x:v>
      </x:c>
      <x:c r="C73" s="12" t="str">
        <x:v>共通</x:v>
      </x:c>
      <x:c r="D73" s="12" t="str">
        <x:v>Juggernaut</x:v>
      </x:c>
      <x:c r="E73" s="12" t="n">
        <x:v>5</x:v>
      </x:c>
      <x:c r="F73" s="12" t="n">
        <x:v>0</x:v>
      </x:c>
      <x:c r="G73" s="12" t="n">
        <x:v>5</x:v>
      </x:c>
      <x:c r="H73" s="12" t="n">
        <x:v>5</x:v>
      </x:c>
      <x:c r="I73" s="12" t="n">
        <x:v>10</x:v>
      </x:c>
      <x:c r="J73" s="12" t="n">
        <x:v>-10</x:v>
      </x:c>
      <x:c r="K73" s="12" t="n">
        <x:v>15</x:v>
      </x:c>
      <x:c r="L73" s="12" t="n">
        <x:v>-5</x:v>
      </x:c>
      <x:c r="M73" s="12" t="n">
        <x:v>5</x:v>
      </x:c>
      <x:c r="N73" s="12" t="n">
        <x:v>-5</x:v>
      </x:c>
      <x:c r="O73" s="12" t="n">
        <x:v>-5</x:v>
      </x:c>
      <x:c r="P73" s="12" t="n">
        <x:v>-5</x:v>
      </x:c>
      <x:c r="Q73" s="12" t="n">
        <x:v>-5</x:v>
      </x:c>
      <x:c r="R73" s="12" t="n">
        <x:v>-15</x:v>
      </x:c>
      <x:c r="S73" s="12" t="n">
        <x:v>10</x:v>
      </x:c>
      <x:c r="T73" s="12" t="str">
        <x:v>Control+15 / Execution-15 / Engage-5 / Frontline+5</x:v>
      </x:c>
      <x:c r="U73" s="12" t="str">
        <x:v>Wikiのロール・長所短所と既存プロファイルの方向性を保ちながら、同アーキタイプ内の差を拡張。</x:v>
      </x:c>
      <x:c r="V73" s="12" t="str">
        <x:v>https://wikiwiki.jp/poke-unite/%E3%83%9F%E3%83%A5%E3%82%A6%E3%83%84%E3%83%BC(X)</x:v>
      </x:c>
      <x:c r="W73" s="12" t="str">
        <x:v>https://wikiwiki.jp/poke-unite/%E4%B8%80%E8%A6%A7</x:v>
      </x:c>
      <x:c r="X73" s="12" t="str">
        <x:v>https://uniteapi.dev/jp/meta</x:v>
      </x:c>
    </x:row>
    <x:row r="74">
      <x:c r="A74" s="12" t="str">
        <x:v>メタグロス-1</x:v>
      </x:c>
      <x:c r="B74" s="12" t="str">
        <x:v>メタグロス</x:v>
      </x:c>
      <x:c r="C74" s="12" t="str">
        <x:v>共通</x:v>
      </x:c>
      <x:c r="D74" s="12" t="str">
        <x:v>Diver</x:v>
      </x:c>
      <x:c r="E74" s="12" t="n">
        <x:v>-5</x:v>
      </x:c>
      <x:c r="F74" s="12" t="n">
        <x:v>-10</x:v>
      </x:c>
      <x:c r="G74" s="12" t="n">
        <x:v>5</x:v>
      </x:c>
      <x:c r="H74" s="12" t="n">
        <x:v>10</x:v>
      </x:c>
      <x:c r="I74" s="12" t="n">
        <x:v>0</x:v>
      </x:c>
      <x:c r="J74" s="12" t="n">
        <x:v>10</x:v>
      </x:c>
      <x:c r="K74" s="12" t="n">
        <x:v>0</x:v>
      </x:c>
      <x:c r="L74" s="12" t="n">
        <x:v>0</x:v>
      </x:c>
      <x:c r="M74" s="12" t="n">
        <x:v>-10</x:v>
      </x:c>
      <x:c r="N74" s="12" t="n">
        <x:v>0</x:v>
      </x:c>
      <x:c r="O74" s="12" t="n">
        <x:v>0</x:v>
      </x:c>
      <x:c r="P74" s="12" t="n">
        <x:v>5</x:v>
      </x:c>
      <x:c r="Q74" s="12" t="n">
        <x:v>-10</x:v>
      </x:c>
      <x:c r="R74" s="12" t="n">
        <x:v>-10</x:v>
      </x:c>
      <x:c r="S74" s="12" t="n">
        <x:v>-5</x:v>
      </x:c>
      <x:c r="T74" s="12" t="str">
        <x:v>なし（既存個体差の拡張のみ）</x:v>
      </x:c>
      <x:c r="U74" s="12" t="str">
        <x:v>Wikiのロール・長所短所と既存プロファイルの方向性を保ちながら、同アーキタイプ内の差を拡張。</x:v>
      </x:c>
      <x:c r="V74" s="12" t="str">
        <x:v>https://wikiwiki.jp/poke-unite/%E3%83%A1%E3%82%BF%E3%82%B0%E3%83%AD%E3%82%B9</x:v>
      </x:c>
      <x:c r="W74" s="12" t="str">
        <x:v>https://wikiwiki.jp/poke-unite/%E4%B8%80%E8%A6%A7</x:v>
      </x:c>
      <x:c r="X74" s="12" t="str">
        <x:v>https://uniteapi.dev/jp/meta</x:v>
      </x:c>
    </x:row>
    <x:row r="75">
      <x:c r="A75" s="12" t="str">
        <x:v>リザードン-1</x:v>
      </x:c>
      <x:c r="B75" s="12" t="str">
        <x:v>リザードン</x:v>
      </x:c>
      <x:c r="C75" s="12" t="str">
        <x:v>だいもんじ</x:v>
      </x:c>
      <x:c r="D75" s="12" t="str">
        <x:v>BattleMage</x:v>
      </x:c>
      <x:c r="E75" s="12" t="n">
        <x:v>-10</x:v>
      </x:c>
      <x:c r="F75" s="12" t="n">
        <x:v>-10</x:v>
      </x:c>
      <x:c r="G75" s="12" t="n">
        <x:v>-5</x:v>
      </x:c>
      <x:c r="H75" s="12" t="n">
        <x:v>-5</x:v>
      </x:c>
      <x:c r="I75" s="12" t="n">
        <x:v>10</x:v>
      </x:c>
      <x:c r="J75" s="12" t="n">
        <x:v>0</x:v>
      </x:c>
      <x:c r="K75" s="12" t="n">
        <x:v>-10</x:v>
      </x:c>
      <x:c r="L75" s="12" t="n">
        <x:v>-5</x:v>
      </x:c>
      <x:c r="M75" s="12" t="n">
        <x:v>-5</x:v>
      </x:c>
      <x:c r="N75" s="12" t="n">
        <x:v>0</x:v>
      </x:c>
      <x:c r="O75" s="12" t="n">
        <x:v>5</x:v>
      </x:c>
      <x:c r="P75" s="12" t="n">
        <x:v>5</x:v>
      </x:c>
      <x:c r="Q75" s="12" t="n">
        <x:v>0</x:v>
      </x:c>
      <x:c r="R75" s="12" t="n">
        <x:v>-5</x:v>
      </x:c>
      <x:c r="S75" s="12" t="n">
        <x:v>0</x:v>
      </x:c>
      <x:c r="T75" s="12" t="str">
        <x:v>なし（既存個体差の拡張のみ）</x:v>
      </x:c>
      <x:c r="U75" s="12" t="str">
        <x:v>Wikiのロール・長所短所と既存プロファイルの方向性を保ちながら、同アーキタイプ内の差を拡張。</x:v>
      </x:c>
      <x:c r="V75" s="12" t="str">
        <x:v>https://wikiwiki.jp/poke-unite/%E3%83%AA%E3%82%B6%E3%83%BC%E3%83%89%E3%83%B3</x:v>
      </x:c>
      <x:c r="W75" s="12" t="str">
        <x:v>https://wikiwiki.jp/poke-unite/%E4%B8%80%E8%A6%A7</x:v>
      </x:c>
      <x:c r="X75" s="12" t="str">
        <x:v>https://uniteapi.dev/jp/meta</x:v>
      </x:c>
    </x:row>
    <x:row r="76">
      <x:c r="A76" s="12" t="str">
        <x:v>リザードン-2</x:v>
      </x:c>
      <x:c r="B76" s="12" t="str">
        <x:v>リザードン</x:v>
      </x:c>
      <x:c r="C76" s="12" t="str">
        <x:v>フレアドライブ</x:v>
      </x:c>
      <x:c r="D76" s="12" t="str">
        <x:v>Diver</x:v>
      </x:c>
      <x:c r="E76" s="12" t="n">
        <x:v>0</x:v>
      </x:c>
      <x:c r="F76" s="12" t="n">
        <x:v>5</x:v>
      </x:c>
      <x:c r="G76" s="12" t="n">
        <x:v>0</x:v>
      </x:c>
      <x:c r="H76" s="12" t="n">
        <x:v>10</x:v>
      </x:c>
      <x:c r="I76" s="12" t="n">
        <x:v>-5</x:v>
      </x:c>
      <x:c r="J76" s="12" t="n">
        <x:v>10</x:v>
      </x:c>
      <x:c r="K76" s="12" t="n">
        <x:v>0</x:v>
      </x:c>
      <x:c r="L76" s="12" t="n">
        <x:v>0</x:v>
      </x:c>
      <x:c r="M76" s="12" t="n">
        <x:v>0</x:v>
      </x:c>
      <x:c r="N76" s="12" t="n">
        <x:v>0</x:v>
      </x:c>
      <x:c r="O76" s="12" t="n">
        <x:v>0</x:v>
      </x:c>
      <x:c r="P76" s="12" t="n">
        <x:v>0</x:v>
      </x:c>
      <x:c r="Q76" s="12" t="n">
        <x:v>0</x:v>
      </x:c>
      <x:c r="R76" s="12" t="n">
        <x:v>0</x:v>
      </x:c>
      <x:c r="S76" s="12" t="n">
        <x:v>0</x:v>
      </x:c>
      <x:c r="T76" s="12" t="str">
        <x:v>なし（既存個体差の拡張のみ）</x:v>
      </x:c>
      <x:c r="U76" s="12" t="str">
        <x:v>Wikiのロール・長所短所と既存プロファイルの方向性を保ちながら、同アーキタイプ内の差を拡張。</x:v>
      </x:c>
      <x:c r="V76" s="12" t="str">
        <x:v>https://wikiwiki.jp/poke-unite/%E3%83%AA%E3%82%B6%E3%83%BC%E3%83%89%E3%83%B3</x:v>
      </x:c>
      <x:c r="W76" s="12" t="str">
        <x:v>https://wikiwiki.jp/poke-unite/%E4%B8%80%E8%A6%A7</x:v>
      </x:c>
      <x:c r="X76" s="12" t="str">
        <x:v>https://uniteapi.dev/jp/meta</x:v>
      </x:c>
    </x:row>
    <x:row r="77">
      <x:c r="A77" s="12" t="str">
        <x:v>メガリザードンX-1</x:v>
      </x:c>
      <x:c r="B77" s="12" t="str">
        <x:v>メガリザードンX</x:v>
      </x:c>
      <x:c r="C77" s="12" t="str">
        <x:v>共通</x:v>
      </x:c>
      <x:c r="D77" s="12" t="str">
        <x:v>Diver</x:v>
      </x:c>
      <x:c r="E77" s="12" t="n">
        <x:v>0</x:v>
      </x:c>
      <x:c r="F77" s="12" t="n">
        <x:v>0</x:v>
      </x:c>
      <x:c r="G77" s="12" t="n">
        <x:v>0</x:v>
      </x:c>
      <x:c r="H77" s="12" t="n">
        <x:v>15</x:v>
      </x:c>
      <x:c r="I77" s="12" t="n">
        <x:v>0</x:v>
      </x:c>
      <x:c r="J77" s="12" t="n">
        <x:v>5</x:v>
      </x:c>
      <x:c r="K77" s="12" t="n">
        <x:v>0</x:v>
      </x:c>
      <x:c r="L77" s="12" t="n">
        <x:v>0</x:v>
      </x:c>
      <x:c r="M77" s="12" t="n">
        <x:v>0</x:v>
      </x:c>
      <x:c r="N77" s="12" t="n">
        <x:v>10</x:v>
      </x:c>
      <x:c r="O77" s="12" t="n">
        <x:v>0</x:v>
      </x:c>
      <x:c r="P77" s="12" t="n">
        <x:v>0</x:v>
      </x:c>
      <x:c r="Q77" s="12" t="n">
        <x:v>0</x:v>
      </x:c>
      <x:c r="R77" s="12" t="n">
        <x:v>0</x:v>
      </x:c>
      <x:c r="S77" s="12" t="n">
        <x:v>0</x:v>
      </x:c>
      <x:c r="T77" s="12" t="str">
        <x:v>Frontline+10 / SelfSufficiency+10 / FightTempo+10</x:v>
      </x:c>
      <x:c r="U77" s="12" t="str">
        <x:v>Wikiのロール・長所短所と既存プロファイルの方向性を保ちながら、同アーキタイプ内の差を拡張。</x:v>
      </x:c>
      <x:c r="V77" s="12" t="str">
        <x:v>https://wikiwiki.jp/poke-unite/%E3%83%A1%E3%82%AC%E3%83%AA%E3%82%B6%E3%83%BC%E3%83%89%E3%83%B3X</x:v>
      </x:c>
      <x:c r="W77" s="12" t="str">
        <x:v>https://wikiwiki.jp/poke-unite/%E4%B8%80%E8%A6%A7</x:v>
      </x:c>
      <x:c r="X77" s="12" t="str">
        <x:v>https://uniteapi.dev/jp/meta</x:v>
      </x:c>
    </x:row>
    <x:row r="78">
      <x:c r="A78" s="12" t="str">
        <x:v>メガリザードンY-1</x:v>
      </x:c>
      <x:c r="B78" s="12" t="str">
        <x:v>メガリザードンY</x:v>
      </x:c>
      <x:c r="C78" s="12" t="str">
        <x:v>共通</x:v>
      </x:c>
      <x:c r="D78" s="12" t="str">
        <x:v>Diver</x:v>
      </x:c>
      <x:c r="E78" s="12" t="n">
        <x:v>-10</x:v>
      </x:c>
      <x:c r="F78" s="12" t="n">
        <x:v>-10</x:v>
      </x:c>
      <x:c r="G78" s="12" t="n">
        <x:v>0</x:v>
      </x:c>
      <x:c r="H78" s="12" t="n">
        <x:v>-10</x:v>
      </x:c>
      <x:c r="I78" s="12" t="n">
        <x:v>10</x:v>
      </x:c>
      <x:c r="J78" s="12" t="n">
        <x:v>10</x:v>
      </x:c>
      <x:c r="K78" s="12" t="n">
        <x:v>0</x:v>
      </x:c>
      <x:c r="L78" s="12" t="n">
        <x:v>0</x:v>
      </x:c>
      <x:c r="M78" s="12" t="n">
        <x:v>0</x:v>
      </x:c>
      <x:c r="N78" s="12" t="n">
        <x:v>0</x:v>
      </x:c>
      <x:c r="O78" s="12" t="n">
        <x:v>0</x:v>
      </x:c>
      <x:c r="P78" s="12" t="n">
        <x:v>0</x:v>
      </x:c>
      <x:c r="Q78" s="12" t="n">
        <x:v>-10</x:v>
      </x:c>
      <x:c r="R78" s="12" t="n">
        <x:v>0</x:v>
      </x:c>
      <x:c r="S78" s="12" t="n">
        <x:v>0</x:v>
      </x:c>
      <x:c r="T78" s="12" t="str">
        <x:v>なし（既存個体差の拡張のみ）</x:v>
      </x:c>
      <x:c r="U78" s="12" t="str">
        <x:v>Wikiのロール・長所短所と既存プロファイルの方向性を保ちながら、同アーキタイプ内の差を拡張。</x:v>
      </x:c>
      <x:c r="V78" s="12" t="str">
        <x:v>https://wikiwiki.jp/poke-unite/%E3%83%A1%E3%82%AC%E3%83%AA%E3%82%B6%E3%83%BC%E3%83%89%E3%83%B3Y</x:v>
      </x:c>
      <x:c r="W78" s="12" t="str">
        <x:v>https://wikiwiki.jp/poke-unite/%E4%B8%80%E8%A6%A7</x:v>
      </x:c>
      <x:c r="X78" s="12" t="str">
        <x:v>https://uniteapi.dev/jp/meta</x:v>
      </x:c>
    </x:row>
    <x:row r="79">
      <x:c r="A79" s="12" t="str">
        <x:v>ルカリオ-1</x:v>
      </x:c>
      <x:c r="B79" s="12" t="str">
        <x:v>ルカリオ</x:v>
      </x:c>
      <x:c r="C79" s="12" t="str">
        <x:v>しんそく</x:v>
      </x:c>
      <x:c r="D79" s="12" t="str">
        <x:v>Assassin</x:v>
      </x:c>
      <x:c r="E79" s="12" t="n">
        <x:v>0</x:v>
      </x:c>
      <x:c r="F79" s="12" t="n">
        <x:v>0</x:v>
      </x:c>
      <x:c r="G79" s="12" t="n">
        <x:v>5</x:v>
      </x:c>
      <x:c r="H79" s="12" t="n">
        <x:v>10</x:v>
      </x:c>
      <x:c r="I79" s="12" t="n">
        <x:v>0</x:v>
      </x:c>
      <x:c r="J79" s="12" t="n">
        <x:v>10</x:v>
      </x:c>
      <x:c r="K79" s="12" t="n">
        <x:v>0</x:v>
      </x:c>
      <x:c r="L79" s="12" t="n">
        <x:v>0</x:v>
      </x:c>
      <x:c r="M79" s="12" t="n">
        <x:v>0</x:v>
      </x:c>
      <x:c r="N79" s="12" t="n">
        <x:v>5</x:v>
      </x:c>
      <x:c r="O79" s="12" t="n">
        <x:v>5</x:v>
      </x:c>
      <x:c r="P79" s="12" t="n">
        <x:v>0</x:v>
      </x:c>
      <x:c r="Q79" s="12" t="n">
        <x:v>-5</x:v>
      </x:c>
      <x:c r="R79" s="12" t="n">
        <x:v>10</x:v>
      </x:c>
      <x:c r="S79" s="12" t="n">
        <x:v>-10</x:v>
      </x:c>
      <x:c r="T79" s="12" t="str">
        <x:v>なし（既存個体差の拡張のみ）</x:v>
      </x:c>
      <x:c r="U79" s="12" t="str">
        <x:v>Wikiのロール・長所短所と既存プロファイルの方向性を保ちながら、同アーキタイプ内の差を拡張。</x:v>
      </x:c>
      <x:c r="V79" s="12" t="str">
        <x:v>https://wikiwiki.jp/poke-unite/%E3%83%AB%E3%82%AB%E3%83%AA%E3%82%AA</x:v>
      </x:c>
      <x:c r="W79" s="12" t="str">
        <x:v>https://wikiwiki.jp/poke-unite/%E4%B8%80%E8%A6%A7</x:v>
      </x:c>
      <x:c r="X79" s="12" t="str">
        <x:v>https://uniteapi.dev/jp/meta</x:v>
      </x:c>
    </x:row>
    <x:row r="80">
      <x:c r="A80" s="12" t="str">
        <x:v>ルカリオ-2</x:v>
      </x:c>
      <x:c r="B80" s="12" t="str">
        <x:v>ルカリオ</x:v>
      </x:c>
      <x:c r="C80" s="12" t="str">
        <x:v>グロウパンチ</x:v>
      </x:c>
      <x:c r="D80" s="12" t="str">
        <x:v>Diver</x:v>
      </x:c>
      <x:c r="E80" s="12" t="n">
        <x:v>-5</x:v>
      </x:c>
      <x:c r="F80" s="12" t="n">
        <x:v>0</x:v>
      </x:c>
      <x:c r="G80" s="12" t="n">
        <x:v>0</x:v>
      </x:c>
      <x:c r="H80" s="12" t="n">
        <x:v>0</x:v>
      </x:c>
      <x:c r="I80" s="12" t="n">
        <x:v>0</x:v>
      </x:c>
      <x:c r="J80" s="12" t="n">
        <x:v>5</x:v>
      </x:c>
      <x:c r="K80" s="12" t="n">
        <x:v>-5</x:v>
      </x:c>
      <x:c r="L80" s="12" t="n">
        <x:v>0</x:v>
      </x:c>
      <x:c r="M80" s="12" t="n">
        <x:v>0</x:v>
      </x:c>
      <x:c r="N80" s="12" t="n">
        <x:v>5</x:v>
      </x:c>
      <x:c r="O80" s="12" t="n">
        <x:v>0</x:v>
      </x:c>
      <x:c r="P80" s="12" t="n">
        <x:v>10</x:v>
      </x:c>
      <x:c r="Q80" s="12" t="n">
        <x:v>0</x:v>
      </x:c>
      <x:c r="R80" s="12" t="n">
        <x:v>0</x:v>
      </x:c>
      <x:c r="S80" s="12" t="n">
        <x:v>0</x:v>
      </x:c>
      <x:c r="T80" s="12" t="str">
        <x:v>なし（既存個体差の拡張のみ）</x:v>
      </x:c>
      <x:c r="U80" s="12" t="str">
        <x:v>Wikiのロール・長所短所と既存プロファイルの方向性を保ちながら、同アーキタイプ内の差を拡張。</x:v>
      </x:c>
      <x:c r="V80" s="12" t="str">
        <x:v>https://wikiwiki.jp/poke-unite/%E3%83%AB%E3%82%AB%E3%83%AA%E3%82%AA</x:v>
      </x:c>
      <x:c r="W80" s="12" t="str">
        <x:v>https://wikiwiki.jp/poke-unite/%E4%B8%80%E8%A6%A7</x:v>
      </x:c>
      <x:c r="X80" s="12" t="str">
        <x:v>https://uniteapi.dev/jp/meta</x:v>
      </x:c>
    </x:row>
    <x:row r="81">
      <x:c r="A81" s="12" t="str">
        <x:v>メガルカリオ-1</x:v>
      </x:c>
      <x:c r="B81" s="12" t="str">
        <x:v>メガルカリオ</x:v>
      </x:c>
      <x:c r="C81" s="12" t="str">
        <x:v>共通</x:v>
      </x:c>
      <x:c r="D81" s="12" t="str">
        <x:v>Diver</x:v>
      </x:c>
      <x:c r="E81" s="12" t="n">
        <x:v>0</x:v>
      </x:c>
      <x:c r="F81" s="12" t="n">
        <x:v>5</x:v>
      </x:c>
      <x:c r="G81" s="12" t="n">
        <x:v>0</x:v>
      </x:c>
      <x:c r="H81" s="12" t="n">
        <x:v>10</x:v>
      </x:c>
      <x:c r="I81" s="12" t="n">
        <x:v>0</x:v>
      </x:c>
      <x:c r="J81" s="12" t="n">
        <x:v>-5</x:v>
      </x:c>
      <x:c r="K81" s="12" t="n">
        <x:v>0</x:v>
      </x:c>
      <x:c r="L81" s="12" t="n">
        <x:v>0</x:v>
      </x:c>
      <x:c r="M81" s="12" t="n">
        <x:v>10</x:v>
      </x:c>
      <x:c r="N81" s="12" t="n">
        <x:v>0</x:v>
      </x:c>
      <x:c r="O81" s="12" t="n">
        <x:v>0</x:v>
      </x:c>
      <x:c r="P81" s="12" t="n">
        <x:v>0</x:v>
      </x:c>
      <x:c r="Q81" s="12" t="n">
        <x:v>0</x:v>
      </x:c>
      <x:c r="R81" s="12" t="n">
        <x:v>15</x:v>
      </x:c>
      <x:c r="S81" s="12" t="n">
        <x:v>5</x:v>
      </x:c>
      <x:c r="T81" s="12" t="str">
        <x:v>Mobility+10 / Execution+10 / Decision+5</x:v>
      </x:c>
      <x:c r="U81" s="12" t="str">
        <x:v>Wikiのロール・長所短所と既存プロファイルの方向性を保ちながら、同アーキタイプ内の差を拡張。</x:v>
      </x:c>
      <x:c r="V81" s="12" t="str">
        <x:v>https://wikiwiki.jp/poke-unite/%E3%83%A1%E3%82%AC%E3%83%AB%E3%82%AB%E3%83%AA%E3%82%AA</x:v>
      </x:c>
      <x:c r="W81" s="12" t="str">
        <x:v>https://wikiwiki.jp/poke-unite/%E4%B8%80%E8%A6%A7</x:v>
      </x:c>
      <x:c r="X81" s="12" t="str">
        <x:v>https://uniteapi.dev/jp/meta</x:v>
      </x:c>
    </x:row>
    <x:row r="82">
      <x:c r="A82" s="12" t="str">
        <x:v>アブソル-1</x:v>
      </x:c>
      <x:c r="B82" s="12" t="str">
        <x:v>アブソル</x:v>
      </x:c>
      <x:c r="C82" s="12" t="str">
        <x:v>共通</x:v>
      </x:c>
      <x:c r="D82" s="12" t="str">
        <x:v>Assassin</x:v>
      </x:c>
      <x:c r="E82" s="12" t="n">
        <x:v>0</x:v>
      </x:c>
      <x:c r="F82" s="12" t="n">
        <x:v>0</x:v>
      </x:c>
      <x:c r="G82" s="12" t="n">
        <x:v>-5</x:v>
      </x:c>
      <x:c r="H82" s="12" t="n">
        <x:v>-5</x:v>
      </x:c>
      <x:c r="I82" s="12" t="n">
        <x:v>0</x:v>
      </x:c>
      <x:c r="J82" s="12" t="n">
        <x:v>-15</x:v>
      </x:c>
      <x:c r="K82" s="12" t="n">
        <x:v>0</x:v>
      </x:c>
      <x:c r="L82" s="12" t="n">
        <x:v>0</x:v>
      </x:c>
      <x:c r="M82" s="12" t="n">
        <x:v>0</x:v>
      </x:c>
      <x:c r="N82" s="12" t="n">
        <x:v>0</x:v>
      </x:c>
      <x:c r="O82" s="12" t="n">
        <x:v>-15</x:v>
      </x:c>
      <x:c r="P82" s="12" t="n">
        <x:v>5</x:v>
      </x:c>
      <x:c r="Q82" s="12" t="n">
        <x:v>0</x:v>
      </x:c>
      <x:c r="R82" s="12" t="n">
        <x:v>10</x:v>
      </x:c>
      <x:c r="S82" s="12" t="n">
        <x:v>5</x:v>
      </x:c>
      <x:c r="T82" s="12" t="str">
        <x:v>FightTempo-15 / FarmScaling-15 / Execution+10 / Mobility+5</x:v>
      </x:c>
      <x:c r="U82" s="12" t="str">
        <x:v>奇襲・追撃・急所上振れ・序盤リード。早熟かつ瞬間決着寄り。</x:v>
      </x:c>
      <x:c r="V82" s="12" t="str">
        <x:v>https://wikiwiki.jp/poke-unite/%E3%82%A2%E3%83%96%E3%82%BD%E3%83%AB</x:v>
      </x:c>
      <x:c r="W82" s="12" t="str">
        <x:v>https://wikiwiki.jp/poke-unite/%E4%B8%80%E8%A6%A7</x:v>
      </x:c>
      <x:c r="X82" s="12" t="str">
        <x:v>https://uniteapi.dev/jp/meta</x:v>
      </x:c>
    </x:row>
    <x:row r="83">
      <x:c r="A83" s="12" t="str">
        <x:v>ガラルギャロップ-1</x:v>
      </x:c>
      <x:c r="B83" s="12" t="str">
        <x:v>ガラルギャロップ</x:v>
      </x:c>
      <x:c r="C83" s="12" t="str">
        <x:v>共通</x:v>
      </x:c>
      <x:c r="D83" s="12" t="str">
        <x:v>Diver</x:v>
      </x:c>
      <x:c r="E83" s="12" t="n">
        <x:v>0</x:v>
      </x:c>
      <x:c r="F83" s="12" t="n">
        <x:v>5</x:v>
      </x:c>
      <x:c r="G83" s="12" t="n">
        <x:v>0</x:v>
      </x:c>
      <x:c r="H83" s="12" t="n">
        <x:v>-10</x:v>
      </x:c>
      <x:c r="I83" s="12" t="n">
        <x:v>0</x:v>
      </x:c>
      <x:c r="J83" s="12" t="n">
        <x:v>0</x:v>
      </x:c>
      <x:c r="K83" s="12" t="n">
        <x:v>5</x:v>
      </x:c>
      <x:c r="L83" s="12" t="n">
        <x:v>0</x:v>
      </x:c>
      <x:c r="M83" s="12" t="n">
        <x:v>10</x:v>
      </x:c>
      <x:c r="N83" s="12" t="n">
        <x:v>0</x:v>
      </x:c>
      <x:c r="O83" s="12" t="n">
        <x:v>-5</x:v>
      </x:c>
      <x:c r="P83" s="12" t="n">
        <x:v>0</x:v>
      </x:c>
      <x:c r="Q83" s="12" t="n">
        <x:v>5</x:v>
      </x:c>
      <x:c r="R83" s="12" t="n">
        <x:v>0</x:v>
      </x:c>
      <x:c r="S83" s="12" t="n">
        <x:v>0</x:v>
      </x:c>
      <x:c r="T83" s="12" t="str">
        <x:v>なし（既存個体差の拡張のみ）</x:v>
      </x:c>
      <x:c r="U83" s="12" t="str">
        <x:v>Wikiのロール・長所短所と既存プロファイルの方向性を保ちながら、同アーキタイプ内の差を拡張。</x:v>
      </x:c>
      <x:c r="V83" s="12" t="str">
        <x:v>https://wikiwiki.jp/poke-unite/%E3%82%AC%E3%83%A9%E3%83%AB%E3%82%AE%E3%83%A3%E3%83%AD%E3%83%83%E3%83%97</x:v>
      </x:c>
      <x:c r="W83" s="12" t="str">
        <x:v>https://wikiwiki.jp/poke-unite/%E4%B8%80%E8%A6%A7</x:v>
      </x:c>
      <x:c r="X83" s="12" t="str">
        <x:v>https://uniteapi.dev/jp/meta</x:v>
      </x:c>
    </x:row>
    <x:row r="84">
      <x:c r="A84" s="12" t="str">
        <x:v>ゲンガー-1</x:v>
      </x:c>
      <x:c r="B84" s="12" t="str">
        <x:v>ゲンガー</x:v>
      </x:c>
      <x:c r="C84" s="12" t="str">
        <x:v>共通</x:v>
      </x:c>
      <x:c r="D84" s="12" t="str">
        <x:v>Assassin</x:v>
      </x:c>
      <x:c r="E84" s="12" t="n">
        <x:v>0</x:v>
      </x:c>
      <x:c r="F84" s="12" t="n">
        <x:v>0</x:v>
      </x:c>
      <x:c r="G84" s="12" t="n">
        <x:v>5</x:v>
      </x:c>
      <x:c r="H84" s="12" t="n">
        <x:v>10</x:v>
      </x:c>
      <x:c r="I84" s="12" t="n">
        <x:v>0</x:v>
      </x:c>
      <x:c r="J84" s="12" t="n">
        <x:v>10</x:v>
      </x:c>
      <x:c r="K84" s="12" t="n">
        <x:v>0</x:v>
      </x:c>
      <x:c r="L84" s="12" t="n">
        <x:v>0</x:v>
      </x:c>
      <x:c r="M84" s="12" t="n">
        <x:v>0</x:v>
      </x:c>
      <x:c r="N84" s="12" t="n">
        <x:v>5</x:v>
      </x:c>
      <x:c r="O84" s="12" t="n">
        <x:v>0</x:v>
      </x:c>
      <x:c r="P84" s="12" t="n">
        <x:v>0</x:v>
      </x:c>
      <x:c r="Q84" s="12" t="n">
        <x:v>-5</x:v>
      </x:c>
      <x:c r="R84" s="12" t="n">
        <x:v>5</x:v>
      </x:c>
      <x:c r="S84" s="12" t="n">
        <x:v>0</x:v>
      </x:c>
      <x:c r="T84" s="12" t="str">
        <x:v>なし（既存個体差の拡張のみ）</x:v>
      </x:c>
      <x:c r="U84" s="12" t="str">
        <x:v>Wikiのロール・長所短所と既存プロファイルの方向性を保ちながら、同アーキタイプ内の差を拡張。</x:v>
      </x:c>
      <x:c r="V84" s="12" t="str">
        <x:v>https://wikiwiki.jp/poke-unite/%E3%82%B2%E3%83%B3%E3%82%AC%E3%83%BC</x:v>
      </x:c>
      <x:c r="W84" s="12" t="str">
        <x:v>https://wikiwiki.jp/poke-unite/%E4%B8%80%E8%A6%A7</x:v>
      </x:c>
      <x:c r="X84" s="12" t="str">
        <x:v>https://uniteapi.dev/jp/meta</x:v>
      </x:c>
    </x:row>
    <x:row r="85">
      <x:c r="A85" s="12" t="str">
        <x:v>ゼラオラ-1</x:v>
      </x:c>
      <x:c r="B85" s="12" t="str">
        <x:v>ゼラオラ</x:v>
      </x:c>
      <x:c r="C85" s="12" t="str">
        <x:v>ほうでん</x:v>
      </x:c>
      <x:c r="D85" s="12" t="str">
        <x:v>Skirmisher</x:v>
      </x:c>
      <x:c r="E85" s="12" t="n">
        <x:v>0</x:v>
      </x:c>
      <x:c r="F85" s="12" t="n">
        <x:v>0</x:v>
      </x:c>
      <x:c r="G85" s="12" t="n">
        <x:v>0</x:v>
      </x:c>
      <x:c r="H85" s="12" t="n">
        <x:v>-5</x:v>
      </x:c>
      <x:c r="I85" s="12" t="n">
        <x:v>0</x:v>
      </x:c>
      <x:c r="J85" s="12" t="n">
        <x:v>0</x:v>
      </x:c>
      <x:c r="K85" s="12" t="n">
        <x:v>5</x:v>
      </x:c>
      <x:c r="L85" s="12" t="n">
        <x:v>0</x:v>
      </x:c>
      <x:c r="M85" s="12" t="n">
        <x:v>0</x:v>
      </x:c>
      <x:c r="N85" s="12" t="n">
        <x:v>0</x:v>
      </x:c>
      <x:c r="O85" s="12" t="n">
        <x:v>-5</x:v>
      </x:c>
      <x:c r="P85" s="12" t="n">
        <x:v>0</x:v>
      </x:c>
      <x:c r="Q85" s="12" t="n">
        <x:v>5</x:v>
      </x:c>
      <x:c r="R85" s="12" t="n">
        <x:v>0</x:v>
      </x:c>
      <x:c r="S85" s="12" t="n">
        <x:v>0</x:v>
      </x:c>
      <x:c r="T85" s="12" t="str">
        <x:v>なし（既存個体差の拡張のみ）</x:v>
      </x:c>
      <x:c r="U85" s="12" t="str">
        <x:v>Wikiのロール・長所短所と既存プロファイルの方向性を保ちながら、同アーキタイプ内の差を拡張。</x:v>
      </x:c>
      <x:c r="V85" s="12" t="str">
        <x:v>https://wikiwiki.jp/poke-unite/%E3%82%BC%E3%83%A9%E3%82%AA%E3%83%A9</x:v>
      </x:c>
      <x:c r="W85" s="12" t="str">
        <x:v>https://wikiwiki.jp/poke-unite/%E4%B8%80%E8%A6%A7</x:v>
      </x:c>
      <x:c r="X85" s="12" t="str">
        <x:v>https://uniteapi.dev/jp/meta</x:v>
      </x:c>
    </x:row>
    <x:row r="86">
      <x:c r="A86" s="12" t="str">
        <x:v>ゼラオラ-2</x:v>
      </x:c>
      <x:c r="B86" s="12" t="str">
        <x:v>ゼラオラ</x:v>
      </x:c>
      <x:c r="C86" s="12" t="str">
        <x:v>ワイルドボルト</x:v>
      </x:c>
      <x:c r="D86" s="12" t="str">
        <x:v>Assassin</x:v>
      </x:c>
      <x:c r="E86" s="12" t="n">
        <x:v>5</x:v>
      </x:c>
      <x:c r="F86" s="12" t="n">
        <x:v>0</x:v>
      </x:c>
      <x:c r="G86" s="12" t="n">
        <x:v>5</x:v>
      </x:c>
      <x:c r="H86" s="12" t="n">
        <x:v>10</x:v>
      </x:c>
      <x:c r="I86" s="12" t="n">
        <x:v>0</x:v>
      </x:c>
      <x:c r="J86" s="12" t="n">
        <x:v>-5</x:v>
      </x:c>
      <x:c r="K86" s="12" t="n">
        <x:v>5</x:v>
      </x:c>
      <x:c r="L86" s="12" t="n">
        <x:v>0</x:v>
      </x:c>
      <x:c r="M86" s="12" t="n">
        <x:v>0</x:v>
      </x:c>
      <x:c r="N86" s="12" t="n">
        <x:v>5</x:v>
      </x:c>
      <x:c r="O86" s="12" t="n">
        <x:v>0</x:v>
      </x:c>
      <x:c r="P86" s="12" t="n">
        <x:v>0</x:v>
      </x:c>
      <x:c r="Q86" s="12" t="n">
        <x:v>-5</x:v>
      </x:c>
      <x:c r="R86" s="12" t="n">
        <x:v>-10</x:v>
      </x:c>
      <x:c r="S86" s="12" t="n">
        <x:v>0</x:v>
      </x:c>
      <x:c r="T86" s="12" t="str">
        <x:v>なし（既存個体差の拡張のみ）</x:v>
      </x:c>
      <x:c r="U86" s="12" t="str">
        <x:v>Wikiのロール・長所短所と既存プロファイルの方向性を保ちながら、同アーキタイプ内の差を拡張。</x:v>
      </x:c>
      <x:c r="V86" s="12" t="str">
        <x:v>https://wikiwiki.jp/poke-unite/%E3%82%BC%E3%83%A9%E3%82%AA%E3%83%A9</x:v>
      </x:c>
      <x:c r="W86" s="12" t="str">
        <x:v>https://wikiwiki.jp/poke-unite/%E4%B8%80%E8%A6%A7</x:v>
      </x:c>
      <x:c r="X86" s="12" t="str">
        <x:v>https://uniteapi.dev/jp/meta</x:v>
      </x:c>
    </x:row>
    <x:row r="87">
      <x:c r="A87" s="12" t="str">
        <x:v>ゾロアーク-1</x:v>
      </x:c>
      <x:c r="B87" s="12" t="str">
        <x:v>ゾロアーク</x:v>
      </x:c>
      <x:c r="C87" s="12" t="str">
        <x:v>共通</x:v>
      </x:c>
      <x:c r="D87" s="12" t="str">
        <x:v>Assassin</x:v>
      </x:c>
      <x:c r="E87" s="12" t="n">
        <x:v>0</x:v>
      </x:c>
      <x:c r="F87" s="12" t="n">
        <x:v>0</x:v>
      </x:c>
      <x:c r="G87" s="12" t="n">
        <x:v>-5</x:v>
      </x:c>
      <x:c r="H87" s="12" t="n">
        <x:v>-5</x:v>
      </x:c>
      <x:c r="I87" s="12" t="n">
        <x:v>0</x:v>
      </x:c>
      <x:c r="J87" s="12" t="n">
        <x:v>-5</x:v>
      </x:c>
      <x:c r="K87" s="12" t="n">
        <x:v>0</x:v>
      </x:c>
      <x:c r="L87" s="12" t="n">
        <x:v>0</x:v>
      </x:c>
      <x:c r="M87" s="12" t="n">
        <x:v>0</x:v>
      </x:c>
      <x:c r="N87" s="12" t="n">
        <x:v>5</x:v>
      </x:c>
      <x:c r="O87" s="12" t="n">
        <x:v>0</x:v>
      </x:c>
      <x:c r="P87" s="12" t="n">
        <x:v>0</x:v>
      </x:c>
      <x:c r="Q87" s="12" t="n">
        <x:v>0</x:v>
      </x:c>
      <x:c r="R87" s="12" t="n">
        <x:v>10</x:v>
      </x:c>
      <x:c r="S87" s="12" t="n">
        <x:v>15</x:v>
      </x:c>
      <x:c r="T87" s="12" t="str">
        <x:v>Mobility+10 / Execution+15 / Decision+10 / SelfSufficiency+5</x:v>
      </x:c>
      <x:c r="U87" s="12" t="str">
        <x:v>豊富なムーブと複雑なコンボ。Mobility/Execution/Decisionを強調。</x:v>
      </x:c>
      <x:c r="V87" s="12" t="str">
        <x:v>https://wikiwiki.jp/poke-unite/%E3%82%BE%E3%83%AD%E3%82%A2%E3%83%BC%E3%82%AF</x:v>
      </x:c>
      <x:c r="W87" s="12" t="str">
        <x:v>https://wikiwiki.jp/poke-unite/%E4%B8%80%E8%A6%A7</x:v>
      </x:c>
      <x:c r="X87" s="12" t="str">
        <x:v>https://uniteapi.dev/jp/meta</x:v>
      </x:c>
    </x:row>
    <x:row r="88">
      <x:c r="A88" s="12" t="str">
        <x:v>ダークライ-1</x:v>
      </x:c>
      <x:c r="B88" s="12" t="str">
        <x:v>ダークライ</x:v>
      </x:c>
      <x:c r="C88" s="12" t="str">
        <x:v>共通</x:v>
      </x:c>
      <x:c r="D88" s="12" t="str">
        <x:v>Assassin</x:v>
      </x:c>
      <x:c r="E88" s="12" t="n">
        <x:v>0</x:v>
      </x:c>
      <x:c r="F88" s="12" t="n">
        <x:v>0</x:v>
      </x:c>
      <x:c r="G88" s="12" t="n">
        <x:v>-5</x:v>
      </x:c>
      <x:c r="H88" s="12" t="n">
        <x:v>-5</x:v>
      </x:c>
      <x:c r="I88" s="12" t="n">
        <x:v>0</x:v>
      </x:c>
      <x:c r="J88" s="12" t="n">
        <x:v>-5</x:v>
      </x:c>
      <x:c r="K88" s="12" t="n">
        <x:v>15</x:v>
      </x:c>
      <x:c r="L88" s="12" t="n">
        <x:v>0</x:v>
      </x:c>
      <x:c r="M88" s="12" t="n">
        <x:v>0</x:v>
      </x:c>
      <x:c r="N88" s="12" t="n">
        <x:v>-15</x:v>
      </x:c>
      <x:c r="O88" s="12" t="n">
        <x:v>0</x:v>
      </x:c>
      <x:c r="P88" s="12" t="n">
        <x:v>-10</x:v>
      </x:c>
      <x:c r="Q88" s="12" t="n">
        <x:v>0</x:v>
      </x:c>
      <x:c r="R88" s="12" t="n">
        <x:v>5</x:v>
      </x:c>
      <x:c r="S88" s="12" t="n">
        <x:v>10</x:v>
      </x:c>
      <x:c r="T88" s="12" t="str">
        <x:v>Control+15 / Decision+10 / SelfSufficiency-5</x:v>
      </x:c>
      <x:c r="U88" s="12" t="str">
        <x:v>Wikiのロール・長所短所と既存プロファイルの方向性を保ちながら、同アーキタイプ内の差を拡張。</x:v>
      </x:c>
      <x:c r="V88" s="12" t="str">
        <x:v>https://wikiwiki.jp/poke-unite/%E3%83%80%E3%83%BC%E3%82%AF%E3%83%A9%E3%82%A4</x:v>
      </x:c>
      <x:c r="W88" s="12" t="str">
        <x:v>https://wikiwiki.jp/poke-unite/%E4%B8%80%E8%A6%A7</x:v>
      </x:c>
      <x:c r="X88" s="12" t="str">
        <x:v>https://uniteapi.dev/jp/meta</x:v>
      </x:c>
    </x:row>
    <x:row r="89">
      <x:c r="A89" s="12" t="str">
        <x:v>ドードリオ-1</x:v>
      </x:c>
      <x:c r="B89" s="12" t="str">
        <x:v>ドードリオ</x:v>
      </x:c>
      <x:c r="C89" s="12" t="str">
        <x:v>共通</x:v>
      </x:c>
      <x:c r="D89" s="12" t="str">
        <x:v>Diver</x:v>
      </x:c>
      <x:c r="E89" s="12" t="n">
        <x:v>0</x:v>
      </x:c>
      <x:c r="F89" s="12" t="n">
        <x:v>5</x:v>
      </x:c>
      <x:c r="G89" s="12" t="n">
        <x:v>0</x:v>
      </x:c>
      <x:c r="H89" s="12" t="n">
        <x:v>-10</x:v>
      </x:c>
      <x:c r="I89" s="12" t="n">
        <x:v>0</x:v>
      </x:c>
      <x:c r="J89" s="12" t="n">
        <x:v>-5</x:v>
      </x:c>
      <x:c r="K89" s="12" t="n">
        <x:v>0</x:v>
      </x:c>
      <x:c r="L89" s="12" t="n">
        <x:v>0</x:v>
      </x:c>
      <x:c r="M89" s="12" t="n">
        <x:v>10</x:v>
      </x:c>
      <x:c r="N89" s="12" t="n">
        <x:v>0</x:v>
      </x:c>
      <x:c r="O89" s="12" t="n">
        <x:v>-5</x:v>
      </x:c>
      <x:c r="P89" s="12" t="n">
        <x:v>0</x:v>
      </x:c>
      <x:c r="Q89" s="12" t="n">
        <x:v>10</x:v>
      </x:c>
      <x:c r="R89" s="12" t="n">
        <x:v>10</x:v>
      </x:c>
      <x:c r="S89" s="12" t="n">
        <x:v>5</x:v>
      </x:c>
      <x:c r="T89" s="12" t="str">
        <x:v>なし（既存個体差の拡張のみ）</x:v>
      </x:c>
      <x:c r="U89" s="12" t="str">
        <x:v>Wikiのロール・長所短所と既存プロファイルの方向性を保ちながら、同アーキタイプ内の差を拡張。</x:v>
      </x:c>
      <x:c r="V89" s="12" t="str">
        <x:v>https://wikiwiki.jp/poke-unite/%E3%83%89%E3%83%BC%E3%83%89%E3%83%AA%E3%82%AA</x:v>
      </x:c>
      <x:c r="W89" s="12" t="str">
        <x:v>https://wikiwiki.jp/poke-unite/%E4%B8%80%E8%A6%A7</x:v>
      </x:c>
      <x:c r="X89" s="12" t="str">
        <x:v>https://uniteapi.dev/jp/meta</x:v>
      </x:c>
    </x:row>
    <x:row r="90">
      <x:c r="A90" s="12" t="str">
        <x:v>ニャース-1</x:v>
      </x:c>
      <x:c r="B90" s="12" t="str">
        <x:v>ニャース</x:v>
      </x:c>
      <x:c r="C90" s="12" t="str">
        <x:v>共通</x:v>
      </x:c>
      <x:c r="D90" s="12" t="str">
        <x:v>Skirmisher</x:v>
      </x:c>
      <x:c r="E90" s="12" t="n">
        <x:v>0</x:v>
      </x:c>
      <x:c r="F90" s="12" t="n">
        <x:v>0</x:v>
      </x:c>
      <x:c r="G90" s="12" t="n">
        <x:v>0</x:v>
      </x:c>
      <x:c r="H90" s="12" t="n">
        <x:v>-10</x:v>
      </x:c>
      <x:c r="I90" s="12" t="n">
        <x:v>10</x:v>
      </x:c>
      <x:c r="J90" s="12" t="n">
        <x:v>-5</x:v>
      </x:c>
      <x:c r="K90" s="12" t="n">
        <x:v>0</x:v>
      </x:c>
      <x:c r="L90" s="12" t="n">
        <x:v>0</x:v>
      </x:c>
      <x:c r="M90" s="12" t="n">
        <x:v>5</x:v>
      </x:c>
      <x:c r="N90" s="12" t="n">
        <x:v>0</x:v>
      </x:c>
      <x:c r="O90" s="12" t="n">
        <x:v>-5</x:v>
      </x:c>
      <x:c r="P90" s="12" t="n">
        <x:v>0</x:v>
      </x:c>
      <x:c r="Q90" s="12" t="n">
        <x:v>5</x:v>
      </x:c>
      <x:c r="R90" s="12" t="n">
        <x:v>0</x:v>
      </x:c>
      <x:c r="S90" s="12" t="n">
        <x:v>5</x:v>
      </x:c>
      <x:c r="T90" s="12" t="str">
        <x:v>なし（既存個体差の拡張のみ）</x:v>
      </x:c>
      <x:c r="U90" s="12" t="str">
        <x:v>Wikiのロール・長所短所と既存プロファイルの方向性を保ちながら、同アーキタイプ内の差を拡張。</x:v>
      </x:c>
      <x:c r="V90" s="12" t="str">
        <x:v>https://wikiwiki.jp/poke-unite/%E3%83%8B%E3%83%A3%E3%83%BC%E3%82%B9</x:v>
      </x:c>
      <x:c r="W90" s="12" t="str">
        <x:v>https://wikiwiki.jp/poke-unite/%E4%B8%80%E8%A6%A7</x:v>
      </x:c>
      <x:c r="X90" s="12" t="str">
        <x:v>https://uniteapi.dev/jp/meta</x:v>
      </x:c>
    </x:row>
    <x:row r="91">
      <x:c r="A91" s="12" t="str">
        <x:v>ファイアロー-1</x:v>
      </x:c>
      <x:c r="B91" s="12" t="str">
        <x:v>ファイアロー</x:v>
      </x:c>
      <x:c r="C91" s="12" t="str">
        <x:v>共通</x:v>
      </x:c>
      <x:c r="D91" s="12" t="str">
        <x:v>Assassin</x:v>
      </x:c>
      <x:c r="E91" s="12" t="n">
        <x:v>5</x:v>
      </x:c>
      <x:c r="F91" s="12" t="n">
        <x:v>0</x:v>
      </x:c>
      <x:c r="G91" s="12" t="n">
        <x:v>5</x:v>
      </x:c>
      <x:c r="H91" s="12" t="n">
        <x:v>10</x:v>
      </x:c>
      <x:c r="I91" s="12" t="n">
        <x:v>0</x:v>
      </x:c>
      <x:c r="J91" s="12" t="n">
        <x:v>-15</x:v>
      </x:c>
      <x:c r="K91" s="12" t="n">
        <x:v>5</x:v>
      </x:c>
      <x:c r="L91" s="12" t="n">
        <x:v>0</x:v>
      </x:c>
      <x:c r="M91" s="12" t="n">
        <x:v>0</x:v>
      </x:c>
      <x:c r="N91" s="12" t="n">
        <x:v>5</x:v>
      </x:c>
      <x:c r="O91" s="12" t="n">
        <x:v>0</x:v>
      </x:c>
      <x:c r="P91" s="12" t="n">
        <x:v>15</x:v>
      </x:c>
      <x:c r="Q91" s="12" t="n">
        <x:v>10</x:v>
      </x:c>
      <x:c r="R91" s="12" t="n">
        <x:v>0</x:v>
      </x:c>
      <x:c r="S91" s="12" t="n">
        <x:v>5</x:v>
      </x:c>
      <x:c r="T91" s="12" t="str">
        <x:v>Mobility+15 / ObjectiveSecure+15 / ScoringSide+10 / FightTempo-10</x:v>
      </x:c>
      <x:c r="U91" s="12" t="str">
        <x:v>Wikiのロール・長所短所と既存プロファイルの方向性を保ちながら、同アーキタイプ内の差を拡張。</x:v>
      </x:c>
      <x:c r="V91" s="12" t="str">
        <x:v>https://wikiwiki.jp/poke-unite/%E3%83%95%E3%82%A1%E3%82%A4%E3%82%A2%E3%83%AD%...</x:v>
      </x:c>
      <x:c r="W91" s="12" t="str">
        <x:v>https://wikiwiki.jp/poke-unite/%E4%B8%80%E8%A6%A7</x:v>
      </x:c>
      <x:c r="X91" s="12" t="str">
        <x:v>https://uniteapi.dev/jp/meta</x:v>
      </x:c>
    </x:row>
    <x:row r="92">
      <x:c r="A92" s="12" t="str">
        <x:v>マスカーニャ-1</x:v>
      </x:c>
      <x:c r="B92" s="12" t="str">
        <x:v>マスカーニャ</x:v>
      </x:c>
      <x:c r="C92" s="12" t="str">
        <x:v>トリックフラワー</x:v>
      </x:c>
      <x:c r="D92" s="12" t="str">
        <x:v>Assassin</x:v>
      </x:c>
      <x:c r="E92" s="12" t="n">
        <x:v>0</x:v>
      </x:c>
      <x:c r="F92" s="12" t="n">
        <x:v>-10</x:v>
      </x:c>
      <x:c r="G92" s="12" t="n">
        <x:v>10</x:v>
      </x:c>
      <x:c r="H92" s="12" t="n">
        <x:v>5</x:v>
      </x:c>
      <x:c r="I92" s="12" t="n">
        <x:v>5</x:v>
      </x:c>
      <x:c r="J92" s="12" t="n">
        <x:v>5</x:v>
      </x:c>
      <x:c r="K92" s="12" t="n">
        <x:v>10</x:v>
      </x:c>
      <x:c r="L92" s="12" t="n">
        <x:v>10</x:v>
      </x:c>
      <x:c r="M92" s="12" t="n">
        <x:v>-5</x:v>
      </x:c>
      <x:c r="N92" s="12" t="n">
        <x:v>0</x:v>
      </x:c>
      <x:c r="O92" s="12" t="n">
        <x:v>-5</x:v>
      </x:c>
      <x:c r="P92" s="12" t="n">
        <x:v>-5</x:v>
      </x:c>
      <x:c r="Q92" s="12" t="n">
        <x:v>0</x:v>
      </x:c>
      <x:c r="R92" s="12" t="n">
        <x:v>0</x:v>
      </x:c>
      <x:c r="S92" s="12" t="n">
        <x:v>10</x:v>
      </x:c>
      <x:c r="T92" s="12" t="str">
        <x:v>なし（既存個体差の拡張のみ）</x:v>
      </x:c>
      <x:c r="U92" s="12" t="str">
        <x:v>Wikiのロール・長所短所と既存プロファイルの方向性を保ちながら、同アーキタイプ内の差を拡張。</x:v>
      </x:c>
      <x:c r="V92" s="12" t="str">
        <x:v>https://wikiwiki.jp/poke-unite/%E3%83%9E%E3%82%B9%E3%82%AB%E3%83%BC%E3%83%8B%...</x:v>
      </x:c>
      <x:c r="W92" s="12" t="str">
        <x:v>https://wikiwiki.jp/poke-unite/%E4%B8%80%E8%A6%A7</x:v>
      </x:c>
      <x:c r="X92" s="12" t="str">
        <x:v>https://uniteapi.dev/jp/meta</x:v>
      </x:c>
    </x:row>
    <x:row r="93">
      <x:c r="A93" s="12" t="str">
        <x:v>マスカーニャ-2</x:v>
      </x:c>
      <x:c r="B93" s="12" t="str">
        <x:v>マスカーニャ</x:v>
      </x:c>
      <x:c r="C93" s="12" t="str">
        <x:v>つじぎり</x:v>
      </x:c>
      <x:c r="D93" s="12" t="str">
        <x:v>Skirmisher</x:v>
      </x:c>
      <x:c r="E93" s="12" t="n">
        <x:v>0</x:v>
      </x:c>
      <x:c r="F93" s="12" t="n">
        <x:v>5</x:v>
      </x:c>
      <x:c r="G93" s="12" t="n">
        <x:v>-5</x:v>
      </x:c>
      <x:c r="H93" s="12" t="n">
        <x:v>-10</x:v>
      </x:c>
      <x:c r="I93" s="12" t="n">
        <x:v>-5</x:v>
      </x:c>
      <x:c r="J93" s="12" t="n">
        <x:v>-10</x:v>
      </x:c>
      <x:c r="K93" s="12" t="n">
        <x:v>-5</x:v>
      </x:c>
      <x:c r="L93" s="12" t="n">
        <x:v>0</x:v>
      </x:c>
      <x:c r="M93" s="12" t="n">
        <x:v>10</x:v>
      </x:c>
      <x:c r="N93" s="12" t="n">
        <x:v>-5</x:v>
      </x:c>
      <x:c r="O93" s="12" t="n">
        <x:v>-5</x:v>
      </x:c>
      <x:c r="P93" s="12" t="n">
        <x:v>5</x:v>
      </x:c>
      <x:c r="Q93" s="12" t="n">
        <x:v>10</x:v>
      </x:c>
      <x:c r="R93" s="12" t="n">
        <x:v>5</x:v>
      </x:c>
      <x:c r="S93" s="12" t="n">
        <x:v>5</x:v>
      </x:c>
      <x:c r="T93" s="12" t="str">
        <x:v>なし（既存個体差の拡張のみ）</x:v>
      </x:c>
      <x:c r="U93" s="12" t="str">
        <x:v>Wikiのロール・長所短所と既存プロファイルの方向性を保ちながら、同アーキタイプ内の差を拡張。</x:v>
      </x:c>
      <x:c r="V93" s="12" t="str">
        <x:v>https://wikiwiki.jp/poke-unite/%E3%83%9E%E3%82%B9%E3%82%AB%E3%83%BC%E3%83%8B%...</x:v>
      </x:c>
      <x:c r="W93" s="12" t="str">
        <x:v>https://wikiwiki.jp/poke-unite/%E4%B8%80%E8%A6%A7</x:v>
      </x:c>
      <x:c r="X93" s="12" t="str">
        <x:v>https://uniteapi.dev/jp/meta</x:v>
      </x:c>
    </x:row>
    <x:row r="94">
      <x:c r="A94" s="12" t="str">
        <x:v>モルペコ-1</x:v>
      </x:c>
      <x:c r="B94" s="12" t="str">
        <x:v>モルペコ</x:v>
      </x:c>
      <x:c r="C94" s="12" t="str">
        <x:v>共通</x:v>
      </x:c>
      <x:c r="D94" s="12" t="str">
        <x:v>Assassin</x:v>
      </x:c>
      <x:c r="E94" s="12" t="n">
        <x:v>0</x:v>
      </x:c>
      <x:c r="F94" s="12" t="n">
        <x:v>0</x:v>
      </x:c>
      <x:c r="G94" s="12" t="n">
        <x:v>-5</x:v>
      </x:c>
      <x:c r="H94" s="12" t="n">
        <x:v>-5</x:v>
      </x:c>
      <x:c r="I94" s="12" t="n">
        <x:v>0</x:v>
      </x:c>
      <x:c r="J94" s="12" t="n">
        <x:v>-5</x:v>
      </x:c>
      <x:c r="K94" s="12" t="n">
        <x:v>0</x:v>
      </x:c>
      <x:c r="L94" s="12" t="n">
        <x:v>0</x:v>
      </x:c>
      <x:c r="M94" s="12" t="n">
        <x:v>0</x:v>
      </x:c>
      <x:c r="N94" s="12" t="n">
        <x:v>0</x:v>
      </x:c>
      <x:c r="O94" s="12" t="n">
        <x:v>0</x:v>
      </x:c>
      <x:c r="P94" s="12" t="n">
        <x:v>0</x:v>
      </x:c>
      <x:c r="Q94" s="12" t="n">
        <x:v>0</x:v>
      </x:c>
      <x:c r="R94" s="12" t="n">
        <x:v>5</x:v>
      </x:c>
      <x:c r="S94" s="12" t="n">
        <x:v>0</x:v>
      </x:c>
      <x:c r="T94" s="12" t="str">
        <x:v>なし（既存個体差の拡張のみ）</x:v>
      </x:c>
      <x:c r="U94" s="12" t="str">
        <x:v>Wikiのロール・長所短所と既存プロファイルの方向性を保ちながら、同アーキタイプ内の差を拡張。</x:v>
      </x:c>
      <x:c r="V94" s="12" t="str">
        <x:v>https://wikiwiki.jp/poke-unite/%E3%83%A2%E3%83%AB%E3%83%9A%E3%82%B3</x:v>
      </x:c>
      <x:c r="W94" s="12" t="str">
        <x:v>https://wikiwiki.jp/poke-unite/%E4%B8%80%E8%A6%A7</x:v>
      </x:c>
      <x:c r="X94" s="12" t="str">
        <x:v>https://uniteapi.dev/jp/meta</x:v>
      </x:c>
    </x:row>
    <x:row r="95">
      <x:c r="A95" s="12" t="str">
        <x:v>リーフィア-1</x:v>
      </x:c>
      <x:c r="B95" s="12" t="str">
        <x:v>リーフィア</x:v>
      </x:c>
      <x:c r="C95" s="12" t="str">
        <x:v>共通</x:v>
      </x:c>
      <x:c r="D95" s="12" t="str">
        <x:v>Assassin</x:v>
      </x:c>
      <x:c r="E95" s="12" t="n">
        <x:v>0</x:v>
      </x:c>
      <x:c r="F95" s="12" t="n">
        <x:v>0</x:v>
      </x:c>
      <x:c r="G95" s="12" t="n">
        <x:v>-5</x:v>
      </x:c>
      <x:c r="H95" s="12" t="n">
        <x:v>-5</x:v>
      </x:c>
      <x:c r="I95" s="12" t="n">
        <x:v>0</x:v>
      </x:c>
      <x:c r="J95" s="12" t="n">
        <x:v>-15</x:v>
      </x:c>
      <x:c r="K95" s="12" t="n">
        <x:v>0</x:v>
      </x:c>
      <x:c r="L95" s="12" t="n">
        <x:v>0</x:v>
      </x:c>
      <x:c r="M95" s="12" t="n">
        <x:v>0</x:v>
      </x:c>
      <x:c r="N95" s="12" t="n">
        <x:v>0</x:v>
      </x:c>
      <x:c r="O95" s="12" t="n">
        <x:v>-15</x:v>
      </x:c>
      <x:c r="P95" s="12" t="n">
        <x:v>0</x:v>
      </x:c>
      <x:c r="Q95" s="12" t="n">
        <x:v>0</x:v>
      </x:c>
      <x:c r="R95" s="12" t="n">
        <x:v>5</x:v>
      </x:c>
      <x:c r="S95" s="12" t="n">
        <x:v>0</x:v>
      </x:c>
      <x:c r="T95" s="12" t="str">
        <x:v>FarmScaling-15 / Mobility+15 / FightTempo-10 / Execution+5</x:v>
      </x:c>
      <x:c r="U95" s="12" t="str">
        <x:v>序盤性能と機動性が非常に高く終盤失速。早熟・高機動。</x:v>
      </x:c>
      <x:c r="V95" s="12" t="str">
        <x:v>https://wikiwiki.jp/poke-unite/%E3%83%AA%E3%83%BC%E3%83%95%E3%82%A3%E3%82%A2</x:v>
      </x:c>
      <x:c r="W95" s="12" t="str">
        <x:v>https://wikiwiki.jp/poke-unite/%E4%B8%80%E8%A6%A7</x:v>
      </x:c>
      <x:c r="X95" s="12" t="str">
        <x:v>https://uniteapi.dev/jp/meta</x:v>
      </x:c>
    </x:row>
    <x:row r="96">
      <x:c r="A96" s="12" t="str">
        <x:v>イワパレス-1</x:v>
      </x:c>
      <x:c r="B96" s="12" t="str">
        <x:v>イワパレス</x:v>
      </x:c>
      <x:c r="C96" s="12" t="str">
        <x:v>がんせきふうじ</x:v>
      </x:c>
      <x:c r="D96" s="12" t="str">
        <x:v>Vanguard</x:v>
      </x:c>
      <x:c r="E96" s="12" t="n">
        <x:v>0</x:v>
      </x:c>
      <x:c r="F96" s="12" t="n">
        <x:v>10</x:v>
      </x:c>
      <x:c r="G96" s="12" t="n">
        <x:v>-5</x:v>
      </x:c>
      <x:c r="H96" s="12" t="n">
        <x:v>0</x:v>
      </x:c>
      <x:c r="I96" s="12" t="n">
        <x:v>5</x:v>
      </x:c>
      <x:c r="J96" s="12" t="n">
        <x:v>0</x:v>
      </x:c>
      <x:c r="K96" s="12" t="n">
        <x:v>0</x:v>
      </x:c>
      <x:c r="L96" s="12" t="n">
        <x:v>-10</x:v>
      </x:c>
      <x:c r="M96" s="12" t="n">
        <x:v>-10</x:v>
      </x:c>
      <x:c r="N96" s="12" t="n">
        <x:v>0</x:v>
      </x:c>
      <x:c r="O96" s="12" t="n">
        <x:v>0</x:v>
      </x:c>
      <x:c r="P96" s="12" t="n">
        <x:v>5</x:v>
      </x:c>
      <x:c r="Q96" s="12" t="n">
        <x:v>-10</x:v>
      </x:c>
      <x:c r="R96" s="12" t="n">
        <x:v>0</x:v>
      </x:c>
      <x:c r="S96" s="12" t="n">
        <x:v>-5</x:v>
      </x:c>
      <x:c r="T96" s="12" t="str">
        <x:v>なし（既存個体差の拡張のみ）</x:v>
      </x:c>
      <x:c r="U96" s="12" t="str">
        <x:v>Wikiのロール・長所短所と既存プロファイルの方向性を保ちながら、同アーキタイプ内の差を拡張。</x:v>
      </x:c>
      <x:c r="V96" s="12" t="str">
        <x:v>https://wikiwiki.jp/poke-unite/%E3%82%A4%E3%83%AF%E3%83%91%E3%83%AC%E3%82%B9</x:v>
      </x:c>
      <x:c r="W96" s="12" t="str">
        <x:v>https://wikiwiki.jp/poke-unite/%E4%B8%80%E8%A6%A7</x:v>
      </x:c>
      <x:c r="X96" s="12" t="str">
        <x:v>https://uniteapi.dev/jp/meta</x:v>
      </x:c>
    </x:row>
    <x:row r="97">
      <x:c r="A97" s="12" t="str">
        <x:v>イワパレス-2</x:v>
      </x:c>
      <x:c r="B97" s="12" t="str">
        <x:v>イワパレス</x:v>
      </x:c>
      <x:c r="C97" s="12" t="str">
        <x:v>からをやぶる</x:v>
      </x:c>
      <x:c r="D97" s="12" t="str">
        <x:v>Diver</x:v>
      </x:c>
      <x:c r="E97" s="12" t="n">
        <x:v>-5</x:v>
      </x:c>
      <x:c r="F97" s="12" t="n">
        <x:v>-10</x:v>
      </x:c>
      <x:c r="G97" s="12" t="n">
        <x:v>0</x:v>
      </x:c>
      <x:c r="H97" s="12" t="n">
        <x:v>10</x:v>
      </x:c>
      <x:c r="I97" s="12" t="n">
        <x:v>0</x:v>
      </x:c>
      <x:c r="J97" s="12" t="n">
        <x:v>0</x:v>
      </x:c>
      <x:c r="K97" s="12" t="n">
        <x:v>0</x:v>
      </x:c>
      <x:c r="L97" s="12" t="n">
        <x:v>0</x:v>
      </x:c>
      <x:c r="M97" s="12" t="n">
        <x:v>-10</x:v>
      </x:c>
      <x:c r="N97" s="12" t="n">
        <x:v>5</x:v>
      </x:c>
      <x:c r="O97" s="12" t="n">
        <x:v>-5</x:v>
      </x:c>
      <x:c r="P97" s="12" t="n">
        <x:v>5</x:v>
      </x:c>
      <x:c r="Q97" s="12" t="n">
        <x:v>5</x:v>
      </x:c>
      <x:c r="R97" s="12" t="n">
        <x:v>-10</x:v>
      </x:c>
      <x:c r="S97" s="12" t="n">
        <x:v>-5</x:v>
      </x:c>
      <x:c r="T97" s="12" t="str">
        <x:v>なし（既存個体差の拡張のみ）</x:v>
      </x:c>
      <x:c r="U97" s="12" t="str">
        <x:v>Wikiのロール・長所短所と既存プロファイルの方向性を保ちながら、同アーキタイプ内の差を拡張。</x:v>
      </x:c>
      <x:c r="V97" s="12" t="str">
        <x:v>https://wikiwiki.jp/poke-unite/%E3%82%A4%E3%83%AF%E3%83%91%E3%83%AC%E3%82%B9</x:v>
      </x:c>
      <x:c r="W97" s="12" t="str">
        <x:v>https://wikiwiki.jp/poke-unite/%E4%B8%80%E8%A6%A7</x:v>
      </x:c>
      <x:c r="X97" s="12" t="str">
        <x:v>https://uniteapi.dev/jp/meta</x:v>
      </x:c>
    </x:row>
    <x:row r="98">
      <x:c r="A98" s="12" t="str">
        <x:v>オーロット-1</x:v>
      </x:c>
      <x:c r="B98" s="12" t="str">
        <x:v>オーロット</x:v>
      </x:c>
      <x:c r="C98" s="12" t="str">
        <x:v>ウッドハンマー</x:v>
      </x:c>
      <x:c r="D98" s="12" t="str">
        <x:v>Vanguard</x:v>
      </x:c>
      <x:c r="E98" s="12" t="n">
        <x:v>0</x:v>
      </x:c>
      <x:c r="F98" s="12" t="n">
        <x:v>-10</x:v>
      </x:c>
      <x:c r="G98" s="12" t="n">
        <x:v>10</x:v>
      </x:c>
      <x:c r="H98" s="12" t="n">
        <x:v>0</x:v>
      </x:c>
      <x:c r="I98" s="12" t="n">
        <x:v>-5</x:v>
      </x:c>
      <x:c r="J98" s="12" t="n">
        <x:v>10</x:v>
      </x:c>
      <x:c r="K98" s="12" t="n">
        <x:v>0</x:v>
      </x:c>
      <x:c r="L98" s="12" t="n">
        <x:v>0</x:v>
      </x:c>
      <x:c r="M98" s="12" t="n">
        <x:v>-15</x:v>
      </x:c>
      <x:c r="N98" s="12" t="n">
        <x:v>0</x:v>
      </x:c>
      <x:c r="O98" s="12" t="n">
        <x:v>0</x:v>
      </x:c>
      <x:c r="P98" s="12" t="n">
        <x:v>0</x:v>
      </x:c>
      <x:c r="Q98" s="12" t="n">
        <x:v>-10</x:v>
      </x:c>
      <x:c r="R98" s="12" t="n">
        <x:v>0</x:v>
      </x:c>
      <x:c r="S98" s="12" t="n">
        <x:v>0</x:v>
      </x:c>
      <x:c r="T98" s="12" t="str">
        <x:v>Frontline+10 / FightTempo+10 / Control+10 / Mobility-10</x:v>
      </x:c>
      <x:c r="U98" s="12" t="str">
        <x:v>Wikiのロール・長所短所と既存プロファイルの方向性を保ちながら、同アーキタイプ内の差を拡張。</x:v>
      </x:c>
      <x:c r="V98" s="12" t="str">
        <x:v>https://wikiwiki.jp/poke-unite/%E3%82%AA%E3%83%BC%E3%83%AD%E3%83%83%E3%83%88</x:v>
      </x:c>
      <x:c r="W98" s="12" t="str">
        <x:v>https://wikiwiki.jp/poke-unite/%E4%B8%80%E8%A6%A7</x:v>
      </x:c>
      <x:c r="X98" s="12" t="str">
        <x:v>https://uniteapi.dev/jp/meta</x:v>
      </x:c>
    </x:row>
    <x:row r="99">
      <x:c r="A99" s="12" t="str">
        <x:v>オーロット-2</x:v>
      </x:c>
      <x:c r="B99" s="12" t="str">
        <x:v>オーロット</x:v>
      </x:c>
      <x:c r="C99" s="12" t="str">
        <x:v>のろい</x:v>
      </x:c>
      <x:c r="D99" s="12" t="str">
        <x:v>Juggernaut</x:v>
      </x:c>
      <x:c r="E99" s="12" t="n">
        <x:v>0</x:v>
      </x:c>
      <x:c r="F99" s="12" t="n">
        <x:v>0</x:v>
      </x:c>
      <x:c r="G99" s="12" t="n">
        <x:v>5</x:v>
      </x:c>
      <x:c r="H99" s="12" t="n">
        <x:v>0</x:v>
      </x:c>
      <x:c r="I99" s="12" t="n">
        <x:v>-5</x:v>
      </x:c>
      <x:c r="J99" s="12" t="n">
        <x:v>15</x:v>
      </x:c>
      <x:c r="K99" s="12" t="n">
        <x:v>5</x:v>
      </x:c>
      <x:c r="L99" s="12" t="n">
        <x:v>-5</x:v>
      </x:c>
      <x:c r="M99" s="12" t="n">
        <x:v>-15</x:v>
      </x:c>
      <x:c r="N99" s="12" t="n">
        <x:v>-5</x:v>
      </x:c>
      <x:c r="O99" s="12" t="n">
        <x:v>5</x:v>
      </x:c>
      <x:c r="P99" s="12" t="n">
        <x:v>5</x:v>
      </x:c>
      <x:c r="Q99" s="12" t="n">
        <x:v>-5</x:v>
      </x:c>
      <x:c r="R99" s="12" t="n">
        <x:v>0</x:v>
      </x:c>
      <x:c r="S99" s="12" t="n">
        <x:v>-5</x:v>
      </x:c>
      <x:c r="T99" s="12" t="str">
        <x:v>Frontline+10 / FightTempo+15 / Mobility-10 / Control+15 / SelfSufficiency-5</x:v>
      </x:c>
      <x:c r="U99" s="12" t="str">
        <x:v>Wikiのロール・長所短所と既存プロファイルの方向性を保ちながら、同アーキタイプ内の差を拡張。</x:v>
      </x:c>
      <x:c r="V99" s="12" t="str">
        <x:v>https://wikiwiki.jp/poke-unite/%E3%82%AA%E3%83%BC%E3%83%AD%E3%83%83%E3%83%88</x:v>
      </x:c>
      <x:c r="W99" s="12" t="str">
        <x:v>https://wikiwiki.jp/poke-unite/%E4%B8%80%E8%A6%A7</x:v>
      </x:c>
      <x:c r="X99" s="12" t="str">
        <x:v>https://uniteapi.dev/jp/meta</x:v>
      </x:c>
    </x:row>
    <x:row r="100">
      <x:c r="A100" s="12" t="str">
        <x:v>カビゴン-1</x:v>
      </x:c>
      <x:c r="B100" s="12" t="str">
        <x:v>カビゴン</x:v>
      </x:c>
      <x:c r="C100" s="12" t="str">
        <x:v>ヘビーボンバー</x:v>
      </x:c>
      <x:c r="D100" s="12" t="str">
        <x:v>Vanguard</x:v>
      </x:c>
      <x:c r="E100" s="12" t="n">
        <x:v>5</x:v>
      </x:c>
      <x:c r="F100" s="12" t="n">
        <x:v>-10</x:v>
      </x:c>
      <x:c r="G100" s="12" t="n">
        <x:v>10</x:v>
      </x:c>
      <x:c r="H100" s="12" t="n">
        <x:v>0</x:v>
      </x:c>
      <x:c r="I100" s="12" t="n">
        <x:v>-5</x:v>
      </x:c>
      <x:c r="J100" s="12" t="n">
        <x:v>0</x:v>
      </x:c>
      <x:c r="K100" s="12" t="n">
        <x:v>0</x:v>
      </x:c>
      <x:c r="L100" s="12" t="n">
        <x:v>0</x:v>
      </x:c>
      <x:c r="M100" s="12" t="n">
        <x:v>-10</x:v>
      </x:c>
      <x:c r="N100" s="12" t="n">
        <x:v>-10</x:v>
      </x:c>
      <x:c r="O100" s="12" t="n">
        <x:v>-10</x:v>
      </x:c>
      <x:c r="P100" s="12" t="n">
        <x:v>0</x:v>
      </x:c>
      <x:c r="Q100" s="12" t="n">
        <x:v>-10</x:v>
      </x:c>
      <x:c r="R100" s="12" t="n">
        <x:v>-10</x:v>
      </x:c>
      <x:c r="S100" s="12" t="n">
        <x:v>0</x:v>
      </x:c>
      <x:c r="T100" s="12" t="str">
        <x:v>Control+15 / FarmScaling-10 / Execution-10 / SelfSufficiency-10</x:v>
      </x:c>
      <x:c r="U100" s="12" t="str">
        <x:v>Wikiのロール・長所短所と既存プロファイルの方向性を保ちながら、同アーキタイプ内の差を拡張。</x:v>
      </x:c>
      <x:c r="V100" s="12" t="str">
        <x:v>https://wikiwiki.jp/poke-unite/%E3%82%AB%E3%83%93%E3%82%B4%E3%83%B3</x:v>
      </x:c>
      <x:c r="W100" s="12" t="str">
        <x:v>https://wikiwiki.jp/poke-unite/%E4%B8%80%E8%A6%A7</x:v>
      </x:c>
      <x:c r="X100" s="12" t="str">
        <x:v>https://uniteapi.dev/jp/meta</x:v>
      </x:c>
    </x:row>
    <x:row r="101">
      <x:c r="A101" s="12" t="str">
        <x:v>カビゴン-2</x:v>
      </x:c>
      <x:c r="B101" s="12" t="str">
        <x:v>カビゴン</x:v>
      </x:c>
      <x:c r="C101" s="12" t="str">
        <x:v>じたばた</x:v>
      </x:c>
      <x:c r="D101" s="12" t="str">
        <x:v>Juggernaut</x:v>
      </x:c>
      <x:c r="E101" s="12" t="n">
        <x:v>10</x:v>
      </x:c>
      <x:c r="F101" s="12" t="n">
        <x:v>0</x:v>
      </x:c>
      <x:c r="G101" s="12" t="n">
        <x:v>0</x:v>
      </x:c>
      <x:c r="H101" s="12" t="n">
        <x:v>5</x:v>
      </x:c>
      <x:c r="I101" s="12" t="n">
        <x:v>10</x:v>
      </x:c>
      <x:c r="J101" s="12" t="n">
        <x:v>5</x:v>
      </x:c>
      <x:c r="K101" s="12" t="n">
        <x:v>0</x:v>
      </x:c>
      <x:c r="L101" s="12" t="n">
        <x:v>-5</x:v>
      </x:c>
      <x:c r="M101" s="12" t="n">
        <x:v>5</x:v>
      </x:c>
      <x:c r="N101" s="12" t="n">
        <x:v>5</x:v>
      </x:c>
      <x:c r="O101" s="12" t="n">
        <x:v>-5</x:v>
      </x:c>
      <x:c r="P101" s="12" t="n">
        <x:v>-5</x:v>
      </x:c>
      <x:c r="Q101" s="12" t="n">
        <x:v>-5</x:v>
      </x:c>
      <x:c r="R101" s="12" t="n">
        <x:v>5</x:v>
      </x:c>
      <x:c r="S101" s="12" t="n">
        <x:v>10</x:v>
      </x:c>
      <x:c r="T101" s="12" t="str">
        <x:v>FightTempo+15 / SelfSufficiency+10 / Control-10 / Frontline+10</x:v>
      </x:c>
      <x:c r="U101" s="12" t="str">
        <x:v>Wikiのロール・長所短所と既存プロファイルの方向性を保ちながら、同アーキタイプ内の差を拡張。</x:v>
      </x:c>
      <x:c r="V101" s="12" t="str">
        <x:v>https://wikiwiki.jp/poke-unite/%E3%82%AB%E3%83%93%E3%82%B4%E3%83%B3</x:v>
      </x:c>
      <x:c r="W101" s="12" t="str">
        <x:v>https://wikiwiki.jp/poke-unite/%E4%B8%80%E8%A6%A7</x:v>
      </x:c>
      <x:c r="X101" s="12" t="str">
        <x:v>https://uniteapi.dev/jp/meta</x:v>
      </x:c>
    </x:row>
    <x:row r="102">
      <x:c r="A102" s="12" t="str">
        <x:v>カメックス-1</x:v>
      </x:c>
      <x:c r="B102" s="12" t="str">
        <x:v>カメックス</x:v>
      </x:c>
      <x:c r="C102" s="12" t="str">
        <x:v>なみのり</x:v>
      </x:c>
      <x:c r="D102" s="12" t="str">
        <x:v>Warden</x:v>
      </x:c>
      <x:c r="E102" s="12" t="n">
        <x:v>10</x:v>
      </x:c>
      <x:c r="F102" s="12" t="n">
        <x:v>10</x:v>
      </x:c>
      <x:c r="G102" s="12" t="n">
        <x:v>0</x:v>
      </x:c>
      <x:c r="H102" s="12" t="n">
        <x:v>0</x:v>
      </x:c>
      <x:c r="I102" s="12" t="n">
        <x:v>-5</x:v>
      </x:c>
      <x:c r="J102" s="12" t="n">
        <x:v>-5</x:v>
      </x:c>
      <x:c r="K102" s="12" t="n">
        <x:v>0</x:v>
      </x:c>
      <x:c r="L102" s="12" t="n">
        <x:v>0</x:v>
      </x:c>
      <x:c r="M102" s="12" t="n">
        <x:v>0</x:v>
      </x:c>
      <x:c r="N102" s="12" t="n">
        <x:v>0</x:v>
      </x:c>
      <x:c r="O102" s="12" t="n">
        <x:v>0</x:v>
      </x:c>
      <x:c r="P102" s="12" t="n">
        <x:v>0</x:v>
      </x:c>
      <x:c r="Q102" s="12" t="n">
        <x:v>0</x:v>
      </x:c>
      <x:c r="R102" s="12" t="n">
        <x:v>0</x:v>
      </x:c>
      <x:c r="S102" s="12" t="n">
        <x:v>0</x:v>
      </x:c>
      <x:c r="T102" s="12" t="str">
        <x:v>なし（既存個体差の拡張のみ）</x:v>
      </x:c>
      <x:c r="U102" s="12" t="str">
        <x:v>Wikiのロール・長所短所と既存プロファイルの方向性を保ちながら、同アーキタイプ内の差を拡張。</x:v>
      </x:c>
      <x:c r="V102" s="12" t="str">
        <x:v>https://wikiwiki.jp/poke-unite/%E3%82%AB%E3%83%A1%E3%83%83%E3%82%AF%E3%82%B9</x:v>
      </x:c>
      <x:c r="W102" s="12" t="str">
        <x:v>https://wikiwiki.jp/poke-unite/%E4%B8%80%E8%A6%A7</x:v>
      </x:c>
      <x:c r="X102" s="12" t="str">
        <x:v>https://uniteapi.dev/jp/meta</x:v>
      </x:c>
    </x:row>
    <x:row r="103">
      <x:c r="A103" s="12" t="str">
        <x:v>カメックス-2</x:v>
      </x:c>
      <x:c r="B103" s="12" t="str">
        <x:v>カメックス</x:v>
      </x:c>
      <x:c r="C103" s="12" t="str">
        <x:v>こうそくスピン</x:v>
      </x:c>
      <x:c r="D103" s="12" t="str">
        <x:v>Diver</x:v>
      </x:c>
      <x:c r="E103" s="12" t="n">
        <x:v>-5</x:v>
      </x:c>
      <x:c r="F103" s="12" t="n">
        <x:v>-10</x:v>
      </x:c>
      <x:c r="G103" s="12" t="n">
        <x:v>-5</x:v>
      </x:c>
      <x:c r="H103" s="12" t="n">
        <x:v>10</x:v>
      </x:c>
      <x:c r="I103" s="12" t="n">
        <x:v>-5</x:v>
      </x:c>
      <x:c r="J103" s="12" t="n">
        <x:v>10</x:v>
      </x:c>
      <x:c r="K103" s="12" t="n">
        <x:v>0</x:v>
      </x:c>
      <x:c r="L103" s="12" t="n">
        <x:v>0</x:v>
      </x:c>
      <x:c r="M103" s="12" t="n">
        <x:v>-10</x:v>
      </x:c>
      <x:c r="N103" s="12" t="n">
        <x:v>5</x:v>
      </x:c>
      <x:c r="O103" s="12" t="n">
        <x:v>-5</x:v>
      </x:c>
      <x:c r="P103" s="12" t="n">
        <x:v>5</x:v>
      </x:c>
      <x:c r="Q103" s="12" t="n">
        <x:v>-10</x:v>
      </x:c>
      <x:c r="R103" s="12" t="n">
        <x:v>-10</x:v>
      </x:c>
      <x:c r="S103" s="12" t="n">
        <x:v>-5</x:v>
      </x:c>
      <x:c r="T103" s="12" t="str">
        <x:v>なし（既存個体差の拡張のみ）</x:v>
      </x:c>
      <x:c r="U103" s="12" t="str">
        <x:v>Wikiのロール・長所短所と既存プロファイルの方向性を保ちながら、同アーキタイプ内の差を拡張。</x:v>
      </x:c>
      <x:c r="V103" s="12" t="str">
        <x:v>https://wikiwiki.jp/poke-unite/%E3%82%AB%E3%83%A1%E3%83%83%E3%82%AF%E3%82%B9</x:v>
      </x:c>
      <x:c r="W103" s="12" t="str">
        <x:v>https://wikiwiki.jp/poke-unite/%E4%B8%80%E8%A6%A7</x:v>
      </x:c>
      <x:c r="X103" s="12" t="str">
        <x:v>https://uniteapi.dev/jp/meta</x:v>
      </x:c>
    </x:row>
    <x:row r="104">
      <x:c r="A104" s="12" t="str">
        <x:v>シャワーズ-1</x:v>
      </x:c>
      <x:c r="B104" s="12" t="str">
        <x:v>シャワーズ</x:v>
      </x:c>
      <x:c r="C104" s="12" t="str">
        <x:v>アクアリング</x:v>
      </x:c>
      <x:c r="D104" s="12" t="str">
        <x:v>Enchanter</x:v>
      </x:c>
      <x:c r="E104" s="12" t="n">
        <x:v>5</x:v>
      </x:c>
      <x:c r="F104" s="12" t="n">
        <x:v>-5</x:v>
      </x:c>
      <x:c r="G104" s="12" t="n">
        <x:v>0</x:v>
      </x:c>
      <x:c r="H104" s="12" t="n">
        <x:v>15</x:v>
      </x:c>
      <x:c r="I104" s="12" t="n">
        <x:v>-5</x:v>
      </x:c>
      <x:c r="J104" s="12" t="n">
        <x:v>0</x:v>
      </x:c>
      <x:c r="K104" s="12" t="n">
        <x:v>10</x:v>
      </x:c>
      <x:c r="L104" s="12" t="n">
        <x:v>5</x:v>
      </x:c>
      <x:c r="M104" s="12" t="n">
        <x:v>-15</x:v>
      </x:c>
      <x:c r="N104" s="12" t="n">
        <x:v>10</x:v>
      </x:c>
      <x:c r="O104" s="12" t="n">
        <x:v>0</x:v>
      </x:c>
      <x:c r="P104" s="12" t="n">
        <x:v>0</x:v>
      </x:c>
      <x:c r="Q104" s="12" t="n">
        <x:v>-5</x:v>
      </x:c>
      <x:c r="R104" s="12" t="n">
        <x:v>0</x:v>
      </x:c>
      <x:c r="S104" s="12" t="n">
        <x:v>5</x:v>
      </x:c>
      <x:c r="T104" s="12" t="str">
        <x:v>Frontline+10 / Support+5 / SelfSufficiency+5 / Mobility-10</x:v>
      </x:c>
      <x:c r="U104" s="12" t="str">
        <x:v>Wikiのロール・長所短所と既存プロファイルの方向性を保ちながら、同アーキタイプ内の差を拡張。</x:v>
      </x:c>
      <x:c r="V104" s="12" t="str">
        <x:v>https://wikiwiki.jp/poke-unite/%E3%82%B7%E3%83%A3%E3%83%AF%E3%83%BC%E3%82%BA</x:v>
      </x:c>
      <x:c r="W104" s="12" t="str">
        <x:v>https://wikiwiki.jp/poke-unite/%E4%B8%80%E8%A6%A7</x:v>
      </x:c>
      <x:c r="X104" s="12" t="str">
        <x:v>https://uniteapi.dev/jp/meta</x:v>
      </x:c>
    </x:row>
    <x:row r="105">
      <x:c r="A105" s="12" t="str">
        <x:v>シャワーズ-2</x:v>
      </x:c>
      <x:c r="B105" s="12" t="str">
        <x:v>シャワーズ</x:v>
      </x:c>
      <x:c r="C105" s="12" t="str">
        <x:v>クイックターン</x:v>
      </x:c>
      <x:c r="D105" s="12" t="str">
        <x:v>Warden</x:v>
      </x:c>
      <x:c r="E105" s="12" t="n">
        <x:v>5</x:v>
      </x:c>
      <x:c r="F105" s="12" t="n">
        <x:v>10</x:v>
      </x:c>
      <x:c r="G105" s="12" t="n">
        <x:v>-10</x:v>
      </x:c>
      <x:c r="H105" s="12" t="n">
        <x:v>-5</x:v>
      </x:c>
      <x:c r="I105" s="12" t="n">
        <x:v>-5</x:v>
      </x:c>
      <x:c r="J105" s="12" t="n">
        <x:v>-5</x:v>
      </x:c>
      <x:c r="K105" s="12" t="n">
        <x:v>-5</x:v>
      </x:c>
      <x:c r="L105" s="12" t="n">
        <x:v>-10</x:v>
      </x:c>
      <x:c r="M105" s="12" t="n">
        <x:v>10</x:v>
      </x:c>
      <x:c r="N105" s="12" t="n">
        <x:v>10</x:v>
      </x:c>
      <x:c r="O105" s="12" t="n">
        <x:v>10</x:v>
      </x:c>
      <x:c r="P105" s="12" t="n">
        <x:v>5</x:v>
      </x:c>
      <x:c r="Q105" s="12" t="n">
        <x:v>5</x:v>
      </x:c>
      <x:c r="R105" s="12" t="n">
        <x:v>5</x:v>
      </x:c>
      <x:c r="S105" s="12" t="n">
        <x:v>-5</x:v>
      </x:c>
      <x:c r="T105" s="12" t="str">
        <x:v>なし（既存個体差の拡張のみ）</x:v>
      </x:c>
      <x:c r="U105" s="12" t="str">
        <x:v>Wikiのロール・長所短所と既存プロファイルの方向性を保ちながら、同アーキタイプ内の差を拡張。</x:v>
      </x:c>
      <x:c r="V105" s="12" t="str">
        <x:v>https://wikiwiki.jp/poke-unite/%E3%82%B7%E3%83%A3%E3%83%AF%E3%83%BC%E3%82%BA</x:v>
      </x:c>
      <x:c r="W105" s="12" t="str">
        <x:v>https://wikiwiki.jp/poke-unite/%E4%B8%80%E8%A6%A7</x:v>
      </x:c>
      <x:c r="X105" s="12" t="str">
        <x:v>https://uniteapi.dev/jp/meta</x:v>
      </x:c>
    </x:row>
    <x:row r="106">
      <x:c r="A106" s="12" t="str">
        <x:v>ヌメルゴン-1</x:v>
      </x:c>
      <x:c r="B106" s="12" t="str">
        <x:v>ヌメルゴン</x:v>
      </x:c>
      <x:c r="C106" s="12" t="str">
        <x:v>共通</x:v>
      </x:c>
      <x:c r="D106" s="12" t="str">
        <x:v>Juggernaut</x:v>
      </x:c>
      <x:c r="E106" s="12" t="n">
        <x:v>0</x:v>
      </x:c>
      <x:c r="F106" s="12" t="n">
        <x:v>0</x:v>
      </x:c>
      <x:c r="G106" s="12" t="n">
        <x:v>5</x:v>
      </x:c>
      <x:c r="H106" s="12" t="n">
        <x:v>0</x:v>
      </x:c>
      <x:c r="I106" s="12" t="n">
        <x:v>-5</x:v>
      </x:c>
      <x:c r="J106" s="12" t="n">
        <x:v>15</x:v>
      </x:c>
      <x:c r="K106" s="12" t="n">
        <x:v>-15</x:v>
      </x:c>
      <x:c r="L106" s="12" t="n">
        <x:v>-5</x:v>
      </x:c>
      <x:c r="M106" s="12" t="n">
        <x:v>-10</x:v>
      </x:c>
      <x:c r="N106" s="12" t="n">
        <x:v>15</x:v>
      </x:c>
      <x:c r="O106" s="12" t="n">
        <x:v>5</x:v>
      </x:c>
      <x:c r="P106" s="12" t="n">
        <x:v>5</x:v>
      </x:c>
      <x:c r="Q106" s="12" t="n">
        <x:v>-5</x:v>
      </x:c>
      <x:c r="R106" s="12" t="n">
        <x:v>0</x:v>
      </x:c>
      <x:c r="S106" s="12" t="n">
        <x:v>-5</x:v>
      </x:c>
      <x:c r="T106" s="12" t="str">
        <x:v>Frontline+15 / FightTempo+15 / Control-15 / Mobility-5 / SelfSufficiency+15</x:v>
      </x:c>
      <x:c r="U106" s="12" t="str">
        <x:v>Wikiのロール・長所短所と既存プロファイルの方向性を保ちながら、同アーキタイプ内の差を拡張。</x:v>
      </x:c>
      <x:c r="V106" s="12" t="str">
        <x:v>https://wikiwiki.jp/poke-unite/%E3%83%8C%E3%83%A1%E3%83%AB%E3%82%B4%E3%83%B3</x:v>
      </x:c>
      <x:c r="W106" s="12" t="str">
        <x:v>https://wikiwiki.jp/poke-unite/%E4%B8%80%E8%A6%A7</x:v>
      </x:c>
      <x:c r="X106" s="12" t="str">
        <x:v>https://uniteapi.dev/jp/meta</x:v>
      </x:c>
    </x:row>
    <x:row r="107">
      <x:c r="A107" s="12" t="str">
        <x:v>フリーザー-1</x:v>
      </x:c>
      <x:c r="B107" s="12" t="str">
        <x:v>フリーザー</x:v>
      </x:c>
      <x:c r="C107" s="12" t="str">
        <x:v>共通</x:v>
      </x:c>
      <x:c r="D107" s="12" t="str">
        <x:v>Warden</x:v>
      </x:c>
      <x:c r="E107" s="12" t="n">
        <x:v>-10</x:v>
      </x:c>
      <x:c r="F107" s="12" t="n">
        <x:v>-10</x:v>
      </x:c>
      <x:c r="G107" s="12" t="n">
        <x:v>0</x:v>
      </x:c>
      <x:c r="H107" s="12" t="n">
        <x:v>0</x:v>
      </x:c>
      <x:c r="I107" s="12" t="n">
        <x:v>5</x:v>
      </x:c>
      <x:c r="J107" s="12" t="n">
        <x:v>5</x:v>
      </x:c>
      <x:c r="K107" s="12" t="n">
        <x:v>0</x:v>
      </x:c>
      <x:c r="L107" s="12" t="n">
        <x:v>5</x:v>
      </x:c>
      <x:c r="M107" s="12" t="n">
        <x:v>-10</x:v>
      </x:c>
      <x:c r="N107" s="12" t="n">
        <x:v>0</x:v>
      </x:c>
      <x:c r="O107" s="12" t="n">
        <x:v>0</x:v>
      </x:c>
      <x:c r="P107" s="12" t="n">
        <x:v>0</x:v>
      </x:c>
      <x:c r="Q107" s="12" t="n">
        <x:v>-5</x:v>
      </x:c>
      <x:c r="R107" s="12" t="n">
        <x:v>0</x:v>
      </x:c>
      <x:c r="S107" s="12" t="n">
        <x:v>0</x:v>
      </x:c>
      <x:c r="T107" s="12" t="str">
        <x:v>なし（既存個体差の拡張のみ）</x:v>
      </x:c>
      <x:c r="U107" s="12" t="str">
        <x:v>Wikiのロール・長所短所と既存プロファイルの方向性を保ちながら、同アーキタイプ内の差を拡張。</x:v>
      </x:c>
      <x:c r="V107" s="12" t="str">
        <x:v>https://wikiwiki.jp/poke-unite/%E3%83%95%E3%83%AA%E3%83%BC%E3%82%B6%E3%83%BC</x:v>
      </x:c>
      <x:c r="W107" s="12" t="str">
        <x:v>https://wikiwiki.jp/poke-unite/%E4%B8%80%E8%A6%A7</x:v>
      </x:c>
      <x:c r="X107" s="12" t="str">
        <x:v>https://uniteapi.dev/jp/meta</x:v>
      </x:c>
    </x:row>
    <x:row r="108">
      <x:c r="A108" s="12" t="str">
        <x:v>ブラッキー-1</x:v>
      </x:c>
      <x:c r="B108" s="12" t="str">
        <x:v>ブラッキー</x:v>
      </x:c>
      <x:c r="C108" s="12" t="str">
        <x:v>ねがいごと</x:v>
      </x:c>
      <x:c r="D108" s="12" t="str">
        <x:v>Enchanter</x:v>
      </x:c>
      <x:c r="E108" s="12" t="n">
        <x:v>0</x:v>
      </x:c>
      <x:c r="F108" s="12" t="n">
        <x:v>-5</x:v>
      </x:c>
      <x:c r="G108" s="12" t="n">
        <x:v>0</x:v>
      </x:c>
      <x:c r="H108" s="12" t="n">
        <x:v>15</x:v>
      </x:c>
      <x:c r="I108" s="12" t="n">
        <x:v>-5</x:v>
      </x:c>
      <x:c r="J108" s="12" t="n">
        <x:v>0</x:v>
      </x:c>
      <x:c r="K108" s="12" t="n">
        <x:v>10</x:v>
      </x:c>
      <x:c r="L108" s="12" t="n">
        <x:v>0</x:v>
      </x:c>
      <x:c r="M108" s="12" t="n">
        <x:v>-15</x:v>
      </x:c>
      <x:c r="N108" s="12" t="n">
        <x:v>10</x:v>
      </x:c>
      <x:c r="O108" s="12" t="n">
        <x:v>0</x:v>
      </x:c>
      <x:c r="P108" s="12" t="n">
        <x:v>0</x:v>
      </x:c>
      <x:c r="Q108" s="12" t="n">
        <x:v>-5</x:v>
      </x:c>
      <x:c r="R108" s="12" t="n">
        <x:v>0</x:v>
      </x:c>
      <x:c r="S108" s="12" t="n">
        <x:v>5</x:v>
      </x:c>
      <x:c r="T108" s="12" t="str">
        <x:v>Peel+10 / Frontline+10 / SelfSufficiency+5 / Mobility-5</x:v>
      </x:c>
      <x:c r="U108" s="12" t="str">
        <x:v>Wikiのロール・長所短所と既存プロファイルの方向性を保ちながら、同アーキタイプ内の差を拡張。</x:v>
      </x:c>
      <x:c r="V108" s="12" t="str">
        <x:v>https://wikiwiki.jp/poke-unite/%E3%83%96%E3%83%A9%E3%83%83%E3%82%AD%E3%83%BC</x:v>
      </x:c>
      <x:c r="W108" s="12" t="str">
        <x:v>https://wikiwiki.jp/poke-unite/%E4%B8%80%E8%A6%A7</x:v>
      </x:c>
      <x:c r="X108" s="12" t="str">
        <x:v>https://uniteapi.dev/jp/meta</x:v>
      </x:c>
    </x:row>
    <x:row r="109">
      <x:c r="A109" s="12" t="str">
        <x:v>ブラッキー-2</x:v>
      </x:c>
      <x:c r="B109" s="12" t="str">
        <x:v>ブラッキー</x:v>
      </x:c>
      <x:c r="C109" s="12" t="str">
        <x:v>イカサマ</x:v>
      </x:c>
      <x:c r="D109" s="12" t="str">
        <x:v>Vanguard</x:v>
      </x:c>
      <x:c r="E109" s="12" t="n">
        <x:v>5</x:v>
      </x:c>
      <x:c r="F109" s="12" t="n">
        <x:v>-10</x:v>
      </x:c>
      <x:c r="G109" s="12" t="n">
        <x:v>5</x:v>
      </x:c>
      <x:c r="H109" s="12" t="n">
        <x:v>0</x:v>
      </x:c>
      <x:c r="I109" s="12" t="n">
        <x:v>-5</x:v>
      </x:c>
      <x:c r="J109" s="12" t="n">
        <x:v>0</x:v>
      </x:c>
      <x:c r="K109" s="12" t="n">
        <x:v>0</x:v>
      </x:c>
      <x:c r="L109" s="12" t="n">
        <x:v>-10</x:v>
      </x:c>
      <x:c r="M109" s="12" t="n">
        <x:v>-10</x:v>
      </x:c>
      <x:c r="N109" s="12" t="n">
        <x:v>0</x:v>
      </x:c>
      <x:c r="O109" s="12" t="n">
        <x:v>0</x:v>
      </x:c>
      <x:c r="P109" s="12" t="n">
        <x:v>0</x:v>
      </x:c>
      <x:c r="Q109" s="12" t="n">
        <x:v>-10</x:v>
      </x:c>
      <x:c r="R109" s="12" t="n">
        <x:v>0</x:v>
      </x:c>
      <x:c r="S109" s="12" t="n">
        <x:v>0</x:v>
      </x:c>
      <x:c r="T109" s="12" t="str">
        <x:v>なし（既存個体差の拡張のみ）</x:v>
      </x:c>
      <x:c r="U109" s="12" t="str">
        <x:v>Wikiのロール・長所短所と既存プロファイルの方向性を保ちながら、同アーキタイプ内の差を拡張。</x:v>
      </x:c>
      <x:c r="V109" s="12" t="str">
        <x:v>https://wikiwiki.jp/poke-unite/%E3%83%96%E3%83%A9%E3%83%83%E3%82%AD%E3%83%BC</x:v>
      </x:c>
      <x:c r="W109" s="12" t="str">
        <x:v>https://wikiwiki.jp/poke-unite/%E4%B8%80%E8%A6%A7</x:v>
      </x:c>
      <x:c r="X109" s="12" t="str">
        <x:v>https://uniteapi.dev/jp/meta</x:v>
      </x:c>
    </x:row>
    <x:row r="110">
      <x:c r="A110" s="12" t="str">
        <x:v>ホウオウ-1</x:v>
      </x:c>
      <x:c r="B110" s="12" t="str">
        <x:v>ホウオウ</x:v>
      </x:c>
      <x:c r="C110" s="12" t="str">
        <x:v>かえんほうしゃ</x:v>
      </x:c>
      <x:c r="D110" s="12" t="str">
        <x:v>Juggernaut</x:v>
      </x:c>
      <x:c r="E110" s="12" t="n">
        <x:v>-10</x:v>
      </x:c>
      <x:c r="F110" s="12" t="n">
        <x:v>-10</x:v>
      </x:c>
      <x:c r="G110" s="12" t="n">
        <x:v>10</x:v>
      </x:c>
      <x:c r="H110" s="12" t="n">
        <x:v>0</x:v>
      </x:c>
      <x:c r="I110" s="12" t="n">
        <x:v>10</x:v>
      </x:c>
      <x:c r="J110" s="12" t="n">
        <x:v>10</x:v>
      </x:c>
      <x:c r="K110" s="12" t="n">
        <x:v>5</x:v>
      </x:c>
      <x:c r="L110" s="12" t="n">
        <x:v>10</x:v>
      </x:c>
      <x:c r="M110" s="12" t="n">
        <x:v>-10</x:v>
      </x:c>
      <x:c r="N110" s="12" t="n">
        <x:v>-10</x:v>
      </x:c>
      <x:c r="O110" s="12" t="n">
        <x:v>-10</x:v>
      </x:c>
      <x:c r="P110" s="12" t="n">
        <x:v>-10</x:v>
      </x:c>
      <x:c r="Q110" s="12" t="n">
        <x:v>-10</x:v>
      </x:c>
      <x:c r="R110" s="12" t="n">
        <x:v>-10</x:v>
      </x:c>
      <x:c r="S110" s="12" t="n">
        <x:v>10</x:v>
      </x:c>
      <x:c r="T110" s="12" t="str">
        <x:v>なし（既存個体差の拡張のみ）</x:v>
      </x:c>
      <x:c r="U110" s="12" t="str">
        <x:v>Wikiのロール・長所短所と既存プロファイルの方向性を保ちながら、同アーキタイプ内の差を拡張。</x:v>
      </x:c>
      <x:c r="V110" s="12" t="str">
        <x:v>https://wikiwiki.jp/poke-unite/%E3%83%9B%E3%82%A6%E3%82%AA%E3%82%A6</x:v>
      </x:c>
      <x:c r="W110" s="12" t="str">
        <x:v>https://wikiwiki.jp/poke-unite/%E4%B8%80%E8%A6%A7</x:v>
      </x:c>
      <x:c r="X110" s="12" t="str">
        <x:v>https://uniteapi.dev/jp/meta</x:v>
      </x:c>
    </x:row>
    <x:row r="111">
      <x:c r="A111" s="12" t="str">
        <x:v>ホウオウ-2</x:v>
      </x:c>
      <x:c r="B111" s="12" t="str">
        <x:v>ホウオウ</x:v>
      </x:c>
      <x:c r="C111" s="12" t="str">
        <x:v>ゴッドバード</x:v>
      </x:c>
      <x:c r="D111" s="12" t="str">
        <x:v>Vanguard</x:v>
      </x:c>
      <x:c r="E111" s="12" t="n">
        <x:v>-10</x:v>
      </x:c>
      <x:c r="F111" s="12" t="n">
        <x:v>5</x:v>
      </x:c>
      <x:c r="G111" s="12" t="n">
        <x:v>-10</x:v>
      </x:c>
      <x:c r="H111" s="12" t="n">
        <x:v>-10</x:v>
      </x:c>
      <x:c r="I111" s="12" t="n">
        <x:v>10</x:v>
      </x:c>
      <x:c r="J111" s="12" t="n">
        <x:v>0</x:v>
      </x:c>
      <x:c r="K111" s="12" t="n">
        <x:v>-10</x:v>
      </x:c>
      <x:c r="L111" s="12" t="n">
        <x:v>10</x:v>
      </x:c>
      <x:c r="M111" s="12" t="n">
        <x:v>0</x:v>
      </x:c>
      <x:c r="N111" s="12" t="n">
        <x:v>0</x:v>
      </x:c>
      <x:c r="O111" s="12" t="n">
        <x:v>0</x:v>
      </x:c>
      <x:c r="P111" s="12" t="n">
        <x:v>-5</x:v>
      </x:c>
      <x:c r="Q111" s="12" t="n">
        <x:v>10</x:v>
      </x:c>
      <x:c r="R111" s="12" t="n">
        <x:v>0</x:v>
      </x:c>
      <x:c r="S111" s="12" t="n">
        <x:v>0</x:v>
      </x:c>
      <x:c r="T111" s="12" t="str">
        <x:v>なし（既存個体差の拡張のみ）</x:v>
      </x:c>
      <x:c r="U111" s="12" t="str">
        <x:v>Wikiのロール・長所短所と既存プロファイルの方向性を保ちながら、同アーキタイプ内の差を拡張。</x:v>
      </x:c>
      <x:c r="V111" s="12" t="str">
        <x:v>https://wikiwiki.jp/poke-unite/%E3%83%9B%E3%82%A6%E3%82%AA%E3%82%A6</x:v>
      </x:c>
      <x:c r="W111" s="12" t="str">
        <x:v>https://wikiwiki.jp/poke-unite/%E4%B8%80%E8%A6%A7</x:v>
      </x:c>
      <x:c r="X111" s="12" t="str">
        <x:v>https://uniteapi.dev/jp/meta</x:v>
      </x:c>
    </x:row>
    <x:row r="112">
      <x:c r="A112" s="12" t="str">
        <x:v>マンムー-1</x:v>
      </x:c>
      <x:c r="B112" s="12" t="str">
        <x:v>マンムー</x:v>
      </x:c>
      <x:c r="C112" s="12" t="str">
        <x:v>共通</x:v>
      </x:c>
      <x:c r="D112" s="12" t="str">
        <x:v>Vanguard</x:v>
      </x:c>
      <x:c r="E112" s="12" t="n">
        <x:v>0</x:v>
      </x:c>
      <x:c r="F112" s="12" t="n">
        <x:v>10</x:v>
      </x:c>
      <x:c r="G112" s="12" t="n">
        <x:v>-5</x:v>
      </x:c>
      <x:c r="H112" s="12" t="n">
        <x:v>0</x:v>
      </x:c>
      <x:c r="I112" s="12" t="n">
        <x:v>-5</x:v>
      </x:c>
      <x:c r="J112" s="12" t="n">
        <x:v>-10</x:v>
      </x:c>
      <x:c r="K112" s="12" t="n">
        <x:v>0</x:v>
      </x:c>
      <x:c r="L112" s="12" t="n">
        <x:v>-10</x:v>
      </x:c>
      <x:c r="M112" s="12" t="n">
        <x:v>-5</x:v>
      </x:c>
      <x:c r="N112" s="12" t="n">
        <x:v>5</x:v>
      </x:c>
      <x:c r="O112" s="12" t="n">
        <x:v>0</x:v>
      </x:c>
      <x:c r="P112" s="12" t="n">
        <x:v>5</x:v>
      </x:c>
      <x:c r="Q112" s="12" t="n">
        <x:v>-10</x:v>
      </x:c>
      <x:c r="R112" s="12" t="n">
        <x:v>0</x:v>
      </x:c>
      <x:c r="S112" s="12" t="n">
        <x:v>-5</x:v>
      </x:c>
      <x:c r="T112" s="12" t="str">
        <x:v>なし（既存個体差の拡張のみ）</x:v>
      </x:c>
      <x:c r="U112" s="12" t="str">
        <x:v>Wikiのロール・長所短所と既存プロファイルの方向性を保ちながら、同アーキタイプ内の差を拡張。</x:v>
      </x:c>
      <x:c r="V112" s="12" t="str">
        <x:v>https://wikiwiki.jp/poke-unite/%E3%83%9E%E3%83%B3%E3%83%A0%E3%83%BC</x:v>
      </x:c>
      <x:c r="W112" s="12" t="str">
        <x:v>https://wikiwiki.jp/poke-unite/%E4%B8%80%E8%A6%A7</x:v>
      </x:c>
      <x:c r="X112" s="12" t="str">
        <x:v>https://uniteapi.dev/jp/meta</x:v>
      </x:c>
    </x:row>
    <x:row r="113">
      <x:c r="A113" s="12" t="str">
        <x:v>ヤドラン-1</x:v>
      </x:c>
      <x:c r="B113" s="12" t="str">
        <x:v>ヤドラン</x:v>
      </x:c>
      <x:c r="C113" s="12" t="str">
        <x:v>ドわすれ</x:v>
      </x:c>
      <x:c r="D113" s="12" t="str">
        <x:v>Juggernaut</x:v>
      </x:c>
      <x:c r="E113" s="12" t="n">
        <x:v>-5</x:v>
      </x:c>
      <x:c r="F113" s="12" t="n">
        <x:v>-5</x:v>
      </x:c>
      <x:c r="G113" s="12" t="n">
        <x:v>-10</x:v>
      </x:c>
      <x:c r="H113" s="12" t="n">
        <x:v>-5</x:v>
      </x:c>
      <x:c r="I113" s="12" t="n">
        <x:v>10</x:v>
      </x:c>
      <x:c r="J113" s="12" t="n">
        <x:v>-5</x:v>
      </x:c>
      <x:c r="K113" s="12" t="n">
        <x:v>-10</x:v>
      </x:c>
      <x:c r="L113" s="12" t="n">
        <x:v>-5</x:v>
      </x:c>
      <x:c r="M113" s="12" t="n">
        <x:v>5</x:v>
      </x:c>
      <x:c r="N113" s="12" t="n">
        <x:v>0</x:v>
      </x:c>
      <x:c r="O113" s="12" t="n">
        <x:v>0</x:v>
      </x:c>
      <x:c r="P113" s="12" t="n">
        <x:v>5</x:v>
      </x:c>
      <x:c r="Q113" s="12" t="n">
        <x:v>0</x:v>
      </x:c>
      <x:c r="R113" s="12" t="n">
        <x:v>5</x:v>
      </x:c>
      <x:c r="S113" s="12" t="n">
        <x:v>0</x:v>
      </x:c>
      <x:c r="T113" s="12" t="str">
        <x:v>なし（既存個体差の拡張のみ）</x:v>
      </x:c>
      <x:c r="U113" s="12" t="str">
        <x:v>Wikiのロール・長所短所と既存プロファイルの方向性を保ちながら、同アーキタイプ内の差を拡張。</x:v>
      </x:c>
      <x:c r="V113" s="12" t="str">
        <x:v>https://wikiwiki.jp/poke-unite/%E3%83%A4%E3%83%89%E3%83%A9%E3%83%B3</x:v>
      </x:c>
      <x:c r="W113" s="12" t="str">
        <x:v>https://wikiwiki.jp/poke-unite/%E4%B8%80%E8%A6%A7</x:v>
      </x:c>
      <x:c r="X113" s="12" t="str">
        <x:v>https://uniteapi.dev/jp/meta</x:v>
      </x:c>
    </x:row>
    <x:row r="114">
      <x:c r="A114" s="12" t="str">
        <x:v>ヤドラン-2</x:v>
      </x:c>
      <x:c r="B114" s="12" t="str">
        <x:v>ヤドラン</x:v>
      </x:c>
      <x:c r="C114" s="12" t="str">
        <x:v>テレキネシス</x:v>
      </x:c>
      <x:c r="D114" s="12" t="str">
        <x:v>Warden</x:v>
      </x:c>
      <x:c r="E114" s="12" t="n">
        <x:v>0</x:v>
      </x:c>
      <x:c r="F114" s="12" t="n">
        <x:v>0</x:v>
      </x:c>
      <x:c r="G114" s="12" t="n">
        <x:v>0</x:v>
      </x:c>
      <x:c r="H114" s="12" t="n">
        <x:v>-5</x:v>
      </x:c>
      <x:c r="I114" s="12" t="n">
        <x:v>5</x:v>
      </x:c>
      <x:c r="J114" s="12" t="n">
        <x:v>5</x:v>
      </x:c>
      <x:c r="K114" s="12" t="n">
        <x:v>0</x:v>
      </x:c>
      <x:c r="L114" s="12" t="n">
        <x:v>0</x:v>
      </x:c>
      <x:c r="M114" s="12" t="n">
        <x:v>0</x:v>
      </x:c>
      <x:c r="N114" s="12" t="n">
        <x:v>-5</x:v>
      </x:c>
      <x:c r="O114" s="12" t="n">
        <x:v>5</x:v>
      </x:c>
      <x:c r="P114" s="12" t="n">
        <x:v>0</x:v>
      </x:c>
      <x:c r="Q114" s="12" t="n">
        <x:v>0</x:v>
      </x:c>
      <x:c r="R114" s="12" t="n">
        <x:v>5</x:v>
      </x:c>
      <x:c r="S114" s="12" t="n">
        <x:v>0</x:v>
      </x:c>
      <x:c r="T114" s="12" t="str">
        <x:v>なし（既存個体差の拡張のみ）</x:v>
      </x:c>
      <x:c r="U114" s="12" t="str">
        <x:v>Wikiのロール・長所短所と既存プロファイルの方向性を保ちながら、同アーキタイプ内の差を拡張。</x:v>
      </x:c>
      <x:c r="V114" s="12" t="str">
        <x:v>https://wikiwiki.jp/poke-unite/%E3%83%A4%E3%83%89%E3%83%A9%E3%83%B3</x:v>
      </x:c>
      <x:c r="W114" s="12" t="str">
        <x:v>https://wikiwiki.jp/poke-unite/%E4%B8%80%E8%A6%A7</x:v>
      </x:c>
      <x:c r="X114" s="12" t="str">
        <x:v>https://uniteapi.dev/jp/meta</x:v>
      </x:c>
    </x:row>
    <x:row r="115">
      <x:c r="A115" s="12" t="str">
        <x:v>ヨクバリス-1</x:v>
      </x:c>
      <x:c r="B115" s="12" t="str">
        <x:v>ヨクバリス</x:v>
      </x:c>
      <x:c r="C115" s="12" t="str">
        <x:v>ほおばる</x:v>
      </x:c>
      <x:c r="D115" s="12" t="str">
        <x:v>Juggernaut</x:v>
      </x:c>
      <x:c r="E115" s="12" t="n">
        <x:v>0</x:v>
      </x:c>
      <x:c r="F115" s="12" t="n">
        <x:v>10</x:v>
      </x:c>
      <x:c r="G115" s="12" t="n">
        <x:v>0</x:v>
      </x:c>
      <x:c r="H115" s="12" t="n">
        <x:v>0</x:v>
      </x:c>
      <x:c r="I115" s="12" t="n">
        <x:v>-5</x:v>
      </x:c>
      <x:c r="J115" s="12" t="n">
        <x:v>0</x:v>
      </x:c>
      <x:c r="K115" s="12" t="n">
        <x:v>-10</x:v>
      </x:c>
      <x:c r="L115" s="12" t="n">
        <x:v>-5</x:v>
      </x:c>
      <x:c r="M115" s="12" t="n">
        <x:v>10</x:v>
      </x:c>
      <x:c r="N115" s="12" t="n">
        <x:v>10</x:v>
      </x:c>
      <x:c r="O115" s="12" t="n">
        <x:v>0</x:v>
      </x:c>
      <x:c r="P115" s="12" t="n">
        <x:v>5</x:v>
      </x:c>
      <x:c r="Q115" s="12" t="n">
        <x:v>10</x:v>
      </x:c>
      <x:c r="R115" s="12" t="n">
        <x:v>5</x:v>
      </x:c>
      <x:c r="S115" s="12" t="n">
        <x:v>-5</x:v>
      </x:c>
      <x:c r="T115" s="12" t="str">
        <x:v>なし（既存個体差の拡張のみ）</x:v>
      </x:c>
      <x:c r="U115" s="12" t="str">
        <x:v>Wikiのロール・長所短所と既存プロファイルの方向性を保ちながら、同アーキタイプ内の差を拡張。</x:v>
      </x:c>
      <x:c r="V115" s="12" t="str">
        <x:v>https://wikiwiki.jp/poke-unite/%E3%83%A8%E3%82%AF%E3%83%90%E3%83%AA%E3%82%B9</x:v>
      </x:c>
      <x:c r="W115" s="12" t="str">
        <x:v>https://wikiwiki.jp/poke-unite/%E4%B8%80%E8%A6%A7</x:v>
      </x:c>
      <x:c r="X115" s="12" t="str">
        <x:v>https://uniteapi.dev/jp/meta</x:v>
      </x:c>
    </x:row>
    <x:row r="116">
      <x:c r="A116" s="12" t="str">
        <x:v>ヨクバリス-2</x:v>
      </x:c>
      <x:c r="B116" s="12" t="str">
        <x:v>ヨクバリス</x:v>
      </x:c>
      <x:c r="C116" s="12" t="str">
        <x:v>ほしがる</x:v>
      </x:c>
      <x:c r="D116" s="12" t="str">
        <x:v>Diver</x:v>
      </x:c>
      <x:c r="E116" s="12" t="n">
        <x:v>-5</x:v>
      </x:c>
      <x:c r="F116" s="12" t="n">
        <x:v>-10</x:v>
      </x:c>
      <x:c r="G116" s="12" t="n">
        <x:v>10</x:v>
      </x:c>
      <x:c r="H116" s="12" t="n">
        <x:v>-10</x:v>
      </x:c>
      <x:c r="I116" s="12" t="n">
        <x:v>10</x:v>
      </x:c>
      <x:c r="J116" s="12" t="n">
        <x:v>-5</x:v>
      </x:c>
      <x:c r="K116" s="12" t="n">
        <x:v>10</x:v>
      </x:c>
      <x:c r="L116" s="12" t="n">
        <x:v>10</x:v>
      </x:c>
      <x:c r="M116" s="12" t="n">
        <x:v>10</x:v>
      </x:c>
      <x:c r="N116" s="12" t="n">
        <x:v>-5</x:v>
      </x:c>
      <x:c r="O116" s="12" t="n">
        <x:v>-10</x:v>
      </x:c>
      <x:c r="P116" s="12" t="n">
        <x:v>-10</x:v>
      </x:c>
      <x:c r="Q116" s="12" t="n">
        <x:v>10</x:v>
      </x:c>
      <x:c r="R116" s="12" t="n">
        <x:v>5</x:v>
      </x:c>
      <x:c r="S116" s="12" t="n">
        <x:v>10</x:v>
      </x:c>
      <x:c r="T116" s="12" t="str">
        <x:v>なし（既存個体差の拡張のみ）</x:v>
      </x:c>
      <x:c r="U116" s="12" t="str">
        <x:v>Wikiのロール・長所短所と既存プロファイルの方向性を保ちながら、同アーキタイプ内の差を拡張。</x:v>
      </x:c>
      <x:c r="V116" s="12" t="str">
        <x:v>https://wikiwiki.jp/poke-unite/%E3%83%A8%E3%82%AF%E3%83%90%E3%83%AA%E3%82%B9</x:v>
      </x:c>
      <x:c r="W116" s="12" t="str">
        <x:v>https://wikiwiki.jp/poke-unite/%E4%B8%80%E8%A6%A7</x:v>
      </x:c>
      <x:c r="X116" s="12" t="str">
        <x:v>https://uniteapi.dev/jp/meta</x:v>
      </x:c>
    </x:row>
    <x:row r="117">
      <x:c r="A117" s="12" t="str">
        <x:v>ラプラス-1</x:v>
      </x:c>
      <x:c r="B117" s="12" t="str">
        <x:v>ラプラス</x:v>
      </x:c>
      <x:c r="C117" s="12" t="str">
        <x:v>共通</x:v>
      </x:c>
      <x:c r="D117" s="12" t="str">
        <x:v>Juggernaut</x:v>
      </x:c>
      <x:c r="E117" s="12" t="n">
        <x:v>-10</x:v>
      </x:c>
      <x:c r="F117" s="12" t="n">
        <x:v>-10</x:v>
      </x:c>
      <x:c r="G117" s="12" t="n">
        <x:v>10</x:v>
      </x:c>
      <x:c r="H117" s="12" t="n">
        <x:v>-5</x:v>
      </x:c>
      <x:c r="I117" s="12" t="n">
        <x:v>10</x:v>
      </x:c>
      <x:c r="J117" s="12" t="n">
        <x:v>0</x:v>
      </x:c>
      <x:c r="K117" s="12" t="n">
        <x:v>10</x:v>
      </x:c>
      <x:c r="L117" s="12" t="n">
        <x:v>10</x:v>
      </x:c>
      <x:c r="M117" s="12" t="n">
        <x:v>10</x:v>
      </x:c>
      <x:c r="N117" s="12" t="n">
        <x:v>-10</x:v>
      </x:c>
      <x:c r="O117" s="12" t="n">
        <x:v>-10</x:v>
      </x:c>
      <x:c r="P117" s="12" t="n">
        <x:v>-10</x:v>
      </x:c>
      <x:c r="Q117" s="12" t="n">
        <x:v>0</x:v>
      </x:c>
      <x:c r="R117" s="12" t="n">
        <x:v>-10</x:v>
      </x:c>
      <x:c r="S117" s="12" t="n">
        <x:v>10</x:v>
      </x:c>
      <x:c r="T117" s="12" t="str">
        <x:v>なし（既存個体差の拡張のみ）</x:v>
      </x:c>
      <x:c r="U117" s="12" t="str">
        <x:v>Wikiのロール・長所短所と既存プロファイルの方向性を保ちながら、同アーキタイプ内の差を拡張。</x:v>
      </x:c>
      <x:c r="V117" s="12" t="str">
        <x:v>https://wikiwiki.jp/poke-unite/%E3%83%A9%E3%83%97%E3%83%A9%E3%82%B9</x:v>
      </x:c>
      <x:c r="W117" s="12" t="str">
        <x:v>https://wikiwiki.jp/poke-unite/%E4%B8%80%E8%A6%A7</x:v>
      </x:c>
      <x:c r="X117" s="12" t="str">
        <x:v>https://uniteapi.dev/jp/meta</x:v>
      </x:c>
    </x:row>
    <x:row r="118">
      <x:c r="A118" s="12" t="str">
        <x:v>キュワワー-1</x:v>
      </x:c>
      <x:c r="B118" s="12" t="str">
        <x:v>キュワワー</x:v>
      </x:c>
      <x:c r="C118" s="12" t="str">
        <x:v>共通</x:v>
      </x:c>
      <x:c r="D118" s="12" t="str">
        <x:v>Enchanter</x:v>
      </x:c>
      <x:c r="E118" s="12" t="n">
        <x:v>-10</x:v>
      </x:c>
      <x:c r="F118" s="12" t="n">
        <x:v>-5</x:v>
      </x:c>
      <x:c r="G118" s="12" t="n">
        <x:v>-10</x:v>
      </x:c>
      <x:c r="H118" s="12" t="n">
        <x:v>-5</x:v>
      </x:c>
      <x:c r="I118" s="12" t="n">
        <x:v>-10</x:v>
      </x:c>
      <x:c r="J118" s="12" t="n">
        <x:v>-5</x:v>
      </x:c>
      <x:c r="K118" s="12" t="n">
        <x:v>-10</x:v>
      </x:c>
      <x:c r="L118" s="12" t="n">
        <x:v>0</x:v>
      </x:c>
      <x:c r="M118" s="12" t="n">
        <x:v>10</x:v>
      </x:c>
      <x:c r="N118" s="12" t="n">
        <x:v>-5</x:v>
      </x:c>
      <x:c r="O118" s="12" t="n">
        <x:v>-5</x:v>
      </x:c>
      <x:c r="P118" s="12" t="n">
        <x:v>-10</x:v>
      </x:c>
      <x:c r="Q118" s="12" t="n">
        <x:v>-10</x:v>
      </x:c>
      <x:c r="R118" s="12" t="n">
        <x:v>-10</x:v>
      </x:c>
      <x:c r="S118" s="12" t="n">
        <x:v>5</x:v>
      </x:c>
      <x:c r="T118" s="12" t="str">
        <x:v>なし（既存個体差の拡張のみ）</x:v>
      </x:c>
      <x:c r="U118" s="12" t="str">
        <x:v>Wikiのロール・長所短所と既存プロファイルの方向性を保ちながら、同アーキタイプ内の差を拡張。</x:v>
      </x:c>
      <x:c r="V118" s="12" t="str">
        <x:v>https://wikiwiki.jp/poke-unite/%E3%82%AD%E3%83%A5%E3%83%AF%E3%83%AF%E3%83%BC</x:v>
      </x:c>
      <x:c r="W118" s="12" t="str">
        <x:v>https://wikiwiki.jp/poke-unite/%E4%B8%80%E8%A6%A7</x:v>
      </x:c>
      <x:c r="X118" s="12" t="str">
        <x:v>https://uniteapi.dev/jp/meta</x:v>
      </x:c>
    </x:row>
    <x:row r="119">
      <x:c r="A119" s="12" t="str">
        <x:v>コダック-1</x:v>
      </x:c>
      <x:c r="B119" s="12" t="str">
        <x:v>コダック</x:v>
      </x:c>
      <x:c r="C119" s="12" t="str">
        <x:v>共通</x:v>
      </x:c>
      <x:c r="D119" s="12" t="str">
        <x:v>Catcher</x:v>
      </x:c>
      <x:c r="E119" s="12" t="n">
        <x:v>-5</x:v>
      </x:c>
      <x:c r="F119" s="12" t="n">
        <x:v>-10</x:v>
      </x:c>
      <x:c r="G119" s="12" t="n">
        <x:v>10</x:v>
      </x:c>
      <x:c r="H119" s="12" t="n">
        <x:v>5</x:v>
      </x:c>
      <x:c r="I119" s="12" t="n">
        <x:v>0</x:v>
      </x:c>
      <x:c r="J119" s="12" t="n">
        <x:v>0</x:v>
      </x:c>
      <x:c r="K119" s="12" t="n">
        <x:v>0</x:v>
      </x:c>
      <x:c r="L119" s="12" t="n">
        <x:v>5</x:v>
      </x:c>
      <x:c r="M119" s="12" t="n">
        <x:v>5</x:v>
      </x:c>
      <x:c r="N119" s="12" t="n">
        <x:v>0</x:v>
      </x:c>
      <x:c r="O119" s="12" t="n">
        <x:v>-10</x:v>
      </x:c>
      <x:c r="P119" s="12" t="n">
        <x:v>-5</x:v>
      </x:c>
      <x:c r="Q119" s="12" t="n">
        <x:v>0</x:v>
      </x:c>
      <x:c r="R119" s="12" t="n">
        <x:v>-5</x:v>
      </x:c>
      <x:c r="S119" s="12" t="n">
        <x:v>-5</x:v>
      </x:c>
      <x:c r="T119" s="12" t="str">
        <x:v>なし（既存個体差の拡張のみ）</x:v>
      </x:c>
      <x:c r="U119" s="12" t="str">
        <x:v>Wikiのロール・長所短所と既存プロファイルの方向性を保ちながら、同アーキタイプ内の差を拡張。</x:v>
      </x:c>
      <x:c r="V119" s="12" t="str">
        <x:v>https://wikiwiki.jp/poke-unite/%E3%82%B3%E3%83%80%E3%83%83%E3%82%AF</x:v>
      </x:c>
      <x:c r="W119" s="12" t="str">
        <x:v>https://wikiwiki.jp/poke-unite/%E4%B8%80%E8%A6%A7</x:v>
      </x:c>
      <x:c r="X119" s="12" t="str">
        <x:v>https://uniteapi.dev/jp/meta</x:v>
      </x:c>
    </x:row>
    <x:row r="120">
      <x:c r="A120" s="12" t="str">
        <x:v>ハピナス-1</x:v>
      </x:c>
      <x:c r="B120" s="12" t="str">
        <x:v>ハピナス</x:v>
      </x:c>
      <x:c r="C120" s="12" t="str">
        <x:v>共通</x:v>
      </x:c>
      <x:c r="D120" s="12" t="str">
        <x:v>Enchanter</x:v>
      </x:c>
      <x:c r="E120" s="12" t="n">
        <x:v>5</x:v>
      </x:c>
      <x:c r="F120" s="12" t="n">
        <x:v>-5</x:v>
      </x:c>
      <x:c r="G120" s="12" t="n">
        <x:v>5</x:v>
      </x:c>
      <x:c r="H120" s="12" t="n">
        <x:v>-5</x:v>
      </x:c>
      <x:c r="I120" s="12" t="n">
        <x:v>0</x:v>
      </x:c>
      <x:c r="J120" s="12" t="n">
        <x:v>0</x:v>
      </x:c>
      <x:c r="K120" s="12" t="n">
        <x:v>0</x:v>
      </x:c>
      <x:c r="L120" s="12" t="n">
        <x:v>0</x:v>
      </x:c>
      <x:c r="M120" s="12" t="n">
        <x:v>5</x:v>
      </x:c>
      <x:c r="N120" s="12" t="n">
        <x:v>0</x:v>
      </x:c>
      <x:c r="O120" s="12" t="n">
        <x:v>0</x:v>
      </x:c>
      <x:c r="P120" s="12" t="n">
        <x:v>0</x:v>
      </x:c>
      <x:c r="Q120" s="12" t="n">
        <x:v>10</x:v>
      </x:c>
      <x:c r="R120" s="12" t="n">
        <x:v>5</x:v>
      </x:c>
      <x:c r="S120" s="12" t="n">
        <x:v>5</x:v>
      </x:c>
      <x:c r="T120" s="12" t="str">
        <x:v>なし（既存個体差の拡張のみ）</x:v>
      </x:c>
      <x:c r="U120" s="12" t="str">
        <x:v>Wikiのロール・長所短所と既存プロファイルの方向性を保ちながら、同アーキタイプ内の差を拡張。</x:v>
      </x:c>
      <x:c r="V120" s="12" t="str">
        <x:v>https://wikiwiki.jp/poke-unite/%E3%83%8F%E3%83%94%E3%83%8A%E3%82%B9</x:v>
      </x:c>
      <x:c r="W120" s="12" t="str">
        <x:v>https://wikiwiki.jp/poke-unite/%E4%B8%80%E8%A6%A7</x:v>
      </x:c>
      <x:c r="X120" s="12" t="str">
        <x:v>https://uniteapi.dev/jp/meta</x:v>
      </x:c>
    </x:row>
    <x:row r="121">
      <x:c r="A121" s="12" t="str">
        <x:v>バリヤード-1</x:v>
      </x:c>
      <x:c r="B121" s="12" t="str">
        <x:v>バリヤード</x:v>
      </x:c>
      <x:c r="C121" s="12" t="str">
        <x:v>バリアー</x:v>
      </x:c>
      <x:c r="D121" s="12" t="str">
        <x:v>Catcher</x:v>
      </x:c>
      <x:c r="E121" s="12" t="n">
        <x:v>5</x:v>
      </x:c>
      <x:c r="F121" s="12" t="n">
        <x:v>10</x:v>
      </x:c>
      <x:c r="G121" s="12" t="n">
        <x:v>0</x:v>
      </x:c>
      <x:c r="H121" s="12" t="n">
        <x:v>5</x:v>
      </x:c>
      <x:c r="I121" s="12" t="n">
        <x:v>-10</x:v>
      </x:c>
      <x:c r="J121" s="12" t="n">
        <x:v>0</x:v>
      </x:c>
      <x:c r="K121" s="12" t="n">
        <x:v>0</x:v>
      </x:c>
      <x:c r="L121" s="12" t="n">
        <x:v>0</x:v>
      </x:c>
      <x:c r="M121" s="12" t="n">
        <x:v>5</x:v>
      </x:c>
      <x:c r="N121" s="12" t="n">
        <x:v>0</x:v>
      </x:c>
      <x:c r="O121" s="12" t="n">
        <x:v>0</x:v>
      </x:c>
      <x:c r="P121" s="12" t="n">
        <x:v>-5</x:v>
      </x:c>
      <x:c r="Q121" s="12" t="n">
        <x:v>0</x:v>
      </x:c>
      <x:c r="R121" s="12" t="n">
        <x:v>0</x:v>
      </x:c>
      <x:c r="S121" s="12" t="n">
        <x:v>-5</x:v>
      </x:c>
      <x:c r="T121" s="12" t="str">
        <x:v>なし（既存個体差の拡張のみ）</x:v>
      </x:c>
      <x:c r="U121" s="12" t="str">
        <x:v>Wikiのロール・長所短所と既存プロファイルの方向性を保ちながら、同アーキタイプ内の差を拡張。</x:v>
      </x:c>
      <x:c r="V121" s="12" t="str">
        <x:v>https://wikiwiki.jp/poke-unite/%E3%83%90%E3%83%AA%E3%83%A4%E3%83%BC%E3%83%89</x:v>
      </x:c>
      <x:c r="W121" s="12" t="str">
        <x:v>https://wikiwiki.jp/poke-unite/%E4%B8%80%E8%A6%A7</x:v>
      </x:c>
      <x:c r="X121" s="12" t="str">
        <x:v>https://uniteapi.dev/jp/meta</x:v>
      </x:c>
    </x:row>
    <x:row r="122">
      <x:c r="A122" s="12" t="str">
        <x:v>バリヤード-2</x:v>
      </x:c>
      <x:c r="B122" s="12" t="str">
        <x:v>バリヤード</x:v>
      </x:c>
      <x:c r="C122" s="12" t="str">
        <x:v>パワースワップ</x:v>
      </x:c>
      <x:c r="D122" s="12" t="str">
        <x:v>Enchanter</x:v>
      </x:c>
      <x:c r="E122" s="12" t="n">
        <x:v>5</x:v>
      </x:c>
      <x:c r="F122" s="12" t="n">
        <x:v>5</x:v>
      </x:c>
      <x:c r="G122" s="12" t="n">
        <x:v>-10</x:v>
      </x:c>
      <x:c r="H122" s="12" t="n">
        <x:v>0</x:v>
      </x:c>
      <x:c r="I122" s="12" t="n">
        <x:v>0</x:v>
      </x:c>
      <x:c r="J122" s="12" t="n">
        <x:v>5</x:v>
      </x:c>
      <x:c r="K122" s="12" t="n">
        <x:v>15</x:v>
      </x:c>
      <x:c r="L122" s="12" t="n">
        <x:v>0</x:v>
      </x:c>
      <x:c r="M122" s="12" t="n">
        <x:v>-5</x:v>
      </x:c>
      <x:c r="N122" s="12" t="n">
        <x:v>5</x:v>
      </x:c>
      <x:c r="O122" s="12" t="n">
        <x:v>10</x:v>
      </x:c>
      <x:c r="P122" s="12" t="n">
        <x:v>10</x:v>
      </x:c>
      <x:c r="Q122" s="12" t="n">
        <x:v>5</x:v>
      </x:c>
      <x:c r="R122" s="12" t="n">
        <x:v>15</x:v>
      </x:c>
      <x:c r="S122" s="12" t="n">
        <x:v>-10</x:v>
      </x:c>
      <x:c r="T122" s="12" t="str">
        <x:v>Control+15 / Execution+10 / Support+5 / Mobility-10</x:v>
      </x:c>
      <x:c r="U122" s="12" t="str">
        <x:v>妨害能力が非常に高く直接支援も可能。Control/Executionを強調。</x:v>
      </x:c>
      <x:c r="V122" s="12" t="str">
        <x:v>https://wikiwiki.jp/poke-unite/%E3%83%90%E3%83%AA%E3%83%A4%E3%83%BC%E3%83%89</x:v>
      </x:c>
      <x:c r="W122" s="12" t="str">
        <x:v>https://wikiwiki.jp/poke-unite/%E4%B8%80%E8%A6%A7</x:v>
      </x:c>
      <x:c r="X122" s="12" t="str">
        <x:v>https://uniteapi.dev/jp/meta</x:v>
      </x:c>
    </x:row>
    <x:row r="123">
      <x:c r="A123" s="12" t="str">
        <x:v>ピクシー-1</x:v>
      </x:c>
      <x:c r="B123" s="12" t="str">
        <x:v>ピクシー</x:v>
      </x:c>
      <x:c r="C123" s="12" t="str">
        <x:v>共通</x:v>
      </x:c>
      <x:c r="D123" s="12" t="str">
        <x:v>Enchanter</x:v>
      </x:c>
      <x:c r="E123" s="12" t="n">
        <x:v>0</x:v>
      </x:c>
      <x:c r="F123" s="12" t="n">
        <x:v>-5</x:v>
      </x:c>
      <x:c r="G123" s="12" t="n">
        <x:v>5</x:v>
      </x:c>
      <x:c r="H123" s="12" t="n">
        <x:v>-5</x:v>
      </x:c>
      <x:c r="I123" s="12" t="n">
        <x:v>0</x:v>
      </x:c>
      <x:c r="J123" s="12" t="n">
        <x:v>0</x:v>
      </x:c>
      <x:c r="K123" s="12" t="n">
        <x:v>5</x:v>
      </x:c>
      <x:c r="L123" s="12" t="n">
        <x:v>0</x:v>
      </x:c>
      <x:c r="M123" s="12" t="n">
        <x:v>-10</x:v>
      </x:c>
      <x:c r="N123" s="12" t="n">
        <x:v>-15</x:v>
      </x:c>
      <x:c r="O123" s="12" t="n">
        <x:v>-5</x:v>
      </x:c>
      <x:c r="P123" s="12" t="n">
        <x:v>-5</x:v>
      </x:c>
      <x:c r="Q123" s="12" t="n">
        <x:v>0</x:v>
      </x:c>
      <x:c r="R123" s="12" t="n">
        <x:v>0</x:v>
      </x:c>
      <x:c r="S123" s="12" t="n">
        <x:v>5</x:v>
      </x:c>
      <x:c r="T123" s="12" t="str">
        <x:v>Support+10 / Peel+10 / Control+5 / SelfSufficiency-15 / Mobility-5</x:v>
      </x:c>
      <x:c r="U123" s="12" t="str">
        <x:v>集団回復とユニークな妨害。低自己完結・高支援/保護。</x:v>
      </x:c>
      <x:c r="V123" s="12" t="str">
        <x:v>https://wikiwiki.jp/poke-unite/%E3%83%94%E3%82%AF%E3%82%B7%E3%83%BC</x:v>
      </x:c>
      <x:c r="W123" s="12" t="str">
        <x:v>https://wikiwiki.jp/poke-unite/%E4%B8%80%E8%A6%A7</x:v>
      </x:c>
      <x:c r="X123" s="12" t="str">
        <x:v>https://uniteapi.dev/jp/meta</x:v>
      </x:c>
    </x:row>
    <x:row r="124">
      <x:c r="A124" s="12" t="str">
        <x:v>フーパ-1</x:v>
      </x:c>
      <x:c r="B124" s="12" t="str">
        <x:v>フーパ</x:v>
      </x:c>
      <x:c r="C124" s="12" t="str">
        <x:v>いじげんホール</x:v>
      </x:c>
      <x:c r="D124" s="12" t="str">
        <x:v>Specialist</x:v>
      </x:c>
      <x:c r="E124" s="12" t="n">
        <x:v>-10</x:v>
      </x:c>
      <x:c r="F124" s="12" t="n">
        <x:v>-10</x:v>
      </x:c>
      <x:c r="G124" s="12" t="n">
        <x:v>10</x:v>
      </x:c>
      <x:c r="H124" s="12" t="n">
        <x:v>0</x:v>
      </x:c>
      <x:c r="I124" s="12" t="n">
        <x:v>-10</x:v>
      </x:c>
      <x:c r="J124" s="12" t="n">
        <x:v>0</x:v>
      </x:c>
      <x:c r="K124" s="12" t="n">
        <x:v>-10</x:v>
      </x:c>
      <x:c r="L124" s="12" t="n">
        <x:v>0</x:v>
      </x:c>
      <x:c r="M124" s="12" t="n">
        <x:v>0</x:v>
      </x:c>
      <x:c r="N124" s="12" t="n">
        <x:v>-10</x:v>
      </x:c>
      <x:c r="O124" s="12" t="n">
        <x:v>-10</x:v>
      </x:c>
      <x:c r="P124" s="12" t="n">
        <x:v>-10</x:v>
      </x:c>
      <x:c r="Q124" s="12" t="n">
        <x:v>10</x:v>
      </x:c>
      <x:c r="R124" s="12" t="n">
        <x:v>-10</x:v>
      </x:c>
      <x:c r="S124" s="12" t="n">
        <x:v>0</x:v>
      </x:c>
      <x:c r="T124" s="12" t="str">
        <x:v>なし（既存個体差の拡張のみ）</x:v>
      </x:c>
      <x:c r="U124" s="12" t="str">
        <x:v>Wikiのロール・長所短所と既存プロファイルの方向性を保ちながら、同アーキタイプ内の差を拡張。</x:v>
      </x:c>
      <x:c r="V124" s="12" t="str">
        <x:v>https://wikiwiki.jp/poke-unite/%E3%83%95%E3%83%BC%E3%83%91</x:v>
      </x:c>
      <x:c r="W124" s="12" t="str">
        <x:v>https://wikiwiki.jp/poke-unite/%E4%B8%80%E8%A6%A7</x:v>
      </x:c>
      <x:c r="X124" s="12" t="str">
        <x:v>https://uniteapi.dev/jp/meta</x:v>
      </x:c>
    </x:row>
    <x:row r="125">
      <x:c r="A125" s="12" t="str">
        <x:v>フーパ-2</x:v>
      </x:c>
      <x:c r="B125" s="12" t="str">
        <x:v>フーパ</x:v>
      </x:c>
      <x:c r="C125" s="12" t="str">
        <x:v>トリック</x:v>
      </x:c>
      <x:c r="D125" s="12" t="str">
        <x:v>Enchanter</x:v>
      </x:c>
      <x:c r="E125" s="12" t="n">
        <x:v>5</x:v>
      </x:c>
      <x:c r="F125" s="12" t="n">
        <x:v>10</x:v>
      </x:c>
      <x:c r="G125" s="12" t="n">
        <x:v>-5</x:v>
      </x:c>
      <x:c r="H125" s="12" t="n">
        <x:v>-5</x:v>
      </x:c>
      <x:c r="I125" s="12" t="n">
        <x:v>10</x:v>
      </x:c>
      <x:c r="J125" s="12" t="n">
        <x:v>-5</x:v>
      </x:c>
      <x:c r="K125" s="12" t="n">
        <x:v>0</x:v>
      </x:c>
      <x:c r="L125" s="12" t="n">
        <x:v>0</x:v>
      </x:c>
      <x:c r="M125" s="12" t="n">
        <x:v>10</x:v>
      </x:c>
      <x:c r="N125" s="12" t="n">
        <x:v>5</x:v>
      </x:c>
      <x:c r="O125" s="12" t="n">
        <x:v>0</x:v>
      </x:c>
      <x:c r="P125" s="12" t="n">
        <x:v>0</x:v>
      </x:c>
      <x:c r="Q125" s="12" t="n">
        <x:v>10</x:v>
      </x:c>
      <x:c r="R125" s="12" t="n">
        <x:v>5</x:v>
      </x:c>
      <x:c r="S125" s="12" t="n">
        <x:v>0</x:v>
      </x:c>
      <x:c r="T125" s="12" t="str">
        <x:v>なし（既存個体差の拡張のみ）</x:v>
      </x:c>
      <x:c r="U125" s="12" t="str">
        <x:v>Wikiのロール・長所短所と既存プロファイルの方向性を保ちながら、同アーキタイプ内の差を拡張。</x:v>
      </x:c>
      <x:c r="V125" s="12" t="str">
        <x:v>https://wikiwiki.jp/poke-unite/%E3%83%95%E3%83%BC%E3%83%91</x:v>
      </x:c>
      <x:c r="W125" s="12" t="str">
        <x:v>https://wikiwiki.jp/poke-unite/%E4%B8%80%E8%A6%A7</x:v>
      </x:c>
      <x:c r="X125" s="12" t="str">
        <x:v>https://uniteapi.dev/jp/meta</x:v>
      </x:c>
    </x:row>
    <x:row r="126">
      <x:c r="A126" s="12" t="str">
        <x:v>プクリン-1</x:v>
      </x:c>
      <x:c r="B126" s="12" t="str">
        <x:v>プクリン</x:v>
      </x:c>
      <x:c r="C126" s="12" t="str">
        <x:v>共通</x:v>
      </x:c>
      <x:c r="D126" s="12" t="str">
        <x:v>Warden</x:v>
      </x:c>
      <x:c r="E126" s="12" t="n">
        <x:v>-5</x:v>
      </x:c>
      <x:c r="F126" s="12" t="n">
        <x:v>-10</x:v>
      </x:c>
      <x:c r="G126" s="12" t="n">
        <x:v>0</x:v>
      </x:c>
      <x:c r="H126" s="12" t="n">
        <x:v>0</x:v>
      </x:c>
      <x:c r="I126" s="12" t="n">
        <x:v>0</x:v>
      </x:c>
      <x:c r="J126" s="12" t="n">
        <x:v>5</x:v>
      </x:c>
      <x:c r="K126" s="12" t="n">
        <x:v>0</x:v>
      </x:c>
      <x:c r="L126" s="12" t="n">
        <x:v>5</x:v>
      </x:c>
      <x:c r="M126" s="12" t="n">
        <x:v>-5</x:v>
      </x:c>
      <x:c r="N126" s="12" t="n">
        <x:v>-5</x:v>
      </x:c>
      <x:c r="O126" s="12" t="n">
        <x:v>-5</x:v>
      </x:c>
      <x:c r="P126" s="12" t="n">
        <x:v>-5</x:v>
      </x:c>
      <x:c r="Q126" s="12" t="n">
        <x:v>0</x:v>
      </x:c>
      <x:c r="R126" s="12" t="n">
        <x:v>0</x:v>
      </x:c>
      <x:c r="S126" s="12" t="n">
        <x:v>0</x:v>
      </x:c>
      <x:c r="T126" s="12" t="str">
        <x:v>なし（既存個体差の拡張のみ）</x:v>
      </x:c>
      <x:c r="U126" s="12" t="str">
        <x:v>Wikiのロール・長所短所と既存プロファイルの方向性を保ちながら、同アーキタイプ内の差を拡張。</x:v>
      </x:c>
      <x:c r="V126" s="12" t="str">
        <x:v>https://wikiwiki.jp/poke-unite/%E3%83%97%E3%82%AF%E3%83%AA%E3%83%B3</x:v>
      </x:c>
      <x:c r="W126" s="12" t="str">
        <x:v>https://wikiwiki.jp/poke-unite/%E4%B8%80%E8%A6%A7</x:v>
      </x:c>
      <x:c r="X126" s="12" t="str">
        <x:v>https://uniteapi.dev/jp/meta</x:v>
      </x:c>
    </x:row>
    <x:row r="127">
      <x:c r="A127" s="12" t="str">
        <x:v>マホイップ-1</x:v>
      </x:c>
      <x:c r="B127" s="12" t="str">
        <x:v>マホイップ</x:v>
      </x:c>
      <x:c r="C127" s="12" t="str">
        <x:v>共通</x:v>
      </x:c>
      <x:c r="D127" s="12" t="str">
        <x:v>Enchanter</x:v>
      </x:c>
      <x:c r="E127" s="12" t="n">
        <x:v>-10</x:v>
      </x:c>
      <x:c r="F127" s="12" t="n">
        <x:v>-5</x:v>
      </x:c>
      <x:c r="G127" s="12" t="n">
        <x:v>5</x:v>
      </x:c>
      <x:c r="H127" s="12" t="n">
        <x:v>-10</x:v>
      </x:c>
      <x:c r="I127" s="12" t="n">
        <x:v>-5</x:v>
      </x:c>
      <x:c r="J127" s="12" t="n">
        <x:v>0</x:v>
      </x:c>
      <x:c r="K127" s="12" t="n">
        <x:v>-10</x:v>
      </x:c>
      <x:c r="L127" s="12" t="n">
        <x:v>0</x:v>
      </x:c>
      <x:c r="M127" s="12" t="n">
        <x:v>-10</x:v>
      </x:c>
      <x:c r="N127" s="12" t="n">
        <x:v>-10</x:v>
      </x:c>
      <x:c r="O127" s="12" t="n">
        <x:v>0</x:v>
      </x:c>
      <x:c r="P127" s="12" t="n">
        <x:v>-10</x:v>
      </x:c>
      <x:c r="Q127" s="12" t="n">
        <x:v>-10</x:v>
      </x:c>
      <x:c r="R127" s="12" t="n">
        <x:v>-5</x:v>
      </x:c>
      <x:c r="S127" s="12" t="n">
        <x:v>0</x:v>
      </x:c>
      <x:c r="T127" s="12" t="str">
        <x:v>なし（既存個体差の拡張のみ）</x:v>
      </x:c>
      <x:c r="U127" s="12" t="str">
        <x:v>Wikiのロール・長所短所と既存プロファイルの方向性を保ちながら、同アーキタイプ内の差を拡張。</x:v>
      </x:c>
      <x:c r="V127" s="12" t="str">
        <x:v>https://wikiwiki.jp/poke-unite/%E3%83%9E%E3%83%9B%E3%82%A4%E3%83%83%E3%83%97</x:v>
      </x:c>
      <x:c r="W127" s="12" t="str">
        <x:v>https://wikiwiki.jp/poke-unite/%E4%B8%80%E8%A6%A7</x:v>
      </x:c>
      <x:c r="X127" s="12" t="str">
        <x:v>https://uniteapi.dev/jp/meta</x:v>
      </x:c>
    </x:row>
    <x:row r="128">
      <x:c r="A128" s="12" t="str">
        <x:v>メガニウム-1</x:v>
      </x:c>
      <x:c r="B128" s="12" t="str">
        <x:v>メガニウム</x:v>
      </x:c>
      <x:c r="C128" s="12" t="str">
        <x:v>共通</x:v>
      </x:c>
      <x:c r="D128" s="12" t="str">
        <x:v>Enchanter</x:v>
      </x:c>
      <x:c r="E128" s="12" t="n">
        <x:v>0</x:v>
      </x:c>
      <x:c r="F128" s="12" t="n">
        <x:v>-5</x:v>
      </x:c>
      <x:c r="G128" s="12" t="n">
        <x:v>5</x:v>
      </x:c>
      <x:c r="H128" s="12" t="n">
        <x:v>-5</x:v>
      </x:c>
      <x:c r="I128" s="12" t="n">
        <x:v>0</x:v>
      </x:c>
      <x:c r="J128" s="12" t="n">
        <x:v>15</x:v>
      </x:c>
      <x:c r="K128" s="12" t="n">
        <x:v>10</x:v>
      </x:c>
      <x:c r="L128" s="12" t="n">
        <x:v>0</x:v>
      </x:c>
      <x:c r="M128" s="12" t="n">
        <x:v>-5</x:v>
      </x:c>
      <x:c r="N128" s="12" t="n">
        <x:v>-5</x:v>
      </x:c>
      <x:c r="O128" s="12" t="n">
        <x:v>5</x:v>
      </x:c>
      <x:c r="P128" s="12" t="n">
        <x:v>-5</x:v>
      </x:c>
      <x:c r="Q128" s="12" t="n">
        <x:v>0</x:v>
      </x:c>
      <x:c r="R128" s="12" t="n">
        <x:v>-5</x:v>
      </x:c>
      <x:c r="S128" s="12" t="n">
        <x:v>0</x:v>
      </x:c>
      <x:c r="T128" s="12" t="str">
        <x:v>Support+10 / FightTempo+15 / Control+10 / FarmScaling+10 / Execution-5</x:v>
      </x:c>
      <x:c r="U128" s="12" t="str">
        <x:v>高回転ユナイト、回復/妨害、持久戦。ピクシーより継続戦/成長寄り。</x:v>
      </x:c>
      <x:c r="V128" s="12" t="str">
        <x:v>https://wikiwiki.jp/poke-unite/%E3%83%A1%E3%82%AC%E3%83%8B%E3%82%A6%E3%83%A0</x:v>
      </x:c>
      <x:c r="W128" s="12" t="str">
        <x:v>https://wikiwiki.jp/poke-unite/%E4%B8%80%E8%A6%A7</x:v>
      </x:c>
      <x:c r="X128" s="12" t="str">
        <x:v>https://uniteapi.dev/jp/meta</x:v>
      </x:c>
    </x:row>
    <x:row r="129">
      <x:c r="A129" s="12" t="str">
        <x:v>ヤミラミ-1</x:v>
      </x:c>
      <x:c r="B129" s="12" t="str">
        <x:v>ヤミラミ</x:v>
      </x:c>
      <x:c r="C129" s="12" t="str">
        <x:v>共通</x:v>
      </x:c>
      <x:c r="D129" s="12" t="str">
        <x:v>Specialist</x:v>
      </x:c>
      <x:c r="E129" s="12" t="n">
        <x:v>10</x:v>
      </x:c>
      <x:c r="F129" s="12" t="n">
        <x:v>10</x:v>
      </x:c>
      <x:c r="G129" s="12" t="n">
        <x:v>-10</x:v>
      </x:c>
      <x:c r="H129" s="12" t="n">
        <x:v>10</x:v>
      </x:c>
      <x:c r="I129" s="12" t="n">
        <x:v>-10</x:v>
      </x:c>
      <x:c r="J129" s="12" t="n">
        <x:v>0</x:v>
      </x:c>
      <x:c r="K129" s="12" t="n">
        <x:v>10</x:v>
      </x:c>
      <x:c r="L129" s="12" t="n">
        <x:v>-10</x:v>
      </x:c>
      <x:c r="M129" s="12" t="n">
        <x:v>5</x:v>
      </x:c>
      <x:c r="N129" s="12" t="n">
        <x:v>0</x:v>
      </x:c>
      <x:c r="O129" s="12" t="n">
        <x:v>-10</x:v>
      </x:c>
      <x:c r="P129" s="12" t="n">
        <x:v>-5</x:v>
      </x:c>
      <x:c r="Q129" s="12" t="n">
        <x:v>0</x:v>
      </x:c>
      <x:c r="R129" s="12" t="n">
        <x:v>-10</x:v>
      </x:c>
      <x:c r="S129" s="12" t="n">
        <x:v>-5</x:v>
      </x:c>
      <x:c r="T129" s="12" t="str">
        <x:v>なし（既存個体差の拡張のみ）</x:v>
      </x:c>
      <x:c r="U129" s="12" t="str">
        <x:v>Wikiのロール・長所短所と既存プロファイルの方向性を保ちながら、同アーキタイプ内の差を拡張。</x:v>
      </x:c>
      <x:c r="V129" s="12" t="str">
        <x:v>https://wikiwiki.jp/poke-unite/%E3%83%A4%E3%83%9F%E3%83%A9%E3%83%9F</x:v>
      </x:c>
      <x:c r="W129" s="12" t="str">
        <x:v>https://wikiwiki.jp/poke-unite/%E4%B8%80%E8%A6%A7</x:v>
      </x:c>
      <x:c r="X129" s="12" t="str">
        <x:v>https://uniteapi.dev/jp/meta</x:v>
      </x:c>
    </x:row>
    <x:row r="130">
      <x:c r="A130" s="12" t="str">
        <x:v>ラティアス-1</x:v>
      </x:c>
      <x:c r="B130" s="12" t="str">
        <x:v>ラティアス</x:v>
      </x:c>
      <x:c r="C130" s="12" t="str">
        <x:v>共通</x:v>
      </x:c>
      <x:c r="D130" s="12" t="str">
        <x:v>Enchanter</x:v>
      </x:c>
      <x:c r="E130" s="12" t="n">
        <x:v>5</x:v>
      </x:c>
      <x:c r="F130" s="12" t="n">
        <x:v>5</x:v>
      </x:c>
      <x:c r="G130" s="12" t="n">
        <x:v>-10</x:v>
      </x:c>
      <x:c r="H130" s="12" t="n">
        <x:v>0</x:v>
      </x:c>
      <x:c r="I130" s="12" t="n">
        <x:v>10</x:v>
      </x:c>
      <x:c r="J130" s="12" t="n">
        <x:v>5</x:v>
      </x:c>
      <x:c r="K130" s="12" t="n">
        <x:v>-10</x:v>
      </x:c>
      <x:c r="L130" s="12" t="n">
        <x:v>0</x:v>
      </x:c>
      <x:c r="M130" s="12" t="n">
        <x:v>15</x:v>
      </x:c>
      <x:c r="N130" s="12" t="n">
        <x:v>15</x:v>
      </x:c>
      <x:c r="O130" s="12" t="n">
        <x:v>10</x:v>
      </x:c>
      <x:c r="P130" s="12" t="n">
        <x:v>10</x:v>
      </x:c>
      <x:c r="Q130" s="12" t="n">
        <x:v>5</x:v>
      </x:c>
      <x:c r="R130" s="12" t="n">
        <x:v>5</x:v>
      </x:c>
      <x:c r="S130" s="12" t="n">
        <x:v>-10</x:v>
      </x:c>
      <x:c r="T130" s="12" t="str">
        <x:v>Mobility+15 / Support+5 / SelfSufficiency+5 / Control-5</x:v>
      </x:c>
      <x:c r="U130" s="12" t="str">
        <x:v>火力と支援を両立し移動速度に優れる。純ヒーラーよりMobility/SelfSufficiencyを上げる。</x:v>
      </x:c>
      <x:c r="V130" s="12" t="str">
        <x:v>https://wikiwiki.jp/poke-unite/%E3%83%A9%E3%83%86%E3%82%A3%E3%82%A2%E3%82%B9</x:v>
      </x:c>
      <x:c r="W130" s="12" t="str">
        <x:v>https://wikiwiki.jp/poke-unite/%E4%B8%80%E8%A6%A7</x:v>
      </x:c>
      <x:c r="X130" s="12" t="str">
        <x:v>https://uniteapi.dev/jp/meta</x:v>
      </x:c>
    </x:row>
    <x:row r="131">
      <x:c r="A131" s="12" t="str">
        <x:v>ワタシラガ-1</x:v>
      </x:c>
      <x:c r="B131" s="12" t="str">
        <x:v>ワタシラガ</x:v>
      </x:c>
      <x:c r="C131" s="12" t="str">
        <x:v>共通</x:v>
      </x:c>
      <x:c r="D131" s="12" t="str">
        <x:v>Enchanter</x:v>
      </x:c>
      <x:c r="E131" s="12" t="n">
        <x:v>5</x:v>
      </x:c>
      <x:c r="F131" s="12" t="n">
        <x:v>5</x:v>
      </x:c>
      <x:c r="G131" s="12" t="n">
        <x:v>-10</x:v>
      </x:c>
      <x:c r="H131" s="12" t="n">
        <x:v>-5</x:v>
      </x:c>
      <x:c r="I131" s="12" t="n">
        <x:v>10</x:v>
      </x:c>
      <x:c r="J131" s="12" t="n">
        <x:v>5</x:v>
      </x:c>
      <x:c r="K131" s="12" t="n">
        <x:v>0</x:v>
      </x:c>
      <x:c r="L131" s="12" t="n">
        <x:v>-10</x:v>
      </x:c>
      <x:c r="M131" s="12" t="n">
        <x:v>5</x:v>
      </x:c>
      <x:c r="N131" s="12" t="n">
        <x:v>5</x:v>
      </x:c>
      <x:c r="O131" s="12" t="n">
        <x:v>5</x:v>
      </x:c>
      <x:c r="P131" s="12" t="n">
        <x:v>10</x:v>
      </x:c>
      <x:c r="Q131" s="12" t="n">
        <x:v>5</x:v>
      </x:c>
      <x:c r="R131" s="12" t="n">
        <x:v>5</x:v>
      </x:c>
      <x:c r="S131" s="12" t="n">
        <x:v>0</x:v>
      </x:c>
      <x:c r="T131" s="12" t="str">
        <x:v>なし（既存個体差の拡張のみ）</x:v>
      </x:c>
      <x:c r="U131" s="12" t="str">
        <x:v>Wikiのロール・長所短所と既存プロファイルの方向性を保ちながら、同アーキタイプ内の差を拡張。</x:v>
      </x:c>
      <x:c r="V131" s="12" t="str">
        <x:v>https://wikiwiki.jp/poke-unite/%E3%83%AF%E3%82%BF%E3%82%B7%E3%83%A9%E3%82%AC</x:v>
      </x:c>
      <x:c r="W131" s="12" t="str">
        <x:v>https://wikiwiki.jp/poke-unite/%E4%B8%80%E8%A6%A7</x:v>
      </x:c>
      <x:c r="X131" s="12" t="str">
        <x:v>https://uniteapi.dev/jp/meta</x:v>
      </x:c>
    </x:row>
  </x:sheetData>
  <x:conditionalFormatting sqref="E2:E131">
    <x:cfRule type="colorScale" priority="1">
      <x:colorScale>
        <x:cfvo type="min"/>
        <x:cfvo type="percentile" val="50"/>
        <x:cfvo type="max"/>
        <x:color rgb="FFFECACA"/>
        <x:color rgb="FFFFFFFF"/>
        <x:color rgb="FFBFDBFE"/>
      </x:colorScale>
    </x:cfRule>
  </x:conditionalFormatting>
  <x:conditionalFormatting sqref="F2:F131">
    <x:cfRule type="colorScale" priority="2">
      <x:colorScale>
        <x:cfvo type="min"/>
        <x:cfvo type="percentile" val="50"/>
        <x:cfvo type="max"/>
        <x:color rgb="FFFECACA"/>
        <x:color rgb="FFFFFFFF"/>
        <x:color rgb="FFBFDBFE"/>
      </x:colorScale>
    </x:cfRule>
  </x:conditionalFormatting>
  <x:conditionalFormatting sqref="G2:G131">
    <x:cfRule type="colorScale" priority="3">
      <x:colorScale>
        <x:cfvo type="min"/>
        <x:cfvo type="percentile" val="50"/>
        <x:cfvo type="max"/>
        <x:color rgb="FFFECACA"/>
        <x:color rgb="FFFFFFFF"/>
        <x:color rgb="FFBFDBFE"/>
      </x:colorScale>
    </x:cfRule>
  </x:conditionalFormatting>
  <x:conditionalFormatting sqref="H2:H131">
    <x:cfRule type="colorScale" priority="4">
      <x:colorScale>
        <x:cfvo type="min"/>
        <x:cfvo type="percentile" val="50"/>
        <x:cfvo type="max"/>
        <x:color rgb="FFFECACA"/>
        <x:color rgb="FFFFFFFF"/>
        <x:color rgb="FFBFDBFE"/>
      </x:colorScale>
    </x:cfRule>
  </x:conditionalFormatting>
  <x:conditionalFormatting sqref="I2:I131">
    <x:cfRule type="colorScale" priority="5">
      <x:colorScale>
        <x:cfvo type="min"/>
        <x:cfvo type="percentile" val="50"/>
        <x:cfvo type="max"/>
        <x:color rgb="FFFECACA"/>
        <x:color rgb="FFFFFFFF"/>
        <x:color rgb="FFBFDBFE"/>
      </x:colorScale>
    </x:cfRule>
  </x:conditionalFormatting>
  <x:conditionalFormatting sqref="J2:J131">
    <x:cfRule type="colorScale" priority="6">
      <x:colorScale>
        <x:cfvo type="min"/>
        <x:cfvo type="percentile" val="50"/>
        <x:cfvo type="max"/>
        <x:color rgb="FFFECACA"/>
        <x:color rgb="FFFFFFFF"/>
        <x:color rgb="FFBFDBFE"/>
      </x:colorScale>
    </x:cfRule>
  </x:conditionalFormatting>
  <x:conditionalFormatting sqref="K2:K131">
    <x:cfRule type="colorScale" priority="7">
      <x:colorScale>
        <x:cfvo type="min"/>
        <x:cfvo type="percentile" val="50"/>
        <x:cfvo type="max"/>
        <x:color rgb="FFFECACA"/>
        <x:color rgb="FFFFFFFF"/>
        <x:color rgb="FFBFDBFE"/>
      </x:colorScale>
    </x:cfRule>
  </x:conditionalFormatting>
  <x:conditionalFormatting sqref="L2:L131">
    <x:cfRule type="colorScale" priority="8">
      <x:colorScale>
        <x:cfvo type="min"/>
        <x:cfvo type="percentile" val="50"/>
        <x:cfvo type="max"/>
        <x:color rgb="FFFECACA"/>
        <x:color rgb="FFFFFFFF"/>
        <x:color rgb="FFBFDBFE"/>
      </x:colorScale>
    </x:cfRule>
  </x:conditionalFormatting>
  <x:conditionalFormatting sqref="M2:M131">
    <x:cfRule type="colorScale" priority="9">
      <x:colorScale>
        <x:cfvo type="min"/>
        <x:cfvo type="percentile" val="50"/>
        <x:cfvo type="max"/>
        <x:color rgb="FFFECACA"/>
        <x:color rgb="FFFFFFFF"/>
        <x:color rgb="FFBFDBFE"/>
      </x:colorScale>
    </x:cfRule>
  </x:conditionalFormatting>
  <x:conditionalFormatting sqref="N2:N131">
    <x:cfRule type="colorScale" priority="10">
      <x:colorScale>
        <x:cfvo type="min"/>
        <x:cfvo type="percentile" val="50"/>
        <x:cfvo type="max"/>
        <x:color rgb="FFFECACA"/>
        <x:color rgb="FFFFFFFF"/>
        <x:color rgb="FFBFDBFE"/>
      </x:colorScale>
    </x:cfRule>
  </x:conditionalFormatting>
  <x:conditionalFormatting sqref="O2:O131">
    <x:cfRule type="colorScale" priority="11">
      <x:colorScale>
        <x:cfvo type="min"/>
        <x:cfvo type="percentile" val="50"/>
        <x:cfvo type="max"/>
        <x:color rgb="FFFECACA"/>
        <x:color rgb="FFFFFFFF"/>
        <x:color rgb="FFBFDBFE"/>
      </x:colorScale>
    </x:cfRule>
  </x:conditionalFormatting>
  <x:conditionalFormatting sqref="P2:P131">
    <x:cfRule type="colorScale" priority="12">
      <x:colorScale>
        <x:cfvo type="min"/>
        <x:cfvo type="percentile" val="50"/>
        <x:cfvo type="max"/>
        <x:color rgb="FFFECACA"/>
        <x:color rgb="FFFFFFFF"/>
        <x:color rgb="FFBFDBFE"/>
      </x:colorScale>
    </x:cfRule>
  </x:conditionalFormatting>
  <x:conditionalFormatting sqref="Q2:Q131">
    <x:cfRule type="colorScale" priority="13">
      <x:colorScale>
        <x:cfvo type="min"/>
        <x:cfvo type="percentile" val="50"/>
        <x:cfvo type="max"/>
        <x:color rgb="FFFECACA"/>
        <x:color rgb="FFFFFFFF"/>
        <x:color rgb="FFBFDBFE"/>
      </x:colorScale>
    </x:cfRule>
  </x:conditionalFormatting>
  <x:conditionalFormatting sqref="R2:R131">
    <x:cfRule type="colorScale" priority="14">
      <x:colorScale>
        <x:cfvo type="min"/>
        <x:cfvo type="percentile" val="50"/>
        <x:cfvo type="max"/>
        <x:color rgb="FFFECACA"/>
        <x:color rgb="FFFFFFFF"/>
        <x:color rgb="FFBFDBFE"/>
      </x:colorScale>
    </x:cfRule>
  </x:conditionalFormatting>
  <x:conditionalFormatting sqref="S2:S131">
    <x:cfRule type="colorScale" priority="15">
      <x:colorScale>
        <x:cfvo type="min"/>
        <x:cfvo type="percentile" val="50"/>
        <x:cfvo type="max"/>
        <x:color rgb="FFFECACA"/>
        <x:color rgb="FFFFFFFF"/>
        <x:color rgb="FFBFDBFE"/>
      </x:colorScale>
    </x:cfRule>
  </x:conditionalFormatting>
  <x:pageMargins left="0.7" right="0.7" top="0.75" bottom="0.75" header="0.3" footer="0.3"/>
</x:worksheet>
</file>